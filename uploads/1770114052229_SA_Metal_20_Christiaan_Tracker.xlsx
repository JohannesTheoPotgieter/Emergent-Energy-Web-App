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" documentId="13_ncr:1_{F5256F3D-D50D-47C6-838E-29EDFEC799AA}" xr6:coauthVersionLast="47" xr6:coauthVersionMax="47" xr10:uidLastSave="{AA3E3473-6A7E-4965-8531-0551702F9580}"/>
  <bookViews>
    <workbookView xWindow="6705" yWindow="-16320" windowWidth="29040" windowHeight="15720" tabRatio="812" firstSheet="1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9"/>
  <pivotCaches>
    <pivotCache cacheId="25" r:id="rId17"/>
    <pivotCache cacheId="2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J24" i="13"/>
  <c r="I24" i="13"/>
  <c r="H24" i="13"/>
  <c r="G24" i="13"/>
  <c r="J30" i="13" s="1"/>
  <c r="F24" i="13"/>
  <c r="E24" i="13"/>
  <c r="D24" i="13"/>
  <c r="K23" i="13"/>
  <c r="U90" i="4"/>
  <c r="W53" i="4"/>
  <c r="W87" i="4"/>
  <c r="T33" i="4"/>
  <c r="T54" i="4"/>
  <c r="P15" i="5"/>
  <c r="W66" i="4"/>
  <c r="P18" i="5"/>
  <c r="S30" i="4"/>
  <c r="S87" i="4"/>
  <c r="S29" i="4"/>
  <c r="S50" i="4"/>
  <c r="S86" i="4"/>
  <c r="S85" i="4"/>
  <c r="U112" i="4"/>
  <c r="T67" i="4"/>
  <c r="R66" i="4"/>
  <c r="R39" i="4"/>
  <c r="S6" i="5"/>
  <c r="W20" i="4"/>
  <c r="W97" i="4"/>
  <c r="H76" i="4"/>
  <c r="H26" i="4"/>
  <c r="H25" i="4" s="1"/>
  <c r="H75" i="4"/>
  <c r="H50" i="4" s="1"/>
  <c r="H74" i="4"/>
  <c r="H49" i="4" s="1"/>
  <c r="P83" i="4"/>
  <c r="R83" i="4" s="1"/>
  <c r="R84" i="4"/>
  <c r="W84" i="4"/>
  <c r="W83" i="4"/>
  <c r="T82" i="4"/>
  <c r="P72" i="4"/>
  <c r="P26" i="4"/>
  <c r="R27" i="4"/>
  <c r="R44" i="4"/>
  <c r="R43" i="4"/>
  <c r="AE34" i="4"/>
  <c r="AE35" i="4" s="1"/>
  <c r="AI26" i="4"/>
  <c r="AF26" i="4"/>
  <c r="AC26" i="4"/>
  <c r="AH27" i="4"/>
  <c r="AH34" i="4" s="1"/>
  <c r="AH35" i="4" s="1"/>
  <c r="AH23" i="4"/>
  <c r="AB34" i="4"/>
  <c r="AB35" i="4"/>
  <c r="R73" i="4"/>
  <c r="R72" i="4"/>
  <c r="P47" i="4"/>
  <c r="R48" i="4" s="1"/>
  <c r="R87" i="4"/>
  <c r="R86" i="4"/>
  <c r="R85" i="4"/>
  <c r="R99" i="4"/>
  <c r="K81" i="4"/>
  <c r="K72" i="4"/>
  <c r="R18" i="4"/>
  <c r="R14" i="4"/>
  <c r="J99" i="4"/>
  <c r="G14" i="4"/>
  <c r="D11" i="9" s="1"/>
  <c r="R7" i="4"/>
  <c r="G25" i="4"/>
  <c r="G6" i="4"/>
  <c r="J6" i="4"/>
  <c r="T123" i="4"/>
  <c r="T122" i="4"/>
  <c r="T121" i="4"/>
  <c r="T119" i="4"/>
  <c r="T118" i="4"/>
  <c r="T110" i="4"/>
  <c r="T109" i="4"/>
  <c r="T108" i="4"/>
  <c r="T102" i="4"/>
  <c r="T101" i="4"/>
  <c r="T98" i="4"/>
  <c r="T96" i="4"/>
  <c r="T95" i="4"/>
  <c r="T92" i="4"/>
  <c r="T91" i="4"/>
  <c r="T80" i="4"/>
  <c r="T71" i="4"/>
  <c r="T46" i="4"/>
  <c r="T64" i="4"/>
  <c r="T63" i="4"/>
  <c r="T62" i="4"/>
  <c r="T61" i="4"/>
  <c r="T60" i="4"/>
  <c r="T59" i="4"/>
  <c r="T58" i="4"/>
  <c r="T57" i="4"/>
  <c r="T56" i="4"/>
  <c r="T55" i="4"/>
  <c r="T42" i="4"/>
  <c r="T41" i="4"/>
  <c r="T34" i="4"/>
  <c r="AB15" i="4"/>
  <c r="AA15" i="4"/>
  <c r="J103" i="4"/>
  <c r="G47" i="4"/>
  <c r="E27" i="4"/>
  <c r="G27" i="4"/>
  <c r="J24" i="4" s="1"/>
  <c r="F12" i="3" s="1"/>
  <c r="G28" i="4"/>
  <c r="E18" i="4"/>
  <c r="AB10" i="4"/>
  <c r="D8" i="7" s="1"/>
  <c r="J8" i="7" s="1"/>
  <c r="D17" i="3"/>
  <c r="G79" i="4"/>
  <c r="G78" i="4"/>
  <c r="G77" i="4"/>
  <c r="G76" i="4"/>
  <c r="G75" i="4"/>
  <c r="G74" i="4"/>
  <c r="G73" i="4"/>
  <c r="G72" i="4"/>
  <c r="J72" i="4" s="1"/>
  <c r="F17" i="3" s="1"/>
  <c r="B17" i="3"/>
  <c r="R6" i="4"/>
  <c r="X6" i="4"/>
  <c r="J9" i="3" s="1"/>
  <c r="U11" i="4"/>
  <c r="V6" i="4"/>
  <c r="AB11" i="4"/>
  <c r="D9" i="7" s="1"/>
  <c r="E9" i="7" s="1"/>
  <c r="G54" i="4"/>
  <c r="G53" i="4"/>
  <c r="G52" i="4"/>
  <c r="G51" i="4"/>
  <c r="G50" i="4"/>
  <c r="G49" i="4"/>
  <c r="G48" i="4"/>
  <c r="R37" i="4"/>
  <c r="R35" i="4"/>
  <c r="R24" i="4"/>
  <c r="R13" i="4"/>
  <c r="X13" i="4" s="1"/>
  <c r="U16" i="4" s="1"/>
  <c r="G37" i="4"/>
  <c r="G35" i="4"/>
  <c r="D30" i="9" s="1"/>
  <c r="D29" i="9" s="1"/>
  <c r="H29" i="9" s="1"/>
  <c r="G26" i="4"/>
  <c r="R54" i="4"/>
  <c r="R47" i="4"/>
  <c r="R53" i="4"/>
  <c r="R49" i="4"/>
  <c r="R52" i="4"/>
  <c r="R26" i="4"/>
  <c r="R79" i="4"/>
  <c r="R78" i="4"/>
  <c r="R75" i="4"/>
  <c r="R74" i="4"/>
  <c r="AB13" i="4"/>
  <c r="AB12" i="4"/>
  <c r="AB8" i="4"/>
  <c r="D6" i="7" s="1"/>
  <c r="R31" i="4"/>
  <c r="R32" i="4"/>
  <c r="R29" i="4"/>
  <c r="R30" i="4"/>
  <c r="G13" i="4"/>
  <c r="D10" i="9" s="1"/>
  <c r="D9" i="9" s="1"/>
  <c r="J13" i="4"/>
  <c r="F20" i="3"/>
  <c r="D20" i="3"/>
  <c r="B20" i="3"/>
  <c r="D13" i="7"/>
  <c r="X99" i="4"/>
  <c r="J20" i="3"/>
  <c r="AB14" i="4"/>
  <c r="D12" i="7"/>
  <c r="B15" i="3"/>
  <c r="D15" i="3"/>
  <c r="D10" i="3"/>
  <c r="X56" i="4"/>
  <c r="J15" i="3" s="1"/>
  <c r="J56" i="4"/>
  <c r="F15" i="3"/>
  <c r="G25" i="3"/>
  <c r="K2" i="4"/>
  <c r="X18" i="4"/>
  <c r="J11" i="3" s="1"/>
  <c r="U22" i="4"/>
  <c r="V18" i="4" s="1"/>
  <c r="V13" i="4"/>
  <c r="D10" i="7"/>
  <c r="I25" i="3"/>
  <c r="X93" i="4"/>
  <c r="J19" i="3" s="1"/>
  <c r="X35" i="4"/>
  <c r="J13" i="3" s="1"/>
  <c r="N13" i="3" s="1"/>
  <c r="J120" i="4"/>
  <c r="J111" i="4"/>
  <c r="J93" i="4"/>
  <c r="F19" i="3"/>
  <c r="L19" i="3" s="1"/>
  <c r="J65" i="4"/>
  <c r="F16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5" i="4"/>
  <c r="V93" i="4" s="1"/>
  <c r="U96" i="4"/>
  <c r="V120" i="4"/>
  <c r="J23" i="3"/>
  <c r="N19" i="3"/>
  <c r="N23" i="3"/>
  <c r="V56" i="4"/>
  <c r="V65" i="4"/>
  <c r="V35" i="4"/>
  <c r="J81" i="4"/>
  <c r="D11" i="7"/>
  <c r="G1" i="6"/>
  <c r="H1" i="6"/>
  <c r="I1" i="6" s="1"/>
  <c r="N9" i="3"/>
  <c r="J10" i="3"/>
  <c r="F10" i="3"/>
  <c r="L10" i="3" s="1"/>
  <c r="N10" i="3"/>
  <c r="J29" i="9"/>
  <c r="J36" i="9"/>
  <c r="L36" i="9" s="1"/>
  <c r="D31" i="9"/>
  <c r="D18" i="9"/>
  <c r="D17" i="9" s="1"/>
  <c r="J23" i="9"/>
  <c r="J17" i="9"/>
  <c r="F17" i="9"/>
  <c r="F23" i="9"/>
  <c r="J9" i="9"/>
  <c r="L9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E22" i="7"/>
  <c r="D21" i="7"/>
  <c r="J21" i="7" s="1"/>
  <c r="D20" i="7"/>
  <c r="F36" i="9"/>
  <c r="D37" i="9"/>
  <c r="D36" i="9"/>
  <c r="B31" i="9"/>
  <c r="B30" i="9"/>
  <c r="H7" i="7"/>
  <c r="H8" i="7"/>
  <c r="H9" i="7"/>
  <c r="M9" i="7"/>
  <c r="M7" i="7"/>
  <c r="M8" i="7"/>
  <c r="X111" i="4"/>
  <c r="G24" i="4"/>
  <c r="L11" i="3"/>
  <c r="N11" i="3"/>
  <c r="J22" i="3"/>
  <c r="N22" i="3" s="1"/>
  <c r="D24" i="9"/>
  <c r="D23" i="9"/>
  <c r="L23" i="9" s="1"/>
  <c r="D43" i="9"/>
  <c r="O26" i="7"/>
  <c r="O8" i="7"/>
  <c r="O22" i="7"/>
  <c r="D23" i="7"/>
  <c r="J10" i="7"/>
  <c r="O23" i="7"/>
  <c r="E8" i="7"/>
  <c r="H22" i="7"/>
  <c r="M20" i="7"/>
  <c r="H20" i="7"/>
  <c r="M6" i="7"/>
  <c r="H6" i="7"/>
  <c r="L29" i="7"/>
  <c r="D38" i="7"/>
  <c r="G29" i="7"/>
  <c r="D37" i="7" s="1"/>
  <c r="V111" i="4"/>
  <c r="O9" i="7"/>
  <c r="J9" i="7"/>
  <c r="D15" i="10" a="1"/>
  <c r="D15" i="10"/>
  <c r="B1" i="10"/>
  <c r="L29" i="9"/>
  <c r="L15" i="7"/>
  <c r="D36" i="7" s="1"/>
  <c r="G15" i="7"/>
  <c r="D35" i="7"/>
  <c r="D4" i="5"/>
  <c r="F17" i="5"/>
  <c r="X103" i="4"/>
  <c r="F23" i="3"/>
  <c r="L23" i="3"/>
  <c r="H9" i="9"/>
  <c r="E46" i="5"/>
  <c r="E47" i="5"/>
  <c r="E21" i="5"/>
  <c r="F22" i="3"/>
  <c r="L22" i="3" s="1"/>
  <c r="F21" i="3"/>
  <c r="M2" i="1"/>
  <c r="L2" i="1"/>
  <c r="L14" i="1"/>
  <c r="F18" i="3"/>
  <c r="M4" i="1"/>
  <c r="L26" i="1"/>
  <c r="M44" i="1"/>
  <c r="M43" i="1"/>
  <c r="M37" i="1"/>
  <c r="M28" i="1"/>
  <c r="M23" i="1"/>
  <c r="M22" i="1"/>
  <c r="M20" i="1"/>
  <c r="M11" i="1"/>
  <c r="M9" i="1"/>
  <c r="M13" i="1"/>
  <c r="L5" i="1"/>
  <c r="L7" i="1"/>
  <c r="L9" i="1"/>
  <c r="L11" i="1"/>
  <c r="L39" i="1"/>
  <c r="L37" i="1"/>
  <c r="L35" i="1"/>
  <c r="L31" i="1"/>
  <c r="L42" i="1"/>
  <c r="L38" i="1"/>
  <c r="L36" i="1"/>
  <c r="L33" i="1"/>
  <c r="L32" i="1"/>
  <c r="L29" i="1"/>
  <c r="L27" i="1"/>
  <c r="L23" i="1"/>
  <c r="L20" i="1"/>
  <c r="L19" i="1"/>
  <c r="L22" i="1"/>
  <c r="L6" i="1"/>
  <c r="L8" i="1"/>
  <c r="L10" i="1"/>
  <c r="L13" i="1"/>
  <c r="L16" i="1"/>
  <c r="L28" i="1"/>
  <c r="F29" i="9"/>
  <c r="H36" i="9"/>
  <c r="H23" i="9"/>
  <c r="H5" i="3"/>
  <c r="T83" i="4"/>
  <c r="T84" i="4"/>
  <c r="T48" i="4"/>
  <c r="W47" i="4"/>
  <c r="W26" i="4"/>
  <c r="W27" i="4"/>
  <c r="W48" i="4"/>
  <c r="W15" i="4"/>
  <c r="W85" i="4"/>
  <c r="T85" i="4"/>
  <c r="T28" i="4"/>
  <c r="F17" i="6" s="1"/>
  <c r="F18" i="6" s="1"/>
  <c r="T49" i="4"/>
  <c r="W86" i="4"/>
  <c r="T86" i="4"/>
  <c r="T50" i="4"/>
  <c r="T29" i="4"/>
  <c r="H17" i="6" s="1"/>
  <c r="W30" i="4"/>
  <c r="W51" i="4"/>
  <c r="T100" i="4"/>
  <c r="T87" i="4"/>
  <c r="T51" i="4"/>
  <c r="T30" i="4"/>
  <c r="T88" i="4"/>
  <c r="T52" i="4"/>
  <c r="T31" i="4"/>
  <c r="G9" i="6"/>
  <c r="W89" i="4"/>
  <c r="T89" i="4"/>
  <c r="W32" i="4"/>
  <c r="W90" i="4"/>
  <c r="T90" i="4"/>
  <c r="T53" i="4"/>
  <c r="T32" i="4"/>
  <c r="W33" i="4"/>
  <c r="W54" i="4"/>
  <c r="H9" i="6"/>
  <c r="R4" i="5"/>
  <c r="R5" i="5"/>
  <c r="F9" i="3" l="1"/>
  <c r="L20" i="3"/>
  <c r="N20" i="3"/>
  <c r="O11" i="7"/>
  <c r="O25" i="7"/>
  <c r="J11" i="7"/>
  <c r="H43" i="9"/>
  <c r="G17" i="6"/>
  <c r="G18" i="6" s="1"/>
  <c r="H18" i="6" s="1"/>
  <c r="I18" i="6" s="1"/>
  <c r="J20" i="7"/>
  <c r="J29" i="7" s="1"/>
  <c r="E20" i="7"/>
  <c r="D29" i="7"/>
  <c r="J23" i="7"/>
  <c r="E23" i="7"/>
  <c r="E21" i="7"/>
  <c r="J6" i="7"/>
  <c r="O20" i="7"/>
  <c r="E6" i="7"/>
  <c r="L43" i="9"/>
  <c r="O6" i="7"/>
  <c r="M39" i="1"/>
  <c r="M25" i="1"/>
  <c r="M16" i="1"/>
  <c r="M38" i="1"/>
  <c r="M24" i="1"/>
  <c r="N2" i="1"/>
  <c r="M36" i="1"/>
  <c r="M14" i="1"/>
  <c r="M3" i="1"/>
  <c r="M27" i="1"/>
  <c r="M45" i="1"/>
  <c r="M26" i="1"/>
  <c r="M32" i="1"/>
  <c r="M10" i="1"/>
  <c r="M31" i="1"/>
  <c r="M19" i="1"/>
  <c r="M29" i="1"/>
  <c r="M35" i="1"/>
  <c r="M33" i="1"/>
  <c r="M42" i="1"/>
  <c r="M8" i="1"/>
  <c r="N15" i="3"/>
  <c r="L15" i="3"/>
  <c r="M5" i="1"/>
  <c r="J1" i="6"/>
  <c r="I9" i="6" s="1"/>
  <c r="I17" i="6"/>
  <c r="M7" i="1"/>
  <c r="M6" i="1"/>
  <c r="J42" i="4"/>
  <c r="F14" i="3" s="1"/>
  <c r="F18" i="5"/>
  <c r="X65" i="4"/>
  <c r="J16" i="3" s="1"/>
  <c r="N16" i="3" s="1"/>
  <c r="O24" i="7"/>
  <c r="O10" i="7"/>
  <c r="J35" i="4"/>
  <c r="F13" i="3" s="1"/>
  <c r="L13" i="3" s="1"/>
  <c r="R90" i="4"/>
  <c r="U105" i="4"/>
  <c r="U107" i="4"/>
  <c r="H17" i="9"/>
  <c r="L17" i="9"/>
  <c r="AB9" i="4"/>
  <c r="R89" i="4"/>
  <c r="R88" i="4"/>
  <c r="R50" i="4"/>
  <c r="R51" i="4"/>
  <c r="X81" i="4"/>
  <c r="X42" i="4"/>
  <c r="L45" i="1"/>
  <c r="L3" i="1"/>
  <c r="L24" i="1"/>
  <c r="L44" i="1"/>
  <c r="L4" i="1"/>
  <c r="L43" i="1"/>
  <c r="L25" i="1"/>
  <c r="J12" i="7"/>
  <c r="O12" i="7"/>
  <c r="X72" i="4"/>
  <c r="J17" i="3" s="1"/>
  <c r="N17" i="3" s="1"/>
  <c r="R28" i="4"/>
  <c r="R33" i="4"/>
  <c r="R77" i="4"/>
  <c r="R76" i="4"/>
  <c r="F16" i="5"/>
  <c r="F15" i="5"/>
  <c r="F14" i="5"/>
  <c r="F13" i="5"/>
  <c r="K4" i="4"/>
  <c r="C3" i="6"/>
  <c r="J21" i="3"/>
  <c r="U106" i="4"/>
  <c r="R6" i="5"/>
  <c r="H73" i="4"/>
  <c r="H48" i="4" s="1"/>
  <c r="H6" i="4"/>
  <c r="H51" i="4"/>
  <c r="H88" i="4"/>
  <c r="H91" i="4" s="1"/>
  <c r="H72" i="4"/>
  <c r="H18" i="4"/>
  <c r="H27" i="4" s="1"/>
  <c r="H94" i="4"/>
  <c r="H95" i="4" s="1"/>
  <c r="U46" i="4" l="1"/>
  <c r="U45" i="4"/>
  <c r="U42" i="4"/>
  <c r="V42" i="4" s="1"/>
  <c r="J14" i="3"/>
  <c r="N14" i="3" s="1"/>
  <c r="U44" i="4"/>
  <c r="J18" i="3"/>
  <c r="U81" i="4"/>
  <c r="U82" i="4"/>
  <c r="U91" i="4"/>
  <c r="D7" i="7"/>
  <c r="AB17" i="4"/>
  <c r="AB18" i="4" s="1"/>
  <c r="AB19" i="4" s="1"/>
  <c r="L16" i="3"/>
  <c r="J2" i="4"/>
  <c r="X24" i="4"/>
  <c r="N44" i="1"/>
  <c r="N43" i="1"/>
  <c r="N19" i="1"/>
  <c r="N42" i="1"/>
  <c r="N35" i="1"/>
  <c r="N3" i="1"/>
  <c r="N36" i="1"/>
  <c r="N16" i="1"/>
  <c r="N11" i="1"/>
  <c r="N38" i="1"/>
  <c r="N13" i="1"/>
  <c r="N14" i="1"/>
  <c r="N33" i="1"/>
  <c r="N10" i="1"/>
  <c r="N45" i="1"/>
  <c r="N6" i="1"/>
  <c r="N32" i="1"/>
  <c r="N28" i="1"/>
  <c r="N29" i="1"/>
  <c r="N23" i="1"/>
  <c r="O2" i="1"/>
  <c r="N31" i="1"/>
  <c r="N26" i="1"/>
  <c r="N20" i="1"/>
  <c r="N39" i="1"/>
  <c r="N27" i="1"/>
  <c r="N25" i="1"/>
  <c r="N8" i="1"/>
  <c r="N22" i="1"/>
  <c r="N9" i="1"/>
  <c r="N5" i="1"/>
  <c r="N37" i="1"/>
  <c r="N24" i="1"/>
  <c r="N7" i="1"/>
  <c r="N4" i="1"/>
  <c r="K1" i="6"/>
  <c r="J9" i="6" s="1"/>
  <c r="L9" i="3"/>
  <c r="F5" i="3"/>
  <c r="D5" i="5" s="1"/>
  <c r="L17" i="3"/>
  <c r="F9" i="6"/>
  <c r="F21" i="5"/>
  <c r="N21" i="3"/>
  <c r="L21" i="3"/>
  <c r="V103" i="4"/>
  <c r="H28" i="4"/>
  <c r="H15" i="5"/>
  <c r="H9" i="4"/>
  <c r="H24" i="4"/>
  <c r="H14" i="5"/>
  <c r="H13" i="4"/>
  <c r="C5" i="6" l="1"/>
  <c r="D6" i="5"/>
  <c r="D7" i="5" s="1"/>
  <c r="E7" i="7"/>
  <c r="J7" i="7"/>
  <c r="J15" i="7" s="1"/>
  <c r="O7" i="7"/>
  <c r="O15" i="7" s="1"/>
  <c r="O21" i="7"/>
  <c r="O29" i="7" s="1"/>
  <c r="D15" i="7"/>
  <c r="D34" i="7" s="1"/>
  <c r="D40" i="7" s="1"/>
  <c r="B40" i="7" s="1"/>
  <c r="V81" i="4"/>
  <c r="L18" i="3"/>
  <c r="N18" i="3"/>
  <c r="F25" i="3"/>
  <c r="L1" i="6"/>
  <c r="K9" i="6"/>
  <c r="K17" i="6"/>
  <c r="J17" i="6"/>
  <c r="J18" i="6" s="1"/>
  <c r="J12" i="3"/>
  <c r="U25" i="4"/>
  <c r="X2" i="4"/>
  <c r="O32" i="1"/>
  <c r="O4" i="1"/>
  <c r="O7" i="1"/>
  <c r="O31" i="1"/>
  <c r="O3" i="1"/>
  <c r="O36" i="1"/>
  <c r="O19" i="1"/>
  <c r="O29" i="1"/>
  <c r="O8" i="1"/>
  <c r="O28" i="1"/>
  <c r="O6" i="1"/>
  <c r="O43" i="1"/>
  <c r="O22" i="1"/>
  <c r="O42" i="1"/>
  <c r="O20" i="1"/>
  <c r="O39" i="1"/>
  <c r="O16" i="1"/>
  <c r="O13" i="1"/>
  <c r="O45" i="1"/>
  <c r="O10" i="1"/>
  <c r="O44" i="1"/>
  <c r="O11" i="1"/>
  <c r="O38" i="1"/>
  <c r="O14" i="1"/>
  <c r="O37" i="1"/>
  <c r="P2" i="1"/>
  <c r="O35" i="1"/>
  <c r="O33" i="1"/>
  <c r="O26" i="1"/>
  <c r="O27" i="1"/>
  <c r="O25" i="1"/>
  <c r="O24" i="1"/>
  <c r="O9" i="1"/>
  <c r="O5" i="1"/>
  <c r="O23" i="1"/>
  <c r="L14" i="3"/>
  <c r="W77" i="4"/>
  <c r="F4" i="5"/>
  <c r="F47" i="5"/>
  <c r="F10" i="6"/>
  <c r="H78" i="4"/>
  <c r="H16" i="5"/>
  <c r="H35" i="4"/>
  <c r="H36" i="4" s="1"/>
  <c r="H14" i="4"/>
  <c r="V24" i="4" l="1"/>
  <c r="U125" i="4"/>
  <c r="K18" i="6"/>
  <c r="M1" i="6"/>
  <c r="L17" i="6" s="1"/>
  <c r="P33" i="1"/>
  <c r="P19" i="1"/>
  <c r="P4" i="1"/>
  <c r="P32" i="1"/>
  <c r="P14" i="1"/>
  <c r="P3" i="1"/>
  <c r="P45" i="1"/>
  <c r="P27" i="1"/>
  <c r="P13" i="1"/>
  <c r="P38" i="1"/>
  <c r="P20" i="1"/>
  <c r="P37" i="1"/>
  <c r="P11" i="1"/>
  <c r="P43" i="1"/>
  <c r="P22" i="1"/>
  <c r="P42" i="1"/>
  <c r="P9" i="1"/>
  <c r="P39" i="1"/>
  <c r="P7" i="1"/>
  <c r="P29" i="1"/>
  <c r="P28" i="1"/>
  <c r="P5" i="1"/>
  <c r="P16" i="1"/>
  <c r="P10" i="1"/>
  <c r="P8" i="1"/>
  <c r="P44" i="1"/>
  <c r="P6" i="1"/>
  <c r="Q2" i="1"/>
  <c r="P36" i="1"/>
  <c r="P35" i="1"/>
  <c r="P31" i="1"/>
  <c r="P26" i="1"/>
  <c r="P25" i="1"/>
  <c r="P24" i="1"/>
  <c r="P23" i="1"/>
  <c r="N12" i="3"/>
  <c r="N5" i="3" s="1"/>
  <c r="L12" i="3"/>
  <c r="L5" i="3" s="1"/>
  <c r="J5" i="3"/>
  <c r="F42" i="5"/>
  <c r="F43" i="5"/>
  <c r="F44" i="5"/>
  <c r="F45" i="5"/>
  <c r="F41" i="5"/>
  <c r="F46" i="5" s="1"/>
  <c r="C9" i="6"/>
  <c r="T4" i="5"/>
  <c r="W88" i="4"/>
  <c r="W31" i="4"/>
  <c r="W52" i="4"/>
  <c r="G10" i="6"/>
  <c r="H17" i="5"/>
  <c r="H93" i="4"/>
  <c r="H77" i="4"/>
  <c r="H52" i="4" s="1"/>
  <c r="H79" i="4"/>
  <c r="H54" i="4" s="1"/>
  <c r="H47" i="4"/>
  <c r="H53" i="4"/>
  <c r="Q32" i="1" l="1"/>
  <c r="Q29" i="1"/>
  <c r="Q5" i="1"/>
  <c r="Q19" i="1"/>
  <c r="Q27" i="1"/>
  <c r="Q36" i="1"/>
  <c r="Q6" i="1"/>
  <c r="Q43" i="1"/>
  <c r="Q22" i="1"/>
  <c r="Q20" i="1"/>
  <c r="Q42" i="1"/>
  <c r="Q13" i="1"/>
  <c r="Q7" i="1"/>
  <c r="Q38" i="1"/>
  <c r="Q9" i="1"/>
  <c r="Q37" i="1"/>
  <c r="Q25" i="1"/>
  <c r="Q35" i="1"/>
  <c r="Q14" i="1"/>
  <c r="Q45" i="1"/>
  <c r="Q11" i="1"/>
  <c r="Q44" i="1"/>
  <c r="Q23" i="1"/>
  <c r="Q24" i="1"/>
  <c r="Q10" i="1"/>
  <c r="Q8" i="1"/>
  <c r="R2" i="1"/>
  <c r="Q4" i="1"/>
  <c r="Q3" i="1"/>
  <c r="Q39" i="1"/>
  <c r="Q33" i="1"/>
  <c r="Q16" i="1"/>
  <c r="Q31" i="1"/>
  <c r="Q28" i="1"/>
  <c r="Q26" i="1"/>
  <c r="F5" i="5"/>
  <c r="H25" i="3"/>
  <c r="J25" i="3"/>
  <c r="N1" i="6"/>
  <c r="M9" i="6"/>
  <c r="L9" i="6"/>
  <c r="L18" i="6"/>
  <c r="H10" i="6"/>
  <c r="F20" i="6"/>
  <c r="H11" i="6"/>
  <c r="H20" i="6"/>
  <c r="J20" i="6"/>
  <c r="G20" i="6"/>
  <c r="I20" i="6"/>
  <c r="L20" i="6"/>
  <c r="K20" i="6"/>
  <c r="M20" i="6"/>
  <c r="J11" i="6"/>
  <c r="M11" i="6"/>
  <c r="I11" i="6"/>
  <c r="F11" i="6"/>
  <c r="G11" i="6"/>
  <c r="L11" i="6"/>
  <c r="K11" i="6"/>
  <c r="H99" i="4"/>
  <c r="H37" i="4"/>
  <c r="G3" i="6"/>
  <c r="I3" i="6"/>
  <c r="L3" i="6"/>
  <c r="M3" i="6"/>
  <c r="K3" i="6"/>
  <c r="F3" i="6"/>
  <c r="H3" i="6"/>
  <c r="J3" i="6"/>
  <c r="O1" i="6" l="1"/>
  <c r="M17" i="6"/>
  <c r="M18" i="6" s="1"/>
  <c r="R29" i="1"/>
  <c r="R31" i="1"/>
  <c r="R45" i="1"/>
  <c r="R19" i="1"/>
  <c r="R28" i="1"/>
  <c r="R43" i="1"/>
  <c r="R11" i="1"/>
  <c r="S2" i="1"/>
  <c r="R14" i="1"/>
  <c r="R25" i="1"/>
  <c r="R13" i="1"/>
  <c r="R4" i="1"/>
  <c r="R36" i="1"/>
  <c r="R24" i="1"/>
  <c r="R35" i="1"/>
  <c r="R22" i="1"/>
  <c r="R33" i="1"/>
  <c r="R27" i="1"/>
  <c r="R9" i="1"/>
  <c r="R8" i="1"/>
  <c r="R16" i="1"/>
  <c r="R10" i="1"/>
  <c r="R7" i="1"/>
  <c r="R6" i="1"/>
  <c r="R5" i="1"/>
  <c r="R26" i="1"/>
  <c r="R44" i="1"/>
  <c r="R23" i="1"/>
  <c r="R42" i="1"/>
  <c r="R3" i="1"/>
  <c r="R39" i="1"/>
  <c r="R20" i="1"/>
  <c r="R38" i="1"/>
  <c r="R37" i="1"/>
  <c r="R32" i="1"/>
  <c r="C11" i="6"/>
  <c r="T5" i="5"/>
  <c r="T6" i="5" s="1"/>
  <c r="F6" i="5"/>
  <c r="F7" i="5" s="1"/>
  <c r="F21" i="6"/>
  <c r="G21" i="6" s="1"/>
  <c r="H21" i="6" s="1"/>
  <c r="I21" i="6" s="1"/>
  <c r="J21" i="6" s="1"/>
  <c r="K21" i="6" s="1"/>
  <c r="L21" i="6" s="1"/>
  <c r="M21" i="6" s="1"/>
  <c r="F12" i="6"/>
  <c r="I10" i="6"/>
  <c r="H103" i="4"/>
  <c r="H111" i="4" s="1"/>
  <c r="F4" i="6"/>
  <c r="P1" i="6" l="1"/>
  <c r="O9" i="6"/>
  <c r="O11" i="6"/>
  <c r="N20" i="6"/>
  <c r="N3" i="6"/>
  <c r="O20" i="6"/>
  <c r="O3" i="6"/>
  <c r="N11" i="6"/>
  <c r="N17" i="6"/>
  <c r="N18" i="6" s="1"/>
  <c r="N9" i="6"/>
  <c r="S45" i="1"/>
  <c r="S22" i="1"/>
  <c r="S20" i="1"/>
  <c r="S32" i="1"/>
  <c r="S43" i="1"/>
  <c r="S14" i="1"/>
  <c r="S28" i="1"/>
  <c r="S3" i="1"/>
  <c r="S26" i="1"/>
  <c r="S9" i="1"/>
  <c r="S24" i="1"/>
  <c r="S7" i="1"/>
  <c r="S31" i="1"/>
  <c r="S19" i="1"/>
  <c r="S39" i="1"/>
  <c r="S8" i="1"/>
  <c r="S37" i="1"/>
  <c r="S10" i="1"/>
  <c r="S38" i="1"/>
  <c r="S13" i="1"/>
  <c r="S36" i="1"/>
  <c r="S6" i="1"/>
  <c r="S33" i="1"/>
  <c r="S35" i="1"/>
  <c r="S27" i="1"/>
  <c r="S25" i="1"/>
  <c r="S16" i="1"/>
  <c r="T2" i="1"/>
  <c r="S23" i="1"/>
  <c r="S4" i="1"/>
  <c r="S11" i="1"/>
  <c r="S44" i="1"/>
  <c r="S5" i="1"/>
  <c r="S42" i="1"/>
  <c r="S29" i="1"/>
  <c r="G12" i="6"/>
  <c r="F14" i="6"/>
  <c r="J10" i="6"/>
  <c r="H107" i="4"/>
  <c r="H104" i="4"/>
  <c r="H106" i="4"/>
  <c r="H105" i="4"/>
  <c r="G4" i="6"/>
  <c r="T42" i="1" l="1"/>
  <c r="T25" i="1"/>
  <c r="T28" i="1"/>
  <c r="T38" i="1"/>
  <c r="T29" i="1"/>
  <c r="T19" i="1"/>
  <c r="T33" i="1"/>
  <c r="T20" i="1"/>
  <c r="T8" i="1"/>
  <c r="T43" i="1"/>
  <c r="T7" i="1"/>
  <c r="T39" i="1"/>
  <c r="T5" i="1"/>
  <c r="T27" i="1"/>
  <c r="T13" i="1"/>
  <c r="T23" i="1"/>
  <c r="T6" i="1"/>
  <c r="T4" i="1"/>
  <c r="T16" i="1"/>
  <c r="T9" i="1"/>
  <c r="T32" i="1"/>
  <c r="T45" i="1"/>
  <c r="T31" i="1"/>
  <c r="T37" i="1"/>
  <c r="T35" i="1"/>
  <c r="T24" i="1"/>
  <c r="T3" i="1"/>
  <c r="T14" i="1"/>
  <c r="T11" i="1"/>
  <c r="T26" i="1"/>
  <c r="T44" i="1"/>
  <c r="T36" i="1"/>
  <c r="T22" i="1"/>
  <c r="T10" i="1"/>
  <c r="U2" i="1"/>
  <c r="Q1" i="6"/>
  <c r="P9" i="6"/>
  <c r="P11" i="6"/>
  <c r="P3" i="6"/>
  <c r="P20" i="6"/>
  <c r="O17" i="6"/>
  <c r="O18" i="6" s="1"/>
  <c r="N21" i="6"/>
  <c r="O21" i="6" s="1"/>
  <c r="P21" i="6" s="1"/>
  <c r="K10" i="6"/>
  <c r="H12" i="6"/>
  <c r="G14" i="6"/>
  <c r="G5" i="6"/>
  <c r="N5" i="6"/>
  <c r="L5" i="6"/>
  <c r="J5" i="6"/>
  <c r="M5" i="6"/>
  <c r="K5" i="6"/>
  <c r="I5" i="6"/>
  <c r="H5" i="6"/>
  <c r="P5" i="6"/>
  <c r="F5" i="6"/>
  <c r="F6" i="6" s="1"/>
  <c r="O5" i="6"/>
  <c r="H4" i="6"/>
  <c r="R1" i="6" l="1"/>
  <c r="Q20" i="6"/>
  <c r="Q11" i="6"/>
  <c r="Q3" i="6"/>
  <c r="U43" i="1"/>
  <c r="U27" i="1"/>
  <c r="U11" i="1"/>
  <c r="U42" i="1"/>
  <c r="U26" i="1"/>
  <c r="U9" i="1"/>
  <c r="U31" i="1"/>
  <c r="U14" i="1"/>
  <c r="U39" i="1"/>
  <c r="U22" i="1"/>
  <c r="V2" i="1"/>
  <c r="U38" i="1"/>
  <c r="U20" i="1"/>
  <c r="U25" i="1"/>
  <c r="U3" i="1"/>
  <c r="U24" i="1"/>
  <c r="U23" i="1"/>
  <c r="U32" i="1"/>
  <c r="U29" i="1"/>
  <c r="U45" i="1"/>
  <c r="U5" i="1"/>
  <c r="U44" i="1"/>
  <c r="U19" i="1"/>
  <c r="U37" i="1"/>
  <c r="U4" i="1"/>
  <c r="U36" i="1"/>
  <c r="U16" i="1"/>
  <c r="U35" i="1"/>
  <c r="U33" i="1"/>
  <c r="U28" i="1"/>
  <c r="U13" i="1"/>
  <c r="U10" i="1"/>
  <c r="U8" i="1"/>
  <c r="U6" i="1"/>
  <c r="U7" i="1"/>
  <c r="Q21" i="6"/>
  <c r="P17" i="6"/>
  <c r="P18" i="6" s="1"/>
  <c r="I12" i="6"/>
  <c r="H14" i="6"/>
  <c r="L10" i="6"/>
  <c r="G6" i="6"/>
  <c r="F7" i="6"/>
  <c r="I4" i="6"/>
  <c r="V38" i="1" l="1"/>
  <c r="V23" i="1"/>
  <c r="V19" i="1"/>
  <c r="V36" i="1"/>
  <c r="V20" i="1"/>
  <c r="V10" i="1"/>
  <c r="V31" i="1"/>
  <c r="V14" i="1"/>
  <c r="V3" i="1"/>
  <c r="V25" i="1"/>
  <c r="V24" i="1"/>
  <c r="V45" i="1"/>
  <c r="V22" i="1"/>
  <c r="V4" i="1"/>
  <c r="W2" i="1"/>
  <c r="V44" i="1"/>
  <c r="V11" i="1"/>
  <c r="V42" i="1"/>
  <c r="V9" i="1"/>
  <c r="V33" i="1"/>
  <c r="V8" i="1"/>
  <c r="V43" i="1"/>
  <c r="V28" i="1"/>
  <c r="V5" i="1"/>
  <c r="V13" i="1"/>
  <c r="V26" i="1"/>
  <c r="V35" i="1"/>
  <c r="V6" i="1"/>
  <c r="V39" i="1"/>
  <c r="V37" i="1"/>
  <c r="V32" i="1"/>
  <c r="V29" i="1"/>
  <c r="V16" i="1"/>
  <c r="V7" i="1"/>
  <c r="V27" i="1"/>
  <c r="S1" i="6"/>
  <c r="R17" i="6" s="1"/>
  <c r="Q5" i="6"/>
  <c r="Q9" i="6"/>
  <c r="Q17" i="6"/>
  <c r="Q18" i="6" s="1"/>
  <c r="M10" i="6"/>
  <c r="J12" i="6"/>
  <c r="I14" i="6"/>
  <c r="H6" i="6"/>
  <c r="G7" i="6"/>
  <c r="J4" i="6"/>
  <c r="R18" i="6" l="1"/>
  <c r="R5" i="6"/>
  <c r="R3" i="6"/>
  <c r="R20" i="6"/>
  <c r="R11" i="6"/>
  <c r="R9" i="6"/>
  <c r="W39" i="1"/>
  <c r="W25" i="1"/>
  <c r="W16" i="1"/>
  <c r="W38" i="1"/>
  <c r="W24" i="1"/>
  <c r="W11" i="1"/>
  <c r="W28" i="1"/>
  <c r="W6" i="1"/>
  <c r="W31" i="1"/>
  <c r="W8" i="1"/>
  <c r="W29" i="1"/>
  <c r="W7" i="1"/>
  <c r="W43" i="1"/>
  <c r="W4" i="1"/>
  <c r="W42" i="1"/>
  <c r="W3" i="1"/>
  <c r="W37" i="1"/>
  <c r="W19" i="1"/>
  <c r="W23" i="1"/>
  <c r="W22" i="1"/>
  <c r="W20" i="1"/>
  <c r="W36" i="1"/>
  <c r="W13" i="1"/>
  <c r="W10" i="1"/>
  <c r="W45" i="1"/>
  <c r="W5" i="1"/>
  <c r="W44" i="1"/>
  <c r="W14" i="1"/>
  <c r="X2" i="1"/>
  <c r="W35" i="1"/>
  <c r="W9" i="1"/>
  <c r="W33" i="1"/>
  <c r="W32" i="1"/>
  <c r="W27" i="1"/>
  <c r="W26" i="1"/>
  <c r="T1" i="6"/>
  <c r="K12" i="6"/>
  <c r="J14" i="6"/>
  <c r="N10" i="6"/>
  <c r="I6" i="6"/>
  <c r="H7" i="6"/>
  <c r="K4" i="6"/>
  <c r="U1" i="6" l="1"/>
  <c r="T9" i="6"/>
  <c r="T17" i="6"/>
  <c r="T3" i="6"/>
  <c r="T11" i="6"/>
  <c r="T20" i="6"/>
  <c r="T5" i="6"/>
  <c r="S5" i="6"/>
  <c r="S3" i="6"/>
  <c r="X38" i="1"/>
  <c r="X24" i="1"/>
  <c r="X7" i="1"/>
  <c r="X37" i="1"/>
  <c r="X23" i="1"/>
  <c r="X4" i="1"/>
  <c r="X35" i="1"/>
  <c r="X16" i="1"/>
  <c r="X33" i="1"/>
  <c r="X10" i="1"/>
  <c r="X32" i="1"/>
  <c r="X8" i="1"/>
  <c r="X42" i="1"/>
  <c r="X13" i="1"/>
  <c r="X39" i="1"/>
  <c r="X6" i="1"/>
  <c r="X36" i="1"/>
  <c r="Y2" i="1"/>
  <c r="X31" i="1"/>
  <c r="X9" i="1"/>
  <c r="X28" i="1"/>
  <c r="X27" i="1"/>
  <c r="X26" i="1"/>
  <c r="X25" i="1"/>
  <c r="X19" i="1"/>
  <c r="X22" i="1"/>
  <c r="X20" i="1"/>
  <c r="X11" i="1"/>
  <c r="X45" i="1"/>
  <c r="X14" i="1"/>
  <c r="X44" i="1"/>
  <c r="X43" i="1"/>
  <c r="X29" i="1"/>
  <c r="X3" i="1"/>
  <c r="X5" i="1"/>
  <c r="S20" i="6"/>
  <c r="S11" i="6"/>
  <c r="S9" i="6"/>
  <c r="S17" i="6"/>
  <c r="S18" i="6" s="1"/>
  <c r="T18" i="6" s="1"/>
  <c r="R21" i="6"/>
  <c r="O10" i="6"/>
  <c r="L12" i="6"/>
  <c r="K14" i="6"/>
  <c r="J6" i="6"/>
  <c r="I7" i="6"/>
  <c r="L4" i="6"/>
  <c r="U18" i="6" l="1"/>
  <c r="Y37" i="1"/>
  <c r="Y16" i="1"/>
  <c r="Z2" i="1"/>
  <c r="Y36" i="1"/>
  <c r="Y14" i="1"/>
  <c r="Y24" i="1"/>
  <c r="Y44" i="1"/>
  <c r="Y23" i="1"/>
  <c r="Y26" i="1"/>
  <c r="Y39" i="1"/>
  <c r="Y9" i="1"/>
  <c r="Y38" i="1"/>
  <c r="Y7" i="1"/>
  <c r="Y33" i="1"/>
  <c r="Y10" i="1"/>
  <c r="Y31" i="1"/>
  <c r="Y8" i="1"/>
  <c r="Y32" i="1"/>
  <c r="Y6" i="1"/>
  <c r="Y5" i="1"/>
  <c r="Y43" i="1"/>
  <c r="Y3" i="1"/>
  <c r="Y42" i="1"/>
  <c r="Y22" i="1"/>
  <c r="Y35" i="1"/>
  <c r="Y29" i="1"/>
  <c r="Y27" i="1"/>
  <c r="Y25" i="1"/>
  <c r="Y20" i="1"/>
  <c r="Y19" i="1"/>
  <c r="Y11" i="1"/>
  <c r="Y13" i="1"/>
  <c r="Y4" i="1"/>
  <c r="Y45" i="1"/>
  <c r="Y28" i="1"/>
  <c r="S21" i="6"/>
  <c r="T21" i="6" s="1"/>
  <c r="U21" i="6" s="1"/>
  <c r="V1" i="6"/>
  <c r="U17" i="6"/>
  <c r="U9" i="6"/>
  <c r="U3" i="6"/>
  <c r="U20" i="6"/>
  <c r="U11" i="6"/>
  <c r="U5" i="6"/>
  <c r="M12" i="6"/>
  <c r="L14" i="6"/>
  <c r="P10" i="6"/>
  <c r="K6" i="6"/>
  <c r="J7" i="6"/>
  <c r="M4" i="6"/>
  <c r="Z36" i="1" l="1"/>
  <c r="Z14" i="1"/>
  <c r="Z3" i="1"/>
  <c r="Z35" i="1"/>
  <c r="Z13" i="1"/>
  <c r="Z24" i="1"/>
  <c r="Z31" i="1"/>
  <c r="Z8" i="1"/>
  <c r="Z44" i="1"/>
  <c r="Z20" i="1"/>
  <c r="Z4" i="1"/>
  <c r="Z43" i="1"/>
  <c r="Z19" i="1"/>
  <c r="Z22" i="1"/>
  <c r="Z32" i="1"/>
  <c r="Z28" i="1"/>
  <c r="Z29" i="1"/>
  <c r="Z26" i="1"/>
  <c r="Z27" i="1"/>
  <c r="AA2" i="1"/>
  <c r="Z25" i="1"/>
  <c r="Z9" i="1"/>
  <c r="Z7" i="1"/>
  <c r="Z45" i="1"/>
  <c r="Z6" i="1"/>
  <c r="Z42" i="1"/>
  <c r="Z5" i="1"/>
  <c r="Z39" i="1"/>
  <c r="Z38" i="1"/>
  <c r="Z37" i="1"/>
  <c r="Z33" i="1"/>
  <c r="Z23" i="1"/>
  <c r="Z16" i="1"/>
  <c r="Z11" i="1"/>
  <c r="Z10" i="1"/>
  <c r="W1" i="6"/>
  <c r="V20" i="6" s="1"/>
  <c r="V21" i="6" s="1"/>
  <c r="Q10" i="6"/>
  <c r="N12" i="6"/>
  <c r="M14" i="6"/>
  <c r="L6" i="6"/>
  <c r="K7" i="6"/>
  <c r="N4" i="6"/>
  <c r="AA31" i="1" l="1"/>
  <c r="AA9" i="1"/>
  <c r="AA19" i="1"/>
  <c r="AA27" i="1"/>
  <c r="AA33" i="1"/>
  <c r="AA23" i="1"/>
  <c r="AA37" i="1"/>
  <c r="AA8" i="1"/>
  <c r="AA5" i="1"/>
  <c r="AA26" i="1"/>
  <c r="AA14" i="1"/>
  <c r="AA20" i="1"/>
  <c r="AA11" i="1"/>
  <c r="AA42" i="1"/>
  <c r="AA7" i="1"/>
  <c r="AA13" i="1"/>
  <c r="AA10" i="1"/>
  <c r="AA35" i="1"/>
  <c r="AA38" i="1"/>
  <c r="AA6" i="1"/>
  <c r="AB2" i="1"/>
  <c r="AA24" i="1"/>
  <c r="AA4" i="1"/>
  <c r="AA45" i="1"/>
  <c r="AA3" i="1"/>
  <c r="AA43" i="1"/>
  <c r="AA22" i="1"/>
  <c r="AA39" i="1"/>
  <c r="AA16" i="1"/>
  <c r="AA32" i="1"/>
  <c r="AA25" i="1"/>
  <c r="AA29" i="1"/>
  <c r="AA44" i="1"/>
  <c r="AA36" i="1"/>
  <c r="AA28" i="1"/>
  <c r="V5" i="6"/>
  <c r="X1" i="6"/>
  <c r="W17" i="6"/>
  <c r="V11" i="6"/>
  <c r="V3" i="6"/>
  <c r="V9" i="6"/>
  <c r="V17" i="6"/>
  <c r="V18" i="6" s="1"/>
  <c r="O12" i="6"/>
  <c r="N14" i="6"/>
  <c r="R10" i="6"/>
  <c r="M6" i="6"/>
  <c r="L7" i="6"/>
  <c r="O4" i="6"/>
  <c r="Y1" i="6" l="1"/>
  <c r="X9" i="6" s="1"/>
  <c r="X17" i="6"/>
  <c r="X20" i="6"/>
  <c r="X11" i="6"/>
  <c r="X3" i="6"/>
  <c r="X5" i="6"/>
  <c r="W9" i="6"/>
  <c r="W5" i="6"/>
  <c r="W20" i="6"/>
  <c r="W21" i="6" s="1"/>
  <c r="X21" i="6" s="1"/>
  <c r="AB38" i="1"/>
  <c r="AB14" i="1"/>
  <c r="AB19" i="1"/>
  <c r="AB36" i="1"/>
  <c r="AB11" i="1"/>
  <c r="AB8" i="1"/>
  <c r="AB31" i="1"/>
  <c r="AB27" i="1"/>
  <c r="AB42" i="1"/>
  <c r="AB5" i="1"/>
  <c r="AB33" i="1"/>
  <c r="AB13" i="1"/>
  <c r="AB22" i="1"/>
  <c r="AB45" i="1"/>
  <c r="AB25" i="1"/>
  <c r="AB43" i="1"/>
  <c r="AB4" i="1"/>
  <c r="AB3" i="1"/>
  <c r="AB29" i="1"/>
  <c r="AC2" i="1"/>
  <c r="AB44" i="1"/>
  <c r="AB28" i="1"/>
  <c r="AB26" i="1"/>
  <c r="AB24" i="1"/>
  <c r="AB16" i="1"/>
  <c r="AB9" i="1"/>
  <c r="AB7" i="1"/>
  <c r="AB39" i="1"/>
  <c r="AB6" i="1"/>
  <c r="AB10" i="1"/>
  <c r="AB20" i="1"/>
  <c r="AB37" i="1"/>
  <c r="AB35" i="1"/>
  <c r="AB32" i="1"/>
  <c r="AB23" i="1"/>
  <c r="W3" i="6"/>
  <c r="W18" i="6"/>
  <c r="X18" i="6" s="1"/>
  <c r="W11" i="6"/>
  <c r="S10" i="6"/>
  <c r="P12" i="6"/>
  <c r="O14" i="6"/>
  <c r="N6" i="6"/>
  <c r="M7" i="6"/>
  <c r="P4" i="6"/>
  <c r="AC32" i="1" l="1"/>
  <c r="AC16" i="1"/>
  <c r="AC4" i="1"/>
  <c r="AC31" i="1"/>
  <c r="AC5" i="1"/>
  <c r="AC38" i="1"/>
  <c r="AC22" i="1"/>
  <c r="AC8" i="1"/>
  <c r="AC37" i="1"/>
  <c r="AC19" i="1"/>
  <c r="AC36" i="1"/>
  <c r="AC14" i="1"/>
  <c r="AC45" i="1"/>
  <c r="AC24" i="1"/>
  <c r="AC44" i="1"/>
  <c r="AC23" i="1"/>
  <c r="AC43" i="1"/>
  <c r="AC20" i="1"/>
  <c r="AC33" i="1"/>
  <c r="AC3" i="1"/>
  <c r="AC13" i="1"/>
  <c r="AC42" i="1"/>
  <c r="AC6" i="1"/>
  <c r="AC39" i="1"/>
  <c r="AD2" i="1"/>
  <c r="AC35" i="1"/>
  <c r="AC10" i="1"/>
  <c r="AC29" i="1"/>
  <c r="AC28" i="1"/>
  <c r="AC27" i="1"/>
  <c r="AC26" i="1"/>
  <c r="AC25" i="1"/>
  <c r="AC11" i="1"/>
  <c r="AC9" i="1"/>
  <c r="AC7" i="1"/>
  <c r="Z1" i="6"/>
  <c r="Y9" i="6"/>
  <c r="Y17" i="6"/>
  <c r="Y18" i="6" s="1"/>
  <c r="Y3" i="6"/>
  <c r="Y20" i="6"/>
  <c r="Y21" i="6" s="1"/>
  <c r="Y11" i="6"/>
  <c r="Y5" i="6"/>
  <c r="Q12" i="6"/>
  <c r="P14" i="6"/>
  <c r="T10" i="6"/>
  <c r="O6" i="6"/>
  <c r="N7" i="6"/>
  <c r="Q4" i="6"/>
  <c r="AD33" i="1" l="1"/>
  <c r="AD16" i="1"/>
  <c r="AD45" i="1"/>
  <c r="AD31" i="1"/>
  <c r="AD14" i="1"/>
  <c r="AD26" i="1"/>
  <c r="AD5" i="1"/>
  <c r="AD37" i="1"/>
  <c r="AD13" i="1"/>
  <c r="AD3" i="1"/>
  <c r="AD35" i="1"/>
  <c r="AD10" i="1"/>
  <c r="AD4" i="1"/>
  <c r="AD39" i="1"/>
  <c r="AD6" i="1"/>
  <c r="AD32" i="1"/>
  <c r="AE2" i="1"/>
  <c r="AD29" i="1"/>
  <c r="AD11" i="1"/>
  <c r="AD9" i="1"/>
  <c r="AD23" i="1"/>
  <c r="AD8" i="1"/>
  <c r="AD7" i="1"/>
  <c r="AD19" i="1"/>
  <c r="AD43" i="1"/>
  <c r="AD27" i="1"/>
  <c r="AD20" i="1"/>
  <c r="AD44" i="1"/>
  <c r="AD25" i="1"/>
  <c r="AD42" i="1"/>
  <c r="AD38" i="1"/>
  <c r="AD36" i="1"/>
  <c r="AD28" i="1"/>
  <c r="AD24" i="1"/>
  <c r="AD22" i="1"/>
  <c r="AA1" i="6"/>
  <c r="Z20" i="6" s="1"/>
  <c r="Z21" i="6" s="1"/>
  <c r="Z9" i="6"/>
  <c r="U10" i="6"/>
  <c r="R12" i="6"/>
  <c r="Q14" i="6"/>
  <c r="P6" i="6"/>
  <c r="O7" i="6"/>
  <c r="R4" i="6"/>
  <c r="Z11" i="6" l="1"/>
  <c r="Z3" i="6"/>
  <c r="Z5" i="6"/>
  <c r="AE45" i="1"/>
  <c r="AE29" i="1"/>
  <c r="AE11" i="1"/>
  <c r="AE44" i="1"/>
  <c r="AE28" i="1"/>
  <c r="AE9" i="1"/>
  <c r="AE36" i="1"/>
  <c r="AE4" i="1"/>
  <c r="AE26" i="1"/>
  <c r="AE13" i="1"/>
  <c r="AE25" i="1"/>
  <c r="AE6" i="1"/>
  <c r="AE38" i="1"/>
  <c r="AE14" i="1"/>
  <c r="AE37" i="1"/>
  <c r="AE7" i="1"/>
  <c r="AE35" i="1"/>
  <c r="AE5" i="1"/>
  <c r="AE27" i="1"/>
  <c r="AE31" i="1"/>
  <c r="AE24" i="1"/>
  <c r="AE23" i="1"/>
  <c r="AE22" i="1"/>
  <c r="AE20" i="1"/>
  <c r="AE3" i="1"/>
  <c r="AE10" i="1"/>
  <c r="AE43" i="1"/>
  <c r="AE19" i="1"/>
  <c r="AE42" i="1"/>
  <c r="AE16" i="1"/>
  <c r="AE8" i="1"/>
  <c r="AE39" i="1"/>
  <c r="AE32" i="1"/>
  <c r="AF2" i="1"/>
  <c r="AE33" i="1"/>
  <c r="AB1" i="6"/>
  <c r="AA9" i="6" s="1"/>
  <c r="Z17" i="6"/>
  <c r="Z18" i="6" s="1"/>
  <c r="S12" i="6"/>
  <c r="R14" i="6"/>
  <c r="V10" i="6"/>
  <c r="Q6" i="6"/>
  <c r="P7" i="6"/>
  <c r="S4" i="6"/>
  <c r="AA5" i="6" l="1"/>
  <c r="AA11" i="6"/>
  <c r="AA20" i="6"/>
  <c r="AA21" i="6" s="1"/>
  <c r="AF44" i="1"/>
  <c r="AF28" i="1"/>
  <c r="AF8" i="1"/>
  <c r="AF43" i="1"/>
  <c r="AF27" i="1"/>
  <c r="AF6" i="1"/>
  <c r="AF45" i="1"/>
  <c r="AF25" i="1"/>
  <c r="AF5" i="1"/>
  <c r="AF32" i="1"/>
  <c r="AG2" i="1"/>
  <c r="AF31" i="1"/>
  <c r="AF14" i="1"/>
  <c r="AF36" i="1"/>
  <c r="AF10" i="1"/>
  <c r="AF35" i="1"/>
  <c r="AF3" i="1"/>
  <c r="AF33" i="1"/>
  <c r="AF7" i="1"/>
  <c r="AF39" i="1"/>
  <c r="AF9" i="1"/>
  <c r="AF38" i="1"/>
  <c r="AF11" i="1"/>
  <c r="AF22" i="1"/>
  <c r="AF37" i="1"/>
  <c r="AF29" i="1"/>
  <c r="AF26" i="1"/>
  <c r="AF24" i="1"/>
  <c r="AF23" i="1"/>
  <c r="AF20" i="1"/>
  <c r="AF19" i="1"/>
  <c r="AF16" i="1"/>
  <c r="AF42" i="1"/>
  <c r="AF13" i="1"/>
  <c r="AF4" i="1"/>
  <c r="AA3" i="6"/>
  <c r="AA17" i="6"/>
  <c r="AA18" i="6" s="1"/>
  <c r="AC1" i="6"/>
  <c r="AB3" i="6" s="1"/>
  <c r="W10" i="6"/>
  <c r="T12" i="6"/>
  <c r="S14" i="6"/>
  <c r="R6" i="6"/>
  <c r="Q7" i="6"/>
  <c r="T4" i="6"/>
  <c r="AG43" i="1" l="1"/>
  <c r="AG42" i="1"/>
  <c r="AG24" i="1"/>
  <c r="AG4" i="1"/>
  <c r="AG33" i="1"/>
  <c r="AG27" i="1"/>
  <c r="AG36" i="1"/>
  <c r="AH2" i="1"/>
  <c r="AG35" i="1"/>
  <c r="AG13" i="1"/>
  <c r="AG29" i="1"/>
  <c r="AG3" i="1"/>
  <c r="AG31" i="1"/>
  <c r="AG23" i="1"/>
  <c r="AG28" i="1"/>
  <c r="AG14" i="1"/>
  <c r="AG16" i="1"/>
  <c r="AG10" i="1"/>
  <c r="AG45" i="1"/>
  <c r="AG8" i="1"/>
  <c r="AG44" i="1"/>
  <c r="AG25" i="1"/>
  <c r="AG39" i="1"/>
  <c r="AG5" i="1"/>
  <c r="AG38" i="1"/>
  <c r="AG9" i="1"/>
  <c r="AG37" i="1"/>
  <c r="AG11" i="1"/>
  <c r="AG32" i="1"/>
  <c r="AG7" i="1"/>
  <c r="AG26" i="1"/>
  <c r="AG22" i="1"/>
  <c r="AG19" i="1"/>
  <c r="AG20" i="1"/>
  <c r="AG6" i="1"/>
  <c r="AB5" i="6"/>
  <c r="AB11" i="6"/>
  <c r="AB20" i="6"/>
  <c r="AB21" i="6" s="1"/>
  <c r="AC21" i="6" s="1"/>
  <c r="AD1" i="6"/>
  <c r="AC9" i="6"/>
  <c r="AC17" i="6"/>
  <c r="AC20" i="6"/>
  <c r="AC11" i="6"/>
  <c r="AC3" i="6"/>
  <c r="AC5" i="6"/>
  <c r="AB17" i="6"/>
  <c r="AB18" i="6" s="1"/>
  <c r="AC18" i="6" s="1"/>
  <c r="AB9" i="6"/>
  <c r="U12" i="6"/>
  <c r="T14" i="6"/>
  <c r="X10" i="6"/>
  <c r="S6" i="6"/>
  <c r="R7" i="6"/>
  <c r="U4" i="6"/>
  <c r="AH39" i="1" l="1"/>
  <c r="AH11" i="1"/>
  <c r="AH45" i="1"/>
  <c r="AH16" i="1"/>
  <c r="AH24" i="1"/>
  <c r="AH44" i="1"/>
  <c r="AH13" i="1"/>
  <c r="AH22" i="1"/>
  <c r="AH43" i="1"/>
  <c r="AH10" i="1"/>
  <c r="AI2" i="1"/>
  <c r="AH33" i="1"/>
  <c r="AH26" i="1"/>
  <c r="AH32" i="1"/>
  <c r="AH20" i="1"/>
  <c r="AH31" i="1"/>
  <c r="AH27" i="1"/>
  <c r="AH37" i="1"/>
  <c r="AH4" i="1"/>
  <c r="AH14" i="1"/>
  <c r="AH9" i="1"/>
  <c r="AH8" i="1"/>
  <c r="AH7" i="1"/>
  <c r="AH6" i="1"/>
  <c r="AH5" i="1"/>
  <c r="AH28" i="1"/>
  <c r="AH42" i="1"/>
  <c r="AH29" i="1"/>
  <c r="AH38" i="1"/>
  <c r="AH3" i="1"/>
  <c r="AH23" i="1"/>
  <c r="AH36" i="1"/>
  <c r="AH35" i="1"/>
  <c r="AH19" i="1"/>
  <c r="AH25" i="1"/>
  <c r="AE1" i="6"/>
  <c r="AD9" i="6"/>
  <c r="AD17" i="6"/>
  <c r="AD18" i="6" s="1"/>
  <c r="AD20" i="6"/>
  <c r="AD21" i="6" s="1"/>
  <c r="AD3" i="6"/>
  <c r="AD11" i="6"/>
  <c r="AD5" i="6"/>
  <c r="Y10" i="6"/>
  <c r="V12" i="6"/>
  <c r="U14" i="6"/>
  <c r="T6" i="6"/>
  <c r="S7" i="6"/>
  <c r="V4" i="6"/>
  <c r="AE21" i="6" l="1"/>
  <c r="AF1" i="6"/>
  <c r="AE17" i="6" s="1"/>
  <c r="AE18" i="6" s="1"/>
  <c r="AE20" i="6"/>
  <c r="AE3" i="6"/>
  <c r="AE11" i="6"/>
  <c r="AE5" i="6"/>
  <c r="AI39" i="1"/>
  <c r="AI23" i="1"/>
  <c r="AI13" i="1"/>
  <c r="AI31" i="1"/>
  <c r="AI9" i="1"/>
  <c r="AI19" i="1"/>
  <c r="AI42" i="1"/>
  <c r="AI7" i="1"/>
  <c r="AI16" i="1"/>
  <c r="AI32" i="1"/>
  <c r="AI26" i="1"/>
  <c r="AI38" i="1"/>
  <c r="AI24" i="1"/>
  <c r="AI36" i="1"/>
  <c r="AI22" i="1"/>
  <c r="AI25" i="1"/>
  <c r="AI44" i="1"/>
  <c r="AJ2" i="1"/>
  <c r="AI43" i="1"/>
  <c r="AI10" i="1"/>
  <c r="AI37" i="1"/>
  <c r="AI8" i="1"/>
  <c r="AI35" i="1"/>
  <c r="AI6" i="1"/>
  <c r="AI33" i="1"/>
  <c r="AI4" i="1"/>
  <c r="AI29" i="1"/>
  <c r="AI3" i="1"/>
  <c r="AI27" i="1"/>
  <c r="AI20" i="1"/>
  <c r="AI28" i="1"/>
  <c r="AI14" i="1"/>
  <c r="AI45" i="1"/>
  <c r="AI11" i="1"/>
  <c r="AI5" i="1"/>
  <c r="W12" i="6"/>
  <c r="V14" i="6"/>
  <c r="Z10" i="6"/>
  <c r="U6" i="6"/>
  <c r="T7" i="6"/>
  <c r="W4" i="6"/>
  <c r="AG1" i="6" l="1"/>
  <c r="AF17" i="6" s="1"/>
  <c r="AF18" i="6" s="1"/>
  <c r="AJ36" i="1"/>
  <c r="AJ13" i="1"/>
  <c r="AJ37" i="1"/>
  <c r="AJ20" i="1"/>
  <c r="AJ11" i="1"/>
  <c r="AJ26" i="1"/>
  <c r="AJ32" i="1"/>
  <c r="AJ38" i="1"/>
  <c r="AJ6" i="1"/>
  <c r="AJ22" i="1"/>
  <c r="AJ33" i="1"/>
  <c r="AJ4" i="1"/>
  <c r="AJ44" i="1"/>
  <c r="AJ3" i="1"/>
  <c r="AJ45" i="1"/>
  <c r="AJ39" i="1"/>
  <c r="AJ16" i="1"/>
  <c r="AJ7" i="1"/>
  <c r="AJ43" i="1"/>
  <c r="AJ35" i="1"/>
  <c r="AJ10" i="1"/>
  <c r="AJ8" i="1"/>
  <c r="AJ19" i="1"/>
  <c r="AJ31" i="1"/>
  <c r="AJ28" i="1"/>
  <c r="AJ42" i="1"/>
  <c r="AJ14" i="1"/>
  <c r="AJ29" i="1"/>
  <c r="AJ27" i="1"/>
  <c r="AJ25" i="1"/>
  <c r="AJ23" i="1"/>
  <c r="AJ9" i="1"/>
  <c r="AJ24" i="1"/>
  <c r="AJ5" i="1"/>
  <c r="AK2" i="1"/>
  <c r="AE9" i="6"/>
  <c r="AA10" i="6"/>
  <c r="X12" i="6"/>
  <c r="W14" i="6"/>
  <c r="V6" i="6"/>
  <c r="U7" i="6"/>
  <c r="X4" i="6"/>
  <c r="AF5" i="6" l="1"/>
  <c r="AK38" i="1"/>
  <c r="AK24" i="1"/>
  <c r="AL2" i="1"/>
  <c r="AK43" i="1"/>
  <c r="AK26" i="1"/>
  <c r="AK3" i="1"/>
  <c r="AK42" i="1"/>
  <c r="AK25" i="1"/>
  <c r="AK4" i="1"/>
  <c r="AK27" i="1"/>
  <c r="AK6" i="1"/>
  <c r="AK45" i="1"/>
  <c r="AK23" i="1"/>
  <c r="AK8" i="1"/>
  <c r="AK44" i="1"/>
  <c r="AK22" i="1"/>
  <c r="AK10" i="1"/>
  <c r="AK35" i="1"/>
  <c r="AK7" i="1"/>
  <c r="AK14" i="1"/>
  <c r="AK39" i="1"/>
  <c r="AK11" i="1"/>
  <c r="AK37" i="1"/>
  <c r="AK9" i="1"/>
  <c r="AK36" i="1"/>
  <c r="AK5" i="1"/>
  <c r="AK33" i="1"/>
  <c r="AK13" i="1"/>
  <c r="AK32" i="1"/>
  <c r="AK31" i="1"/>
  <c r="AK29" i="1"/>
  <c r="AK28" i="1"/>
  <c r="AK19" i="1"/>
  <c r="AK20" i="1"/>
  <c r="AK16" i="1"/>
  <c r="AF20" i="6"/>
  <c r="AF21" i="6" s="1"/>
  <c r="AG21" i="6" s="1"/>
  <c r="AF9" i="6"/>
  <c r="AF11" i="6"/>
  <c r="AF3" i="6"/>
  <c r="AH1" i="6"/>
  <c r="AG11" i="6"/>
  <c r="AG20" i="6"/>
  <c r="AG3" i="6"/>
  <c r="AG5" i="6"/>
  <c r="Y12" i="6"/>
  <c r="X14" i="6"/>
  <c r="AB10" i="6"/>
  <c r="W6" i="6"/>
  <c r="V7" i="6"/>
  <c r="Y4" i="6"/>
  <c r="AH21" i="6" l="1"/>
  <c r="AH17" i="6"/>
  <c r="AI1" i="6"/>
  <c r="AH9" i="6"/>
  <c r="AH20" i="6"/>
  <c r="AH3" i="6"/>
  <c r="AH11" i="6"/>
  <c r="AH5" i="6"/>
  <c r="AG9" i="6"/>
  <c r="AG17" i="6"/>
  <c r="AG18" i="6" s="1"/>
  <c r="AL33" i="1"/>
  <c r="AM2" i="1"/>
  <c r="AL3" i="1"/>
  <c r="AL29" i="1"/>
  <c r="AL14" i="1"/>
  <c r="AL13" i="1"/>
  <c r="AL27" i="1"/>
  <c r="AL11" i="1"/>
  <c r="AL6" i="1"/>
  <c r="AL43" i="1"/>
  <c r="AL26" i="1"/>
  <c r="AL39" i="1"/>
  <c r="AL8" i="1"/>
  <c r="AL37" i="1"/>
  <c r="AL10" i="1"/>
  <c r="AL35" i="1"/>
  <c r="AL23" i="1"/>
  <c r="AL20" i="1"/>
  <c r="AL7" i="1"/>
  <c r="AL32" i="1"/>
  <c r="AL24" i="1"/>
  <c r="AL19" i="1"/>
  <c r="AL45" i="1"/>
  <c r="AL44" i="1"/>
  <c r="AL9" i="1"/>
  <c r="AL31" i="1"/>
  <c r="AL5" i="1"/>
  <c r="AL42" i="1"/>
  <c r="AL38" i="1"/>
  <c r="AL36" i="1"/>
  <c r="AL25" i="1"/>
  <c r="AL28" i="1"/>
  <c r="AL16" i="1"/>
  <c r="AL4" i="1"/>
  <c r="AL22" i="1"/>
  <c r="AC10" i="6"/>
  <c r="Z12" i="6"/>
  <c r="Y14" i="6"/>
  <c r="X6" i="6"/>
  <c r="W7" i="6"/>
  <c r="Z4" i="6"/>
  <c r="AM36" i="1" l="1"/>
  <c r="AM22" i="1"/>
  <c r="AM31" i="1"/>
  <c r="AM6" i="1"/>
  <c r="AM29" i="1"/>
  <c r="AM4" i="1"/>
  <c r="AM35" i="1"/>
  <c r="AM8" i="1"/>
  <c r="AM33" i="1"/>
  <c r="AM3" i="1"/>
  <c r="AM32" i="1"/>
  <c r="AM14" i="1"/>
  <c r="AM44" i="1"/>
  <c r="AM20" i="1"/>
  <c r="AM45" i="1"/>
  <c r="AM13" i="1"/>
  <c r="AM43" i="1"/>
  <c r="AM10" i="1"/>
  <c r="AM42" i="1"/>
  <c r="AM11" i="1"/>
  <c r="AM39" i="1"/>
  <c r="AM9" i="1"/>
  <c r="AM16" i="1"/>
  <c r="AM38" i="1"/>
  <c r="AM7" i="1"/>
  <c r="AM37" i="1"/>
  <c r="AM5" i="1"/>
  <c r="AM28" i="1"/>
  <c r="AM27" i="1"/>
  <c r="AN2" i="1"/>
  <c r="AM26" i="1"/>
  <c r="AM24" i="1"/>
  <c r="AM25" i="1"/>
  <c r="AM23" i="1"/>
  <c r="AM19" i="1"/>
  <c r="AH18" i="6"/>
  <c r="AJ1" i="6"/>
  <c r="AI17" i="6" s="1"/>
  <c r="AI9" i="6"/>
  <c r="AI20" i="6"/>
  <c r="AI5" i="6"/>
  <c r="AI21" i="6"/>
  <c r="AA12" i="6"/>
  <c r="Z14" i="6"/>
  <c r="AD10" i="6"/>
  <c r="Y6" i="6"/>
  <c r="X7" i="6"/>
  <c r="AA4" i="6"/>
  <c r="AI18" i="6" l="1"/>
  <c r="AN44" i="1"/>
  <c r="AN28" i="1"/>
  <c r="AN9" i="1"/>
  <c r="AN43" i="1"/>
  <c r="AN27" i="1"/>
  <c r="AN7" i="1"/>
  <c r="AN39" i="1"/>
  <c r="AN23" i="1"/>
  <c r="AN4" i="1"/>
  <c r="AN38" i="1"/>
  <c r="AN22" i="1"/>
  <c r="AN3" i="1"/>
  <c r="AN37" i="1"/>
  <c r="AN20" i="1"/>
  <c r="AN6" i="1"/>
  <c r="AN36" i="1"/>
  <c r="AN11" i="1"/>
  <c r="AN33" i="1"/>
  <c r="AN8" i="1"/>
  <c r="AN32" i="1"/>
  <c r="AO2" i="1"/>
  <c r="AN31" i="1"/>
  <c r="AN10" i="1"/>
  <c r="AN29" i="1"/>
  <c r="AN26" i="1"/>
  <c r="AN25" i="1"/>
  <c r="AN24" i="1"/>
  <c r="AN19" i="1"/>
  <c r="AN45" i="1"/>
  <c r="AN42" i="1"/>
  <c r="AN35" i="1"/>
  <c r="AN16" i="1"/>
  <c r="AN14" i="1"/>
  <c r="AN5" i="1"/>
  <c r="AN13" i="1"/>
  <c r="AI11" i="6"/>
  <c r="AI3" i="6"/>
  <c r="AK1" i="6"/>
  <c r="AJ9" i="6" s="1"/>
  <c r="AE10" i="6"/>
  <c r="AB12" i="6"/>
  <c r="AA14" i="6"/>
  <c r="Z6" i="6"/>
  <c r="Y7" i="6"/>
  <c r="AB4" i="6"/>
  <c r="AO43" i="1" l="1"/>
  <c r="AO27" i="1"/>
  <c r="AO4" i="1"/>
  <c r="AO42" i="1"/>
  <c r="AO25" i="1"/>
  <c r="AO3" i="1"/>
  <c r="AO29" i="1"/>
  <c r="AO6" i="1"/>
  <c r="AO16" i="1"/>
  <c r="AO24" i="1"/>
  <c r="AO22" i="1"/>
  <c r="AO5" i="1"/>
  <c r="AO35" i="1"/>
  <c r="AO9" i="1"/>
  <c r="AO31" i="1"/>
  <c r="AO28" i="1"/>
  <c r="AO23" i="1"/>
  <c r="AO45" i="1"/>
  <c r="AO26" i="1"/>
  <c r="AO44" i="1"/>
  <c r="AO20" i="1"/>
  <c r="AO13" i="1"/>
  <c r="AO39" i="1"/>
  <c r="AO38" i="1"/>
  <c r="AO10" i="1"/>
  <c r="AO37" i="1"/>
  <c r="AO8" i="1"/>
  <c r="AO36" i="1"/>
  <c r="AO32" i="1"/>
  <c r="AO33" i="1"/>
  <c r="AP2" i="1"/>
  <c r="AO7" i="1"/>
  <c r="AO19" i="1"/>
  <c r="AO11" i="1"/>
  <c r="AO14" i="1"/>
  <c r="AJ5" i="6"/>
  <c r="AJ20" i="6"/>
  <c r="AJ21" i="6" s="1"/>
  <c r="AK21" i="6" s="1"/>
  <c r="AJ3" i="6"/>
  <c r="AJ11" i="6"/>
  <c r="AJ17" i="6"/>
  <c r="AJ18" i="6" s="1"/>
  <c r="AK18" i="6" s="1"/>
  <c r="AK17" i="6"/>
  <c r="AL1" i="6"/>
  <c r="AK3" i="6" s="1"/>
  <c r="AK20" i="6"/>
  <c r="AK11" i="6"/>
  <c r="AK5" i="6"/>
  <c r="AC12" i="6"/>
  <c r="AB14" i="6"/>
  <c r="AF10" i="6"/>
  <c r="AA6" i="6"/>
  <c r="Z7" i="6"/>
  <c r="AC4" i="6"/>
  <c r="AM1" i="6" l="1"/>
  <c r="AL17" i="6" s="1"/>
  <c r="AL18" i="6" s="1"/>
  <c r="AL9" i="6"/>
  <c r="AL20" i="6"/>
  <c r="AL21" i="6" s="1"/>
  <c r="AL11" i="6"/>
  <c r="AL5" i="6"/>
  <c r="AP42" i="1"/>
  <c r="AP11" i="1"/>
  <c r="AP22" i="1"/>
  <c r="AP39" i="1"/>
  <c r="AP10" i="1"/>
  <c r="AP19" i="1"/>
  <c r="AP37" i="1"/>
  <c r="AP6" i="1"/>
  <c r="AP3" i="1"/>
  <c r="AP36" i="1"/>
  <c r="AP5" i="1"/>
  <c r="AP35" i="1"/>
  <c r="AP4" i="1"/>
  <c r="AP16" i="1"/>
  <c r="AP23" i="1"/>
  <c r="AP45" i="1"/>
  <c r="AP31" i="1"/>
  <c r="AP26" i="1"/>
  <c r="AP44" i="1"/>
  <c r="AP28" i="1"/>
  <c r="AP38" i="1"/>
  <c r="AP43" i="1"/>
  <c r="AP24" i="1"/>
  <c r="AP29" i="1"/>
  <c r="AP33" i="1"/>
  <c r="AP27" i="1"/>
  <c r="AP25" i="1"/>
  <c r="AQ2" i="1"/>
  <c r="AP32" i="1"/>
  <c r="AP14" i="1"/>
  <c r="AP20" i="1"/>
  <c r="AP13" i="1"/>
  <c r="AP9" i="1"/>
  <c r="AP8" i="1"/>
  <c r="AP7" i="1"/>
  <c r="AK9" i="6"/>
  <c r="AG10" i="6"/>
  <c r="AD12" i="6"/>
  <c r="AC14" i="6"/>
  <c r="AB6" i="6"/>
  <c r="AA7" i="6"/>
  <c r="AD4" i="6"/>
  <c r="AL3" i="6" l="1"/>
  <c r="AN1" i="6"/>
  <c r="AM3" i="6"/>
  <c r="AM11" i="6"/>
  <c r="AM20" i="6"/>
  <c r="AM21" i="6" s="1"/>
  <c r="AM5" i="6"/>
  <c r="AQ36" i="1"/>
  <c r="AQ22" i="1"/>
  <c r="AQ13" i="1"/>
  <c r="AQ33" i="1"/>
  <c r="AQ19" i="1"/>
  <c r="AQ28" i="1"/>
  <c r="AQ10" i="1"/>
  <c r="AQ45" i="1"/>
  <c r="AQ26" i="1"/>
  <c r="AQ8" i="1"/>
  <c r="AQ44" i="1"/>
  <c r="AQ24" i="1"/>
  <c r="AQ6" i="1"/>
  <c r="AQ27" i="1"/>
  <c r="AQ39" i="1"/>
  <c r="AQ11" i="1"/>
  <c r="AQ37" i="1"/>
  <c r="AQ14" i="1"/>
  <c r="AQ35" i="1"/>
  <c r="AQ5" i="1"/>
  <c r="AQ32" i="1"/>
  <c r="AQ31" i="1"/>
  <c r="AQ20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6" i="1"/>
  <c r="AQ42" i="1"/>
  <c r="AQ29" i="1"/>
  <c r="AQ38" i="1"/>
  <c r="AQ43" i="1"/>
  <c r="AQ3" i="1"/>
  <c r="AQ4" i="1"/>
  <c r="AQ9" i="1"/>
  <c r="AQ7" i="1"/>
  <c r="AE12" i="6"/>
  <c r="AD14" i="6"/>
  <c r="AH10" i="6"/>
  <c r="AC6" i="6"/>
  <c r="AB7" i="6"/>
  <c r="AE4" i="6"/>
  <c r="AO1" i="6" l="1"/>
  <c r="AN9" i="6"/>
  <c r="AN17" i="6"/>
  <c r="AN20" i="6"/>
  <c r="AN21" i="6" s="1"/>
  <c r="AM9" i="6"/>
  <c r="AM17" i="6"/>
  <c r="AM18" i="6" s="1"/>
  <c r="AI10" i="6"/>
  <c r="AF12" i="6"/>
  <c r="AE14" i="6"/>
  <c r="AD6" i="6"/>
  <c r="AC7" i="6"/>
  <c r="AF4" i="6"/>
  <c r="AO21" i="6" l="1"/>
  <c r="AO17" i="6"/>
  <c r="AP1" i="6"/>
  <c r="AO9" i="6"/>
  <c r="AO20" i="6"/>
  <c r="AO3" i="6"/>
  <c r="AO11" i="6"/>
  <c r="AO5" i="6"/>
  <c r="AN18" i="6"/>
  <c r="AN5" i="6"/>
  <c r="AN3" i="6"/>
  <c r="AN11" i="6"/>
  <c r="AG12" i="6"/>
  <c r="AF14" i="6"/>
  <c r="AJ10" i="6"/>
  <c r="AE6" i="6"/>
  <c r="AD7" i="6"/>
  <c r="AG4" i="6"/>
  <c r="AO18" i="6" l="1"/>
  <c r="AQ1" i="6"/>
  <c r="AP17" i="6"/>
  <c r="AP9" i="6"/>
  <c r="AP20" i="6"/>
  <c r="AP21" i="6" s="1"/>
  <c r="AP11" i="6"/>
  <c r="AP3" i="6"/>
  <c r="AP5" i="6"/>
  <c r="AK10" i="6"/>
  <c r="AH12" i="6"/>
  <c r="AG14" i="6"/>
  <c r="AF6" i="6"/>
  <c r="AE7" i="6"/>
  <c r="AH4" i="6"/>
  <c r="AQ9" i="6" l="1"/>
  <c r="AR1" i="6"/>
  <c r="AQ17" i="6"/>
  <c r="AQ20" i="6"/>
  <c r="AQ21" i="6" s="1"/>
  <c r="AQ11" i="6"/>
  <c r="AQ3" i="6"/>
  <c r="AQ5" i="6"/>
  <c r="AP18" i="6"/>
  <c r="AQ18" i="6" s="1"/>
  <c r="AI12" i="6"/>
  <c r="AH14" i="6"/>
  <c r="AL10" i="6"/>
  <c r="AG6" i="6"/>
  <c r="AF7" i="6"/>
  <c r="AI4" i="6"/>
  <c r="AS1" i="6" l="1"/>
  <c r="AR17" i="6"/>
  <c r="AR9" i="6"/>
  <c r="AR11" i="6"/>
  <c r="AR3" i="6"/>
  <c r="AR20" i="6"/>
  <c r="AR21" i="6" s="1"/>
  <c r="AR5" i="6"/>
  <c r="AR18" i="6"/>
  <c r="AM10" i="6"/>
  <c r="AJ12" i="6"/>
  <c r="AI14" i="6"/>
  <c r="AH6" i="6"/>
  <c r="AG7" i="6"/>
  <c r="AJ4" i="6"/>
  <c r="AT1" i="6" l="1"/>
  <c r="AS3" i="6"/>
  <c r="AS11" i="6"/>
  <c r="AS20" i="6"/>
  <c r="AS21" i="6" s="1"/>
  <c r="AS5" i="6"/>
  <c r="AK12" i="6"/>
  <c r="AJ14" i="6"/>
  <c r="AN10" i="6"/>
  <c r="AI6" i="6"/>
  <c r="AH7" i="6"/>
  <c r="AK4" i="6"/>
  <c r="AT21" i="6" l="1"/>
  <c r="AU1" i="6"/>
  <c r="AT9" i="6"/>
  <c r="AT11" i="6"/>
  <c r="AT20" i="6"/>
  <c r="AT3" i="6"/>
  <c r="AT5" i="6"/>
  <c r="AS9" i="6"/>
  <c r="AS17" i="6"/>
  <c r="AS18" i="6" s="1"/>
  <c r="AO10" i="6"/>
  <c r="AL12" i="6"/>
  <c r="AK14" i="6"/>
  <c r="AJ6" i="6"/>
  <c r="AI7" i="6"/>
  <c r="AL4" i="6"/>
  <c r="AT18" i="6" l="1"/>
  <c r="AU18" i="6" s="1"/>
  <c r="AV1" i="6"/>
  <c r="AU9" i="6"/>
  <c r="AU17" i="6"/>
  <c r="AU11" i="6"/>
  <c r="AU20" i="6"/>
  <c r="AU3" i="6"/>
  <c r="AU5" i="6"/>
  <c r="AT17" i="6"/>
  <c r="AU21" i="6"/>
  <c r="AM12" i="6"/>
  <c r="AL14" i="6"/>
  <c r="AP10" i="6"/>
  <c r="AK6" i="6"/>
  <c r="AJ7" i="6"/>
  <c r="AM4" i="6"/>
  <c r="AW1" i="6" l="1"/>
  <c r="AV9" i="6"/>
  <c r="AV17" i="6"/>
  <c r="AV18" i="6" s="1"/>
  <c r="AV3" i="6"/>
  <c r="AV11" i="6"/>
  <c r="AV20" i="6"/>
  <c r="AV21" i="6" s="1"/>
  <c r="AV5" i="6"/>
  <c r="AQ10" i="6"/>
  <c r="AN12" i="6"/>
  <c r="AM14" i="6"/>
  <c r="AL6" i="6"/>
  <c r="AK7" i="6"/>
  <c r="AN4" i="6"/>
  <c r="AX1" i="6" l="1"/>
  <c r="AW20" i="6"/>
  <c r="AW21" i="6" s="1"/>
  <c r="AW3" i="6"/>
  <c r="AW11" i="6"/>
  <c r="AW5" i="6"/>
  <c r="AO12" i="6"/>
  <c r="AN14" i="6"/>
  <c r="AR10" i="6"/>
  <c r="AM6" i="6"/>
  <c r="AL7" i="6"/>
  <c r="AO4" i="6"/>
  <c r="AY1" i="6" l="1"/>
  <c r="AX17" i="6"/>
  <c r="AW9" i="6"/>
  <c r="AW17" i="6"/>
  <c r="AW18" i="6" s="1"/>
  <c r="AX18" i="6" s="1"/>
  <c r="AS10" i="6"/>
  <c r="AP12" i="6"/>
  <c r="AO14" i="6"/>
  <c r="AN6" i="6"/>
  <c r="AM7" i="6"/>
  <c r="AP4" i="6"/>
  <c r="AY17" i="6" l="1"/>
  <c r="AY18" i="6" s="1"/>
  <c r="AZ1" i="6"/>
  <c r="AY9" i="6"/>
  <c r="AY3" i="6"/>
  <c r="AY20" i="6"/>
  <c r="AY11" i="6"/>
  <c r="AY5" i="6"/>
  <c r="AX5" i="6"/>
  <c r="AX3" i="6"/>
  <c r="AX11" i="6"/>
  <c r="AX20" i="6"/>
  <c r="AX21" i="6" s="1"/>
  <c r="AY21" i="6" s="1"/>
  <c r="AX9" i="6"/>
  <c r="AQ12" i="6"/>
  <c r="AP14" i="6"/>
  <c r="AT10" i="6"/>
  <c r="AO6" i="6"/>
  <c r="AN7" i="6"/>
  <c r="AQ4" i="6"/>
  <c r="BA1" i="6" l="1"/>
  <c r="AZ17" i="6"/>
  <c r="AZ18" i="6" s="1"/>
  <c r="AZ11" i="6"/>
  <c r="AZ3" i="6"/>
  <c r="AZ20" i="6"/>
  <c r="AZ21" i="6" s="1"/>
  <c r="AZ5" i="6"/>
  <c r="AU10" i="6"/>
  <c r="AR12" i="6"/>
  <c r="AQ14" i="6"/>
  <c r="AP6" i="6"/>
  <c r="AO7" i="6"/>
  <c r="AR4" i="6"/>
  <c r="BA9" i="6" l="1"/>
  <c r="BA17" i="6"/>
  <c r="BA18" i="6" s="1"/>
  <c r="BB1" i="6"/>
  <c r="BA11" i="6"/>
  <c r="BA3" i="6"/>
  <c r="BA20" i="6"/>
  <c r="BA21" i="6" s="1"/>
  <c r="BA5" i="6"/>
  <c r="AZ9" i="6"/>
  <c r="AS12" i="6"/>
  <c r="AR14" i="6"/>
  <c r="AV10" i="6"/>
  <c r="AQ6" i="6"/>
  <c r="AP7" i="6"/>
  <c r="AS4" i="6"/>
  <c r="BC1" i="6" l="1"/>
  <c r="BB9" i="6"/>
  <c r="BB11" i="6"/>
  <c r="BB20" i="6"/>
  <c r="BB21" i="6" s="1"/>
  <c r="BB3" i="6"/>
  <c r="BB5" i="6"/>
  <c r="AW10" i="6"/>
  <c r="AT12" i="6"/>
  <c r="AS14" i="6"/>
  <c r="AR6" i="6"/>
  <c r="AQ7" i="6"/>
  <c r="AT4" i="6"/>
  <c r="BD1" i="6" l="1"/>
  <c r="BC9" i="6"/>
  <c r="BC20" i="6"/>
  <c r="BC21" i="6" s="1"/>
  <c r="BB17" i="6"/>
  <c r="BB18" i="6" s="1"/>
  <c r="AU12" i="6"/>
  <c r="AT14" i="6"/>
  <c r="AX10" i="6"/>
  <c r="AS6" i="6"/>
  <c r="AR7" i="6"/>
  <c r="AU4" i="6"/>
  <c r="BE1" i="6" l="1"/>
  <c r="BD9" i="6"/>
  <c r="BD17" i="6"/>
  <c r="BD11" i="6"/>
  <c r="BD3" i="6"/>
  <c r="BD20" i="6"/>
  <c r="BD21" i="6" s="1"/>
  <c r="BC17" i="6"/>
  <c r="BC18" i="6" s="1"/>
  <c r="BD18" i="6" s="1"/>
  <c r="BC5" i="6"/>
  <c r="BC3" i="6"/>
  <c r="BC11" i="6"/>
  <c r="AY10" i="6"/>
  <c r="AV12" i="6"/>
  <c r="AU14" i="6"/>
  <c r="AT6" i="6"/>
  <c r="AS7" i="6"/>
  <c r="AV4" i="6"/>
  <c r="BE21" i="6" l="1"/>
  <c r="BE17" i="6"/>
  <c r="BE18" i="6" s="1"/>
  <c r="BF1" i="6"/>
  <c r="BE20" i="6"/>
  <c r="BE11" i="6"/>
  <c r="BE3" i="6"/>
  <c r="BE5" i="6"/>
  <c r="BD5" i="6"/>
  <c r="AW12" i="6"/>
  <c r="AV14" i="6"/>
  <c r="AZ10" i="6"/>
  <c r="AU6" i="6"/>
  <c r="AT7" i="6"/>
  <c r="AW4" i="6"/>
  <c r="BG1" i="6" l="1"/>
  <c r="BF3" i="6" s="1"/>
  <c r="BF17" i="6"/>
  <c r="BF18" i="6" s="1"/>
  <c r="BF9" i="6"/>
  <c r="BF11" i="6"/>
  <c r="BE9" i="6"/>
  <c r="BA10" i="6"/>
  <c r="AX12" i="6"/>
  <c r="AW14" i="6"/>
  <c r="AV6" i="6"/>
  <c r="AU7" i="6"/>
  <c r="AX4" i="6"/>
  <c r="BF5" i="6" l="1"/>
  <c r="BF20" i="6"/>
  <c r="BF21" i="6" s="1"/>
  <c r="BH1" i="6"/>
  <c r="BG9" i="6"/>
  <c r="BG11" i="6"/>
  <c r="BG20" i="6"/>
  <c r="BG3" i="6"/>
  <c r="BG5" i="6"/>
  <c r="AY12" i="6"/>
  <c r="AX14" i="6"/>
  <c r="BB10" i="6"/>
  <c r="AW6" i="6"/>
  <c r="AV7" i="6"/>
  <c r="AY4" i="6"/>
  <c r="BI1" i="6" l="1"/>
  <c r="BH9" i="6"/>
  <c r="BH20" i="6"/>
  <c r="BH3" i="6"/>
  <c r="BH11" i="6"/>
  <c r="BH5" i="6"/>
  <c r="BG17" i="6"/>
  <c r="BG18" i="6" s="1"/>
  <c r="BG21" i="6"/>
  <c r="BC10" i="6"/>
  <c r="AZ12" i="6"/>
  <c r="AY14" i="6"/>
  <c r="AX6" i="6"/>
  <c r="AW7" i="6"/>
  <c r="AZ4" i="6"/>
  <c r="BH21" i="6" l="1"/>
  <c r="BI9" i="6"/>
  <c r="BJ1" i="6"/>
  <c r="BI17" i="6"/>
  <c r="BI3" i="6"/>
  <c r="BI20" i="6"/>
  <c r="BI11" i="6"/>
  <c r="BI5" i="6"/>
  <c r="BH17" i="6"/>
  <c r="BH18" i="6" s="1"/>
  <c r="BI18" i="6" s="1"/>
  <c r="BA12" i="6"/>
  <c r="AZ14" i="6"/>
  <c r="BD10" i="6"/>
  <c r="AY6" i="6"/>
  <c r="AX7" i="6"/>
  <c r="BA4" i="6"/>
  <c r="BK1" i="6" l="1"/>
  <c r="BJ11" i="6"/>
  <c r="BJ20" i="6"/>
  <c r="BJ3" i="6"/>
  <c r="BJ5" i="6"/>
  <c r="BI21" i="6"/>
  <c r="BJ21" i="6" s="1"/>
  <c r="BE10" i="6"/>
  <c r="BB12" i="6"/>
  <c r="BA14" i="6"/>
  <c r="AZ6" i="6"/>
  <c r="AY7" i="6"/>
  <c r="BB4" i="6"/>
  <c r="BL1" i="6" l="1"/>
  <c r="BK17" i="6"/>
  <c r="BK9" i="6"/>
  <c r="BJ17" i="6"/>
  <c r="BJ18" i="6" s="1"/>
  <c r="BJ9" i="6"/>
  <c r="BC12" i="6"/>
  <c r="BB14" i="6"/>
  <c r="BF10" i="6"/>
  <c r="BA6" i="6"/>
  <c r="AZ7" i="6"/>
  <c r="BC4" i="6"/>
  <c r="BM1" i="6" l="1"/>
  <c r="BK18" i="6"/>
  <c r="BK5" i="6"/>
  <c r="BK20" i="6"/>
  <c r="BK21" i="6" s="1"/>
  <c r="BK3" i="6"/>
  <c r="BK11" i="6"/>
  <c r="BG10" i="6"/>
  <c r="BD12" i="6"/>
  <c r="BC14" i="6"/>
  <c r="BB6" i="6"/>
  <c r="BA7" i="6"/>
  <c r="BD4" i="6"/>
  <c r="BN1" i="6" l="1"/>
  <c r="BM9" i="6"/>
  <c r="BM11" i="6"/>
  <c r="BM20" i="6"/>
  <c r="BM3" i="6"/>
  <c r="D3" i="6" s="1"/>
  <c r="BM5" i="6"/>
  <c r="BL18" i="6"/>
  <c r="BL5" i="6"/>
  <c r="BL11" i="6"/>
  <c r="BL20" i="6"/>
  <c r="BL21" i="6" s="1"/>
  <c r="BM21" i="6" s="1"/>
  <c r="BL3" i="6"/>
  <c r="BL17" i="6"/>
  <c r="BL9" i="6"/>
  <c r="BE12" i="6"/>
  <c r="BD14" i="6"/>
  <c r="BH10" i="6"/>
  <c r="BC6" i="6"/>
  <c r="BB7" i="6"/>
  <c r="BE4" i="6"/>
  <c r="BN21" i="6" l="1"/>
  <c r="D20" i="6"/>
  <c r="D5" i="6"/>
  <c r="BO1" i="6"/>
  <c r="BN17" i="6"/>
  <c r="BN9" i="6"/>
  <c r="BN20" i="6"/>
  <c r="BN3" i="6"/>
  <c r="BN11" i="6"/>
  <c r="BN5" i="6"/>
  <c r="BM17" i="6"/>
  <c r="D17" i="6" s="1"/>
  <c r="C17" i="6" s="1"/>
  <c r="BI10" i="6"/>
  <c r="BF12" i="6"/>
  <c r="BE14" i="6"/>
  <c r="BD6" i="6"/>
  <c r="BC7" i="6"/>
  <c r="BF4" i="6"/>
  <c r="BM18" i="6" l="1"/>
  <c r="BP1" i="6"/>
  <c r="BO9" i="6"/>
  <c r="BO17" i="6"/>
  <c r="BO20" i="6"/>
  <c r="BO21" i="6" s="1"/>
  <c r="BO11" i="6"/>
  <c r="BO3" i="6"/>
  <c r="BO5" i="6"/>
  <c r="BG12" i="6"/>
  <c r="BF14" i="6"/>
  <c r="BJ10" i="6"/>
  <c r="BE6" i="6"/>
  <c r="BD7" i="6"/>
  <c r="BG4" i="6"/>
  <c r="BQ1" i="6" l="1"/>
  <c r="BP20" i="6"/>
  <c r="BP21" i="6" s="1"/>
  <c r="BP3" i="6"/>
  <c r="BP11" i="6"/>
  <c r="BP5" i="6"/>
  <c r="BN18" i="6"/>
  <c r="BO18" i="6" s="1"/>
  <c r="D18" i="6"/>
  <c r="C18" i="6" s="1"/>
  <c r="BK10" i="6"/>
  <c r="BH12" i="6"/>
  <c r="BG14" i="6"/>
  <c r="BF6" i="6"/>
  <c r="BE7" i="6"/>
  <c r="BH4" i="6"/>
  <c r="BR1" i="6" l="1"/>
  <c r="BQ20" i="6"/>
  <c r="BQ21" i="6" s="1"/>
  <c r="BQ11" i="6"/>
  <c r="BQ3" i="6"/>
  <c r="BQ5" i="6"/>
  <c r="BP17" i="6"/>
  <c r="BP18" i="6" s="1"/>
  <c r="BP9" i="6"/>
  <c r="BI12" i="6"/>
  <c r="BH14" i="6"/>
  <c r="BL10" i="6"/>
  <c r="BG6" i="6"/>
  <c r="BF7" i="6"/>
  <c r="BI4" i="6"/>
  <c r="BR21" i="6" l="1"/>
  <c r="BS1" i="6"/>
  <c r="BR11" i="6"/>
  <c r="BR20" i="6"/>
  <c r="BR3" i="6"/>
  <c r="BR5" i="6"/>
  <c r="BQ9" i="6"/>
  <c r="BQ17" i="6"/>
  <c r="BQ18" i="6" s="1"/>
  <c r="BM10" i="6"/>
  <c r="BJ12" i="6"/>
  <c r="BI14" i="6"/>
  <c r="BH6" i="6"/>
  <c r="BG7" i="6"/>
  <c r="BJ4" i="6"/>
  <c r="BT1" i="6" l="1"/>
  <c r="BS9" i="6"/>
  <c r="BR9" i="6"/>
  <c r="BR17" i="6"/>
  <c r="BR18" i="6" s="1"/>
  <c r="BK12" i="6"/>
  <c r="BJ14" i="6"/>
  <c r="BN10" i="6"/>
  <c r="BI6" i="6"/>
  <c r="BH7" i="6"/>
  <c r="BK4" i="6"/>
  <c r="BU1" i="6" l="1"/>
  <c r="BT17" i="6"/>
  <c r="BS5" i="6"/>
  <c r="BS11" i="6"/>
  <c r="BS3" i="6"/>
  <c r="BS20" i="6"/>
  <c r="BS21" i="6" s="1"/>
  <c r="BS17" i="6"/>
  <c r="BS18" i="6" s="1"/>
  <c r="BT18" i="6" s="1"/>
  <c r="BO10" i="6"/>
  <c r="BL12" i="6"/>
  <c r="BK14" i="6"/>
  <c r="BJ6" i="6"/>
  <c r="BI7" i="6"/>
  <c r="BL4" i="6"/>
  <c r="BV1" i="6" l="1"/>
  <c r="BU3" i="6" s="1"/>
  <c r="BT9" i="6"/>
  <c r="BT5" i="6"/>
  <c r="BT20" i="6"/>
  <c r="BT21" i="6" s="1"/>
  <c r="BT3" i="6"/>
  <c r="BT11" i="6"/>
  <c r="BM12" i="6"/>
  <c r="BL14" i="6"/>
  <c r="BP10" i="6"/>
  <c r="BK6" i="6"/>
  <c r="BJ7" i="6"/>
  <c r="BM4" i="6"/>
  <c r="BU17" i="6" l="1"/>
  <c r="BU18" i="6" s="1"/>
  <c r="BU5" i="6"/>
  <c r="BW1" i="6"/>
  <c r="BV9" i="6"/>
  <c r="BV11" i="6"/>
  <c r="BV3" i="6"/>
  <c r="BV20" i="6"/>
  <c r="BV5" i="6"/>
  <c r="BU20" i="6"/>
  <c r="BU21" i="6" s="1"/>
  <c r="BV21" i="6" s="1"/>
  <c r="BU11" i="6"/>
  <c r="BU9" i="6"/>
  <c r="BQ10" i="6"/>
  <c r="BN12" i="6"/>
  <c r="BM14" i="6"/>
  <c r="BL6" i="6"/>
  <c r="BK7" i="6"/>
  <c r="BN4" i="6"/>
  <c r="BW9" i="6" l="1"/>
  <c r="D9" i="6" s="1"/>
  <c r="BW17" i="6"/>
  <c r="BW20" i="6"/>
  <c r="BW21" i="6" s="1"/>
  <c r="BW3" i="6"/>
  <c r="BW11" i="6"/>
  <c r="D11" i="6" s="1"/>
  <c r="BW5" i="6"/>
  <c r="BV17" i="6"/>
  <c r="BV18" i="6"/>
  <c r="BO12" i="6"/>
  <c r="BN14" i="6"/>
  <c r="BR10" i="6"/>
  <c r="BM6" i="6"/>
  <c r="BL7" i="6"/>
  <c r="BO4" i="6"/>
  <c r="BW18" i="6" l="1"/>
  <c r="BS10" i="6"/>
  <c r="BP12" i="6"/>
  <c r="BO14" i="6"/>
  <c r="BN6" i="6"/>
  <c r="BM7" i="6"/>
  <c r="BP4" i="6"/>
  <c r="BQ12" i="6" l="1"/>
  <c r="BP14" i="6"/>
  <c r="BT10" i="6"/>
  <c r="BO6" i="6"/>
  <c r="BN7" i="6"/>
  <c r="BQ4" i="6"/>
  <c r="BU10" i="6" l="1"/>
  <c r="BR12" i="6"/>
  <c r="BQ14" i="6"/>
  <c r="BP6" i="6"/>
  <c r="BO7" i="6"/>
  <c r="BR4" i="6"/>
  <c r="BS12" i="6" l="1"/>
  <c r="BR14" i="6"/>
  <c r="BV10" i="6"/>
  <c r="BQ6" i="6"/>
  <c r="BP7" i="6"/>
  <c r="BS4" i="6"/>
  <c r="BW10" i="6" l="1"/>
  <c r="BT12" i="6"/>
  <c r="BS14" i="6"/>
  <c r="BR6" i="6"/>
  <c r="BQ7" i="6"/>
  <c r="BT4" i="6"/>
  <c r="BU12" i="6" l="1"/>
  <c r="BT14" i="6"/>
  <c r="BS6" i="6"/>
  <c r="BR7" i="6"/>
  <c r="BU4" i="6"/>
  <c r="BV12" i="6" l="1"/>
  <c r="BU14" i="6"/>
  <c r="BT6" i="6"/>
  <c r="BS7" i="6"/>
  <c r="BV4" i="6"/>
  <c r="BW12" i="6" l="1"/>
  <c r="BW14" i="6" s="1"/>
  <c r="BV14" i="6"/>
  <c r="BU6" i="6"/>
  <c r="BT7" i="6"/>
  <c r="BW4" i="6"/>
  <c r="BV6" i="6" l="1"/>
  <c r="BU7" i="6"/>
  <c r="BW6" i="6" l="1"/>
  <c r="BW7" i="6" s="1"/>
  <c r="BV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tc={E3476076-E33C-4EA5-98F8-E1461F3B22F9}</author>
    <author>tc={8688D2C0-0735-4753-B782-CA7282005B7F}</author>
  </authors>
  <commentList>
    <comment ref="W32" authorId="0" shapeId="0" xr:uid="{E3476076-E33C-4EA5-98F8-E1461F3B22F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we have yet to make the payment</t>
      </text>
    </comment>
    <comment ref="R120" authorId="1" shapeId="0" xr:uid="{8688D2C0-0735-4753-B782-CA7282005B7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Isaacsplease finilize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<sst xmlns="http://schemas.openxmlformats.org/spreadsheetml/2006/main" count="852" uniqueCount="497">
  <si>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</si>
  <si>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</si>
  <si>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</si>
  <si>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</si>
  <si>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</si>
  <si>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</si>
  <si>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</si>
  <si>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</si>
  <si>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</si>
  <si>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</si>
  <si>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</si>
  <si>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</si>
  <si>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</si>
  <si>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</si>
  <si>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</si>
  <si>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</si>
  <si>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</si>
  <si>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</si>
  <si>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</si>
  <si>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</si>
  <si>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</si>
  <si>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</si>
  <si>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</si>
  <si>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</si>
  <si>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</si>
  <si>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</si>
  <si>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</si>
  <si>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</si>
  <si>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</si>
  <si>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</si>
  <si>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</si>
  <si>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</si>
  <si>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</si>
  <si>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</si>
  <si>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</si>
  <si>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</si>
  <si>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</si>
  <si>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</si>
  <si>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</si>
  <si>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</si>
  <si>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</si>
  <si>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</si>
  <si>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</si>
  <si>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</si>
  <si>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</si>
  <si>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</si>
  <si>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</si>
  <si>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</si>
  <si>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</si>
  <si>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</si>
  <si>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</si>
  <si>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</si>
  <si>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</si>
  <si>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</si>
  <si>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</si>
  <si>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</si>
  <si>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</si>
  <si>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</si>
  <si>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</si>
  <si>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</si>
  <si>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</si>
  <si>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</si>
  <si>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</si>
  <si>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</si>
  <si>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</si>
  <si>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</si>
  <si>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</si>
  <si>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</si>
  <si>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</si>
  <si>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</si>
  <si>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</si>
  <si>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</si>
  <si>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</si>
  <si>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</si>
  <si>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</si>
  <si>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</si>
  <si>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</si>
  <si>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</si>
  <si>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</si>
  <si>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</si>
  <si>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</si>
  <si>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</si>
  <si>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</si>
  <si>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</si>
  <si>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</si>
  <si>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</si>
  <si>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</si>
  <si>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</si>
  <si>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</si>
  <si>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</si>
  <si>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</si>
  <si>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</si>
  <si>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</si>
  <si>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</si>
  <si>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</si>
  <si>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</si>
  <si>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</si>
  <si>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</si>
  <si>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</si>
  <si>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</si>
  <si>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</si>
  <si>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</si>
  <si>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</si>
  <si>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004554</t>
  </si>
  <si>
    <t>Delivery of Panels</t>
  </si>
  <si>
    <t>004583</t>
  </si>
  <si>
    <t>Practical Completion</t>
  </si>
  <si>
    <t>004619</t>
  </si>
  <si>
    <t>004692</t>
  </si>
  <si>
    <t>VO - Walkways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</si>
  <si>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</si>
  <si>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</si>
  <si>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</si>
  <si>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</si>
  <si>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</si>
  <si>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</si>
  <si>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</si>
  <si>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</si>
  <si>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</si>
  <si>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</si>
  <si>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</si>
  <si>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</si>
  <si>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- 20 Christiaan</t>
  </si>
  <si>
    <t>PROJECT SIZE (kWp)</t>
  </si>
  <si>
    <t>BUSINESS DEVELOPER</t>
  </si>
  <si>
    <t>Peet</t>
  </si>
  <si>
    <t>PROJECT MANAGER</t>
  </si>
  <si>
    <t>Lloyd</t>
  </si>
  <si>
    <t>CONTRACT VALUE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</si>
  <si>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</si>
  <si>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</si>
  <si>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</si>
  <si>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</si>
  <si>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</si>
  <si>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</si>
  <si>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</si>
  <si>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</si>
  <si>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</si>
  <si>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</si>
  <si>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</si>
  <si>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</si>
  <si>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</si>
  <si>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</si>
  <si>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</si>
  <si>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</si>
  <si>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</si>
  <si>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</si>
  <si>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</si>
  <si>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</si>
  <si>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</si>
  <si>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</si>
  <si>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</si>
  <si>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</si>
  <si>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</si>
  <si>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</si>
  <si>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</si>
  <si>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</si>
  <si>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</si>
  <si>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</si>
  <si>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</si>
  <si>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</si>
  <si>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</si>
  <si>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</si>
  <si>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</si>
  <si>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</si>
  <si>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</si>
  <si>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</si>
  <si>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</si>
  <si>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</si>
  <si>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</si>
  <si>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</si>
  <si>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</si>
  <si>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</si>
  <si>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</si>
  <si>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</si>
  <si>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</si>
  <si>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</si>
  <si>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</si>
  <si>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</si>
  <si>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</si>
  <si>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</si>
  <si>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</si>
  <si>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</si>
  <si>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</si>
  <si>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</si>
  <si>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</si>
  <si>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</si>
  <si>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</si>
  <si>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</si>
  <si>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</si>
  <si>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</si>
  <si>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</si>
  <si>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</si>
  <si>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</si>
  <si>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</si>
  <si>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</si>
  <si>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</si>
  <si>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</si>
  <si>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</si>
  <si>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</si>
  <si>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</si>
  <si>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</si>
  <si>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</si>
  <si>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</si>
  <si>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</si>
  <si>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</si>
  <si>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</si>
  <si>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</si>
  <si>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</si>
  <si>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</si>
  <si>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</si>
  <si>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</si>
  <si>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</si>
  <si>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</si>
  <si>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</si>
  <si>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</si>
  <si>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</si>
  <si>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</si>
  <si>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</si>
  <si>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</si>
  <si>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</si>
  <si>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</si>
  <si>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</si>
  <si>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</si>
  <si>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</si>
  <si>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</si>
  <si>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</si>
  <si>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</si>
  <si>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</si>
  <si>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</si>
  <si>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</si>
  <si>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</si>
  <si>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</si>
  <si>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</si>
  <si>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</si>
  <si>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</si>
  <si>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</si>
  <si>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</si>
  <si>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</si>
  <si>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</si>
  <si>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</si>
  <si>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</si>
  <si>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</si>
  <si>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</si>
  <si>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</si>
  <si>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</si>
  <si>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</si>
  <si>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</si>
  <si>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</si>
  <si>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</si>
  <si>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Storage and delivery budget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</si>
  <si>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</si>
  <si>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</si>
  <si>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</si>
  <si>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</si>
  <si>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</si>
  <si>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</si>
  <si>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</si>
  <si>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</si>
  <si>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</si>
  <si>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</si>
  <si>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</si>
  <si>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</si>
  <si>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</si>
  <si>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</si>
  <si>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</si>
  <si>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INV0895</t>
  </si>
  <si>
    <t>PO3363-SAM20-20240918 - RV Approved</t>
  </si>
  <si>
    <t>Less 15%</t>
  </si>
  <si>
    <t>SCHLETTER - INV1081</t>
  </si>
  <si>
    <t>TC: Added cost for Extra MS and freight</t>
  </si>
  <si>
    <t>R/Wp</t>
  </si>
  <si>
    <t>Schletter Inv0893</t>
  </si>
  <si>
    <t>Schletter Credit: MS</t>
  </si>
  <si>
    <t>Schletter Credit Note: CRN0159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</si>
  <si>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</si>
  <si>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</si>
  <si>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</si>
  <si>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</si>
  <si>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</si>
  <si>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</si>
  <si>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</si>
  <si>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</si>
  <si>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</si>
  <si>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</si>
  <si>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</si>
  <si>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</si>
  <si>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</si>
  <si>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 IN04448</t>
  </si>
  <si>
    <t>PO3378-SAM20-20240930 - RV Approved</t>
  </si>
  <si>
    <t>Earth Cable</t>
  </si>
  <si>
    <t>Thula Moya IN0449</t>
  </si>
  <si>
    <t>Site Logistics</t>
  </si>
  <si>
    <t>Earth clamp</t>
  </si>
  <si>
    <t>AC Installation Complete</t>
  </si>
  <si>
    <t>Thula Moya IN04519</t>
  </si>
  <si>
    <t>Roof Access</t>
  </si>
  <si>
    <t>Sundries</t>
  </si>
  <si>
    <t>DC Installation Complete</t>
  </si>
  <si>
    <t>Container</t>
  </si>
  <si>
    <t>Accomodation</t>
  </si>
  <si>
    <t>COC</t>
  </si>
  <si>
    <t>Commissioning Complete</t>
  </si>
  <si>
    <t>Scaffolding</t>
  </si>
  <si>
    <t>Travel</t>
  </si>
  <si>
    <t>Site De-establisment</t>
  </si>
  <si>
    <t>Thula Moya IN04537</t>
  </si>
  <si>
    <t>Handover Document Complete</t>
  </si>
  <si>
    <t>Thula Moya IN04538</t>
  </si>
  <si>
    <t>End of Defects Period</t>
  </si>
  <si>
    <t>Thula Moya IN04594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</si>
  <si>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</si>
  <si>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</si>
  <si>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</si>
  <si>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</si>
  <si>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</si>
  <si>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</si>
  <si>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</si>
  <si>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</si>
  <si>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</si>
  <si>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</si>
  <si>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</si>
  <si>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</si>
  <si>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</si>
  <si>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</si>
  <si>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</si>
  <si>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DNP3 Controller</t>
  </si>
  <si>
    <t>Rubicon INVWCRE-0062783</t>
  </si>
  <si>
    <t>PO3476-SAM20-20241122 - RV Approved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</si>
  <si>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</si>
  <si>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</si>
  <si>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</si>
  <si>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</si>
  <si>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</si>
  <si>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</si>
  <si>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Thula Moya IN04521</t>
  </si>
  <si>
    <t>Battery Systems</t>
  </si>
  <si>
    <t xml:space="preserve">Product Add On </t>
  </si>
  <si>
    <t xml:space="preserve">8. Product Add On </t>
  </si>
  <si>
    <t>Walkways - Transport</t>
  </si>
  <si>
    <t>Onvlee Engineering:  Inv01048652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</si>
  <si>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</si>
  <si>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</si>
  <si>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</si>
  <si>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</si>
  <si>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</si>
  <si>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</si>
  <si>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IN04487</t>
  </si>
  <si>
    <t>PO3433-SAM-20241029 - RV Approved</t>
  </si>
  <si>
    <t>Installation of walkways</t>
  </si>
  <si>
    <t>Thula Moya IN04597</t>
  </si>
  <si>
    <t>Only services to be capture below, products above</t>
  </si>
  <si>
    <t>AC &amp; DC Installation</t>
  </si>
  <si>
    <t>9. AC &amp; DC installation</t>
  </si>
  <si>
    <t>Thula Moya IN04520</t>
  </si>
  <si>
    <t>10. Site Logistics</t>
  </si>
  <si>
    <t>Security</t>
  </si>
  <si>
    <t>MI: Waiting on revised invoice 1/2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</si>
  <si>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</si>
  <si>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</si>
  <si>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</si>
  <si>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</si>
  <si>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</si>
  <si>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</si>
  <si>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</si>
  <si>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</si>
  <si>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</si>
  <si>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</si>
  <si>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</si>
  <si>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</si>
  <si>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</si>
  <si>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</si>
  <si>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</si>
  <si>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</si>
  <si>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INV-3417</t>
  </si>
  <si>
    <t>Management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</si>
  <si>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</si>
  <si>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</si>
  <si>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</si>
  <si>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</si>
  <si>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</si>
  <si>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</si>
  <si>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</si>
  <si>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</si>
  <si>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 xml:space="preserve"> 1 570.98 </t>
  </si>
  <si>
    <t>Service Add On</t>
  </si>
  <si>
    <t>15. Service Add On</t>
  </si>
  <si>
    <t>Moving inverter and changing tie-in points</t>
  </si>
  <si>
    <t>Thula Moya - IN04750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</si>
  <si>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</si>
  <si>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</si>
  <si>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</si>
  <si>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</si>
  <si>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</si>
  <si>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</si>
  <si>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</si>
  <si>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</si>
  <si>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</si>
  <si>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</si>
  <si>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</si>
  <si>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</si>
  <si>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</si>
  <si>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</si>
  <si>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</si>
  <si>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</si>
  <si>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</si>
  <si>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</si>
  <si>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</si>
  <si>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</si>
  <si>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</si>
  <si>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</si>
  <si>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</si>
  <si>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</si>
  <si>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</si>
  <si>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</si>
  <si>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</si>
  <si>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</si>
  <si>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</si>
  <si>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</si>
  <si>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</si>
  <si>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</si>
  <si>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</si>
  <si>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</si>
  <si>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</si>
  <si>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</si>
  <si>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</si>
  <si>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</si>
  <si>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</si>
  <si>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</si>
  <si>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</si>
  <si>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</si>
  <si>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</si>
  <si>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</si>
  <si>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</si>
  <si>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</si>
  <si>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</si>
  <si>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</si>
  <si>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</si>
  <si>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</si>
  <si>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</si>
  <si>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</si>
  <si>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</si>
  <si>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</si>
  <si>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</si>
  <si>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</si>
  <si>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</si>
  <si>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</si>
  <si>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</si>
  <si>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</si>
  <si>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</si>
  <si>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</si>
  <si>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</si>
  <si>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</si>
  <si>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</si>
  <si>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</si>
  <si>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</si>
  <si>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</si>
  <si>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</si>
  <si>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</si>
  <si>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</si>
  <si>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</si>
  <si>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</si>
  <si>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</si>
  <si>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</si>
  <si>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</si>
  <si>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</si>
  <si>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</si>
  <si>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</si>
  <si>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</si>
  <si>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</si>
  <si>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</si>
  <si>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</si>
  <si>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</si>
  <si>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</si>
  <si>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</si>
  <si>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</si>
  <si>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</si>
  <si>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</si>
  <si>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</si>
  <si>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</si>
  <si>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</si>
  <si>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</si>
  <si>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</si>
  <si>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</si>
  <si>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</si>
  <si>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</si>
  <si>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</si>
  <si>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</si>
  <si>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</si>
  <si>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</si>
  <si>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</si>
  <si>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</si>
  <si>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TM to CN because CS did work</t>
  </si>
  <si>
    <t>Phase:</t>
  </si>
  <si>
    <t>Compliance Handover</t>
  </si>
  <si>
    <t>Credit Note - Walk ways</t>
  </si>
  <si>
    <t>004931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</si>
</sst>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1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44" fillId="9" borderId="25" xfId="3" applyFont="1" applyFill="1" applyBorder="1" applyAlignment="1" applyProtection="1">
      <alignment vertical="center"/>
      <protection locked="0"/>
    </xf>
    <xf numFmtId="167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7" fontId="13" fillId="13" borderId="2" xfId="3" applyFont="1" applyFill="1" applyBorder="1" applyAlignment="1" applyProtection="1">
      <alignment horizontal="left" vertical="center"/>
      <protection locked="0"/>
    </xf>
    <xf numFmtId="167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6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Protection="1"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71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Protection="1"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3" fillId="13" borderId="81" xfId="0" applyNumberFormat="1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67" fontId="53" fillId="11" borderId="96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167" fontId="53" fillId="11" borderId="90" xfId="3" applyFont="1" applyFill="1" applyBorder="1" applyAlignment="1" applyProtection="1">
      <alignment horizontal="center"/>
      <protection locked="0"/>
    </xf>
    <xf numFmtId="167" fontId="53" fillId="11" borderId="91" xfId="3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14" fontId="13" fillId="13" borderId="107" xfId="0" applyNumberFormat="1" applyFont="1" applyFill="1" applyBorder="1" applyAlignment="1" applyProtection="1">
      <alignment horizont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8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7" fontId="13" fillId="13" borderId="112" xfId="3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67" fontId="53" fillId="13" borderId="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7" fontId="53" fillId="11" borderId="92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53" fillId="10" borderId="96" xfId="3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15" fontId="54" fillId="7" borderId="2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3" borderId="11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49" fontId="29" fillId="0" borderId="2" xfId="0" applyNumberFormat="1" applyFont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45586</c:v>
                </c:pt>
                <c:pt idx="3">
                  <c:v>45575</c:v>
                </c:pt>
                <c:pt idx="4">
                  <c:v>45588</c:v>
                </c:pt>
                <c:pt idx="5">
                  <c:v>45622</c:v>
                </c:pt>
                <c:pt idx="6">
                  <c:v>45625</c:v>
                </c:pt>
                <c:pt idx="7">
                  <c:v>45633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0EA92D7-A49A-4C94-A20F-B5CA80FD6B6B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B9626C-ACEA-43A8-B183-ED69E35C093E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25A2E53-19F8-4608-B327-83E01B90463F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448EEC-CE45-4F05-83DE-F914E1F4111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F66A22-76B5-40A9-AFDC-753F93FB091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6BC3B29-3928-4112-95D6-333640F8E9A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F694A6-A535-486D-83D1-2EC42684D387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053895-B621-4B91-86AA-68929DE64D69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32</c:v>
                </c:pt>
                <c:pt idx="3">
                  <c:v>42</c:v>
                </c:pt>
                <c:pt idx="4">
                  <c:v>29</c:v>
                </c:pt>
                <c:pt idx="5">
                  <c:v>3</c:v>
                </c:pt>
                <c:pt idx="6">
                  <c:v>11</c:v>
                </c:pt>
                <c:pt idx="7">
                  <c:v>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Cashflow!$F$4:$BM$4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1041488.00356131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1475441.3383785225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1649022.6723054075</c:v>
                </c:pt>
                <c:pt idx="20">
                  <c:v>1649022.6723054075</c:v>
                </c:pt>
                <c:pt idx="21">
                  <c:v>1649022.6723054075</c:v>
                </c:pt>
                <c:pt idx="22">
                  <c:v>1649022.6723054075</c:v>
                </c:pt>
                <c:pt idx="23">
                  <c:v>1735813.3392688499</c:v>
                </c:pt>
                <c:pt idx="24">
                  <c:v>1735813.3392688499</c:v>
                </c:pt>
                <c:pt idx="25">
                  <c:v>1735813.3392688499</c:v>
                </c:pt>
                <c:pt idx="26">
                  <c:v>1735813.3392688499</c:v>
                </c:pt>
                <c:pt idx="27">
                  <c:v>1735813.3392688499</c:v>
                </c:pt>
                <c:pt idx="28">
                  <c:v>1735813.3392688499</c:v>
                </c:pt>
                <c:pt idx="29">
                  <c:v>1735813.3392688499</c:v>
                </c:pt>
                <c:pt idx="30">
                  <c:v>1735813.3392688499</c:v>
                </c:pt>
                <c:pt idx="31">
                  <c:v>1735813.3392688499</c:v>
                </c:pt>
                <c:pt idx="32">
                  <c:v>1735813.3392688499</c:v>
                </c:pt>
                <c:pt idx="33">
                  <c:v>1735813.3392688499</c:v>
                </c:pt>
                <c:pt idx="34">
                  <c:v>1735813.3392688499</c:v>
                </c:pt>
                <c:pt idx="35">
                  <c:v>1735813.3392688499</c:v>
                </c:pt>
                <c:pt idx="36">
                  <c:v>1735813.3392688499</c:v>
                </c:pt>
                <c:pt idx="37">
                  <c:v>1735813.3392688499</c:v>
                </c:pt>
                <c:pt idx="38">
                  <c:v>1735813.3392688499</c:v>
                </c:pt>
                <c:pt idx="39">
                  <c:v>1735813.3392688499</c:v>
                </c:pt>
                <c:pt idx="40">
                  <c:v>1735813.3392688499</c:v>
                </c:pt>
                <c:pt idx="41">
                  <c:v>1735813.3392688499</c:v>
                </c:pt>
                <c:pt idx="42">
                  <c:v>1735813.3392688499</c:v>
                </c:pt>
                <c:pt idx="43">
                  <c:v>1735813.3392688499</c:v>
                </c:pt>
                <c:pt idx="44">
                  <c:v>1735813.3392688499</c:v>
                </c:pt>
                <c:pt idx="45">
                  <c:v>1735813.3392688499</c:v>
                </c:pt>
                <c:pt idx="46">
                  <c:v>1735813.3392688499</c:v>
                </c:pt>
                <c:pt idx="47">
                  <c:v>1735813.3392688499</c:v>
                </c:pt>
                <c:pt idx="48">
                  <c:v>1735813.3392688499</c:v>
                </c:pt>
                <c:pt idx="49">
                  <c:v>1735813.3392688499</c:v>
                </c:pt>
                <c:pt idx="50">
                  <c:v>1735813.3392688499</c:v>
                </c:pt>
                <c:pt idx="51">
                  <c:v>1735813.3392688499</c:v>
                </c:pt>
                <c:pt idx="52">
                  <c:v>1735813.3392688499</c:v>
                </c:pt>
                <c:pt idx="53">
                  <c:v>1735813.3392688499</c:v>
                </c:pt>
                <c:pt idx="54">
                  <c:v>1735813.3392688499</c:v>
                </c:pt>
                <c:pt idx="55">
                  <c:v>1735813.3392688499</c:v>
                </c:pt>
                <c:pt idx="56">
                  <c:v>1735813.3392688499</c:v>
                </c:pt>
                <c:pt idx="57">
                  <c:v>1735813.3392688499</c:v>
                </c:pt>
                <c:pt idx="58">
                  <c:v>1735813.3392688499</c:v>
                </c:pt>
                <c:pt idx="59">
                  <c:v>1735813.3392688499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Cashflow!$F$6:$BM$6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12350</c:v>
                </c:pt>
                <c:pt idx="10">
                  <c:v>87503.206999999995</c:v>
                </c:pt>
                <c:pt idx="11">
                  <c:v>87503.206999999995</c:v>
                </c:pt>
                <c:pt idx="12">
                  <c:v>87503.206999999995</c:v>
                </c:pt>
                <c:pt idx="13">
                  <c:v>87503.206999999995</c:v>
                </c:pt>
                <c:pt idx="14">
                  <c:v>398310.70699999999</c:v>
                </c:pt>
                <c:pt idx="15">
                  <c:v>398310.70699999999</c:v>
                </c:pt>
                <c:pt idx="16">
                  <c:v>435830.70699999999</c:v>
                </c:pt>
                <c:pt idx="17">
                  <c:v>435830.70699999999</c:v>
                </c:pt>
                <c:pt idx="18">
                  <c:v>647490.32799999998</c:v>
                </c:pt>
                <c:pt idx="19">
                  <c:v>728186.76599999995</c:v>
                </c:pt>
                <c:pt idx="20">
                  <c:v>743186.76599999995</c:v>
                </c:pt>
                <c:pt idx="21">
                  <c:v>781288.90399999998</c:v>
                </c:pt>
                <c:pt idx="22">
                  <c:v>1335729.3810000001</c:v>
                </c:pt>
                <c:pt idx="23">
                  <c:v>1335729.3810000001</c:v>
                </c:pt>
                <c:pt idx="24">
                  <c:v>1442025.7010000001</c:v>
                </c:pt>
                <c:pt idx="25">
                  <c:v>1442025.7010000001</c:v>
                </c:pt>
                <c:pt idx="26">
                  <c:v>1461076.77</c:v>
                </c:pt>
                <c:pt idx="27">
                  <c:v>1461076.77</c:v>
                </c:pt>
                <c:pt idx="28">
                  <c:v>1461076.77</c:v>
                </c:pt>
                <c:pt idx="29">
                  <c:v>1461076.77</c:v>
                </c:pt>
                <c:pt idx="30">
                  <c:v>1461076.77</c:v>
                </c:pt>
                <c:pt idx="31">
                  <c:v>1461076.77</c:v>
                </c:pt>
                <c:pt idx="32">
                  <c:v>1461076.77</c:v>
                </c:pt>
                <c:pt idx="33">
                  <c:v>1461076.77</c:v>
                </c:pt>
                <c:pt idx="34">
                  <c:v>1461076.77</c:v>
                </c:pt>
                <c:pt idx="35">
                  <c:v>1461076.77</c:v>
                </c:pt>
                <c:pt idx="36">
                  <c:v>1461076.77</c:v>
                </c:pt>
                <c:pt idx="37">
                  <c:v>1461076.77</c:v>
                </c:pt>
                <c:pt idx="38">
                  <c:v>1461076.77</c:v>
                </c:pt>
                <c:pt idx="39">
                  <c:v>1461076.77</c:v>
                </c:pt>
                <c:pt idx="40">
                  <c:v>1461076.77</c:v>
                </c:pt>
                <c:pt idx="41">
                  <c:v>1461076.77</c:v>
                </c:pt>
                <c:pt idx="42">
                  <c:v>1461076.77</c:v>
                </c:pt>
                <c:pt idx="43">
                  <c:v>1461076.77</c:v>
                </c:pt>
                <c:pt idx="44">
                  <c:v>1461076.77</c:v>
                </c:pt>
                <c:pt idx="45">
                  <c:v>1461076.77</c:v>
                </c:pt>
                <c:pt idx="46">
                  <c:v>1461076.77</c:v>
                </c:pt>
                <c:pt idx="47">
                  <c:v>1461076.77</c:v>
                </c:pt>
                <c:pt idx="48">
                  <c:v>1461076.77</c:v>
                </c:pt>
                <c:pt idx="49">
                  <c:v>1461076.77</c:v>
                </c:pt>
                <c:pt idx="50">
                  <c:v>1461076.77</c:v>
                </c:pt>
                <c:pt idx="51">
                  <c:v>1461076.77</c:v>
                </c:pt>
                <c:pt idx="52">
                  <c:v>1461076.77</c:v>
                </c:pt>
                <c:pt idx="53">
                  <c:v>1461076.77</c:v>
                </c:pt>
                <c:pt idx="54">
                  <c:v>1461076.77</c:v>
                </c:pt>
                <c:pt idx="55">
                  <c:v>1461076.77</c:v>
                </c:pt>
                <c:pt idx="56">
                  <c:v>1461076.77</c:v>
                </c:pt>
                <c:pt idx="57">
                  <c:v>1461076.77</c:v>
                </c:pt>
                <c:pt idx="58">
                  <c:v>1461076.77</c:v>
                </c:pt>
                <c:pt idx="59">
                  <c:v>1461076.77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Cashflow!$F$7:$BM$7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595184.66874409746</c:v>
                </c:pt>
                <c:pt idx="10">
                  <c:v>520031.46174409747</c:v>
                </c:pt>
                <c:pt idx="11">
                  <c:v>953984.79656131007</c:v>
                </c:pt>
                <c:pt idx="12">
                  <c:v>953984.79656131007</c:v>
                </c:pt>
                <c:pt idx="13">
                  <c:v>953984.79656131007</c:v>
                </c:pt>
                <c:pt idx="14">
                  <c:v>643177.29656131007</c:v>
                </c:pt>
                <c:pt idx="15">
                  <c:v>1077130.6313785226</c:v>
                </c:pt>
                <c:pt idx="16">
                  <c:v>1039610.6313785226</c:v>
                </c:pt>
                <c:pt idx="17">
                  <c:v>1039610.6313785226</c:v>
                </c:pt>
                <c:pt idx="18">
                  <c:v>827951.01037852257</c:v>
                </c:pt>
                <c:pt idx="19">
                  <c:v>920835.90630540752</c:v>
                </c:pt>
                <c:pt idx="20">
                  <c:v>905835.90630540752</c:v>
                </c:pt>
                <c:pt idx="21">
                  <c:v>867733.76830540749</c:v>
                </c:pt>
                <c:pt idx="22">
                  <c:v>313293.29130540742</c:v>
                </c:pt>
                <c:pt idx="23">
                  <c:v>400083.95826884988</c:v>
                </c:pt>
                <c:pt idx="24">
                  <c:v>293787.63826884981</c:v>
                </c:pt>
                <c:pt idx="25">
                  <c:v>293787.63826884981</c:v>
                </c:pt>
                <c:pt idx="26">
                  <c:v>274736.56926884991</c:v>
                </c:pt>
                <c:pt idx="27">
                  <c:v>274736.56926884991</c:v>
                </c:pt>
                <c:pt idx="28">
                  <c:v>274736.56926884991</c:v>
                </c:pt>
                <c:pt idx="29">
                  <c:v>274736.56926884991</c:v>
                </c:pt>
                <c:pt idx="30">
                  <c:v>274736.56926884991</c:v>
                </c:pt>
                <c:pt idx="31">
                  <c:v>274736.56926884991</c:v>
                </c:pt>
                <c:pt idx="32">
                  <c:v>274736.56926884991</c:v>
                </c:pt>
                <c:pt idx="33">
                  <c:v>274736.56926884991</c:v>
                </c:pt>
                <c:pt idx="34">
                  <c:v>274736.56926884991</c:v>
                </c:pt>
                <c:pt idx="35">
                  <c:v>274736.56926884991</c:v>
                </c:pt>
                <c:pt idx="36">
                  <c:v>274736.56926884991</c:v>
                </c:pt>
                <c:pt idx="37">
                  <c:v>274736.56926884991</c:v>
                </c:pt>
                <c:pt idx="38">
                  <c:v>274736.56926884991</c:v>
                </c:pt>
                <c:pt idx="39">
                  <c:v>274736.56926884991</c:v>
                </c:pt>
                <c:pt idx="40">
                  <c:v>274736.56926884991</c:v>
                </c:pt>
                <c:pt idx="41">
                  <c:v>274736.56926884991</c:v>
                </c:pt>
                <c:pt idx="42">
                  <c:v>274736.56926884991</c:v>
                </c:pt>
                <c:pt idx="43">
                  <c:v>274736.56926884991</c:v>
                </c:pt>
                <c:pt idx="44">
                  <c:v>274736.56926884991</c:v>
                </c:pt>
                <c:pt idx="45">
                  <c:v>274736.56926884991</c:v>
                </c:pt>
                <c:pt idx="46">
                  <c:v>274736.56926884991</c:v>
                </c:pt>
                <c:pt idx="47">
                  <c:v>274736.56926884991</c:v>
                </c:pt>
                <c:pt idx="48">
                  <c:v>274736.56926884991</c:v>
                </c:pt>
                <c:pt idx="49">
                  <c:v>274736.56926884991</c:v>
                </c:pt>
                <c:pt idx="50">
                  <c:v>274736.56926884991</c:v>
                </c:pt>
                <c:pt idx="51">
                  <c:v>274736.56926884991</c:v>
                </c:pt>
                <c:pt idx="52">
                  <c:v>274736.56926884991</c:v>
                </c:pt>
                <c:pt idx="53">
                  <c:v>274736.56926884991</c:v>
                </c:pt>
                <c:pt idx="54">
                  <c:v>274736.56926884991</c:v>
                </c:pt>
                <c:pt idx="55">
                  <c:v>274736.56926884991</c:v>
                </c:pt>
                <c:pt idx="56">
                  <c:v>274736.56926884991</c:v>
                </c:pt>
                <c:pt idx="57">
                  <c:v>274736.56926884991</c:v>
                </c:pt>
                <c:pt idx="58">
                  <c:v>274736.56926884991</c:v>
                </c:pt>
                <c:pt idx="59">
                  <c:v>274736.56926884991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Cashflow!$F$10:$BM$10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607534.66874409746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1041488.00356131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1475441.3383785225</c:v>
                </c:pt>
                <c:pt idx="20">
                  <c:v>1475441.3383785225</c:v>
                </c:pt>
                <c:pt idx="21">
                  <c:v>1475441.3383785225</c:v>
                </c:pt>
                <c:pt idx="22">
                  <c:v>1475441.3383785225</c:v>
                </c:pt>
                <c:pt idx="23">
                  <c:v>1475441.3383785225</c:v>
                </c:pt>
                <c:pt idx="24">
                  <c:v>1475441.3383785225</c:v>
                </c:pt>
                <c:pt idx="25">
                  <c:v>1475441.3383785225</c:v>
                </c:pt>
                <c:pt idx="26">
                  <c:v>1475441.3383785225</c:v>
                </c:pt>
                <c:pt idx="27">
                  <c:v>1475441.3383785225</c:v>
                </c:pt>
                <c:pt idx="28">
                  <c:v>1698937.0923054076</c:v>
                </c:pt>
                <c:pt idx="29">
                  <c:v>1698937.0923054076</c:v>
                </c:pt>
                <c:pt idx="30">
                  <c:v>1698937.0923054076</c:v>
                </c:pt>
                <c:pt idx="31">
                  <c:v>1698937.0923054076</c:v>
                </c:pt>
                <c:pt idx="32">
                  <c:v>1698937.0923054076</c:v>
                </c:pt>
                <c:pt idx="33">
                  <c:v>1698937.0923054076</c:v>
                </c:pt>
                <c:pt idx="34">
                  <c:v>1698937.0923054076</c:v>
                </c:pt>
                <c:pt idx="35">
                  <c:v>1698937.0923054076</c:v>
                </c:pt>
                <c:pt idx="36">
                  <c:v>1698937.0923054076</c:v>
                </c:pt>
                <c:pt idx="37">
                  <c:v>1698937.0923054076</c:v>
                </c:pt>
                <c:pt idx="38">
                  <c:v>1698937.0923054076</c:v>
                </c:pt>
                <c:pt idx="39">
                  <c:v>1698937.0923054076</c:v>
                </c:pt>
                <c:pt idx="40">
                  <c:v>1698937.0923054076</c:v>
                </c:pt>
                <c:pt idx="41">
                  <c:v>1698937.0923054076</c:v>
                </c:pt>
                <c:pt idx="42">
                  <c:v>1698937.0923054076</c:v>
                </c:pt>
                <c:pt idx="43">
                  <c:v>1698937.0923054076</c:v>
                </c:pt>
                <c:pt idx="44">
                  <c:v>1698937.0923054076</c:v>
                </c:pt>
                <c:pt idx="45">
                  <c:v>1698937.0923054076</c:v>
                </c:pt>
                <c:pt idx="46">
                  <c:v>1698937.0923054076</c:v>
                </c:pt>
                <c:pt idx="47">
                  <c:v>1698937.0923054076</c:v>
                </c:pt>
                <c:pt idx="48">
                  <c:v>1698937.0923054076</c:v>
                </c:pt>
                <c:pt idx="49">
                  <c:v>1698937.0923054076</c:v>
                </c:pt>
                <c:pt idx="50">
                  <c:v>1698937.0923054076</c:v>
                </c:pt>
                <c:pt idx="51">
                  <c:v>1698937.0923054076</c:v>
                </c:pt>
                <c:pt idx="52">
                  <c:v>1698937.0923054076</c:v>
                </c:pt>
                <c:pt idx="53">
                  <c:v>1698937.0923054076</c:v>
                </c:pt>
                <c:pt idx="54">
                  <c:v>1698937.0923054076</c:v>
                </c:pt>
                <c:pt idx="55">
                  <c:v>1698937.0923054076</c:v>
                </c:pt>
                <c:pt idx="56">
                  <c:v>1698937.0923054076</c:v>
                </c:pt>
                <c:pt idx="57">
                  <c:v>1698937.0923054076</c:v>
                </c:pt>
                <c:pt idx="58">
                  <c:v>1698937.0923054076</c:v>
                </c:pt>
                <c:pt idx="59">
                  <c:v>1698937.0923054076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Cashflow!$F$12:$BM$12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28284.2</c:v>
                </c:pt>
                <c:pt idx="8">
                  <c:v>28284.2</c:v>
                </c:pt>
                <c:pt idx="9">
                  <c:v>28284.2</c:v>
                </c:pt>
                <c:pt idx="10">
                  <c:v>303676.15000000002</c:v>
                </c:pt>
                <c:pt idx="11">
                  <c:v>330367.13</c:v>
                </c:pt>
                <c:pt idx="12">
                  <c:v>378599.74</c:v>
                </c:pt>
                <c:pt idx="13">
                  <c:v>471541.74</c:v>
                </c:pt>
                <c:pt idx="14">
                  <c:v>471541.74</c:v>
                </c:pt>
                <c:pt idx="15">
                  <c:v>877576.17999999993</c:v>
                </c:pt>
                <c:pt idx="16">
                  <c:v>879247.17999999993</c:v>
                </c:pt>
                <c:pt idx="17">
                  <c:v>879247.17999999993</c:v>
                </c:pt>
                <c:pt idx="18">
                  <c:v>879247.17999999993</c:v>
                </c:pt>
                <c:pt idx="19">
                  <c:v>1100801.47</c:v>
                </c:pt>
                <c:pt idx="20">
                  <c:v>1138794.83</c:v>
                </c:pt>
                <c:pt idx="21">
                  <c:v>1163036.29</c:v>
                </c:pt>
                <c:pt idx="22">
                  <c:v>1155784.4100000001</c:v>
                </c:pt>
                <c:pt idx="23">
                  <c:v>1155784.4100000001</c:v>
                </c:pt>
                <c:pt idx="24">
                  <c:v>1155784.4100000001</c:v>
                </c:pt>
                <c:pt idx="25">
                  <c:v>1191534.4100000001</c:v>
                </c:pt>
                <c:pt idx="26">
                  <c:v>1194882.0300000003</c:v>
                </c:pt>
                <c:pt idx="27">
                  <c:v>1194882.0300000003</c:v>
                </c:pt>
                <c:pt idx="28">
                  <c:v>1194882.0300000003</c:v>
                </c:pt>
                <c:pt idx="29">
                  <c:v>1195898.0400000003</c:v>
                </c:pt>
                <c:pt idx="30">
                  <c:v>1252807.1400000004</c:v>
                </c:pt>
                <c:pt idx="31">
                  <c:v>1252807.1400000004</c:v>
                </c:pt>
                <c:pt idx="32">
                  <c:v>1252807.1400000004</c:v>
                </c:pt>
                <c:pt idx="33">
                  <c:v>1271818.7600000005</c:v>
                </c:pt>
                <c:pt idx="34">
                  <c:v>1271818.7600000005</c:v>
                </c:pt>
                <c:pt idx="35">
                  <c:v>1271818.7600000005</c:v>
                </c:pt>
                <c:pt idx="36">
                  <c:v>1271818.7600000005</c:v>
                </c:pt>
                <c:pt idx="37">
                  <c:v>1271818.7600000005</c:v>
                </c:pt>
                <c:pt idx="38">
                  <c:v>1271818.7600000005</c:v>
                </c:pt>
                <c:pt idx="39">
                  <c:v>1271818.7600000005</c:v>
                </c:pt>
                <c:pt idx="40">
                  <c:v>1271818.7600000005</c:v>
                </c:pt>
                <c:pt idx="41">
                  <c:v>1271818.7600000005</c:v>
                </c:pt>
                <c:pt idx="42">
                  <c:v>1272906.7400000005</c:v>
                </c:pt>
                <c:pt idx="43">
                  <c:v>1272906.7400000005</c:v>
                </c:pt>
                <c:pt idx="44">
                  <c:v>1272906.7400000005</c:v>
                </c:pt>
                <c:pt idx="45">
                  <c:v>1272906.7400000005</c:v>
                </c:pt>
                <c:pt idx="46">
                  <c:v>1272906.7400000005</c:v>
                </c:pt>
                <c:pt idx="47">
                  <c:v>1272906.7400000005</c:v>
                </c:pt>
                <c:pt idx="48">
                  <c:v>1272906.7400000005</c:v>
                </c:pt>
                <c:pt idx="49">
                  <c:v>1272906.7400000005</c:v>
                </c:pt>
                <c:pt idx="50">
                  <c:v>1272906.7400000005</c:v>
                </c:pt>
                <c:pt idx="51">
                  <c:v>1272906.7400000005</c:v>
                </c:pt>
                <c:pt idx="52">
                  <c:v>1272906.7400000005</c:v>
                </c:pt>
                <c:pt idx="53">
                  <c:v>1272906.7400000005</c:v>
                </c:pt>
                <c:pt idx="54">
                  <c:v>1281990.7400000005</c:v>
                </c:pt>
                <c:pt idx="55">
                  <c:v>1281990.7400000005</c:v>
                </c:pt>
                <c:pt idx="56">
                  <c:v>1281990.7400000005</c:v>
                </c:pt>
                <c:pt idx="57">
                  <c:v>1281990.7400000005</c:v>
                </c:pt>
                <c:pt idx="58">
                  <c:v>1332390.7400000005</c:v>
                </c:pt>
                <c:pt idx="59">
                  <c:v>1332390.7400000005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</c:numRef>
          </c:cat>
          <c:val>
            <c:numRef>
              <c:f>Cashflow!$F$14:$BM$14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579250.46874409751</c:v>
                </c:pt>
                <c:pt idx="8">
                  <c:v>579250.46874409751</c:v>
                </c:pt>
                <c:pt idx="9">
                  <c:v>579250.46874409751</c:v>
                </c:pt>
                <c:pt idx="10">
                  <c:v>303858.51874409744</c:v>
                </c:pt>
                <c:pt idx="11">
                  <c:v>277167.53874409746</c:v>
                </c:pt>
                <c:pt idx="12">
                  <c:v>662888.26356131001</c:v>
                </c:pt>
                <c:pt idx="13">
                  <c:v>569946.26356131001</c:v>
                </c:pt>
                <c:pt idx="14">
                  <c:v>569946.26356131001</c:v>
                </c:pt>
                <c:pt idx="15">
                  <c:v>163911.82356131007</c:v>
                </c:pt>
                <c:pt idx="16">
                  <c:v>596194.15837852261</c:v>
                </c:pt>
                <c:pt idx="17">
                  <c:v>596194.15837852261</c:v>
                </c:pt>
                <c:pt idx="18">
                  <c:v>596194.15837852261</c:v>
                </c:pt>
                <c:pt idx="19">
                  <c:v>374639.86837852257</c:v>
                </c:pt>
                <c:pt idx="20">
                  <c:v>336646.50837852247</c:v>
                </c:pt>
                <c:pt idx="21">
                  <c:v>312405.04837852251</c:v>
                </c:pt>
                <c:pt idx="22">
                  <c:v>319656.9283785224</c:v>
                </c:pt>
                <c:pt idx="23">
                  <c:v>319656.9283785224</c:v>
                </c:pt>
                <c:pt idx="24">
                  <c:v>319656.9283785224</c:v>
                </c:pt>
                <c:pt idx="25">
                  <c:v>283906.9283785224</c:v>
                </c:pt>
                <c:pt idx="26">
                  <c:v>280559.30837852228</c:v>
                </c:pt>
                <c:pt idx="27">
                  <c:v>280559.30837852228</c:v>
                </c:pt>
                <c:pt idx="28">
                  <c:v>504055.06230540737</c:v>
                </c:pt>
                <c:pt idx="29">
                  <c:v>503039.05230540736</c:v>
                </c:pt>
                <c:pt idx="30">
                  <c:v>446129.95230540726</c:v>
                </c:pt>
                <c:pt idx="31">
                  <c:v>446129.95230540726</c:v>
                </c:pt>
                <c:pt idx="32">
                  <c:v>446129.95230540726</c:v>
                </c:pt>
                <c:pt idx="33">
                  <c:v>427118.33230540715</c:v>
                </c:pt>
                <c:pt idx="34">
                  <c:v>427118.33230540715</c:v>
                </c:pt>
                <c:pt idx="35">
                  <c:v>427118.33230540715</c:v>
                </c:pt>
                <c:pt idx="36">
                  <c:v>427118.33230540715</c:v>
                </c:pt>
                <c:pt idx="37">
                  <c:v>427118.33230540715</c:v>
                </c:pt>
                <c:pt idx="38">
                  <c:v>427118.33230540715</c:v>
                </c:pt>
                <c:pt idx="39">
                  <c:v>427118.33230540715</c:v>
                </c:pt>
                <c:pt idx="40">
                  <c:v>427118.33230540715</c:v>
                </c:pt>
                <c:pt idx="41">
                  <c:v>427118.33230540715</c:v>
                </c:pt>
                <c:pt idx="42">
                  <c:v>426030.35230540717</c:v>
                </c:pt>
                <c:pt idx="43">
                  <c:v>426030.35230540717</c:v>
                </c:pt>
                <c:pt idx="44">
                  <c:v>426030.35230540717</c:v>
                </c:pt>
                <c:pt idx="45">
                  <c:v>426030.35230540717</c:v>
                </c:pt>
                <c:pt idx="46">
                  <c:v>426030.35230540717</c:v>
                </c:pt>
                <c:pt idx="47">
                  <c:v>426030.35230540717</c:v>
                </c:pt>
                <c:pt idx="48">
                  <c:v>426030.35230540717</c:v>
                </c:pt>
                <c:pt idx="49">
                  <c:v>426030.35230540717</c:v>
                </c:pt>
                <c:pt idx="50">
                  <c:v>426030.35230540717</c:v>
                </c:pt>
                <c:pt idx="51">
                  <c:v>426030.35230540717</c:v>
                </c:pt>
                <c:pt idx="52">
                  <c:v>426030.35230540717</c:v>
                </c:pt>
                <c:pt idx="53">
                  <c:v>426030.35230540717</c:v>
                </c:pt>
                <c:pt idx="54">
                  <c:v>416946.35230540717</c:v>
                </c:pt>
                <c:pt idx="55">
                  <c:v>416946.35230540717</c:v>
                </c:pt>
                <c:pt idx="56">
                  <c:v>416946.35230540717</c:v>
                </c:pt>
                <c:pt idx="57">
                  <c:v>416946.35230540717</c:v>
                </c:pt>
                <c:pt idx="58">
                  <c:v>366546.35230540717</c:v>
                </c:pt>
                <c:pt idx="59">
                  <c:v>366546.35230540717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Cashflow!$F$18:$BM$18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521076.48866320669</c:v>
                </c:pt>
                <c:pt idx="3">
                  <c:v>521076.48866320669</c:v>
                </c:pt>
                <c:pt idx="4">
                  <c:v>521076.48866320669</c:v>
                </c:pt>
                <c:pt idx="5">
                  <c:v>521076.48866320669</c:v>
                </c:pt>
                <c:pt idx="6">
                  <c:v>576833.44376205222</c:v>
                </c:pt>
                <c:pt idx="7">
                  <c:v>576833.44376205222</c:v>
                </c:pt>
                <c:pt idx="8">
                  <c:v>576833.44376205222</c:v>
                </c:pt>
                <c:pt idx="9">
                  <c:v>576833.44376205222</c:v>
                </c:pt>
                <c:pt idx="10">
                  <c:v>576833.44376205222</c:v>
                </c:pt>
                <c:pt idx="11">
                  <c:v>847634.98710664944</c:v>
                </c:pt>
                <c:pt idx="12">
                  <c:v>847634.98710664944</c:v>
                </c:pt>
                <c:pt idx="13">
                  <c:v>847634.98710664944</c:v>
                </c:pt>
                <c:pt idx="14">
                  <c:v>847634.98710664944</c:v>
                </c:pt>
                <c:pt idx="15">
                  <c:v>1166308.6372612256</c:v>
                </c:pt>
                <c:pt idx="16">
                  <c:v>1166308.6372612256</c:v>
                </c:pt>
                <c:pt idx="17">
                  <c:v>1166308.6372612256</c:v>
                </c:pt>
                <c:pt idx="18">
                  <c:v>1166308.6372612256</c:v>
                </c:pt>
                <c:pt idx="19">
                  <c:v>1711144.8298597843</c:v>
                </c:pt>
                <c:pt idx="20">
                  <c:v>1711144.8298597843</c:v>
                </c:pt>
                <c:pt idx="21">
                  <c:v>1711144.8298597843</c:v>
                </c:pt>
                <c:pt idx="22">
                  <c:v>1711144.8298597843</c:v>
                </c:pt>
                <c:pt idx="23">
                  <c:v>1711144.8298597843</c:v>
                </c:pt>
                <c:pt idx="24">
                  <c:v>1711144.8298597843</c:v>
                </c:pt>
                <c:pt idx="25">
                  <c:v>1711144.8298597843</c:v>
                </c:pt>
                <c:pt idx="26">
                  <c:v>1711144.8298597843</c:v>
                </c:pt>
                <c:pt idx="27">
                  <c:v>1711144.8298597843</c:v>
                </c:pt>
                <c:pt idx="28">
                  <c:v>1784971.6395913805</c:v>
                </c:pt>
                <c:pt idx="29">
                  <c:v>1784971.6395913805</c:v>
                </c:pt>
                <c:pt idx="30">
                  <c:v>1784971.6395913805</c:v>
                </c:pt>
                <c:pt idx="31">
                  <c:v>1784971.6395913805</c:v>
                </c:pt>
                <c:pt idx="32">
                  <c:v>1785727.7519908061</c:v>
                </c:pt>
                <c:pt idx="33">
                  <c:v>1785727.7519908061</c:v>
                </c:pt>
                <c:pt idx="34">
                  <c:v>1785727.7519908061</c:v>
                </c:pt>
                <c:pt idx="35">
                  <c:v>1785727.7519908061</c:v>
                </c:pt>
                <c:pt idx="36">
                  <c:v>1785727.7519908061</c:v>
                </c:pt>
                <c:pt idx="37">
                  <c:v>1785727.7519908061</c:v>
                </c:pt>
                <c:pt idx="38">
                  <c:v>1785727.7519908061</c:v>
                </c:pt>
                <c:pt idx="39">
                  <c:v>1785727.7519908061</c:v>
                </c:pt>
                <c:pt idx="40">
                  <c:v>1785727.7519908061</c:v>
                </c:pt>
                <c:pt idx="41">
                  <c:v>1785727.7519908061</c:v>
                </c:pt>
                <c:pt idx="42">
                  <c:v>1785727.7519908061</c:v>
                </c:pt>
                <c:pt idx="43">
                  <c:v>1785727.7519908061</c:v>
                </c:pt>
                <c:pt idx="44">
                  <c:v>1785727.7519908061</c:v>
                </c:pt>
                <c:pt idx="45">
                  <c:v>1785727.7519908061</c:v>
                </c:pt>
                <c:pt idx="46">
                  <c:v>1785727.7519908061</c:v>
                </c:pt>
                <c:pt idx="47">
                  <c:v>1785727.7519908061</c:v>
                </c:pt>
                <c:pt idx="48">
                  <c:v>1785727.7519908061</c:v>
                </c:pt>
                <c:pt idx="49">
                  <c:v>1785727.7519908061</c:v>
                </c:pt>
                <c:pt idx="50">
                  <c:v>1785727.7519908061</c:v>
                </c:pt>
                <c:pt idx="51">
                  <c:v>1785727.7519908061</c:v>
                </c:pt>
                <c:pt idx="52">
                  <c:v>1785727.7519908061</c:v>
                </c:pt>
                <c:pt idx="53">
                  <c:v>1785727.7519908061</c:v>
                </c:pt>
                <c:pt idx="54">
                  <c:v>1785727.7519908061</c:v>
                </c:pt>
                <c:pt idx="55">
                  <c:v>1785727.7519908061</c:v>
                </c:pt>
                <c:pt idx="56">
                  <c:v>1785727.7519908061</c:v>
                </c:pt>
                <c:pt idx="57">
                  <c:v>1785727.7519908061</c:v>
                </c:pt>
                <c:pt idx="58">
                  <c:v>1785727.7519908061</c:v>
                </c:pt>
                <c:pt idx="59">
                  <c:v>1785727.7519908061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C65C509-8792-4BAE-8939-A4AAFC49CA0F}">
    <Anchor>
      <Comment id="{8688D2C0-0735-4753-B782-CA7282005B7F}"/>
    </Anchor>
    <History>
      <Event time="2025-11-08T13:41:43.60" id="{AE4EF517-1873-468E-8417-22A9F94DFB29}">
        <Attribution userId="S::tasneema@emergy.co.za::9a0cc615-e4de-4e2f-ae82-9f40753a7d8a" userName="Tasneema van Harte" userProvider="AD"/>
        <Anchor>
          <Comment id="{8688D2C0-0735-4753-B782-CA7282005B7F}"/>
        </Anchor>
        <Create/>
      </Event>
      <Event time="2025-11-08T13:41:43.60" id="{147BB51F-8928-4A6C-9ECC-E344F6CB03CD}">
        <Attribution userId="S::tasneema@emergy.co.za::9a0cc615-e4de-4e2f-ae82-9f40753a7d8a" userName="Tasneema van Harte" userProvider="AD"/>
        <Anchor>
          <Comment id="{8688D2C0-0735-4753-B782-CA7282005B7F}"/>
        </Anchor>
        <Assign userId="S::mizelda@emergentenergy.co.za::3a5c2ad2-993e-4fe1-a333-48e19c6adda8" userName="Mizelda Isaacs" userProvider="AD"/>
      </Event>
      <Event time="2025-11-08T13:41:43.60" id="{F993BCFE-84D6-4BAE-BB6A-F7D20C1E1C01}">
        <Attribution userId="S::tasneema@emergy.co.za::9a0cc615-e4de-4e2f-ae82-9f40753a7d8a" userName="Tasneema van Harte" userProvider="AD"/>
        <Anchor>
          <Comment id="{8688D2C0-0735-4753-B782-CA7282005B7F}"/>
        </Anchor>
        <SetTitle title="@Roedolph Venter and @Mizelda Isaacsplease finilize what is due to them"/>
      </Event>
    </History>
  </Task>
  <Task id="{A37F8DF2-9284-497F-B664-310AFBAF3546}">
    <Anchor>
      <Comment id="{E3476076-E33C-4EA5-98F8-E1461F3B22F9}"/>
    </Anchor>
    <History>
      <Event time="2025-01-10T09:35:40.23" id="{BEF89284-9AC1-4A76-BA58-F00E8807C65C}">
        <Attribution userId="S::tasneema@emergy.co.za::9a0cc615-e4de-4e2f-ae82-9f40753a7d8a" userName="Tasneema van Harte" userProvider="AD"/>
        <Anchor>
          <Comment id="{E3476076-E33C-4EA5-98F8-E1461F3B22F9}"/>
        </Anchor>
        <Create/>
      </Event>
      <Event time="2025-01-10T09:35:40.23" id="{E54B2ED8-08FA-4B5F-B63C-CD4AFA48C65D}">
        <Attribution userId="S::tasneema@emergy.co.za::9a0cc615-e4de-4e2f-ae82-9f40753a7d8a" userName="Tasneema van Harte" userProvider="AD"/>
        <Anchor>
          <Comment id="{E3476076-E33C-4EA5-98F8-E1461F3B22F9}"/>
        </Anchor>
        <Assign userId="S::mizelda@emergentenergy.co.za::3a5c2ad2-993e-4fe1-a333-48e19c6adda8" userName="Mizelda Isaacs" userProvider="AD"/>
      </Event>
      <Event time="2025-01-10T09:35:40.23" id="{6261AAED-8C53-4380-AA07-C15EAF402DE3}">
        <Attribution userId="S::tasneema@emergy.co.za::9a0cc615-e4de-4e2f-ae82-9f40753a7d8a" userName="Tasneema van Harte" userProvider="AD"/>
        <Anchor>
          <Comment id="{E3476076-E33C-4EA5-98F8-E1461F3B22F9}"/>
        </Anchor>
        <SetTitle title="@Mizelda Isaacs please update the date as we have yet to make the payment"/>
      </Event>
      <Event time="2025-01-10T11:11:56.81" id="{C01242BF-867E-43EC-90A0-0292E158D365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697406</xdr:colOff>
      <xdr:row>6</xdr:row>
      <xdr:rowOff>144234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19BBCCFF-5E44-4832-BBBF-756766A6C554}" userId="mizelda@emergentenergy.co.za" providerId="PeoplePicker"/>
  <person displayName="Roedolph Venter" id="{615C127B-90B3-452F-8D86-535C799CF1F9}" userId="roedolph@emergentenergy.co.za" providerId="PeoplePicker"/>
  <person displayName="Tasneema van Harte" id="{6C2C7F20-525C-469C-8F02-0941B8687327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148145" createdVersion="8" refreshedVersion="8" minRefreshableVersion="3" recordCount="119" xr:uid="{5501410B-D70C-4B2D-91F7-76BD0FC02E9D}">
  <cacheSource type="worksheet">
    <worksheetSource ref="N4:T123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379629" createdVersion="8" refreshedVersion="8" minRefreshableVersion="3" recordCount="119" xr:uid="{CFE685BB-DDF2-42BA-9528-D7F36DD72BD0}">
  <cacheSource type="worksheet">
    <worksheetSource ref="M4:X123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47">
        <m/>
        <n v="260538.24433160335"/>
        <n v="1200.2898211229754"/>
        <n v="8477.0468616810158"/>
        <n v="45689.109510219219"/>
        <n v="0"/>
        <n v="88116.996168141181"/>
        <n v="58023.896852406018"/>
        <n v="1414.106979452805"/>
        <n v="78159.936680250452"/>
        <n v="5202.5633197495545"/>
        <n v="44355.655783165217"/>
        <n v="9288.6219216834779"/>
        <n v="13932.932882525218"/>
        <n v="18577.243843366956"/>
        <n v="23221.554804208692"/>
        <n v="4644.310960841739"/>
        <n v="6085.4068218652392"/>
        <n v="10474.886830061909"/>
        <n v="3168.69"/>
        <n v="27194.161735210288"/>
        <n v="14326.859531870128"/>
        <n v="51098.741294541425"/>
        <n v="76648.111941812138"/>
        <n v="19415.48750636465"/>
        <n v="29123.231259546974"/>
        <n v="38830.975012729301"/>
        <n v="48538.718765911624"/>
        <n v="9707.7437531823252"/>
        <n v="49914.42"/>
        <n v="14529.411768999998"/>
        <n v="21794.117653499998"/>
        <n v="29058.823537999997"/>
        <n v="36323.529422499996"/>
        <n v="7264.7058844999992"/>
        <n v="3007.4293108335673"/>
        <n v="4511.1439662503508"/>
        <n v="8791.1500153639045"/>
        <n v="9481.8375192048807"/>
        <n v="3792.7350076819525"/>
        <n v="1896.3675038409763"/>
        <n v="1896.36216860792"/>
        <n v="40306.800750857205"/>
        <n v="11462.155675412685"/>
        <n v="52936.923696579433"/>
        <n v="118007.18090000001"/>
        <n v="540.34403629542987"/>
        <n v="568.24839458014196"/>
        <n v="591.25409047679432"/>
        <n v="27.123818011767469"/>
        <n v="399.26696446413001"/>
        <n v="756.11239942569"/>
        <n v="756.1131417960404" u="1"/>
        <n v="1751.9921686079165" u="1"/>
        <n v="1155.3868220796207" u="1"/>
        <n v="6835.6767026475654" u="1"/>
        <n v="2159.5898963231689" u="1"/>
        <n v="46371.181766472902" u="1"/>
        <n v="12236.456689735802" u="1"/>
        <n v="2090.402842134326" u="1"/>
        <n v="5136.8070670124707" u="1"/>
        <n v="6537.1691642409623" u="1"/>
        <n v="8171.4614553012034" u="1"/>
        <n v="3268.5845821204812" u="1"/>
        <n v="1634.2922910602406" u="1"/>
        <n v="56855.930929626418" u="1"/>
        <n v="36387.795794960904" u="1"/>
        <n v="23444.345837400248" u="1"/>
        <n v="12101.608735855614" u="1"/>
        <n v="41145.469701909089" u="1"/>
        <n v="15732.0913566123" u="1"/>
        <n v="25583.665268222758" u="1"/>
        <n v="562.93839458014202" u="1"/>
        <n v="11410.137790997323" u="1"/>
        <n v="5048.1363802220085" u="1"/>
        <n v="3212.1628329777991" u="1"/>
        <n v="4818.2442494666984" u="1"/>
        <n v="6424.3256659555982" u="1"/>
        <n v="8030.4070824444971" u="1"/>
        <n v="1606.0814164888995" u="1"/>
        <n v="585.50222617614259" u="1"/>
        <n v="111990.1617664729" u="1"/>
        <n v="55366.448836793272" u="1"/>
        <n v="89881.218274111685" u="1"/>
        <n v="48685.659898477155" u="1"/>
        <n v="8988.121827411167" u="1"/>
        <n v="72489.130434782608" u="1"/>
        <n v="10873.36956521739" u="1"/>
        <n v="60963.078735986557" u="1"/>
        <n v="12192.615747197313" u="1"/>
        <n v="6408.6180516816175" u="1"/>
        <n v="9612.9270775224231" u="1"/>
        <n v="12817.236103363235" u="1"/>
        <n v="16021.545129204042" u="1"/>
        <n v="3204.3090258408088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47593.58290909091" u="1"/>
        <n v="31729.055272727273" u="1"/>
        <n v="25383.244218181819" u="1"/>
        <n v="2882.3529410000001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258832.55670623601" u="1"/>
        <n v="58777.82408752798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190075587830506E-3" maxValue="4.2105344982701354E-3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384202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m/>
    <m/>
    <m/>
    <m/>
    <m/>
    <x v="0"/>
  </r>
  <r>
    <x v="1"/>
    <s v="Canadian Solar 555W - Deposit - Herholdts"/>
    <n v="266"/>
    <n v="1415.25"/>
    <n v="188228.25"/>
    <s v="Herholdts Inv: INV875402"/>
    <x v="1"/>
  </r>
  <r>
    <x v="1"/>
    <m/>
    <m/>
    <m/>
    <n v="188228.25"/>
    <s v="Herholdts Inv: INV875402"/>
    <x v="1"/>
  </r>
  <r>
    <x v="1"/>
    <s v="Handling Fee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1296"/>
    <s v="Supply Chain: Inv SCO04502"/>
    <x v="2"/>
  </r>
  <r>
    <x v="1"/>
    <s v="Storage and delivery budget"/>
    <m/>
    <m/>
    <m/>
    <m/>
    <x v="0"/>
  </r>
  <r>
    <x v="0"/>
    <m/>
    <m/>
    <m/>
    <m/>
    <m/>
    <x v="3"/>
  </r>
  <r>
    <x v="2"/>
    <s v="Huawei 100KTL"/>
    <n v="1"/>
    <n v="68870"/>
    <n v="68870"/>
    <s v="Kathea Inv 518635"/>
    <x v="4"/>
  </r>
  <r>
    <x v="2"/>
    <s v="Huawei 50KTL"/>
    <n v="1"/>
    <n v="45350"/>
    <n v="45350"/>
    <s v="Kathea Inv518655"/>
    <x v="2"/>
  </r>
  <r>
    <x v="2"/>
    <s v="Delivery"/>
    <m/>
    <m/>
    <n v="1105.23"/>
    <s v="Kathea Inv 518635"/>
    <x v="4"/>
  </r>
  <r>
    <x v="2"/>
    <m/>
    <m/>
    <m/>
    <m/>
    <m/>
    <x v="3"/>
  </r>
  <r>
    <x v="0"/>
    <m/>
    <m/>
    <m/>
    <m/>
    <m/>
    <x v="3"/>
  </r>
  <r>
    <x v="3"/>
    <s v="KlipLok Roof"/>
    <n v="1"/>
    <n v="27793.200000000001"/>
    <n v="27793.200000000001"/>
    <s v="Schletter INV0895"/>
    <x v="4"/>
  </r>
  <r>
    <x v="3"/>
    <m/>
    <m/>
    <m/>
    <n v="9567"/>
    <s v="SCHLETTER - INV1081"/>
    <x v="5"/>
  </r>
  <r>
    <x v="3"/>
    <s v="Delivery"/>
    <m/>
    <m/>
    <n v="1850"/>
    <s v="Schletter Inv0893"/>
    <x v="4"/>
  </r>
  <r>
    <x v="3"/>
    <s v="Schletter Credit: MS"/>
    <m/>
    <m/>
    <n v="-16818.88"/>
    <s v="Schletter Credit Note: CRN0159"/>
    <x v="5"/>
  </r>
  <r>
    <x v="3"/>
    <m/>
    <m/>
    <m/>
    <m/>
    <m/>
    <x v="3"/>
  </r>
  <r>
    <x v="0"/>
    <m/>
    <m/>
    <m/>
    <m/>
    <m/>
    <x v="3"/>
  </r>
  <r>
    <x v="4"/>
    <s v="DC Cable "/>
    <n v="3000"/>
    <n v="13.5"/>
    <n v="40500"/>
    <s v="Herholdts Inv: INV922149"/>
    <x v="2"/>
  </r>
  <r>
    <x v="4"/>
    <s v="Delivery"/>
    <m/>
    <m/>
    <m/>
    <m/>
    <x v="0"/>
  </r>
  <r>
    <x v="4"/>
    <s v="Project Kick Off"/>
    <n v="84812"/>
    <n v="0.1"/>
    <n v="8481.2000000000007"/>
    <s v="Thula Moya INV IN04448"/>
    <x v="4"/>
  </r>
  <r>
    <x v="4"/>
    <s v="Site Establishment"/>
    <m/>
    <n v="0.15"/>
    <n v="12721.8"/>
    <s v="Thula Moya IN0449"/>
    <x v="2"/>
  </r>
  <r>
    <x v="4"/>
    <s v="AC Installation Complete"/>
    <m/>
    <n v="0.2"/>
    <n v="16962.400000000001"/>
    <s v="Thula Moya IN04519"/>
    <x v="5"/>
  </r>
  <r>
    <x v="4"/>
    <s v="DC Installation Complete"/>
    <m/>
    <n v="0.25"/>
    <n v="21203"/>
    <s v="Thula Moya IN04520"/>
    <x v="5"/>
  </r>
  <r>
    <x v="4"/>
    <s v="Commissioning Complete"/>
    <m/>
    <n v="0.1"/>
    <n v="8481.2000000000007"/>
    <s v="Thula Moya IN04521"/>
    <x v="5"/>
  </r>
  <r>
    <x v="4"/>
    <s v="Site De-establisment"/>
    <m/>
    <n v="0.1"/>
    <n v="8481.2000000000007"/>
    <s v="Thula Moya IN04537"/>
    <x v="5"/>
  </r>
  <r>
    <x v="4"/>
    <s v="Handover Document Complete"/>
    <m/>
    <n v="0.05"/>
    <n v="4240.6000000000004"/>
    <s v="Thula Moya IN04538"/>
    <x v="5"/>
  </r>
  <r>
    <x v="4"/>
    <s v="End of Defects Period"/>
    <m/>
    <n v="0.05"/>
    <n v="4240.6000000000004"/>
    <s v="Thula Moya IN04594"/>
    <x v="6"/>
  </r>
  <r>
    <x v="0"/>
    <m/>
    <m/>
    <m/>
    <m/>
    <m/>
    <x v="3"/>
  </r>
  <r>
    <x v="5"/>
    <s v="Smartlogger 3000"/>
    <n v="1"/>
    <n v="8000"/>
    <n v="8000"/>
    <s v="Solarworld SASIV-24-00517"/>
    <x v="7"/>
  </r>
  <r>
    <x v="5"/>
    <s v="CTs"/>
    <m/>
    <m/>
    <n v="13770.5"/>
    <s v="AccuEnergy ASAI-003743"/>
    <x v="7"/>
  </r>
  <r>
    <x v="5"/>
    <s v="Revenue Grade Meter"/>
    <n v="1"/>
    <n v="11169"/>
    <n v="11169"/>
    <s v="MATRIARCH - INV-3278"/>
    <x v="5"/>
  </r>
  <r>
    <x v="5"/>
    <s v="SCADA"/>
    <m/>
    <m/>
    <n v="35750"/>
    <s v="Rubicon INVWCRE-0060133"/>
    <x v="7"/>
  </r>
  <r>
    <x v="5"/>
    <s v="Frontline Comms Equipment"/>
    <m/>
    <m/>
    <n v="2562.5099999999998"/>
    <s v="Frontline Electrical: INV697940"/>
    <x v="2"/>
  </r>
  <r>
    <x v="5"/>
    <s v="DNP3 Controller"/>
    <m/>
    <m/>
    <n v="35750"/>
    <s v="Rubicon INVWCRE-0062783"/>
    <x v="5"/>
  </r>
  <r>
    <x v="0"/>
    <m/>
    <m/>
    <m/>
    <m/>
    <m/>
    <x v="3"/>
  </r>
  <r>
    <x v="6"/>
    <m/>
    <m/>
    <m/>
    <m/>
    <m/>
    <x v="3"/>
  </r>
  <r>
    <x v="6"/>
    <s v="AC &amp; Comms Board - Deposit"/>
    <n v="0.4"/>
    <n v="62800"/>
    <n v="25120"/>
    <s v="Cosmic Sun CS_SAMPVDB_001"/>
    <x v="4"/>
  </r>
  <r>
    <x v="6"/>
    <s v="AC &amp; Comms Board - Balance"/>
    <n v="0.6"/>
    <m/>
    <n v="37680"/>
    <s v="Cosmic Sun CS_SAMPVDB_002"/>
    <x v="2"/>
  </r>
  <r>
    <x v="6"/>
    <m/>
    <m/>
    <m/>
    <m/>
    <m/>
    <x v="0"/>
  </r>
  <r>
    <x v="6"/>
    <m/>
    <m/>
    <m/>
    <m/>
    <m/>
    <x v="3"/>
  </r>
  <r>
    <x v="6"/>
    <s v="Project Kick Off"/>
    <n v="95446"/>
    <n v="0.1"/>
    <n v="9544.6"/>
    <s v="Thula Moya INV IN04448"/>
    <x v="4"/>
  </r>
  <r>
    <x v="6"/>
    <s v="Site Establishment"/>
    <m/>
    <n v="0.15"/>
    <n v="14316.9"/>
    <s v="Thula Moya IN0449"/>
    <x v="2"/>
  </r>
  <r>
    <x v="6"/>
    <s v="AC Installation Complete"/>
    <m/>
    <n v="0.2"/>
    <n v="19089.2"/>
    <s v="Thula Moya IN04519"/>
    <x v="5"/>
  </r>
  <r>
    <x v="6"/>
    <s v="DC Installation Complete"/>
    <m/>
    <n v="0.25"/>
    <n v="23861.5"/>
    <s v="Thula Moya IN04520"/>
    <x v="5"/>
  </r>
  <r>
    <x v="6"/>
    <s v="Commissioning Complete"/>
    <m/>
    <n v="0.1"/>
    <n v="9544.6"/>
    <s v="Thula Moya IN04521"/>
    <x v="5"/>
  </r>
  <r>
    <x v="6"/>
    <s v="Site De-establisment"/>
    <m/>
    <n v="0.1"/>
    <n v="9544.6"/>
    <s v="Thula Moya IN04537"/>
    <x v="5"/>
  </r>
  <r>
    <x v="6"/>
    <s v="Handover Document Complete"/>
    <m/>
    <n v="0.05"/>
    <n v="4772.3"/>
    <s v="Thula Moya IN04538"/>
    <x v="5"/>
  </r>
  <r>
    <x v="6"/>
    <s v="End of Defects Period"/>
    <m/>
    <n v="0.05"/>
    <n v="4772.3"/>
    <s v="Thula Moya IN04594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lkways - Transport"/>
    <m/>
    <m/>
    <n v="4025"/>
    <s v="Onvlee Engineering:  Inv01048652"/>
    <x v="2"/>
  </r>
  <r>
    <x v="8"/>
    <s v="Mounting Structure for Walkways"/>
    <m/>
    <m/>
    <n v="4244.32"/>
    <s v="Schletter INV0951"/>
    <x v="2"/>
  </r>
  <r>
    <x v="8"/>
    <s v="Walkways"/>
    <m/>
    <m/>
    <n v="41645.1"/>
    <s v="Onvlee Engineering:  Inv01048652"/>
    <x v="2"/>
  </r>
  <r>
    <x v="8"/>
    <s v="Supply and Install Tie in Breaker - Thula Moya"/>
    <m/>
    <m/>
    <n v="24300.959999999999"/>
    <s v="Thula Moya IN04487"/>
    <x v="2"/>
  </r>
  <r>
    <x v="8"/>
    <s v="Installation of walkways"/>
    <m/>
    <m/>
    <n v="9084"/>
    <s v="Thula Moya IN04597"/>
    <x v="6"/>
  </r>
  <r>
    <x v="8"/>
    <m/>
    <m/>
    <m/>
    <m/>
    <m/>
    <x v="6"/>
  </r>
  <r>
    <x v="0"/>
    <m/>
    <m/>
    <m/>
    <m/>
    <m/>
    <x v="3"/>
  </r>
  <r>
    <x v="9"/>
    <s v="Project Kick Off"/>
    <n v="103690"/>
    <n v="0.1"/>
    <n v="10369"/>
    <s v="Thula Moya INV IN04448"/>
    <x v="4"/>
  </r>
  <r>
    <x v="9"/>
    <s v="Site Establishment"/>
    <m/>
    <n v="0.15"/>
    <n v="15553.5"/>
    <s v="Thula Moya IN0449"/>
    <x v="2"/>
  </r>
  <r>
    <x v="9"/>
    <s v="AC Installation Complete"/>
    <m/>
    <n v="0.2"/>
    <n v="20738"/>
    <s v="Thula Moya IN04519"/>
    <x v="5"/>
  </r>
  <r>
    <x v="9"/>
    <s v="DC Installation Complete"/>
    <m/>
    <n v="0.25"/>
    <n v="25922.5"/>
    <s v="Thula Moya IN04520"/>
    <x v="5"/>
  </r>
  <r>
    <x v="9"/>
    <s v="Commissioning Complete"/>
    <m/>
    <n v="0.1"/>
    <n v="10369"/>
    <s v="Thula Moya IN04521"/>
    <x v="5"/>
  </r>
  <r>
    <x v="9"/>
    <s v="Site De-establisment"/>
    <m/>
    <n v="0.1"/>
    <n v="10369"/>
    <s v="Thula Moya IN04537"/>
    <x v="5"/>
  </r>
  <r>
    <x v="9"/>
    <s v="Handover Document Complete"/>
    <m/>
    <n v="0.05"/>
    <n v="5184.5"/>
    <s v="Thula Moya IN04538"/>
    <x v="5"/>
  </r>
  <r>
    <x v="9"/>
    <s v="End of Defects Period"/>
    <m/>
    <n v="0.05"/>
    <n v="5184.5"/>
    <s v="Thula Moya IN04594"/>
    <x v="6"/>
  </r>
  <r>
    <x v="0"/>
    <m/>
    <m/>
    <m/>
    <m/>
    <m/>
    <x v="3"/>
  </r>
  <r>
    <x v="10"/>
    <s v="Security"/>
    <m/>
    <m/>
    <m/>
    <m/>
    <x v="0"/>
  </r>
  <r>
    <x v="10"/>
    <m/>
    <m/>
    <m/>
    <m/>
    <m/>
    <x v="3"/>
  </r>
  <r>
    <x v="10"/>
    <s v="Project Kick Off"/>
    <n v="87820"/>
    <n v="0.1"/>
    <n v="8782"/>
    <s v="Thula Moya INV IN04448"/>
    <x v="4"/>
  </r>
  <r>
    <x v="10"/>
    <s v="Site Establishment"/>
    <m/>
    <n v="0.15"/>
    <n v="13173"/>
    <s v="Thula Moya IN0449"/>
    <x v="2"/>
  </r>
  <r>
    <x v="10"/>
    <s v="AC Installation Complete"/>
    <m/>
    <n v="0.2"/>
    <n v="19089.2"/>
    <s v="Thula Moya IN04519"/>
    <x v="5"/>
  </r>
  <r>
    <x v="10"/>
    <s v="DC Installation Complete"/>
    <m/>
    <n v="0.25"/>
    <n v="23861.5"/>
    <s v="Thula Moya IN04520"/>
    <x v="5"/>
  </r>
  <r>
    <x v="10"/>
    <s v="Commissioning Complete"/>
    <m/>
    <n v="0.1"/>
    <n v="9544.6"/>
    <s v="Thula Moya IN04521"/>
    <x v="5"/>
  </r>
  <r>
    <x v="10"/>
    <s v="Site De-establisment"/>
    <m/>
    <n v="0.1"/>
    <n v="9544.6"/>
    <s v="Thula Moya IN04537"/>
    <x v="5"/>
  </r>
  <r>
    <x v="10"/>
    <s v="Handover Document Complete"/>
    <m/>
    <n v="0.05"/>
    <n v="4772.3"/>
    <s v="Thula Moya IN04538"/>
    <x v="5"/>
  </r>
  <r>
    <x v="10"/>
    <s v="End of Defects Period"/>
    <m/>
    <n v="0.05"/>
    <n v="4391"/>
    <s v="Thula Moya IN04594"/>
    <x v="6"/>
  </r>
  <r>
    <x v="10"/>
    <m/>
    <m/>
    <m/>
    <m/>
    <m/>
    <x v="3"/>
  </r>
  <r>
    <x v="0"/>
    <m/>
    <m/>
    <m/>
    <m/>
    <m/>
    <x v="3"/>
  </r>
  <r>
    <x v="11"/>
    <s v="Electrical PrEng sign off"/>
    <m/>
    <m/>
    <n v="3347.62"/>
    <s v="Sun Spot Inv E005"/>
    <x v="5"/>
  </r>
  <r>
    <x v="11"/>
    <s v="Structural sign off"/>
    <m/>
    <m/>
    <n v="2520"/>
    <s v="L&amp;B Consulting Inv1742"/>
    <x v="7"/>
  </r>
  <r>
    <x v="11"/>
    <m/>
    <m/>
    <m/>
    <m/>
    <m/>
    <x v="3"/>
  </r>
  <r>
    <x v="11"/>
    <m/>
    <m/>
    <m/>
    <m/>
    <m/>
    <x v="3"/>
  </r>
  <r>
    <x v="11"/>
    <s v="Red Team Inspection"/>
    <m/>
    <m/>
    <n v="6000"/>
    <s v="MATRIARCH - INV-3413"/>
    <x v="5"/>
  </r>
  <r>
    <x v="0"/>
    <m/>
    <m/>
    <m/>
    <m/>
    <m/>
    <x v="3"/>
  </r>
  <r>
    <x v="12"/>
    <s v="Referral Fee"/>
    <m/>
    <m/>
    <n v="24241.46"/>
    <s v="Green Co Inv: INV0000518"/>
    <x v="7"/>
  </r>
  <r>
    <x v="12"/>
    <s v="Referral Fee"/>
    <m/>
    <m/>
    <n v="24241.46"/>
    <s v="Green Co Inv: INV0000527"/>
    <x v="5"/>
  </r>
  <r>
    <x v="12"/>
    <m/>
    <m/>
    <m/>
    <m/>
    <m/>
    <x v="3"/>
  </r>
  <r>
    <x v="0"/>
    <m/>
    <m/>
    <m/>
    <m/>
    <m/>
    <x v="3"/>
  </r>
  <r>
    <x v="13"/>
    <s v="Matriarch Defects Period"/>
    <m/>
    <m/>
    <n v="21667.67"/>
    <s v="Matriarch Inv: INV-3417"/>
    <x v="5"/>
  </r>
  <r>
    <x v="13"/>
    <s v="Management"/>
    <m/>
    <m/>
    <n v="50400"/>
    <s v="Matriarch - INV-5021"/>
    <x v="8"/>
  </r>
  <r>
    <x v="13"/>
    <s v="Project manager "/>
    <m/>
    <m/>
    <n v="0"/>
    <m/>
    <x v="0"/>
  </r>
  <r>
    <x v="13"/>
    <s v="Planner time"/>
    <m/>
    <m/>
    <n v="0"/>
    <m/>
    <x v="0"/>
  </r>
  <r>
    <x v="13"/>
    <s v="De Snagging"/>
    <m/>
    <m/>
    <n v="0"/>
    <m/>
    <x v="0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Car travel to site"/>
    <m/>
    <m/>
    <n v="1522.74"/>
    <s v="Expense Claim"/>
    <x v="7"/>
  </r>
  <r>
    <x v="14"/>
    <m/>
    <m/>
    <s v=" 1 570.98 "/>
    <n v="1570.98"/>
    <s v="Expense Claim"/>
    <x v="4"/>
  </r>
  <r>
    <x v="14"/>
    <m/>
    <m/>
    <m/>
    <n v="1671"/>
    <s v="Expense Claim"/>
    <x v="2"/>
  </r>
  <r>
    <x v="14"/>
    <m/>
    <m/>
    <m/>
    <n v="53.96"/>
    <s v="Expense Claim"/>
    <x v="5"/>
  </r>
  <r>
    <x v="14"/>
    <m/>
    <m/>
    <m/>
    <n v="1016.01"/>
    <s v="Expense Claim"/>
    <x v="6"/>
  </r>
  <r>
    <x v="14"/>
    <m/>
    <m/>
    <m/>
    <n v="423.22"/>
    <s v="Expense Claim"/>
    <x v="9"/>
  </r>
  <r>
    <x v="14"/>
    <m/>
    <m/>
    <m/>
    <n v="1087.98"/>
    <s v="Expense Claim"/>
    <x v="10"/>
  </r>
  <r>
    <x v="14"/>
    <m/>
    <m/>
    <m/>
    <m/>
    <m/>
    <x v="3"/>
  </r>
  <r>
    <x v="0"/>
    <m/>
    <m/>
    <m/>
    <m/>
    <m/>
    <x v="3"/>
  </r>
  <r>
    <x v="15"/>
    <s v="Moving inverter and changing tie-in points"/>
    <m/>
    <m/>
    <n v="19463.419999999998"/>
    <s v="Thula Moya - IN04750"/>
    <x v="11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m/>
    <x v="0"/>
    <m/>
    <m/>
    <m/>
    <m/>
    <m/>
    <x v="0"/>
    <x v="0"/>
    <m/>
    <m/>
    <m/>
  </r>
  <r>
    <n v="1"/>
    <x v="1"/>
    <s v="Canadian Solar 555W - Deposit - Herholdts"/>
    <n v="266"/>
    <n v="1415.25"/>
    <n v="188228.25"/>
    <s v="Herholdts Inv: INV875402"/>
    <x v="1"/>
    <x v="1"/>
    <n v="2.643770189024508E-3"/>
    <d v="2024-09-27T00:00:00"/>
    <n v="384202.5"/>
  </r>
  <r>
    <n v="1"/>
    <x v="1"/>
    <m/>
    <m/>
    <m/>
    <n v="188228.25"/>
    <s v="Herholdts Inv: INV875402"/>
    <x v="1"/>
    <x v="1"/>
    <m/>
    <d v="2024-10-31T00:00:00"/>
    <m/>
  </r>
  <r>
    <n v="1"/>
    <x v="1"/>
    <s v="Handling Fee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1296"/>
    <s v="Supply Chain: Inv SCO04502"/>
    <x v="2"/>
    <x v="4"/>
    <m/>
    <d v="2024-11-29T00:00:00"/>
    <m/>
  </r>
  <r>
    <n v="1"/>
    <x v="1"/>
    <s v="Storage and delivery budget"/>
    <m/>
    <m/>
    <m/>
    <m/>
    <x v="0"/>
    <x v="5"/>
    <m/>
    <m/>
    <m/>
  </r>
  <r>
    <m/>
    <x v="0"/>
    <m/>
    <m/>
    <m/>
    <m/>
    <m/>
    <x v="3"/>
    <x v="0"/>
    <m/>
    <m/>
    <m/>
  </r>
  <r>
    <n v="2"/>
    <x v="2"/>
    <s v="Huawei 100KTL"/>
    <n v="1"/>
    <n v="68870"/>
    <n v="68870"/>
    <s v="Kathea Inv 518635"/>
    <x v="4"/>
    <x v="6"/>
    <n v="0"/>
    <d v="2024-10-31T00:00:00"/>
    <n v="115325.23"/>
  </r>
  <r>
    <n v="2"/>
    <x v="2"/>
    <s v="Huawei 50KTL"/>
    <n v="1"/>
    <n v="45350"/>
    <n v="45350"/>
    <s v="Kathea Inv518655"/>
    <x v="2"/>
    <x v="7"/>
    <m/>
    <d v="2024-10-31T00:00:00"/>
    <m/>
  </r>
  <r>
    <n v="2"/>
    <x v="2"/>
    <s v="Delivery"/>
    <m/>
    <m/>
    <n v="1105.23"/>
    <s v="Kathea Inv 518635"/>
    <x v="4"/>
    <x v="8"/>
    <m/>
    <d v="2024-10-31T00:00:00"/>
    <m/>
  </r>
  <r>
    <n v="2"/>
    <x v="2"/>
    <m/>
    <m/>
    <m/>
    <m/>
    <m/>
    <x v="3"/>
    <x v="5"/>
    <m/>
    <m/>
    <m/>
  </r>
  <r>
    <m/>
    <x v="0"/>
    <m/>
    <m/>
    <m/>
    <m/>
    <m/>
    <x v="3"/>
    <x v="0"/>
    <m/>
    <m/>
    <m/>
  </r>
  <r>
    <n v="3"/>
    <x v="3"/>
    <s v="KlipLok Roof"/>
    <n v="1"/>
    <n v="27793.200000000001"/>
    <n v="27793.200000000001"/>
    <s v="Schletter INV0895"/>
    <x v="4"/>
    <x v="9"/>
    <n v="0"/>
    <d v="2024-09-23T00:00:00"/>
    <n v="22391.319999999996"/>
  </r>
  <r>
    <n v="3"/>
    <x v="3"/>
    <m/>
    <m/>
    <m/>
    <n v="9567"/>
    <s v="SCHLETTER - INV1081"/>
    <x v="5"/>
    <x v="5"/>
    <m/>
    <d v="2024-12-19T00:00:00"/>
    <m/>
  </r>
  <r>
    <n v="3"/>
    <x v="3"/>
    <s v="Delivery"/>
    <m/>
    <m/>
    <n v="1850"/>
    <s v="Schletter Inv0893"/>
    <x v="4"/>
    <x v="10"/>
    <m/>
    <d v="2024-09-23T00:00:00"/>
    <m/>
  </r>
  <r>
    <n v="3"/>
    <x v="3"/>
    <s v="Schletter Credit: MS"/>
    <m/>
    <m/>
    <n v="-16818.88"/>
    <s v="Schletter Credit Note: CRN0159"/>
    <x v="5"/>
    <x v="5"/>
    <m/>
    <d v="2024-12-19T00:00:00"/>
    <m/>
  </r>
  <r>
    <n v="3"/>
    <x v="3"/>
    <m/>
    <m/>
    <m/>
    <m/>
    <m/>
    <x v="3"/>
    <x v="5"/>
    <m/>
    <m/>
    <m/>
  </r>
  <r>
    <m/>
    <x v="0"/>
    <m/>
    <m/>
    <m/>
    <m/>
    <m/>
    <x v="3"/>
    <x v="0"/>
    <m/>
    <m/>
    <m/>
  </r>
  <r>
    <n v="4"/>
    <x v="4"/>
    <s v="DC Cable "/>
    <n v="3000"/>
    <n v="13.5"/>
    <n v="40500"/>
    <s v="Herholdts Inv: INV922149"/>
    <x v="2"/>
    <x v="11"/>
    <n v="0"/>
    <d v="2024-10-31T00:00:00"/>
    <n v="125312"/>
  </r>
  <r>
    <n v="4"/>
    <x v="4"/>
    <s v="Delivery"/>
    <m/>
    <m/>
    <m/>
    <m/>
    <x v="0"/>
    <x v="5"/>
    <m/>
    <m/>
    <m/>
  </r>
  <r>
    <n v="4"/>
    <x v="4"/>
    <s v="Project Kick Off"/>
    <n v="84812"/>
    <n v="0.1"/>
    <n v="8481.2000000000007"/>
    <s v="Thula Moya INV IN04448"/>
    <x v="4"/>
    <x v="12"/>
    <m/>
    <d v="2024-10-17T00:00:00"/>
    <m/>
  </r>
  <r>
    <n v="4"/>
    <x v="4"/>
    <s v="Site Establishment"/>
    <m/>
    <n v="0.15"/>
    <n v="12721.8"/>
    <s v="Thula Moya IN0449"/>
    <x v="2"/>
    <x v="13"/>
    <m/>
    <d v="2024-10-17T00:00:00"/>
    <m/>
  </r>
  <r>
    <n v="4"/>
    <x v="4"/>
    <s v="AC Installation Complete"/>
    <m/>
    <n v="0.2"/>
    <n v="16962.400000000001"/>
    <s v="Thula Moya IN04519"/>
    <x v="5"/>
    <x v="14"/>
    <m/>
    <d v="2024-11-29T00:00:00"/>
    <m/>
  </r>
  <r>
    <n v="4"/>
    <x v="4"/>
    <s v="DC Installation Complete"/>
    <m/>
    <n v="0.25"/>
    <n v="21203"/>
    <s v="Thula Moya IN04520"/>
    <x v="5"/>
    <x v="15"/>
    <m/>
    <d v="2024-11-29T00:00:00"/>
    <m/>
  </r>
  <r>
    <n v="4"/>
    <x v="4"/>
    <s v="Commissioning Complete"/>
    <m/>
    <n v="0.1"/>
    <n v="8481.2000000000007"/>
    <s v="Thula Moya IN04521"/>
    <x v="5"/>
    <x v="12"/>
    <m/>
    <d v="2025-02-13T00:00:00"/>
    <m/>
  </r>
  <r>
    <n v="4"/>
    <x v="4"/>
    <s v="Site De-establisment"/>
    <m/>
    <n v="0.1"/>
    <n v="8481.2000000000007"/>
    <s v="Thula Moya IN04537"/>
    <x v="5"/>
    <x v="12"/>
    <m/>
    <d v="2024-12-05T00:00:00"/>
    <m/>
  </r>
  <r>
    <n v="4"/>
    <x v="4"/>
    <s v="Handover Document Complete"/>
    <m/>
    <n v="0.05"/>
    <n v="4240.6000000000004"/>
    <s v="Thula Moya IN04538"/>
    <x v="5"/>
    <x v="16"/>
    <m/>
    <d v="2025-02-13T00:00:00"/>
    <m/>
  </r>
  <r>
    <n v="4"/>
    <x v="4"/>
    <s v="End of Defects Period"/>
    <m/>
    <n v="0.05"/>
    <n v="4240.6000000000004"/>
    <s v="Thula Moya IN04594"/>
    <x v="6"/>
    <x v="16"/>
    <m/>
    <d v="2025-03-06T00:00:00"/>
    <m/>
  </r>
  <r>
    <m/>
    <x v="0"/>
    <m/>
    <m/>
    <m/>
    <m/>
    <m/>
    <x v="3"/>
    <x v="0"/>
    <m/>
    <m/>
    <m/>
  </r>
  <r>
    <n v="5"/>
    <x v="5"/>
    <s v="Smartlogger 3000"/>
    <n v="1"/>
    <n v="8000"/>
    <n v="8000"/>
    <s v="Solarworld SASIV-24-00517"/>
    <x v="7"/>
    <x v="17"/>
    <n v="-4.9190075587830506E-3"/>
    <d v="2024-09-26T00:00:00"/>
    <n v="107002.01"/>
  </r>
  <r>
    <n v="5"/>
    <x v="5"/>
    <s v="CTs"/>
    <m/>
    <m/>
    <n v="13770.5"/>
    <s v="AccuEnergy ASAI-003743"/>
    <x v="7"/>
    <x v="18"/>
    <m/>
    <d v="2024-09-27T00:00:00"/>
    <m/>
  </r>
  <r>
    <n v="5"/>
    <x v="5"/>
    <s v="Revenue Grade Meter"/>
    <n v="1"/>
    <n v="11169"/>
    <n v="11169"/>
    <s v="MATRIARCH - INV-3278"/>
    <x v="5"/>
    <x v="19"/>
    <m/>
    <d v="2024-11-30T00:00:00"/>
    <m/>
  </r>
  <r>
    <n v="5"/>
    <x v="5"/>
    <s v="SCADA"/>
    <m/>
    <m/>
    <n v="35750"/>
    <s v="Rubicon INVWCRE-0060133"/>
    <x v="7"/>
    <x v="20"/>
    <m/>
    <d v="2024-09-27T00:00:00"/>
    <m/>
  </r>
  <r>
    <n v="5"/>
    <x v="5"/>
    <s v="Frontline Comms Equipment"/>
    <m/>
    <m/>
    <n v="2562.5099999999998"/>
    <s v="Frontline Electrical: INV697940"/>
    <x v="2"/>
    <x v="21"/>
    <m/>
    <d v="2024-10-10T00:00:00"/>
    <m/>
  </r>
  <r>
    <n v="5"/>
    <x v="5"/>
    <s v="DNP3 Controller"/>
    <m/>
    <m/>
    <n v="35750"/>
    <s v="Rubicon INVWCRE-0062783"/>
    <x v="5"/>
    <x v="5"/>
    <m/>
    <d v="2025-01-09T00:00:00"/>
    <m/>
  </r>
  <r>
    <m/>
    <x v="0"/>
    <m/>
    <m/>
    <m/>
    <m/>
    <m/>
    <x v="3"/>
    <x v="0"/>
    <m/>
    <m/>
    <m/>
  </r>
  <r>
    <n v="6"/>
    <x v="6"/>
    <m/>
    <m/>
    <m/>
    <m/>
    <m/>
    <x v="3"/>
    <x v="5"/>
    <n v="0"/>
    <m/>
    <n v="158245.99999999997"/>
  </r>
  <r>
    <n v="6"/>
    <x v="6"/>
    <s v="AC &amp; Comms Board - Deposit"/>
    <n v="0.4"/>
    <n v="62800"/>
    <n v="25120"/>
    <s v="Cosmic Sun CS_SAMPVDB_001"/>
    <x v="4"/>
    <x v="22"/>
    <m/>
    <d v="2024-10-03T00:00:00"/>
    <m/>
  </r>
  <r>
    <n v="6"/>
    <x v="6"/>
    <s v="AC &amp; Comms Board - Balance"/>
    <n v="0.6"/>
    <m/>
    <n v="37680"/>
    <s v="Cosmic Sun CS_SAMPVDB_002"/>
    <x v="2"/>
    <x v="23"/>
    <m/>
    <d v="2024-10-31T00:00:00"/>
    <m/>
  </r>
  <r>
    <n v="6"/>
    <x v="6"/>
    <m/>
    <m/>
    <m/>
    <m/>
    <m/>
    <x v="0"/>
    <x v="5"/>
    <m/>
    <m/>
    <m/>
  </r>
  <r>
    <n v="6"/>
    <x v="6"/>
    <m/>
    <m/>
    <m/>
    <m/>
    <m/>
    <x v="3"/>
    <x v="5"/>
    <m/>
    <m/>
    <m/>
  </r>
  <r>
    <n v="6"/>
    <x v="6"/>
    <s v="Project Kick Off"/>
    <n v="95446"/>
    <n v="0.1"/>
    <n v="9544.6"/>
    <s v="Thula Moya INV IN04448"/>
    <x v="4"/>
    <x v="24"/>
    <m/>
    <d v="2024-10-17T00:00:00"/>
    <m/>
  </r>
  <r>
    <n v="6"/>
    <x v="6"/>
    <s v="Site Establishment"/>
    <m/>
    <n v="0.15"/>
    <n v="14316.9"/>
    <s v="Thula Moya IN0449"/>
    <x v="2"/>
    <x v="25"/>
    <m/>
    <d v="2024-10-17T00:00:00"/>
    <m/>
  </r>
  <r>
    <n v="6"/>
    <x v="6"/>
    <s v="AC Installation Complete"/>
    <m/>
    <n v="0.2"/>
    <n v="19089.2"/>
    <s v="Thula Moya IN04519"/>
    <x v="5"/>
    <x v="26"/>
    <m/>
    <d v="2024-11-29T00:00:00"/>
    <m/>
  </r>
  <r>
    <n v="6"/>
    <x v="6"/>
    <s v="DC Installation Complete"/>
    <m/>
    <n v="0.25"/>
    <n v="23861.5"/>
    <s v="Thula Moya IN04520"/>
    <x v="5"/>
    <x v="27"/>
    <m/>
    <d v="2024-11-29T00:00:00"/>
    <m/>
  </r>
  <r>
    <n v="6"/>
    <x v="6"/>
    <s v="Commissioning Complete"/>
    <m/>
    <n v="0.1"/>
    <n v="9544.6"/>
    <s v="Thula Moya IN04521"/>
    <x v="5"/>
    <x v="24"/>
    <m/>
    <d v="2025-02-13T00:00:00"/>
    <m/>
  </r>
  <r>
    <n v="6"/>
    <x v="6"/>
    <s v="Site De-establisment"/>
    <m/>
    <n v="0.1"/>
    <n v="9544.6"/>
    <s v="Thula Moya IN04537"/>
    <x v="5"/>
    <x v="24"/>
    <m/>
    <d v="2024-12-05T00:00:00"/>
    <m/>
  </r>
  <r>
    <n v="6"/>
    <x v="6"/>
    <s v="Handover Document Complete"/>
    <m/>
    <n v="0.05"/>
    <n v="4772.3"/>
    <s v="Thula Moya IN04538"/>
    <x v="5"/>
    <x v="28"/>
    <m/>
    <d v="2025-02-13T00:00:00"/>
    <m/>
  </r>
  <r>
    <n v="6"/>
    <x v="6"/>
    <s v="End of Defects Period"/>
    <m/>
    <n v="0.05"/>
    <n v="4772.3"/>
    <s v="Thula Moya IN04594"/>
    <x v="6"/>
    <x v="28"/>
    <m/>
    <d v="2025-03-06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lkways - Transport"/>
    <m/>
    <m/>
    <n v="4025"/>
    <s v="Onvlee Engineering:  Inv01048652"/>
    <x v="2"/>
    <x v="5"/>
    <n v="0"/>
    <d v="2024-10-10T00:00:00"/>
    <n v="83299.38"/>
  </r>
  <r>
    <n v="8"/>
    <x v="8"/>
    <s v="Mounting Structure for Walkways"/>
    <m/>
    <m/>
    <n v="4244.32"/>
    <s v="Schletter INV0951"/>
    <x v="2"/>
    <x v="5"/>
    <m/>
    <d v="2024-11-29T00:00:00"/>
    <m/>
  </r>
  <r>
    <n v="8"/>
    <x v="8"/>
    <s v="Walkways"/>
    <m/>
    <m/>
    <n v="41645.1"/>
    <s v="Onvlee Engineering:  Inv01048652"/>
    <x v="2"/>
    <x v="5"/>
    <m/>
    <d v="2024-10-10T00:00:00"/>
    <m/>
  </r>
  <r>
    <n v="8"/>
    <x v="8"/>
    <s v="Supply and Install Tie in Breaker - Thula Moya"/>
    <m/>
    <m/>
    <n v="24300.959999999999"/>
    <s v="Thula Moya IN04487"/>
    <x v="2"/>
    <x v="5"/>
    <m/>
    <d v="2024-11-01T00:00:00"/>
    <m/>
  </r>
  <r>
    <n v="8"/>
    <x v="8"/>
    <s v="Installation of walkways"/>
    <m/>
    <m/>
    <n v="9084"/>
    <s v="Thula Moya IN04597"/>
    <x v="6"/>
    <x v="5"/>
    <m/>
    <d v="2025-07-31T00:00:00"/>
    <m/>
  </r>
  <r>
    <n v="8"/>
    <x v="8"/>
    <m/>
    <m/>
    <m/>
    <m/>
    <m/>
    <x v="6"/>
    <x v="29"/>
    <m/>
    <m/>
    <m/>
  </r>
  <r>
    <m/>
    <x v="0"/>
    <m/>
    <m/>
    <m/>
    <m/>
    <m/>
    <x v="3"/>
    <x v="0"/>
    <m/>
    <m/>
    <m/>
  </r>
  <r>
    <n v="9"/>
    <x v="9"/>
    <s v="Project Kick Off"/>
    <n v="103690"/>
    <n v="0.1"/>
    <n v="10369"/>
    <s v="Thula Moya INV IN04448"/>
    <x v="4"/>
    <x v="30"/>
    <n v="0"/>
    <d v="2024-10-17T00:00:00"/>
    <n v="103690"/>
  </r>
  <r>
    <n v="9"/>
    <x v="9"/>
    <s v="Site Establishment"/>
    <m/>
    <n v="0.15"/>
    <n v="15553.5"/>
    <s v="Thula Moya IN0449"/>
    <x v="2"/>
    <x v="31"/>
    <m/>
    <d v="2024-10-17T00:00:00"/>
    <m/>
  </r>
  <r>
    <n v="9"/>
    <x v="9"/>
    <s v="AC Installation Complete"/>
    <m/>
    <n v="0.2"/>
    <n v="20738"/>
    <s v="Thula Moya IN04519"/>
    <x v="5"/>
    <x v="32"/>
    <m/>
    <d v="2024-11-29T00:00:00"/>
    <m/>
  </r>
  <r>
    <n v="9"/>
    <x v="9"/>
    <s v="DC Installation Complete"/>
    <m/>
    <n v="0.25"/>
    <n v="25922.5"/>
    <s v="Thula Moya IN04520"/>
    <x v="5"/>
    <x v="33"/>
    <m/>
    <d v="2024-11-29T00:00:00"/>
    <m/>
  </r>
  <r>
    <n v="9"/>
    <x v="9"/>
    <s v="Commissioning Complete"/>
    <m/>
    <n v="0.1"/>
    <n v="10369"/>
    <s v="Thula Moya IN04521"/>
    <x v="5"/>
    <x v="30"/>
    <m/>
    <d v="2025-02-13T00:00:00"/>
    <m/>
  </r>
  <r>
    <n v="9"/>
    <x v="9"/>
    <s v="Site De-establisment"/>
    <m/>
    <n v="0.1"/>
    <n v="10369"/>
    <s v="Thula Moya IN04537"/>
    <x v="5"/>
    <x v="30"/>
    <m/>
    <d v="2024-12-05T00:00:00"/>
    <m/>
  </r>
  <r>
    <n v="9"/>
    <x v="9"/>
    <s v="Handover Document Complete"/>
    <m/>
    <n v="0.05"/>
    <n v="5184.5"/>
    <s v="Thula Moya IN04538"/>
    <x v="5"/>
    <x v="34"/>
    <m/>
    <d v="2025-02-13T00:00:00"/>
    <m/>
  </r>
  <r>
    <n v="9"/>
    <x v="9"/>
    <s v="End of Defects Period"/>
    <m/>
    <n v="0.05"/>
    <n v="5184.5"/>
    <s v="Thula Moya IN04594"/>
    <x v="6"/>
    <x v="34"/>
    <m/>
    <d v="2025-03-06T00:00:00"/>
    <m/>
  </r>
  <r>
    <m/>
    <x v="0"/>
    <m/>
    <m/>
    <m/>
    <m/>
    <m/>
    <x v="3"/>
    <x v="0"/>
    <m/>
    <m/>
    <m/>
  </r>
  <r>
    <n v="10"/>
    <x v="10"/>
    <s v="Security"/>
    <m/>
    <m/>
    <m/>
    <m/>
    <x v="0"/>
    <x v="5"/>
    <n v="4.2105344982701354E-3"/>
    <m/>
    <n v="93158.200000000012"/>
  </r>
  <r>
    <n v="10"/>
    <x v="10"/>
    <m/>
    <m/>
    <m/>
    <m/>
    <m/>
    <x v="3"/>
    <x v="5"/>
    <m/>
    <m/>
    <m/>
  </r>
  <r>
    <n v="10"/>
    <x v="10"/>
    <s v="Project Kick Off"/>
    <n v="87820"/>
    <n v="0.1"/>
    <n v="8782"/>
    <s v="Thula Moya INV IN04448"/>
    <x v="4"/>
    <x v="35"/>
    <m/>
    <d v="2024-10-17T00:00:00"/>
    <m/>
  </r>
  <r>
    <n v="10"/>
    <x v="10"/>
    <s v="Site Establishment"/>
    <m/>
    <n v="0.15"/>
    <n v="13173"/>
    <s v="Thula Moya IN0449"/>
    <x v="2"/>
    <x v="36"/>
    <m/>
    <d v="2024-10-17T00:00:00"/>
    <m/>
  </r>
  <r>
    <n v="10"/>
    <x v="10"/>
    <s v="AC Installation Complete"/>
    <m/>
    <n v="0.2"/>
    <n v="19089.2"/>
    <s v="Thula Moya IN04519"/>
    <x v="5"/>
    <x v="37"/>
    <m/>
    <d v="2024-11-29T00:00:00"/>
    <m/>
  </r>
  <r>
    <n v="10"/>
    <x v="10"/>
    <s v="DC Installation Complete"/>
    <m/>
    <n v="0.25"/>
    <n v="23861.5"/>
    <s v="Thula Moya IN04520"/>
    <x v="5"/>
    <x v="38"/>
    <m/>
    <d v="2024-11-29T00:00:00"/>
    <m/>
  </r>
  <r>
    <n v="10"/>
    <x v="10"/>
    <s v="Commissioning Complete"/>
    <m/>
    <n v="0.1"/>
    <n v="9544.6"/>
    <s v="Thula Moya IN04521"/>
    <x v="5"/>
    <x v="39"/>
    <m/>
    <d v="2025-02-13T00:00:00"/>
    <m/>
  </r>
  <r>
    <n v="10"/>
    <x v="10"/>
    <s v="Site De-establisment"/>
    <m/>
    <n v="0.1"/>
    <n v="9544.6"/>
    <s v="Thula Moya IN04537"/>
    <x v="5"/>
    <x v="39"/>
    <m/>
    <d v="2024-12-05T00:00:00"/>
    <m/>
  </r>
  <r>
    <n v="10"/>
    <x v="10"/>
    <s v="Handover Document Complete"/>
    <m/>
    <n v="0.05"/>
    <n v="4772.3"/>
    <s v="Thula Moya IN04538"/>
    <x v="5"/>
    <x v="40"/>
    <m/>
    <d v="2025-02-13T00:00:00"/>
    <m/>
  </r>
  <r>
    <n v="10"/>
    <x v="10"/>
    <s v="End of Defects Period"/>
    <m/>
    <n v="0.05"/>
    <n v="4391"/>
    <s v="Thula Moya IN04594"/>
    <x v="6"/>
    <x v="41"/>
    <m/>
    <d v="2025-03-06T00:00:00"/>
    <m/>
  </r>
  <r>
    <n v="10"/>
    <x v="10"/>
    <m/>
    <m/>
    <m/>
    <m/>
    <m/>
    <x v="3"/>
    <x v="5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3347.62"/>
    <s v="Sun Spot Inv E005"/>
    <x v="5"/>
    <x v="42"/>
    <n v="2.2771506774006411E-3"/>
    <d v="2025-01-16T00:00:00"/>
    <n v="11867.619999999999"/>
  </r>
  <r>
    <n v="11"/>
    <x v="11"/>
    <s v="Structural sign off"/>
    <m/>
    <m/>
    <n v="2520"/>
    <s v="L&amp;B Consulting Inv1742"/>
    <x v="7"/>
    <x v="43"/>
    <m/>
    <d v="2024-09-02T00:00:00"/>
    <m/>
  </r>
  <r>
    <n v="11"/>
    <x v="11"/>
    <m/>
    <m/>
    <m/>
    <m/>
    <m/>
    <x v="3"/>
    <x v="5"/>
    <m/>
    <m/>
    <m/>
  </r>
  <r>
    <n v="11"/>
    <x v="11"/>
    <m/>
    <m/>
    <m/>
    <m/>
    <m/>
    <x v="3"/>
    <x v="5"/>
    <m/>
    <m/>
    <m/>
  </r>
  <r>
    <n v="11"/>
    <x v="11"/>
    <s v="Red Team Inspection"/>
    <m/>
    <m/>
    <n v="6000"/>
    <s v="MATRIARCH - INV-3413"/>
    <x v="5"/>
    <x v="44"/>
    <m/>
    <d v="2024-11-30T00:00:00"/>
    <m/>
  </r>
  <r>
    <m/>
    <x v="0"/>
    <m/>
    <m/>
    <m/>
    <m/>
    <m/>
    <x v="3"/>
    <x v="0"/>
    <m/>
    <m/>
    <m/>
  </r>
  <r>
    <n v="12"/>
    <x v="12"/>
    <s v="Referral Fee"/>
    <m/>
    <m/>
    <n v="24241.46"/>
    <s v="Green Co Inv: INV0000518"/>
    <x v="7"/>
    <x v="0"/>
    <m/>
    <d v="2024-09-02T00:00:00"/>
    <n v="48482.92"/>
  </r>
  <r>
    <n v="12"/>
    <x v="12"/>
    <s v="Referral Fee"/>
    <m/>
    <m/>
    <n v="24241.46"/>
    <s v="Green Co Inv: INV0000527"/>
    <x v="5"/>
    <x v="0"/>
    <m/>
    <d v="2024-12-12T00:00:00"/>
    <m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21667.67"/>
    <s v="Matriarch Inv: INV-3417"/>
    <x v="5"/>
    <x v="45"/>
    <n v="0"/>
    <d v="2024-11-30T00:00:00"/>
    <n v="72067.67"/>
  </r>
  <r>
    <n v="13"/>
    <x v="13"/>
    <s v="Management"/>
    <m/>
    <m/>
    <n v="50400"/>
    <s v="Matriarch - INV-5021"/>
    <x v="8"/>
    <x v="5"/>
    <m/>
    <d v="2025-08-31T00:00:00"/>
    <m/>
  </r>
  <r>
    <n v="13"/>
    <x v="13"/>
    <s v="Project manager "/>
    <m/>
    <m/>
    <n v="0"/>
    <m/>
    <x v="0"/>
    <x v="5"/>
    <m/>
    <m/>
    <m/>
  </r>
  <r>
    <n v="13"/>
    <x v="13"/>
    <s v="Planner time"/>
    <m/>
    <m/>
    <n v="0"/>
    <m/>
    <x v="0"/>
    <x v="5"/>
    <m/>
    <m/>
    <m/>
  </r>
  <r>
    <n v="13"/>
    <x v="13"/>
    <s v="De Snagging"/>
    <m/>
    <m/>
    <n v="0"/>
    <m/>
    <x v="0"/>
    <x v="5"/>
    <m/>
    <m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Car travel to site"/>
    <m/>
    <m/>
    <n v="1522.74"/>
    <s v="Expense Claim"/>
    <x v="7"/>
    <x v="46"/>
    <n v="3.2377460465795593E-3"/>
    <d v="2024-09-05T00:00:00"/>
    <n v="7345.8900000000012"/>
  </r>
  <r>
    <n v="14"/>
    <x v="14"/>
    <m/>
    <m/>
    <s v=" 1 570.98 "/>
    <n v="1570.98"/>
    <s v="Expense Claim"/>
    <x v="4"/>
    <x v="47"/>
    <m/>
    <d v="2024-10-04T00:00:00"/>
    <m/>
  </r>
  <r>
    <n v="14"/>
    <x v="14"/>
    <m/>
    <m/>
    <m/>
    <n v="1671"/>
    <s v="Expense Claim"/>
    <x v="2"/>
    <x v="48"/>
    <m/>
    <d v="2024-11-08T00:00:00"/>
    <m/>
  </r>
  <r>
    <n v="14"/>
    <x v="14"/>
    <m/>
    <m/>
    <m/>
    <n v="53.96"/>
    <s v="Expense Claim"/>
    <x v="5"/>
    <x v="49"/>
    <m/>
    <d v="2024-12-06T00:00:00"/>
    <m/>
  </r>
  <r>
    <n v="14"/>
    <x v="14"/>
    <m/>
    <m/>
    <m/>
    <n v="1016.01"/>
    <s v="Expense Claim"/>
    <x v="6"/>
    <x v="50"/>
    <m/>
    <d v="2025-02-06T00:00:00"/>
    <m/>
  </r>
  <r>
    <n v="14"/>
    <x v="14"/>
    <m/>
    <m/>
    <m/>
    <n v="423.22"/>
    <s v="Expense Claim"/>
    <x v="9"/>
    <x v="51"/>
    <m/>
    <d v="2025-03-06T00:00:00"/>
    <m/>
  </r>
  <r>
    <n v="14"/>
    <x v="14"/>
    <m/>
    <m/>
    <m/>
    <n v="1087.98"/>
    <s v="Expense Claim"/>
    <x v="10"/>
    <x v="5"/>
    <m/>
    <d v="2025-05-08T00:00:00"/>
    <m/>
  </r>
  <r>
    <n v="14"/>
    <x v="14"/>
    <m/>
    <m/>
    <m/>
    <m/>
    <m/>
    <x v="3"/>
    <x v="0"/>
    <m/>
    <m/>
    <m/>
  </r>
  <r>
    <m/>
    <x v="0"/>
    <m/>
    <m/>
    <m/>
    <m/>
    <m/>
    <x v="3"/>
    <x v="0"/>
    <m/>
    <m/>
    <m/>
  </r>
  <r>
    <n v="15"/>
    <x v="15"/>
    <s v="Moving inverter and changing tie-in points"/>
    <m/>
    <m/>
    <n v="19463.419999999998"/>
    <s v="Thula Moya - IN04750"/>
    <x v="11"/>
    <x v="0"/>
    <n v="0"/>
    <d v="2025-12-30T00:00:00"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3">
        <item x="3"/>
        <item m="1" x="31"/>
        <item m="1" x="30"/>
        <item m="1" x="29"/>
        <item m="1" x="28"/>
        <item x="0"/>
        <item x="1"/>
        <item x="7"/>
        <item x="4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2"/>
        <item x="5"/>
        <item x="6"/>
        <item x="9"/>
        <item m="1" x="12"/>
        <item x="10"/>
        <item x="11"/>
        <item x="8"/>
        <item t="default"/>
      </items>
    </pivotField>
    <pivotField axis="axisPage" dataField="1" multipleItemSelectionAllowed="1" showAll="0">
      <items count="548">
        <item x="5"/>
        <item m="1" x="521"/>
        <item m="1" x="526"/>
        <item m="1" x="546"/>
        <item m="1" x="531"/>
        <item m="1" x="535"/>
        <item m="1" x="533"/>
        <item m="1" x="528"/>
        <item m="1" x="523"/>
        <item m="1" x="532"/>
        <item m="1" x="541"/>
        <item m="1" x="530"/>
        <item m="1" x="543"/>
        <item m="1" x="540"/>
        <item m="1" x="534"/>
        <item m="1" x="544"/>
        <item m="1" x="519"/>
        <item m="1" x="538"/>
        <item m="1" x="529"/>
        <item m="1" x="545"/>
        <item m="1" x="539"/>
        <item m="1" x="525"/>
        <item m="1" x="524"/>
        <item m="1" x="537"/>
        <item m="1" x="522"/>
        <item m="1" x="542"/>
        <item m="1" x="520"/>
        <item m="1" x="536"/>
        <item m="1" x="527"/>
        <item m="1" x="518"/>
        <item x="0"/>
        <item m="1" x="447"/>
        <item m="1" x="448"/>
        <item m="1" x="481"/>
        <item m="1" x="488"/>
        <item m="1" x="489"/>
        <item m="1" x="490"/>
        <item m="1" x="491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466"/>
        <item m="1" x="467"/>
        <item m="1" x="468"/>
        <item m="1" x="511"/>
        <item m="1" x="512"/>
        <item m="1" x="513"/>
        <item m="1" x="514"/>
        <item m="1" x="472"/>
        <item m="1" x="473"/>
        <item m="1" x="515"/>
        <item m="1" x="516"/>
        <item m="1" x="517"/>
        <item m="1" x="476"/>
        <item m="1" x="497"/>
        <item m="1" x="498"/>
        <item m="1" x="499"/>
        <item m="1" x="492"/>
        <item m="1" x="493"/>
        <item m="1" x="494"/>
        <item m="1" x="495"/>
        <item m="1" x="496"/>
        <item m="1" x="459"/>
        <item m="1" x="460"/>
        <item m="1" x="461"/>
        <item m="1" x="462"/>
        <item m="1" x="484"/>
        <item m="1" x="485"/>
        <item m="1" x="486"/>
        <item m="1" x="469"/>
        <item m="1" x="470"/>
        <item m="1" x="471"/>
        <item m="1" x="482"/>
        <item m="1" x="477"/>
        <item m="1" x="487"/>
        <item m="1" x="451"/>
        <item m="1" x="452"/>
        <item m="1" x="453"/>
        <item m="1" x="454"/>
        <item m="1" x="455"/>
        <item m="1" x="456"/>
        <item m="1" x="457"/>
        <item m="1" x="458"/>
        <item m="1" x="478"/>
        <item m="1" x="483"/>
        <item m="1" x="463"/>
        <item m="1" x="464"/>
        <item m="1" x="465"/>
        <item m="1" x="449"/>
        <item m="1" x="450"/>
        <item m="1" x="474"/>
        <item m="1" x="475"/>
        <item m="1" x="479"/>
        <item m="1" x="480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07"/>
        <item m="1" x="435"/>
        <item m="1" x="436"/>
        <item m="1" x="437"/>
        <item m="1" x="410"/>
        <item m="1" x="411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23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8"/>
        <item m="1" x="409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287"/>
        <item m="1" x="288"/>
        <item m="1" x="289"/>
        <item m="1" x="314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03"/>
        <item m="1" x="304"/>
        <item m="1" x="327"/>
        <item m="1" x="328"/>
        <item m="1" x="329"/>
        <item m="1" x="330"/>
        <item m="1" x="331"/>
        <item m="1" x="332"/>
        <item m="1" x="333"/>
        <item m="1" x="312"/>
        <item m="1" x="315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5"/>
        <item m="1" x="306"/>
        <item m="1" x="307"/>
        <item m="1" x="308"/>
        <item m="1" x="309"/>
        <item m="1" x="310"/>
        <item m="1" x="311"/>
        <item m="1" x="313"/>
        <item m="1" x="290"/>
        <item m="1" x="291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32"/>
        <item m="1" x="233"/>
        <item m="1" x="263"/>
        <item m="1" x="264"/>
        <item m="1" x="265"/>
        <item m="1" x="266"/>
        <item m="1" x="267"/>
        <item m="1" x="251"/>
        <item m="1" x="252"/>
        <item m="1" x="253"/>
        <item m="1" x="254"/>
        <item m="1" x="255"/>
        <item m="1" x="268"/>
        <item m="1" x="269"/>
        <item m="1" x="270"/>
        <item m="1" x="26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6"/>
        <item m="1" x="257"/>
        <item m="1" x="258"/>
        <item m="1" x="259"/>
        <item m="1" x="260"/>
        <item m="1" x="261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10"/>
        <item m="1" x="111"/>
        <item m="1" x="112"/>
        <item m="1" x="188"/>
        <item m="1" x="189"/>
        <item m="1" x="190"/>
        <item m="1" x="191"/>
        <item m="1" x="192"/>
        <item m="1" x="19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21"/>
        <item m="1" x="122"/>
        <item m="1" x="83"/>
        <item m="1" x="84"/>
        <item m="1" x="85"/>
        <item m="1" x="86"/>
        <item m="1" x="87"/>
        <item m="1" x="114"/>
        <item m="1" x="115"/>
        <item m="1" x="116"/>
        <item m="1" x="117"/>
        <item m="1" x="118"/>
        <item m="1" x="119"/>
        <item m="1" x="120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67"/>
        <item m="1" x="68"/>
        <item m="1" x="69"/>
        <item m="1" x="70"/>
        <item m="1" x="71"/>
        <item m="1" x="113"/>
        <item x="1"/>
        <item m="1" x="82"/>
        <item m="1" x="88"/>
        <item m="1" x="89"/>
        <item m="1" x="90"/>
        <item m="1" x="91"/>
        <item m="1" x="92"/>
        <item m="1" x="93"/>
        <item m="1" x="94"/>
        <item m="1" x="55"/>
        <item m="1" x="56"/>
        <item m="1" x="8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73"/>
        <item x="20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m="1" x="74"/>
        <item m="1" x="75"/>
        <item m="1" x="65"/>
        <item x="43"/>
        <item m="1" x="66"/>
        <item x="46"/>
        <item m="1" x="80"/>
        <item m="1" x="57"/>
        <item m="1" x="76"/>
        <item m="1" x="77"/>
        <item m="1" x="78"/>
        <item m="1" x="79"/>
        <item m="1" x="58"/>
        <item m="1" x="59"/>
        <item m="1" x="60"/>
        <item x="35"/>
        <item x="36"/>
        <item m="1" x="61"/>
        <item m="1" x="62"/>
        <item m="1" x="63"/>
        <item m="1" x="64"/>
        <item m="1" x="72"/>
        <item x="48"/>
        <item x="47"/>
        <item x="2"/>
        <item x="3"/>
        <item x="4"/>
        <item x="19"/>
        <item x="21"/>
        <item x="37"/>
        <item x="38"/>
        <item x="39"/>
        <item x="40"/>
        <item x="42"/>
        <item x="44"/>
        <item x="45"/>
        <item x="49"/>
        <item m="1" x="54"/>
        <item m="1" x="53"/>
        <item x="50"/>
        <item m="1" x="52"/>
        <item x="41"/>
        <item x="29"/>
        <item x="51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3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9"/>
    </i>
    <i>
      <x v="30"/>
    </i>
    <i>
      <x v="31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3">
        <item m="1" x="34"/>
        <item m="1" x="40"/>
        <item m="1" x="35"/>
        <item m="1" x="38"/>
        <item m="1" x="36"/>
        <item x="0"/>
        <item m="1" x="41"/>
        <item m="1" x="37"/>
        <item m="1" x="39"/>
        <item m="1" x="32"/>
        <item m="1" x="33"/>
        <item m="1" x="31"/>
        <item m="1" x="30"/>
        <item m="1" x="29"/>
        <item m="1" x="28"/>
        <item m="1" x="13"/>
        <item x="1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14"/>
        <item m="1" x="24"/>
        <item m="1" x="25"/>
        <item m="1" x="26"/>
        <item m="1" x="27"/>
        <item x="7"/>
        <item x="4"/>
        <item x="2"/>
        <item x="5"/>
        <item m="1" x="12"/>
        <item x="6"/>
        <item x="9"/>
        <item x="10"/>
        <item x="3"/>
        <item x="11"/>
        <item x="8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3">
    <i>
      <x v="5"/>
    </i>
    <i>
      <x v="16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 t="grand">
      <x/>
    </i>
  </colItems>
  <dataFields count="1">
    <dataField name="Sum of Actual Total " fld="4" baseField="0" baseItem="0" numFmtId="168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1-10T09:35:40.23" personId="{6C2C7F20-525C-469C-8F02-0941B8687327}" id="{E3476076-E33C-4EA5-98F8-E1461F3B22F9}" done="1">
    <text>@Mizelda Isaacs please update the date as we have yet to make the payment</text>
    <mentions>
      <mention mentionpersonId="{19BBCCFF-5E44-4832-BBBF-756766A6C554}" mentionId="{3BF209E7-1AD1-4B44-8E50-D6858C53CCF2}" startIndex="0" length="15"/>
    </mentions>
  </threadedComment>
  <threadedComment ref="R120" dT="2025-11-08T13:41:43.43" personId="{6C2C7F20-525C-469C-8F02-0941B8687327}" id="{8688D2C0-0735-4753-B782-CA7282005B7F}">
    <text>@Roedolph Venter and @Mizelda Isaacsplease finilize what is due to them</text>
    <mentions>
      <mention mentionpersonId="{615C127B-90B3-452F-8D86-535C799CF1F9}" mentionId="{0E2DB4CE-F58F-4577-B070-82AC48C85926}" startIndex="0" length="16"/>
      <mention mentionpersonId="{19BBCCFF-5E44-4832-BBBF-756766A6C554}" mentionId="{F79C8167-F7CB-42AA-A174-666350C8A128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26562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2" t="s">
        <v>57</v>
      </c>
      <c r="E47" s="882"/>
      <c r="F47" s="883"/>
      <c r="G47" s="67"/>
      <c r="I47" s="68"/>
      <c r="J47" s="68"/>
    </row>
    <row r="48" spans="1:49" ht="13.9" thickBot="1">
      <c r="C48" s="69">
        <v>44014</v>
      </c>
      <c r="D48" s="884"/>
      <c r="E48" s="884"/>
      <c r="F48" s="8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EC3F-C9B3-447A-BA39-2469988CAF20}">
  <sheetPr codeName="Sheet8"/>
  <dimension ref="B1:J28"/>
  <sheetViews>
    <sheetView showGridLines="0" zoomScaleNormal="100" workbookViewId="0">
      <selection activeCell="E23" sqref="E23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" bestFit="1" customWidth="1"/>
    <col min="5" max="5" width="10.46484375" customWidth="1"/>
    <col min="6" max="6" width="34" customWidth="1"/>
  </cols>
  <sheetData>
    <row r="1" spans="2:10" ht="14.65" thickBot="1"/>
    <row r="2" spans="2:10" ht="15" thickTop="1" thickBot="1">
      <c r="B2" s="886" t="s">
        <v>58</v>
      </c>
      <c r="C2" s="887"/>
      <c r="D2" s="887"/>
      <c r="E2" s="887"/>
      <c r="F2" s="88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86" t="s">
        <v>69</v>
      </c>
      <c r="C16" s="887"/>
      <c r="D16" s="887"/>
      <c r="E16" s="887"/>
      <c r="F16" s="888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abSelected="1" zoomScale="85" zoomScaleNormal="85" workbookViewId="0">
      <selection activeCell="R19" sqref="R19"/>
    </sheetView>
  </sheetViews>
  <sheetFormatPr defaultColWidth="8.46484375" defaultRowHeight="14.25"/>
  <cols>
    <col min="1" max="1" width="5.53125" style="93" customWidth="1"/>
    <col min="2" max="2" width="5.53125" style="133" customWidth="1"/>
    <col min="3" max="4" width="23.265625" style="131" customWidth="1"/>
    <col min="5" max="5" width="6.53125" style="131" customWidth="1"/>
    <col min="6" max="6" width="16.265625" style="131" customWidth="1"/>
    <col min="7" max="7" width="4.46484375" style="131" customWidth="1"/>
    <col min="8" max="8" width="15.46484375" style="131" customWidth="1"/>
    <col min="9" max="9" width="1.46484375" style="131" customWidth="1"/>
    <col min="10" max="10" width="3.46484375" style="93" customWidth="1"/>
    <col min="11" max="11" width="1.46484375" style="224" customWidth="1"/>
    <col min="12" max="12" width="29.46484375" style="93" customWidth="1"/>
    <col min="13" max="13" width="1.46484375" style="131" customWidth="1"/>
    <col min="14" max="14" width="29.46484375" style="131" customWidth="1"/>
    <col min="15" max="15" width="1.46484375" style="93" customWidth="1"/>
    <col min="16" max="16" width="16.53125" style="131" customWidth="1"/>
    <col min="17" max="17" width="5.53125" style="131" customWidth="1"/>
    <col min="18" max="18" width="33.46484375" style="131" customWidth="1"/>
    <col min="19" max="20" width="33.46484375" style="93" customWidth="1"/>
    <col min="21" max="21" width="4.46484375" style="131" customWidth="1"/>
    <col min="22" max="22" width="14.265625" style="131" customWidth="1"/>
    <col min="23" max="23" width="10.46484375" style="93" bestFit="1" customWidth="1"/>
    <col min="24" max="25" width="8.46484375" style="93"/>
    <col min="26" max="26" width="5.53125" style="93" bestFit="1" customWidth="1"/>
    <col min="27" max="27" width="14.265625" style="93" bestFit="1" customWidth="1"/>
    <col min="28" max="28" width="8.46484375" style="93"/>
    <col min="29" max="29" width="14.265625" style="93" bestFit="1" customWidth="1"/>
    <col min="30" max="30" width="8.46484375" style="131"/>
    <col min="31" max="31" width="12.53125" style="131" bestFit="1" customWidth="1"/>
    <col min="32" max="16384" width="8.46484375" style="131"/>
  </cols>
  <sheetData>
    <row r="1" spans="1:23" s="93" customFormat="1" ht="14.25" customHeight="1">
      <c r="A1" s="542"/>
      <c r="B1" s="119"/>
      <c r="J1" s="144"/>
      <c r="U1" s="144"/>
    </row>
    <row r="2" spans="1:23" s="93" customFormat="1" ht="14.25" customHeight="1" thickBot="1">
      <c r="A2" s="542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.15">
      <c r="B3" s="119"/>
      <c r="D3" s="127" t="s">
        <v>74</v>
      </c>
      <c r="F3" s="127" t="s">
        <v>75</v>
      </c>
      <c r="J3" s="144"/>
      <c r="L3" s="629" t="s">
        <v>76</v>
      </c>
      <c r="N3" s="629" t="s">
        <v>77</v>
      </c>
      <c r="P3" s="772"/>
      <c r="Q3" s="773"/>
      <c r="R3" s="774" t="s">
        <v>78</v>
      </c>
      <c r="S3" s="775" t="s">
        <v>79</v>
      </c>
      <c r="T3" s="776" t="s">
        <v>80</v>
      </c>
      <c r="U3" s="144"/>
    </row>
    <row r="4" spans="1:23" s="93" customFormat="1" ht="13.15">
      <c r="B4" s="486">
        <v>1</v>
      </c>
      <c r="C4" s="487" t="s">
        <v>81</v>
      </c>
      <c r="D4" s="488">
        <f>'Project Plan'!E6</f>
        <v>1735813.3392688499</v>
      </c>
      <c r="E4" s="489"/>
      <c r="F4" s="488">
        <f>F21</f>
        <v>1776820.4492688498</v>
      </c>
      <c r="J4" s="144"/>
      <c r="L4" s="540">
        <v>1735813.3392688499</v>
      </c>
      <c r="N4" s="540" t="s">
        <v>82</v>
      </c>
      <c r="P4" s="777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576833.44376205222</v>
      </c>
      <c r="S4" s="778">
        <v>1158979.8955067978</v>
      </c>
      <c r="T4" s="779">
        <f>F4-R4</f>
        <v>1199987.0055067977</v>
      </c>
      <c r="U4" s="144"/>
    </row>
    <row r="5" spans="1:23" s="93" customFormat="1" ht="15" customHeight="1">
      <c r="B5" s="486">
        <v>2</v>
      </c>
      <c r="C5" s="487" t="s">
        <v>84</v>
      </c>
      <c r="D5" s="488">
        <f>+'Expenditure Tracking'!F5</f>
        <v>1461076.77</v>
      </c>
      <c r="E5" s="489"/>
      <c r="F5" s="488">
        <f>+'Expenditure Tracking'!J5</f>
        <v>1332390.7399999998</v>
      </c>
      <c r="J5" s="144"/>
      <c r="L5" s="540">
        <v>1396689.3867408605</v>
      </c>
      <c r="N5" s="630">
        <v>45577</v>
      </c>
      <c r="P5" s="777" t="s">
        <v>85</v>
      </c>
      <c r="R5" s="778">
        <f>GETPIVOTDATA("Actual Total ",'Finance - COS'!$A$3,"INVOICE RAISED DATE",DATE(2024,7,31))+GETPIVOTDATA("Actual Total ",'Finance - COS'!$A$3,"INVOICE RAISED DATE",DATE(2024,8,31))</f>
        <v>462261.2</v>
      </c>
      <c r="S5" s="778">
        <v>926219.15674086055</v>
      </c>
      <c r="T5" s="779">
        <f>F5-R5</f>
        <v>870129.5399999998</v>
      </c>
      <c r="U5" s="144"/>
    </row>
    <row r="6" spans="1:23" s="93" customFormat="1" ht="15" customHeight="1" thickBot="1">
      <c r="B6" s="486">
        <v>3</v>
      </c>
      <c r="C6" s="487" t="s">
        <v>86</v>
      </c>
      <c r="D6" s="488">
        <f>+D4-D5</f>
        <v>274736.56926884991</v>
      </c>
      <c r="E6" s="489"/>
      <c r="F6" s="488">
        <f>+F4-F5</f>
        <v>444429.70926885004</v>
      </c>
      <c r="H6" s="118"/>
      <c r="J6" s="144"/>
      <c r="L6" s="540">
        <v>339123.9525279894</v>
      </c>
      <c r="N6" s="540" t="s">
        <v>87</v>
      </c>
      <c r="P6" s="780" t="s">
        <v>88</v>
      </c>
      <c r="Q6" s="781"/>
      <c r="R6" s="782">
        <f>R4-R5</f>
        <v>114572.24376205221</v>
      </c>
      <c r="S6" s="782">
        <f>S4-S5</f>
        <v>232760.73876593728</v>
      </c>
      <c r="T6" s="783">
        <f>T4-T5</f>
        <v>329857.46550679789</v>
      </c>
      <c r="U6" s="144"/>
    </row>
    <row r="7" spans="1:23" s="93" customFormat="1" ht="15" customHeight="1" thickBot="1">
      <c r="B7" s="486">
        <v>4</v>
      </c>
      <c r="C7" s="487" t="s">
        <v>89</v>
      </c>
      <c r="D7" s="490">
        <f>+D6/D4</f>
        <v>0.15827541075618937</v>
      </c>
      <c r="E7" s="489"/>
      <c r="F7" s="490">
        <f>+F6/F4</f>
        <v>0.25012640385342821</v>
      </c>
      <c r="J7" s="144"/>
      <c r="L7" s="541">
        <v>0.19536890566288273</v>
      </c>
      <c r="N7" s="715">
        <v>45632</v>
      </c>
      <c r="P7" s="784"/>
      <c r="Q7" s="785"/>
      <c r="R7" s="785"/>
      <c r="S7" s="785"/>
      <c r="T7" s="786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.1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25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1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6" t="s">
        <v>99</v>
      </c>
      <c r="S12" s="130"/>
      <c r="T12" s="130"/>
      <c r="U12" s="144"/>
    </row>
    <row r="13" spans="1:23" s="93" customFormat="1" ht="13.15">
      <c r="B13" s="486">
        <v>1</v>
      </c>
      <c r="C13" s="889" t="s">
        <v>100</v>
      </c>
      <c r="D13" s="890"/>
      <c r="E13" s="138">
        <v>0.35</v>
      </c>
      <c r="F13" s="139">
        <f>$D$4*E13</f>
        <v>607534.66874409746</v>
      </c>
      <c r="G13" s="140"/>
      <c r="H13" s="141">
        <v>45491</v>
      </c>
      <c r="J13" s="144"/>
      <c r="L13" s="505" t="s">
        <v>101</v>
      </c>
      <c r="M13" s="504"/>
      <c r="N13" s="141">
        <v>45488</v>
      </c>
      <c r="O13" s="131"/>
      <c r="P13" s="141">
        <v>45490</v>
      </c>
      <c r="R13" s="194"/>
      <c r="S13" s="770"/>
      <c r="T13" s="770"/>
      <c r="U13" s="144"/>
    </row>
    <row r="14" spans="1:23" s="93" customFormat="1" ht="12.75">
      <c r="B14" s="157">
        <v>2</v>
      </c>
      <c r="C14" s="891" t="s">
        <v>102</v>
      </c>
      <c r="D14" s="892"/>
      <c r="E14" s="138">
        <v>0.25</v>
      </c>
      <c r="F14" s="139">
        <f t="shared" ref="F14:F19" si="0">$D$4*E14</f>
        <v>433953.33481721248</v>
      </c>
      <c r="G14" s="489"/>
      <c r="H14" s="141">
        <f>'Project Plan'!E22+7</f>
        <v>45567</v>
      </c>
      <c r="J14" s="144"/>
      <c r="L14" s="505" t="s">
        <v>103</v>
      </c>
      <c r="N14" s="141">
        <v>45567</v>
      </c>
      <c r="O14" s="131"/>
      <c r="P14" s="873">
        <v>45573</v>
      </c>
      <c r="R14" s="557"/>
      <c r="S14" s="771"/>
      <c r="T14" s="771"/>
      <c r="U14" s="144"/>
    </row>
    <row r="15" spans="1:23" s="93" customFormat="1" ht="12.75">
      <c r="B15" s="486">
        <v>3</v>
      </c>
      <c r="C15" s="889" t="s">
        <v>104</v>
      </c>
      <c r="D15" s="890"/>
      <c r="E15" s="138">
        <v>0.25</v>
      </c>
      <c r="F15" s="139">
        <f t="shared" si="0"/>
        <v>433953.33481721248</v>
      </c>
      <c r="G15" s="489"/>
      <c r="H15" s="141">
        <f>'Project Plan'!E35+7</f>
        <v>45595</v>
      </c>
      <c r="J15" s="144"/>
      <c r="L15" s="505" t="s">
        <v>105</v>
      </c>
      <c r="N15" s="141">
        <v>45597</v>
      </c>
      <c r="O15" s="131"/>
      <c r="P15" s="874">
        <f>N15+7</f>
        <v>45604</v>
      </c>
      <c r="R15" s="557"/>
      <c r="S15" s="771"/>
      <c r="T15" s="771"/>
      <c r="U15" s="144"/>
    </row>
    <row r="16" spans="1:23" s="93" customFormat="1" ht="12.75">
      <c r="B16" s="486">
        <v>4</v>
      </c>
      <c r="C16" s="889" t="s">
        <v>106</v>
      </c>
      <c r="D16" s="890"/>
      <c r="E16" s="138">
        <v>0.1</v>
      </c>
      <c r="F16" s="139">
        <f t="shared" si="0"/>
        <v>173581.33392688501</v>
      </c>
      <c r="G16" s="489"/>
      <c r="H16" s="141">
        <f>'Project Plan'!E39+7</f>
        <v>45625</v>
      </c>
      <c r="J16" s="144"/>
      <c r="L16" s="505" t="s">
        <v>107</v>
      </c>
      <c r="M16" s="131"/>
      <c r="N16" s="806">
        <v>45624</v>
      </c>
      <c r="O16" s="131"/>
      <c r="P16" s="874">
        <v>45684</v>
      </c>
      <c r="R16" s="557"/>
      <c r="S16" s="771"/>
      <c r="T16" s="771"/>
      <c r="U16" s="144"/>
    </row>
    <row r="17" spans="2:21" s="93" customFormat="1" ht="12.75">
      <c r="B17" s="486">
        <v>5</v>
      </c>
      <c r="C17" s="891" t="s">
        <v>54</v>
      </c>
      <c r="D17" s="892"/>
      <c r="E17" s="138">
        <v>0.05</v>
      </c>
      <c r="F17" s="139">
        <f t="shared" si="0"/>
        <v>86790.666963442505</v>
      </c>
      <c r="G17" s="489"/>
      <c r="H17" s="141">
        <f>'Project Plan'!E50+7</f>
        <v>45652</v>
      </c>
      <c r="J17" s="144"/>
      <c r="L17" s="866" t="s">
        <v>108</v>
      </c>
      <c r="N17" s="806">
        <v>45714</v>
      </c>
      <c r="O17" s="131"/>
      <c r="P17" s="873">
        <v>45946</v>
      </c>
      <c r="R17" s="557"/>
      <c r="S17" s="771"/>
      <c r="T17" s="771"/>
      <c r="U17" s="144"/>
    </row>
    <row r="18" spans="2:21" s="93" customFormat="1" ht="12.75">
      <c r="B18" s="486">
        <v>6</v>
      </c>
      <c r="C18" s="889" t="s">
        <v>109</v>
      </c>
      <c r="D18" s="890"/>
      <c r="E18" s="138">
        <v>0</v>
      </c>
      <c r="F18" s="139">
        <f>'Expenditure Breakdown'!R65+'Expenditure Breakdown'!R66+'Expenditure Breakdown'!R67</f>
        <v>49914.42</v>
      </c>
      <c r="G18" s="489"/>
      <c r="H18" s="141"/>
      <c r="J18" s="144"/>
      <c r="L18" s="505" t="s">
        <v>107</v>
      </c>
      <c r="M18" s="140"/>
      <c r="N18" s="806">
        <v>45624</v>
      </c>
      <c r="O18" s="131"/>
      <c r="P18" s="874">
        <f>P16</f>
        <v>45684</v>
      </c>
      <c r="R18" s="557"/>
      <c r="S18" s="771"/>
      <c r="T18" s="771"/>
      <c r="U18" s="144"/>
    </row>
    <row r="19" spans="2:21" s="93" customFormat="1" ht="12.75">
      <c r="B19" s="486">
        <v>7</v>
      </c>
      <c r="C19" s="889" t="s">
        <v>495</v>
      </c>
      <c r="D19" s="890"/>
      <c r="E19" s="138">
        <v>0</v>
      </c>
      <c r="F19" s="139">
        <v>-8907.31</v>
      </c>
      <c r="G19" s="489"/>
      <c r="H19" s="141"/>
      <c r="J19" s="144"/>
      <c r="L19" s="1012" t="s">
        <v>496</v>
      </c>
      <c r="N19" s="142">
        <v>46045</v>
      </c>
      <c r="O19" s="131"/>
      <c r="P19" s="142">
        <v>46053</v>
      </c>
      <c r="R19" s="557"/>
      <c r="S19" s="771"/>
      <c r="T19" s="771"/>
      <c r="U19" s="144"/>
    </row>
    <row r="20" spans="2:21" s="93" customFormat="1" ht="9" customHeight="1">
      <c r="B20" s="119"/>
      <c r="E20" s="143"/>
      <c r="F20" s="118"/>
      <c r="H20" s="492"/>
      <c r="J20" s="144"/>
      <c r="U20" s="144"/>
    </row>
    <row r="21" spans="2:21" s="93" customFormat="1" ht="13.15">
      <c r="B21" s="119"/>
      <c r="E21" s="493">
        <f>SUM(E13:E19)</f>
        <v>1</v>
      </c>
      <c r="F21" s="494">
        <f>SUM(F13:F19)</f>
        <v>1776820.4492688498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110</v>
      </c>
      <c r="C23" s="148" t="s">
        <v>111</v>
      </c>
      <c r="D23" s="148"/>
      <c r="F23" s="149"/>
    </row>
    <row r="24" spans="2:21" s="93" customFormat="1" ht="12.75">
      <c r="C24" s="150" t="s">
        <v>112</v>
      </c>
      <c r="D24" s="151"/>
      <c r="F24" s="152"/>
    </row>
    <row r="25" spans="2:21" s="93" customFormat="1" ht="12.75">
      <c r="C25" s="150" t="s">
        <v>113</v>
      </c>
      <c r="D25" s="151"/>
    </row>
    <row r="26" spans="2:21" s="93" customFormat="1" ht="12.75">
      <c r="C26" s="153" t="s">
        <v>114</v>
      </c>
      <c r="D26" s="154"/>
    </row>
    <row r="27" spans="2:21" s="93" customFormat="1" ht="12.75">
      <c r="C27" s="155" t="s">
        <v>115</v>
      </c>
      <c r="D27" s="151"/>
    </row>
    <row r="28" spans="2:21" s="93" customFormat="1" ht="12.75">
      <c r="B28" s="119"/>
      <c r="C28" s="155" t="s">
        <v>116</v>
      </c>
      <c r="D28" s="151"/>
    </row>
    <row r="29" spans="2:21" s="93" customFormat="1" ht="12.75">
      <c r="B29" s="119"/>
      <c r="C29" s="93" t="s">
        <v>117</v>
      </c>
    </row>
    <row r="30" spans="2:21" s="93" customFormat="1" ht="27.75" customHeight="1">
      <c r="B30" s="119"/>
      <c r="C30" s="156" t="s">
        <v>118</v>
      </c>
      <c r="D30" s="156"/>
      <c r="F30" s="152"/>
    </row>
    <row r="31" spans="2:21" s="93" customFormat="1" ht="12.75">
      <c r="B31" s="119"/>
      <c r="F31" s="149"/>
    </row>
    <row r="32" spans="2:21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119</v>
      </c>
      <c r="D41" s="158"/>
      <c r="E41" s="138">
        <v>0.35</v>
      </c>
      <c r="F41" s="139">
        <f>$F$47*E41</f>
        <v>621887.15724409744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533046.13478065492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355364.08985376998</v>
      </c>
    </row>
    <row r="44" spans="2:6" s="93" customFormat="1" ht="12.75" hidden="1" customHeight="1">
      <c r="B44" s="157">
        <v>4</v>
      </c>
      <c r="C44" s="158" t="s">
        <v>120</v>
      </c>
      <c r="D44" s="158"/>
      <c r="E44" s="138">
        <v>0.1</v>
      </c>
      <c r="F44" s="139">
        <f t="shared" si="1"/>
        <v>177682.04492688499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88841.022463442496</v>
      </c>
    </row>
    <row r="46" spans="2:6" s="93" customFormat="1" ht="13.5" hidden="1" customHeight="1" thickBot="1">
      <c r="B46" s="163"/>
      <c r="C46" s="164" t="s">
        <v>121</v>
      </c>
      <c r="D46" s="164"/>
      <c r="E46" s="165">
        <f>SUM(E41:E45)</f>
        <v>0.99999999999999989</v>
      </c>
      <c r="F46" s="166">
        <f>SUM(F41:F45)</f>
        <v>1776820.4492688498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1776820.4492688498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N3" sqref="N3"/>
    </sheetView>
  </sheetViews>
  <sheetFormatPr defaultColWidth="8.46484375" defaultRowHeight="13.5"/>
  <cols>
    <col min="1" max="1" width="1.46484375" style="114" customWidth="1"/>
    <col min="2" max="2" width="6.46484375" style="190" bestFit="1" customWidth="1"/>
    <col min="3" max="3" width="50.53125" style="24" bestFit="1" customWidth="1"/>
    <col min="4" max="4" width="3.46484375" style="114" customWidth="1"/>
    <col min="5" max="5" width="15.46484375" style="24" customWidth="1"/>
    <col min="6" max="6" width="10.46484375" style="187" customWidth="1"/>
    <col min="7" max="7" width="13.53125" style="64" customWidth="1"/>
    <col min="8" max="8" width="5" style="114" customWidth="1"/>
    <col min="9" max="9" width="13.46484375" style="114" customWidth="1"/>
    <col min="10" max="10" width="11.46484375" style="115" customWidth="1"/>
    <col min="11" max="11" width="14.53125" style="114" customWidth="1"/>
    <col min="12" max="12" width="2.46484375" style="114" customWidth="1"/>
    <col min="13" max="13" width="12.53125" style="114" customWidth="1"/>
    <col min="14" max="14" width="11.265625" style="114" bestFit="1" customWidth="1"/>
    <col min="15" max="15" width="39.46484375" style="114" bestFit="1" customWidth="1"/>
    <col min="16" max="16" width="1.46484375" style="114" customWidth="1"/>
    <col min="17" max="17" width="5.53125" style="3" customWidth="1"/>
    <col min="18" max="25" width="8.46484375" style="114"/>
    <col min="26" max="16384" width="8.46484375" style="24"/>
  </cols>
  <sheetData>
    <row r="1" spans="2:28" s="114" customFormat="1" ht="4.5" customHeight="1">
      <c r="B1" s="186"/>
      <c r="F1" s="187"/>
      <c r="G1" s="115"/>
      <c r="J1" s="115"/>
      <c r="N1" s="606">
        <v>45943</v>
      </c>
      <c r="O1" s="606">
        <v>45943</v>
      </c>
      <c r="Q1" s="3"/>
    </row>
    <row r="2" spans="2:28" ht="13.9">
      <c r="B2" s="225"/>
      <c r="C2" s="226" t="s">
        <v>0</v>
      </c>
      <c r="D2" s="227"/>
      <c r="E2" s="898" t="s">
        <v>122</v>
      </c>
      <c r="F2" s="899"/>
      <c r="G2" s="899"/>
      <c r="H2" s="900"/>
      <c r="N2" s="607">
        <v>0</v>
      </c>
      <c r="O2" s="607">
        <v>1</v>
      </c>
    </row>
    <row r="3" spans="2:28" s="114" customFormat="1" ht="13.9">
      <c r="B3" s="228"/>
      <c r="C3" s="229" t="s">
        <v>123</v>
      </c>
      <c r="D3" s="227"/>
      <c r="E3" s="648">
        <v>148</v>
      </c>
      <c r="F3" s="230"/>
      <c r="G3" s="231"/>
      <c r="H3" s="232"/>
      <c r="J3" s="115"/>
      <c r="Q3" s="3"/>
    </row>
    <row r="4" spans="2:28" s="114" customFormat="1" ht="13.9">
      <c r="B4" s="228"/>
      <c r="C4" s="229" t="s">
        <v>124</v>
      </c>
      <c r="D4" s="227"/>
      <c r="E4" s="901" t="s">
        <v>125</v>
      </c>
      <c r="F4" s="902"/>
      <c r="G4" s="902"/>
      <c r="H4" s="903"/>
      <c r="J4" s="115"/>
      <c r="Q4" s="3"/>
    </row>
    <row r="5" spans="2:28" s="114" customFormat="1" ht="13.9">
      <c r="B5" s="228"/>
      <c r="C5" s="229" t="s">
        <v>126</v>
      </c>
      <c r="D5" s="227"/>
      <c r="E5" s="901" t="s">
        <v>127</v>
      </c>
      <c r="F5" s="902"/>
      <c r="G5" s="902"/>
      <c r="H5" s="903"/>
      <c r="J5" s="115"/>
      <c r="Q5" s="3"/>
    </row>
    <row r="6" spans="2:28" ht="13.9">
      <c r="B6" s="233"/>
      <c r="C6" s="234" t="s">
        <v>128</v>
      </c>
      <c r="D6" s="227"/>
      <c r="E6" s="731">
        <v>1735813.3392688499</v>
      </c>
      <c r="F6" s="716"/>
      <c r="G6" s="716"/>
      <c r="H6" s="717"/>
    </row>
    <row r="7" spans="2:28" s="114" customFormat="1" ht="13.9">
      <c r="B7" s="186"/>
      <c r="C7" s="881" t="s">
        <v>493</v>
      </c>
      <c r="E7" s="616" t="s">
        <v>494</v>
      </c>
      <c r="F7" s="187"/>
      <c r="G7" s="235"/>
      <c r="J7" s="115"/>
      <c r="Q7" s="3"/>
    </row>
    <row r="8" spans="2:28" ht="30" customHeight="1">
      <c r="B8" s="893" t="s">
        <v>91</v>
      </c>
      <c r="C8" s="894" t="s">
        <v>129</v>
      </c>
      <c r="D8" s="264"/>
      <c r="E8" s="896" t="s">
        <v>130</v>
      </c>
      <c r="F8" s="286" t="s">
        <v>131</v>
      </c>
      <c r="G8" s="896" t="s">
        <v>132</v>
      </c>
      <c r="H8" s="287"/>
      <c r="I8" s="896" t="s">
        <v>133</v>
      </c>
      <c r="J8" s="286" t="s">
        <v>131</v>
      </c>
      <c r="K8" s="896" t="s">
        <v>134</v>
      </c>
      <c r="M8" s="647" t="s">
        <v>60</v>
      </c>
      <c r="O8" s="904" t="s">
        <v>135</v>
      </c>
      <c r="Z8" s="114"/>
      <c r="AA8" s="114"/>
      <c r="AB8" s="114"/>
    </row>
    <row r="9" spans="2:28" ht="13.9">
      <c r="B9" s="894"/>
      <c r="C9" s="895"/>
      <c r="D9" s="264"/>
      <c r="E9" s="897"/>
      <c r="F9" s="128">
        <v>64</v>
      </c>
      <c r="G9" s="897"/>
      <c r="H9" s="287"/>
      <c r="I9" s="897"/>
      <c r="J9" s="129">
        <v>65</v>
      </c>
      <c r="K9" s="897"/>
      <c r="M9" s="496">
        <v>1</v>
      </c>
      <c r="N9" s="496">
        <v>1</v>
      </c>
      <c r="O9" s="905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 ht="13.9">
      <c r="B11" s="293">
        <v>1</v>
      </c>
      <c r="C11" s="294" t="s">
        <v>136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5">
        <v>1</v>
      </c>
      <c r="N11" s="495">
        <v>1</v>
      </c>
      <c r="O11" s="121"/>
      <c r="P11" s="114"/>
      <c r="Q11" s="122"/>
    </row>
    <row r="12" spans="2:28" s="114" customFormat="1" ht="13.9">
      <c r="B12" s="297" t="s">
        <v>137</v>
      </c>
      <c r="C12" s="298" t="s">
        <v>138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 ht="13.9">
      <c r="B13" s="297" t="s">
        <v>139</v>
      </c>
      <c r="C13" s="298" t="s">
        <v>140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 ht="13.9">
      <c r="B14" s="297" t="s">
        <v>141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 ht="13.9">
      <c r="B15" s="297" t="s">
        <v>142</v>
      </c>
      <c r="C15" s="298" t="s">
        <v>143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 ht="13.9">
      <c r="B16" s="297" t="s">
        <v>144</v>
      </c>
      <c r="C16" s="298" t="s">
        <v>145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 ht="13.9">
      <c r="B18" s="293">
        <v>2</v>
      </c>
      <c r="C18" s="294" t="s">
        <v>146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5">
        <v>1</v>
      </c>
      <c r="N18" s="495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7" t="s">
        <v>147</v>
      </c>
      <c r="C19" s="298" t="s">
        <v>148</v>
      </c>
      <c r="D19" s="264"/>
      <c r="E19" s="651">
        <v>45560</v>
      </c>
      <c r="F19" s="300">
        <v>1</v>
      </c>
      <c r="G19" s="299">
        <v>45561</v>
      </c>
      <c r="H19" s="287"/>
      <c r="I19" s="651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/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3">
        <v>3</v>
      </c>
      <c r="C21" s="294" t="s">
        <v>149</v>
      </c>
      <c r="D21" s="268"/>
      <c r="E21" s="295">
        <v>45586</v>
      </c>
      <c r="F21" s="296">
        <v>32</v>
      </c>
      <c r="G21" s="295">
        <v>45618</v>
      </c>
      <c r="H21" s="301"/>
      <c r="I21" s="295">
        <v>45586</v>
      </c>
      <c r="J21" s="296">
        <v>32</v>
      </c>
      <c r="K21" s="295">
        <v>45618</v>
      </c>
      <c r="M21" s="495">
        <v>1</v>
      </c>
      <c r="N21" s="495">
        <v>1</v>
      </c>
      <c r="O21" s="121"/>
      <c r="P21" s="114"/>
      <c r="Q21" s="125"/>
      <c r="R21" s="120"/>
      <c r="S21" s="728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7" t="s">
        <v>150</v>
      </c>
      <c r="C22" s="298" t="s">
        <v>151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29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7" t="s">
        <v>152</v>
      </c>
      <c r="C23" s="298" t="s">
        <v>153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7" t="s">
        <v>154</v>
      </c>
      <c r="C24" s="298" t="s">
        <v>155</v>
      </c>
      <c r="D24" s="264"/>
      <c r="E24" s="651">
        <v>45560</v>
      </c>
      <c r="F24" s="300">
        <v>30</v>
      </c>
      <c r="G24" s="299">
        <v>45602</v>
      </c>
      <c r="H24" s="287"/>
      <c r="I24" s="651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7" t="s">
        <v>156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7" t="s">
        <v>157</v>
      </c>
      <c r="C26" s="298" t="s">
        <v>158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3">
        <v>4</v>
      </c>
      <c r="C28" s="294" t="s">
        <v>34</v>
      </c>
      <c r="D28" s="268"/>
      <c r="E28" s="295">
        <v>45575</v>
      </c>
      <c r="F28" s="296">
        <v>42</v>
      </c>
      <c r="G28" s="295">
        <v>45617</v>
      </c>
      <c r="H28" s="301"/>
      <c r="I28" s="295">
        <v>45575</v>
      </c>
      <c r="J28" s="296">
        <v>42</v>
      </c>
      <c r="K28" s="295">
        <v>45617</v>
      </c>
      <c r="M28" s="495">
        <v>1</v>
      </c>
      <c r="N28" s="495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7" t="s">
        <v>159</v>
      </c>
      <c r="C29" s="298" t="s">
        <v>160</v>
      </c>
      <c r="D29" s="264"/>
      <c r="E29" s="299">
        <v>45575</v>
      </c>
      <c r="F29" s="300">
        <v>1</v>
      </c>
      <c r="G29" s="299">
        <v>45576</v>
      </c>
      <c r="H29" s="287"/>
      <c r="I29" s="299">
        <v>45575</v>
      </c>
      <c r="J29" s="300">
        <v>1</v>
      </c>
      <c r="K29" s="299">
        <v>45576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7" t="s">
        <v>161</v>
      </c>
      <c r="C30" s="298" t="s">
        <v>162</v>
      </c>
      <c r="D30" s="264"/>
      <c r="E30" s="299">
        <v>45575</v>
      </c>
      <c r="F30" s="300">
        <v>8</v>
      </c>
      <c r="G30" s="299">
        <v>45587</v>
      </c>
      <c r="H30" s="287"/>
      <c r="I30" s="299">
        <v>45575</v>
      </c>
      <c r="J30" s="300">
        <v>8</v>
      </c>
      <c r="K30" s="299">
        <v>45587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7" t="s">
        <v>163</v>
      </c>
      <c r="C31" s="298" t="s">
        <v>164</v>
      </c>
      <c r="D31" s="264"/>
      <c r="E31" s="299">
        <v>45575</v>
      </c>
      <c r="F31" s="300">
        <v>1</v>
      </c>
      <c r="G31" s="299">
        <v>45576</v>
      </c>
      <c r="H31" s="287"/>
      <c r="I31" s="299">
        <v>45575</v>
      </c>
      <c r="J31" s="300">
        <v>1</v>
      </c>
      <c r="K31" s="299">
        <v>45576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7" t="s">
        <v>163</v>
      </c>
      <c r="C32" s="298" t="s">
        <v>165</v>
      </c>
      <c r="D32" s="264"/>
      <c r="E32" s="299">
        <v>45608</v>
      </c>
      <c r="F32" s="300">
        <v>5</v>
      </c>
      <c r="G32" s="299">
        <v>45615</v>
      </c>
      <c r="H32" s="287"/>
      <c r="I32" s="299">
        <v>45608</v>
      </c>
      <c r="J32" s="300">
        <v>5</v>
      </c>
      <c r="K32" s="299">
        <v>45615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3">
        <v>5</v>
      </c>
      <c r="C34" s="294" t="s">
        <v>166</v>
      </c>
      <c r="D34" s="268"/>
      <c r="E34" s="295">
        <v>45588</v>
      </c>
      <c r="F34" s="296">
        <v>29</v>
      </c>
      <c r="G34" s="295">
        <v>45617</v>
      </c>
      <c r="H34" s="269"/>
      <c r="I34" s="295">
        <v>45588</v>
      </c>
      <c r="J34" s="296">
        <v>29</v>
      </c>
      <c r="K34" s="295">
        <v>45617</v>
      </c>
      <c r="M34" s="495">
        <v>1</v>
      </c>
      <c r="N34" s="495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7" t="s">
        <v>167</v>
      </c>
      <c r="C35" s="298" t="s">
        <v>168</v>
      </c>
      <c r="D35" s="264"/>
      <c r="E35" s="299">
        <v>45588</v>
      </c>
      <c r="F35" s="300">
        <v>1</v>
      </c>
      <c r="G35" s="299">
        <v>45589</v>
      </c>
      <c r="H35" s="287"/>
      <c r="I35" s="299">
        <v>45588</v>
      </c>
      <c r="J35" s="300">
        <v>1</v>
      </c>
      <c r="K35" s="299">
        <v>45589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7" t="s">
        <v>169</v>
      </c>
      <c r="C36" s="298" t="s">
        <v>170</v>
      </c>
      <c r="D36" s="264"/>
      <c r="E36" s="299">
        <v>45587</v>
      </c>
      <c r="F36" s="300">
        <v>15</v>
      </c>
      <c r="G36" s="299">
        <v>45608</v>
      </c>
      <c r="H36" s="287"/>
      <c r="I36" s="299">
        <v>45587</v>
      </c>
      <c r="J36" s="300">
        <v>15</v>
      </c>
      <c r="K36" s="299">
        <v>45608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3">
        <v>6</v>
      </c>
      <c r="C38" s="294" t="s">
        <v>171</v>
      </c>
      <c r="D38" s="268"/>
      <c r="E38" s="295">
        <v>45618</v>
      </c>
      <c r="F38" s="296">
        <v>7</v>
      </c>
      <c r="G38" s="295">
        <v>45625</v>
      </c>
      <c r="H38" s="269"/>
      <c r="I38" s="295">
        <v>45622</v>
      </c>
      <c r="J38" s="296">
        <v>3</v>
      </c>
      <c r="K38" s="295">
        <v>45625</v>
      </c>
      <c r="M38" s="495">
        <v>1</v>
      </c>
      <c r="N38" s="495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7" t="s">
        <v>172</v>
      </c>
      <c r="C39" s="292" t="s">
        <v>171</v>
      </c>
      <c r="D39" s="264"/>
      <c r="E39" s="302">
        <v>45618</v>
      </c>
      <c r="F39" s="300">
        <v>1</v>
      </c>
      <c r="G39" s="299">
        <v>45621</v>
      </c>
      <c r="H39" s="265"/>
      <c r="I39" s="302">
        <v>45621</v>
      </c>
      <c r="J39" s="300">
        <v>1</v>
      </c>
      <c r="K39" s="299">
        <v>45622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7" t="s">
        <v>173</v>
      </c>
      <c r="C40" s="292" t="s">
        <v>106</v>
      </c>
      <c r="D40" s="264"/>
      <c r="E40" s="302">
        <v>45618</v>
      </c>
      <c r="F40" s="300">
        <v>4</v>
      </c>
      <c r="G40" s="299">
        <v>45624</v>
      </c>
      <c r="H40" s="287"/>
      <c r="I40" s="302">
        <v>45621</v>
      </c>
      <c r="J40" s="300">
        <v>4</v>
      </c>
      <c r="K40" s="299">
        <v>45625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3">
        <v>7</v>
      </c>
      <c r="C42" s="294" t="s">
        <v>174</v>
      </c>
      <c r="D42" s="268"/>
      <c r="E42" s="295">
        <v>45625</v>
      </c>
      <c r="F42" s="296">
        <v>11</v>
      </c>
      <c r="G42" s="295">
        <v>45636</v>
      </c>
      <c r="H42" s="269"/>
      <c r="I42" s="295">
        <v>45625</v>
      </c>
      <c r="J42" s="296">
        <v>11</v>
      </c>
      <c r="K42" s="295">
        <v>45636</v>
      </c>
      <c r="M42" s="495">
        <v>1</v>
      </c>
      <c r="N42" s="495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7">
        <v>7.1</v>
      </c>
      <c r="C43" s="292" t="s">
        <v>175</v>
      </c>
      <c r="D43" s="264"/>
      <c r="E43" s="302">
        <v>45624</v>
      </c>
      <c r="F43" s="300">
        <v>3</v>
      </c>
      <c r="G43" s="302">
        <v>45629</v>
      </c>
      <c r="H43" s="287"/>
      <c r="I43" s="302">
        <v>45625</v>
      </c>
      <c r="J43" s="300">
        <v>3</v>
      </c>
      <c r="K43" s="302">
        <v>45630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3">
        <v>8</v>
      </c>
      <c r="C45" s="294" t="s">
        <v>176</v>
      </c>
      <c r="D45" s="268"/>
      <c r="E45" s="295">
        <v>45633</v>
      </c>
      <c r="F45" s="296">
        <v>53</v>
      </c>
      <c r="G45" s="295">
        <v>45686</v>
      </c>
      <c r="H45" s="269"/>
      <c r="I45" s="295">
        <v>45633</v>
      </c>
      <c r="J45" s="296">
        <v>53</v>
      </c>
      <c r="K45" s="295">
        <v>45686</v>
      </c>
      <c r="M45" s="495">
        <v>1</v>
      </c>
      <c r="N45" s="495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7">
        <v>8.1</v>
      </c>
      <c r="C46" s="292" t="s">
        <v>177</v>
      </c>
      <c r="D46" s="264"/>
      <c r="E46" s="302">
        <v>45629</v>
      </c>
      <c r="F46" s="300">
        <v>1</v>
      </c>
      <c r="G46" s="302">
        <v>45630</v>
      </c>
      <c r="H46" s="287"/>
      <c r="I46" s="302">
        <v>45630</v>
      </c>
      <c r="J46" s="300">
        <v>1</v>
      </c>
      <c r="K46" s="302">
        <v>45631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7">
        <v>8.1999999999999993</v>
      </c>
      <c r="C47" s="292" t="s">
        <v>178</v>
      </c>
      <c r="D47" s="264"/>
      <c r="E47" s="302">
        <v>45630</v>
      </c>
      <c r="F47" s="300">
        <v>5</v>
      </c>
      <c r="G47" s="302">
        <v>45637</v>
      </c>
      <c r="H47" s="287"/>
      <c r="I47" s="302">
        <v>45631</v>
      </c>
      <c r="J47" s="300">
        <v>33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7">
        <v>8.3000000000000007</v>
      </c>
      <c r="C48" s="292" t="s">
        <v>179</v>
      </c>
      <c r="D48" s="264"/>
      <c r="E48" s="302">
        <v>45637</v>
      </c>
      <c r="F48" s="300">
        <v>5</v>
      </c>
      <c r="G48" s="302">
        <v>45645</v>
      </c>
      <c r="H48" s="287"/>
      <c r="I48" s="302">
        <v>45638</v>
      </c>
      <c r="J48" s="300">
        <v>5</v>
      </c>
      <c r="K48" s="302">
        <v>45646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7">
        <v>8.4</v>
      </c>
      <c r="C49" s="292" t="s">
        <v>180</v>
      </c>
      <c r="D49" s="264"/>
      <c r="E49" s="302">
        <v>45637</v>
      </c>
      <c r="F49" s="300">
        <v>5</v>
      </c>
      <c r="G49" s="302">
        <v>45645</v>
      </c>
      <c r="H49" s="287"/>
      <c r="I49" s="302">
        <v>45638</v>
      </c>
      <c r="J49" s="300">
        <v>5</v>
      </c>
      <c r="K49" s="302">
        <v>45646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7">
        <v>8.5</v>
      </c>
      <c r="C50" s="292" t="s">
        <v>181</v>
      </c>
      <c r="D50" s="264"/>
      <c r="E50" s="302">
        <v>45645</v>
      </c>
      <c r="F50" s="300">
        <v>1</v>
      </c>
      <c r="G50" s="302">
        <v>45646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7">
        <v>8.6</v>
      </c>
      <c r="C51" s="292" t="s">
        <v>182</v>
      </c>
      <c r="D51" s="264"/>
      <c r="E51" s="302">
        <v>45626</v>
      </c>
      <c r="F51" s="300">
        <v>1</v>
      </c>
      <c r="G51" s="302">
        <v>45628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8:P8 O9:P51 M1:P7" name="Range1"/>
    <protectedRange algorithmName="SHA-512" hashValue="0fHuZEaiYGK5sqlV/38Hfc0T7yH0tOTbdy5iYtX6c3lYp4VF2ar7IMEIVGfLLUnhvJzWsmOZSDZnUiLySCBxdg==" saltValue="oeJbzSFL5Q9rgT2MjiMjew==" spinCount="100000" sqref="M8:M51 N9:N51" name="Range1_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19:N20 M22:N27 M29:N33 M35:N37 M39:N41 M43:N44 M46:N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183</v>
      </c>
      <c r="F2" s="83" t="s">
        <v>184</v>
      </c>
    </row>
    <row r="3" spans="3:8">
      <c r="C3" s="79">
        <v>45292</v>
      </c>
      <c r="D3" s="73" t="s">
        <v>185</v>
      </c>
      <c r="F3" s="81" t="s">
        <v>186</v>
      </c>
    </row>
    <row r="4" spans="3:8">
      <c r="C4" s="79">
        <v>45372</v>
      </c>
      <c r="D4" s="73" t="s">
        <v>187</v>
      </c>
      <c r="F4" s="81" t="s">
        <v>188</v>
      </c>
    </row>
    <row r="5" spans="3:8">
      <c r="C5" s="79">
        <v>45380</v>
      </c>
      <c r="D5" s="73" t="s">
        <v>189</v>
      </c>
      <c r="F5" s="81" t="s">
        <v>190</v>
      </c>
    </row>
    <row r="6" spans="3:8" ht="13.15" thickBot="1">
      <c r="C6" s="79">
        <v>45383</v>
      </c>
      <c r="D6" s="73" t="s">
        <v>191</v>
      </c>
      <c r="F6" s="82" t="s">
        <v>192</v>
      </c>
    </row>
    <row r="7" spans="3:8">
      <c r="C7" s="79">
        <v>45413</v>
      </c>
      <c r="D7" s="73" t="s">
        <v>193</v>
      </c>
    </row>
    <row r="8" spans="3:8">
      <c r="C8" s="79">
        <v>45460</v>
      </c>
      <c r="D8" s="73" t="s">
        <v>194</v>
      </c>
    </row>
    <row r="9" spans="3:8">
      <c r="C9" s="79">
        <v>45513</v>
      </c>
      <c r="D9" s="73" t="s">
        <v>195</v>
      </c>
    </row>
    <row r="10" spans="3:8">
      <c r="C10" s="79">
        <v>45559</v>
      </c>
      <c r="D10" s="73" t="s">
        <v>196</v>
      </c>
    </row>
    <row r="11" spans="3:8">
      <c r="C11" s="79">
        <v>45642</v>
      </c>
      <c r="D11" s="73" t="s">
        <v>197</v>
      </c>
    </row>
    <row r="12" spans="3:8">
      <c r="C12" s="79">
        <v>45651</v>
      </c>
      <c r="D12" s="73" t="s">
        <v>198</v>
      </c>
    </row>
    <row r="13" spans="3:8">
      <c r="C13" s="79">
        <v>45652</v>
      </c>
      <c r="D13" s="73" t="s">
        <v>199</v>
      </c>
      <c r="F13" s="85"/>
      <c r="H13" s="73" t="s">
        <v>200</v>
      </c>
    </row>
    <row r="14" spans="3:8" ht="13.1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15" zoomScaleNormal="115" workbookViewId="0">
      <pane ySplit="7" topLeftCell="A8" activePane="bottomLeft" state="frozen"/>
      <selection activeCell="G7" sqref="G7"/>
      <selection pane="bottomLeft" activeCell="H13" sqref="H1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26562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1.46484375" style="24" customWidth="1"/>
    <col min="10" max="10" width="18.46484375" style="24" customWidth="1"/>
    <col min="11" max="11" width="3.46484375" style="24" customWidth="1"/>
    <col min="12" max="12" width="21.53125" style="24" customWidth="1"/>
    <col min="13" max="13" width="2" style="24" customWidth="1"/>
    <col min="14" max="14" width="24.46484375" style="24" customWidth="1"/>
    <col min="15" max="15" width="2" style="24" customWidth="1"/>
    <col min="16" max="16" width="53.265625" style="24" customWidth="1"/>
    <col min="17" max="16384" width="8.4648437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 ht="13.9">
      <c r="A2" s="264"/>
      <c r="B2" s="268" t="s">
        <v>201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25" thickBot="1">
      <c r="A4" s="264"/>
      <c r="B4" s="906"/>
      <c r="C4" s="906"/>
      <c r="D4" s="906"/>
      <c r="E4" s="649"/>
      <c r="F4" s="269" t="s">
        <v>202</v>
      </c>
      <c r="G4" s="264"/>
      <c r="H4" s="269" t="s">
        <v>74</v>
      </c>
      <c r="I4" s="264"/>
      <c r="J4" s="269" t="s">
        <v>75</v>
      </c>
      <c r="K4" s="264"/>
      <c r="L4" s="270" t="s">
        <v>203</v>
      </c>
      <c r="M4" s="114"/>
      <c r="N4" s="270" t="s">
        <v>204</v>
      </c>
      <c r="O4" s="114"/>
      <c r="P4" s="114"/>
    </row>
    <row r="5" spans="1:16" ht="14.25" thickBot="1">
      <c r="A5" s="264"/>
      <c r="B5" s="907" t="s">
        <v>205</v>
      </c>
      <c r="C5" s="907"/>
      <c r="D5" s="907"/>
      <c r="E5" s="649"/>
      <c r="F5" s="271">
        <f>SUM(F9:F23)</f>
        <v>1461076.77</v>
      </c>
      <c r="G5" s="266"/>
      <c r="H5" s="271">
        <f>SUM(H9:H23)</f>
        <v>1396689.3867408605</v>
      </c>
      <c r="I5" s="266"/>
      <c r="J5" s="271">
        <f>SUM(J9:J23)</f>
        <v>1332390.7399999998</v>
      </c>
      <c r="K5" s="264"/>
      <c r="L5" s="272">
        <f>SUM(L9:L23)</f>
        <v>128686.03000000004</v>
      </c>
      <c r="M5" s="114"/>
      <c r="N5" s="272">
        <f>SUM(N9:N23)</f>
        <v>64298.64674086064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65" thickBot="1">
      <c r="A7" s="264"/>
      <c r="B7" s="274" t="s">
        <v>91</v>
      </c>
      <c r="C7" s="275"/>
      <c r="D7" s="274" t="s">
        <v>206</v>
      </c>
      <c r="E7" s="275"/>
      <c r="F7" s="276" t="s">
        <v>207</v>
      </c>
      <c r="G7" s="277"/>
      <c r="H7" s="276" t="s">
        <v>208</v>
      </c>
      <c r="I7" s="277"/>
      <c r="J7" s="276" t="s">
        <v>209</v>
      </c>
      <c r="K7" s="277"/>
      <c r="L7" s="276" t="s">
        <v>210</v>
      </c>
      <c r="M7" s="191"/>
      <c r="N7" s="276" t="s">
        <v>210</v>
      </c>
      <c r="O7" s="191"/>
      <c r="P7" s="117" t="s">
        <v>211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 ht="13.9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461154.35</v>
      </c>
      <c r="G9" s="86"/>
      <c r="H9" s="280">
        <v>476456.5</v>
      </c>
      <c r="I9" s="86"/>
      <c r="J9" s="280">
        <f>'Expenditure Breakdown'!X6</f>
        <v>384202.5</v>
      </c>
      <c r="K9" s="89"/>
      <c r="L9" s="281">
        <f>F9-J9</f>
        <v>76951.849999999977</v>
      </c>
      <c r="M9" s="192"/>
      <c r="N9" s="281">
        <f>H9-J9</f>
        <v>92254</v>
      </c>
      <c r="O9" s="192"/>
      <c r="P9" s="304"/>
    </row>
    <row r="10" spans="1:16" ht="13.9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</v>
      </c>
      <c r="I10" s="86"/>
      <c r="J10" s="280">
        <f>+'Expenditure Breakdown'!X13</f>
        <v>115325.23</v>
      </c>
      <c r="K10" s="89"/>
      <c r="L10" s="281">
        <f t="shared" ref="L10:L23" si="0">F10-J10</f>
        <v>2718.7700000000041</v>
      </c>
      <c r="M10" s="192"/>
      <c r="N10" s="281">
        <f t="shared" ref="N10:N23" si="1">H10-J10</f>
        <v>5781.7700000000041</v>
      </c>
      <c r="O10" s="192"/>
      <c r="P10" s="304"/>
    </row>
    <row r="11" spans="1:16" ht="13.9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66690</v>
      </c>
      <c r="G11" s="86"/>
      <c r="H11" s="280">
        <v>29643.200000000001</v>
      </c>
      <c r="I11" s="86"/>
      <c r="J11" s="280">
        <f>+'Expenditure Breakdown'!X18</f>
        <v>22391.319999999996</v>
      </c>
      <c r="K11" s="89"/>
      <c r="L11" s="281">
        <f t="shared" si="0"/>
        <v>44298.680000000008</v>
      </c>
      <c r="M11" s="192"/>
      <c r="N11" s="281">
        <f t="shared" si="1"/>
        <v>7251.8800000000047</v>
      </c>
      <c r="O11" s="192"/>
      <c r="P11" s="304"/>
    </row>
    <row r="12" spans="1:16" ht="13.9">
      <c r="A12" s="264"/>
      <c r="B12" s="278">
        <f>'Expenditure Breakdown'!B24</f>
        <v>4</v>
      </c>
      <c r="C12" s="267"/>
      <c r="D12" s="279" t="str">
        <f>'Expenditure Breakdown'!C24</f>
        <v>DC Equipment</v>
      </c>
      <c r="E12" s="282"/>
      <c r="F12" s="280">
        <f>+'Expenditure Breakdown'!J24</f>
        <v>109793.5</v>
      </c>
      <c r="G12" s="86"/>
      <c r="H12" s="280">
        <v>133412</v>
      </c>
      <c r="I12" s="86"/>
      <c r="J12" s="280">
        <f>+'Expenditure Breakdown'!X24</f>
        <v>125312</v>
      </c>
      <c r="K12" s="89"/>
      <c r="L12" s="281">
        <f t="shared" si="0"/>
        <v>-15518.5</v>
      </c>
      <c r="M12" s="192"/>
      <c r="N12" s="281">
        <f t="shared" si="1"/>
        <v>8100</v>
      </c>
      <c r="O12" s="192"/>
      <c r="P12" s="304"/>
    </row>
    <row r="13" spans="1:16" ht="13.9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80520.5</v>
      </c>
      <c r="I13" s="86"/>
      <c r="J13" s="280">
        <f>+'Expenditure Breakdown'!X35</f>
        <v>107002.01</v>
      </c>
      <c r="K13" s="89"/>
      <c r="L13" s="281">
        <f t="shared" si="0"/>
        <v>-58002.009999999995</v>
      </c>
      <c r="M13" s="192"/>
      <c r="N13" s="281">
        <f t="shared" si="1"/>
        <v>-26481.509999999995</v>
      </c>
      <c r="O13" s="192"/>
      <c r="P13" s="304"/>
    </row>
    <row r="14" spans="1:16" ht="13.9">
      <c r="A14" s="264"/>
      <c r="B14" s="278">
        <f>'Expenditure Breakdown'!B42</f>
        <v>6</v>
      </c>
      <c r="C14" s="267"/>
      <c r="D14" s="279" t="str">
        <f>'Expenditure Breakdown'!C42</f>
        <v>AC Equipment</v>
      </c>
      <c r="E14" s="282"/>
      <c r="F14" s="280">
        <f>+'Expenditure Breakdown'!J42</f>
        <v>257521.38</v>
      </c>
      <c r="G14" s="86"/>
      <c r="H14" s="280">
        <v>158245.99999999997</v>
      </c>
      <c r="I14" s="86"/>
      <c r="J14" s="280">
        <f>+'Expenditure Breakdown'!X42</f>
        <v>158245.99999999997</v>
      </c>
      <c r="K14" s="89"/>
      <c r="L14" s="281">
        <f t="shared" si="0"/>
        <v>99275.380000000034</v>
      </c>
      <c r="M14" s="192"/>
      <c r="N14" s="281">
        <f t="shared" si="1"/>
        <v>0</v>
      </c>
      <c r="O14" s="192"/>
      <c r="P14" s="304"/>
    </row>
    <row r="15" spans="1:16" ht="13.9">
      <c r="A15" s="264"/>
      <c r="B15" s="278">
        <f>'Expenditure Breakdown'!B56</f>
        <v>7</v>
      </c>
      <c r="C15" s="267"/>
      <c r="D15" s="279" t="str">
        <f>'Expenditure Breakdown'!C56</f>
        <v>Battery Systems</v>
      </c>
      <c r="E15" s="282"/>
      <c r="F15" s="280">
        <f>+'Expenditure Breakdown'!J56</f>
        <v>0</v>
      </c>
      <c r="G15" s="86"/>
      <c r="H15" s="280">
        <v>0</v>
      </c>
      <c r="I15" s="86"/>
      <c r="J15" s="280">
        <f>'Expenditure Breakdown'!X56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 ht="13.9">
      <c r="A16" s="264"/>
      <c r="B16" s="278">
        <f>'Expenditure Breakdown'!B65</f>
        <v>8</v>
      </c>
      <c r="C16" s="267"/>
      <c r="D16" s="279" t="str">
        <f>'Expenditure Breakdown'!C65</f>
        <v xml:space="preserve">Product Add On </v>
      </c>
      <c r="E16" s="282"/>
      <c r="F16" s="280">
        <f>'Expenditure Breakdown'!J65</f>
        <v>0</v>
      </c>
      <c r="G16" s="86"/>
      <c r="H16" s="280">
        <v>0</v>
      </c>
      <c r="I16" s="86"/>
      <c r="J16" s="280">
        <f>'Expenditure Breakdown'!X65</f>
        <v>83299.38</v>
      </c>
      <c r="K16" s="89"/>
      <c r="L16" s="281">
        <f t="shared" si="0"/>
        <v>-83299.38</v>
      </c>
      <c r="M16" s="192"/>
      <c r="N16" s="281">
        <f t="shared" si="1"/>
        <v>-83299.38</v>
      </c>
      <c r="O16" s="192"/>
      <c r="P16" s="304"/>
    </row>
    <row r="17" spans="1:16" ht="13.9">
      <c r="A17" s="264"/>
      <c r="B17" s="278">
        <f>'Expenditure Breakdown'!M72</f>
        <v>9</v>
      </c>
      <c r="C17" s="267"/>
      <c r="D17" s="279" t="str">
        <f>'Expenditure Breakdown'!C72</f>
        <v>AC &amp; DC Installation</v>
      </c>
      <c r="E17" s="282"/>
      <c r="F17" s="280">
        <f>+'Expenditure Breakdown'!J72</f>
        <v>123500</v>
      </c>
      <c r="G17" s="86"/>
      <c r="H17" s="280">
        <v>103690</v>
      </c>
      <c r="I17" s="86"/>
      <c r="J17" s="280">
        <f>+'Expenditure Breakdown'!X72</f>
        <v>103690</v>
      </c>
      <c r="K17" s="89"/>
      <c r="L17" s="281">
        <f t="shared" si="0"/>
        <v>19810</v>
      </c>
      <c r="M17" s="192"/>
      <c r="N17" s="281">
        <f t="shared" si="1"/>
        <v>0</v>
      </c>
      <c r="O17" s="192"/>
      <c r="P17" s="304"/>
    </row>
    <row r="18" spans="1:16" ht="13.9">
      <c r="A18" s="264"/>
      <c r="B18" s="278">
        <f>'Expenditure Breakdown'!B81</f>
        <v>10</v>
      </c>
      <c r="C18" s="267"/>
      <c r="D18" s="279" t="str">
        <f>'Expenditure Breakdown'!C81</f>
        <v>Site Logistics</v>
      </c>
      <c r="E18" s="86"/>
      <c r="F18" s="280">
        <f>+'Expenditure Breakdown'!J81</f>
        <v>31594.3</v>
      </c>
      <c r="G18" s="86"/>
      <c r="H18" s="280">
        <v>110446.00000000001</v>
      </c>
      <c r="I18" s="86"/>
      <c r="J18" s="280">
        <f>+'Expenditure Breakdown'!X81</f>
        <v>93158.200000000012</v>
      </c>
      <c r="K18" s="89"/>
      <c r="L18" s="281">
        <f t="shared" si="0"/>
        <v>-61563.900000000009</v>
      </c>
      <c r="M18" s="192"/>
      <c r="N18" s="281">
        <f t="shared" si="1"/>
        <v>17287.800000000003</v>
      </c>
      <c r="O18" s="192"/>
      <c r="P18" s="304"/>
    </row>
    <row r="19" spans="1:16" ht="13.9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89000</v>
      </c>
      <c r="G19" s="86"/>
      <c r="H19" s="280">
        <v>23020</v>
      </c>
      <c r="I19" s="86"/>
      <c r="J19" s="280">
        <f>'Expenditure Breakdown'!X93</f>
        <v>11867.619999999999</v>
      </c>
      <c r="K19" s="89"/>
      <c r="L19" s="281">
        <f t="shared" si="0"/>
        <v>77132.38</v>
      </c>
      <c r="M19" s="192"/>
      <c r="N19" s="281">
        <f t="shared" si="1"/>
        <v>11152.380000000001</v>
      </c>
      <c r="O19" s="192"/>
      <c r="P19" s="304"/>
    </row>
    <row r="20" spans="1:16" ht="13.9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48482.92</v>
      </c>
      <c r="G20" s="86"/>
      <c r="H20" s="280">
        <v>48482.92</v>
      </c>
      <c r="I20" s="86"/>
      <c r="J20" s="280">
        <f>'Expenditure Breakdown'!X99</f>
        <v>48482.92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4"/>
    </row>
    <row r="21" spans="1:16" ht="13.9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103846.32</v>
      </c>
      <c r="G21" s="86"/>
      <c r="H21" s="280">
        <v>109215.26674086062</v>
      </c>
      <c r="I21" s="86"/>
      <c r="J21" s="280">
        <f>+'Expenditure Breakdown'!X103</f>
        <v>72067.67</v>
      </c>
      <c r="K21" s="89"/>
      <c r="L21" s="281">
        <f t="shared" si="0"/>
        <v>31778.650000000009</v>
      </c>
      <c r="M21" s="192"/>
      <c r="N21" s="281">
        <f t="shared" si="1"/>
        <v>37147.596740860623</v>
      </c>
      <c r="O21" s="192"/>
      <c r="P21" s="304" t="s">
        <v>212</v>
      </c>
    </row>
    <row r="22" spans="1:16" ht="13.9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2450</v>
      </c>
      <c r="G22" s="86"/>
      <c r="H22" s="280">
        <v>2450</v>
      </c>
      <c r="I22" s="86"/>
      <c r="J22" s="280">
        <f>+'Expenditure Breakdown'!X111</f>
        <v>7345.8900000000012</v>
      </c>
      <c r="K22" s="89"/>
      <c r="L22" s="281">
        <f t="shared" si="0"/>
        <v>-4895.8900000000012</v>
      </c>
      <c r="M22" s="192"/>
      <c r="N22" s="281">
        <f t="shared" si="1"/>
        <v>-4895.8900000000012</v>
      </c>
      <c r="O22" s="192"/>
      <c r="P22" s="304"/>
    </row>
    <row r="23" spans="1:16" ht="13.9">
      <c r="A23" s="264"/>
      <c r="B23" s="278">
        <f>'Expenditure Breakdown'!B120</f>
        <v>15</v>
      </c>
      <c r="C23" s="267"/>
      <c r="D23" s="279" t="str">
        <f>'Expenditure Breakdown'!C120</f>
        <v>Service Add On</v>
      </c>
      <c r="E23" s="86"/>
      <c r="F23" s="280">
        <f>+'Expenditure Breakdown'!J120</f>
        <v>0</v>
      </c>
      <c r="G23" s="86"/>
      <c r="H23" s="280">
        <v>0</v>
      </c>
      <c r="I23" s="86"/>
      <c r="J23" s="280">
        <f>+'Expenditure Breakdown'!X120</f>
        <v>0</v>
      </c>
      <c r="K23" s="89"/>
      <c r="L23" s="281">
        <f t="shared" si="0"/>
        <v>0</v>
      </c>
      <c r="M23" s="192"/>
      <c r="N23" s="281">
        <f t="shared" si="1"/>
        <v>0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213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 ht="13.9">
      <c r="A27" s="616" t="s">
        <v>214</v>
      </c>
      <c r="B27" s="617"/>
      <c r="C27" s="617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6"/>
  <sheetViews>
    <sheetView topLeftCell="K1" zoomScale="85" zoomScaleNormal="85" workbookViewId="0">
      <pane ySplit="4" topLeftCell="A87" activePane="bottomLeft" state="frozen"/>
      <selection activeCell="Q24" sqref="Q24"/>
      <selection pane="bottomLeft" activeCell="Z121" sqref="Z121"/>
    </sheetView>
  </sheetViews>
  <sheetFormatPr defaultColWidth="9.46484375" defaultRowHeight="13.5"/>
  <cols>
    <col min="1" max="1" width="2.46484375" style="114" hidden="1" customWidth="1"/>
    <col min="2" max="2" width="6.46484375" style="24" hidden="1" customWidth="1"/>
    <col min="3" max="3" width="20.46484375" style="24" hidden="1" customWidth="1"/>
    <col min="4" max="4" width="29.46484375" style="24" hidden="1" customWidth="1"/>
    <col min="5" max="5" width="8.46484375" style="70" hidden="1" customWidth="1"/>
    <col min="6" max="6" width="14.265625" style="64" hidden="1" customWidth="1"/>
    <col min="7" max="7" width="16.265625" style="24" hidden="1" customWidth="1"/>
    <col min="8" max="8" width="14" style="24" hidden="1" customWidth="1"/>
    <col min="9" max="9" width="2.46484375" style="114" hidden="1" customWidth="1"/>
    <col min="10" max="10" width="17.46484375" style="460" hidden="1" customWidth="1"/>
    <col min="11" max="11" width="17.46484375" style="460" customWidth="1"/>
    <col min="12" max="12" width="5.53125" style="114" customWidth="1"/>
    <col min="13" max="13" width="5.53125" style="24" customWidth="1"/>
    <col min="14" max="14" width="25.53125" style="24" customWidth="1"/>
    <col min="15" max="15" width="61.46484375" style="24" customWidth="1"/>
    <col min="16" max="16" width="15.53125" style="70" customWidth="1"/>
    <col min="17" max="17" width="17.46484375" style="64" customWidth="1"/>
    <col min="18" max="18" width="16.53125" style="461" customWidth="1"/>
    <col min="19" max="19" width="31.46484375" style="466" customWidth="1"/>
    <col min="20" max="20" width="13" style="65" customWidth="1"/>
    <col min="21" max="22" width="16.265625" style="65" customWidth="1"/>
    <col min="23" max="23" width="13.46484375" style="477" customWidth="1"/>
    <col min="24" max="24" width="16.53125" style="24" customWidth="1"/>
    <col min="25" max="25" width="40.46484375" style="65" bestFit="1" customWidth="1"/>
    <col min="26" max="26" width="57" style="114" customWidth="1"/>
    <col min="27" max="27" width="29.46484375" style="114" bestFit="1" customWidth="1"/>
    <col min="28" max="28" width="19.53125" style="114" customWidth="1"/>
    <col min="29" max="29" width="7.53125" style="114" bestFit="1" customWidth="1"/>
    <col min="30" max="30" width="21.53125" style="114" bestFit="1" customWidth="1"/>
    <col min="31" max="31" width="14.265625" style="114" bestFit="1" customWidth="1"/>
    <col min="32" max="32" width="9.46484375" style="114"/>
    <col min="33" max="33" width="23.53125" style="114" bestFit="1" customWidth="1"/>
    <col min="34" max="34" width="14.265625" style="114" bestFit="1" customWidth="1"/>
    <col min="35" max="35" width="13.53125" style="114" bestFit="1" customWidth="1"/>
    <col min="36" max="42" width="9.46484375" style="114"/>
    <col min="43" max="16384" width="9.46484375" style="24"/>
  </cols>
  <sheetData>
    <row r="1" spans="1:42" s="114" customFormat="1" ht="4.5" customHeight="1" thickBot="1">
      <c r="E1" s="168"/>
      <c r="F1" s="115"/>
      <c r="J1" s="305"/>
      <c r="K1" s="305"/>
      <c r="P1" s="168"/>
      <c r="Q1" s="115"/>
      <c r="R1" s="497"/>
      <c r="S1" s="463"/>
      <c r="T1" s="169"/>
      <c r="U1" s="169"/>
      <c r="V1" s="169"/>
      <c r="W1" s="467"/>
      <c r="Y1" s="169"/>
    </row>
    <row r="2" spans="1:42" ht="21.75" customHeight="1" thickBot="1">
      <c r="B2" s="986" t="s">
        <v>215</v>
      </c>
      <c r="C2" s="987"/>
      <c r="D2" s="987"/>
      <c r="E2" s="987"/>
      <c r="F2" s="987"/>
      <c r="G2" s="987"/>
      <c r="H2" s="988"/>
      <c r="J2" s="307">
        <f>SUM(J6:J124)</f>
        <v>1461076.77</v>
      </c>
      <c r="K2" s="307">
        <f>SUM(K6:K124)</f>
        <v>1735813.339441</v>
      </c>
      <c r="M2" s="989" t="s">
        <v>216</v>
      </c>
      <c r="N2" s="990"/>
      <c r="O2" s="990"/>
      <c r="P2" s="990"/>
      <c r="Q2" s="990"/>
      <c r="R2" s="990"/>
      <c r="S2" s="971" t="s">
        <v>217</v>
      </c>
      <c r="T2" s="972"/>
      <c r="U2" s="972"/>
      <c r="V2" s="972"/>
      <c r="W2" s="973"/>
      <c r="X2" s="478">
        <f>SUM(X6:X124)</f>
        <v>1332390.7399999998</v>
      </c>
      <c r="Y2" s="114"/>
    </row>
    <row r="3" spans="1:42" s="114" customFormat="1" ht="13.5" customHeight="1" thickBot="1">
      <c r="E3" s="168"/>
      <c r="F3" s="115"/>
      <c r="J3" s="305"/>
      <c r="K3" s="508"/>
      <c r="P3" s="168"/>
      <c r="Q3" s="115"/>
      <c r="R3" s="306"/>
      <c r="Y3" s="169"/>
    </row>
    <row r="4" spans="1:42" s="70" customFormat="1" ht="42" thickBot="1">
      <c r="A4" s="168"/>
      <c r="B4" s="308" t="s">
        <v>218</v>
      </c>
      <c r="C4" s="309" t="s">
        <v>219</v>
      </c>
      <c r="D4" s="309" t="s">
        <v>220</v>
      </c>
      <c r="E4" s="309" t="s">
        <v>221</v>
      </c>
      <c r="F4" s="309" t="s">
        <v>222</v>
      </c>
      <c r="G4" s="310" t="s">
        <v>223</v>
      </c>
      <c r="H4" s="311" t="s">
        <v>224</v>
      </c>
      <c r="I4" s="312"/>
      <c r="J4" s="313" t="s">
        <v>225</v>
      </c>
      <c r="K4" s="313" t="str">
        <f>IF(K2-'Revenue Tracking'!D4&gt;=0, "Total Revenue", "ERROR on REV" )</f>
        <v>Total Revenue</v>
      </c>
      <c r="L4" s="168"/>
      <c r="M4" s="308" t="s">
        <v>218</v>
      </c>
      <c r="N4" s="309" t="s">
        <v>226</v>
      </c>
      <c r="O4" s="309" t="s">
        <v>220</v>
      </c>
      <c r="P4" s="309" t="s">
        <v>221</v>
      </c>
      <c r="Q4" s="309" t="s">
        <v>222</v>
      </c>
      <c r="R4" s="558" t="s">
        <v>227</v>
      </c>
      <c r="S4" s="113" t="s">
        <v>96</v>
      </c>
      <c r="T4" s="530" t="s">
        <v>97</v>
      </c>
      <c r="U4" s="531" t="s">
        <v>228</v>
      </c>
      <c r="V4" s="532" t="s">
        <v>229</v>
      </c>
      <c r="W4" s="530" t="s">
        <v>230</v>
      </c>
      <c r="X4" s="479" t="s">
        <v>225</v>
      </c>
      <c r="Y4" s="113" t="s">
        <v>231</v>
      </c>
      <c r="Z4" s="113" t="s">
        <v>232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09"/>
      <c r="V5" s="462"/>
      <c r="W5" s="468"/>
      <c r="X5" s="480"/>
      <c r="Y5" s="110"/>
      <c r="Z5" s="110"/>
    </row>
    <row r="6" spans="1:42" ht="14.25" customHeight="1">
      <c r="B6" s="718">
        <v>1</v>
      </c>
      <c r="C6" s="485" t="s">
        <v>233</v>
      </c>
      <c r="D6" s="485" t="s">
        <v>234</v>
      </c>
      <c r="E6" s="719">
        <v>260</v>
      </c>
      <c r="F6" s="730">
        <v>1696.7474999999999</v>
      </c>
      <c r="G6" s="404">
        <f>E6*F6</f>
        <v>441154.35</v>
      </c>
      <c r="H6" s="351">
        <f>'Project Plan'!E35+60</f>
        <v>45648</v>
      </c>
      <c r="I6" s="352"/>
      <c r="J6" s="952">
        <f>SUM(G6:G11)</f>
        <v>461154.35</v>
      </c>
      <c r="K6" s="952">
        <v>576442.9375</v>
      </c>
      <c r="L6" s="581"/>
      <c r="M6" s="347">
        <v>1</v>
      </c>
      <c r="N6" s="663" t="s">
        <v>235</v>
      </c>
      <c r="O6" s="485" t="s">
        <v>236</v>
      </c>
      <c r="P6" s="719">
        <v>266</v>
      </c>
      <c r="Q6" s="727">
        <v>1415.25</v>
      </c>
      <c r="R6" s="404">
        <f>P6*Q6*0.5</f>
        <v>188228.25</v>
      </c>
      <c r="S6" s="548" t="s">
        <v>237</v>
      </c>
      <c r="T6" s="733">
        <v>45504</v>
      </c>
      <c r="U6" s="735">
        <v>260538.24433160335</v>
      </c>
      <c r="V6" s="915">
        <f>K6-SUM(U6:U11)</f>
        <v>2.643770189024508E-3</v>
      </c>
      <c r="W6" s="733">
        <v>45562</v>
      </c>
      <c r="X6" s="912">
        <f>SUM(R6:R11)</f>
        <v>384202.5</v>
      </c>
      <c r="Y6" s="910" t="s">
        <v>238</v>
      </c>
      <c r="Z6" s="200"/>
      <c r="AA6" s="170">
        <v>19</v>
      </c>
      <c r="AB6" s="170"/>
      <c r="AE6" s="171"/>
    </row>
    <row r="7" spans="1:42" ht="15" customHeight="1">
      <c r="B7" s="720">
        <v>1</v>
      </c>
      <c r="C7" s="664"/>
      <c r="D7" s="583" t="s">
        <v>239</v>
      </c>
      <c r="E7" s="721"/>
      <c r="F7" s="722"/>
      <c r="G7" s="404"/>
      <c r="H7" s="356"/>
      <c r="I7" s="357"/>
      <c r="J7" s="953"/>
      <c r="K7" s="953"/>
      <c r="L7" s="358"/>
      <c r="M7" s="400">
        <v>1</v>
      </c>
      <c r="N7" s="402" t="s">
        <v>235</v>
      </c>
      <c r="O7" s="583"/>
      <c r="P7" s="721"/>
      <c r="Q7" s="722"/>
      <c r="R7" s="404">
        <f>P6*Q6*0.5</f>
        <v>188228.25</v>
      </c>
      <c r="S7" s="544" t="s">
        <v>237</v>
      </c>
      <c r="T7" s="734">
        <v>45504</v>
      </c>
      <c r="U7" s="736">
        <v>260538.24433160335</v>
      </c>
      <c r="V7" s="916"/>
      <c r="W7" s="749">
        <v>45596</v>
      </c>
      <c r="X7" s="913"/>
      <c r="Y7" s="911"/>
      <c r="Z7" s="201"/>
      <c r="AA7" s="172" t="s">
        <v>240</v>
      </c>
      <c r="AB7" s="173" t="s">
        <v>241</v>
      </c>
      <c r="AC7" s="24"/>
    </row>
    <row r="8" spans="1:42" ht="15" customHeight="1">
      <c r="B8" s="720">
        <v>1</v>
      </c>
      <c r="C8" s="583"/>
      <c r="D8" s="583"/>
      <c r="E8" s="721"/>
      <c r="F8" s="722"/>
      <c r="G8" s="584"/>
      <c r="H8" s="356"/>
      <c r="I8" s="357"/>
      <c r="J8" s="953"/>
      <c r="K8" s="953"/>
      <c r="L8" s="358"/>
      <c r="M8" s="400">
        <v>1</v>
      </c>
      <c r="N8" s="402" t="s">
        <v>235</v>
      </c>
      <c r="O8" s="583" t="s">
        <v>242</v>
      </c>
      <c r="P8" s="721"/>
      <c r="Q8" s="722"/>
      <c r="R8" s="584">
        <v>800</v>
      </c>
      <c r="S8" s="544" t="s">
        <v>243</v>
      </c>
      <c r="T8" s="734">
        <v>45596</v>
      </c>
      <c r="U8" s="736">
        <v>1200.2898211229754</v>
      </c>
      <c r="V8" s="916"/>
      <c r="W8" s="749">
        <v>45625</v>
      </c>
      <c r="X8" s="913"/>
      <c r="Y8" s="210"/>
      <c r="Z8" s="201"/>
      <c r="AA8" s="174" t="s">
        <v>244</v>
      </c>
      <c r="AB8" s="175">
        <f>C48</f>
        <v>257521.38</v>
      </c>
    </row>
    <row r="9" spans="1:42" ht="15" customHeight="1">
      <c r="B9" s="720">
        <v>1</v>
      </c>
      <c r="C9" s="583"/>
      <c r="D9" s="583" t="s">
        <v>245</v>
      </c>
      <c r="E9" s="721"/>
      <c r="F9" s="722"/>
      <c r="G9" s="404">
        <v>20000</v>
      </c>
      <c r="H9" s="356">
        <f>H6</f>
        <v>45648</v>
      </c>
      <c r="I9" s="357"/>
      <c r="J9" s="953"/>
      <c r="K9" s="953"/>
      <c r="L9" s="358"/>
      <c r="M9" s="400">
        <v>1</v>
      </c>
      <c r="N9" s="402" t="s">
        <v>235</v>
      </c>
      <c r="O9" s="583" t="s">
        <v>245</v>
      </c>
      <c r="P9" s="721"/>
      <c r="Q9" s="722"/>
      <c r="R9" s="404">
        <v>5650</v>
      </c>
      <c r="S9" s="544" t="s">
        <v>246</v>
      </c>
      <c r="T9" s="734">
        <v>45596</v>
      </c>
      <c r="U9" s="736">
        <v>8477.0468616810158</v>
      </c>
      <c r="V9" s="916"/>
      <c r="W9" s="749">
        <v>45625</v>
      </c>
      <c r="X9" s="913"/>
      <c r="Y9" s="210"/>
      <c r="Z9" s="201"/>
      <c r="AA9" s="174" t="s">
        <v>247</v>
      </c>
      <c r="AB9" s="639">
        <f>SUM(G26:G33)</f>
        <v>50273.5</v>
      </c>
    </row>
    <row r="10" spans="1:42" ht="15" customHeight="1">
      <c r="B10" s="720">
        <v>1</v>
      </c>
      <c r="C10" s="583"/>
      <c r="D10" s="583"/>
      <c r="E10" s="721"/>
      <c r="F10" s="722"/>
      <c r="G10" s="404"/>
      <c r="H10" s="356"/>
      <c r="I10" s="357"/>
      <c r="J10" s="953"/>
      <c r="K10" s="953"/>
      <c r="L10" s="358"/>
      <c r="M10" s="400">
        <v>1</v>
      </c>
      <c r="N10" s="402" t="s">
        <v>235</v>
      </c>
      <c r="O10" s="583" t="s">
        <v>248</v>
      </c>
      <c r="P10" s="721"/>
      <c r="Q10" s="722"/>
      <c r="R10" s="404">
        <v>1296</v>
      </c>
      <c r="S10" s="544" t="s">
        <v>243</v>
      </c>
      <c r="T10" s="734">
        <v>45596</v>
      </c>
      <c r="U10" s="736">
        <v>45689.109510219219</v>
      </c>
      <c r="V10" s="916"/>
      <c r="W10" s="749">
        <v>45625</v>
      </c>
      <c r="X10" s="913"/>
      <c r="Y10" s="210"/>
      <c r="Z10" s="201"/>
      <c r="AA10" s="174" t="s">
        <v>249</v>
      </c>
      <c r="AB10" s="175">
        <f>C74</f>
        <v>86450</v>
      </c>
    </row>
    <row r="11" spans="1:42" ht="15" customHeight="1" thickBot="1">
      <c r="B11" s="723">
        <v>1</v>
      </c>
      <c r="C11" s="665"/>
      <c r="D11" s="665"/>
      <c r="E11" s="724"/>
      <c r="F11" s="725"/>
      <c r="G11" s="427"/>
      <c r="H11" s="359"/>
      <c r="I11" s="360"/>
      <c r="J11" s="954"/>
      <c r="K11" s="954"/>
      <c r="L11" s="361"/>
      <c r="M11" s="406">
        <v>1</v>
      </c>
      <c r="N11" s="665" t="s">
        <v>235</v>
      </c>
      <c r="O11" s="665" t="s">
        <v>250</v>
      </c>
      <c r="P11" s="724"/>
      <c r="Q11" s="725"/>
      <c r="R11" s="427"/>
      <c r="S11" s="537"/>
      <c r="T11" s="512"/>
      <c r="U11" s="523">
        <f>(R11/$X$6*$K$6)</f>
        <v>0</v>
      </c>
      <c r="V11" s="917"/>
      <c r="W11" s="473"/>
      <c r="X11" s="914"/>
      <c r="Y11" s="216"/>
      <c r="Z11" s="202"/>
      <c r="AA11" s="174" t="s">
        <v>251</v>
      </c>
      <c r="AB11" s="175">
        <f>C73</f>
        <v>37050</v>
      </c>
    </row>
    <row r="12" spans="1:42" ht="14.2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2"/>
      <c r="O12" s="603"/>
      <c r="P12" s="604"/>
      <c r="Q12" s="605"/>
      <c r="R12" s="605"/>
      <c r="S12" s="543"/>
      <c r="T12" s="534" t="s">
        <v>252</v>
      </c>
      <c r="U12" s="510"/>
      <c r="V12" s="641"/>
      <c r="W12" s="471"/>
      <c r="X12" s="481"/>
      <c r="Y12" s="214"/>
      <c r="Z12" s="199"/>
      <c r="AA12" s="174" t="s">
        <v>253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7">
        <v>2</v>
      </c>
      <c r="C13" s="410" t="s">
        <v>254</v>
      </c>
      <c r="D13" s="410" t="s">
        <v>255</v>
      </c>
      <c r="E13" s="501">
        <v>1</v>
      </c>
      <c r="F13" s="585">
        <v>78898</v>
      </c>
      <c r="G13" s="371">
        <f>E13*F13</f>
        <v>78898</v>
      </c>
      <c r="H13" s="372">
        <f>'Project Plan'!E22+30</f>
        <v>45590</v>
      </c>
      <c r="I13" s="373"/>
      <c r="J13" s="980">
        <f>SUM(G13:G16)</f>
        <v>118044</v>
      </c>
      <c r="K13" s="980">
        <v>147555</v>
      </c>
      <c r="L13" s="374"/>
      <c r="M13" s="367">
        <v>2</v>
      </c>
      <c r="N13" s="666" t="s">
        <v>256</v>
      </c>
      <c r="O13" s="410" t="s">
        <v>255</v>
      </c>
      <c r="P13" s="501">
        <v>1</v>
      </c>
      <c r="Q13" s="585">
        <v>68870</v>
      </c>
      <c r="R13" s="371">
        <f>P13*Q13</f>
        <v>68870</v>
      </c>
      <c r="S13" s="586" t="s">
        <v>257</v>
      </c>
      <c r="T13" s="763">
        <v>45565</v>
      </c>
      <c r="U13" s="799">
        <v>88116.996168141181</v>
      </c>
      <c r="V13" s="974">
        <f>K13-SUM(U13:U16)</f>
        <v>0</v>
      </c>
      <c r="W13" s="808">
        <v>45596</v>
      </c>
      <c r="X13" s="921">
        <f>SUM(R13:R16)</f>
        <v>115325.23</v>
      </c>
      <c r="Y13" s="217"/>
      <c r="Z13" s="203" t="s">
        <v>258</v>
      </c>
      <c r="AA13" s="174" t="s">
        <v>259</v>
      </c>
      <c r="AB13" s="175">
        <f>G81</f>
        <v>0</v>
      </c>
    </row>
    <row r="14" spans="1:42" ht="15" customHeight="1">
      <c r="B14" s="411">
        <v>2</v>
      </c>
      <c r="C14" s="412"/>
      <c r="D14" s="412" t="s">
        <v>260</v>
      </c>
      <c r="E14" s="587">
        <v>1</v>
      </c>
      <c r="F14" s="588">
        <v>39146</v>
      </c>
      <c r="G14" s="413">
        <f>E14*F14</f>
        <v>39146</v>
      </c>
      <c r="H14" s="381">
        <f>H13</f>
        <v>45590</v>
      </c>
      <c r="I14" s="382"/>
      <c r="J14" s="981"/>
      <c r="K14" s="981"/>
      <c r="L14" s="383"/>
      <c r="M14" s="411">
        <v>2</v>
      </c>
      <c r="N14" s="667" t="s">
        <v>256</v>
      </c>
      <c r="O14" s="412" t="s">
        <v>260</v>
      </c>
      <c r="P14" s="587">
        <v>1</v>
      </c>
      <c r="Q14" s="588">
        <v>45350</v>
      </c>
      <c r="R14" s="413">
        <f>P14*Q14</f>
        <v>45350</v>
      </c>
      <c r="S14" s="546" t="s">
        <v>261</v>
      </c>
      <c r="T14" s="764">
        <v>45596</v>
      </c>
      <c r="U14" s="800">
        <v>58023.896852406018</v>
      </c>
      <c r="V14" s="975"/>
      <c r="W14" s="796">
        <v>45596</v>
      </c>
      <c r="X14" s="922"/>
      <c r="Y14" s="211"/>
      <c r="Z14" s="196" t="s">
        <v>258</v>
      </c>
      <c r="AA14" s="174" t="s">
        <v>248</v>
      </c>
      <c r="AB14" s="175">
        <f>G89</f>
        <v>0</v>
      </c>
    </row>
    <row r="15" spans="1:42" ht="15" customHeight="1">
      <c r="B15" s="411">
        <v>2</v>
      </c>
      <c r="C15" s="412"/>
      <c r="D15" s="412"/>
      <c r="E15" s="587"/>
      <c r="F15" s="588"/>
      <c r="G15" s="413"/>
      <c r="H15" s="381"/>
      <c r="I15" s="382"/>
      <c r="J15" s="981"/>
      <c r="K15" s="981"/>
      <c r="L15" s="383"/>
      <c r="M15" s="411">
        <v>2</v>
      </c>
      <c r="N15" s="667" t="s">
        <v>256</v>
      </c>
      <c r="O15" s="412" t="s">
        <v>245</v>
      </c>
      <c r="P15" s="587"/>
      <c r="Q15" s="588"/>
      <c r="R15" s="413">
        <v>1105.23</v>
      </c>
      <c r="S15" s="586" t="s">
        <v>257</v>
      </c>
      <c r="T15" s="764">
        <v>45565</v>
      </c>
      <c r="U15" s="800">
        <v>1414.106979452805</v>
      </c>
      <c r="V15" s="975"/>
      <c r="W15" s="796">
        <f>W13</f>
        <v>45596</v>
      </c>
      <c r="X15" s="922"/>
      <c r="Y15" s="211"/>
      <c r="Z15" s="196"/>
      <c r="AA15" s="174" t="str">
        <f>D91</f>
        <v>Scaffolding</v>
      </c>
      <c r="AB15" s="175">
        <f>G91</f>
        <v>23094.3</v>
      </c>
    </row>
    <row r="16" spans="1:42" ht="15" customHeight="1" thickBot="1">
      <c r="B16" s="589">
        <v>2</v>
      </c>
      <c r="C16" s="590"/>
      <c r="D16" s="590"/>
      <c r="E16" s="591"/>
      <c r="F16" s="592"/>
      <c r="G16" s="593"/>
      <c r="H16" s="390"/>
      <c r="I16" s="391"/>
      <c r="J16" s="982"/>
      <c r="K16" s="982"/>
      <c r="L16" s="392"/>
      <c r="M16" s="589">
        <v>2</v>
      </c>
      <c r="N16" s="668" t="s">
        <v>256</v>
      </c>
      <c r="O16" s="590"/>
      <c r="P16" s="591"/>
      <c r="Q16" s="592"/>
      <c r="R16" s="593"/>
      <c r="S16" s="545"/>
      <c r="T16" s="516" t="s">
        <v>252</v>
      </c>
      <c r="U16" s="526">
        <f t="shared" ref="U16" si="0">(R16/$X$13*$K$13)</f>
        <v>0</v>
      </c>
      <c r="V16" s="976"/>
      <c r="W16" s="475"/>
      <c r="X16" s="923"/>
      <c r="Y16" s="218"/>
      <c r="Z16" s="204"/>
      <c r="AA16" s="174" t="s">
        <v>262</v>
      </c>
      <c r="AB16" s="176">
        <v>0</v>
      </c>
    </row>
    <row r="17" spans="1:42" ht="14.2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3"/>
      <c r="T17" s="534" t="s">
        <v>252</v>
      </c>
      <c r="U17" s="510"/>
      <c r="V17" s="641"/>
      <c r="W17" s="471"/>
      <c r="X17" s="481"/>
      <c r="Y17" s="214"/>
      <c r="Z17" s="199"/>
      <c r="AA17" s="174" t="s">
        <v>121</v>
      </c>
      <c r="AB17" s="175">
        <f>SUM(AB8:AB16)</f>
        <v>462889.18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7">
        <v>3</v>
      </c>
      <c r="C18" s="397" t="s">
        <v>263</v>
      </c>
      <c r="D18" s="421" t="s">
        <v>264</v>
      </c>
      <c r="E18" s="349">
        <f>'Project Plan'!E3*1000</f>
        <v>148000</v>
      </c>
      <c r="F18" s="452">
        <v>0.45</v>
      </c>
      <c r="G18" s="350">
        <v>66690</v>
      </c>
      <c r="H18" s="351">
        <f>'Project Plan'!E19+30</f>
        <v>45590</v>
      </c>
      <c r="I18" s="352"/>
      <c r="J18" s="952">
        <f>SUM(G18:G22)</f>
        <v>66690</v>
      </c>
      <c r="K18" s="952">
        <v>83362.5</v>
      </c>
      <c r="L18" s="353"/>
      <c r="M18" s="347">
        <v>3</v>
      </c>
      <c r="N18" s="669" t="s">
        <v>265</v>
      </c>
      <c r="O18" s="421" t="s">
        <v>264</v>
      </c>
      <c r="P18" s="349">
        <v>1</v>
      </c>
      <c r="Q18" s="686">
        <v>27793.200000000001</v>
      </c>
      <c r="R18" s="350">
        <f>P18*Q18</f>
        <v>27793.200000000001</v>
      </c>
      <c r="S18" s="536" t="s">
        <v>266</v>
      </c>
      <c r="T18" s="748">
        <v>45565</v>
      </c>
      <c r="U18" s="766">
        <v>78159.936680250452</v>
      </c>
      <c r="V18" s="915">
        <f>K18-SUM(U18:U22)</f>
        <v>0</v>
      </c>
      <c r="W18" s="762">
        <v>45558</v>
      </c>
      <c r="X18" s="912">
        <f>SUM(R18:R22)</f>
        <v>22391.319999999996</v>
      </c>
      <c r="Y18" s="215" t="s">
        <v>267</v>
      </c>
      <c r="Z18" s="200"/>
      <c r="AA18" s="174" t="s">
        <v>268</v>
      </c>
      <c r="AB18" s="177">
        <f>+AB17*0.85</f>
        <v>393455.80299999996</v>
      </c>
      <c r="AE18" s="761"/>
    </row>
    <row r="19" spans="1:42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53"/>
      <c r="K19" s="953"/>
      <c r="L19" s="358"/>
      <c r="M19" s="400">
        <v>3</v>
      </c>
      <c r="N19" s="670" t="s">
        <v>265</v>
      </c>
      <c r="O19" s="423"/>
      <c r="P19" s="405"/>
      <c r="Q19" s="424"/>
      <c r="R19" s="404">
        <v>9567</v>
      </c>
      <c r="S19" s="544" t="s">
        <v>269</v>
      </c>
      <c r="T19" s="734">
        <v>45626</v>
      </c>
      <c r="U19" s="736">
        <v>0</v>
      </c>
      <c r="V19" s="916"/>
      <c r="W19" s="767">
        <v>45645</v>
      </c>
      <c r="X19" s="913"/>
      <c r="Y19" s="210"/>
      <c r="Z19" s="201" t="s">
        <v>270</v>
      </c>
      <c r="AA19" s="179" t="s">
        <v>271</v>
      </c>
      <c r="AB19" s="176">
        <f>+AB18/'Project Plan'!$E$3/1000</f>
        <v>2.6584851554054052</v>
      </c>
    </row>
    <row r="20" spans="1:42" ht="14.25" customHeight="1">
      <c r="B20" s="400">
        <v>3</v>
      </c>
      <c r="C20" s="401"/>
      <c r="D20" s="423"/>
      <c r="E20" s="405"/>
      <c r="F20" s="424"/>
      <c r="G20" s="404"/>
      <c r="H20" s="356"/>
      <c r="I20" s="357"/>
      <c r="J20" s="953"/>
      <c r="K20" s="953"/>
      <c r="L20" s="358"/>
      <c r="M20" s="400">
        <v>3</v>
      </c>
      <c r="N20" s="670" t="s">
        <v>265</v>
      </c>
      <c r="O20" s="423" t="s">
        <v>245</v>
      </c>
      <c r="P20" s="405"/>
      <c r="Q20" s="424"/>
      <c r="R20" s="404">
        <v>1850</v>
      </c>
      <c r="S20" s="544" t="s">
        <v>272</v>
      </c>
      <c r="T20" s="734">
        <v>45565</v>
      </c>
      <c r="U20" s="736">
        <v>5202.5633197495545</v>
      </c>
      <c r="V20" s="916"/>
      <c r="W20" s="749">
        <f>W18</f>
        <v>45558</v>
      </c>
      <c r="X20" s="913"/>
      <c r="Y20" s="210"/>
      <c r="Z20" s="201"/>
    </row>
    <row r="21" spans="1:42" ht="14.25" customHeight="1">
      <c r="B21" s="569"/>
      <c r="C21" s="570"/>
      <c r="D21" s="571"/>
      <c r="E21" s="572"/>
      <c r="F21" s="573"/>
      <c r="G21" s="574"/>
      <c r="H21" s="575"/>
      <c r="I21" s="357"/>
      <c r="J21" s="953"/>
      <c r="K21" s="953"/>
      <c r="L21" s="358"/>
      <c r="M21" s="400">
        <v>3</v>
      </c>
      <c r="N21" s="670" t="s">
        <v>265</v>
      </c>
      <c r="O21" s="571" t="s">
        <v>273</v>
      </c>
      <c r="P21" s="572"/>
      <c r="Q21" s="573"/>
      <c r="R21" s="574">
        <v>-16818.88</v>
      </c>
      <c r="S21" s="816" t="s">
        <v>274</v>
      </c>
      <c r="T21" s="815">
        <v>45626</v>
      </c>
      <c r="U21" s="821">
        <v>0</v>
      </c>
      <c r="V21" s="916"/>
      <c r="W21" s="822">
        <v>45645</v>
      </c>
      <c r="X21" s="913"/>
      <c r="Y21" s="498"/>
      <c r="Z21" s="499"/>
    </row>
    <row r="22" spans="1:42" ht="15" customHeight="1" thickBot="1">
      <c r="B22" s="406">
        <v>3</v>
      </c>
      <c r="C22" s="438"/>
      <c r="D22" s="425"/>
      <c r="E22" s="409"/>
      <c r="F22" s="426"/>
      <c r="G22" s="427"/>
      <c r="H22" s="359"/>
      <c r="I22" s="360"/>
      <c r="J22" s="954"/>
      <c r="K22" s="954"/>
      <c r="L22" s="361"/>
      <c r="M22" s="406">
        <v>3</v>
      </c>
      <c r="N22" s="671" t="s">
        <v>265</v>
      </c>
      <c r="O22" s="425"/>
      <c r="P22" s="409"/>
      <c r="Q22" s="426"/>
      <c r="R22" s="427"/>
      <c r="S22" s="537"/>
      <c r="T22" s="517" t="s">
        <v>252</v>
      </c>
      <c r="U22" s="523">
        <f t="shared" ref="U22" si="1">(R22/$X$18*$K$18)</f>
        <v>0</v>
      </c>
      <c r="V22" s="917"/>
      <c r="W22" s="474"/>
      <c r="X22" s="914"/>
      <c r="Y22" s="216"/>
      <c r="Z22" s="202"/>
      <c r="AA22" s="180" t="s">
        <v>275</v>
      </c>
      <c r="AB22" s="181" t="s">
        <v>276</v>
      </c>
      <c r="AD22" s="180" t="s">
        <v>277</v>
      </c>
      <c r="AE22" s="181" t="s">
        <v>276</v>
      </c>
      <c r="AG22" s="180" t="s">
        <v>278</v>
      </c>
      <c r="AH22" s="181" t="s">
        <v>276</v>
      </c>
      <c r="AO22" s="24"/>
      <c r="AP22" s="24"/>
    </row>
    <row r="23" spans="1:42" ht="14.25" thickBot="1">
      <c r="A23" s="24"/>
      <c r="B23" s="362"/>
      <c r="C23" s="393"/>
      <c r="D23" s="394"/>
      <c r="E23" s="395"/>
      <c r="F23" s="396"/>
      <c r="G23" s="365"/>
      <c r="H23" s="345"/>
      <c r="I23" s="366"/>
      <c r="J23" s="346"/>
      <c r="K23" s="346"/>
      <c r="L23" s="24"/>
      <c r="M23" s="362"/>
      <c r="N23" s="393"/>
      <c r="O23" s="394"/>
      <c r="P23" s="395"/>
      <c r="Q23" s="396"/>
      <c r="R23" s="365"/>
      <c r="S23" s="543"/>
      <c r="T23" s="534" t="s">
        <v>252</v>
      </c>
      <c r="U23" s="510"/>
      <c r="V23" s="641"/>
      <c r="W23" s="471"/>
      <c r="X23" s="481"/>
      <c r="Y23" s="214"/>
      <c r="Z23" s="199"/>
      <c r="AA23" s="182" t="s">
        <v>244</v>
      </c>
      <c r="AB23" s="183">
        <v>69800</v>
      </c>
      <c r="AD23" s="182" t="s">
        <v>244</v>
      </c>
      <c r="AE23" s="183">
        <v>95446</v>
      </c>
      <c r="AF23" s="24"/>
      <c r="AG23" s="182" t="s">
        <v>244</v>
      </c>
      <c r="AH23" s="183">
        <f>38489.54+3612.4</f>
        <v>42101.94</v>
      </c>
      <c r="AI23" s="24" t="s">
        <v>279</v>
      </c>
      <c r="AJ23" s="24"/>
      <c r="AK23" s="24"/>
      <c r="AL23" s="24"/>
      <c r="AM23" s="24"/>
      <c r="AN23" s="24"/>
      <c r="AO23" s="24"/>
      <c r="AP23" s="24"/>
    </row>
    <row r="24" spans="1:42" ht="14.25" customHeight="1" thickTop="1">
      <c r="B24" s="367">
        <v>4</v>
      </c>
      <c r="C24" s="368" t="s">
        <v>247</v>
      </c>
      <c r="D24" s="368" t="s">
        <v>280</v>
      </c>
      <c r="E24" s="501">
        <v>2345</v>
      </c>
      <c r="F24" s="585">
        <v>16</v>
      </c>
      <c r="G24" s="371">
        <f>E24*F24</f>
        <v>37520</v>
      </c>
      <c r="H24" s="372">
        <f>'Project Plan'!E31+30</f>
        <v>45605</v>
      </c>
      <c r="I24" s="373"/>
      <c r="J24" s="980">
        <f>SUM(G24:G33)</f>
        <v>109793.5</v>
      </c>
      <c r="K24" s="980">
        <v>137241.875</v>
      </c>
      <c r="L24" s="374"/>
      <c r="M24" s="367">
        <v>4</v>
      </c>
      <c r="N24" s="672" t="s">
        <v>281</v>
      </c>
      <c r="O24" s="368" t="s">
        <v>280</v>
      </c>
      <c r="P24" s="501">
        <v>3000</v>
      </c>
      <c r="Q24" s="585">
        <v>13.5</v>
      </c>
      <c r="R24" s="371">
        <f>P24*Q24</f>
        <v>40500</v>
      </c>
      <c r="S24" s="546" t="s">
        <v>282</v>
      </c>
      <c r="T24" s="787">
        <v>45596</v>
      </c>
      <c r="U24" s="799">
        <v>44355.655783165217</v>
      </c>
      <c r="V24" s="977">
        <f>K24-SUM(U24:U33)</f>
        <v>0</v>
      </c>
      <c r="W24" s="830">
        <v>45596</v>
      </c>
      <c r="X24" s="921">
        <f>SUM(R24:R33)</f>
        <v>125312</v>
      </c>
      <c r="Y24" s="217" t="s">
        <v>283</v>
      </c>
      <c r="Z24" s="203" t="s">
        <v>284</v>
      </c>
      <c r="AA24" s="182" t="s">
        <v>247</v>
      </c>
      <c r="AB24" s="183">
        <v>61872.4</v>
      </c>
      <c r="AD24" s="182" t="s">
        <v>247</v>
      </c>
      <c r="AE24" s="183">
        <v>84812</v>
      </c>
      <c r="AG24" s="182" t="s">
        <v>247</v>
      </c>
      <c r="AH24" s="183">
        <v>70901.16</v>
      </c>
      <c r="AO24" s="24"/>
      <c r="AP24" s="24"/>
    </row>
    <row r="25" spans="1:42" ht="14.25" customHeight="1">
      <c r="B25" s="411">
        <v>4</v>
      </c>
      <c r="C25" s="625"/>
      <c r="D25" s="625" t="s">
        <v>285</v>
      </c>
      <c r="E25" s="587">
        <v>4</v>
      </c>
      <c r="F25" s="588">
        <v>5500</v>
      </c>
      <c r="G25" s="380">
        <f>E25*F25</f>
        <v>22000</v>
      </c>
      <c r="H25" s="381">
        <f>H26</f>
        <v>45618</v>
      </c>
      <c r="I25" s="382"/>
      <c r="J25" s="981"/>
      <c r="K25" s="981"/>
      <c r="L25" s="383"/>
      <c r="M25" s="375">
        <v>4</v>
      </c>
      <c r="N25" s="673" t="s">
        <v>281</v>
      </c>
      <c r="O25" s="625" t="s">
        <v>245</v>
      </c>
      <c r="P25" s="587"/>
      <c r="Q25" s="588"/>
      <c r="R25" s="380"/>
      <c r="S25" s="546"/>
      <c r="T25" s="515"/>
      <c r="U25" s="624">
        <f t="shared" ref="U25" si="2">(R25/$X$24*$K$24)</f>
        <v>0</v>
      </c>
      <c r="V25" s="978"/>
      <c r="W25" s="469"/>
      <c r="X25" s="922"/>
      <c r="Y25" s="626"/>
      <c r="Z25" s="627"/>
      <c r="AA25" s="182" t="s">
        <v>249</v>
      </c>
      <c r="AB25" s="183">
        <v>37000</v>
      </c>
      <c r="AD25" s="182" t="s">
        <v>249</v>
      </c>
      <c r="AE25" s="183">
        <v>37034</v>
      </c>
      <c r="AG25" s="182" t="s">
        <v>249</v>
      </c>
      <c r="AH25" s="183">
        <v>15154.29</v>
      </c>
      <c r="AO25" s="24"/>
      <c r="AP25" s="24"/>
    </row>
    <row r="26" spans="1:42" ht="14.25" customHeight="1">
      <c r="B26" s="411">
        <v>4</v>
      </c>
      <c r="C26" s="625"/>
      <c r="D26" s="625" t="s">
        <v>286</v>
      </c>
      <c r="E26" s="587">
        <v>140</v>
      </c>
      <c r="F26" s="588">
        <v>130</v>
      </c>
      <c r="G26" s="380">
        <f>E26*F26</f>
        <v>18200</v>
      </c>
      <c r="H26" s="381">
        <f>'Project Plan'!E34+30</f>
        <v>45618</v>
      </c>
      <c r="I26" s="382"/>
      <c r="J26" s="981"/>
      <c r="K26" s="981"/>
      <c r="L26" s="383"/>
      <c r="M26" s="375">
        <v>4</v>
      </c>
      <c r="N26" s="673" t="s">
        <v>281</v>
      </c>
      <c r="O26" s="625" t="s">
        <v>287</v>
      </c>
      <c r="P26" s="703">
        <f>AE24</f>
        <v>84812</v>
      </c>
      <c r="Q26" s="687">
        <v>0.1</v>
      </c>
      <c r="R26" s="380">
        <f>$P$26*Q26</f>
        <v>8481.2000000000007</v>
      </c>
      <c r="S26" s="546" t="s">
        <v>288</v>
      </c>
      <c r="T26" s="763">
        <v>45565</v>
      </c>
      <c r="U26" s="801">
        <v>9288.6219216834779</v>
      </c>
      <c r="V26" s="978"/>
      <c r="W26" s="796">
        <f>W72</f>
        <v>45582</v>
      </c>
      <c r="X26" s="922"/>
      <c r="Y26" s="908" t="s">
        <v>289</v>
      </c>
      <c r="Z26" s="627"/>
      <c r="AA26" s="182" t="s">
        <v>251</v>
      </c>
      <c r="AB26" s="183">
        <v>89500</v>
      </c>
      <c r="AC26" s="646">
        <f>SUM(AB25:AB26)/148000</f>
        <v>0.85472972972972971</v>
      </c>
      <c r="AD26" s="182" t="s">
        <v>251</v>
      </c>
      <c r="AE26" s="183">
        <v>66656</v>
      </c>
      <c r="AF26" s="646">
        <f>SUM(AE25:AE26)/148000</f>
        <v>0.70060810810810814</v>
      </c>
      <c r="AG26" s="182" t="s">
        <v>251</v>
      </c>
      <c r="AH26" s="183">
        <v>124563.28</v>
      </c>
      <c r="AI26" s="646">
        <f>SUM(AH25:AH26)/148000</f>
        <v>0.94403763513513517</v>
      </c>
      <c r="AO26" s="24"/>
      <c r="AP26" s="24"/>
    </row>
    <row r="27" spans="1:42" ht="14.25" customHeight="1">
      <c r="B27" s="411">
        <v>4</v>
      </c>
      <c r="C27" s="625"/>
      <c r="D27" s="652" t="s">
        <v>290</v>
      </c>
      <c r="E27" s="594">
        <f>E24</f>
        <v>2345</v>
      </c>
      <c r="F27" s="653">
        <v>13.5</v>
      </c>
      <c r="G27" s="380">
        <f t="shared" ref="G27" si="3">E27*F27</f>
        <v>31657.5</v>
      </c>
      <c r="H27" s="381">
        <f>H18</f>
        <v>45590</v>
      </c>
      <c r="I27" s="382"/>
      <c r="J27" s="981"/>
      <c r="K27" s="981"/>
      <c r="L27" s="383"/>
      <c r="M27" s="375">
        <v>4</v>
      </c>
      <c r="N27" s="673" t="s">
        <v>281</v>
      </c>
      <c r="O27" s="625" t="s">
        <v>146</v>
      </c>
      <c r="P27" s="654"/>
      <c r="Q27" s="687">
        <v>0.15</v>
      </c>
      <c r="R27" s="380">
        <f>P26*Q27</f>
        <v>12721.8</v>
      </c>
      <c r="S27" s="546" t="s">
        <v>291</v>
      </c>
      <c r="T27" s="763">
        <v>45596</v>
      </c>
      <c r="U27" s="801">
        <v>13932.932882525218</v>
      </c>
      <c r="V27" s="978"/>
      <c r="W27" s="796">
        <f t="shared" ref="W27:W32" si="4">W73</f>
        <v>45582</v>
      </c>
      <c r="X27" s="922"/>
      <c r="Y27" s="930"/>
      <c r="Z27" s="627"/>
      <c r="AA27" s="182" t="s">
        <v>253</v>
      </c>
      <c r="AB27" s="183">
        <v>8500</v>
      </c>
      <c r="AD27" s="182" t="s">
        <v>292</v>
      </c>
      <c r="AE27" s="183">
        <v>35954</v>
      </c>
      <c r="AG27" s="182" t="s">
        <v>292</v>
      </c>
      <c r="AH27" s="183">
        <f>54896.4+15381.6</f>
        <v>70278</v>
      </c>
      <c r="AO27" s="24"/>
      <c r="AP27" s="24"/>
    </row>
    <row r="28" spans="1:42" ht="14.25" customHeight="1">
      <c r="B28" s="411">
        <v>4</v>
      </c>
      <c r="C28" s="625"/>
      <c r="D28" s="414" t="s">
        <v>293</v>
      </c>
      <c r="E28" s="654">
        <v>26</v>
      </c>
      <c r="F28" s="588">
        <v>16</v>
      </c>
      <c r="G28" s="380">
        <f>E28*F28</f>
        <v>416</v>
      </c>
      <c r="H28" s="381">
        <f>'Project Plan'!E35</f>
        <v>45588</v>
      </c>
      <c r="I28" s="382"/>
      <c r="J28" s="981"/>
      <c r="K28" s="981"/>
      <c r="L28" s="383"/>
      <c r="M28" s="375">
        <v>4</v>
      </c>
      <c r="N28" s="673" t="s">
        <v>281</v>
      </c>
      <c r="O28" s="625" t="s">
        <v>294</v>
      </c>
      <c r="P28" s="654"/>
      <c r="Q28" s="687">
        <v>0.2</v>
      </c>
      <c r="R28" s="380">
        <f t="shared" ref="R28:R33" si="5">$P$26*Q28</f>
        <v>16962.400000000001</v>
      </c>
      <c r="S28" s="546" t="s">
        <v>295</v>
      </c>
      <c r="T28" s="763">
        <f t="shared" ref="T28:T32" si="6">T74</f>
        <v>45626</v>
      </c>
      <c r="U28" s="801">
        <v>18577.243843366956</v>
      </c>
      <c r="V28" s="978"/>
      <c r="W28" s="796">
        <v>45625</v>
      </c>
      <c r="X28" s="922"/>
      <c r="Y28" s="930"/>
      <c r="Z28" s="627"/>
      <c r="AA28" s="182" t="s">
        <v>296</v>
      </c>
      <c r="AB28" s="183">
        <v>15000</v>
      </c>
      <c r="AD28" s="182" t="s">
        <v>297</v>
      </c>
      <c r="AE28" s="183">
        <v>11544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1">
        <v>4</v>
      </c>
      <c r="C29" s="625"/>
      <c r="D29" s="625"/>
      <c r="E29" s="654"/>
      <c r="F29" s="588"/>
      <c r="G29" s="380"/>
      <c r="H29" s="381"/>
      <c r="I29" s="382"/>
      <c r="J29" s="981"/>
      <c r="K29" s="981"/>
      <c r="L29" s="383"/>
      <c r="M29" s="375">
        <v>4</v>
      </c>
      <c r="N29" s="673" t="s">
        <v>281</v>
      </c>
      <c r="O29" s="625" t="s">
        <v>298</v>
      </c>
      <c r="P29" s="654"/>
      <c r="Q29" s="687">
        <v>0.25</v>
      </c>
      <c r="R29" s="380">
        <f t="shared" si="5"/>
        <v>21203</v>
      </c>
      <c r="S29" s="546" t="str">
        <f>S75</f>
        <v>Thula Moya IN04520</v>
      </c>
      <c r="T29" s="763">
        <f t="shared" si="6"/>
        <v>45626</v>
      </c>
      <c r="U29" s="801">
        <v>23221.554804208692</v>
      </c>
      <c r="V29" s="978"/>
      <c r="W29" s="796">
        <v>45625</v>
      </c>
      <c r="X29" s="922"/>
      <c r="Y29" s="930"/>
      <c r="Z29" s="627"/>
      <c r="AA29" s="182" t="s">
        <v>299</v>
      </c>
      <c r="AB29" s="183">
        <v>0</v>
      </c>
      <c r="AD29" s="182" t="s">
        <v>300</v>
      </c>
      <c r="AE29" s="183">
        <v>40322</v>
      </c>
      <c r="AG29" s="182" t="s">
        <v>301</v>
      </c>
      <c r="AH29" s="183">
        <v>3978</v>
      </c>
      <c r="AO29" s="24"/>
      <c r="AP29" s="24"/>
    </row>
    <row r="30" spans="1:42" ht="14.25" customHeight="1">
      <c r="B30" s="411">
        <v>4</v>
      </c>
      <c r="C30" s="625"/>
      <c r="D30" s="625"/>
      <c r="E30" s="654"/>
      <c r="F30" s="588"/>
      <c r="G30" s="380"/>
      <c r="H30" s="381"/>
      <c r="I30" s="382"/>
      <c r="J30" s="981"/>
      <c r="K30" s="981"/>
      <c r="L30" s="383"/>
      <c r="M30" s="375">
        <v>4</v>
      </c>
      <c r="N30" s="673" t="s">
        <v>281</v>
      </c>
      <c r="O30" s="625" t="s">
        <v>302</v>
      </c>
      <c r="P30" s="654"/>
      <c r="Q30" s="687">
        <v>0.1</v>
      </c>
      <c r="R30" s="380">
        <f t="shared" si="5"/>
        <v>8481.2000000000007</v>
      </c>
      <c r="S30" s="546" t="str">
        <f>S76</f>
        <v>Thula Moya IN04521</v>
      </c>
      <c r="T30" s="763">
        <f t="shared" si="6"/>
        <v>45626</v>
      </c>
      <c r="U30" s="801">
        <v>9288.6219216834779</v>
      </c>
      <c r="V30" s="978"/>
      <c r="W30" s="796">
        <f t="shared" si="4"/>
        <v>45701</v>
      </c>
      <c r="X30" s="922"/>
      <c r="Y30" s="930"/>
      <c r="Z30" s="627"/>
      <c r="AA30" s="182" t="s">
        <v>58</v>
      </c>
      <c r="AB30" s="183">
        <v>4500</v>
      </c>
      <c r="AD30" s="182" t="s">
        <v>303</v>
      </c>
      <c r="AE30" s="183">
        <v>0</v>
      </c>
      <c r="AG30" s="182" t="s">
        <v>304</v>
      </c>
      <c r="AH30" s="183">
        <v>14818.05</v>
      </c>
      <c r="AO30" s="24"/>
      <c r="AP30" s="24"/>
    </row>
    <row r="31" spans="1:42" ht="15" customHeight="1">
      <c r="B31" s="375">
        <v>4</v>
      </c>
      <c r="C31" s="376"/>
      <c r="D31" s="414"/>
      <c r="E31" s="654"/>
      <c r="F31" s="588"/>
      <c r="G31" s="380"/>
      <c r="H31" s="381"/>
      <c r="I31" s="382"/>
      <c r="J31" s="981"/>
      <c r="K31" s="981"/>
      <c r="L31" s="383"/>
      <c r="M31" s="375">
        <v>4</v>
      </c>
      <c r="N31" s="673" t="s">
        <v>281</v>
      </c>
      <c r="O31" s="414" t="s">
        <v>305</v>
      </c>
      <c r="P31" s="654"/>
      <c r="Q31" s="687">
        <v>0.1</v>
      </c>
      <c r="R31" s="380">
        <f t="shared" si="5"/>
        <v>8481.2000000000007</v>
      </c>
      <c r="S31" s="546" t="s">
        <v>306</v>
      </c>
      <c r="T31" s="763">
        <f t="shared" si="6"/>
        <v>45626</v>
      </c>
      <c r="U31" s="801">
        <v>9288.6219216834779</v>
      </c>
      <c r="V31" s="962"/>
      <c r="W31" s="796">
        <f t="shared" si="4"/>
        <v>45631</v>
      </c>
      <c r="X31" s="922"/>
      <c r="Y31" s="930"/>
      <c r="Z31" s="196"/>
      <c r="AA31" s="182" t="s">
        <v>262</v>
      </c>
      <c r="AB31" s="183">
        <v>0</v>
      </c>
      <c r="AD31" s="182" t="s">
        <v>262</v>
      </c>
      <c r="AE31" s="183">
        <v>0</v>
      </c>
      <c r="AG31" s="182" t="s">
        <v>262</v>
      </c>
      <c r="AH31" s="183">
        <v>0</v>
      </c>
      <c r="AO31" s="24"/>
      <c r="AP31" s="24"/>
    </row>
    <row r="32" spans="1:42" ht="15" customHeight="1">
      <c r="B32" s="375">
        <v>4</v>
      </c>
      <c r="C32" s="414"/>
      <c r="D32" s="652"/>
      <c r="E32" s="594"/>
      <c r="F32" s="653"/>
      <c r="G32" s="380"/>
      <c r="H32" s="381"/>
      <c r="I32" s="383"/>
      <c r="J32" s="981"/>
      <c r="K32" s="981"/>
      <c r="L32" s="383"/>
      <c r="M32" s="375">
        <v>4</v>
      </c>
      <c r="N32" s="673" t="s">
        <v>281</v>
      </c>
      <c r="O32" s="652" t="s">
        <v>307</v>
      </c>
      <c r="P32" s="594"/>
      <c r="Q32" s="688">
        <v>0.05</v>
      </c>
      <c r="R32" s="380">
        <f t="shared" si="5"/>
        <v>4240.6000000000004</v>
      </c>
      <c r="S32" s="546" t="s">
        <v>308</v>
      </c>
      <c r="T32" s="763">
        <f t="shared" si="6"/>
        <v>45626</v>
      </c>
      <c r="U32" s="800">
        <v>4644.310960841739</v>
      </c>
      <c r="V32" s="962"/>
      <c r="W32" s="796">
        <f t="shared" si="4"/>
        <v>45701</v>
      </c>
      <c r="X32" s="922"/>
      <c r="Y32" s="930"/>
      <c r="Z32" s="196"/>
      <c r="AA32" s="182" t="s">
        <v>262</v>
      </c>
      <c r="AB32" s="183">
        <v>0</v>
      </c>
      <c r="AD32" s="182" t="s">
        <v>262</v>
      </c>
      <c r="AE32" s="183">
        <v>0</v>
      </c>
      <c r="AG32" s="182" t="s">
        <v>262</v>
      </c>
      <c r="AH32" s="183">
        <v>0</v>
      </c>
      <c r="AO32" s="24"/>
      <c r="AP32" s="24"/>
    </row>
    <row r="33" spans="1:42" ht="15" customHeight="1" thickBot="1">
      <c r="B33" s="384">
        <v>4</v>
      </c>
      <c r="C33" s="419"/>
      <c r="D33" s="419"/>
      <c r="E33" s="591"/>
      <c r="F33" s="595"/>
      <c r="G33" s="389"/>
      <c r="H33" s="390"/>
      <c r="I33" s="392"/>
      <c r="J33" s="982"/>
      <c r="K33" s="982"/>
      <c r="L33" s="392"/>
      <c r="M33" s="384">
        <v>4</v>
      </c>
      <c r="N33" s="674" t="s">
        <v>281</v>
      </c>
      <c r="O33" s="419" t="s">
        <v>309</v>
      </c>
      <c r="P33" s="591"/>
      <c r="Q33" s="689">
        <v>0.05</v>
      </c>
      <c r="R33" s="595">
        <f t="shared" si="5"/>
        <v>4240.6000000000004</v>
      </c>
      <c r="S33" s="633" t="s">
        <v>310</v>
      </c>
      <c r="T33" s="805">
        <f>T79</f>
        <v>45688</v>
      </c>
      <c r="U33" s="839">
        <v>4644.310960841739</v>
      </c>
      <c r="V33" s="979"/>
      <c r="W33" s="869">
        <f>W79</f>
        <v>45722</v>
      </c>
      <c r="X33" s="923"/>
      <c r="Y33" s="931"/>
      <c r="Z33" s="204"/>
      <c r="AA33" s="182" t="s">
        <v>262</v>
      </c>
      <c r="AB33" s="184">
        <v>0</v>
      </c>
      <c r="AD33" s="182" t="s">
        <v>262</v>
      </c>
      <c r="AE33" s="184">
        <v>0</v>
      </c>
      <c r="AG33" s="182" t="s">
        <v>262</v>
      </c>
      <c r="AH33" s="184">
        <v>0</v>
      </c>
      <c r="AO33" s="24"/>
      <c r="AP33" s="24"/>
    </row>
    <row r="34" spans="1:42" ht="14.25" thickBot="1">
      <c r="A34" s="24"/>
      <c r="B34" s="340"/>
      <c r="C34" s="341"/>
      <c r="D34" s="341"/>
      <c r="E34" s="363"/>
      <c r="F34" s="344"/>
      <c r="G34" s="364"/>
      <c r="H34" s="345"/>
      <c r="I34" s="24"/>
      <c r="J34" s="346"/>
      <c r="K34" s="346"/>
      <c r="L34" s="24"/>
      <c r="M34" s="340"/>
      <c r="N34" s="341"/>
      <c r="O34" s="341"/>
      <c r="P34" s="363"/>
      <c r="Q34" s="344"/>
      <c r="R34" s="364"/>
      <c r="S34" s="543"/>
      <c r="T34" s="534" t="str">
        <f t="shared" ref="T34:T80" si="7">IF(W34&gt;1,EOMONTH(W34,-1),"")</f>
        <v/>
      </c>
      <c r="U34" s="510"/>
      <c r="V34" s="641"/>
      <c r="W34" s="471"/>
      <c r="X34" s="481"/>
      <c r="Y34" s="214"/>
      <c r="Z34" s="199"/>
      <c r="AA34" s="182" t="s">
        <v>121</v>
      </c>
      <c r="AB34" s="183">
        <f>SUM(AB23:AB33)</f>
        <v>286172.40000000002</v>
      </c>
      <c r="AD34" s="182" t="s">
        <v>121</v>
      </c>
      <c r="AE34" s="183">
        <f>SUM(AE23:AE33)</f>
        <v>371768</v>
      </c>
      <c r="AF34" s="24"/>
      <c r="AG34" s="182" t="s">
        <v>121</v>
      </c>
      <c r="AH34" s="183">
        <f>SUM(AH23:AH33)</f>
        <v>348822.52</v>
      </c>
      <c r="AI34" s="751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7">
        <v>5</v>
      </c>
      <c r="C35" s="397" t="s">
        <v>311</v>
      </c>
      <c r="D35" s="421" t="s">
        <v>312</v>
      </c>
      <c r="E35" s="349">
        <v>1</v>
      </c>
      <c r="F35" s="686">
        <v>26000</v>
      </c>
      <c r="G35" s="350">
        <f>F35*E35</f>
        <v>26000</v>
      </c>
      <c r="H35" s="351">
        <f t="shared" ref="H35" si="8">H13</f>
        <v>45590</v>
      </c>
      <c r="I35" s="352"/>
      <c r="J35" s="952">
        <f>SUM(G35:G40)</f>
        <v>49000</v>
      </c>
      <c r="K35" s="952">
        <v>61250</v>
      </c>
      <c r="L35" s="353"/>
      <c r="M35" s="347">
        <v>5</v>
      </c>
      <c r="N35" s="669" t="s">
        <v>313</v>
      </c>
      <c r="O35" s="348" t="s">
        <v>312</v>
      </c>
      <c r="P35" s="655">
        <v>1</v>
      </c>
      <c r="Q35" s="657">
        <v>8000</v>
      </c>
      <c r="R35" s="350">
        <f>Q35*P35</f>
        <v>8000</v>
      </c>
      <c r="S35" s="536" t="s">
        <v>314</v>
      </c>
      <c r="T35" s="748">
        <v>45535</v>
      </c>
      <c r="U35" s="766">
        <v>6085.4068218652392</v>
      </c>
      <c r="V35" s="915">
        <f>K35-SUM(U35:U40)</f>
        <v>-4.9190075587830506E-3</v>
      </c>
      <c r="W35" s="762">
        <v>45561</v>
      </c>
      <c r="X35" s="912">
        <f>SUM(R35:R40)</f>
        <v>107002.01</v>
      </c>
      <c r="Y35" s="215"/>
      <c r="Z35" s="200" t="s">
        <v>258</v>
      </c>
      <c r="AA35" s="623" t="s">
        <v>271</v>
      </c>
      <c r="AB35" s="184">
        <f>AB34/'Project Plan'!$E$3/1000</f>
        <v>1.9335972972972975</v>
      </c>
      <c r="AC35" s="24"/>
      <c r="AD35" s="623" t="s">
        <v>271</v>
      </c>
      <c r="AE35" s="184">
        <f>AE34/'Project Plan'!$E$3/1000</f>
        <v>2.5119459459459459</v>
      </c>
      <c r="AG35" s="623" t="s">
        <v>271</v>
      </c>
      <c r="AH35" s="184">
        <f>AH34/'Project Plan'!$E$3/1000</f>
        <v>2.356908918918919</v>
      </c>
      <c r="AO35" s="24"/>
      <c r="AP35" s="24"/>
    </row>
    <row r="36" spans="1:42" ht="14.25" customHeight="1">
      <c r="B36" s="354">
        <v>5</v>
      </c>
      <c r="C36" s="398"/>
      <c r="D36" s="423" t="s">
        <v>315</v>
      </c>
      <c r="E36" s="405"/>
      <c r="F36" s="662"/>
      <c r="G36" s="404">
        <v>8000</v>
      </c>
      <c r="H36" s="356">
        <f>H35</f>
        <v>45590</v>
      </c>
      <c r="I36" s="357"/>
      <c r="J36" s="953"/>
      <c r="K36" s="953"/>
      <c r="L36" s="358"/>
      <c r="M36" s="354">
        <v>5</v>
      </c>
      <c r="N36" s="675" t="s">
        <v>313</v>
      </c>
      <c r="O36" s="355" t="s">
        <v>316</v>
      </c>
      <c r="P36" s="656"/>
      <c r="Q36" s="658"/>
      <c r="R36" s="404">
        <v>13770.5</v>
      </c>
      <c r="S36" s="536" t="s">
        <v>317</v>
      </c>
      <c r="T36" s="748">
        <v>45535</v>
      </c>
      <c r="U36" s="736">
        <v>10474.886830061909</v>
      </c>
      <c r="V36" s="935"/>
      <c r="W36" s="765">
        <v>45562</v>
      </c>
      <c r="X36" s="913"/>
      <c r="Y36" s="219"/>
      <c r="Z36" s="205"/>
      <c r="AC36" s="24"/>
      <c r="AD36" s="646"/>
      <c r="AO36" s="24"/>
      <c r="AP36" s="24"/>
    </row>
    <row r="37" spans="1:42" ht="14.25" customHeight="1">
      <c r="B37" s="354">
        <v>5</v>
      </c>
      <c r="C37" s="398"/>
      <c r="D37" s="355" t="s">
        <v>318</v>
      </c>
      <c r="E37" s="656">
        <v>1</v>
      </c>
      <c r="F37" s="658">
        <v>15000</v>
      </c>
      <c r="G37" s="404">
        <f t="shared" ref="G37" si="9">F37*E37</f>
        <v>15000</v>
      </c>
      <c r="H37" s="399">
        <f>'Project Plan'!G51</f>
        <v>45628</v>
      </c>
      <c r="I37" s="357"/>
      <c r="J37" s="953"/>
      <c r="K37" s="953"/>
      <c r="L37" s="358"/>
      <c r="M37" s="354">
        <v>5</v>
      </c>
      <c r="N37" s="675" t="s">
        <v>313</v>
      </c>
      <c r="O37" s="355" t="s">
        <v>318</v>
      </c>
      <c r="P37" s="656">
        <v>1</v>
      </c>
      <c r="Q37" s="658">
        <v>11169</v>
      </c>
      <c r="R37" s="404">
        <f t="shared" ref="R37" si="10">Q37*P37</f>
        <v>11169</v>
      </c>
      <c r="S37" s="536" t="s">
        <v>319</v>
      </c>
      <c r="T37" s="748">
        <v>45626</v>
      </c>
      <c r="U37" s="736">
        <v>3168.69</v>
      </c>
      <c r="V37" s="916"/>
      <c r="W37" s="749">
        <v>45626</v>
      </c>
      <c r="X37" s="913"/>
      <c r="Y37" s="219"/>
      <c r="Z37" s="205"/>
      <c r="AD37" s="646"/>
      <c r="AO37" s="24"/>
      <c r="AP37" s="24"/>
    </row>
    <row r="38" spans="1:42" ht="14.25" customHeight="1">
      <c r="B38" s="400">
        <v>5</v>
      </c>
      <c r="C38" s="401"/>
      <c r="D38" s="402"/>
      <c r="E38" s="577"/>
      <c r="F38" s="453"/>
      <c r="G38" s="404"/>
      <c r="H38" s="356"/>
      <c r="I38" s="357"/>
      <c r="J38" s="953"/>
      <c r="K38" s="953"/>
      <c r="L38" s="358"/>
      <c r="M38" s="400">
        <v>5</v>
      </c>
      <c r="N38" s="675" t="s">
        <v>313</v>
      </c>
      <c r="O38" s="402" t="s">
        <v>320</v>
      </c>
      <c r="P38" s="577"/>
      <c r="Q38" s="453"/>
      <c r="R38" s="404">
        <v>35750</v>
      </c>
      <c r="S38" s="544" t="s">
        <v>321</v>
      </c>
      <c r="T38" s="748">
        <v>45535</v>
      </c>
      <c r="U38" s="736">
        <v>27194.161735210288</v>
      </c>
      <c r="V38" s="916"/>
      <c r="W38" s="767">
        <v>45562</v>
      </c>
      <c r="X38" s="913"/>
      <c r="Y38" s="210"/>
      <c r="Z38" s="201"/>
      <c r="AD38" s="646"/>
      <c r="AO38" s="24"/>
      <c r="AP38" s="24"/>
    </row>
    <row r="39" spans="1:42" ht="14.25" customHeight="1">
      <c r="B39" s="400">
        <v>5</v>
      </c>
      <c r="C39" s="401"/>
      <c r="D39" s="402"/>
      <c r="E39" s="577"/>
      <c r="F39" s="453"/>
      <c r="G39" s="404"/>
      <c r="H39" s="356"/>
      <c r="I39" s="357"/>
      <c r="J39" s="953"/>
      <c r="K39" s="953"/>
      <c r="L39" s="358"/>
      <c r="M39" s="400">
        <v>5</v>
      </c>
      <c r="N39" s="675" t="s">
        <v>313</v>
      </c>
      <c r="O39" s="402" t="s">
        <v>322</v>
      </c>
      <c r="P39" s="577"/>
      <c r="Q39" s="453"/>
      <c r="R39" s="404">
        <f>12812.55/5</f>
        <v>2562.5099999999998</v>
      </c>
      <c r="S39" s="544" t="s">
        <v>323</v>
      </c>
      <c r="T39" s="789">
        <v>45596</v>
      </c>
      <c r="U39" s="736">
        <v>14326.859531870128</v>
      </c>
      <c r="V39" s="916"/>
      <c r="W39" s="749">
        <v>45575</v>
      </c>
      <c r="X39" s="913"/>
      <c r="Y39" s="210" t="s">
        <v>324</v>
      </c>
      <c r="Z39" s="201" t="s">
        <v>325</v>
      </c>
      <c r="AO39" s="24"/>
      <c r="AP39" s="24"/>
    </row>
    <row r="40" spans="1:42" ht="15" customHeight="1" thickBot="1">
      <c r="B40" s="406">
        <v>5</v>
      </c>
      <c r="C40" s="438"/>
      <c r="D40" s="407"/>
      <c r="E40" s="580"/>
      <c r="F40" s="454"/>
      <c r="G40" s="427"/>
      <c r="H40" s="359"/>
      <c r="I40" s="360"/>
      <c r="J40" s="954"/>
      <c r="K40" s="954"/>
      <c r="L40" s="361"/>
      <c r="M40" s="406">
        <v>5</v>
      </c>
      <c r="N40" s="671" t="s">
        <v>313</v>
      </c>
      <c r="O40" s="407" t="s">
        <v>326</v>
      </c>
      <c r="P40" s="580"/>
      <c r="Q40" s="454"/>
      <c r="R40" s="427">
        <v>35750</v>
      </c>
      <c r="S40" s="816" t="s">
        <v>327</v>
      </c>
      <c r="T40" s="815">
        <v>45626</v>
      </c>
      <c r="U40" s="523">
        <v>0</v>
      </c>
      <c r="V40" s="917"/>
      <c r="W40" s="817">
        <v>45666</v>
      </c>
      <c r="X40" s="914"/>
      <c r="Y40" s="216" t="s">
        <v>328</v>
      </c>
      <c r="Z40" s="202"/>
    </row>
    <row r="41" spans="1:42" ht="14.25" thickBot="1">
      <c r="A41" s="24"/>
      <c r="B41" s="362"/>
      <c r="C41" s="393"/>
      <c r="D41" s="342"/>
      <c r="E41" s="343"/>
      <c r="F41" s="344"/>
      <c r="G41" s="365"/>
      <c r="H41" s="345"/>
      <c r="I41" s="366"/>
      <c r="J41" s="420"/>
      <c r="K41" s="420"/>
      <c r="L41" s="24"/>
      <c r="M41" s="362"/>
      <c r="N41" s="393"/>
      <c r="O41" s="342"/>
      <c r="P41" s="343"/>
      <c r="Q41" s="344"/>
      <c r="R41" s="365"/>
      <c r="S41" s="543"/>
      <c r="T41" s="534" t="str">
        <f t="shared" si="7"/>
        <v/>
      </c>
      <c r="U41" s="510"/>
      <c r="V41" s="641"/>
      <c r="W41" s="471"/>
      <c r="X41" s="482"/>
      <c r="Y41" s="214"/>
      <c r="Z41" s="199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</row>
    <row r="42" spans="1:42" ht="14.25" customHeight="1">
      <c r="B42" s="367">
        <v>6</v>
      </c>
      <c r="C42" s="368" t="s">
        <v>244</v>
      </c>
      <c r="D42" s="369"/>
      <c r="E42" s="370"/>
      <c r="F42" s="596"/>
      <c r="G42" s="371"/>
      <c r="H42" s="372"/>
      <c r="I42" s="373"/>
      <c r="J42" s="980">
        <f>SUM(G42:G54)</f>
        <v>257521.38</v>
      </c>
      <c r="K42" s="980">
        <v>321901.72830000002</v>
      </c>
      <c r="L42" s="374"/>
      <c r="M42" s="367">
        <v>6</v>
      </c>
      <c r="N42" s="678" t="s">
        <v>329</v>
      </c>
      <c r="O42" s="680"/>
      <c r="P42" s="704"/>
      <c r="Q42" s="690"/>
      <c r="R42" s="681"/>
      <c r="S42" s="546"/>
      <c r="T42" s="511" t="str">
        <f t="shared" si="7"/>
        <v/>
      </c>
      <c r="U42" s="524">
        <f>(R42/$X$42*$K$42)</f>
        <v>0</v>
      </c>
      <c r="V42" s="959">
        <f>K42-SUM(U42:U54)</f>
        <v>0</v>
      </c>
      <c r="W42" s="650"/>
      <c r="X42" s="921">
        <f>SUM(R42:R54)</f>
        <v>158245.99999999997</v>
      </c>
      <c r="Y42" s="217"/>
      <c r="Z42" s="203"/>
    </row>
    <row r="43" spans="1:42" ht="14.25" customHeight="1">
      <c r="B43" s="411"/>
      <c r="C43" s="625"/>
      <c r="D43" s="706"/>
      <c r="E43" s="707"/>
      <c r="F43" s="708"/>
      <c r="G43" s="413"/>
      <c r="H43" s="709"/>
      <c r="I43" s="382"/>
      <c r="J43" s="981"/>
      <c r="K43" s="981"/>
      <c r="L43" s="383"/>
      <c r="M43" s="375">
        <v>6</v>
      </c>
      <c r="N43" s="676" t="s">
        <v>329</v>
      </c>
      <c r="O43" s="710" t="s">
        <v>330</v>
      </c>
      <c r="P43" s="753">
        <v>0.4</v>
      </c>
      <c r="Q43" s="754">
        <v>62800</v>
      </c>
      <c r="R43" s="752">
        <f>P43*Q43</f>
        <v>25120</v>
      </c>
      <c r="S43" s="546" t="s">
        <v>331</v>
      </c>
      <c r="T43" s="764">
        <v>45565</v>
      </c>
      <c r="U43" s="801">
        <v>51098.741294541425</v>
      </c>
      <c r="V43" s="960"/>
      <c r="W43" s="795">
        <v>45568</v>
      </c>
      <c r="X43" s="922"/>
      <c r="Y43" s="908" t="s">
        <v>332</v>
      </c>
      <c r="Z43" s="627"/>
    </row>
    <row r="44" spans="1:42" ht="14.25" customHeight="1">
      <c r="B44" s="411"/>
      <c r="C44" s="625"/>
      <c r="D44" s="706"/>
      <c r="E44" s="707"/>
      <c r="F44" s="708"/>
      <c r="G44" s="413"/>
      <c r="H44" s="709"/>
      <c r="I44" s="382"/>
      <c r="J44" s="981"/>
      <c r="K44" s="981"/>
      <c r="L44" s="383"/>
      <c r="M44" s="375">
        <v>6</v>
      </c>
      <c r="N44" s="676" t="s">
        <v>329</v>
      </c>
      <c r="O44" s="710" t="s">
        <v>333</v>
      </c>
      <c r="P44" s="753">
        <v>0.6</v>
      </c>
      <c r="Q44" s="712"/>
      <c r="R44" s="752">
        <f>Q43*P44</f>
        <v>37680</v>
      </c>
      <c r="S44" s="546" t="s">
        <v>334</v>
      </c>
      <c r="T44" s="764">
        <v>45596</v>
      </c>
      <c r="U44" s="807">
        <f t="shared" ref="U44:U46" si="11">(R44/$X$42*$K$42)</f>
        <v>76648.111941812138</v>
      </c>
      <c r="V44" s="960"/>
      <c r="W44" s="795">
        <v>45596</v>
      </c>
      <c r="X44" s="922"/>
      <c r="Y44" s="909"/>
      <c r="Z44" s="627"/>
    </row>
    <row r="45" spans="1:42" ht="14.25" customHeight="1">
      <c r="B45" s="411"/>
      <c r="C45" s="625"/>
      <c r="D45" s="706"/>
      <c r="E45" s="707"/>
      <c r="F45" s="708"/>
      <c r="G45" s="413"/>
      <c r="H45" s="709"/>
      <c r="I45" s="382"/>
      <c r="J45" s="981"/>
      <c r="K45" s="981"/>
      <c r="L45" s="383"/>
      <c r="M45" s="375">
        <v>6</v>
      </c>
      <c r="N45" s="676" t="s">
        <v>329</v>
      </c>
      <c r="O45" s="710"/>
      <c r="P45" s="711"/>
      <c r="Q45" s="712"/>
      <c r="R45" s="752"/>
      <c r="S45" s="546"/>
      <c r="T45" s="511"/>
      <c r="U45" s="624">
        <f t="shared" si="11"/>
        <v>0</v>
      </c>
      <c r="V45" s="960"/>
      <c r="W45" s="713"/>
      <c r="X45" s="922"/>
      <c r="Y45" s="626"/>
      <c r="Z45" s="627"/>
    </row>
    <row r="46" spans="1:42" ht="14.25" customHeight="1">
      <c r="B46" s="411"/>
      <c r="C46" s="625"/>
      <c r="D46" s="706"/>
      <c r="E46" s="707"/>
      <c r="F46" s="708"/>
      <c r="G46" s="413"/>
      <c r="H46" s="709"/>
      <c r="I46" s="382"/>
      <c r="J46" s="981"/>
      <c r="K46" s="981"/>
      <c r="L46" s="383"/>
      <c r="M46" s="375">
        <v>6</v>
      </c>
      <c r="N46" s="676" t="s">
        <v>329</v>
      </c>
      <c r="O46" s="710"/>
      <c r="P46" s="711"/>
      <c r="Q46" s="712"/>
      <c r="R46" s="752"/>
      <c r="S46" s="546"/>
      <c r="T46" s="511" t="str">
        <f>T71</f>
        <v/>
      </c>
      <c r="U46" s="624">
        <f t="shared" si="11"/>
        <v>0</v>
      </c>
      <c r="V46" s="960"/>
      <c r="W46" s="713"/>
      <c r="X46" s="922"/>
      <c r="Y46" s="626"/>
      <c r="Z46" s="627"/>
    </row>
    <row r="47" spans="1:42" ht="14.25" customHeight="1">
      <c r="B47" s="375">
        <v>6</v>
      </c>
      <c r="C47" s="625"/>
      <c r="D47" s="706" t="s">
        <v>287</v>
      </c>
      <c r="E47" s="707"/>
      <c r="F47" s="708">
        <v>0.1</v>
      </c>
      <c r="G47" s="413">
        <f>$C$48*F47</f>
        <v>25752.138000000003</v>
      </c>
      <c r="H47" s="709">
        <f>H78</f>
        <v>45645</v>
      </c>
      <c r="I47" s="382"/>
      <c r="J47" s="981"/>
      <c r="K47" s="981"/>
      <c r="L47" s="383"/>
      <c r="M47" s="375">
        <v>6</v>
      </c>
      <c r="N47" s="676" t="s">
        <v>329</v>
      </c>
      <c r="O47" s="710" t="s">
        <v>287</v>
      </c>
      <c r="P47" s="711">
        <f>AE23</f>
        <v>95446</v>
      </c>
      <c r="Q47" s="712">
        <v>0.1</v>
      </c>
      <c r="R47" s="380">
        <f>$P$47*Q47</f>
        <v>9544.6</v>
      </c>
      <c r="S47" s="546" t="s">
        <v>288</v>
      </c>
      <c r="T47" s="764">
        <v>45565</v>
      </c>
      <c r="U47" s="800">
        <v>19415.48750636465</v>
      </c>
      <c r="V47" s="960"/>
      <c r="W47" s="795">
        <f>W72</f>
        <v>45582</v>
      </c>
      <c r="X47" s="922"/>
      <c r="Y47" s="908" t="s">
        <v>289</v>
      </c>
      <c r="Z47" s="627"/>
    </row>
    <row r="48" spans="1:42" ht="14.25" customHeight="1">
      <c r="B48" s="375">
        <v>6</v>
      </c>
      <c r="C48" s="726">
        <v>257521.38</v>
      </c>
      <c r="D48" s="377" t="s">
        <v>146</v>
      </c>
      <c r="E48" s="378"/>
      <c r="F48" s="379">
        <v>0.15</v>
      </c>
      <c r="G48" s="380">
        <f t="shared" ref="G48:G54" si="12">$C$48*F48</f>
        <v>38628.207000000002</v>
      </c>
      <c r="H48" s="381">
        <f>H73</f>
        <v>45560</v>
      </c>
      <c r="I48" s="382"/>
      <c r="J48" s="981"/>
      <c r="K48" s="981"/>
      <c r="L48" s="383"/>
      <c r="M48" s="375">
        <v>6</v>
      </c>
      <c r="N48" s="676" t="s">
        <v>329</v>
      </c>
      <c r="O48" s="377" t="s">
        <v>146</v>
      </c>
      <c r="P48" s="378"/>
      <c r="Q48" s="379">
        <v>0.15</v>
      </c>
      <c r="R48" s="380">
        <f>P47*Q48</f>
        <v>14316.9</v>
      </c>
      <c r="S48" s="546" t="s">
        <v>291</v>
      </c>
      <c r="T48" s="764">
        <f t="shared" ref="T48:T53" si="13">T73</f>
        <v>45596</v>
      </c>
      <c r="U48" s="800">
        <v>29123.231259546974</v>
      </c>
      <c r="V48" s="960"/>
      <c r="W48" s="795">
        <f t="shared" ref="W48:W53" si="14">W73</f>
        <v>45582</v>
      </c>
      <c r="X48" s="922"/>
      <c r="Y48" s="930"/>
      <c r="Z48" s="196"/>
    </row>
    <row r="49" spans="1:42" ht="14.25" customHeight="1">
      <c r="B49" s="375">
        <v>6</v>
      </c>
      <c r="C49" s="597"/>
      <c r="D49" s="377" t="s">
        <v>294</v>
      </c>
      <c r="E49" s="378"/>
      <c r="F49" s="379">
        <v>0.2</v>
      </c>
      <c r="G49" s="380">
        <f t="shared" si="12"/>
        <v>51504.276000000005</v>
      </c>
      <c r="H49" s="381">
        <f t="shared" ref="H49:H53" si="15">H74</f>
        <v>45618</v>
      </c>
      <c r="I49" s="382"/>
      <c r="J49" s="981"/>
      <c r="K49" s="981"/>
      <c r="L49" s="383"/>
      <c r="M49" s="375">
        <v>6</v>
      </c>
      <c r="N49" s="677" t="s">
        <v>329</v>
      </c>
      <c r="O49" s="377" t="s">
        <v>294</v>
      </c>
      <c r="P49" s="378"/>
      <c r="Q49" s="379">
        <v>0.2</v>
      </c>
      <c r="R49" s="380">
        <f t="shared" ref="R49:R54" si="16">$P$47*Q49</f>
        <v>19089.2</v>
      </c>
      <c r="S49" s="546" t="s">
        <v>295</v>
      </c>
      <c r="T49" s="764">
        <f t="shared" si="13"/>
        <v>45626</v>
      </c>
      <c r="U49" s="800">
        <v>38830.975012729301</v>
      </c>
      <c r="V49" s="960"/>
      <c r="W49" s="795">
        <v>45625</v>
      </c>
      <c r="X49" s="922"/>
      <c r="Y49" s="930"/>
      <c r="Z49" s="196"/>
    </row>
    <row r="50" spans="1:42" ht="14.25" customHeight="1">
      <c r="B50" s="375">
        <v>6</v>
      </c>
      <c r="C50" s="597"/>
      <c r="D50" s="377" t="s">
        <v>298</v>
      </c>
      <c r="E50" s="378"/>
      <c r="F50" s="379">
        <v>0.25</v>
      </c>
      <c r="G50" s="380">
        <f t="shared" si="12"/>
        <v>64380.345000000001</v>
      </c>
      <c r="H50" s="381">
        <f t="shared" si="15"/>
        <v>45617</v>
      </c>
      <c r="I50" s="382"/>
      <c r="J50" s="981"/>
      <c r="K50" s="981"/>
      <c r="L50" s="383"/>
      <c r="M50" s="375">
        <v>6</v>
      </c>
      <c r="N50" s="676" t="s">
        <v>329</v>
      </c>
      <c r="O50" s="377" t="s">
        <v>298</v>
      </c>
      <c r="P50" s="378"/>
      <c r="Q50" s="379">
        <v>0.25</v>
      </c>
      <c r="R50" s="380">
        <f t="shared" si="16"/>
        <v>23861.5</v>
      </c>
      <c r="S50" s="546" t="str">
        <f>S75</f>
        <v>Thula Moya IN04520</v>
      </c>
      <c r="T50" s="764">
        <f t="shared" si="13"/>
        <v>45626</v>
      </c>
      <c r="U50" s="800">
        <v>48538.718765911624</v>
      </c>
      <c r="V50" s="960"/>
      <c r="W50" s="795">
        <v>45625</v>
      </c>
      <c r="X50" s="922"/>
      <c r="Y50" s="930"/>
      <c r="Z50" s="196"/>
    </row>
    <row r="51" spans="1:42" ht="14.25" customHeight="1">
      <c r="B51" s="375">
        <v>6</v>
      </c>
      <c r="C51" s="597"/>
      <c r="D51" s="377" t="s">
        <v>302</v>
      </c>
      <c r="E51" s="378"/>
      <c r="F51" s="379">
        <v>0.1</v>
      </c>
      <c r="G51" s="380">
        <f t="shared" si="12"/>
        <v>25752.138000000003</v>
      </c>
      <c r="H51" s="381">
        <f t="shared" si="15"/>
        <v>45625</v>
      </c>
      <c r="I51" s="382"/>
      <c r="J51" s="981"/>
      <c r="K51" s="981"/>
      <c r="L51" s="383"/>
      <c r="M51" s="375">
        <v>6</v>
      </c>
      <c r="N51" s="677" t="s">
        <v>329</v>
      </c>
      <c r="O51" s="377" t="s">
        <v>302</v>
      </c>
      <c r="P51" s="378"/>
      <c r="Q51" s="379">
        <v>0.1</v>
      </c>
      <c r="R51" s="380">
        <f t="shared" si="16"/>
        <v>9544.6</v>
      </c>
      <c r="S51" s="546" t="s">
        <v>335</v>
      </c>
      <c r="T51" s="764">
        <f t="shared" si="13"/>
        <v>45626</v>
      </c>
      <c r="U51" s="800">
        <v>19415.48750636465</v>
      </c>
      <c r="V51" s="960"/>
      <c r="W51" s="795">
        <f t="shared" si="14"/>
        <v>45701</v>
      </c>
      <c r="X51" s="922"/>
      <c r="Y51" s="930"/>
      <c r="Z51" s="196"/>
    </row>
    <row r="52" spans="1:42" ht="14.25" customHeight="1">
      <c r="B52" s="375">
        <v>6</v>
      </c>
      <c r="C52" s="597"/>
      <c r="D52" s="377" t="s">
        <v>305</v>
      </c>
      <c r="E52" s="378"/>
      <c r="F52" s="379">
        <v>0.1</v>
      </c>
      <c r="G52" s="380">
        <f t="shared" si="12"/>
        <v>25752.138000000003</v>
      </c>
      <c r="H52" s="381">
        <f t="shared" si="15"/>
        <v>45637</v>
      </c>
      <c r="I52" s="382"/>
      <c r="J52" s="981"/>
      <c r="K52" s="981"/>
      <c r="L52" s="383"/>
      <c r="M52" s="375">
        <v>6</v>
      </c>
      <c r="N52" s="676" t="s">
        <v>329</v>
      </c>
      <c r="O52" s="377" t="s">
        <v>305</v>
      </c>
      <c r="P52" s="378"/>
      <c r="Q52" s="379">
        <v>0.1</v>
      </c>
      <c r="R52" s="380">
        <f t="shared" si="16"/>
        <v>9544.6</v>
      </c>
      <c r="S52" s="546" t="s">
        <v>306</v>
      </c>
      <c r="T52" s="764">
        <f t="shared" si="13"/>
        <v>45626</v>
      </c>
      <c r="U52" s="800">
        <v>19415.48750636465</v>
      </c>
      <c r="V52" s="960"/>
      <c r="W52" s="795">
        <f t="shared" si="14"/>
        <v>45631</v>
      </c>
      <c r="X52" s="922"/>
      <c r="Y52" s="930"/>
      <c r="Z52" s="196"/>
    </row>
    <row r="53" spans="1:42" ht="14.25" customHeight="1">
      <c r="B53" s="375">
        <v>6</v>
      </c>
      <c r="C53" s="376"/>
      <c r="D53" s="377" t="s">
        <v>307</v>
      </c>
      <c r="E53" s="378"/>
      <c r="F53" s="379">
        <v>0.05</v>
      </c>
      <c r="G53" s="380">
        <f t="shared" si="12"/>
        <v>12876.069000000001</v>
      </c>
      <c r="H53" s="381">
        <f t="shared" si="15"/>
        <v>45645</v>
      </c>
      <c r="I53" s="382"/>
      <c r="J53" s="981"/>
      <c r="K53" s="981"/>
      <c r="L53" s="383"/>
      <c r="M53" s="375">
        <v>6</v>
      </c>
      <c r="N53" s="677" t="s">
        <v>329</v>
      </c>
      <c r="O53" s="377" t="s">
        <v>307</v>
      </c>
      <c r="P53" s="378"/>
      <c r="Q53" s="379">
        <v>0.05</v>
      </c>
      <c r="R53" s="380">
        <f t="shared" si="16"/>
        <v>4772.3</v>
      </c>
      <c r="S53" s="820" t="s">
        <v>308</v>
      </c>
      <c r="T53" s="764">
        <f t="shared" si="13"/>
        <v>45626</v>
      </c>
      <c r="U53" s="800">
        <v>9707.7437531823252</v>
      </c>
      <c r="V53" s="960"/>
      <c r="W53" s="795">
        <f t="shared" si="14"/>
        <v>45701</v>
      </c>
      <c r="X53" s="922"/>
      <c r="Y53" s="930"/>
      <c r="Z53" s="196"/>
    </row>
    <row r="54" spans="1:42" ht="15" customHeight="1" thickBot="1">
      <c r="B54" s="384">
        <v>6</v>
      </c>
      <c r="C54" s="598"/>
      <c r="D54" s="386" t="s">
        <v>309</v>
      </c>
      <c r="E54" s="387"/>
      <c r="F54" s="388">
        <v>0.05</v>
      </c>
      <c r="G54" s="389">
        <f t="shared" si="12"/>
        <v>12876.069000000001</v>
      </c>
      <c r="H54" s="390">
        <f>H79</f>
        <v>45675</v>
      </c>
      <c r="I54" s="391"/>
      <c r="J54" s="982"/>
      <c r="K54" s="982"/>
      <c r="L54" s="392"/>
      <c r="M54" s="384">
        <v>6</v>
      </c>
      <c r="N54" s="679" t="s">
        <v>329</v>
      </c>
      <c r="O54" s="386" t="s">
        <v>309</v>
      </c>
      <c r="P54" s="387"/>
      <c r="Q54" s="388">
        <v>0.05</v>
      </c>
      <c r="R54" s="389">
        <f t="shared" si="16"/>
        <v>4772.3</v>
      </c>
      <c r="S54" s="833" t="s">
        <v>310</v>
      </c>
      <c r="T54" s="832">
        <f>T79</f>
        <v>45688</v>
      </c>
      <c r="U54" s="839">
        <v>9707.7437531823252</v>
      </c>
      <c r="V54" s="961"/>
      <c r="W54" s="869">
        <f>W79</f>
        <v>45722</v>
      </c>
      <c r="X54" s="923"/>
      <c r="Y54" s="931"/>
      <c r="Z54" s="204"/>
    </row>
    <row r="55" spans="1:42" ht="13.9" hidden="1">
      <c r="A55" s="24"/>
      <c r="B55" s="362"/>
      <c r="C55" s="428"/>
      <c r="D55" s="394"/>
      <c r="E55" s="395"/>
      <c r="F55" s="396"/>
      <c r="G55" s="365"/>
      <c r="H55" s="345"/>
      <c r="I55" s="366"/>
      <c r="J55" s="346"/>
      <c r="K55" s="346"/>
      <c r="L55" s="24"/>
      <c r="M55" s="362"/>
      <c r="N55" s="428"/>
      <c r="O55" s="394"/>
      <c r="P55" s="395"/>
      <c r="Q55" s="396"/>
      <c r="R55" s="365"/>
      <c r="S55" s="510"/>
      <c r="T55" s="559" t="str">
        <f t="shared" si="7"/>
        <v/>
      </c>
      <c r="U55" s="510"/>
      <c r="V55" s="642"/>
      <c r="W55" s="471"/>
      <c r="X55" s="481"/>
      <c r="Y55" s="214"/>
      <c r="Z55" s="199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</row>
    <row r="56" spans="1:42" ht="14.25" hidden="1" customHeight="1">
      <c r="B56" s="560">
        <v>7</v>
      </c>
      <c r="C56" s="397" t="s">
        <v>336</v>
      </c>
      <c r="D56" s="561"/>
      <c r="E56" s="562"/>
      <c r="F56" s="563"/>
      <c r="G56" s="564"/>
      <c r="H56" s="565"/>
      <c r="I56" s="352"/>
      <c r="J56" s="952">
        <f>SUM(G56:G63)</f>
        <v>0</v>
      </c>
      <c r="K56" s="952">
        <v>0</v>
      </c>
      <c r="L56" s="353"/>
      <c r="M56" s="560">
        <v>7</v>
      </c>
      <c r="N56" s="397" t="s">
        <v>336</v>
      </c>
      <c r="O56" s="561"/>
      <c r="P56" s="562"/>
      <c r="Q56" s="563"/>
      <c r="R56" s="564"/>
      <c r="S56" s="582"/>
      <c r="T56" s="550" t="str">
        <f t="shared" si="7"/>
        <v/>
      </c>
      <c r="U56" s="521"/>
      <c r="V56" s="915">
        <f>K56-SUM(U56:U63)</f>
        <v>0</v>
      </c>
      <c r="W56" s="566"/>
      <c r="X56" s="912">
        <f>SUM(R56:R63)</f>
        <v>0</v>
      </c>
      <c r="Y56" s="567"/>
      <c r="Z56" s="568"/>
    </row>
    <row r="57" spans="1:42" ht="14.25" hidden="1" customHeight="1">
      <c r="B57" s="569">
        <v>7</v>
      </c>
      <c r="C57" s="570"/>
      <c r="D57" s="571"/>
      <c r="E57" s="572"/>
      <c r="F57" s="573"/>
      <c r="G57" s="574"/>
      <c r="H57" s="575"/>
      <c r="I57" s="357"/>
      <c r="J57" s="953"/>
      <c r="K57" s="953"/>
      <c r="L57" s="358"/>
      <c r="M57" s="569">
        <v>7</v>
      </c>
      <c r="N57" s="570"/>
      <c r="O57" s="571"/>
      <c r="P57" s="572"/>
      <c r="Q57" s="573"/>
      <c r="R57" s="574"/>
      <c r="S57" s="537"/>
      <c r="T57" s="517" t="str">
        <f t="shared" si="7"/>
        <v/>
      </c>
      <c r="U57" s="522"/>
      <c r="V57" s="935"/>
      <c r="W57" s="576"/>
      <c r="X57" s="913"/>
      <c r="Y57" s="600"/>
      <c r="Z57" s="601"/>
    </row>
    <row r="58" spans="1:42" ht="14.25" hidden="1" customHeight="1">
      <c r="B58" s="569">
        <v>7</v>
      </c>
      <c r="C58" s="570"/>
      <c r="D58" s="571"/>
      <c r="E58" s="572"/>
      <c r="F58" s="573"/>
      <c r="G58" s="574"/>
      <c r="H58" s="575"/>
      <c r="I58" s="357"/>
      <c r="J58" s="953"/>
      <c r="K58" s="953"/>
      <c r="L58" s="358"/>
      <c r="M58" s="569">
        <v>7</v>
      </c>
      <c r="N58" s="570"/>
      <c r="O58" s="571"/>
      <c r="P58" s="572"/>
      <c r="Q58" s="573"/>
      <c r="R58" s="574"/>
      <c r="S58" s="537"/>
      <c r="T58" s="517" t="str">
        <f t="shared" si="7"/>
        <v/>
      </c>
      <c r="U58" s="522"/>
      <c r="V58" s="935"/>
      <c r="W58" s="576"/>
      <c r="X58" s="913"/>
      <c r="Y58" s="600"/>
      <c r="Z58" s="601"/>
    </row>
    <row r="59" spans="1:42" ht="14.25" hidden="1" customHeight="1">
      <c r="B59" s="569">
        <v>7</v>
      </c>
      <c r="C59" s="570"/>
      <c r="D59" s="571"/>
      <c r="E59" s="572"/>
      <c r="F59" s="573"/>
      <c r="G59" s="574"/>
      <c r="H59" s="575"/>
      <c r="I59" s="357"/>
      <c r="J59" s="953"/>
      <c r="K59" s="953"/>
      <c r="L59" s="358"/>
      <c r="M59" s="569">
        <v>7</v>
      </c>
      <c r="N59" s="570"/>
      <c r="O59" s="571"/>
      <c r="P59" s="572"/>
      <c r="Q59" s="573"/>
      <c r="R59" s="574"/>
      <c r="S59" s="537"/>
      <c r="T59" s="517" t="str">
        <f t="shared" si="7"/>
        <v/>
      </c>
      <c r="U59" s="522"/>
      <c r="V59" s="916"/>
      <c r="W59" s="576"/>
      <c r="X59" s="913"/>
      <c r="Y59" s="498"/>
      <c r="Z59" s="499"/>
    </row>
    <row r="60" spans="1:42" ht="14.25" hidden="1" customHeight="1">
      <c r="B60" s="569">
        <v>7</v>
      </c>
      <c r="C60" s="570"/>
      <c r="D60" s="571"/>
      <c r="E60" s="572"/>
      <c r="F60" s="573"/>
      <c r="G60" s="574"/>
      <c r="H60" s="575"/>
      <c r="I60" s="357"/>
      <c r="J60" s="953"/>
      <c r="K60" s="953"/>
      <c r="L60" s="358"/>
      <c r="M60" s="569">
        <v>7</v>
      </c>
      <c r="N60" s="570"/>
      <c r="O60" s="571"/>
      <c r="P60" s="572"/>
      <c r="Q60" s="573"/>
      <c r="R60" s="574"/>
      <c r="S60" s="537"/>
      <c r="T60" s="517" t="str">
        <f t="shared" si="7"/>
        <v/>
      </c>
      <c r="U60" s="522"/>
      <c r="V60" s="916"/>
      <c r="W60" s="576"/>
      <c r="X60" s="913"/>
      <c r="Y60" s="498"/>
      <c r="Z60" s="499"/>
    </row>
    <row r="61" spans="1:42" ht="14.25" hidden="1" customHeight="1">
      <c r="B61" s="569">
        <v>7</v>
      </c>
      <c r="C61" s="570"/>
      <c r="D61" s="571"/>
      <c r="E61" s="572"/>
      <c r="F61" s="573"/>
      <c r="G61" s="574"/>
      <c r="H61" s="575"/>
      <c r="I61" s="357"/>
      <c r="J61" s="953"/>
      <c r="K61" s="953"/>
      <c r="L61" s="358"/>
      <c r="M61" s="569">
        <v>7</v>
      </c>
      <c r="N61" s="570"/>
      <c r="O61" s="571"/>
      <c r="P61" s="572"/>
      <c r="Q61" s="573"/>
      <c r="R61" s="574"/>
      <c r="S61" s="537"/>
      <c r="T61" s="517" t="str">
        <f t="shared" si="7"/>
        <v/>
      </c>
      <c r="U61" s="522"/>
      <c r="V61" s="916"/>
      <c r="W61" s="576"/>
      <c r="X61" s="913"/>
      <c r="Y61" s="498"/>
      <c r="Z61" s="499"/>
    </row>
    <row r="62" spans="1:42" ht="14.25" hidden="1" customHeight="1">
      <c r="B62" s="569">
        <v>7</v>
      </c>
      <c r="C62" s="570"/>
      <c r="D62" s="571"/>
      <c r="E62" s="572"/>
      <c r="F62" s="573"/>
      <c r="G62" s="574"/>
      <c r="H62" s="575"/>
      <c r="I62" s="357"/>
      <c r="J62" s="953"/>
      <c r="K62" s="953"/>
      <c r="L62" s="358"/>
      <c r="M62" s="569">
        <v>7</v>
      </c>
      <c r="N62" s="570"/>
      <c r="O62" s="571"/>
      <c r="P62" s="572"/>
      <c r="Q62" s="573"/>
      <c r="R62" s="574"/>
      <c r="S62" s="537"/>
      <c r="T62" s="517" t="str">
        <f t="shared" si="7"/>
        <v/>
      </c>
      <c r="U62" s="522"/>
      <c r="V62" s="916"/>
      <c r="W62" s="576"/>
      <c r="X62" s="913"/>
      <c r="Y62" s="498"/>
      <c r="Z62" s="499"/>
    </row>
    <row r="63" spans="1:42" ht="15" hidden="1" customHeight="1" thickBot="1">
      <c r="B63" s="406">
        <v>7</v>
      </c>
      <c r="C63" s="438"/>
      <c r="D63" s="425"/>
      <c r="E63" s="409"/>
      <c r="F63" s="426"/>
      <c r="G63" s="427"/>
      <c r="H63" s="359"/>
      <c r="I63" s="360"/>
      <c r="J63" s="954"/>
      <c r="K63" s="954"/>
      <c r="L63" s="361"/>
      <c r="M63" s="406">
        <v>7</v>
      </c>
      <c r="N63" s="438"/>
      <c r="O63" s="425"/>
      <c r="P63" s="409"/>
      <c r="Q63" s="426"/>
      <c r="R63" s="427"/>
      <c r="S63" s="549"/>
      <c r="T63" s="513" t="str">
        <f t="shared" si="7"/>
        <v/>
      </c>
      <c r="U63" s="523"/>
      <c r="V63" s="917"/>
      <c r="W63" s="474"/>
      <c r="X63" s="914"/>
      <c r="Y63" s="216"/>
      <c r="Z63" s="202"/>
    </row>
    <row r="64" spans="1:42" ht="14.25" thickBot="1">
      <c r="A64" s="24"/>
      <c r="B64" s="362"/>
      <c r="C64" s="428"/>
      <c r="D64" s="394"/>
      <c r="E64" s="395"/>
      <c r="F64" s="396"/>
      <c r="G64" s="365"/>
      <c r="H64" s="345"/>
      <c r="I64" s="366"/>
      <c r="J64" s="346"/>
      <c r="K64" s="346"/>
      <c r="L64" s="24"/>
      <c r="M64" s="362"/>
      <c r="N64" s="428"/>
      <c r="O64" s="394"/>
      <c r="P64" s="395"/>
      <c r="Q64" s="396"/>
      <c r="R64" s="365"/>
      <c r="S64" s="510"/>
      <c r="T64" s="559" t="str">
        <f t="shared" si="7"/>
        <v/>
      </c>
      <c r="U64" s="510"/>
      <c r="V64" s="642"/>
      <c r="W64" s="471"/>
      <c r="X64" s="481"/>
      <c r="Y64" s="214"/>
      <c r="Z64" s="199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</row>
    <row r="65" spans="1:42" ht="14.25" customHeight="1">
      <c r="B65" s="429">
        <v>8</v>
      </c>
      <c r="C65" s="368" t="s">
        <v>337</v>
      </c>
      <c r="D65" s="430"/>
      <c r="E65" s="659"/>
      <c r="F65" s="660"/>
      <c r="G65" s="431"/>
      <c r="H65" s="432"/>
      <c r="I65" s="373"/>
      <c r="J65" s="980">
        <f>SUM(G65:G69)</f>
        <v>0</v>
      </c>
      <c r="K65" s="980">
        <v>0</v>
      </c>
      <c r="L65" s="374"/>
      <c r="M65" s="429">
        <v>8</v>
      </c>
      <c r="N65" s="672" t="s">
        <v>338</v>
      </c>
      <c r="O65" s="430" t="s">
        <v>339</v>
      </c>
      <c r="P65" s="659"/>
      <c r="Q65" s="660"/>
      <c r="R65" s="431">
        <v>4025</v>
      </c>
      <c r="S65" s="636" t="s">
        <v>340</v>
      </c>
      <c r="T65" s="811">
        <v>45596</v>
      </c>
      <c r="U65" s="524">
        <v>0</v>
      </c>
      <c r="V65" s="959">
        <f>K65-SUM(U65:U69)</f>
        <v>0</v>
      </c>
      <c r="W65" s="809">
        <v>45575</v>
      </c>
      <c r="X65" s="921">
        <f>SUM(R65:R69)</f>
        <v>83299.38</v>
      </c>
      <c r="Y65" s="221"/>
      <c r="Z65" s="207"/>
    </row>
    <row r="66" spans="1:42" ht="14.25" customHeight="1">
      <c r="B66" s="415">
        <v>8</v>
      </c>
      <c r="C66" s="416"/>
      <c r="D66" s="433"/>
      <c r="E66" s="434"/>
      <c r="F66" s="435"/>
      <c r="G66" s="417"/>
      <c r="H66" s="418"/>
      <c r="I66" s="382"/>
      <c r="J66" s="981"/>
      <c r="K66" s="981"/>
      <c r="L66" s="383"/>
      <c r="M66" s="415">
        <v>8</v>
      </c>
      <c r="N66" s="682" t="s">
        <v>338</v>
      </c>
      <c r="O66" s="433" t="s">
        <v>341</v>
      </c>
      <c r="P66" s="434"/>
      <c r="Q66" s="435"/>
      <c r="R66" s="417">
        <f>21221.6/5</f>
        <v>4244.32</v>
      </c>
      <c r="S66" s="633" t="s">
        <v>342</v>
      </c>
      <c r="T66" s="805">
        <v>45596</v>
      </c>
      <c r="U66" s="525">
        <v>0</v>
      </c>
      <c r="V66" s="962"/>
      <c r="W66" s="810">
        <f>T66+29</f>
        <v>45625</v>
      </c>
      <c r="X66" s="922"/>
      <c r="Y66" s="220" t="s">
        <v>343</v>
      </c>
      <c r="Z66" s="206"/>
    </row>
    <row r="67" spans="1:42" ht="14.25" customHeight="1">
      <c r="B67" s="415">
        <v>8</v>
      </c>
      <c r="C67" s="416"/>
      <c r="D67" s="433"/>
      <c r="E67" s="434"/>
      <c r="F67" s="435"/>
      <c r="G67" s="417"/>
      <c r="H67" s="418"/>
      <c r="I67" s="382"/>
      <c r="J67" s="981"/>
      <c r="K67" s="981"/>
      <c r="L67" s="383"/>
      <c r="M67" s="415">
        <v>8</v>
      </c>
      <c r="N67" s="682" t="s">
        <v>338</v>
      </c>
      <c r="O67" s="433" t="s">
        <v>344</v>
      </c>
      <c r="P67" s="434"/>
      <c r="Q67" s="435"/>
      <c r="R67" s="417">
        <v>41645.1</v>
      </c>
      <c r="S67" s="633" t="s">
        <v>340</v>
      </c>
      <c r="T67" s="788">
        <f>T66</f>
        <v>45596</v>
      </c>
      <c r="U67" s="525">
        <v>0</v>
      </c>
      <c r="V67" s="962"/>
      <c r="W67" s="810">
        <v>45575</v>
      </c>
      <c r="X67" s="922"/>
      <c r="Y67" s="220" t="s">
        <v>345</v>
      </c>
      <c r="Z67" s="206"/>
    </row>
    <row r="68" spans="1:42" ht="14.25" customHeight="1">
      <c r="B68" s="415">
        <v>8</v>
      </c>
      <c r="C68" s="416"/>
      <c r="D68" s="433"/>
      <c r="E68" s="434"/>
      <c r="F68" s="435"/>
      <c r="G68" s="417"/>
      <c r="H68" s="418"/>
      <c r="I68" s="382"/>
      <c r="J68" s="981"/>
      <c r="K68" s="981"/>
      <c r="L68" s="383"/>
      <c r="M68" s="415">
        <v>8</v>
      </c>
      <c r="N68" s="682" t="s">
        <v>338</v>
      </c>
      <c r="O68" s="433" t="s">
        <v>346</v>
      </c>
      <c r="P68" s="434"/>
      <c r="Q68" s="435"/>
      <c r="R68" s="417">
        <v>24300.959999999999</v>
      </c>
      <c r="S68" s="818" t="s">
        <v>347</v>
      </c>
      <c r="T68" s="805">
        <v>45596</v>
      </c>
      <c r="U68" s="525">
        <v>0</v>
      </c>
      <c r="V68" s="962"/>
      <c r="W68" s="810">
        <v>45597</v>
      </c>
      <c r="X68" s="922"/>
      <c r="Y68" s="220" t="s">
        <v>348</v>
      </c>
      <c r="Z68" s="206"/>
    </row>
    <row r="69" spans="1:42" ht="15" customHeight="1">
      <c r="B69" s="384">
        <v>8</v>
      </c>
      <c r="C69" s="385"/>
      <c r="D69" s="386"/>
      <c r="E69" s="387"/>
      <c r="F69" s="388"/>
      <c r="G69" s="389"/>
      <c r="H69" s="390"/>
      <c r="I69" s="391"/>
      <c r="J69" s="982"/>
      <c r="K69" s="982"/>
      <c r="L69" s="392"/>
      <c r="M69" s="853">
        <v>8</v>
      </c>
      <c r="N69" s="854" t="s">
        <v>338</v>
      </c>
      <c r="O69" s="855" t="s">
        <v>349</v>
      </c>
      <c r="P69" s="857"/>
      <c r="Q69" s="858"/>
      <c r="R69" s="859">
        <v>9084</v>
      </c>
      <c r="S69" s="860" t="s">
        <v>350</v>
      </c>
      <c r="T69" s="861">
        <v>45688</v>
      </c>
      <c r="U69" s="862">
        <v>0</v>
      </c>
      <c r="V69" s="963"/>
      <c r="W69" s="872">
        <v>45869</v>
      </c>
      <c r="X69" s="936"/>
      <c r="Y69" s="863"/>
      <c r="Z69" s="204"/>
    </row>
    <row r="70" spans="1:42" ht="15" customHeight="1">
      <c r="B70" s="840"/>
      <c r="C70" s="841"/>
      <c r="D70" s="842"/>
      <c r="E70" s="843"/>
      <c r="F70" s="844"/>
      <c r="G70" s="845"/>
      <c r="H70" s="846"/>
      <c r="I70" s="391"/>
      <c r="J70" s="847"/>
      <c r="K70" s="847"/>
      <c r="L70" s="392"/>
      <c r="M70" s="589">
        <v>8</v>
      </c>
      <c r="N70" s="856" t="s">
        <v>338</v>
      </c>
      <c r="O70" s="842"/>
      <c r="P70" s="843"/>
      <c r="Q70" s="844"/>
      <c r="R70" s="845"/>
      <c r="S70" s="848"/>
      <c r="T70" s="861">
        <v>45688</v>
      </c>
      <c r="U70" s="864">
        <v>49914.42</v>
      </c>
      <c r="V70" s="849"/>
      <c r="W70" s="850"/>
      <c r="X70" s="836"/>
      <c r="Y70" s="851"/>
      <c r="Z70" s="852"/>
    </row>
    <row r="71" spans="1:42" ht="22.5" customHeight="1">
      <c r="A71" s="24"/>
      <c r="B71" s="436"/>
      <c r="C71" s="167"/>
      <c r="D71" s="167"/>
      <c r="E71" s="167"/>
      <c r="F71" s="167"/>
      <c r="G71" s="167"/>
      <c r="H71" s="167"/>
      <c r="I71" s="167"/>
      <c r="J71" s="694"/>
      <c r="K71" s="695"/>
      <c r="L71" s="167" t="s">
        <v>351</v>
      </c>
      <c r="M71" s="436"/>
      <c r="N71" s="167"/>
      <c r="O71" s="167"/>
      <c r="P71" s="167"/>
      <c r="Q71" s="167"/>
      <c r="R71" s="167"/>
      <c r="S71" s="547"/>
      <c r="T71" s="193" t="str">
        <f t="shared" si="7"/>
        <v/>
      </c>
      <c r="U71" s="518"/>
      <c r="V71" s="699"/>
      <c r="W71" s="484"/>
      <c r="X71" s="700"/>
      <c r="Y71" s="222"/>
      <c r="Z71" s="167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</row>
    <row r="72" spans="1:42" ht="15" customHeight="1">
      <c r="B72" s="400">
        <v>9</v>
      </c>
      <c r="C72" s="702" t="s">
        <v>352</v>
      </c>
      <c r="D72" s="421" t="s">
        <v>287</v>
      </c>
      <c r="E72" s="405"/>
      <c r="F72" s="422">
        <v>0.1</v>
      </c>
      <c r="G72" s="404">
        <f>SUM($C$73:$C$74)*F72</f>
        <v>12350</v>
      </c>
      <c r="H72" s="356">
        <f>'Project Plan'!E19-7</f>
        <v>45553</v>
      </c>
      <c r="I72" s="357"/>
      <c r="J72" s="983">
        <f>SUM(G72:G79)</f>
        <v>123500</v>
      </c>
      <c r="K72" s="952">
        <f>43588.23529+101705.8824</f>
        <v>145294.11768999998</v>
      </c>
      <c r="L72" s="358"/>
      <c r="M72" s="400">
        <v>9</v>
      </c>
      <c r="N72" s="670" t="s">
        <v>353</v>
      </c>
      <c r="O72" s="421" t="s">
        <v>287</v>
      </c>
      <c r="P72" s="705">
        <f>AE25+AE26</f>
        <v>103690</v>
      </c>
      <c r="Q72" s="422">
        <v>0.1</v>
      </c>
      <c r="R72" s="350">
        <f>P72*Q72</f>
        <v>10369</v>
      </c>
      <c r="S72" s="548" t="s">
        <v>288</v>
      </c>
      <c r="T72" s="790">
        <v>45565</v>
      </c>
      <c r="U72" s="802">
        <v>14529.411768999998</v>
      </c>
      <c r="V72" s="964">
        <v>0</v>
      </c>
      <c r="W72" s="792">
        <v>45582</v>
      </c>
      <c r="X72" s="937">
        <f>SUM(R72:R79)</f>
        <v>103690</v>
      </c>
      <c r="Y72" s="927" t="s">
        <v>289</v>
      </c>
      <c r="Z72" s="201"/>
    </row>
    <row r="73" spans="1:42" ht="15" customHeight="1">
      <c r="B73" s="400">
        <v>9</v>
      </c>
      <c r="C73" s="732">
        <v>37050</v>
      </c>
      <c r="D73" s="423" t="s">
        <v>146</v>
      </c>
      <c r="E73" s="405"/>
      <c r="F73" s="424">
        <v>0.15</v>
      </c>
      <c r="G73" s="404">
        <f t="shared" ref="G73:G79" si="17">SUM($C$73:$C$74)*F73</f>
        <v>18525</v>
      </c>
      <c r="H73" s="356">
        <f>'Project Plan'!I19</f>
        <v>45560</v>
      </c>
      <c r="I73" s="357"/>
      <c r="J73" s="984"/>
      <c r="K73" s="953"/>
      <c r="L73" s="358"/>
      <c r="M73" s="400">
        <v>9</v>
      </c>
      <c r="N73" s="670" t="s">
        <v>353</v>
      </c>
      <c r="O73" s="423" t="s">
        <v>146</v>
      </c>
      <c r="P73" s="405"/>
      <c r="Q73" s="424">
        <v>0.15</v>
      </c>
      <c r="R73" s="404">
        <f>P72*Q73</f>
        <v>15553.5</v>
      </c>
      <c r="S73" s="536" t="s">
        <v>291</v>
      </c>
      <c r="T73" s="748">
        <v>45596</v>
      </c>
      <c r="U73" s="819">
        <v>21794.117653499998</v>
      </c>
      <c r="V73" s="965"/>
      <c r="W73" s="793">
        <v>45582</v>
      </c>
      <c r="X73" s="938"/>
      <c r="Y73" s="928"/>
      <c r="Z73" s="201"/>
    </row>
    <row r="74" spans="1:42" ht="15" customHeight="1">
      <c r="B74" s="400">
        <v>9</v>
      </c>
      <c r="C74" s="702">
        <v>86450</v>
      </c>
      <c r="D74" s="423" t="s">
        <v>294</v>
      </c>
      <c r="E74" s="405"/>
      <c r="F74" s="424">
        <v>0.2</v>
      </c>
      <c r="G74" s="404">
        <f t="shared" si="17"/>
        <v>24700</v>
      </c>
      <c r="H74" s="356">
        <f>'Project Plan'!G21</f>
        <v>45618</v>
      </c>
      <c r="I74" s="357"/>
      <c r="J74" s="984"/>
      <c r="K74" s="953"/>
      <c r="L74" s="358"/>
      <c r="M74" s="400">
        <v>9</v>
      </c>
      <c r="N74" s="670" t="s">
        <v>353</v>
      </c>
      <c r="O74" s="423" t="s">
        <v>294</v>
      </c>
      <c r="P74" s="405"/>
      <c r="Q74" s="424">
        <v>0.2</v>
      </c>
      <c r="R74" s="404">
        <f t="shared" ref="R74:R79" si="18">$P$72*Q74</f>
        <v>20738</v>
      </c>
      <c r="S74" s="536" t="s">
        <v>295</v>
      </c>
      <c r="T74" s="748">
        <v>45626</v>
      </c>
      <c r="U74" s="819">
        <v>29058.823537999997</v>
      </c>
      <c r="V74" s="965"/>
      <c r="W74" s="793">
        <v>45625</v>
      </c>
      <c r="X74" s="938"/>
      <c r="Y74" s="928"/>
      <c r="Z74" s="201"/>
    </row>
    <row r="75" spans="1:42" ht="15" customHeight="1">
      <c r="B75" s="400">
        <v>9</v>
      </c>
      <c r="C75" s="437"/>
      <c r="D75" s="423" t="s">
        <v>298</v>
      </c>
      <c r="E75" s="405"/>
      <c r="F75" s="424">
        <v>0.25</v>
      </c>
      <c r="G75" s="404">
        <f t="shared" si="17"/>
        <v>30875</v>
      </c>
      <c r="H75" s="356">
        <f>'Project Plan'!G28</f>
        <v>45617</v>
      </c>
      <c r="I75" s="357"/>
      <c r="J75" s="984"/>
      <c r="K75" s="953"/>
      <c r="L75" s="358"/>
      <c r="M75" s="400">
        <v>9</v>
      </c>
      <c r="N75" s="670" t="s">
        <v>353</v>
      </c>
      <c r="O75" s="423" t="s">
        <v>298</v>
      </c>
      <c r="P75" s="405"/>
      <c r="Q75" s="424">
        <v>0.25</v>
      </c>
      <c r="R75" s="404">
        <f t="shared" si="18"/>
        <v>25922.5</v>
      </c>
      <c r="S75" s="536" t="s">
        <v>354</v>
      </c>
      <c r="T75" s="748">
        <v>45626</v>
      </c>
      <c r="U75" s="819">
        <v>36323.529422499996</v>
      </c>
      <c r="V75" s="965"/>
      <c r="W75" s="793">
        <v>45625</v>
      </c>
      <c r="X75" s="938"/>
      <c r="Y75" s="928"/>
      <c r="Z75" s="201"/>
    </row>
    <row r="76" spans="1:42" ht="15" customHeight="1">
      <c r="B76" s="400">
        <v>9</v>
      </c>
      <c r="C76" s="437"/>
      <c r="D76" s="423" t="s">
        <v>302</v>
      </c>
      <c r="E76" s="405"/>
      <c r="F76" s="424">
        <v>0.1</v>
      </c>
      <c r="G76" s="404">
        <f t="shared" si="17"/>
        <v>12350</v>
      </c>
      <c r="H76" s="356">
        <f>'Project Plan'!G38</f>
        <v>45625</v>
      </c>
      <c r="I76" s="357"/>
      <c r="J76" s="984"/>
      <c r="K76" s="953"/>
      <c r="L76" s="358"/>
      <c r="M76" s="400">
        <v>9</v>
      </c>
      <c r="N76" s="670" t="s">
        <v>353</v>
      </c>
      <c r="O76" s="423" t="s">
        <v>302</v>
      </c>
      <c r="P76" s="405"/>
      <c r="Q76" s="424">
        <v>0.1</v>
      </c>
      <c r="R76" s="404">
        <f t="shared" si="18"/>
        <v>10369</v>
      </c>
      <c r="S76" s="544" t="s">
        <v>335</v>
      </c>
      <c r="T76" s="734">
        <v>45626</v>
      </c>
      <c r="U76" s="826">
        <v>14529.411768999998</v>
      </c>
      <c r="V76" s="965"/>
      <c r="W76" s="831">
        <v>45701</v>
      </c>
      <c r="X76" s="938"/>
      <c r="Y76" s="928"/>
      <c r="Z76" s="201"/>
    </row>
    <row r="77" spans="1:42" ht="15" customHeight="1">
      <c r="B77" s="400">
        <v>9</v>
      </c>
      <c r="C77" s="437"/>
      <c r="D77" s="423" t="s">
        <v>305</v>
      </c>
      <c r="E77" s="405"/>
      <c r="F77" s="424">
        <v>0.1</v>
      </c>
      <c r="G77" s="404">
        <f t="shared" si="17"/>
        <v>12350</v>
      </c>
      <c r="H77" s="356">
        <f>'Project Plan'!G47</f>
        <v>45637</v>
      </c>
      <c r="I77" s="357"/>
      <c r="J77" s="984"/>
      <c r="K77" s="953"/>
      <c r="L77" s="358"/>
      <c r="M77" s="400">
        <v>9</v>
      </c>
      <c r="N77" s="670" t="s">
        <v>353</v>
      </c>
      <c r="O77" s="423" t="s">
        <v>305</v>
      </c>
      <c r="P77" s="405"/>
      <c r="Q77" s="424">
        <v>0.1</v>
      </c>
      <c r="R77" s="404">
        <f t="shared" si="18"/>
        <v>10369</v>
      </c>
      <c r="S77" s="544" t="s">
        <v>306</v>
      </c>
      <c r="T77" s="734">
        <v>45626</v>
      </c>
      <c r="U77" s="826">
        <v>14529.411768999998</v>
      </c>
      <c r="V77" s="965"/>
      <c r="W77" s="831">
        <f>'Project Plan'!I47</f>
        <v>45631</v>
      </c>
      <c r="X77" s="938"/>
      <c r="Y77" s="928"/>
      <c r="Z77" s="201"/>
    </row>
    <row r="78" spans="1:42" ht="15" customHeight="1">
      <c r="B78" s="569">
        <v>9</v>
      </c>
      <c r="C78" s="661"/>
      <c r="D78" s="571" t="s">
        <v>307</v>
      </c>
      <c r="E78" s="572"/>
      <c r="F78" s="573">
        <v>0.05</v>
      </c>
      <c r="G78" s="574">
        <f t="shared" si="17"/>
        <v>6175</v>
      </c>
      <c r="H78" s="575">
        <f>'Project Plan'!G49</f>
        <v>45645</v>
      </c>
      <c r="I78" s="357"/>
      <c r="J78" s="984"/>
      <c r="K78" s="953"/>
      <c r="L78" s="358"/>
      <c r="M78" s="400">
        <v>9</v>
      </c>
      <c r="N78" s="670" t="s">
        <v>353</v>
      </c>
      <c r="O78" s="571" t="s">
        <v>307</v>
      </c>
      <c r="P78" s="572"/>
      <c r="Q78" s="573">
        <v>0.05</v>
      </c>
      <c r="R78" s="574">
        <f t="shared" si="18"/>
        <v>5184.5</v>
      </c>
      <c r="S78" s="544" t="s">
        <v>308</v>
      </c>
      <c r="T78" s="734">
        <v>45626</v>
      </c>
      <c r="U78" s="827">
        <v>7264.7058844999992</v>
      </c>
      <c r="V78" s="965"/>
      <c r="W78" s="865">
        <v>45701</v>
      </c>
      <c r="X78" s="938"/>
      <c r="Y78" s="929"/>
      <c r="Z78" s="499"/>
    </row>
    <row r="79" spans="1:42" ht="15" customHeight="1" thickBot="1">
      <c r="B79" s="406">
        <v>9</v>
      </c>
      <c r="C79" s="691"/>
      <c r="D79" s="425" t="s">
        <v>309</v>
      </c>
      <c r="E79" s="409"/>
      <c r="F79" s="426">
        <v>0.05</v>
      </c>
      <c r="G79" s="427">
        <f t="shared" si="17"/>
        <v>6175</v>
      </c>
      <c r="H79" s="692">
        <f>H78+30</f>
        <v>45675</v>
      </c>
      <c r="I79" s="693"/>
      <c r="J79" s="985"/>
      <c r="K79" s="985"/>
      <c r="L79" s="500"/>
      <c r="M79" s="696">
        <v>9</v>
      </c>
      <c r="N79" s="697" t="s">
        <v>353</v>
      </c>
      <c r="O79" s="425" t="s">
        <v>309</v>
      </c>
      <c r="P79" s="409"/>
      <c r="Q79" s="426">
        <v>0.05</v>
      </c>
      <c r="R79" s="698">
        <f t="shared" si="18"/>
        <v>5184.5</v>
      </c>
      <c r="S79" s="834" t="s">
        <v>310</v>
      </c>
      <c r="T79" s="835">
        <v>45688</v>
      </c>
      <c r="U79" s="868">
        <v>7264.7058844999992</v>
      </c>
      <c r="V79" s="966"/>
      <c r="W79" s="692">
        <v>45722</v>
      </c>
      <c r="X79" s="939"/>
      <c r="Y79" s="701"/>
      <c r="Z79" s="202"/>
    </row>
    <row r="80" spans="1:42" ht="14.25" thickBot="1">
      <c r="A80" s="24"/>
      <c r="B80" s="362"/>
      <c r="C80" s="393"/>
      <c r="D80" s="394"/>
      <c r="E80" s="395"/>
      <c r="F80" s="396"/>
      <c r="G80" s="365"/>
      <c r="H80" s="345"/>
      <c r="I80" s="366"/>
      <c r="J80" s="346"/>
      <c r="K80" s="599"/>
      <c r="L80" s="24"/>
      <c r="M80" s="362"/>
      <c r="N80" s="393"/>
      <c r="O80" s="394"/>
      <c r="P80" s="395"/>
      <c r="Q80" s="396"/>
      <c r="R80" s="365"/>
      <c r="S80" s="640"/>
      <c r="T80" s="551" t="str">
        <f t="shared" si="7"/>
        <v/>
      </c>
      <c r="U80" s="510"/>
      <c r="V80" s="641"/>
      <c r="W80" s="471"/>
      <c r="X80" s="481"/>
      <c r="Y80" s="214"/>
      <c r="Z80" s="199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</row>
    <row r="81" spans="1:42" ht="14.25" customHeight="1">
      <c r="B81" s="324">
        <v>10</v>
      </c>
      <c r="C81" s="325" t="s">
        <v>292</v>
      </c>
      <c r="D81" s="325"/>
      <c r="E81" s="326"/>
      <c r="F81" s="439"/>
      <c r="G81" s="440"/>
      <c r="H81" s="328"/>
      <c r="I81" s="329"/>
      <c r="J81" s="946">
        <f>SUM(G81:G91)</f>
        <v>31594.3</v>
      </c>
      <c r="K81" s="946">
        <f>10000+27169.76471</f>
        <v>37169.764710000003</v>
      </c>
      <c r="L81" s="441"/>
      <c r="M81" s="324">
        <v>10</v>
      </c>
      <c r="N81" s="683" t="s">
        <v>355</v>
      </c>
      <c r="O81" s="325" t="s">
        <v>356</v>
      </c>
      <c r="P81" s="326"/>
      <c r="Q81" s="439"/>
      <c r="R81" s="440"/>
      <c r="S81" s="619"/>
      <c r="T81" s="634"/>
      <c r="U81" s="519">
        <f t="shared" ref="U81:U91" si="19">(R81/$X$81*$K$81)</f>
        <v>0</v>
      </c>
      <c r="V81" s="932">
        <f>K81-SUM(U81:U91)</f>
        <v>4.2105344982701354E-3</v>
      </c>
      <c r="W81" s="635"/>
      <c r="X81" s="940">
        <f>SUM(R81:R91)</f>
        <v>93158.200000000012</v>
      </c>
      <c r="Y81" s="209"/>
      <c r="Z81" s="195"/>
    </row>
    <row r="82" spans="1:42" ht="14.25" customHeight="1">
      <c r="B82" s="442"/>
      <c r="C82" s="443"/>
      <c r="D82" s="443"/>
      <c r="E82" s="444"/>
      <c r="F82" s="445"/>
      <c r="G82" s="446"/>
      <c r="H82" s="755"/>
      <c r="I82" s="332"/>
      <c r="J82" s="947"/>
      <c r="K82" s="947"/>
      <c r="L82" s="333"/>
      <c r="M82" s="442">
        <v>10</v>
      </c>
      <c r="N82" s="756" t="s">
        <v>355</v>
      </c>
      <c r="O82" s="443"/>
      <c r="P82" s="444"/>
      <c r="Q82" s="445"/>
      <c r="R82" s="446"/>
      <c r="S82" s="507"/>
      <c r="T82" s="538" t="str">
        <f t="shared" ref="T82" si="20">IF(W82&gt;1,EOMONTH(W82,-1),"")</f>
        <v/>
      </c>
      <c r="U82" s="552">
        <f t="shared" si="19"/>
        <v>0</v>
      </c>
      <c r="V82" s="967"/>
      <c r="W82" s="476"/>
      <c r="X82" s="941"/>
      <c r="Y82" s="223"/>
      <c r="Z82" s="208"/>
    </row>
    <row r="83" spans="1:42" ht="14.25" customHeight="1">
      <c r="B83" s="442"/>
      <c r="C83" s="443"/>
      <c r="D83" s="443"/>
      <c r="E83" s="444"/>
      <c r="F83" s="445"/>
      <c r="G83" s="446"/>
      <c r="H83" s="755"/>
      <c r="I83" s="332"/>
      <c r="J83" s="947"/>
      <c r="K83" s="947"/>
      <c r="L83" s="333"/>
      <c r="M83" s="442">
        <v>10</v>
      </c>
      <c r="N83" s="756" t="s">
        <v>355</v>
      </c>
      <c r="O83" s="443" t="s">
        <v>287</v>
      </c>
      <c r="P83" s="760">
        <f>AE27+AE28+AE29</f>
        <v>87820</v>
      </c>
      <c r="Q83" s="757">
        <v>0.1</v>
      </c>
      <c r="R83" s="446">
        <f>P83*Q83</f>
        <v>8782</v>
      </c>
      <c r="S83" s="507" t="s">
        <v>288</v>
      </c>
      <c r="T83" s="791">
        <f>T72</f>
        <v>45565</v>
      </c>
      <c r="U83" s="803">
        <v>3007.4293108335673</v>
      </c>
      <c r="V83" s="967"/>
      <c r="W83" s="794">
        <f>W72</f>
        <v>45582</v>
      </c>
      <c r="X83" s="941"/>
      <c r="Y83" s="924" t="s">
        <v>289</v>
      </c>
      <c r="Z83" s="208"/>
    </row>
    <row r="84" spans="1:42" ht="14.25" customHeight="1">
      <c r="B84" s="442"/>
      <c r="C84" s="443"/>
      <c r="D84" s="443"/>
      <c r="E84" s="444"/>
      <c r="F84" s="445"/>
      <c r="G84" s="446"/>
      <c r="H84" s="755"/>
      <c r="I84" s="332"/>
      <c r="J84" s="947"/>
      <c r="K84" s="947"/>
      <c r="L84" s="333"/>
      <c r="M84" s="442">
        <v>10</v>
      </c>
      <c r="N84" s="756" t="s">
        <v>355</v>
      </c>
      <c r="O84" s="443" t="s">
        <v>146</v>
      </c>
      <c r="P84" s="444"/>
      <c r="Q84" s="757">
        <v>0.15</v>
      </c>
      <c r="R84" s="446">
        <f>P83*Q84</f>
        <v>13173</v>
      </c>
      <c r="S84" s="507" t="s">
        <v>291</v>
      </c>
      <c r="T84" s="791">
        <f t="shared" ref="T84:T90" si="21">T73</f>
        <v>45596</v>
      </c>
      <c r="U84" s="803">
        <v>4511.1439662503508</v>
      </c>
      <c r="V84" s="967"/>
      <c r="W84" s="794">
        <f t="shared" ref="W84:W90" si="22">W73</f>
        <v>45582</v>
      </c>
      <c r="X84" s="941"/>
      <c r="Y84" s="925"/>
      <c r="Z84" s="208"/>
    </row>
    <row r="85" spans="1:42" ht="14.25" customHeight="1">
      <c r="B85" s="442"/>
      <c r="C85" s="443"/>
      <c r="D85" s="443"/>
      <c r="E85" s="444"/>
      <c r="F85" s="445"/>
      <c r="G85" s="446"/>
      <c r="H85" s="755"/>
      <c r="I85" s="332"/>
      <c r="J85" s="947"/>
      <c r="K85" s="947"/>
      <c r="L85" s="333"/>
      <c r="M85" s="442">
        <v>10</v>
      </c>
      <c r="N85" s="756" t="s">
        <v>355</v>
      </c>
      <c r="O85" s="443" t="s">
        <v>294</v>
      </c>
      <c r="P85" s="444"/>
      <c r="Q85" s="757">
        <v>0.2</v>
      </c>
      <c r="R85" s="446">
        <f t="shared" ref="R85:R89" si="23">$P$47*Q85</f>
        <v>19089.2</v>
      </c>
      <c r="S85" s="507" t="str">
        <f>S74</f>
        <v>Thula Moya IN04519</v>
      </c>
      <c r="T85" s="791">
        <f t="shared" si="21"/>
        <v>45626</v>
      </c>
      <c r="U85" s="803">
        <v>8791.1500153639045</v>
      </c>
      <c r="V85" s="967"/>
      <c r="W85" s="794">
        <f t="shared" si="22"/>
        <v>45625</v>
      </c>
      <c r="X85" s="941"/>
      <c r="Y85" s="925"/>
      <c r="Z85" s="208"/>
    </row>
    <row r="86" spans="1:42" ht="14.25" customHeight="1">
      <c r="B86" s="442"/>
      <c r="C86" s="443"/>
      <c r="D86" s="443"/>
      <c r="E86" s="444"/>
      <c r="F86" s="445"/>
      <c r="G86" s="446"/>
      <c r="H86" s="755"/>
      <c r="I86" s="332"/>
      <c r="J86" s="947"/>
      <c r="K86" s="947"/>
      <c r="L86" s="333"/>
      <c r="M86" s="442">
        <v>10</v>
      </c>
      <c r="N86" s="756" t="s">
        <v>355</v>
      </c>
      <c r="O86" s="443" t="s">
        <v>298</v>
      </c>
      <c r="P86" s="444"/>
      <c r="Q86" s="757">
        <v>0.25</v>
      </c>
      <c r="R86" s="446">
        <f t="shared" si="23"/>
        <v>23861.5</v>
      </c>
      <c r="S86" s="507" t="str">
        <f>S75</f>
        <v>Thula Moya IN04520</v>
      </c>
      <c r="T86" s="791">
        <f t="shared" si="21"/>
        <v>45626</v>
      </c>
      <c r="U86" s="803">
        <v>9481.8375192048807</v>
      </c>
      <c r="V86" s="967"/>
      <c r="W86" s="794">
        <f t="shared" si="22"/>
        <v>45625</v>
      </c>
      <c r="X86" s="941"/>
      <c r="Y86" s="925"/>
      <c r="Z86" s="208"/>
    </row>
    <row r="87" spans="1:42" ht="14.25" customHeight="1">
      <c r="B87" s="442"/>
      <c r="C87" s="443"/>
      <c r="D87" s="443"/>
      <c r="E87" s="444"/>
      <c r="F87" s="445"/>
      <c r="G87" s="446"/>
      <c r="H87" s="755"/>
      <c r="I87" s="332"/>
      <c r="J87" s="947"/>
      <c r="K87" s="947"/>
      <c r="L87" s="333"/>
      <c r="M87" s="442">
        <v>10</v>
      </c>
      <c r="N87" s="756" t="s">
        <v>355</v>
      </c>
      <c r="O87" s="443" t="s">
        <v>302</v>
      </c>
      <c r="P87" s="444"/>
      <c r="Q87" s="757">
        <v>0.1</v>
      </c>
      <c r="R87" s="446">
        <f t="shared" si="23"/>
        <v>9544.6</v>
      </c>
      <c r="S87" s="507" t="str">
        <f>S76</f>
        <v>Thula Moya IN04521</v>
      </c>
      <c r="T87" s="791">
        <f t="shared" si="21"/>
        <v>45626</v>
      </c>
      <c r="U87" s="803">
        <v>3792.7350076819525</v>
      </c>
      <c r="V87" s="967"/>
      <c r="W87" s="794">
        <f>W76</f>
        <v>45701</v>
      </c>
      <c r="X87" s="941"/>
      <c r="Y87" s="925"/>
      <c r="Z87" s="208"/>
    </row>
    <row r="88" spans="1:42" ht="14.25" customHeight="1">
      <c r="B88" s="442">
        <v>10</v>
      </c>
      <c r="C88" s="334"/>
      <c r="D88" s="334" t="s">
        <v>253</v>
      </c>
      <c r="E88" s="447"/>
      <c r="F88" s="448"/>
      <c r="G88" s="327">
        <v>8500</v>
      </c>
      <c r="H88" s="331">
        <f>H76</f>
        <v>45625</v>
      </c>
      <c r="I88" s="332"/>
      <c r="J88" s="947"/>
      <c r="K88" s="947"/>
      <c r="L88" s="333"/>
      <c r="M88" s="442">
        <v>10</v>
      </c>
      <c r="N88" s="684" t="s">
        <v>355</v>
      </c>
      <c r="O88" s="334" t="s">
        <v>305</v>
      </c>
      <c r="P88" s="447"/>
      <c r="Q88" s="758">
        <v>0.1</v>
      </c>
      <c r="R88" s="327">
        <f t="shared" si="23"/>
        <v>9544.6</v>
      </c>
      <c r="S88" s="814" t="s">
        <v>306</v>
      </c>
      <c r="T88" s="791">
        <f t="shared" si="21"/>
        <v>45626</v>
      </c>
      <c r="U88" s="803">
        <v>3792.7350076819525</v>
      </c>
      <c r="V88" s="933"/>
      <c r="W88" s="794">
        <f t="shared" si="22"/>
        <v>45631</v>
      </c>
      <c r="X88" s="941"/>
      <c r="Y88" s="925"/>
      <c r="Z88" s="197"/>
      <c r="AA88" s="24"/>
      <c r="AB88" s="24"/>
    </row>
    <row r="89" spans="1:42" ht="14.25" customHeight="1">
      <c r="B89" s="442">
        <v>10</v>
      </c>
      <c r="C89" s="334"/>
      <c r="D89" s="334"/>
      <c r="E89" s="447"/>
      <c r="F89" s="448"/>
      <c r="G89" s="327"/>
      <c r="H89" s="331"/>
      <c r="I89" s="332"/>
      <c r="J89" s="947"/>
      <c r="K89" s="947"/>
      <c r="L89" s="333"/>
      <c r="M89" s="442">
        <v>10</v>
      </c>
      <c r="N89" s="684" t="s">
        <v>355</v>
      </c>
      <c r="O89" s="334" t="s">
        <v>307</v>
      </c>
      <c r="P89" s="447"/>
      <c r="Q89" s="758">
        <v>0.05</v>
      </c>
      <c r="R89" s="327">
        <f t="shared" si="23"/>
        <v>4772.3</v>
      </c>
      <c r="S89" s="814" t="s">
        <v>308</v>
      </c>
      <c r="T89" s="791">
        <f t="shared" si="21"/>
        <v>45626</v>
      </c>
      <c r="U89" s="803">
        <v>1896.3675038409763</v>
      </c>
      <c r="V89" s="933"/>
      <c r="W89" s="794">
        <f t="shared" si="22"/>
        <v>45701</v>
      </c>
      <c r="X89" s="941"/>
      <c r="Y89" s="925"/>
      <c r="Z89" s="197"/>
    </row>
    <row r="90" spans="1:42" ht="15" customHeight="1">
      <c r="B90" s="442">
        <v>10</v>
      </c>
      <c r="C90" s="443"/>
      <c r="D90" s="443"/>
      <c r="E90" s="444"/>
      <c r="F90" s="445"/>
      <c r="G90" s="446"/>
      <c r="H90" s="331"/>
      <c r="I90" s="332"/>
      <c r="J90" s="947"/>
      <c r="K90" s="947"/>
      <c r="L90" s="333"/>
      <c r="M90" s="442">
        <v>10</v>
      </c>
      <c r="N90" s="684" t="s">
        <v>355</v>
      </c>
      <c r="O90" s="443" t="s">
        <v>309</v>
      </c>
      <c r="P90" s="444"/>
      <c r="Q90" s="757">
        <v>0.05</v>
      </c>
      <c r="R90" s="446">
        <f>P83*Q90</f>
        <v>4391</v>
      </c>
      <c r="S90" s="507" t="s">
        <v>310</v>
      </c>
      <c r="T90" s="791">
        <f t="shared" si="21"/>
        <v>45688</v>
      </c>
      <c r="U90" s="803">
        <f>1751.99216860792+144.37</f>
        <v>1896.36216860792</v>
      </c>
      <c r="V90" s="933"/>
      <c r="W90" s="794">
        <f t="shared" si="22"/>
        <v>45722</v>
      </c>
      <c r="X90" s="941"/>
      <c r="Y90" s="926"/>
      <c r="Z90" s="208" t="s">
        <v>357</v>
      </c>
    </row>
    <row r="91" spans="1:42" ht="15" customHeight="1" thickBot="1">
      <c r="B91" s="335">
        <v>10</v>
      </c>
      <c r="C91" s="449"/>
      <c r="D91" s="449" t="s">
        <v>303</v>
      </c>
      <c r="E91" s="450"/>
      <c r="F91" s="451"/>
      <c r="G91" s="336">
        <v>23094.3</v>
      </c>
      <c r="H91" s="337">
        <f>H88</f>
        <v>45625</v>
      </c>
      <c r="I91" s="338"/>
      <c r="J91" s="948"/>
      <c r="K91" s="948"/>
      <c r="L91" s="339"/>
      <c r="M91" s="335">
        <v>10</v>
      </c>
      <c r="N91" s="685" t="s">
        <v>355</v>
      </c>
      <c r="O91" s="449"/>
      <c r="P91" s="450"/>
      <c r="Q91" s="759"/>
      <c r="R91" s="336"/>
      <c r="S91" s="535"/>
      <c r="T91" s="533" t="str">
        <f t="shared" ref="T91:T123" si="24">IF(W91&gt;1,EOMONTH(W91,-1),"")</f>
        <v/>
      </c>
      <c r="U91" s="553">
        <f t="shared" si="19"/>
        <v>0</v>
      </c>
      <c r="V91" s="934"/>
      <c r="W91" s="470"/>
      <c r="X91" s="942"/>
      <c r="Y91" s="213"/>
      <c r="Z91" s="198"/>
    </row>
    <row r="92" spans="1:42" ht="14.25" thickBot="1">
      <c r="A92" s="24"/>
      <c r="B92" s="340"/>
      <c r="C92" s="341"/>
      <c r="D92" s="341"/>
      <c r="E92" s="363"/>
      <c r="F92" s="344"/>
      <c r="G92" s="344"/>
      <c r="H92" s="345"/>
      <c r="I92" s="366"/>
      <c r="J92" s="346"/>
      <c r="K92" s="599"/>
      <c r="L92" s="24"/>
      <c r="M92" s="340"/>
      <c r="N92" s="341"/>
      <c r="O92" s="341"/>
      <c r="P92" s="363"/>
      <c r="Q92" s="344"/>
      <c r="R92" s="344"/>
      <c r="S92" s="543"/>
      <c r="T92" s="534" t="str">
        <f t="shared" si="24"/>
        <v/>
      </c>
      <c r="U92" s="510"/>
      <c r="V92" s="641"/>
      <c r="W92" s="471"/>
      <c r="X92" s="481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7">
        <v>11</v>
      </c>
      <c r="C93" s="348" t="s">
        <v>358</v>
      </c>
      <c r="D93" s="485" t="s">
        <v>359</v>
      </c>
      <c r="E93" s="349"/>
      <c r="F93" s="452"/>
      <c r="G93" s="350">
        <v>11000</v>
      </c>
      <c r="H93" s="351">
        <f>'Project Plan'!E51</f>
        <v>45626</v>
      </c>
      <c r="I93" s="352"/>
      <c r="J93" s="952">
        <f>SUM(G93:G97)</f>
        <v>89000</v>
      </c>
      <c r="K93" s="952">
        <v>104705.8824</v>
      </c>
      <c r="L93" s="353"/>
      <c r="M93" s="347">
        <v>11</v>
      </c>
      <c r="N93" s="485" t="s">
        <v>360</v>
      </c>
      <c r="O93" s="348" t="s">
        <v>359</v>
      </c>
      <c r="P93" s="349"/>
      <c r="Q93" s="452"/>
      <c r="R93" s="350">
        <v>3347.62</v>
      </c>
      <c r="S93" s="536" t="s">
        <v>361</v>
      </c>
      <c r="T93" s="748">
        <v>45626</v>
      </c>
      <c r="U93" s="766">
        <v>40306.800750857205</v>
      </c>
      <c r="V93" s="968">
        <f>K93-SUM(U93:U97)</f>
        <v>2.2771506774006411E-3</v>
      </c>
      <c r="W93" s="762">
        <v>45673</v>
      </c>
      <c r="X93" s="912">
        <f>SUM(R93:R97)</f>
        <v>11867.619999999999</v>
      </c>
      <c r="Y93" s="215"/>
      <c r="Z93" s="200"/>
      <c r="AA93" s="24"/>
      <c r="AB93" s="24"/>
    </row>
    <row r="94" spans="1:42" ht="15" customHeight="1">
      <c r="B94" s="400">
        <v>11</v>
      </c>
      <c r="C94" s="402"/>
      <c r="D94" s="402" t="s">
        <v>362</v>
      </c>
      <c r="E94" s="403"/>
      <c r="F94" s="453"/>
      <c r="G94" s="404">
        <v>18000</v>
      </c>
      <c r="H94" s="356">
        <f>'Project Plan'!E19</f>
        <v>45560</v>
      </c>
      <c r="I94" s="357"/>
      <c r="J94" s="953"/>
      <c r="K94" s="953"/>
      <c r="L94" s="358"/>
      <c r="M94" s="400">
        <v>11</v>
      </c>
      <c r="N94" s="583" t="s">
        <v>360</v>
      </c>
      <c r="O94" s="402" t="s">
        <v>362</v>
      </c>
      <c r="P94" s="403"/>
      <c r="Q94" s="453"/>
      <c r="R94" s="404">
        <v>2520</v>
      </c>
      <c r="S94" s="544" t="s">
        <v>363</v>
      </c>
      <c r="T94" s="748">
        <v>45535</v>
      </c>
      <c r="U94" s="736">
        <v>11462.155675412685</v>
      </c>
      <c r="V94" s="969"/>
      <c r="W94" s="749">
        <v>45537</v>
      </c>
      <c r="X94" s="913"/>
      <c r="Y94" s="210"/>
      <c r="Z94" s="201"/>
    </row>
    <row r="95" spans="1:42" ht="15" customHeight="1">
      <c r="B95" s="400">
        <v>11</v>
      </c>
      <c r="C95" s="402"/>
      <c r="D95" s="402" t="s">
        <v>364</v>
      </c>
      <c r="E95" s="403"/>
      <c r="F95" s="453"/>
      <c r="G95" s="404">
        <v>60000</v>
      </c>
      <c r="H95" s="356">
        <f>H94+30</f>
        <v>45590</v>
      </c>
      <c r="I95" s="357"/>
      <c r="J95" s="953"/>
      <c r="K95" s="953"/>
      <c r="L95" s="358"/>
      <c r="M95" s="400">
        <v>11</v>
      </c>
      <c r="N95" s="583" t="s">
        <v>360</v>
      </c>
      <c r="O95" s="402"/>
      <c r="P95" s="403"/>
      <c r="Q95" s="453"/>
      <c r="R95" s="404"/>
      <c r="S95" s="465"/>
      <c r="T95" s="514" t="str">
        <f t="shared" si="24"/>
        <v/>
      </c>
      <c r="U95" s="522">
        <f>R95/$X$93*$K$93</f>
        <v>0</v>
      </c>
      <c r="V95" s="969"/>
      <c r="W95" s="473"/>
      <c r="X95" s="913"/>
      <c r="Y95" s="210"/>
      <c r="Z95" s="201"/>
    </row>
    <row r="96" spans="1:42" ht="14.25" customHeight="1">
      <c r="B96" s="400">
        <v>11</v>
      </c>
      <c r="C96" s="402"/>
      <c r="D96" s="402"/>
      <c r="E96" s="403"/>
      <c r="F96" s="453"/>
      <c r="G96" s="404"/>
      <c r="H96" s="356"/>
      <c r="I96" s="357"/>
      <c r="J96" s="953"/>
      <c r="K96" s="953"/>
      <c r="L96" s="358"/>
      <c r="M96" s="400">
        <v>11</v>
      </c>
      <c r="N96" s="583" t="s">
        <v>360</v>
      </c>
      <c r="O96" s="402"/>
      <c r="P96" s="403"/>
      <c r="Q96" s="453"/>
      <c r="R96" s="404"/>
      <c r="S96" s="465"/>
      <c r="T96" s="514" t="str">
        <f t="shared" si="24"/>
        <v/>
      </c>
      <c r="U96" s="522">
        <f>R96/$X$93*$K$93</f>
        <v>0</v>
      </c>
      <c r="V96" s="969"/>
      <c r="W96" s="473"/>
      <c r="X96" s="913"/>
      <c r="Y96" s="210"/>
      <c r="Z96" s="201"/>
      <c r="AA96" s="24"/>
      <c r="AB96" s="24"/>
    </row>
    <row r="97" spans="1:42" ht="15" customHeight="1" thickBot="1">
      <c r="B97" s="406">
        <v>11</v>
      </c>
      <c r="C97" s="407"/>
      <c r="D97" s="407"/>
      <c r="E97" s="408"/>
      <c r="F97" s="454"/>
      <c r="G97" s="427"/>
      <c r="H97" s="359"/>
      <c r="I97" s="360"/>
      <c r="J97" s="954"/>
      <c r="K97" s="954"/>
      <c r="L97" s="361"/>
      <c r="M97" s="406">
        <v>11</v>
      </c>
      <c r="N97" s="665" t="s">
        <v>360</v>
      </c>
      <c r="O97" s="407" t="s">
        <v>365</v>
      </c>
      <c r="P97" s="408"/>
      <c r="Q97" s="454"/>
      <c r="R97" s="427">
        <v>6000</v>
      </c>
      <c r="S97" s="816" t="s">
        <v>366</v>
      </c>
      <c r="T97" s="815">
        <v>45626</v>
      </c>
      <c r="U97" s="828">
        <v>52936.923696579433</v>
      </c>
      <c r="V97" s="970"/>
      <c r="W97" s="817">
        <f>T97</f>
        <v>45626</v>
      </c>
      <c r="X97" s="914"/>
      <c r="Y97" s="216"/>
      <c r="Z97" s="202"/>
    </row>
    <row r="98" spans="1:42" ht="15" customHeight="1" thickBot="1">
      <c r="A98" s="24"/>
      <c r="B98" s="362"/>
      <c r="C98" s="341"/>
      <c r="D98" s="341"/>
      <c r="E98" s="363"/>
      <c r="F98" s="344"/>
      <c r="G98" s="365"/>
      <c r="H98" s="345"/>
      <c r="I98" s="366"/>
      <c r="J98" s="346"/>
      <c r="K98" s="346"/>
      <c r="L98" s="24"/>
      <c r="M98" s="362"/>
      <c r="N98" s="341"/>
      <c r="O98" s="341"/>
      <c r="P98" s="363"/>
      <c r="Q98" s="344"/>
      <c r="R98" s="365"/>
      <c r="S98" s="543"/>
      <c r="T98" s="534" t="str">
        <f t="shared" si="24"/>
        <v/>
      </c>
      <c r="U98" s="510"/>
      <c r="V98" s="641"/>
      <c r="W98" s="471"/>
      <c r="X98" s="481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 ht="13.9">
      <c r="B99" s="324">
        <v>12</v>
      </c>
      <c r="C99" s="325" t="s">
        <v>367</v>
      </c>
      <c r="D99" s="325" t="s">
        <v>368</v>
      </c>
      <c r="E99" s="326"/>
      <c r="F99" s="621"/>
      <c r="G99" s="440">
        <v>48482.92</v>
      </c>
      <c r="H99" s="328">
        <f>'Project Plan'!G50</f>
        <v>45646</v>
      </c>
      <c r="I99" s="943"/>
      <c r="J99" s="946">
        <f>SUM(G99:G101)</f>
        <v>48482.92</v>
      </c>
      <c r="K99" s="946">
        <v>0</v>
      </c>
      <c r="L99" s="949"/>
      <c r="M99" s="324">
        <v>12</v>
      </c>
      <c r="N99" s="325" t="s">
        <v>367</v>
      </c>
      <c r="O99" s="325" t="s">
        <v>368</v>
      </c>
      <c r="P99" s="326"/>
      <c r="Q99" s="621"/>
      <c r="R99" s="440">
        <f>48482.92/2</f>
        <v>24241.46</v>
      </c>
      <c r="S99" s="619" t="s">
        <v>369</v>
      </c>
      <c r="T99" s="747">
        <v>45535</v>
      </c>
      <c r="U99" s="622"/>
      <c r="V99" s="643"/>
      <c r="W99" s="750">
        <v>45537</v>
      </c>
      <c r="X99" s="918">
        <f>SUM(R99:R101)</f>
        <v>48482.92</v>
      </c>
      <c r="Y99" s="209"/>
      <c r="Z99" s="195"/>
    </row>
    <row r="100" spans="1:42" ht="13.9">
      <c r="B100" s="738"/>
      <c r="C100" s="739"/>
      <c r="D100" s="739"/>
      <c r="E100" s="740"/>
      <c r="F100" s="741"/>
      <c r="G100" s="742"/>
      <c r="H100" s="743"/>
      <c r="I100" s="944"/>
      <c r="J100" s="947"/>
      <c r="K100" s="947"/>
      <c r="L100" s="950"/>
      <c r="M100" s="738">
        <v>12</v>
      </c>
      <c r="N100" s="739" t="s">
        <v>367</v>
      </c>
      <c r="O100" s="739" t="s">
        <v>368</v>
      </c>
      <c r="P100" s="740"/>
      <c r="Q100" s="741"/>
      <c r="R100" s="742">
        <v>24241.46</v>
      </c>
      <c r="S100" s="507" t="s">
        <v>370</v>
      </c>
      <c r="T100" s="791">
        <f>T76</f>
        <v>45626</v>
      </c>
      <c r="U100" s="744"/>
      <c r="V100" s="737"/>
      <c r="W100" s="829">
        <v>45638</v>
      </c>
      <c r="X100" s="919"/>
      <c r="Y100" s="745"/>
      <c r="Z100" s="746"/>
    </row>
    <row r="101" spans="1:42" ht="15" customHeight="1" thickBot="1">
      <c r="B101" s="335">
        <v>12</v>
      </c>
      <c r="C101" s="449" t="s">
        <v>367</v>
      </c>
      <c r="D101" s="449"/>
      <c r="E101" s="450"/>
      <c r="F101" s="628"/>
      <c r="G101" s="336"/>
      <c r="H101" s="337"/>
      <c r="I101" s="945"/>
      <c r="J101" s="948"/>
      <c r="K101" s="948"/>
      <c r="L101" s="951"/>
      <c r="M101" s="335">
        <v>12</v>
      </c>
      <c r="N101" s="449" t="s">
        <v>367</v>
      </c>
      <c r="O101" s="449"/>
      <c r="P101" s="450"/>
      <c r="Q101" s="628"/>
      <c r="R101" s="336"/>
      <c r="S101" s="507"/>
      <c r="T101" s="538" t="str">
        <f t="shared" si="24"/>
        <v/>
      </c>
      <c r="U101" s="637"/>
      <c r="V101" s="644"/>
      <c r="W101" s="470"/>
      <c r="X101" s="920"/>
      <c r="Y101" s="638"/>
      <c r="Z101" s="198"/>
    </row>
    <row r="102" spans="1:42" ht="14.25" thickBot="1">
      <c r="A102" s="24"/>
      <c r="B102" s="362"/>
      <c r="C102" s="341"/>
      <c r="D102" s="341"/>
      <c r="E102" s="363"/>
      <c r="F102" s="396"/>
      <c r="G102" s="365"/>
      <c r="H102" s="345"/>
      <c r="I102" s="366"/>
      <c r="J102" s="420"/>
      <c r="K102" s="420"/>
      <c r="L102" s="24"/>
      <c r="M102" s="362"/>
      <c r="N102" s="341"/>
      <c r="O102" s="341"/>
      <c r="P102" s="363"/>
      <c r="Q102" s="396"/>
      <c r="R102" s="365"/>
      <c r="S102" s="543"/>
      <c r="T102" s="534" t="str">
        <f t="shared" si="24"/>
        <v/>
      </c>
      <c r="U102" s="510"/>
      <c r="V102" s="641"/>
      <c r="W102" s="471"/>
      <c r="X102" s="482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7">
        <v>13</v>
      </c>
      <c r="C103" s="348" t="s">
        <v>371</v>
      </c>
      <c r="D103" s="485" t="s">
        <v>372</v>
      </c>
      <c r="E103" s="349"/>
      <c r="F103" s="452"/>
      <c r="G103" s="350">
        <v>16328.72</v>
      </c>
      <c r="H103" s="351">
        <f>'Project Plan'!G51+31</f>
        <v>45659</v>
      </c>
      <c r="I103" s="955"/>
      <c r="J103" s="952">
        <f>SUM(G103:G109)</f>
        <v>103846.32</v>
      </c>
      <c r="K103" s="952">
        <v>118007.18090000001</v>
      </c>
      <c r="L103" s="353"/>
      <c r="M103" s="347">
        <v>13</v>
      </c>
      <c r="N103" s="485" t="s">
        <v>373</v>
      </c>
      <c r="O103" s="485" t="s">
        <v>372</v>
      </c>
      <c r="P103" s="349"/>
      <c r="Q103" s="350"/>
      <c r="R103" s="350">
        <v>21667.67</v>
      </c>
      <c r="S103" s="823" t="s">
        <v>374</v>
      </c>
      <c r="T103" s="824">
        <v>45626</v>
      </c>
      <c r="U103" s="766">
        <v>118007.18090000001</v>
      </c>
      <c r="V103" s="915">
        <f>K103-SUM(U103:U109)</f>
        <v>0</v>
      </c>
      <c r="W103" s="825">
        <v>45626</v>
      </c>
      <c r="X103" s="912">
        <f>SUM(R103:R109)</f>
        <v>72067.67</v>
      </c>
      <c r="Y103" s="215"/>
      <c r="Z103" s="200"/>
    </row>
    <row r="104" spans="1:42" ht="15.75" customHeight="1">
      <c r="B104" s="400">
        <v>13</v>
      </c>
      <c r="C104" s="402"/>
      <c r="D104" s="402" t="s">
        <v>375</v>
      </c>
      <c r="E104" s="403"/>
      <c r="F104" s="453"/>
      <c r="G104" s="404">
        <v>11200</v>
      </c>
      <c r="H104" s="356">
        <f>H103</f>
        <v>45659</v>
      </c>
      <c r="I104" s="956"/>
      <c r="J104" s="953"/>
      <c r="K104" s="953"/>
      <c r="L104" s="358"/>
      <c r="M104" s="400">
        <v>13</v>
      </c>
      <c r="N104" s="583" t="s">
        <v>373</v>
      </c>
      <c r="O104" s="402" t="s">
        <v>375</v>
      </c>
      <c r="P104" s="403"/>
      <c r="Q104" s="404"/>
      <c r="R104" s="404">
        <v>50400</v>
      </c>
      <c r="S104" s="544" t="s">
        <v>376</v>
      </c>
      <c r="T104" s="824">
        <v>45900</v>
      </c>
      <c r="U104" s="736">
        <v>0</v>
      </c>
      <c r="V104" s="916"/>
      <c r="W104" s="734">
        <v>45900</v>
      </c>
      <c r="X104" s="913"/>
      <c r="Y104" s="210"/>
      <c r="Z104" s="201"/>
    </row>
    <row r="105" spans="1:42" ht="15.75" customHeight="1">
      <c r="B105" s="400">
        <v>13</v>
      </c>
      <c r="C105" s="402"/>
      <c r="D105" s="402" t="s">
        <v>377</v>
      </c>
      <c r="E105" s="403"/>
      <c r="F105" s="453"/>
      <c r="G105" s="404">
        <v>38080</v>
      </c>
      <c r="H105" s="356">
        <f>H103</f>
        <v>45659</v>
      </c>
      <c r="I105" s="956"/>
      <c r="J105" s="953"/>
      <c r="K105" s="953"/>
      <c r="L105" s="358"/>
      <c r="M105" s="400">
        <v>13</v>
      </c>
      <c r="N105" s="583" t="s">
        <v>373</v>
      </c>
      <c r="O105" s="402" t="s">
        <v>377</v>
      </c>
      <c r="P105" s="403"/>
      <c r="Q105" s="404"/>
      <c r="R105" s="404">
        <v>0</v>
      </c>
      <c r="S105" s="465"/>
      <c r="T105" s="824"/>
      <c r="U105" s="736">
        <f t="shared" ref="U105:U107" si="25">R105/$X$103*$K$103</f>
        <v>0</v>
      </c>
      <c r="V105" s="916"/>
      <c r="W105" s="512"/>
      <c r="X105" s="913"/>
      <c r="Y105" s="210"/>
      <c r="Z105" s="201"/>
      <c r="AA105" s="24"/>
      <c r="AB105" s="24"/>
    </row>
    <row r="106" spans="1:42" ht="15.75" customHeight="1">
      <c r="B106" s="400">
        <v>13</v>
      </c>
      <c r="C106" s="402"/>
      <c r="D106" s="402" t="s">
        <v>378</v>
      </c>
      <c r="E106" s="403"/>
      <c r="F106" s="453"/>
      <c r="G106" s="404">
        <v>14560</v>
      </c>
      <c r="H106" s="356">
        <f>H103</f>
        <v>45659</v>
      </c>
      <c r="I106" s="956"/>
      <c r="J106" s="953"/>
      <c r="K106" s="953"/>
      <c r="L106" s="358"/>
      <c r="M106" s="400">
        <v>13</v>
      </c>
      <c r="N106" s="583" t="s">
        <v>373</v>
      </c>
      <c r="O106" s="402" t="s">
        <v>378</v>
      </c>
      <c r="P106" s="403"/>
      <c r="Q106" s="404"/>
      <c r="R106" s="404">
        <v>0</v>
      </c>
      <c r="S106" s="537"/>
      <c r="T106" s="824"/>
      <c r="U106" s="736">
        <f t="shared" si="25"/>
        <v>0</v>
      </c>
      <c r="V106" s="916"/>
      <c r="W106" s="512"/>
      <c r="X106" s="913"/>
      <c r="Y106" s="498"/>
      <c r="Z106" s="499"/>
    </row>
    <row r="107" spans="1:42" ht="15.75" customHeight="1">
      <c r="B107" s="400">
        <v>13</v>
      </c>
      <c r="C107" s="402"/>
      <c r="D107" s="402" t="s">
        <v>379</v>
      </c>
      <c r="E107" s="403"/>
      <c r="F107" s="453"/>
      <c r="G107" s="404">
        <v>23677.599999999999</v>
      </c>
      <c r="H107" s="356">
        <f>H103</f>
        <v>45659</v>
      </c>
      <c r="I107" s="956"/>
      <c r="J107" s="953"/>
      <c r="K107" s="953"/>
      <c r="L107" s="358"/>
      <c r="M107" s="400">
        <v>13</v>
      </c>
      <c r="N107" s="583" t="s">
        <v>373</v>
      </c>
      <c r="O107" s="402" t="s">
        <v>379</v>
      </c>
      <c r="P107" s="403"/>
      <c r="Q107" s="404"/>
      <c r="R107" s="404">
        <v>0</v>
      </c>
      <c r="S107" s="537"/>
      <c r="T107" s="824"/>
      <c r="U107" s="736">
        <f t="shared" si="25"/>
        <v>0</v>
      </c>
      <c r="V107" s="916"/>
      <c r="W107" s="512"/>
      <c r="X107" s="913"/>
      <c r="Y107" s="498"/>
      <c r="Z107" s="499"/>
    </row>
    <row r="108" spans="1:42" ht="15.75" customHeight="1">
      <c r="B108" s="400">
        <v>13</v>
      </c>
      <c r="C108" s="578"/>
      <c r="D108" s="578"/>
      <c r="E108" s="608"/>
      <c r="F108" s="579"/>
      <c r="G108" s="574"/>
      <c r="H108" s="575"/>
      <c r="I108" s="956"/>
      <c r="J108" s="953"/>
      <c r="K108" s="953"/>
      <c r="L108" s="358"/>
      <c r="M108" s="400">
        <v>13</v>
      </c>
      <c r="N108" s="583" t="s">
        <v>373</v>
      </c>
      <c r="O108" s="578"/>
      <c r="P108" s="608"/>
      <c r="Q108" s="714"/>
      <c r="R108" s="574"/>
      <c r="S108" s="537"/>
      <c r="T108" s="512" t="str">
        <f t="shared" si="24"/>
        <v/>
      </c>
      <c r="U108" s="522"/>
      <c r="V108" s="916"/>
      <c r="W108" s="512"/>
      <c r="X108" s="913"/>
      <c r="Y108" s="498"/>
      <c r="Z108" s="499"/>
    </row>
    <row r="109" spans="1:42" ht="15.75" customHeight="1" thickBot="1">
      <c r="B109" s="406">
        <v>13</v>
      </c>
      <c r="C109" s="407"/>
      <c r="D109" s="407"/>
      <c r="E109" s="408"/>
      <c r="F109" s="454"/>
      <c r="G109" s="427"/>
      <c r="H109" s="359"/>
      <c r="I109" s="957"/>
      <c r="J109" s="954"/>
      <c r="K109" s="954"/>
      <c r="L109" s="500"/>
      <c r="M109" s="406">
        <v>13</v>
      </c>
      <c r="N109" s="665" t="s">
        <v>373</v>
      </c>
      <c r="O109" s="407"/>
      <c r="P109" s="408"/>
      <c r="Q109" s="454"/>
      <c r="R109" s="427"/>
      <c r="S109" s="537"/>
      <c r="T109" s="517" t="str">
        <f t="shared" si="24"/>
        <v/>
      </c>
      <c r="U109" s="523"/>
      <c r="V109" s="917"/>
      <c r="W109" s="474"/>
      <c r="X109" s="958"/>
      <c r="Y109" s="216"/>
      <c r="Z109" s="202"/>
    </row>
    <row r="110" spans="1:42" ht="14.25" thickBot="1">
      <c r="A110" s="24"/>
      <c r="B110" s="362"/>
      <c r="C110" s="341"/>
      <c r="D110" s="341"/>
      <c r="E110" s="363"/>
      <c r="F110" s="344"/>
      <c r="G110" s="365"/>
      <c r="H110" s="345"/>
      <c r="I110" s="366"/>
      <c r="J110" s="346"/>
      <c r="K110" s="346"/>
      <c r="L110" s="24"/>
      <c r="M110" s="362"/>
      <c r="N110" s="341"/>
      <c r="O110" s="341"/>
      <c r="P110" s="363"/>
      <c r="Q110" s="344"/>
      <c r="R110" s="365"/>
      <c r="S110" s="543"/>
      <c r="T110" s="534" t="str">
        <f t="shared" si="24"/>
        <v/>
      </c>
      <c r="U110" s="510"/>
      <c r="V110" s="641"/>
      <c r="W110" s="471"/>
      <c r="X110" s="482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4">
        <v>14</v>
      </c>
      <c r="C111" s="325" t="s">
        <v>380</v>
      </c>
      <c r="D111" s="325" t="s">
        <v>381</v>
      </c>
      <c r="E111" s="326"/>
      <c r="F111" s="439"/>
      <c r="G111" s="440">
        <v>2450</v>
      </c>
      <c r="H111" s="328">
        <f>H103</f>
        <v>45659</v>
      </c>
      <c r="I111" s="329"/>
      <c r="J111" s="946">
        <f>SUM(G111:G118)</f>
        <v>2450</v>
      </c>
      <c r="K111" s="946">
        <v>2882.3529410000001</v>
      </c>
      <c r="L111" s="441"/>
      <c r="M111" s="324">
        <v>14</v>
      </c>
      <c r="N111" s="683" t="s">
        <v>382</v>
      </c>
      <c r="O111" s="325" t="s">
        <v>381</v>
      </c>
      <c r="P111" s="326"/>
      <c r="Q111" s="439"/>
      <c r="R111" s="440">
        <v>1522.74</v>
      </c>
      <c r="S111" s="812" t="s">
        <v>383</v>
      </c>
      <c r="T111" s="768">
        <v>45535</v>
      </c>
      <c r="U111" s="769">
        <v>540.34403629542987</v>
      </c>
      <c r="V111" s="932">
        <f>K111-SUM(U111:U118)</f>
        <v>3.2377460465795593E-3</v>
      </c>
      <c r="W111" s="798">
        <v>45540</v>
      </c>
      <c r="X111" s="940">
        <f>SUM(R111:R118)</f>
        <v>7345.8900000000012</v>
      </c>
      <c r="Y111" s="209"/>
      <c r="Z111" s="195"/>
    </row>
    <row r="112" spans="1:42" ht="15" customHeight="1">
      <c r="B112" s="330">
        <v>14</v>
      </c>
      <c r="C112" s="334"/>
      <c r="D112" s="334"/>
      <c r="E112" s="447"/>
      <c r="F112" s="448"/>
      <c r="G112" s="327"/>
      <c r="H112" s="331"/>
      <c r="I112" s="332"/>
      <c r="J112" s="947"/>
      <c r="K112" s="947"/>
      <c r="L112" s="333"/>
      <c r="M112" s="330">
        <v>14</v>
      </c>
      <c r="N112" s="684" t="s">
        <v>382</v>
      </c>
      <c r="O112" s="334"/>
      <c r="P112" s="447"/>
      <c r="Q112" s="448" t="s">
        <v>384</v>
      </c>
      <c r="R112" s="327">
        <v>1570.98</v>
      </c>
      <c r="S112" s="813" t="s">
        <v>383</v>
      </c>
      <c r="T112" s="797">
        <v>45565</v>
      </c>
      <c r="U112" s="804">
        <f>562.938394580142+5.31</f>
        <v>568.24839458014196</v>
      </c>
      <c r="V112" s="933"/>
      <c r="W112" s="797">
        <v>45569</v>
      </c>
      <c r="X112" s="941"/>
      <c r="Y112" s="212"/>
      <c r="Z112" s="197"/>
      <c r="AA112" s="24"/>
      <c r="AB112" s="24"/>
    </row>
    <row r="113" spans="1:42" ht="15" customHeight="1">
      <c r="B113" s="330">
        <v>14</v>
      </c>
      <c r="C113" s="334"/>
      <c r="D113" s="334"/>
      <c r="E113" s="447"/>
      <c r="F113" s="448"/>
      <c r="G113" s="327"/>
      <c r="H113" s="331"/>
      <c r="I113" s="332"/>
      <c r="J113" s="947"/>
      <c r="K113" s="947"/>
      <c r="L113" s="333"/>
      <c r="M113" s="330">
        <v>14</v>
      </c>
      <c r="N113" s="684" t="s">
        <v>382</v>
      </c>
      <c r="O113" s="334"/>
      <c r="P113" s="447"/>
      <c r="Q113" s="448"/>
      <c r="R113" s="327">
        <v>1671</v>
      </c>
      <c r="S113" s="813" t="s">
        <v>383</v>
      </c>
      <c r="T113" s="797">
        <v>45596</v>
      </c>
      <c r="U113" s="804">
        <v>591.25409047679432</v>
      </c>
      <c r="V113" s="933"/>
      <c r="W113" s="797">
        <v>45604</v>
      </c>
      <c r="X113" s="941"/>
      <c r="Y113" s="212"/>
      <c r="Z113" s="197"/>
    </row>
    <row r="114" spans="1:42" ht="15" customHeight="1">
      <c r="B114" s="330">
        <v>14</v>
      </c>
      <c r="C114" s="334"/>
      <c r="D114" s="334"/>
      <c r="E114" s="447"/>
      <c r="F114" s="448"/>
      <c r="G114" s="327"/>
      <c r="H114" s="331"/>
      <c r="I114" s="332"/>
      <c r="J114" s="947"/>
      <c r="K114" s="947"/>
      <c r="L114" s="333"/>
      <c r="M114" s="330">
        <v>14</v>
      </c>
      <c r="N114" s="684" t="s">
        <v>382</v>
      </c>
      <c r="O114" s="334"/>
      <c r="P114" s="447"/>
      <c r="Q114" s="448"/>
      <c r="R114" s="327">
        <v>53.96</v>
      </c>
      <c r="S114" s="813" t="s">
        <v>383</v>
      </c>
      <c r="T114" s="797">
        <v>45626</v>
      </c>
      <c r="U114" s="804">
        <v>27.123818011767469</v>
      </c>
      <c r="V114" s="933"/>
      <c r="W114" s="797">
        <v>45632</v>
      </c>
      <c r="X114" s="941"/>
      <c r="Y114" s="212"/>
      <c r="Z114" s="197"/>
    </row>
    <row r="115" spans="1:42" ht="15" customHeight="1">
      <c r="B115" s="330">
        <v>14</v>
      </c>
      <c r="C115" s="609"/>
      <c r="D115" s="609"/>
      <c r="E115" s="610"/>
      <c r="F115" s="611"/>
      <c r="G115" s="612"/>
      <c r="H115" s="613"/>
      <c r="I115" s="332"/>
      <c r="J115" s="947"/>
      <c r="K115" s="947"/>
      <c r="L115" s="333"/>
      <c r="M115" s="330">
        <v>14</v>
      </c>
      <c r="N115" s="684" t="s">
        <v>382</v>
      </c>
      <c r="O115" s="609"/>
      <c r="P115" s="610"/>
      <c r="Q115" s="611"/>
      <c r="R115" s="327">
        <v>1016.01</v>
      </c>
      <c r="S115" s="813" t="s">
        <v>383</v>
      </c>
      <c r="T115" s="797">
        <v>45688</v>
      </c>
      <c r="U115" s="804">
        <v>399.26696446413001</v>
      </c>
      <c r="V115" s="933"/>
      <c r="W115" s="838">
        <v>45694</v>
      </c>
      <c r="X115" s="941"/>
      <c r="Y115" s="614"/>
      <c r="Z115" s="615"/>
    </row>
    <row r="116" spans="1:42" ht="15" customHeight="1">
      <c r="B116" s="837"/>
      <c r="C116" s="609"/>
      <c r="D116" s="609"/>
      <c r="E116" s="610"/>
      <c r="F116" s="611"/>
      <c r="G116" s="612"/>
      <c r="H116" s="613"/>
      <c r="I116" s="332"/>
      <c r="J116" s="947"/>
      <c r="K116" s="947"/>
      <c r="L116" s="333"/>
      <c r="M116" s="330">
        <v>14</v>
      </c>
      <c r="N116" s="684" t="s">
        <v>382</v>
      </c>
      <c r="O116" s="609"/>
      <c r="P116" s="610"/>
      <c r="Q116" s="611"/>
      <c r="R116" s="612">
        <v>423.22</v>
      </c>
      <c r="S116" s="813" t="s">
        <v>383</v>
      </c>
      <c r="T116" s="838">
        <v>45716</v>
      </c>
      <c r="U116" s="804">
        <v>756.11239942569</v>
      </c>
      <c r="V116" s="933"/>
      <c r="W116" s="867">
        <v>45722</v>
      </c>
      <c r="X116" s="941"/>
      <c r="Y116" s="614"/>
      <c r="Z116" s="615"/>
    </row>
    <row r="117" spans="1:42" ht="15" customHeight="1">
      <c r="B117" s="837"/>
      <c r="C117" s="609"/>
      <c r="D117" s="609"/>
      <c r="E117" s="610"/>
      <c r="F117" s="611"/>
      <c r="G117" s="612"/>
      <c r="H117" s="613"/>
      <c r="I117" s="332"/>
      <c r="J117" s="947"/>
      <c r="K117" s="947"/>
      <c r="L117" s="333"/>
      <c r="M117" s="330">
        <v>14</v>
      </c>
      <c r="N117" s="684" t="s">
        <v>382</v>
      </c>
      <c r="O117" s="609"/>
      <c r="P117" s="610"/>
      <c r="Q117" s="611"/>
      <c r="R117" s="612">
        <v>1087.98</v>
      </c>
      <c r="S117" s="813" t="s">
        <v>383</v>
      </c>
      <c r="T117" s="838">
        <v>45777</v>
      </c>
      <c r="U117" s="871">
        <v>0</v>
      </c>
      <c r="V117" s="933"/>
      <c r="W117" s="867">
        <v>45785</v>
      </c>
      <c r="X117" s="941"/>
      <c r="Y117" s="614"/>
      <c r="Z117" s="615"/>
    </row>
    <row r="118" spans="1:42" ht="15" customHeight="1" thickBot="1">
      <c r="B118" s="335">
        <v>14</v>
      </c>
      <c r="C118" s="449"/>
      <c r="D118" s="449"/>
      <c r="E118" s="450"/>
      <c r="F118" s="451"/>
      <c r="G118" s="336"/>
      <c r="H118" s="337"/>
      <c r="I118" s="338"/>
      <c r="J118" s="948"/>
      <c r="K118" s="948"/>
      <c r="L118" s="339"/>
      <c r="M118" s="335">
        <v>14</v>
      </c>
      <c r="N118" s="685" t="s">
        <v>382</v>
      </c>
      <c r="O118" s="449"/>
      <c r="P118" s="450"/>
      <c r="Q118" s="451"/>
      <c r="R118" s="336"/>
      <c r="S118" s="535"/>
      <c r="T118" s="533" t="str">
        <f t="shared" si="24"/>
        <v/>
      </c>
      <c r="U118" s="520"/>
      <c r="V118" s="934"/>
      <c r="W118" s="470"/>
      <c r="X118" s="942"/>
      <c r="Y118" s="213"/>
      <c r="Z118" s="198"/>
    </row>
    <row r="119" spans="1:42" ht="14.25" thickBot="1">
      <c r="A119" s="24"/>
      <c r="B119" s="362"/>
      <c r="C119" s="341"/>
      <c r="D119" s="341"/>
      <c r="E119" s="363"/>
      <c r="F119" s="344"/>
      <c r="G119" s="365"/>
      <c r="H119" s="345"/>
      <c r="I119" s="366"/>
      <c r="J119" s="455"/>
      <c r="K119" s="455"/>
      <c r="L119" s="24"/>
      <c r="M119" s="362"/>
      <c r="N119" s="341"/>
      <c r="O119" s="341"/>
      <c r="P119" s="363"/>
      <c r="Q119" s="344"/>
      <c r="R119" s="365"/>
      <c r="S119" s="543"/>
      <c r="T119" s="534" t="str">
        <f t="shared" si="24"/>
        <v/>
      </c>
      <c r="U119" s="510"/>
      <c r="V119" s="641"/>
      <c r="W119" s="471"/>
      <c r="X119" s="483"/>
      <c r="Y119" s="214"/>
      <c r="Z119" s="199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</row>
    <row r="120" spans="1:42" ht="13.9">
      <c r="B120" s="347">
        <v>15</v>
      </c>
      <c r="C120" s="348" t="s">
        <v>385</v>
      </c>
      <c r="D120" s="348"/>
      <c r="E120" s="349"/>
      <c r="F120" s="452"/>
      <c r="G120" s="350"/>
      <c r="H120" s="351"/>
      <c r="I120" s="352"/>
      <c r="J120" s="952">
        <f>SUM(G120:G123)</f>
        <v>0</v>
      </c>
      <c r="K120" s="952">
        <v>0</v>
      </c>
      <c r="L120" s="353"/>
      <c r="M120" s="347">
        <v>15</v>
      </c>
      <c r="N120" s="485" t="s">
        <v>386</v>
      </c>
      <c r="O120" s="348" t="s">
        <v>387</v>
      </c>
      <c r="P120" s="349"/>
      <c r="Q120" s="452"/>
      <c r="R120" s="350">
        <v>19463.419999999998</v>
      </c>
      <c r="S120" s="536" t="s">
        <v>388</v>
      </c>
      <c r="T120" s="748">
        <v>45869</v>
      </c>
      <c r="U120" s="521"/>
      <c r="V120" s="915">
        <f>K120-SUM(U120:U123)</f>
        <v>0</v>
      </c>
      <c r="W120" s="472">
        <v>46021</v>
      </c>
      <c r="X120" s="912">
        <v>0</v>
      </c>
      <c r="Y120" s="215"/>
      <c r="Z120" s="200" t="s">
        <v>492</v>
      </c>
    </row>
    <row r="121" spans="1:42" ht="13.9">
      <c r="B121" s="400">
        <v>15</v>
      </c>
      <c r="C121" s="402"/>
      <c r="D121" s="402"/>
      <c r="E121" s="403"/>
      <c r="F121" s="453"/>
      <c r="G121" s="404"/>
      <c r="H121" s="356"/>
      <c r="I121" s="357"/>
      <c r="J121" s="953"/>
      <c r="K121" s="953"/>
      <c r="L121" s="358"/>
      <c r="M121" s="400">
        <v>15</v>
      </c>
      <c r="N121" s="583" t="s">
        <v>386</v>
      </c>
      <c r="O121" s="402"/>
      <c r="P121" s="403"/>
      <c r="Q121" s="453"/>
      <c r="R121" s="404"/>
      <c r="S121" s="465"/>
      <c r="T121" s="512" t="str">
        <f t="shared" si="24"/>
        <v/>
      </c>
      <c r="U121" s="554"/>
      <c r="V121" s="916"/>
      <c r="W121" s="473"/>
      <c r="X121" s="913"/>
      <c r="Y121" s="210"/>
      <c r="Z121" s="201"/>
    </row>
    <row r="122" spans="1:42" ht="13.9">
      <c r="B122" s="400">
        <v>15</v>
      </c>
      <c r="C122" s="402"/>
      <c r="D122" s="402"/>
      <c r="E122" s="403"/>
      <c r="F122" s="453"/>
      <c r="G122" s="404"/>
      <c r="H122" s="356"/>
      <c r="I122" s="357"/>
      <c r="J122" s="953"/>
      <c r="K122" s="953"/>
      <c r="L122" s="358"/>
      <c r="M122" s="400">
        <v>15</v>
      </c>
      <c r="N122" s="583" t="s">
        <v>386</v>
      </c>
      <c r="O122" s="402"/>
      <c r="P122" s="403"/>
      <c r="Q122" s="453"/>
      <c r="R122" s="404"/>
      <c r="S122" s="465"/>
      <c r="T122" s="512" t="str">
        <f t="shared" si="24"/>
        <v/>
      </c>
      <c r="U122" s="554"/>
      <c r="V122" s="916"/>
      <c r="W122" s="473"/>
      <c r="X122" s="913"/>
      <c r="Y122" s="210"/>
      <c r="Z122" s="201"/>
    </row>
    <row r="123" spans="1:42" ht="14.25" thickBot="1">
      <c r="B123" s="406">
        <v>15</v>
      </c>
      <c r="C123" s="407"/>
      <c r="D123" s="407"/>
      <c r="E123" s="408"/>
      <c r="F123" s="454"/>
      <c r="G123" s="427"/>
      <c r="H123" s="359"/>
      <c r="I123" s="360"/>
      <c r="J123" s="954"/>
      <c r="K123" s="954"/>
      <c r="L123" s="361"/>
      <c r="M123" s="406">
        <v>15</v>
      </c>
      <c r="N123" s="665" t="s">
        <v>386</v>
      </c>
      <c r="O123" s="407"/>
      <c r="P123" s="408"/>
      <c r="Q123" s="454"/>
      <c r="R123" s="427"/>
      <c r="S123" s="549"/>
      <c r="T123" s="513" t="str">
        <f t="shared" si="24"/>
        <v/>
      </c>
      <c r="U123" s="555"/>
      <c r="V123" s="917"/>
      <c r="W123" s="474"/>
      <c r="X123" s="914"/>
      <c r="Y123" s="216"/>
      <c r="Z123" s="202"/>
    </row>
    <row r="124" spans="1:42" s="3" customFormat="1" ht="13.9">
      <c r="B124" s="109"/>
      <c r="E124" s="4"/>
      <c r="F124" s="109"/>
      <c r="G124" s="5"/>
      <c r="H124" s="5"/>
      <c r="I124" s="456"/>
      <c r="J124" s="457"/>
      <c r="K124" s="457"/>
      <c r="M124" s="109"/>
      <c r="P124" s="4"/>
      <c r="Q124" s="109"/>
      <c r="R124" s="458"/>
      <c r="S124" s="458"/>
      <c r="T124" s="458"/>
      <c r="U124" s="458"/>
      <c r="V124" s="458"/>
      <c r="W124" s="458"/>
      <c r="X124" s="458"/>
      <c r="Y124" s="458"/>
    </row>
    <row r="125" spans="1:42">
      <c r="B125" s="114"/>
      <c r="C125" s="114"/>
      <c r="D125" s="114"/>
      <c r="E125" s="168"/>
      <c r="F125" s="115"/>
      <c r="G125" s="114"/>
      <c r="H125" s="114"/>
      <c r="J125" s="114"/>
      <c r="K125" s="114"/>
      <c r="M125" s="114"/>
      <c r="N125" s="114"/>
      <c r="O125" s="114"/>
      <c r="P125" s="114"/>
      <c r="Q125" s="114"/>
      <c r="R125" s="306"/>
      <c r="S125" s="306"/>
      <c r="T125" s="306"/>
      <c r="U125" s="506">
        <f>SUM(U6:U118)</f>
        <v>1785727.7519908058</v>
      </c>
      <c r="V125" s="306"/>
      <c r="W125" s="306"/>
      <c r="X125" s="306"/>
      <c r="Y125" s="114"/>
    </row>
    <row r="126" spans="1:42">
      <c r="B126" s="114"/>
      <c r="C126" s="114"/>
      <c r="D126" s="114"/>
      <c r="E126" s="168"/>
      <c r="F126" s="115"/>
      <c r="G126" s="114"/>
      <c r="H126" s="114"/>
      <c r="J126" s="305"/>
      <c r="K126" s="305"/>
      <c r="M126" s="114"/>
      <c r="N126" s="114"/>
      <c r="O126" s="114"/>
      <c r="P126" s="168"/>
      <c r="Q126" s="115"/>
      <c r="R126" s="306"/>
      <c r="S126" s="306"/>
      <c r="T126" s="306"/>
      <c r="U126" s="306"/>
      <c r="V126" s="306"/>
      <c r="W126" s="306"/>
      <c r="X126" s="306"/>
      <c r="Y126" s="169"/>
    </row>
    <row r="127" spans="1:42">
      <c r="B127" s="114"/>
      <c r="C127" s="114"/>
      <c r="D127" s="114"/>
      <c r="E127" s="168"/>
      <c r="F127" s="115"/>
      <c r="G127" s="114"/>
      <c r="H127" s="114"/>
      <c r="J127" s="459"/>
      <c r="K127" s="459"/>
      <c r="M127" s="114"/>
      <c r="N127" s="114"/>
      <c r="O127" s="114"/>
      <c r="P127" s="168"/>
      <c r="Q127" s="115"/>
      <c r="R127" s="306"/>
      <c r="S127" s="306"/>
      <c r="T127" s="306"/>
      <c r="U127" s="306"/>
      <c r="V127" s="306"/>
      <c r="W127" s="306"/>
      <c r="X127" s="306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305"/>
      <c r="K128" s="305"/>
      <c r="M128" s="114"/>
      <c r="N128" s="114"/>
      <c r="O128" s="114"/>
      <c r="P128" s="168"/>
      <c r="Q128" s="115"/>
      <c r="R128" s="306"/>
      <c r="S128" s="306"/>
      <c r="T128" s="306"/>
      <c r="U128" s="306"/>
      <c r="V128" s="306"/>
      <c r="W128" s="306"/>
      <c r="X128" s="306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459"/>
      <c r="K129" s="459"/>
      <c r="M129" s="114"/>
      <c r="N129" s="114"/>
      <c r="O129" s="114"/>
      <c r="P129" s="168"/>
      <c r="Q129" s="115"/>
      <c r="R129" s="306"/>
      <c r="S129" s="306"/>
      <c r="T129" s="306"/>
      <c r="U129" s="306"/>
      <c r="V129" s="306"/>
      <c r="W129" s="306"/>
      <c r="X129" s="306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305"/>
      <c r="K130" s="305"/>
      <c r="M130" s="114"/>
      <c r="N130" s="114"/>
      <c r="O130" s="114"/>
      <c r="P130" s="168"/>
      <c r="Q130" s="115"/>
      <c r="R130" s="306"/>
      <c r="S130" s="306"/>
      <c r="T130" s="306"/>
      <c r="U130" s="306"/>
      <c r="V130" s="306"/>
      <c r="W130" s="306"/>
      <c r="X130" s="306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5"/>
      <c r="K131" s="305"/>
      <c r="M131" s="114"/>
      <c r="N131" s="114"/>
      <c r="O131" s="114"/>
      <c r="P131" s="168"/>
      <c r="Q131" s="115"/>
      <c r="R131" s="506"/>
      <c r="S131" s="306"/>
      <c r="T131" s="306"/>
      <c r="U131" s="306"/>
      <c r="V131" s="306"/>
      <c r="W131" s="306"/>
      <c r="X131" s="306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5"/>
      <c r="K132" s="305"/>
      <c r="M132" s="114"/>
      <c r="N132" s="114"/>
      <c r="O132" s="114"/>
      <c r="P132" s="168"/>
      <c r="Q132" s="115"/>
      <c r="R132" s="306"/>
      <c r="S132" s="306"/>
      <c r="T132" s="306"/>
      <c r="U132" s="306"/>
      <c r="V132" s="306"/>
      <c r="W132" s="306"/>
      <c r="X132" s="306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5"/>
      <c r="K133" s="305"/>
      <c r="M133" s="114"/>
      <c r="N133" s="114"/>
      <c r="O133" s="114"/>
      <c r="P133" s="168"/>
      <c r="Q133" s="115"/>
      <c r="R133" s="306"/>
      <c r="S133" s="306"/>
      <c r="T133" s="306"/>
      <c r="U133" s="306"/>
      <c r="V133" s="306"/>
      <c r="W133" s="306"/>
      <c r="X133" s="306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5"/>
      <c r="K135" s="305"/>
      <c r="M135" s="114"/>
      <c r="N135" s="114"/>
      <c r="O135" s="114"/>
      <c r="P135" s="168"/>
      <c r="Q135" s="115"/>
      <c r="R135" s="306"/>
      <c r="S135" s="306"/>
      <c r="T135" s="306"/>
      <c r="U135" s="306"/>
      <c r="V135" s="306"/>
      <c r="W135" s="306"/>
      <c r="X135" s="306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5"/>
      <c r="K137" s="305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5" s="114" customFormat="1">
      <c r="E138" s="168"/>
      <c r="F138" s="115"/>
      <c r="J138" s="305"/>
      <c r="K138" s="305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5" s="114" customFormat="1">
      <c r="E139" s="168"/>
      <c r="F139" s="115"/>
      <c r="J139" s="305"/>
      <c r="K139" s="305"/>
      <c r="P139" s="168"/>
      <c r="Q139" s="115"/>
      <c r="R139" s="306"/>
      <c r="S139" s="306"/>
      <c r="T139" s="306"/>
      <c r="U139" s="306"/>
      <c r="V139" s="306"/>
      <c r="W139" s="306"/>
      <c r="X139" s="306"/>
      <c r="Y139" s="169"/>
    </row>
    <row r="140" spans="2:25" s="114" customFormat="1">
      <c r="E140" s="168"/>
      <c r="F140" s="115"/>
      <c r="J140" s="305"/>
      <c r="K140" s="305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5" s="114" customFormat="1">
      <c r="E141" s="168"/>
      <c r="F141" s="115"/>
      <c r="J141" s="305"/>
      <c r="K141" s="305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5" s="114" customFormat="1">
      <c r="E142" s="168"/>
      <c r="F142" s="115"/>
      <c r="J142" s="305"/>
      <c r="K142" s="305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5" s="114" customFormat="1">
      <c r="E143" s="168"/>
      <c r="F143" s="115"/>
      <c r="J143" s="305"/>
      <c r="K143" s="305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5" s="114" customFormat="1">
      <c r="E144" s="168"/>
      <c r="F144" s="115"/>
      <c r="J144" s="305"/>
      <c r="K144" s="305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5:25" s="114" customFormat="1">
      <c r="E145" s="168"/>
      <c r="F145" s="115"/>
      <c r="J145" s="305"/>
      <c r="K145" s="305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5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5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5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5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5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5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5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5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5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5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5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5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5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5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5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>
      <c r="R484" s="306"/>
      <c r="S484" s="306"/>
      <c r="T484" s="306"/>
      <c r="U484" s="306"/>
      <c r="V484" s="306"/>
      <c r="W484" s="306"/>
      <c r="X484" s="306"/>
    </row>
    <row r="485" spans="5:25">
      <c r="R485" s="306"/>
      <c r="S485" s="306"/>
      <c r="T485" s="306"/>
      <c r="U485" s="306"/>
      <c r="V485" s="306"/>
      <c r="W485" s="306"/>
      <c r="X485" s="306"/>
    </row>
    <row r="486" spans="5:25">
      <c r="W486" s="306"/>
      <c r="X486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K24:K33"/>
    <mergeCell ref="K35:K40"/>
    <mergeCell ref="K42:K54"/>
    <mergeCell ref="K65:K69"/>
    <mergeCell ref="K120:K123"/>
    <mergeCell ref="K72:K79"/>
    <mergeCell ref="K81:K91"/>
    <mergeCell ref="K93:K97"/>
    <mergeCell ref="K103:K109"/>
    <mergeCell ref="K111:K118"/>
    <mergeCell ref="B2:H2"/>
    <mergeCell ref="M2:R2"/>
    <mergeCell ref="J6:J11"/>
    <mergeCell ref="J13:J16"/>
    <mergeCell ref="J18:J22"/>
    <mergeCell ref="K6:K11"/>
    <mergeCell ref="K13:K16"/>
    <mergeCell ref="K18:K22"/>
    <mergeCell ref="J24:J33"/>
    <mergeCell ref="J35:J40"/>
    <mergeCell ref="J42:J54"/>
    <mergeCell ref="J65:J69"/>
    <mergeCell ref="J72:J79"/>
    <mergeCell ref="S2:W2"/>
    <mergeCell ref="V6:V11"/>
    <mergeCell ref="V13:V16"/>
    <mergeCell ref="V18:V22"/>
    <mergeCell ref="V24:V33"/>
    <mergeCell ref="I103:I109"/>
    <mergeCell ref="J103:J109"/>
    <mergeCell ref="X103:X109"/>
    <mergeCell ref="V120:V123"/>
    <mergeCell ref="V42:V54"/>
    <mergeCell ref="V65:V69"/>
    <mergeCell ref="V72:V79"/>
    <mergeCell ref="V81:V91"/>
    <mergeCell ref="V93:V97"/>
    <mergeCell ref="V56:V63"/>
    <mergeCell ref="X120:X123"/>
    <mergeCell ref="J81:J91"/>
    <mergeCell ref="J93:J97"/>
    <mergeCell ref="J111:J118"/>
    <mergeCell ref="J120:J123"/>
    <mergeCell ref="X42:X54"/>
    <mergeCell ref="I99:I101"/>
    <mergeCell ref="J99:J101"/>
    <mergeCell ref="K99:K101"/>
    <mergeCell ref="L99:L101"/>
    <mergeCell ref="J56:J63"/>
    <mergeCell ref="K56:K63"/>
    <mergeCell ref="V111:V118"/>
    <mergeCell ref="V35:V40"/>
    <mergeCell ref="X65:X69"/>
    <mergeCell ref="X72:X79"/>
    <mergeCell ref="X81:X91"/>
    <mergeCell ref="X93:X97"/>
    <mergeCell ref="X111:X118"/>
    <mergeCell ref="X35:X40"/>
    <mergeCell ref="Y43:Y44"/>
    <mergeCell ref="Y6:Y7"/>
    <mergeCell ref="X56:X63"/>
    <mergeCell ref="V103:V109"/>
    <mergeCell ref="X99:X101"/>
    <mergeCell ref="X6:X11"/>
    <mergeCell ref="X13:X16"/>
    <mergeCell ref="X18:X22"/>
    <mergeCell ref="X24:X33"/>
    <mergeCell ref="Y83:Y90"/>
    <mergeCell ref="Y72:Y78"/>
    <mergeCell ref="Y47:Y54"/>
    <mergeCell ref="Y26:Y33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0">
    <cfRule type="cellIs" dxfId="22" priority="2" operator="notEqual">
      <formula>0</formula>
    </cfRule>
  </conditionalFormatting>
  <conditionalFormatting sqref="W7:W25 W28:W29 W31 W33:W34 W95:W102 W109:W110 W118:W123">
    <cfRule type="timePeriod" dxfId="21" priority="4" timePeriod="thisWeek">
      <formula>AND(TODAY()-ROUNDDOWN(W7,0)&lt;=WEEKDAY(TODAY())-1,ROUNDDOWN(W7,0)-TODAY()&lt;=7-WEEKDAY(TODAY()))</formula>
    </cfRule>
  </conditionalFormatting>
  <conditionalFormatting sqref="W37:W38 W40:W46 W49:W50 W52 W54:W66 W68:W71 W74:W75 W77 W79:W82 W85:W86 W88 W90:W93">
    <cfRule type="timePeriod" dxfId="20" priority="1" timePeriod="thisWeek">
      <formula>AND(TODAY()-ROUNDDOWN(W37,0)&lt;=WEEKDAY(TODAY())-1,ROUNDDOWN(W37,0)-TODAY()&lt;=7-WEEKDAY(TODAY()))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G22"/>
  <sheetViews>
    <sheetView zoomScale="55" zoomScaleNormal="55" workbookViewId="0">
      <pane xSplit="5" ySplit="15" topLeftCell="V16" activePane="bottomRight" state="frozen"/>
      <selection pane="topRight" activeCell="F1" sqref="F1"/>
      <selection pane="bottomLeft" activeCell="A22" sqref="A22"/>
      <selection pane="bottomRight" activeCell="Z1" sqref="Z1"/>
    </sheetView>
  </sheetViews>
  <sheetFormatPr defaultColWidth="9.46484375" defaultRowHeight="14.25"/>
  <cols>
    <col min="1" max="1" width="9.46484375" customWidth="1"/>
    <col min="2" max="2" width="34.53125" customWidth="1"/>
    <col min="3" max="3" width="18" customWidth="1"/>
    <col min="4" max="4" width="21.265625" customWidth="1"/>
    <col min="5" max="5" width="4.46484375" customWidth="1"/>
    <col min="6" max="6" width="16.265625" bestFit="1" customWidth="1"/>
    <col min="7" max="7" width="20.46484375" customWidth="1"/>
    <col min="8" max="75" width="15.46484375" bestFit="1" customWidth="1"/>
    <col min="76" max="76" width="9.46484375" style="240"/>
  </cols>
  <sheetData>
    <row r="1" spans="1:553">
      <c r="D1" s="236" t="s">
        <v>389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" si="27">AJ1+7</f>
        <v>45705</v>
      </c>
      <c r="AL1" s="239">
        <f t="shared" ref="AL1" si="28">AK1+7</f>
        <v>45712</v>
      </c>
      <c r="AM1" s="239">
        <f t="shared" ref="AM1" si="29">AL1+7</f>
        <v>45719</v>
      </c>
      <c r="AN1" s="239">
        <f t="shared" ref="AN1" si="30">AM1+7</f>
        <v>45726</v>
      </c>
      <c r="AO1" s="239">
        <f t="shared" ref="AO1" si="31">AN1+7</f>
        <v>45733</v>
      </c>
      <c r="AP1" s="239">
        <f t="shared" ref="AP1" si="32">AO1+7</f>
        <v>45740</v>
      </c>
      <c r="AQ1" s="239">
        <f t="shared" ref="AQ1" si="33">AP1+7</f>
        <v>45747</v>
      </c>
      <c r="AR1" s="239">
        <f t="shared" ref="AR1" si="34">AQ1+7</f>
        <v>45754</v>
      </c>
      <c r="AS1" s="239">
        <f t="shared" ref="AS1" si="35">AR1+7</f>
        <v>45761</v>
      </c>
      <c r="AT1" s="239">
        <f t="shared" ref="AT1" si="36">AS1+7</f>
        <v>45768</v>
      </c>
      <c r="AU1" s="239">
        <f t="shared" ref="AU1" si="37">AT1+7</f>
        <v>45775</v>
      </c>
      <c r="AV1" s="239">
        <f t="shared" ref="AV1" si="38">AU1+7</f>
        <v>45782</v>
      </c>
      <c r="AW1" s="239">
        <f t="shared" ref="AW1" si="39">AV1+7</f>
        <v>45789</v>
      </c>
      <c r="AX1" s="239">
        <f t="shared" ref="AX1" si="40">AW1+7</f>
        <v>45796</v>
      </c>
      <c r="AY1" s="239">
        <f t="shared" ref="AY1" si="41">AX1+7</f>
        <v>45803</v>
      </c>
      <c r="AZ1" s="239">
        <f t="shared" ref="AZ1" si="42">AY1+7</f>
        <v>45810</v>
      </c>
      <c r="BA1" s="239">
        <f t="shared" ref="BA1" si="43">AZ1+7</f>
        <v>45817</v>
      </c>
      <c r="BB1" s="239">
        <f t="shared" ref="BB1" si="44">BA1+7</f>
        <v>45824</v>
      </c>
      <c r="BC1" s="239">
        <f t="shared" ref="BC1" si="45">BB1+7</f>
        <v>45831</v>
      </c>
      <c r="BD1" s="239">
        <f t="shared" ref="BD1" si="46">BC1+7</f>
        <v>45838</v>
      </c>
      <c r="BE1" s="239">
        <f t="shared" ref="BE1" si="47">BD1+7</f>
        <v>45845</v>
      </c>
      <c r="BF1" s="239">
        <f t="shared" ref="BF1" si="48">BE1+7</f>
        <v>45852</v>
      </c>
      <c r="BG1" s="239">
        <f t="shared" ref="BG1" si="49">BF1+7</f>
        <v>45859</v>
      </c>
      <c r="BH1" s="239">
        <f t="shared" ref="BH1" si="50">BG1+7</f>
        <v>45866</v>
      </c>
      <c r="BI1" s="239">
        <f t="shared" ref="BI1" si="51">BH1+7</f>
        <v>45873</v>
      </c>
      <c r="BJ1" s="239">
        <f t="shared" ref="BJ1" si="52">BI1+7</f>
        <v>45880</v>
      </c>
      <c r="BK1" s="239">
        <f t="shared" ref="BK1" si="53">BJ1+7</f>
        <v>45887</v>
      </c>
      <c r="BL1" s="239">
        <f t="shared" ref="BL1" si="54">BK1+7</f>
        <v>45894</v>
      </c>
      <c r="BM1" s="239">
        <f t="shared" ref="BM1" si="55">BL1+7</f>
        <v>45901</v>
      </c>
      <c r="BN1" s="239">
        <f t="shared" ref="BN1" si="56">BM1+7</f>
        <v>45908</v>
      </c>
      <c r="BO1" s="239">
        <f t="shared" ref="BO1" si="57">BN1+7</f>
        <v>45915</v>
      </c>
      <c r="BP1" s="239">
        <f t="shared" ref="BP1" si="58">BO1+7</f>
        <v>45922</v>
      </c>
      <c r="BQ1" s="239">
        <f t="shared" ref="BQ1" si="59">BP1+7</f>
        <v>45929</v>
      </c>
      <c r="BR1" s="239">
        <f t="shared" ref="BR1" si="60">BQ1+7</f>
        <v>45936</v>
      </c>
      <c r="BS1" s="239">
        <f t="shared" ref="BS1" si="61">BR1+7</f>
        <v>45943</v>
      </c>
      <c r="BT1" s="239">
        <f t="shared" ref="BT1" si="62">BS1+7</f>
        <v>45950</v>
      </c>
      <c r="BU1" s="239">
        <f t="shared" ref="BU1" si="63">BT1+7</f>
        <v>45957</v>
      </c>
      <c r="BV1" s="239">
        <f t="shared" ref="BV1" si="64">BU1+7</f>
        <v>45964</v>
      </c>
      <c r="BW1" s="239">
        <f t="shared" ref="BW1" si="65">BV1+7</f>
        <v>45971</v>
      </c>
    </row>
    <row r="2" spans="1:553" s="240" customFormat="1">
      <c r="A2" s="991" t="s">
        <v>74</v>
      </c>
      <c r="B2" s="241"/>
      <c r="C2" s="242" t="s">
        <v>229</v>
      </c>
      <c r="D2" s="242" t="s">
        <v>229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</row>
    <row r="3" spans="1:553">
      <c r="A3" s="992"/>
      <c r="B3" s="244" t="s">
        <v>81</v>
      </c>
      <c r="C3" s="245">
        <f>'Revenue Tracking'!D4</f>
        <v>1735813.3392688499</v>
      </c>
      <c r="D3" s="245">
        <f>SUM(F3:BM3)</f>
        <v>1735813.3392688499</v>
      </c>
      <c r="E3" s="246"/>
      <c r="F3" s="247">
        <f>SUMIFS('Revenue Tracking'!$F$13:$F$19, 'Revenue Tracking'!$H$13:$H$19, "&gt;="&amp;F1,'Revenue Tracking'!$H$13:$H$19, "&lt;"&amp;G1)</f>
        <v>607534.66874409746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433953.33481721248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433953.33481721248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173581.33392688501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86790.666963442505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</row>
    <row r="4" spans="1:553">
      <c r="A4" s="992"/>
      <c r="B4" s="244" t="s">
        <v>390</v>
      </c>
      <c r="C4" s="245"/>
      <c r="D4" s="245"/>
      <c r="E4" s="246"/>
      <c r="F4" s="247">
        <f>F3</f>
        <v>607534.66874409746</v>
      </c>
      <c r="G4" s="247">
        <f>F4+G3</f>
        <v>607534.66874409746</v>
      </c>
      <c r="H4" s="247">
        <f>G4+H3</f>
        <v>607534.66874409746</v>
      </c>
      <c r="I4" s="247">
        <f t="shared" ref="I4:J4" si="66">H4+I3</f>
        <v>607534.66874409746</v>
      </c>
      <c r="J4" s="247">
        <f t="shared" si="66"/>
        <v>607534.66874409746</v>
      </c>
      <c r="K4" s="247">
        <f t="shared" ref="K4" si="67">J4+K3</f>
        <v>607534.66874409746</v>
      </c>
      <c r="L4" s="247">
        <f t="shared" ref="L4" si="68">K4+L3</f>
        <v>607534.66874409746</v>
      </c>
      <c r="M4" s="247">
        <f t="shared" ref="M4" si="69">L4+M3</f>
        <v>607534.66874409746</v>
      </c>
      <c r="N4" s="247">
        <f t="shared" ref="N4" si="70">M4+N3</f>
        <v>607534.66874409746</v>
      </c>
      <c r="O4" s="247">
        <f t="shared" ref="O4" si="71">N4+O3</f>
        <v>607534.66874409746</v>
      </c>
      <c r="P4" s="247">
        <f t="shared" ref="P4" si="72">O4+P3</f>
        <v>607534.66874409746</v>
      </c>
      <c r="Q4" s="247">
        <f t="shared" ref="Q4" si="73">P4+Q3</f>
        <v>1041488.00356131</v>
      </c>
      <c r="R4" s="247">
        <f t="shared" ref="R4" si="74">Q4+R3</f>
        <v>1041488.00356131</v>
      </c>
      <c r="S4" s="247">
        <f t="shared" ref="S4" si="75">R4+S3</f>
        <v>1041488.00356131</v>
      </c>
      <c r="T4" s="247">
        <f t="shared" ref="T4" si="76">S4+T3</f>
        <v>1041488.00356131</v>
      </c>
      <c r="U4" s="247">
        <f t="shared" ref="U4" si="77">T4+U3</f>
        <v>1475441.3383785225</v>
      </c>
      <c r="V4" s="247">
        <f t="shared" ref="V4" si="78">U4+V3</f>
        <v>1475441.3383785225</v>
      </c>
      <c r="W4" s="247">
        <f t="shared" ref="W4" si="79">V4+W3</f>
        <v>1475441.3383785225</v>
      </c>
      <c r="X4" s="247">
        <f t="shared" ref="X4" si="80">W4+X3</f>
        <v>1475441.3383785225</v>
      </c>
      <c r="Y4" s="247">
        <f t="shared" ref="Y4" si="81">X4+Y3</f>
        <v>1649022.6723054075</v>
      </c>
      <c r="Z4" s="247">
        <f t="shared" ref="Z4" si="82">Y4+Z3</f>
        <v>1649022.6723054075</v>
      </c>
      <c r="AA4" s="247">
        <f t="shared" ref="AA4" si="83">Z4+AA3</f>
        <v>1649022.6723054075</v>
      </c>
      <c r="AB4" s="247">
        <f t="shared" ref="AB4" si="84">AA4+AB3</f>
        <v>1649022.6723054075</v>
      </c>
      <c r="AC4" s="247">
        <f t="shared" ref="AC4" si="85">AB4+AC3</f>
        <v>1735813.3392688499</v>
      </c>
      <c r="AD4" s="247">
        <f t="shared" ref="AD4" si="86">AC4+AD3</f>
        <v>1735813.3392688499</v>
      </c>
      <c r="AE4" s="247">
        <f t="shared" ref="AE4" si="87">AD4+AE3</f>
        <v>1735813.3392688499</v>
      </c>
      <c r="AF4" s="247">
        <f t="shared" ref="AF4" si="88">AE4+AF3</f>
        <v>1735813.3392688499</v>
      </c>
      <c r="AG4" s="247">
        <f t="shared" ref="AG4" si="89">AF4+AG3</f>
        <v>1735813.3392688499</v>
      </c>
      <c r="AH4" s="247">
        <f t="shared" ref="AH4" si="90">AG4+AH3</f>
        <v>1735813.3392688499</v>
      </c>
      <c r="AI4" s="247">
        <f t="shared" ref="AI4" si="91">AH4+AI3</f>
        <v>1735813.3392688499</v>
      </c>
      <c r="AJ4" s="247">
        <f t="shared" ref="AJ4" si="92">AI4+AJ3</f>
        <v>1735813.3392688499</v>
      </c>
      <c r="AK4" s="247">
        <f t="shared" ref="AK4" si="93">AJ4+AK3</f>
        <v>1735813.3392688499</v>
      </c>
      <c r="AL4" s="247">
        <f t="shared" ref="AL4" si="94">AK4+AL3</f>
        <v>1735813.3392688499</v>
      </c>
      <c r="AM4" s="247">
        <f t="shared" ref="AM4" si="95">AL4+AM3</f>
        <v>1735813.3392688499</v>
      </c>
      <c r="AN4" s="247">
        <f t="shared" ref="AN4" si="96">AM4+AN3</f>
        <v>1735813.3392688499</v>
      </c>
      <c r="AO4" s="247">
        <f t="shared" ref="AO4" si="97">AN4+AO3</f>
        <v>1735813.3392688499</v>
      </c>
      <c r="AP4" s="247">
        <f t="shared" ref="AP4" si="98">AO4+AP3</f>
        <v>1735813.3392688499</v>
      </c>
      <c r="AQ4" s="247">
        <f t="shared" ref="AQ4" si="99">AP4+AQ3</f>
        <v>1735813.3392688499</v>
      </c>
      <c r="AR4" s="247">
        <f t="shared" ref="AR4" si="100">AQ4+AR3</f>
        <v>1735813.3392688499</v>
      </c>
      <c r="AS4" s="247">
        <f t="shared" ref="AS4" si="101">AR4+AS3</f>
        <v>1735813.3392688499</v>
      </c>
      <c r="AT4" s="247">
        <f t="shared" ref="AT4" si="102">AS4+AT3</f>
        <v>1735813.3392688499</v>
      </c>
      <c r="AU4" s="247">
        <f t="shared" ref="AU4" si="103">AT4+AU3</f>
        <v>1735813.3392688499</v>
      </c>
      <c r="AV4" s="247">
        <f t="shared" ref="AV4" si="104">AU4+AV3</f>
        <v>1735813.3392688499</v>
      </c>
      <c r="AW4" s="247">
        <f t="shared" ref="AW4" si="105">AV4+AW3</f>
        <v>1735813.3392688499</v>
      </c>
      <c r="AX4" s="247">
        <f t="shared" ref="AX4" si="106">AW4+AX3</f>
        <v>1735813.3392688499</v>
      </c>
      <c r="AY4" s="247">
        <f t="shared" ref="AY4" si="107">AX4+AY3</f>
        <v>1735813.3392688499</v>
      </c>
      <c r="AZ4" s="247">
        <f t="shared" ref="AZ4" si="108">AY4+AZ3</f>
        <v>1735813.3392688499</v>
      </c>
      <c r="BA4" s="247">
        <f t="shared" ref="BA4" si="109">AZ4+BA3</f>
        <v>1735813.3392688499</v>
      </c>
      <c r="BB4" s="247">
        <f t="shared" ref="BB4" si="110">BA4+BB3</f>
        <v>1735813.3392688499</v>
      </c>
      <c r="BC4" s="247">
        <f t="shared" ref="BC4" si="111">BB4+BC3</f>
        <v>1735813.3392688499</v>
      </c>
      <c r="BD4" s="247">
        <f t="shared" ref="BD4" si="112">BC4+BD3</f>
        <v>1735813.3392688499</v>
      </c>
      <c r="BE4" s="247">
        <f t="shared" ref="BE4" si="113">BD4+BE3</f>
        <v>1735813.3392688499</v>
      </c>
      <c r="BF4" s="247">
        <f t="shared" ref="BF4" si="114">BE4+BF3</f>
        <v>1735813.3392688499</v>
      </c>
      <c r="BG4" s="247">
        <f t="shared" ref="BG4" si="115">BF4+BG3</f>
        <v>1735813.3392688499</v>
      </c>
      <c r="BH4" s="247">
        <f t="shared" ref="BH4" si="116">BG4+BH3</f>
        <v>1735813.3392688499</v>
      </c>
      <c r="BI4" s="247">
        <f t="shared" ref="BI4" si="117">BH4+BI3</f>
        <v>1735813.3392688499</v>
      </c>
      <c r="BJ4" s="247">
        <f t="shared" ref="BJ4" si="118">BI4+BJ3</f>
        <v>1735813.3392688499</v>
      </c>
      <c r="BK4" s="247">
        <f t="shared" ref="BK4" si="119">BJ4+BK3</f>
        <v>1735813.3392688499</v>
      </c>
      <c r="BL4" s="247">
        <f t="shared" ref="BL4" si="120">BK4+BL3</f>
        <v>1735813.3392688499</v>
      </c>
      <c r="BM4" s="247">
        <f t="shared" ref="BM4" si="121">BL4+BM3</f>
        <v>1735813.3392688499</v>
      </c>
      <c r="BN4" s="247">
        <f t="shared" ref="BN4" si="122">BM4+BN3</f>
        <v>1735813.3392688499</v>
      </c>
      <c r="BO4" s="247">
        <f t="shared" ref="BO4" si="123">BN4+BO3</f>
        <v>1735813.3392688499</v>
      </c>
      <c r="BP4" s="247">
        <f t="shared" ref="BP4" si="124">BO4+BP3</f>
        <v>1735813.3392688499</v>
      </c>
      <c r="BQ4" s="247">
        <f t="shared" ref="BQ4" si="125">BP4+BQ3</f>
        <v>1735813.3392688499</v>
      </c>
      <c r="BR4" s="247">
        <f t="shared" ref="BR4" si="126">BQ4+BR3</f>
        <v>1735813.3392688499</v>
      </c>
      <c r="BS4" s="247">
        <f t="shared" ref="BS4" si="127">BR4+BS3</f>
        <v>1735813.3392688499</v>
      </c>
      <c r="BT4" s="247">
        <f t="shared" ref="BT4" si="128">BS4+BT3</f>
        <v>1735813.3392688499</v>
      </c>
      <c r="BU4" s="247">
        <f t="shared" ref="BU4" si="129">BT4+BU3</f>
        <v>1735813.3392688499</v>
      </c>
      <c r="BV4" s="247">
        <f t="shared" ref="BV4" si="130">BU4+BV3</f>
        <v>1735813.3392688499</v>
      </c>
      <c r="BW4" s="247">
        <f t="shared" ref="BW4" si="131">BV4+BW3</f>
        <v>1735813.3392688499</v>
      </c>
    </row>
    <row r="5" spans="1:553" s="252" customFormat="1">
      <c r="A5" s="992"/>
      <c r="B5" s="248" t="s">
        <v>84</v>
      </c>
      <c r="C5" s="249">
        <f>'Revenue Tracking'!D5</f>
        <v>1461076.77</v>
      </c>
      <c r="D5" s="249">
        <f>SUM(F5:BM5)</f>
        <v>1461076.77</v>
      </c>
      <c r="E5" s="246"/>
      <c r="F5" s="250">
        <f>SUMIFS('Expenditure Breakdown'!$G$6:$G$123, 'Expenditure Breakdown'!$H$6:$H$123, "&gt;="&amp;F1,'Expenditure Breakdown'!$H$6:$H$123, "&lt;"&amp;G1)</f>
        <v>0</v>
      </c>
      <c r="G5" s="250">
        <f>SUMIFS('Expenditure Breakdown'!$G$6:$G$123, 'Expenditure Breakdown'!$H$6:$H$123, "&gt;="&amp;G1,'Expenditure Breakdown'!$H$6:$H$123, "&lt;"&amp;H1)</f>
        <v>0</v>
      </c>
      <c r="H5" s="250">
        <f>SUMIFS('Expenditure Breakdown'!$G$6:$G$123, 'Expenditure Breakdown'!$H$6:$H$123, "&gt;="&amp;H1,'Expenditure Breakdown'!$H$6:$H$123, "&lt;"&amp;I1)</f>
        <v>0</v>
      </c>
      <c r="I5" s="250">
        <f>SUMIFS('Expenditure Breakdown'!$G$6:$G$123, 'Expenditure Breakdown'!$H$6:$H$123, "&gt;="&amp;I1,'Expenditure Breakdown'!$H$6:$H$123, "&lt;"&amp;J1)</f>
        <v>0</v>
      </c>
      <c r="J5" s="250">
        <f>SUMIFS('Expenditure Breakdown'!$G$6:$G$123, 'Expenditure Breakdown'!$H$6:$H$123, "&gt;="&amp;J1,'Expenditure Breakdown'!$H$6:$H$123, "&lt;"&amp;K1)</f>
        <v>0</v>
      </c>
      <c r="K5" s="250">
        <f>SUMIFS('Expenditure Breakdown'!$G$6:$G$123, 'Expenditure Breakdown'!$H$6:$H$123, "&gt;="&amp;K1,'Expenditure Breakdown'!$H$6:$H$123, "&lt;"&amp;L1)</f>
        <v>0</v>
      </c>
      <c r="L5" s="250">
        <f>SUMIFS('Expenditure Breakdown'!$G$6:$G$123, 'Expenditure Breakdown'!$H$6:$H$123, "&gt;="&amp;L1,'Expenditure Breakdown'!$H$6:$H$123, "&lt;"&amp;M1)</f>
        <v>0</v>
      </c>
      <c r="M5" s="250">
        <f>SUMIFS('Expenditure Breakdown'!$G$6:$G$123, 'Expenditure Breakdown'!$H$6:$H$123, "&gt;="&amp;M1,'Expenditure Breakdown'!$H$6:$H$123, "&lt;"&amp;N1)</f>
        <v>0</v>
      </c>
      <c r="N5" s="250">
        <f>SUMIFS('Expenditure Breakdown'!$G$6:$G$123, 'Expenditure Breakdown'!$H$6:$H$123, "&gt;="&amp;N1,'Expenditure Breakdown'!$H$6:$H$123, "&lt;"&amp;O1)</f>
        <v>0</v>
      </c>
      <c r="O5" s="250">
        <f>SUMIFS('Expenditure Breakdown'!$G$6:$G$123, 'Expenditure Breakdown'!$H$6:$H$123, "&gt;="&amp;O1,'Expenditure Breakdown'!$H$6:$H$123, "&lt;"&amp;P1)</f>
        <v>12350</v>
      </c>
      <c r="P5" s="250">
        <f>SUMIFS('Expenditure Breakdown'!$G$6:$G$123, 'Expenditure Breakdown'!$H$6:$H$123, "&gt;="&amp;P1,'Expenditure Breakdown'!$H$6:$H$123, "&lt;"&amp;Q1)</f>
        <v>75153.206999999995</v>
      </c>
      <c r="Q5" s="250">
        <f>SUMIFS('Expenditure Breakdown'!$G$6:$G$123, 'Expenditure Breakdown'!$H$6:$H$123, "&gt;="&amp;Q1,'Expenditure Breakdown'!$H$6:$H$123, "&lt;"&amp;R1)</f>
        <v>0</v>
      </c>
      <c r="R5" s="250">
        <f>SUMIFS('Expenditure Breakdown'!$G$6:$G$123, 'Expenditure Breakdown'!$H$6:$H$123, "&gt;="&amp;R1,'Expenditure Breakdown'!$H$6:$H$123, "&lt;"&amp;S1)</f>
        <v>0</v>
      </c>
      <c r="S5" s="250">
        <f>SUMIFS('Expenditure Breakdown'!$G$6:$G$123, 'Expenditure Breakdown'!$H$6:$H$123, "&gt;="&amp;S1,'Expenditure Breakdown'!$H$6:$H$123, "&lt;"&amp;T1)</f>
        <v>0</v>
      </c>
      <c r="T5" s="250">
        <f>SUMIFS('Expenditure Breakdown'!$G$6:$G$123, 'Expenditure Breakdown'!$H$6:$H$123, "&gt;="&amp;T1,'Expenditure Breakdown'!$H$6:$H$123, "&lt;"&amp;U1)</f>
        <v>310807.5</v>
      </c>
      <c r="U5" s="250">
        <f>SUMIFS('Expenditure Breakdown'!$G$6:$G$123, 'Expenditure Breakdown'!$H$6:$H$123, "&gt;="&amp;U1,'Expenditure Breakdown'!$H$6:$H$123, "&lt;"&amp;V1)</f>
        <v>0</v>
      </c>
      <c r="V5" s="250">
        <f>SUMIFS('Expenditure Breakdown'!$G$6:$G$123, 'Expenditure Breakdown'!$H$6:$H$123, "&gt;="&amp;V1,'Expenditure Breakdown'!$H$6:$H$123, "&lt;"&amp;W1)</f>
        <v>37520</v>
      </c>
      <c r="W5" s="250">
        <f>SUMIFS('Expenditure Breakdown'!$G$6:$G$123, 'Expenditure Breakdown'!$H$6:$H$123, "&gt;="&amp;W1,'Expenditure Breakdown'!$H$6:$H$123, "&lt;"&amp;X1)</f>
        <v>0</v>
      </c>
      <c r="X5" s="250">
        <f>SUMIFS('Expenditure Breakdown'!$G$6:$G$123, 'Expenditure Breakdown'!$H$6:$H$123, "&gt;="&amp;X1,'Expenditure Breakdown'!$H$6:$H$123, "&lt;"&amp;Y1)</f>
        <v>211659.62100000001</v>
      </c>
      <c r="Y5" s="250">
        <f>SUMIFS('Expenditure Breakdown'!$G$6:$G$123, 'Expenditure Breakdown'!$H$6:$H$123, "&gt;="&amp;Y1,'Expenditure Breakdown'!$H$6:$H$123, "&lt;"&amp;Z1)</f>
        <v>80696.438000000009</v>
      </c>
      <c r="Z5" s="250">
        <f>SUMIFS('Expenditure Breakdown'!$G$6:$G$123, 'Expenditure Breakdown'!$H$6:$H$123, "&gt;="&amp;Z1,'Expenditure Breakdown'!$H$6:$H$123, "&lt;"&amp;AA1)</f>
        <v>15000</v>
      </c>
      <c r="AA5" s="250">
        <f>SUMIFS('Expenditure Breakdown'!$G$6:$G$123, 'Expenditure Breakdown'!$H$6:$H$123, "&gt;="&amp;AA1,'Expenditure Breakdown'!$H$6:$H$123, "&lt;"&amp;AB1)</f>
        <v>38102.138000000006</v>
      </c>
      <c r="AB5" s="250">
        <f>SUMIFS('Expenditure Breakdown'!$G$6:$G$123, 'Expenditure Breakdown'!$H$6:$H$123, "&gt;="&amp;AB1,'Expenditure Breakdown'!$H$6:$H$123, "&lt;"&amp;AC1)</f>
        <v>554440.47699999996</v>
      </c>
      <c r="AC5" s="250">
        <f>SUMIFS('Expenditure Breakdown'!$G$6:$G$123, 'Expenditure Breakdown'!$H$6:$H$123, "&gt;="&amp;AC1,'Expenditure Breakdown'!$H$6:$H$123, "&lt;"&amp;AD1)</f>
        <v>0</v>
      </c>
      <c r="AD5" s="250">
        <f>SUMIFS('Expenditure Breakdown'!$G$6:$G$123, 'Expenditure Breakdown'!$H$6:$H$123, "&gt;="&amp;AD1,'Expenditure Breakdown'!$H$6:$H$123, "&lt;"&amp;AE1)</f>
        <v>106296.32000000001</v>
      </c>
      <c r="AE5" s="250">
        <f>SUMIFS('Expenditure Breakdown'!$G$6:$G$123, 'Expenditure Breakdown'!$H$6:$H$123, "&gt;="&amp;AE1,'Expenditure Breakdown'!$H$6:$H$123, "&lt;"&amp;AF1)</f>
        <v>0</v>
      </c>
      <c r="AF5" s="250">
        <f>SUMIFS('Expenditure Breakdown'!$G$6:$G$123, 'Expenditure Breakdown'!$H$6:$H$123, "&gt;="&amp;AF1,'Expenditure Breakdown'!$H$6:$H$123, "&lt;"&amp;AG1)</f>
        <v>19051.069000000003</v>
      </c>
      <c r="AG5" s="250">
        <f>SUMIFS('Expenditure Breakdown'!$G$6:$G$123, 'Expenditure Breakdown'!$H$6:$H$123, "&gt;="&amp;AG1,'Expenditure Breakdown'!$H$6:$H$123, "&lt;"&amp;AH1)</f>
        <v>0</v>
      </c>
      <c r="AH5" s="250">
        <f>SUMIFS('Expenditure Breakdown'!$G$6:$G$123, 'Expenditure Breakdown'!$H$6:$H$123, "&gt;="&amp;AH1,'Expenditure Breakdown'!$H$6:$H$123, "&lt;"&amp;AI1)</f>
        <v>0</v>
      </c>
      <c r="AI5" s="250">
        <f>SUMIFS('Expenditure Breakdown'!$G$6:$G$123, 'Expenditure Breakdown'!$H$6:$H$123, "&gt;="&amp;AI1,'Expenditure Breakdown'!$H$6:$H$123, "&lt;"&amp;AJ1)</f>
        <v>0</v>
      </c>
      <c r="AJ5" s="250">
        <f>SUMIFS('Expenditure Breakdown'!$G$6:$G$123, 'Expenditure Breakdown'!$H$6:$H$123, "&gt;="&amp;AJ1,'Expenditure Breakdown'!$H$6:$H$123, "&lt;"&amp;AK1)</f>
        <v>0</v>
      </c>
      <c r="AK5" s="250">
        <f>SUMIFS('Expenditure Breakdown'!$G$6:$G$123, 'Expenditure Breakdown'!$H$6:$H$123, "&gt;="&amp;AK1,'Expenditure Breakdown'!$H$6:$H$123, "&lt;"&amp;AL1)</f>
        <v>0</v>
      </c>
      <c r="AL5" s="250">
        <f>SUMIFS('Expenditure Breakdown'!$G$6:$G$123, 'Expenditure Breakdown'!$H$6:$H$123, "&gt;="&amp;AL1,'Expenditure Breakdown'!$H$6:$H$123, "&lt;"&amp;AM1)</f>
        <v>0</v>
      </c>
      <c r="AM5" s="250">
        <f>SUMIFS('Expenditure Breakdown'!$G$6:$G$123, 'Expenditure Breakdown'!$H$6:$H$123, "&gt;="&amp;AM1,'Expenditure Breakdown'!$H$6:$H$123, "&lt;"&amp;AN1)</f>
        <v>0</v>
      </c>
      <c r="AN5" s="250">
        <f>SUMIFS('Expenditure Breakdown'!$G$6:$G$123, 'Expenditure Breakdown'!$H$6:$H$123, "&gt;="&amp;AN1,'Expenditure Breakdown'!$H$6:$H$123, "&lt;"&amp;AO1)</f>
        <v>0</v>
      </c>
      <c r="AO5" s="250">
        <f>SUMIFS('Expenditure Breakdown'!$G$6:$G$123, 'Expenditure Breakdown'!$H$6:$H$123, "&gt;="&amp;AO1,'Expenditure Breakdown'!$H$6:$H$123, "&lt;"&amp;AP1)</f>
        <v>0</v>
      </c>
      <c r="AP5" s="250">
        <f>SUMIFS('Expenditure Breakdown'!$G$6:$G$123, 'Expenditure Breakdown'!$H$6:$H$123, "&gt;="&amp;AP1,'Expenditure Breakdown'!$H$6:$H$123, "&lt;"&amp;AQ1)</f>
        <v>0</v>
      </c>
      <c r="AQ5" s="250">
        <f>SUMIFS('Expenditure Breakdown'!$G$6:$G$123, 'Expenditure Breakdown'!$H$6:$H$123, "&gt;="&amp;AQ1,'Expenditure Breakdown'!$H$6:$H$123, "&lt;"&amp;AR1)</f>
        <v>0</v>
      </c>
      <c r="AR5" s="250">
        <f>SUMIFS('Expenditure Breakdown'!$G$6:$G$123, 'Expenditure Breakdown'!$H$6:$H$123, "&gt;="&amp;AR1,'Expenditure Breakdown'!$H$6:$H$123, "&lt;"&amp;AS1)</f>
        <v>0</v>
      </c>
      <c r="AS5" s="250">
        <f>SUMIFS('Expenditure Breakdown'!$G$6:$G$123, 'Expenditure Breakdown'!$H$6:$H$123, "&gt;="&amp;AS1,'Expenditure Breakdown'!$H$6:$H$123, "&lt;"&amp;AT1)</f>
        <v>0</v>
      </c>
      <c r="AT5" s="250">
        <f>SUMIFS('Expenditure Breakdown'!$G$6:$G$123, 'Expenditure Breakdown'!$H$6:$H$123, "&gt;="&amp;AT1,'Expenditure Breakdown'!$H$6:$H$123, "&lt;"&amp;AU1)</f>
        <v>0</v>
      </c>
      <c r="AU5" s="250">
        <f>SUMIFS('Expenditure Breakdown'!$G$6:$G$123, 'Expenditure Breakdown'!$H$6:$H$123, "&gt;="&amp;AU1,'Expenditure Breakdown'!$H$6:$H$123, "&lt;"&amp;AV1)</f>
        <v>0</v>
      </c>
      <c r="AV5" s="250">
        <f>SUMIFS('Expenditure Breakdown'!$G$6:$G$123, 'Expenditure Breakdown'!$H$6:$H$123, "&gt;="&amp;AV1,'Expenditure Breakdown'!$H$6:$H$123, "&lt;"&amp;AW1)</f>
        <v>0</v>
      </c>
      <c r="AW5" s="250">
        <f>SUMIFS('Expenditure Breakdown'!$G$6:$G$123, 'Expenditure Breakdown'!$H$6:$H$123, "&gt;="&amp;AW1,'Expenditure Breakdown'!$H$6:$H$123, "&lt;"&amp;AX1)</f>
        <v>0</v>
      </c>
      <c r="AX5" s="250">
        <f>SUMIFS('Expenditure Breakdown'!$G$6:$G$123, 'Expenditure Breakdown'!$H$6:$H$123, "&gt;="&amp;AX1,'Expenditure Breakdown'!$H$6:$H$123, "&lt;"&amp;AY1)</f>
        <v>0</v>
      </c>
      <c r="AY5" s="250">
        <f>SUMIFS('Expenditure Breakdown'!$G$6:$G$123, 'Expenditure Breakdown'!$H$6:$H$123, "&gt;="&amp;AY1,'Expenditure Breakdown'!$H$6:$H$123, "&lt;"&amp;AZ1)</f>
        <v>0</v>
      </c>
      <c r="AZ5" s="250">
        <f>SUMIFS('Expenditure Breakdown'!$G$6:$G$123, 'Expenditure Breakdown'!$H$6:$H$123, "&gt;="&amp;AZ1,'Expenditure Breakdown'!$H$6:$H$123, "&lt;"&amp;BA1)</f>
        <v>0</v>
      </c>
      <c r="BA5" s="250">
        <f>SUMIFS('Expenditure Breakdown'!$G$6:$G$123, 'Expenditure Breakdown'!$H$6:$H$123, "&gt;="&amp;BA1,'Expenditure Breakdown'!$H$6:$H$123, "&lt;"&amp;BB1)</f>
        <v>0</v>
      </c>
      <c r="BB5" s="250">
        <f>SUMIFS('Expenditure Breakdown'!$G$6:$G$123, 'Expenditure Breakdown'!$H$6:$H$123, "&gt;="&amp;BB1,'Expenditure Breakdown'!$H$6:$H$123, "&lt;"&amp;BC1)</f>
        <v>0</v>
      </c>
      <c r="BC5" s="250">
        <f>SUMIFS('Expenditure Breakdown'!$G$6:$G$123, 'Expenditure Breakdown'!$H$6:$H$123, "&gt;="&amp;BC1,'Expenditure Breakdown'!$H$6:$H$123, "&lt;"&amp;BD1)</f>
        <v>0</v>
      </c>
      <c r="BD5" s="250">
        <f>SUMIFS('Expenditure Breakdown'!$G$6:$G$123, 'Expenditure Breakdown'!$H$6:$H$123, "&gt;="&amp;BD1,'Expenditure Breakdown'!$H$6:$H$123, "&lt;"&amp;BE1)</f>
        <v>0</v>
      </c>
      <c r="BE5" s="250">
        <f>SUMIFS('Expenditure Breakdown'!$G$6:$G$123, 'Expenditure Breakdown'!$H$6:$H$123, "&gt;="&amp;BE1,'Expenditure Breakdown'!$H$6:$H$123, "&lt;"&amp;BF1)</f>
        <v>0</v>
      </c>
      <c r="BF5" s="250">
        <f>SUMIFS('Expenditure Breakdown'!$G$6:$G$123, 'Expenditure Breakdown'!$H$6:$H$123, "&gt;="&amp;BF1,'Expenditure Breakdown'!$H$6:$H$123, "&lt;"&amp;BG1)</f>
        <v>0</v>
      </c>
      <c r="BG5" s="250">
        <f>SUMIFS('Expenditure Breakdown'!$G$6:$G$123, 'Expenditure Breakdown'!$H$6:$H$123, "&gt;="&amp;BG1,'Expenditure Breakdown'!$H$6:$H$123, "&lt;"&amp;BH1)</f>
        <v>0</v>
      </c>
      <c r="BH5" s="250">
        <f>SUMIFS('Expenditure Breakdown'!$G$6:$G$123, 'Expenditure Breakdown'!$H$6:$H$123, "&gt;="&amp;BH1,'Expenditure Breakdown'!$H$6:$H$123, "&lt;"&amp;BI1)</f>
        <v>0</v>
      </c>
      <c r="BI5" s="250">
        <f>SUMIFS('Expenditure Breakdown'!$G$6:$G$123, 'Expenditure Breakdown'!$H$6:$H$123, "&gt;="&amp;BI1,'Expenditure Breakdown'!$H$6:$H$123, "&lt;"&amp;BJ1)</f>
        <v>0</v>
      </c>
      <c r="BJ5" s="250">
        <f>SUMIFS('Expenditure Breakdown'!$G$6:$G$123, 'Expenditure Breakdown'!$H$6:$H$123, "&gt;="&amp;BJ1,'Expenditure Breakdown'!$H$6:$H$123, "&lt;"&amp;BK1)</f>
        <v>0</v>
      </c>
      <c r="BK5" s="250">
        <f>SUMIFS('Expenditure Breakdown'!$G$6:$G$123, 'Expenditure Breakdown'!$H$6:$H$123, "&gt;="&amp;BK1,'Expenditure Breakdown'!$H$6:$H$123, "&lt;"&amp;BL1)</f>
        <v>0</v>
      </c>
      <c r="BL5" s="250">
        <f>SUMIFS('Expenditure Breakdown'!$G$6:$G$123, 'Expenditure Breakdown'!$H$6:$H$123, "&gt;="&amp;BL1,'Expenditure Breakdown'!$H$6:$H$123, "&lt;"&amp;BM1)</f>
        <v>0</v>
      </c>
      <c r="BM5" s="250">
        <f>SUMIFS('Expenditure Breakdown'!$G$6:$G$123, 'Expenditure Breakdown'!$H$6:$H$123, "&gt;="&amp;BM1,'Expenditure Breakdown'!$H$6:$H$123, "&lt;"&amp;BN1)</f>
        <v>0</v>
      </c>
      <c r="BN5" s="250">
        <f>SUMIFS('Expenditure Breakdown'!$G$6:$G$123, 'Expenditure Breakdown'!$H$6:$H$123, "&gt;="&amp;BN1,'Expenditure Breakdown'!$H$6:$H$123, "&lt;"&amp;BO1)</f>
        <v>0</v>
      </c>
      <c r="BO5" s="250">
        <f>SUMIFS('Expenditure Breakdown'!$G$6:$G$123, 'Expenditure Breakdown'!$H$6:$H$123, "&gt;="&amp;BO1,'Expenditure Breakdown'!$H$6:$H$123, "&lt;"&amp;BP1)</f>
        <v>0</v>
      </c>
      <c r="BP5" s="250">
        <f>SUMIFS('Expenditure Breakdown'!$G$6:$G$123, 'Expenditure Breakdown'!$H$6:$H$123, "&gt;="&amp;BP1,'Expenditure Breakdown'!$H$6:$H$123, "&lt;"&amp;BQ1)</f>
        <v>0</v>
      </c>
      <c r="BQ5" s="250">
        <f>SUMIFS('Expenditure Breakdown'!$G$6:$G$123, 'Expenditure Breakdown'!$H$6:$H$123, "&gt;="&amp;BQ1,'Expenditure Breakdown'!$H$6:$H$123, "&lt;"&amp;BR1)</f>
        <v>0</v>
      </c>
      <c r="BR5" s="250">
        <f>SUMIFS('Expenditure Breakdown'!$G$6:$G$123, 'Expenditure Breakdown'!$H$6:$H$123, "&gt;="&amp;BR1,'Expenditure Breakdown'!$H$6:$H$123, "&lt;"&amp;BS1)</f>
        <v>0</v>
      </c>
      <c r="BS5" s="250">
        <f>SUMIFS('Expenditure Breakdown'!$G$6:$G$123, 'Expenditure Breakdown'!$H$6:$H$123, "&gt;="&amp;BS1,'Expenditure Breakdown'!$H$6:$H$123, "&lt;"&amp;BT1)</f>
        <v>0</v>
      </c>
      <c r="BT5" s="250">
        <f>SUMIFS('Expenditure Breakdown'!$G$6:$G$123, 'Expenditure Breakdown'!$H$6:$H$123, "&gt;="&amp;BT1,'Expenditure Breakdown'!$H$6:$H$123, "&lt;"&amp;BU1)</f>
        <v>0</v>
      </c>
      <c r="BU5" s="250">
        <f>SUMIFS('Expenditure Breakdown'!$G$6:$G$123, 'Expenditure Breakdown'!$H$6:$H$123, "&gt;="&amp;BU1,'Expenditure Breakdown'!$H$6:$H$123, "&lt;"&amp;BV1)</f>
        <v>0</v>
      </c>
      <c r="BV5" s="250">
        <f>SUMIFS('Expenditure Breakdown'!$G$6:$G$123, 'Expenditure Breakdown'!$H$6:$H$123, "&gt;="&amp;BV1,'Expenditure Breakdown'!$H$6:$H$123, "&lt;"&amp;BW1)</f>
        <v>0</v>
      </c>
      <c r="BW5" s="250">
        <f>SUMIFS('Expenditure Breakdown'!$G$6:$G$123, 'Expenditure Breakdown'!$H$6:$H$123, "&gt;="&amp;BW1,'Expenditure Breakdown'!$H$6:$H$123, "&lt;"&amp;BX1)</f>
        <v>0</v>
      </c>
      <c r="BX5" s="240"/>
      <c r="BY5" s="251"/>
      <c r="BZ5" s="251"/>
    </row>
    <row r="6" spans="1:553" s="252" customFormat="1">
      <c r="A6" s="992"/>
      <c r="B6" s="248" t="s">
        <v>391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132">H6+I5</f>
        <v>0</v>
      </c>
      <c r="J6" s="250">
        <f t="shared" si="132"/>
        <v>0</v>
      </c>
      <c r="K6" s="250">
        <f t="shared" ref="K6" si="133">J6+K5</f>
        <v>0</v>
      </c>
      <c r="L6" s="250">
        <f t="shared" ref="L6" si="134">K6+L5</f>
        <v>0</v>
      </c>
      <c r="M6" s="250">
        <f t="shared" ref="M6" si="135">L6+M5</f>
        <v>0</v>
      </c>
      <c r="N6" s="250">
        <f t="shared" ref="N6" si="136">M6+N5</f>
        <v>0</v>
      </c>
      <c r="O6" s="250">
        <f t="shared" ref="O6" si="137">N6+O5</f>
        <v>12350</v>
      </c>
      <c r="P6" s="250">
        <f t="shared" ref="P6" si="138">O6+P5</f>
        <v>87503.206999999995</v>
      </c>
      <c r="Q6" s="250">
        <f t="shared" ref="Q6" si="139">P6+Q5</f>
        <v>87503.206999999995</v>
      </c>
      <c r="R6" s="250">
        <f t="shared" ref="R6" si="140">Q6+R5</f>
        <v>87503.206999999995</v>
      </c>
      <c r="S6" s="250">
        <f t="shared" ref="S6" si="141">R6+S5</f>
        <v>87503.206999999995</v>
      </c>
      <c r="T6" s="250">
        <f t="shared" ref="T6" si="142">S6+T5</f>
        <v>398310.70699999999</v>
      </c>
      <c r="U6" s="250">
        <f t="shared" ref="U6" si="143">T6+U5</f>
        <v>398310.70699999999</v>
      </c>
      <c r="V6" s="250">
        <f t="shared" ref="V6" si="144">U6+V5</f>
        <v>435830.70699999999</v>
      </c>
      <c r="W6" s="250">
        <f t="shared" ref="W6" si="145">V6+W5</f>
        <v>435830.70699999999</v>
      </c>
      <c r="X6" s="250">
        <f t="shared" ref="X6" si="146">W6+X5</f>
        <v>647490.32799999998</v>
      </c>
      <c r="Y6" s="250">
        <f t="shared" ref="Y6" si="147">X6+Y5</f>
        <v>728186.76599999995</v>
      </c>
      <c r="Z6" s="250">
        <f t="shared" ref="Z6" si="148">Y6+Z5</f>
        <v>743186.76599999995</v>
      </c>
      <c r="AA6" s="250">
        <f t="shared" ref="AA6" si="149">Z6+AA5</f>
        <v>781288.90399999998</v>
      </c>
      <c r="AB6" s="250">
        <f t="shared" ref="AB6" si="150">AA6+AB5</f>
        <v>1335729.3810000001</v>
      </c>
      <c r="AC6" s="250">
        <f t="shared" ref="AC6" si="151">AB6+AC5</f>
        <v>1335729.3810000001</v>
      </c>
      <c r="AD6" s="250">
        <f t="shared" ref="AD6" si="152">AC6+AD5</f>
        <v>1442025.7010000001</v>
      </c>
      <c r="AE6" s="250">
        <f t="shared" ref="AE6" si="153">AD6+AE5</f>
        <v>1442025.7010000001</v>
      </c>
      <c r="AF6" s="250">
        <f t="shared" ref="AF6" si="154">AE6+AF5</f>
        <v>1461076.77</v>
      </c>
      <c r="AG6" s="250">
        <f t="shared" ref="AG6" si="155">AF6+AG5</f>
        <v>1461076.77</v>
      </c>
      <c r="AH6" s="250">
        <f t="shared" ref="AH6" si="156">AG6+AH5</f>
        <v>1461076.77</v>
      </c>
      <c r="AI6" s="250">
        <f t="shared" ref="AI6" si="157">AH6+AI5</f>
        <v>1461076.77</v>
      </c>
      <c r="AJ6" s="250">
        <f t="shared" ref="AJ6" si="158">AI6+AJ5</f>
        <v>1461076.77</v>
      </c>
      <c r="AK6" s="250">
        <f t="shared" ref="AK6" si="159">AJ6+AK5</f>
        <v>1461076.77</v>
      </c>
      <c r="AL6" s="250">
        <f t="shared" ref="AL6" si="160">AK6+AL5</f>
        <v>1461076.77</v>
      </c>
      <c r="AM6" s="250">
        <f t="shared" ref="AM6" si="161">AL6+AM5</f>
        <v>1461076.77</v>
      </c>
      <c r="AN6" s="250">
        <f t="shared" ref="AN6" si="162">AM6+AN5</f>
        <v>1461076.77</v>
      </c>
      <c r="AO6" s="250">
        <f t="shared" ref="AO6" si="163">AN6+AO5</f>
        <v>1461076.77</v>
      </c>
      <c r="AP6" s="250">
        <f t="shared" ref="AP6" si="164">AO6+AP5</f>
        <v>1461076.77</v>
      </c>
      <c r="AQ6" s="250">
        <f t="shared" ref="AQ6" si="165">AP6+AQ5</f>
        <v>1461076.77</v>
      </c>
      <c r="AR6" s="250">
        <f t="shared" ref="AR6" si="166">AQ6+AR5</f>
        <v>1461076.77</v>
      </c>
      <c r="AS6" s="250">
        <f t="shared" ref="AS6" si="167">AR6+AS5</f>
        <v>1461076.77</v>
      </c>
      <c r="AT6" s="250">
        <f t="shared" ref="AT6" si="168">AS6+AT5</f>
        <v>1461076.77</v>
      </c>
      <c r="AU6" s="250">
        <f t="shared" ref="AU6" si="169">AT6+AU5</f>
        <v>1461076.77</v>
      </c>
      <c r="AV6" s="250">
        <f t="shared" ref="AV6" si="170">AU6+AV5</f>
        <v>1461076.77</v>
      </c>
      <c r="AW6" s="250">
        <f t="shared" ref="AW6" si="171">AV6+AW5</f>
        <v>1461076.77</v>
      </c>
      <c r="AX6" s="250">
        <f t="shared" ref="AX6" si="172">AW6+AX5</f>
        <v>1461076.77</v>
      </c>
      <c r="AY6" s="250">
        <f t="shared" ref="AY6" si="173">AX6+AY5</f>
        <v>1461076.77</v>
      </c>
      <c r="AZ6" s="250">
        <f t="shared" ref="AZ6" si="174">AY6+AZ5</f>
        <v>1461076.77</v>
      </c>
      <c r="BA6" s="250">
        <f t="shared" ref="BA6" si="175">AZ6+BA5</f>
        <v>1461076.77</v>
      </c>
      <c r="BB6" s="250">
        <f t="shared" ref="BB6" si="176">BA6+BB5</f>
        <v>1461076.77</v>
      </c>
      <c r="BC6" s="250">
        <f t="shared" ref="BC6" si="177">BB6+BC5</f>
        <v>1461076.77</v>
      </c>
      <c r="BD6" s="250">
        <f t="shared" ref="BD6" si="178">BC6+BD5</f>
        <v>1461076.77</v>
      </c>
      <c r="BE6" s="250">
        <f t="shared" ref="BE6" si="179">BD6+BE5</f>
        <v>1461076.77</v>
      </c>
      <c r="BF6" s="250">
        <f t="shared" ref="BF6" si="180">BE6+BF5</f>
        <v>1461076.77</v>
      </c>
      <c r="BG6" s="250">
        <f t="shared" ref="BG6" si="181">BF6+BG5</f>
        <v>1461076.77</v>
      </c>
      <c r="BH6" s="250">
        <f t="shared" ref="BH6" si="182">BG6+BH5</f>
        <v>1461076.77</v>
      </c>
      <c r="BI6" s="250">
        <f t="shared" ref="BI6" si="183">BH6+BI5</f>
        <v>1461076.77</v>
      </c>
      <c r="BJ6" s="250">
        <f t="shared" ref="BJ6" si="184">BI6+BJ5</f>
        <v>1461076.77</v>
      </c>
      <c r="BK6" s="250">
        <f t="shared" ref="BK6" si="185">BJ6+BK5</f>
        <v>1461076.77</v>
      </c>
      <c r="BL6" s="250">
        <f t="shared" ref="BL6" si="186">BK6+BL5</f>
        <v>1461076.77</v>
      </c>
      <c r="BM6" s="250">
        <f t="shared" ref="BM6" si="187">BL6+BM5</f>
        <v>1461076.77</v>
      </c>
      <c r="BN6" s="250">
        <f t="shared" ref="BN6" si="188">BM6+BN5</f>
        <v>1461076.77</v>
      </c>
      <c r="BO6" s="250">
        <f t="shared" ref="BO6" si="189">BN6+BO5</f>
        <v>1461076.77</v>
      </c>
      <c r="BP6" s="250">
        <f t="shared" ref="BP6" si="190">BO6+BP5</f>
        <v>1461076.77</v>
      </c>
      <c r="BQ6" s="250">
        <f t="shared" ref="BQ6" si="191">BP6+BQ5</f>
        <v>1461076.77</v>
      </c>
      <c r="BR6" s="250">
        <f t="shared" ref="BR6" si="192">BQ6+BR5</f>
        <v>1461076.77</v>
      </c>
      <c r="BS6" s="250">
        <f t="shared" ref="BS6" si="193">BR6+BS5</f>
        <v>1461076.77</v>
      </c>
      <c r="BT6" s="250">
        <f t="shared" ref="BT6" si="194">BS6+BT5</f>
        <v>1461076.77</v>
      </c>
      <c r="BU6" s="250">
        <f t="shared" ref="BU6" si="195">BT6+BU5</f>
        <v>1461076.77</v>
      </c>
      <c r="BV6" s="250">
        <f t="shared" ref="BV6" si="196">BU6+BV5</f>
        <v>1461076.77</v>
      </c>
      <c r="BW6" s="250">
        <f t="shared" ref="BW6" si="197">BV6+BW5</f>
        <v>1461076.77</v>
      </c>
      <c r="BX6" s="240"/>
      <c r="BY6" s="251"/>
    </row>
    <row r="7" spans="1:553">
      <c r="A7" s="992"/>
      <c r="B7" s="253" t="s">
        <v>392</v>
      </c>
      <c r="C7" s="254"/>
      <c r="D7" s="254"/>
      <c r="E7" s="255"/>
      <c r="F7" s="256">
        <f t="shared" ref="F7:H7" si="198">F4-F6</f>
        <v>607534.66874409746</v>
      </c>
      <c r="G7" s="256">
        <f t="shared" si="198"/>
        <v>607534.66874409746</v>
      </c>
      <c r="H7" s="256">
        <f t="shared" si="198"/>
        <v>607534.66874409746</v>
      </c>
      <c r="I7" s="256">
        <f t="shared" ref="I7:J7" si="199">I4-I6</f>
        <v>607534.66874409746</v>
      </c>
      <c r="J7" s="256">
        <f t="shared" si="199"/>
        <v>607534.66874409746</v>
      </c>
      <c r="K7" s="256">
        <f t="shared" ref="K7:Z7" si="200">K4-K6</f>
        <v>607534.66874409746</v>
      </c>
      <c r="L7" s="256">
        <f t="shared" si="200"/>
        <v>607534.66874409746</v>
      </c>
      <c r="M7" s="256">
        <f t="shared" si="200"/>
        <v>607534.66874409746</v>
      </c>
      <c r="N7" s="256">
        <f t="shared" si="200"/>
        <v>607534.66874409746</v>
      </c>
      <c r="O7" s="256">
        <f t="shared" si="200"/>
        <v>595184.66874409746</v>
      </c>
      <c r="P7" s="256">
        <f t="shared" si="200"/>
        <v>520031.46174409747</v>
      </c>
      <c r="Q7" s="256">
        <f t="shared" si="200"/>
        <v>953984.79656131007</v>
      </c>
      <c r="R7" s="256">
        <f t="shared" si="200"/>
        <v>953984.79656131007</v>
      </c>
      <c r="S7" s="256">
        <f t="shared" si="200"/>
        <v>953984.79656131007</v>
      </c>
      <c r="T7" s="256">
        <f t="shared" si="200"/>
        <v>643177.29656131007</v>
      </c>
      <c r="U7" s="256">
        <f t="shared" si="200"/>
        <v>1077130.6313785226</v>
      </c>
      <c r="V7" s="256">
        <f t="shared" si="200"/>
        <v>1039610.6313785226</v>
      </c>
      <c r="W7" s="256">
        <f t="shared" si="200"/>
        <v>1039610.6313785226</v>
      </c>
      <c r="X7" s="256">
        <f t="shared" si="200"/>
        <v>827951.01037852257</v>
      </c>
      <c r="Y7" s="256">
        <f t="shared" si="200"/>
        <v>920835.90630540752</v>
      </c>
      <c r="Z7" s="256">
        <f t="shared" si="200"/>
        <v>905835.90630540752</v>
      </c>
      <c r="AA7" s="256">
        <f t="shared" ref="AA7:BW7" si="201">AA4-AA6</f>
        <v>867733.76830540749</v>
      </c>
      <c r="AB7" s="256">
        <f t="shared" si="201"/>
        <v>313293.29130540742</v>
      </c>
      <c r="AC7" s="256">
        <f t="shared" si="201"/>
        <v>400083.95826884988</v>
      </c>
      <c r="AD7" s="256">
        <f t="shared" si="201"/>
        <v>293787.63826884981</v>
      </c>
      <c r="AE7" s="256">
        <f t="shared" si="201"/>
        <v>293787.63826884981</v>
      </c>
      <c r="AF7" s="256">
        <f t="shared" si="201"/>
        <v>274736.56926884991</v>
      </c>
      <c r="AG7" s="256">
        <f t="shared" si="201"/>
        <v>274736.56926884991</v>
      </c>
      <c r="AH7" s="256">
        <f t="shared" si="201"/>
        <v>274736.56926884991</v>
      </c>
      <c r="AI7" s="256">
        <f t="shared" si="201"/>
        <v>274736.56926884991</v>
      </c>
      <c r="AJ7" s="256">
        <f t="shared" si="201"/>
        <v>274736.56926884991</v>
      </c>
      <c r="AK7" s="256">
        <f t="shared" si="201"/>
        <v>274736.56926884991</v>
      </c>
      <c r="AL7" s="256">
        <f t="shared" si="201"/>
        <v>274736.56926884991</v>
      </c>
      <c r="AM7" s="256">
        <f t="shared" si="201"/>
        <v>274736.56926884991</v>
      </c>
      <c r="AN7" s="256">
        <f t="shared" si="201"/>
        <v>274736.56926884991</v>
      </c>
      <c r="AO7" s="256">
        <f t="shared" si="201"/>
        <v>274736.56926884991</v>
      </c>
      <c r="AP7" s="256">
        <f t="shared" si="201"/>
        <v>274736.56926884991</v>
      </c>
      <c r="AQ7" s="256">
        <f t="shared" si="201"/>
        <v>274736.56926884991</v>
      </c>
      <c r="AR7" s="256">
        <f t="shared" si="201"/>
        <v>274736.56926884991</v>
      </c>
      <c r="AS7" s="256">
        <f t="shared" si="201"/>
        <v>274736.56926884991</v>
      </c>
      <c r="AT7" s="256">
        <f t="shared" si="201"/>
        <v>274736.56926884991</v>
      </c>
      <c r="AU7" s="256">
        <f t="shared" si="201"/>
        <v>274736.56926884991</v>
      </c>
      <c r="AV7" s="256">
        <f t="shared" si="201"/>
        <v>274736.56926884991</v>
      </c>
      <c r="AW7" s="256">
        <f t="shared" si="201"/>
        <v>274736.56926884991</v>
      </c>
      <c r="AX7" s="256">
        <f t="shared" si="201"/>
        <v>274736.56926884991</v>
      </c>
      <c r="AY7" s="256">
        <f t="shared" si="201"/>
        <v>274736.56926884991</v>
      </c>
      <c r="AZ7" s="256">
        <f t="shared" si="201"/>
        <v>274736.56926884991</v>
      </c>
      <c r="BA7" s="256">
        <f t="shared" si="201"/>
        <v>274736.56926884991</v>
      </c>
      <c r="BB7" s="256">
        <f t="shared" si="201"/>
        <v>274736.56926884991</v>
      </c>
      <c r="BC7" s="256">
        <f t="shared" si="201"/>
        <v>274736.56926884991</v>
      </c>
      <c r="BD7" s="256">
        <f t="shared" si="201"/>
        <v>274736.56926884991</v>
      </c>
      <c r="BE7" s="256">
        <f t="shared" si="201"/>
        <v>274736.56926884991</v>
      </c>
      <c r="BF7" s="256">
        <f t="shared" si="201"/>
        <v>274736.56926884991</v>
      </c>
      <c r="BG7" s="256">
        <f t="shared" si="201"/>
        <v>274736.56926884991</v>
      </c>
      <c r="BH7" s="256">
        <f t="shared" si="201"/>
        <v>274736.56926884991</v>
      </c>
      <c r="BI7" s="256">
        <f t="shared" si="201"/>
        <v>274736.56926884991</v>
      </c>
      <c r="BJ7" s="256">
        <f t="shared" si="201"/>
        <v>274736.56926884991</v>
      </c>
      <c r="BK7" s="256">
        <f t="shared" si="201"/>
        <v>274736.56926884991</v>
      </c>
      <c r="BL7" s="256">
        <f t="shared" si="201"/>
        <v>274736.56926884991</v>
      </c>
      <c r="BM7" s="256">
        <f t="shared" si="201"/>
        <v>274736.56926884991</v>
      </c>
      <c r="BN7" s="256">
        <f t="shared" si="201"/>
        <v>274736.56926884991</v>
      </c>
      <c r="BO7" s="256">
        <f t="shared" si="201"/>
        <v>274736.56926884991</v>
      </c>
      <c r="BP7" s="256">
        <f t="shared" si="201"/>
        <v>274736.56926884991</v>
      </c>
      <c r="BQ7" s="256">
        <f t="shared" si="201"/>
        <v>274736.56926884991</v>
      </c>
      <c r="BR7" s="256">
        <f t="shared" si="201"/>
        <v>274736.56926884991</v>
      </c>
      <c r="BS7" s="256">
        <f t="shared" si="201"/>
        <v>274736.56926884991</v>
      </c>
      <c r="BT7" s="256">
        <f t="shared" si="201"/>
        <v>274736.56926884991</v>
      </c>
      <c r="BU7" s="256">
        <f t="shared" si="201"/>
        <v>274736.56926884991</v>
      </c>
      <c r="BV7" s="256">
        <f t="shared" si="201"/>
        <v>274736.56926884991</v>
      </c>
      <c r="BW7" s="256">
        <f t="shared" si="201"/>
        <v>274736.56926884991</v>
      </c>
    </row>
    <row r="8" spans="1:553" s="240" customFormat="1">
      <c r="A8" s="991" t="s">
        <v>75</v>
      </c>
      <c r="B8" s="241"/>
      <c r="C8" s="242" t="s">
        <v>229</v>
      </c>
      <c r="D8" s="242" t="s">
        <v>229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</row>
    <row r="9" spans="1:553">
      <c r="A9" s="992"/>
      <c r="B9" s="258" t="s">
        <v>393</v>
      </c>
      <c r="C9" s="259">
        <f>'Revenue Tracking'!F4</f>
        <v>1776820.4492688498</v>
      </c>
      <c r="D9" s="259">
        <f>SUM(F9:BW9)</f>
        <v>1785727.7592688501</v>
      </c>
      <c r="E9" s="246"/>
      <c r="F9" s="260">
        <f>SUMIFS('Revenue Tracking'!$F$13:$F$19, 'Revenue Tracking'!$P$13:$P$19, "&gt;="&amp;F1,'Revenue Tracking'!$P$13:$P$19, "&lt;"&amp;G1)</f>
        <v>607534.66874409746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433953.33481721248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433953.33481721248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223495.75392688502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86790.666963442505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</row>
    <row r="10" spans="1:553">
      <c r="A10" s="992"/>
      <c r="B10" s="258" t="s">
        <v>394</v>
      </c>
      <c r="C10" s="259"/>
      <c r="D10" s="259"/>
      <c r="E10" s="246"/>
      <c r="F10" s="260">
        <f>F9</f>
        <v>607534.66874409746</v>
      </c>
      <c r="G10" s="260">
        <f>F10+G9</f>
        <v>607534.66874409746</v>
      </c>
      <c r="H10" s="260">
        <f>G10+H9</f>
        <v>607534.66874409746</v>
      </c>
      <c r="I10" s="260">
        <f t="shared" ref="I10:J10" si="202">H10+I9</f>
        <v>607534.66874409746</v>
      </c>
      <c r="J10" s="260">
        <f t="shared" si="202"/>
        <v>607534.66874409746</v>
      </c>
      <c r="K10" s="260">
        <f t="shared" ref="K10" si="203">J10+K9</f>
        <v>607534.66874409746</v>
      </c>
      <c r="L10" s="260">
        <f t="shared" ref="L10" si="204">K10+L9</f>
        <v>607534.66874409746</v>
      </c>
      <c r="M10" s="260">
        <f t="shared" ref="M10" si="205">L10+M9</f>
        <v>607534.66874409746</v>
      </c>
      <c r="N10" s="260">
        <f t="shared" ref="N10" si="206">M10+N9</f>
        <v>607534.66874409746</v>
      </c>
      <c r="O10" s="260">
        <f t="shared" ref="O10" si="207">N10+O9</f>
        <v>607534.66874409746</v>
      </c>
      <c r="P10" s="260">
        <f t="shared" ref="P10" si="208">O10+P9</f>
        <v>607534.66874409746</v>
      </c>
      <c r="Q10" s="260">
        <f t="shared" ref="Q10" si="209">P10+Q9</f>
        <v>607534.66874409746</v>
      </c>
      <c r="R10" s="260">
        <f t="shared" ref="R10" si="210">Q10+R9</f>
        <v>1041488.00356131</v>
      </c>
      <c r="S10" s="260">
        <f t="shared" ref="S10" si="211">R10+S9</f>
        <v>1041488.00356131</v>
      </c>
      <c r="T10" s="260">
        <f t="shared" ref="T10" si="212">S10+T9</f>
        <v>1041488.00356131</v>
      </c>
      <c r="U10" s="260">
        <f t="shared" ref="U10" si="213">T10+U9</f>
        <v>1041488.00356131</v>
      </c>
      <c r="V10" s="260">
        <f t="shared" ref="V10" si="214">U10+V9</f>
        <v>1475441.3383785225</v>
      </c>
      <c r="W10" s="260">
        <f t="shared" ref="W10" si="215">V10+W9</f>
        <v>1475441.3383785225</v>
      </c>
      <c r="X10" s="260">
        <f t="shared" ref="X10" si="216">W10+X9</f>
        <v>1475441.3383785225</v>
      </c>
      <c r="Y10" s="260">
        <f t="shared" ref="Y10" si="217">X10+Y9</f>
        <v>1475441.3383785225</v>
      </c>
      <c r="Z10" s="260">
        <f t="shared" ref="Z10" si="218">Y10+Z9</f>
        <v>1475441.3383785225</v>
      </c>
      <c r="AA10" s="260">
        <f t="shared" ref="AA10" si="219">Z10+AA9</f>
        <v>1475441.3383785225</v>
      </c>
      <c r="AB10" s="260">
        <f t="shared" ref="AB10" si="220">AA10+AB9</f>
        <v>1475441.3383785225</v>
      </c>
      <c r="AC10" s="260">
        <f t="shared" ref="AC10" si="221">AB10+AC9</f>
        <v>1475441.3383785225</v>
      </c>
      <c r="AD10" s="260">
        <f t="shared" ref="AD10" si="222">AC10+AD9</f>
        <v>1475441.3383785225</v>
      </c>
      <c r="AE10" s="260">
        <f t="shared" ref="AE10" si="223">AD10+AE9</f>
        <v>1475441.3383785225</v>
      </c>
      <c r="AF10" s="260">
        <f t="shared" ref="AF10" si="224">AE10+AF9</f>
        <v>1475441.3383785225</v>
      </c>
      <c r="AG10" s="260">
        <f t="shared" ref="AG10" si="225">AF10+AG9</f>
        <v>1475441.3383785225</v>
      </c>
      <c r="AH10" s="260">
        <f t="shared" ref="AH10" si="226">AG10+AH9</f>
        <v>1698937.0923054076</v>
      </c>
      <c r="AI10" s="260">
        <f t="shared" ref="AI10" si="227">AH10+AI9</f>
        <v>1698937.0923054076</v>
      </c>
      <c r="AJ10" s="260">
        <f t="shared" ref="AJ10" si="228">AI10+AJ9</f>
        <v>1698937.0923054076</v>
      </c>
      <c r="AK10" s="260">
        <f t="shared" ref="AK10" si="229">AJ10+AK9</f>
        <v>1698937.0923054076</v>
      </c>
      <c r="AL10" s="260">
        <f t="shared" ref="AL10" si="230">AK10+AL9</f>
        <v>1698937.0923054076</v>
      </c>
      <c r="AM10" s="260">
        <f t="shared" ref="AM10" si="231">AL10+AM9</f>
        <v>1698937.0923054076</v>
      </c>
      <c r="AN10" s="260">
        <f t="shared" ref="AN10" si="232">AM10+AN9</f>
        <v>1698937.0923054076</v>
      </c>
      <c r="AO10" s="260">
        <f t="shared" ref="AO10" si="233">AN10+AO9</f>
        <v>1698937.0923054076</v>
      </c>
      <c r="AP10" s="260">
        <f t="shared" ref="AP10" si="234">AO10+AP9</f>
        <v>1698937.0923054076</v>
      </c>
      <c r="AQ10" s="260">
        <f t="shared" ref="AQ10" si="235">AP10+AQ9</f>
        <v>1698937.0923054076</v>
      </c>
      <c r="AR10" s="260">
        <f t="shared" ref="AR10" si="236">AQ10+AR9</f>
        <v>1698937.0923054076</v>
      </c>
      <c r="AS10" s="260">
        <f t="shared" ref="AS10" si="237">AR10+AS9</f>
        <v>1698937.0923054076</v>
      </c>
      <c r="AT10" s="260">
        <f t="shared" ref="AT10" si="238">AS10+AT9</f>
        <v>1698937.0923054076</v>
      </c>
      <c r="AU10" s="260">
        <f t="shared" ref="AU10" si="239">AT10+AU9</f>
        <v>1698937.0923054076</v>
      </c>
      <c r="AV10" s="260">
        <f t="shared" ref="AV10" si="240">AU10+AV9</f>
        <v>1698937.0923054076</v>
      </c>
      <c r="AW10" s="260">
        <f t="shared" ref="AW10" si="241">AV10+AW9</f>
        <v>1698937.0923054076</v>
      </c>
      <c r="AX10" s="260">
        <f t="shared" ref="AX10" si="242">AW10+AX9</f>
        <v>1698937.0923054076</v>
      </c>
      <c r="AY10" s="260">
        <f t="shared" ref="AY10" si="243">AX10+AY9</f>
        <v>1698937.0923054076</v>
      </c>
      <c r="AZ10" s="260">
        <f t="shared" ref="AZ10" si="244">AY10+AZ9</f>
        <v>1698937.0923054076</v>
      </c>
      <c r="BA10" s="260">
        <f t="shared" ref="BA10" si="245">AZ10+BA9</f>
        <v>1698937.0923054076</v>
      </c>
      <c r="BB10" s="260">
        <f t="shared" ref="BB10" si="246">BA10+BB9</f>
        <v>1698937.0923054076</v>
      </c>
      <c r="BC10" s="260">
        <f t="shared" ref="BC10" si="247">BB10+BC9</f>
        <v>1698937.0923054076</v>
      </c>
      <c r="BD10" s="260">
        <f t="shared" ref="BD10" si="248">BC10+BD9</f>
        <v>1698937.0923054076</v>
      </c>
      <c r="BE10" s="260">
        <f t="shared" ref="BE10" si="249">BD10+BE9</f>
        <v>1698937.0923054076</v>
      </c>
      <c r="BF10" s="260">
        <f t="shared" ref="BF10" si="250">BE10+BF9</f>
        <v>1698937.0923054076</v>
      </c>
      <c r="BG10" s="260">
        <f t="shared" ref="BG10" si="251">BF10+BG9</f>
        <v>1698937.0923054076</v>
      </c>
      <c r="BH10" s="260">
        <f t="shared" ref="BH10" si="252">BG10+BH9</f>
        <v>1698937.0923054076</v>
      </c>
      <c r="BI10" s="260">
        <f t="shared" ref="BI10" si="253">BH10+BI9</f>
        <v>1698937.0923054076</v>
      </c>
      <c r="BJ10" s="260">
        <f t="shared" ref="BJ10" si="254">BI10+BJ9</f>
        <v>1698937.0923054076</v>
      </c>
      <c r="BK10" s="260">
        <f t="shared" ref="BK10" si="255">BJ10+BK9</f>
        <v>1698937.0923054076</v>
      </c>
      <c r="BL10" s="260">
        <f t="shared" ref="BL10" si="256">BK10+BL9</f>
        <v>1698937.0923054076</v>
      </c>
      <c r="BM10" s="260">
        <f t="shared" ref="BM10" si="257">BL10+BM9</f>
        <v>1698937.0923054076</v>
      </c>
      <c r="BN10" s="260">
        <f t="shared" ref="BN10" si="258">BM10+BN9</f>
        <v>1698937.0923054076</v>
      </c>
      <c r="BO10" s="260">
        <f t="shared" ref="BO10" si="259">BN10+BO9</f>
        <v>1698937.0923054076</v>
      </c>
      <c r="BP10" s="260">
        <f t="shared" ref="BP10" si="260">BO10+BP9</f>
        <v>1698937.0923054076</v>
      </c>
      <c r="BQ10" s="260">
        <f t="shared" ref="BQ10" si="261">BP10+BQ9</f>
        <v>1698937.0923054076</v>
      </c>
      <c r="BR10" s="260">
        <f t="shared" ref="BR10" si="262">BQ10+BR9</f>
        <v>1698937.0923054076</v>
      </c>
      <c r="BS10" s="260">
        <f t="shared" ref="BS10" si="263">BR10+BS9</f>
        <v>1785727.7592688501</v>
      </c>
      <c r="BT10" s="260">
        <f t="shared" ref="BT10" si="264">BS10+BT9</f>
        <v>1785727.7592688501</v>
      </c>
      <c r="BU10" s="260">
        <f t="shared" ref="BU10" si="265">BT10+BU9</f>
        <v>1785727.7592688501</v>
      </c>
      <c r="BV10" s="260">
        <f t="shared" ref="BV10" si="266">BU10+BV9</f>
        <v>1785727.7592688501</v>
      </c>
      <c r="BW10" s="260">
        <f t="shared" ref="BW10" si="267">BV10+BW9</f>
        <v>1785727.7592688501</v>
      </c>
    </row>
    <row r="11" spans="1:553" s="252" customFormat="1">
      <c r="A11" s="992"/>
      <c r="B11" s="261" t="s">
        <v>395</v>
      </c>
      <c r="C11" s="262">
        <f>'Revenue Tracking'!F5</f>
        <v>1332390.7399999998</v>
      </c>
      <c r="D11" s="262">
        <f>SUM(F11:BW11)</f>
        <v>1332390.7400000005</v>
      </c>
      <c r="E11" s="246"/>
      <c r="F11" s="263">
        <f>SUMIFS('Expenditure Breakdown'!$R$6:$R$123, 'Expenditure Breakdown'!$W$6:$W$123, "&gt;="&amp;F1,'Expenditure Breakdown'!$W$6:$W$123, "&lt;"&amp;G1)</f>
        <v>0</v>
      </c>
      <c r="G11" s="263">
        <f>SUMIFS('Expenditure Breakdown'!$R$6:$R$123, 'Expenditure Breakdown'!$W$6:$W$123, "&gt;="&amp;G1,'Expenditure Breakdown'!$W$6:$W$123, "&lt;"&amp;H1)</f>
        <v>0</v>
      </c>
      <c r="H11" s="263">
        <f>SUMIFS('Expenditure Breakdown'!$R$6:$R$123, 'Expenditure Breakdown'!$W$6:$W$123, "&gt;="&amp;H1,'Expenditure Breakdown'!$W$6:$W$123, "&lt;"&amp;I1)</f>
        <v>0</v>
      </c>
      <c r="I11" s="263">
        <f>SUMIFS('Expenditure Breakdown'!$R$6:$R$123, 'Expenditure Breakdown'!$W$6:$W$123, "&gt;="&amp;I1,'Expenditure Breakdown'!$W$6:$W$123, "&lt;"&amp;J1)</f>
        <v>0</v>
      </c>
      <c r="J11" s="263">
        <f>SUMIFS('Expenditure Breakdown'!$R$6:$R$123, 'Expenditure Breakdown'!$W$6:$W$123, "&gt;="&amp;J1,'Expenditure Breakdown'!$W$6:$W$123, "&lt;"&amp;K1)</f>
        <v>0</v>
      </c>
      <c r="K11" s="263">
        <f>SUMIFS('Expenditure Breakdown'!$R$6:$R$123, 'Expenditure Breakdown'!$W$6:$W$123, "&gt;="&amp;K1,'Expenditure Breakdown'!$W$6:$W$123, "&lt;"&amp;L1)</f>
        <v>0</v>
      </c>
      <c r="L11" s="263">
        <f>SUMIFS('Expenditure Breakdown'!$R$6:$R$123, 'Expenditure Breakdown'!$W$6:$W$123, "&gt;="&amp;L1,'Expenditure Breakdown'!$W$6:$W$123, "&lt;"&amp;M1)</f>
        <v>0</v>
      </c>
      <c r="M11" s="263">
        <f>SUMIFS('Expenditure Breakdown'!$R$6:$R$123, 'Expenditure Breakdown'!$W$6:$W$123, "&gt;="&amp;M1,'Expenditure Breakdown'!$W$6:$W$123, "&lt;"&amp;N1)</f>
        <v>28284.2</v>
      </c>
      <c r="N11" s="263">
        <f>SUMIFS('Expenditure Breakdown'!$R$6:$R$123, 'Expenditure Breakdown'!$W$6:$W$123, "&gt;="&amp;N1,'Expenditure Breakdown'!$W$6:$W$123, "&lt;"&amp;O1)</f>
        <v>0</v>
      </c>
      <c r="O11" s="263">
        <f>SUMIFS('Expenditure Breakdown'!$R$6:$R$123, 'Expenditure Breakdown'!$W$6:$W$123, "&gt;="&amp;O1,'Expenditure Breakdown'!$W$6:$W$123, "&lt;"&amp;P1)</f>
        <v>0</v>
      </c>
      <c r="P11" s="263">
        <f>SUMIFS('Expenditure Breakdown'!$R$6:$R$123, 'Expenditure Breakdown'!$W$6:$W$123, "&gt;="&amp;P1,'Expenditure Breakdown'!$W$6:$W$123, "&lt;"&amp;Q1)</f>
        <v>275391.95</v>
      </c>
      <c r="Q11" s="263">
        <f>SUMIFS('Expenditure Breakdown'!$R$6:$R$123, 'Expenditure Breakdown'!$W$6:$W$123, "&gt;="&amp;Q1,'Expenditure Breakdown'!$W$6:$W$123, "&lt;"&amp;R1)</f>
        <v>26690.98</v>
      </c>
      <c r="R11" s="263">
        <f>SUMIFS('Expenditure Breakdown'!$R$6:$R$123, 'Expenditure Breakdown'!$W$6:$W$123, "&gt;="&amp;R1,'Expenditure Breakdown'!$W$6:$W$123, "&lt;"&amp;S1)</f>
        <v>48232.61</v>
      </c>
      <c r="S11" s="263">
        <f>SUMIFS('Expenditure Breakdown'!$R$6:$R$123, 'Expenditure Breakdown'!$W$6:$W$123, "&gt;="&amp;S1,'Expenditure Breakdown'!$W$6:$W$123, "&lt;"&amp;T1)</f>
        <v>92942</v>
      </c>
      <c r="T11" s="263">
        <f>SUMIFS('Expenditure Breakdown'!$R$6:$R$123, 'Expenditure Breakdown'!$W$6:$W$123, "&gt;="&amp;T1,'Expenditure Breakdown'!$W$6:$W$123, "&lt;"&amp;U1)</f>
        <v>0</v>
      </c>
      <c r="U11" s="263">
        <f>SUMIFS('Expenditure Breakdown'!$R$6:$R$123, 'Expenditure Breakdown'!$W$6:$W$123, "&gt;="&amp;U1,'Expenditure Breakdown'!$W$6:$W$123, "&lt;"&amp;V1)</f>
        <v>406034.44</v>
      </c>
      <c r="V11" s="263">
        <f>SUMIFS('Expenditure Breakdown'!$R$6:$R$123, 'Expenditure Breakdown'!$W$6:$W$123, "&gt;="&amp;V1,'Expenditure Breakdown'!$W$6:$W$123, "&lt;"&amp;W1)</f>
        <v>1671</v>
      </c>
      <c r="W11" s="263">
        <f>SUMIFS('Expenditure Breakdown'!$R$6:$R$123, 'Expenditure Breakdown'!$W$6:$W$123, "&gt;="&amp;W1,'Expenditure Breakdown'!$W$6:$W$123, "&lt;"&amp;X1)</f>
        <v>0</v>
      </c>
      <c r="X11" s="263">
        <f>SUMIFS('Expenditure Breakdown'!$R$6:$R$123, 'Expenditure Breakdown'!$W$6:$W$123, "&gt;="&amp;X1,'Expenditure Breakdown'!$W$6:$W$123, "&lt;"&amp;Y1)</f>
        <v>0</v>
      </c>
      <c r="Y11" s="263">
        <f>SUMIFS('Expenditure Breakdown'!$R$6:$R$123, 'Expenditure Breakdown'!$W$6:$W$123, "&gt;="&amp;Y1,'Expenditure Breakdown'!$W$6:$W$123, "&lt;"&amp;Z1)</f>
        <v>221554.29000000004</v>
      </c>
      <c r="Z11" s="263">
        <f>SUMIFS('Expenditure Breakdown'!$R$6:$R$123, 'Expenditure Breakdown'!$W$6:$W$123, "&gt;="&amp;Z1,'Expenditure Breakdown'!$W$6:$W$123, "&lt;"&amp;AA1)</f>
        <v>37993.360000000001</v>
      </c>
      <c r="AA11" s="263">
        <f>SUMIFS('Expenditure Breakdown'!$R$6:$R$123, 'Expenditure Breakdown'!$W$6:$W$123, "&gt;="&amp;AA1,'Expenditure Breakdown'!$W$6:$W$123, "&lt;"&amp;AB1)</f>
        <v>24241.46</v>
      </c>
      <c r="AB11" s="263">
        <f>SUMIFS('Expenditure Breakdown'!$R$6:$R$123, 'Expenditure Breakdown'!$W$6:$W$123, "&gt;="&amp;AB1,'Expenditure Breakdown'!$W$6:$W$123, "&lt;"&amp;AC1)</f>
        <v>-7251.880000000001</v>
      </c>
      <c r="AC11" s="263">
        <f>SUMIFS('Expenditure Breakdown'!$R$6:$R$123, 'Expenditure Breakdown'!$W$6:$W$123, "&gt;="&amp;AC1,'Expenditure Breakdown'!$W$6:$W$123, "&lt;"&amp;AD1)</f>
        <v>0</v>
      </c>
      <c r="AD11" s="263">
        <f>SUMIFS('Expenditure Breakdown'!$R$6:$R$123, 'Expenditure Breakdown'!$W$6:$W$123, "&gt;="&amp;AD1,'Expenditure Breakdown'!$W$6:$W$123, "&lt;"&amp;AE1)</f>
        <v>0</v>
      </c>
      <c r="AE11" s="263">
        <f>SUMIFS('Expenditure Breakdown'!$R$6:$R$123, 'Expenditure Breakdown'!$W$6:$W$123, "&gt;="&amp;AE1,'Expenditure Breakdown'!$W$6:$W$123, "&lt;"&amp;AF1)</f>
        <v>35750</v>
      </c>
      <c r="AF11" s="263">
        <f>SUMIFS('Expenditure Breakdown'!$R$6:$R$123, 'Expenditure Breakdown'!$W$6:$W$123, "&gt;="&amp;AF1,'Expenditure Breakdown'!$W$6:$W$123, "&lt;"&amp;AG1)</f>
        <v>3347.62</v>
      </c>
      <c r="AG11" s="263">
        <f>SUMIFS('Expenditure Breakdown'!$R$6:$R$123, 'Expenditure Breakdown'!$W$6:$W$123, "&gt;="&amp;AG1,'Expenditure Breakdown'!$W$6:$W$123, "&lt;"&amp;AH1)</f>
        <v>0</v>
      </c>
      <c r="AH11" s="263">
        <f>SUMIFS('Expenditure Breakdown'!$R$6:$R$123, 'Expenditure Breakdown'!$W$6:$W$123, "&gt;="&amp;AH1,'Expenditure Breakdown'!$W$6:$W$123, "&lt;"&amp;AI1)</f>
        <v>0</v>
      </c>
      <c r="AI11" s="263">
        <f>SUMIFS('Expenditure Breakdown'!$R$6:$R$123, 'Expenditure Breakdown'!$W$6:$W$123, "&gt;="&amp;AI1,'Expenditure Breakdown'!$W$6:$W$123, "&lt;"&amp;AJ1)</f>
        <v>1016.01</v>
      </c>
      <c r="AJ11" s="263">
        <f>SUMIFS('Expenditure Breakdown'!$R$6:$R$123, 'Expenditure Breakdown'!$W$6:$W$123, "&gt;="&amp;AJ1,'Expenditure Breakdown'!$W$6:$W$123, "&lt;"&amp;AK1)</f>
        <v>56909.1</v>
      </c>
      <c r="AK11" s="263">
        <f>SUMIFS('Expenditure Breakdown'!$R$6:$R$123, 'Expenditure Breakdown'!$W$6:$W$123, "&gt;="&amp;AK1,'Expenditure Breakdown'!$W$6:$W$123, "&lt;"&amp;AL1)</f>
        <v>0</v>
      </c>
      <c r="AL11" s="263">
        <f>SUMIFS('Expenditure Breakdown'!$R$6:$R$123, 'Expenditure Breakdown'!$W$6:$W$123, "&gt;="&amp;AL1,'Expenditure Breakdown'!$W$6:$W$123, "&lt;"&amp;AM1)</f>
        <v>0</v>
      </c>
      <c r="AM11" s="263">
        <f>SUMIFS('Expenditure Breakdown'!$R$6:$R$123, 'Expenditure Breakdown'!$W$6:$W$123, "&gt;="&amp;AM1,'Expenditure Breakdown'!$W$6:$W$123, "&lt;"&amp;AN1)</f>
        <v>19011.620000000003</v>
      </c>
      <c r="AN11" s="263">
        <f>SUMIFS('Expenditure Breakdown'!$R$6:$R$123, 'Expenditure Breakdown'!$W$6:$W$123, "&gt;="&amp;AN1,'Expenditure Breakdown'!$W$6:$W$123, "&lt;"&amp;AO1)</f>
        <v>0</v>
      </c>
      <c r="AO11" s="263">
        <f>SUMIFS('Expenditure Breakdown'!$R$6:$R$123, 'Expenditure Breakdown'!$W$6:$W$123, "&gt;="&amp;AO1,'Expenditure Breakdown'!$W$6:$W$123, "&lt;"&amp;AP1)</f>
        <v>0</v>
      </c>
      <c r="AP11" s="263">
        <f>SUMIFS('Expenditure Breakdown'!$R$6:$R$123, 'Expenditure Breakdown'!$W$6:$W$123, "&gt;="&amp;AP1,'Expenditure Breakdown'!$W$6:$W$123, "&lt;"&amp;AQ1)</f>
        <v>0</v>
      </c>
      <c r="AQ11" s="263">
        <f>SUMIFS('Expenditure Breakdown'!$R$6:$R$123, 'Expenditure Breakdown'!$W$6:$W$123, "&gt;="&amp;AQ1,'Expenditure Breakdown'!$W$6:$W$123, "&lt;"&amp;AR1)</f>
        <v>0</v>
      </c>
      <c r="AR11" s="263">
        <f>SUMIFS('Expenditure Breakdown'!$R$6:$R$123, 'Expenditure Breakdown'!$W$6:$W$123, "&gt;="&amp;AR1,'Expenditure Breakdown'!$W$6:$W$123, "&lt;"&amp;AS1)</f>
        <v>0</v>
      </c>
      <c r="AS11" s="263">
        <f>SUMIFS('Expenditure Breakdown'!$R$6:$R$123, 'Expenditure Breakdown'!$W$6:$W$123, "&gt;="&amp;AS1,'Expenditure Breakdown'!$W$6:$W$123, "&lt;"&amp;AT1)</f>
        <v>0</v>
      </c>
      <c r="AT11" s="263">
        <f>SUMIFS('Expenditure Breakdown'!$R$6:$R$123, 'Expenditure Breakdown'!$W$6:$W$123, "&gt;="&amp;AT1,'Expenditure Breakdown'!$W$6:$W$123, "&lt;"&amp;AU1)</f>
        <v>0</v>
      </c>
      <c r="AU11" s="263">
        <f>SUMIFS('Expenditure Breakdown'!$R$6:$R$123, 'Expenditure Breakdown'!$W$6:$W$123, "&gt;="&amp;AU1,'Expenditure Breakdown'!$W$6:$W$123, "&lt;"&amp;AV1)</f>
        <v>0</v>
      </c>
      <c r="AV11" s="263">
        <f>SUMIFS('Expenditure Breakdown'!$R$6:$R$123, 'Expenditure Breakdown'!$W$6:$W$123, "&gt;="&amp;AV1,'Expenditure Breakdown'!$W$6:$W$123, "&lt;"&amp;AW1)</f>
        <v>1087.98</v>
      </c>
      <c r="AW11" s="263">
        <f>SUMIFS('Expenditure Breakdown'!$R$6:$R$123, 'Expenditure Breakdown'!$W$6:$W$123, "&gt;="&amp;AW1,'Expenditure Breakdown'!$W$6:$W$123, "&lt;"&amp;AX1)</f>
        <v>0</v>
      </c>
      <c r="AX11" s="263">
        <f>SUMIFS('Expenditure Breakdown'!$R$6:$R$123, 'Expenditure Breakdown'!$W$6:$W$123, "&gt;="&amp;AX1,'Expenditure Breakdown'!$W$6:$W$123, "&lt;"&amp;AY1)</f>
        <v>0</v>
      </c>
      <c r="AY11" s="263">
        <f>SUMIFS('Expenditure Breakdown'!$R$6:$R$123, 'Expenditure Breakdown'!$W$6:$W$123, "&gt;="&amp;AY1,'Expenditure Breakdown'!$W$6:$W$123, "&lt;"&amp;AZ1)</f>
        <v>0</v>
      </c>
      <c r="AZ11" s="263">
        <f>SUMIFS('Expenditure Breakdown'!$R$6:$R$123, 'Expenditure Breakdown'!$W$6:$W$123, "&gt;="&amp;AZ1,'Expenditure Breakdown'!$W$6:$W$123, "&lt;"&amp;BA1)</f>
        <v>0</v>
      </c>
      <c r="BA11" s="263">
        <f>SUMIFS('Expenditure Breakdown'!$R$6:$R$123, 'Expenditure Breakdown'!$W$6:$W$123, "&gt;="&amp;BA1,'Expenditure Breakdown'!$W$6:$W$123, "&lt;"&amp;BB1)</f>
        <v>0</v>
      </c>
      <c r="BB11" s="263">
        <f>SUMIFS('Expenditure Breakdown'!$R$6:$R$123, 'Expenditure Breakdown'!$W$6:$W$123, "&gt;="&amp;BB1,'Expenditure Breakdown'!$W$6:$W$123, "&lt;"&amp;BC1)</f>
        <v>0</v>
      </c>
      <c r="BC11" s="263">
        <f>SUMIFS('Expenditure Breakdown'!$R$6:$R$123, 'Expenditure Breakdown'!$W$6:$W$123, "&gt;="&amp;BC1,'Expenditure Breakdown'!$W$6:$W$123, "&lt;"&amp;BD1)</f>
        <v>0</v>
      </c>
      <c r="BD11" s="263">
        <f>SUMIFS('Expenditure Breakdown'!$R$6:$R$123, 'Expenditure Breakdown'!$W$6:$W$123, "&gt;="&amp;BD1,'Expenditure Breakdown'!$W$6:$W$123, "&lt;"&amp;BE1)</f>
        <v>0</v>
      </c>
      <c r="BE11" s="263">
        <f>SUMIFS('Expenditure Breakdown'!$R$6:$R$123, 'Expenditure Breakdown'!$W$6:$W$123, "&gt;="&amp;BE1,'Expenditure Breakdown'!$W$6:$W$123, "&lt;"&amp;BF1)</f>
        <v>0</v>
      </c>
      <c r="BF11" s="263">
        <f>SUMIFS('Expenditure Breakdown'!$R$6:$R$123, 'Expenditure Breakdown'!$W$6:$W$123, "&gt;="&amp;BF1,'Expenditure Breakdown'!$W$6:$W$123, "&lt;"&amp;BG1)</f>
        <v>0</v>
      </c>
      <c r="BG11" s="263">
        <f>SUMIFS('Expenditure Breakdown'!$R$6:$R$123, 'Expenditure Breakdown'!$W$6:$W$123, "&gt;="&amp;BG1,'Expenditure Breakdown'!$W$6:$W$123, "&lt;"&amp;BH1)</f>
        <v>0</v>
      </c>
      <c r="BH11" s="263">
        <f>SUMIFS('Expenditure Breakdown'!$R$6:$R$123, 'Expenditure Breakdown'!$W$6:$W$123, "&gt;="&amp;BH1,'Expenditure Breakdown'!$W$6:$W$123, "&lt;"&amp;BI1)</f>
        <v>9084</v>
      </c>
      <c r="BI11" s="263">
        <f>SUMIFS('Expenditure Breakdown'!$R$6:$R$123, 'Expenditure Breakdown'!$W$6:$W$123, "&gt;="&amp;BI1,'Expenditure Breakdown'!$W$6:$W$123, "&lt;"&amp;BJ1)</f>
        <v>0</v>
      </c>
      <c r="BJ11" s="263">
        <f>SUMIFS('Expenditure Breakdown'!$R$6:$R$123, 'Expenditure Breakdown'!$W$6:$W$123, "&gt;="&amp;BJ1,'Expenditure Breakdown'!$W$6:$W$123, "&lt;"&amp;BK1)</f>
        <v>0</v>
      </c>
      <c r="BK11" s="263">
        <f>SUMIFS('Expenditure Breakdown'!$R$6:$R$123, 'Expenditure Breakdown'!$W$6:$W$123, "&gt;="&amp;BK1,'Expenditure Breakdown'!$W$6:$W$123, "&lt;"&amp;BL1)</f>
        <v>0</v>
      </c>
      <c r="BL11" s="263">
        <f>SUMIFS('Expenditure Breakdown'!$R$6:$R$123, 'Expenditure Breakdown'!$W$6:$W$123, "&gt;="&amp;BL1,'Expenditure Breakdown'!$W$6:$W$123, "&lt;"&amp;BM1)</f>
        <v>50400</v>
      </c>
      <c r="BM11" s="263">
        <f>SUMIFS('Expenditure Breakdown'!$R$6:$R$123, 'Expenditure Breakdown'!$W$6:$W$123, "&gt;="&amp;BM1,'Expenditure Breakdown'!$W$6:$W$123, "&lt;"&amp;BN1)</f>
        <v>0</v>
      </c>
      <c r="BN11" s="263">
        <f>SUMIFS('Expenditure Breakdown'!$R$6:$R$123, 'Expenditure Breakdown'!$W$6:$W$123, "&gt;="&amp;BN1,'Expenditure Breakdown'!$W$6:$W$123, "&lt;"&amp;BO1)</f>
        <v>0</v>
      </c>
      <c r="BO11" s="263">
        <f>SUMIFS('Expenditure Breakdown'!$R$6:$R$123, 'Expenditure Breakdown'!$W$6:$W$123, "&gt;="&amp;BO1,'Expenditure Breakdown'!$W$6:$W$123, "&lt;"&amp;BP1)</f>
        <v>0</v>
      </c>
      <c r="BP11" s="263">
        <f>SUMIFS('Expenditure Breakdown'!$R$6:$R$123, 'Expenditure Breakdown'!$W$6:$W$123, "&gt;="&amp;BP1,'Expenditure Breakdown'!$W$6:$W$123, "&lt;"&amp;BQ1)</f>
        <v>0</v>
      </c>
      <c r="BQ11" s="263">
        <f>SUMIFS('Expenditure Breakdown'!$R$6:$R$123, 'Expenditure Breakdown'!$W$6:$W$123, "&gt;="&amp;BQ1,'Expenditure Breakdown'!$W$6:$W$123, "&lt;"&amp;BR1)</f>
        <v>0</v>
      </c>
      <c r="BR11" s="263">
        <f>SUMIFS('Expenditure Breakdown'!$R$6:$R$123, 'Expenditure Breakdown'!$W$6:$W$123, "&gt;="&amp;BR1,'Expenditure Breakdown'!$W$6:$W$123, "&lt;"&amp;BS1)</f>
        <v>0</v>
      </c>
      <c r="BS11" s="263">
        <f>SUMIFS('Expenditure Breakdown'!$R$6:$R$123, 'Expenditure Breakdown'!$W$6:$W$123, "&gt;="&amp;BS1,'Expenditure Breakdown'!$W$6:$W$123, "&lt;"&amp;BT1)</f>
        <v>0</v>
      </c>
      <c r="BT11" s="263">
        <f>SUMIFS('Expenditure Breakdown'!$R$6:$R$123, 'Expenditure Breakdown'!$W$6:$W$123, "&gt;="&amp;BT1,'Expenditure Breakdown'!$W$6:$W$123, "&lt;"&amp;BU1)</f>
        <v>0</v>
      </c>
      <c r="BU11" s="263">
        <f>SUMIFS('Expenditure Breakdown'!$R$6:$R$123, 'Expenditure Breakdown'!$W$6:$W$123, "&gt;="&amp;BU1,'Expenditure Breakdown'!$W$6:$W$123, "&lt;"&amp;BV1)</f>
        <v>0</v>
      </c>
      <c r="BV11" s="263">
        <f>SUMIFS('Expenditure Breakdown'!$R$6:$R$123, 'Expenditure Breakdown'!$W$6:$W$123, "&gt;="&amp;BV1,'Expenditure Breakdown'!$W$6:$W$123, "&lt;"&amp;BW1)</f>
        <v>0</v>
      </c>
      <c r="BW11" s="263">
        <f>SUMIFS('Expenditure Breakdown'!$R$6:$R$123, 'Expenditure Breakdown'!$W$6:$W$123, "&gt;="&amp;BW1,'Expenditure Breakdown'!$W$6:$W$123, "&lt;"&amp;BX1)</f>
        <v>0</v>
      </c>
      <c r="BX11" s="240"/>
      <c r="BY11" s="251"/>
      <c r="BZ11" s="251"/>
    </row>
    <row r="12" spans="1:553" s="252" customFormat="1">
      <c r="A12" s="992"/>
      <c r="B12" s="261" t="s">
        <v>396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268">H12+I11</f>
        <v>0</v>
      </c>
      <c r="J12" s="263">
        <f t="shared" si="268"/>
        <v>0</v>
      </c>
      <c r="K12" s="263">
        <f t="shared" ref="K12" si="269">J12+K11</f>
        <v>0</v>
      </c>
      <c r="L12" s="263">
        <f t="shared" ref="L12" si="270">K12+L11</f>
        <v>0</v>
      </c>
      <c r="M12" s="263">
        <f t="shared" ref="M12" si="271">L12+M11</f>
        <v>28284.2</v>
      </c>
      <c r="N12" s="263">
        <f t="shared" ref="N12" si="272">M12+N11</f>
        <v>28284.2</v>
      </c>
      <c r="O12" s="263">
        <f t="shared" ref="O12" si="273">N12+O11</f>
        <v>28284.2</v>
      </c>
      <c r="P12" s="263">
        <f t="shared" ref="P12" si="274">O12+P11</f>
        <v>303676.15000000002</v>
      </c>
      <c r="Q12" s="263">
        <f t="shared" ref="Q12" si="275">P12+Q11</f>
        <v>330367.13</v>
      </c>
      <c r="R12" s="263">
        <f t="shared" ref="R12" si="276">Q12+R11</f>
        <v>378599.74</v>
      </c>
      <c r="S12" s="263">
        <f t="shared" ref="S12" si="277">R12+S11</f>
        <v>471541.74</v>
      </c>
      <c r="T12" s="263">
        <f t="shared" ref="T12" si="278">S12+T11</f>
        <v>471541.74</v>
      </c>
      <c r="U12" s="263">
        <f t="shared" ref="U12" si="279">T12+U11</f>
        <v>877576.17999999993</v>
      </c>
      <c r="V12" s="263">
        <f t="shared" ref="V12" si="280">U12+V11</f>
        <v>879247.17999999993</v>
      </c>
      <c r="W12" s="263">
        <f t="shared" ref="W12" si="281">V12+W11</f>
        <v>879247.17999999993</v>
      </c>
      <c r="X12" s="263">
        <f t="shared" ref="X12" si="282">W12+X11</f>
        <v>879247.17999999993</v>
      </c>
      <c r="Y12" s="263">
        <f t="shared" ref="Y12" si="283">X12+Y11</f>
        <v>1100801.47</v>
      </c>
      <c r="Z12" s="263">
        <f t="shared" ref="Z12" si="284">Y12+Z11</f>
        <v>1138794.83</v>
      </c>
      <c r="AA12" s="263">
        <f t="shared" ref="AA12" si="285">Z12+AA11</f>
        <v>1163036.29</v>
      </c>
      <c r="AB12" s="263">
        <f t="shared" ref="AB12" si="286">AA12+AB11</f>
        <v>1155784.4100000001</v>
      </c>
      <c r="AC12" s="263">
        <f t="shared" ref="AC12" si="287">AB12+AC11</f>
        <v>1155784.4100000001</v>
      </c>
      <c r="AD12" s="263">
        <f t="shared" ref="AD12" si="288">AC12+AD11</f>
        <v>1155784.4100000001</v>
      </c>
      <c r="AE12" s="263">
        <f t="shared" ref="AE12" si="289">AD12+AE11</f>
        <v>1191534.4100000001</v>
      </c>
      <c r="AF12" s="263">
        <f t="shared" ref="AF12" si="290">AE12+AF11</f>
        <v>1194882.0300000003</v>
      </c>
      <c r="AG12" s="263">
        <f t="shared" ref="AG12" si="291">AF12+AG11</f>
        <v>1194882.0300000003</v>
      </c>
      <c r="AH12" s="263">
        <f t="shared" ref="AH12" si="292">AG12+AH11</f>
        <v>1194882.0300000003</v>
      </c>
      <c r="AI12" s="263">
        <f t="shared" ref="AI12" si="293">AH12+AI11</f>
        <v>1195898.0400000003</v>
      </c>
      <c r="AJ12" s="263">
        <f t="shared" ref="AJ12" si="294">AI12+AJ11</f>
        <v>1252807.1400000004</v>
      </c>
      <c r="AK12" s="263">
        <f t="shared" ref="AK12" si="295">AJ12+AK11</f>
        <v>1252807.1400000004</v>
      </c>
      <c r="AL12" s="263">
        <f t="shared" ref="AL12" si="296">AK12+AL11</f>
        <v>1252807.1400000004</v>
      </c>
      <c r="AM12" s="263">
        <f t="shared" ref="AM12" si="297">AL12+AM11</f>
        <v>1271818.7600000005</v>
      </c>
      <c r="AN12" s="263">
        <f t="shared" ref="AN12" si="298">AM12+AN11</f>
        <v>1271818.7600000005</v>
      </c>
      <c r="AO12" s="263">
        <f t="shared" ref="AO12" si="299">AN12+AO11</f>
        <v>1271818.7600000005</v>
      </c>
      <c r="AP12" s="263">
        <f t="shared" ref="AP12" si="300">AO12+AP11</f>
        <v>1271818.7600000005</v>
      </c>
      <c r="AQ12" s="263">
        <f t="shared" ref="AQ12" si="301">AP12+AQ11</f>
        <v>1271818.7600000005</v>
      </c>
      <c r="AR12" s="263">
        <f t="shared" ref="AR12" si="302">AQ12+AR11</f>
        <v>1271818.7600000005</v>
      </c>
      <c r="AS12" s="263">
        <f t="shared" ref="AS12" si="303">AR12+AS11</f>
        <v>1271818.7600000005</v>
      </c>
      <c r="AT12" s="263">
        <f t="shared" ref="AT12" si="304">AS12+AT11</f>
        <v>1271818.7600000005</v>
      </c>
      <c r="AU12" s="263">
        <f t="shared" ref="AU12" si="305">AT12+AU11</f>
        <v>1271818.7600000005</v>
      </c>
      <c r="AV12" s="263">
        <f t="shared" ref="AV12" si="306">AU12+AV11</f>
        <v>1272906.7400000005</v>
      </c>
      <c r="AW12" s="263">
        <f t="shared" ref="AW12" si="307">AV12+AW11</f>
        <v>1272906.7400000005</v>
      </c>
      <c r="AX12" s="263">
        <f t="shared" ref="AX12" si="308">AW12+AX11</f>
        <v>1272906.7400000005</v>
      </c>
      <c r="AY12" s="263">
        <f t="shared" ref="AY12" si="309">AX12+AY11</f>
        <v>1272906.7400000005</v>
      </c>
      <c r="AZ12" s="263">
        <f t="shared" ref="AZ12" si="310">AY12+AZ11</f>
        <v>1272906.7400000005</v>
      </c>
      <c r="BA12" s="263">
        <f t="shared" ref="BA12" si="311">AZ12+BA11</f>
        <v>1272906.7400000005</v>
      </c>
      <c r="BB12" s="263">
        <f t="shared" ref="BB12" si="312">BA12+BB11</f>
        <v>1272906.7400000005</v>
      </c>
      <c r="BC12" s="263">
        <f t="shared" ref="BC12" si="313">BB12+BC11</f>
        <v>1272906.7400000005</v>
      </c>
      <c r="BD12" s="263">
        <f t="shared" ref="BD12" si="314">BC12+BD11</f>
        <v>1272906.7400000005</v>
      </c>
      <c r="BE12" s="263">
        <f t="shared" ref="BE12" si="315">BD12+BE11</f>
        <v>1272906.7400000005</v>
      </c>
      <c r="BF12" s="263">
        <f t="shared" ref="BF12" si="316">BE12+BF11</f>
        <v>1272906.7400000005</v>
      </c>
      <c r="BG12" s="263">
        <f t="shared" ref="BG12" si="317">BF12+BG11</f>
        <v>1272906.7400000005</v>
      </c>
      <c r="BH12" s="263">
        <f t="shared" ref="BH12" si="318">BG12+BH11</f>
        <v>1281990.7400000005</v>
      </c>
      <c r="BI12" s="263">
        <f t="shared" ref="BI12" si="319">BH12+BI11</f>
        <v>1281990.7400000005</v>
      </c>
      <c r="BJ12" s="263">
        <f t="shared" ref="BJ12" si="320">BI12+BJ11</f>
        <v>1281990.7400000005</v>
      </c>
      <c r="BK12" s="263">
        <f t="shared" ref="BK12" si="321">BJ12+BK11</f>
        <v>1281990.7400000005</v>
      </c>
      <c r="BL12" s="263">
        <f t="shared" ref="BL12" si="322">BK12+BL11</f>
        <v>1332390.7400000005</v>
      </c>
      <c r="BM12" s="263">
        <f t="shared" ref="BM12" si="323">BL12+BM11</f>
        <v>1332390.7400000005</v>
      </c>
      <c r="BN12" s="263">
        <f t="shared" ref="BN12" si="324">BM12+BN11</f>
        <v>1332390.7400000005</v>
      </c>
      <c r="BO12" s="263">
        <f t="shared" ref="BO12" si="325">BN12+BO11</f>
        <v>1332390.7400000005</v>
      </c>
      <c r="BP12" s="263">
        <f t="shared" ref="BP12" si="326">BO12+BP11</f>
        <v>1332390.7400000005</v>
      </c>
      <c r="BQ12" s="263">
        <f t="shared" ref="BQ12" si="327">BP12+BQ11</f>
        <v>1332390.7400000005</v>
      </c>
      <c r="BR12" s="263">
        <f t="shared" ref="BR12" si="328">BQ12+BR11</f>
        <v>1332390.7400000005</v>
      </c>
      <c r="BS12" s="263">
        <f t="shared" ref="BS12" si="329">BR12+BS11</f>
        <v>1332390.7400000005</v>
      </c>
      <c r="BT12" s="263">
        <f t="shared" ref="BT12" si="330">BS12+BT11</f>
        <v>1332390.7400000005</v>
      </c>
      <c r="BU12" s="263">
        <f t="shared" ref="BU12" si="331">BT12+BU11</f>
        <v>1332390.7400000005</v>
      </c>
      <c r="BV12" s="263">
        <f t="shared" ref="BV12" si="332">BU12+BV11</f>
        <v>1332390.7400000005</v>
      </c>
      <c r="BW12" s="263">
        <f t="shared" ref="BW12" si="333">BV12+BW11</f>
        <v>1332390.7400000005</v>
      </c>
      <c r="BX12" s="240"/>
      <c r="BY12" s="251"/>
    </row>
    <row r="13" spans="1:553" s="240" customFormat="1">
      <c r="A13" s="992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</row>
    <row r="14" spans="1:553">
      <c r="A14" s="992"/>
      <c r="B14" s="253" t="s">
        <v>397</v>
      </c>
      <c r="C14" s="254"/>
      <c r="D14" s="254"/>
      <c r="E14" s="255"/>
      <c r="F14" s="256">
        <f t="shared" ref="F14:H14" si="334">F10-F12</f>
        <v>607534.66874409746</v>
      </c>
      <c r="G14" s="256">
        <f t="shared" si="334"/>
        <v>607534.66874409746</v>
      </c>
      <c r="H14" s="256">
        <f t="shared" si="334"/>
        <v>607534.66874409746</v>
      </c>
      <c r="I14" s="256">
        <f t="shared" ref="I14:J14" si="335">I10-I12</f>
        <v>607534.66874409746</v>
      </c>
      <c r="J14" s="256">
        <f t="shared" si="335"/>
        <v>607534.66874409746</v>
      </c>
      <c r="K14" s="256">
        <f t="shared" ref="K14:Z14" si="336">K10-K12</f>
        <v>607534.66874409746</v>
      </c>
      <c r="L14" s="256">
        <f t="shared" si="336"/>
        <v>607534.66874409746</v>
      </c>
      <c r="M14" s="256">
        <f t="shared" si="336"/>
        <v>579250.46874409751</v>
      </c>
      <c r="N14" s="256">
        <f t="shared" si="336"/>
        <v>579250.46874409751</v>
      </c>
      <c r="O14" s="256">
        <f t="shared" si="336"/>
        <v>579250.46874409751</v>
      </c>
      <c r="P14" s="256">
        <f t="shared" si="336"/>
        <v>303858.51874409744</v>
      </c>
      <c r="Q14" s="256">
        <f t="shared" si="336"/>
        <v>277167.53874409746</v>
      </c>
      <c r="R14" s="256">
        <f t="shared" si="336"/>
        <v>662888.26356131001</v>
      </c>
      <c r="S14" s="256">
        <f t="shared" si="336"/>
        <v>569946.26356131001</v>
      </c>
      <c r="T14" s="256">
        <f t="shared" si="336"/>
        <v>569946.26356131001</v>
      </c>
      <c r="U14" s="256">
        <f t="shared" si="336"/>
        <v>163911.82356131007</v>
      </c>
      <c r="V14" s="256">
        <f t="shared" si="336"/>
        <v>596194.15837852261</v>
      </c>
      <c r="W14" s="256">
        <f t="shared" si="336"/>
        <v>596194.15837852261</v>
      </c>
      <c r="X14" s="256">
        <f t="shared" si="336"/>
        <v>596194.15837852261</v>
      </c>
      <c r="Y14" s="256">
        <f t="shared" si="336"/>
        <v>374639.86837852257</v>
      </c>
      <c r="Z14" s="256">
        <f t="shared" si="336"/>
        <v>336646.50837852247</v>
      </c>
      <c r="AA14" s="256">
        <f t="shared" ref="AA14:BW14" si="337">AA10-AA12</f>
        <v>312405.04837852251</v>
      </c>
      <c r="AB14" s="256">
        <f t="shared" si="337"/>
        <v>319656.9283785224</v>
      </c>
      <c r="AC14" s="256">
        <f t="shared" si="337"/>
        <v>319656.9283785224</v>
      </c>
      <c r="AD14" s="256">
        <f t="shared" si="337"/>
        <v>319656.9283785224</v>
      </c>
      <c r="AE14" s="256">
        <f t="shared" si="337"/>
        <v>283906.9283785224</v>
      </c>
      <c r="AF14" s="256">
        <f t="shared" si="337"/>
        <v>280559.30837852228</v>
      </c>
      <c r="AG14" s="256">
        <f t="shared" si="337"/>
        <v>280559.30837852228</v>
      </c>
      <c r="AH14" s="256">
        <f t="shared" si="337"/>
        <v>504055.06230540737</v>
      </c>
      <c r="AI14" s="256">
        <f t="shared" si="337"/>
        <v>503039.05230540736</v>
      </c>
      <c r="AJ14" s="256">
        <f t="shared" si="337"/>
        <v>446129.95230540726</v>
      </c>
      <c r="AK14" s="256">
        <f t="shared" si="337"/>
        <v>446129.95230540726</v>
      </c>
      <c r="AL14" s="256">
        <f t="shared" si="337"/>
        <v>446129.95230540726</v>
      </c>
      <c r="AM14" s="256">
        <f t="shared" si="337"/>
        <v>427118.33230540715</v>
      </c>
      <c r="AN14" s="256">
        <f t="shared" si="337"/>
        <v>427118.33230540715</v>
      </c>
      <c r="AO14" s="256">
        <f t="shared" si="337"/>
        <v>427118.33230540715</v>
      </c>
      <c r="AP14" s="256">
        <f t="shared" si="337"/>
        <v>427118.33230540715</v>
      </c>
      <c r="AQ14" s="256">
        <f t="shared" si="337"/>
        <v>427118.33230540715</v>
      </c>
      <c r="AR14" s="256">
        <f t="shared" si="337"/>
        <v>427118.33230540715</v>
      </c>
      <c r="AS14" s="256">
        <f t="shared" si="337"/>
        <v>427118.33230540715</v>
      </c>
      <c r="AT14" s="256">
        <f t="shared" si="337"/>
        <v>427118.33230540715</v>
      </c>
      <c r="AU14" s="256">
        <f t="shared" si="337"/>
        <v>427118.33230540715</v>
      </c>
      <c r="AV14" s="256">
        <f t="shared" si="337"/>
        <v>426030.35230540717</v>
      </c>
      <c r="AW14" s="256">
        <f t="shared" si="337"/>
        <v>426030.35230540717</v>
      </c>
      <c r="AX14" s="256">
        <f t="shared" si="337"/>
        <v>426030.35230540717</v>
      </c>
      <c r="AY14" s="256">
        <f t="shared" si="337"/>
        <v>426030.35230540717</v>
      </c>
      <c r="AZ14" s="256">
        <f t="shared" si="337"/>
        <v>426030.35230540717</v>
      </c>
      <c r="BA14" s="256">
        <f t="shared" si="337"/>
        <v>426030.35230540717</v>
      </c>
      <c r="BB14" s="256">
        <f t="shared" si="337"/>
        <v>426030.35230540717</v>
      </c>
      <c r="BC14" s="256">
        <f t="shared" si="337"/>
        <v>426030.35230540717</v>
      </c>
      <c r="BD14" s="256">
        <f t="shared" si="337"/>
        <v>426030.35230540717</v>
      </c>
      <c r="BE14" s="256">
        <f t="shared" si="337"/>
        <v>426030.35230540717</v>
      </c>
      <c r="BF14" s="256">
        <f t="shared" si="337"/>
        <v>426030.35230540717</v>
      </c>
      <c r="BG14" s="256">
        <f t="shared" si="337"/>
        <v>426030.35230540717</v>
      </c>
      <c r="BH14" s="256">
        <f t="shared" si="337"/>
        <v>416946.35230540717</v>
      </c>
      <c r="BI14" s="256">
        <f t="shared" si="337"/>
        <v>416946.35230540717</v>
      </c>
      <c r="BJ14" s="256">
        <f t="shared" si="337"/>
        <v>416946.35230540717</v>
      </c>
      <c r="BK14" s="256">
        <f t="shared" si="337"/>
        <v>416946.35230540717</v>
      </c>
      <c r="BL14" s="256">
        <f t="shared" si="337"/>
        <v>366546.35230540717</v>
      </c>
      <c r="BM14" s="256">
        <f t="shared" si="337"/>
        <v>366546.35230540717</v>
      </c>
      <c r="BN14" s="256">
        <f t="shared" si="337"/>
        <v>366546.35230540717</v>
      </c>
      <c r="BO14" s="256">
        <f t="shared" si="337"/>
        <v>366546.35230540717</v>
      </c>
      <c r="BP14" s="256">
        <f t="shared" si="337"/>
        <v>366546.35230540717</v>
      </c>
      <c r="BQ14" s="256">
        <f t="shared" si="337"/>
        <v>366546.35230540717</v>
      </c>
      <c r="BR14" s="256">
        <f t="shared" si="337"/>
        <v>366546.35230540717</v>
      </c>
      <c r="BS14" s="256">
        <f t="shared" si="337"/>
        <v>453337.01926884963</v>
      </c>
      <c r="BT14" s="256">
        <f t="shared" si="337"/>
        <v>453337.01926884963</v>
      </c>
      <c r="BU14" s="256">
        <f t="shared" si="337"/>
        <v>453337.01926884963</v>
      </c>
      <c r="BV14" s="256">
        <f t="shared" si="337"/>
        <v>453337.01926884963</v>
      </c>
      <c r="BW14" s="256">
        <f t="shared" si="337"/>
        <v>453337.01926884963</v>
      </c>
    </row>
    <row r="15" spans="1:553" s="240" customFormat="1"/>
    <row r="16" spans="1:553" s="240" customFormat="1">
      <c r="C16" s="242" t="s">
        <v>229</v>
      </c>
      <c r="D16" s="242" t="s">
        <v>229</v>
      </c>
    </row>
    <row r="17" spans="1:75">
      <c r="A17" s="993"/>
      <c r="B17" s="244" t="s">
        <v>398</v>
      </c>
      <c r="C17" s="539">
        <f>C3-D17</f>
        <v>-49914.412721956149</v>
      </c>
      <c r="D17" s="245">
        <f>SUM(F17:BM17)</f>
        <v>1785727.7519908061</v>
      </c>
      <c r="E17" s="255"/>
      <c r="F17" s="263">
        <f>SUMIFS('Expenditure Breakdown'!$U$6:$U$123, 'Expenditure Breakdown'!$T$6:$T$123, "&gt;="&amp;F1,'Expenditure Breakdown'!$T$6:$T$123, "&lt;"&amp;G1)</f>
        <v>0</v>
      </c>
      <c r="G17" s="263">
        <f>SUMIFS('Expenditure Breakdown'!$U$6:$U$123, 'Expenditure Breakdown'!$T$6:$T$123, "&gt;="&amp;G1,'Expenditure Breakdown'!$T$6:$T$123, "&lt;"&amp;H1)</f>
        <v>0</v>
      </c>
      <c r="H17" s="263">
        <f>SUMIFS('Expenditure Breakdown'!$U$6:$U$123, 'Expenditure Breakdown'!$T$6:$T$123, "&gt;="&amp;H1,'Expenditure Breakdown'!$T$6:$T$123, "&lt;"&amp;I1)</f>
        <v>521076.48866320669</v>
      </c>
      <c r="I17" s="263">
        <f>SUMIFS('Expenditure Breakdown'!$U$6:$U$123, 'Expenditure Breakdown'!$T$6:$T$123, "&gt;="&amp;I1,'Expenditure Breakdown'!$T$6:$T$123, "&lt;"&amp;J1)</f>
        <v>0</v>
      </c>
      <c r="J17" s="263">
        <f>SUMIFS('Expenditure Breakdown'!$U$6:$U$123, 'Expenditure Breakdown'!$T$6:$T$123, "&gt;="&amp;J1,'Expenditure Breakdown'!$T$6:$T$123, "&lt;"&amp;K1)</f>
        <v>0</v>
      </c>
      <c r="K17" s="263">
        <f>SUMIFS('Expenditure Breakdown'!$U$6:$U$123, 'Expenditure Breakdown'!$T$6:$T$123, "&gt;="&amp;K1,'Expenditure Breakdown'!$T$6:$T$123, "&lt;"&amp;L1)</f>
        <v>0</v>
      </c>
      <c r="L17" s="263">
        <f>SUMIFS('Expenditure Breakdown'!$U$6:$U$123, 'Expenditure Breakdown'!$T$6:$T$123, "&gt;="&amp;L1,'Expenditure Breakdown'!$T$6:$T$123, "&lt;"&amp;M1)</f>
        <v>55756.955098845552</v>
      </c>
      <c r="M17" s="263">
        <f>SUMIFS('Expenditure Breakdown'!$U$6:$U$123, 'Expenditure Breakdown'!$T$6:$T$123, "&gt;="&amp;M1,'Expenditure Breakdown'!$T$6:$T$123, "&lt;"&amp;N1)</f>
        <v>0</v>
      </c>
      <c r="N17" s="263">
        <f>SUMIFS('Expenditure Breakdown'!$U$6:$U$123, 'Expenditure Breakdown'!$T$6:$T$123, "&gt;="&amp;N1,'Expenditure Breakdown'!$T$6:$T$123, "&lt;"&amp;O1)</f>
        <v>0</v>
      </c>
      <c r="O17" s="263">
        <f>SUMIFS('Expenditure Breakdown'!$U$6:$U$123, 'Expenditure Breakdown'!$T$6:$T$123, "&gt;="&amp;O1,'Expenditure Breakdown'!$T$6:$T$123, "&lt;"&amp;P1)</f>
        <v>0</v>
      </c>
      <c r="P17" s="263">
        <f>SUMIFS('Expenditure Breakdown'!$U$6:$U$123, 'Expenditure Breakdown'!$T$6:$T$123, "&gt;="&amp;P1,'Expenditure Breakdown'!$T$6:$T$123, "&lt;"&amp;Q1)</f>
        <v>0</v>
      </c>
      <c r="Q17" s="263">
        <f>SUMIFS('Expenditure Breakdown'!$U$6:$U$123, 'Expenditure Breakdown'!$T$6:$T$123, "&gt;="&amp;Q1,'Expenditure Breakdown'!$T$6:$T$123, "&lt;"&amp;R1)</f>
        <v>270801.54334459727</v>
      </c>
      <c r="R17" s="263">
        <f>SUMIFS('Expenditure Breakdown'!$U$6:$U$123, 'Expenditure Breakdown'!$T$6:$T$123, "&gt;="&amp;R1,'Expenditure Breakdown'!$T$6:$T$123, "&lt;"&amp;S1)</f>
        <v>0</v>
      </c>
      <c r="S17" s="263">
        <f>SUMIFS('Expenditure Breakdown'!$U$6:$U$123, 'Expenditure Breakdown'!$T$6:$T$123, "&gt;="&amp;S1,'Expenditure Breakdown'!$T$6:$T$123, "&lt;"&amp;T1)</f>
        <v>0</v>
      </c>
      <c r="T17" s="263">
        <f>SUMIFS('Expenditure Breakdown'!$U$6:$U$123, 'Expenditure Breakdown'!$T$6:$T$123, "&gt;="&amp;T1,'Expenditure Breakdown'!$T$6:$T$123, "&lt;"&amp;U1)</f>
        <v>0</v>
      </c>
      <c r="U17" s="263">
        <f>SUMIFS('Expenditure Breakdown'!$U$6:$U$123, 'Expenditure Breakdown'!$T$6:$T$123, "&gt;="&amp;U1,'Expenditure Breakdown'!$T$6:$T$123, "&lt;"&amp;V1)</f>
        <v>318673.65015457611</v>
      </c>
      <c r="V17" s="263">
        <f>SUMIFS('Expenditure Breakdown'!$U$6:$U$123, 'Expenditure Breakdown'!$T$6:$T$123, "&gt;="&amp;V1,'Expenditure Breakdown'!$T$6:$T$123, "&lt;"&amp;W1)</f>
        <v>0</v>
      </c>
      <c r="W17" s="263">
        <f>SUMIFS('Expenditure Breakdown'!$U$6:$U$123, 'Expenditure Breakdown'!$T$6:$T$123, "&gt;="&amp;W1,'Expenditure Breakdown'!$T$6:$T$123, "&lt;"&amp;X1)</f>
        <v>0</v>
      </c>
      <c r="X17" s="263">
        <f>SUMIFS('Expenditure Breakdown'!$U$6:$U$123, 'Expenditure Breakdown'!$T$6:$T$123, "&gt;="&amp;X1,'Expenditure Breakdown'!$T$6:$T$123, "&lt;"&amp;Y1)</f>
        <v>0</v>
      </c>
      <c r="Y17" s="263">
        <f>SUMIFS('Expenditure Breakdown'!$U$6:$U$123, 'Expenditure Breakdown'!$T$6:$T$123, "&gt;="&amp;Y1,'Expenditure Breakdown'!$T$6:$T$123, "&lt;"&amp;Z1)</f>
        <v>544836.19259855885</v>
      </c>
      <c r="Z17" s="263">
        <f>SUMIFS('Expenditure Breakdown'!$U$6:$U$123, 'Expenditure Breakdown'!$T$6:$T$123, "&gt;="&amp;Z1,'Expenditure Breakdown'!$T$6:$T$123, "&lt;"&amp;AA1)</f>
        <v>0</v>
      </c>
      <c r="AA17" s="263">
        <f>SUMIFS('Expenditure Breakdown'!$U$6:$U$123, 'Expenditure Breakdown'!$T$6:$T$123, "&gt;="&amp;AA1,'Expenditure Breakdown'!$T$6:$T$123, "&lt;"&amp;AB1)</f>
        <v>0</v>
      </c>
      <c r="AB17" s="263">
        <f>SUMIFS('Expenditure Breakdown'!$U$6:$U$123, 'Expenditure Breakdown'!$T$6:$T$123, "&gt;="&amp;AB1,'Expenditure Breakdown'!$T$6:$T$123, "&lt;"&amp;AC1)</f>
        <v>0</v>
      </c>
      <c r="AC17" s="263">
        <f>SUMIFS('Expenditure Breakdown'!$U$6:$U$123, 'Expenditure Breakdown'!$T$6:$T$123, "&gt;="&amp;AC1,'Expenditure Breakdown'!$T$6:$T$123, "&lt;"&amp;AD1)</f>
        <v>0</v>
      </c>
      <c r="AD17" s="263">
        <f>SUMIFS('Expenditure Breakdown'!$U$6:$U$123, 'Expenditure Breakdown'!$T$6:$T$123, "&gt;="&amp;AD1,'Expenditure Breakdown'!$T$6:$T$123, "&lt;"&amp;AE1)</f>
        <v>0</v>
      </c>
      <c r="AE17" s="263">
        <f>SUMIFS('Expenditure Breakdown'!$U$6:$U$123, 'Expenditure Breakdown'!$T$6:$T$123, "&gt;="&amp;AE1,'Expenditure Breakdown'!$T$6:$T$123, "&lt;"&amp;AF1)</f>
        <v>0</v>
      </c>
      <c r="AF17" s="263">
        <f>SUMIFS('Expenditure Breakdown'!$U$6:$U$123, 'Expenditure Breakdown'!$T$6:$T$123, "&gt;="&amp;AF1,'Expenditure Breakdown'!$T$6:$T$123, "&lt;"&amp;AG1)</f>
        <v>0</v>
      </c>
      <c r="AG17" s="263">
        <f>SUMIFS('Expenditure Breakdown'!$U$6:$U$123, 'Expenditure Breakdown'!$T$6:$T$123, "&gt;="&amp;AG1,'Expenditure Breakdown'!$T$6:$T$123, "&lt;"&amp;AH1)</f>
        <v>0</v>
      </c>
      <c r="AH17" s="263">
        <f>SUMIFS('Expenditure Breakdown'!$U$6:$U$123, 'Expenditure Breakdown'!$T$6:$T$123, "&gt;="&amp;AH1,'Expenditure Breakdown'!$T$6:$T$123, "&lt;"&amp;AI1)</f>
        <v>73826.809731596106</v>
      </c>
      <c r="AI17" s="263">
        <f>SUMIFS('Expenditure Breakdown'!$U$6:$U$123, 'Expenditure Breakdown'!$T$6:$T$123, "&gt;="&amp;AI1,'Expenditure Breakdown'!$T$6:$T$123, "&lt;"&amp;AJ1)</f>
        <v>0</v>
      </c>
      <c r="AJ17" s="263">
        <f>SUMIFS('Expenditure Breakdown'!$U$6:$U$123, 'Expenditure Breakdown'!$T$6:$T$123, "&gt;="&amp;AJ1,'Expenditure Breakdown'!$T$6:$T$123, "&lt;"&amp;AK1)</f>
        <v>0</v>
      </c>
      <c r="AK17" s="263">
        <f>SUMIFS('Expenditure Breakdown'!$U$6:$U$123, 'Expenditure Breakdown'!$T$6:$T$123, "&gt;="&amp;AK1,'Expenditure Breakdown'!$T$6:$T$123, "&lt;"&amp;AL1)</f>
        <v>0</v>
      </c>
      <c r="AL17" s="263">
        <f>SUMIFS('Expenditure Breakdown'!$U$6:$U$123, 'Expenditure Breakdown'!$T$6:$T$123, "&gt;="&amp;AL1,'Expenditure Breakdown'!$T$6:$T$123, "&lt;"&amp;AM1)</f>
        <v>756.11239942569</v>
      </c>
      <c r="AM17" s="263">
        <f>SUMIFS('Expenditure Breakdown'!$U$6:$U$123, 'Expenditure Breakdown'!$T$6:$T$123, "&gt;="&amp;AM1,'Expenditure Breakdown'!$T$6:$T$123, "&lt;"&amp;AN1)</f>
        <v>0</v>
      </c>
      <c r="AN17" s="263">
        <f>SUMIFS('Expenditure Breakdown'!$U$6:$U$123, 'Expenditure Breakdown'!$T$6:$T$123, "&gt;="&amp;AN1,'Expenditure Breakdown'!$T$6:$T$123, "&lt;"&amp;AO1)</f>
        <v>0</v>
      </c>
      <c r="AO17" s="263">
        <f>SUMIFS('Expenditure Breakdown'!$U$6:$U$123, 'Expenditure Breakdown'!$T$6:$T$123, "&gt;="&amp;AO1,'Expenditure Breakdown'!$T$6:$T$123, "&lt;"&amp;AP1)</f>
        <v>0</v>
      </c>
      <c r="AP17" s="263">
        <f>SUMIFS('Expenditure Breakdown'!$U$6:$U$123, 'Expenditure Breakdown'!$T$6:$T$123, "&gt;="&amp;AP1,'Expenditure Breakdown'!$T$6:$T$123, "&lt;"&amp;AQ1)</f>
        <v>0</v>
      </c>
      <c r="AQ17" s="263">
        <f>SUMIFS('Expenditure Breakdown'!$U$6:$U$123, 'Expenditure Breakdown'!$T$6:$T$123, "&gt;="&amp;AQ1,'Expenditure Breakdown'!$T$6:$T$123, "&lt;"&amp;AR1)</f>
        <v>0</v>
      </c>
      <c r="AR17" s="263">
        <f>SUMIFS('Expenditure Breakdown'!$U$6:$U$123, 'Expenditure Breakdown'!$T$6:$T$123, "&gt;="&amp;AR1,'Expenditure Breakdown'!$T$6:$T$123, "&lt;"&amp;AS1)</f>
        <v>0</v>
      </c>
      <c r="AS17" s="263">
        <f>SUMIFS('Expenditure Breakdown'!$U$6:$U$123, 'Expenditure Breakdown'!$T$6:$T$123, "&gt;="&amp;AS1,'Expenditure Breakdown'!$T$6:$T$123, "&lt;"&amp;AT1)</f>
        <v>0</v>
      </c>
      <c r="AT17" s="263">
        <f>SUMIFS('Expenditure Breakdown'!$U$6:$U$123, 'Expenditure Breakdown'!$T$6:$T$123, "&gt;="&amp;AT1,'Expenditure Breakdown'!$T$6:$T$123, "&lt;"&amp;AU1)</f>
        <v>0</v>
      </c>
      <c r="AU17" s="263">
        <f>SUMIFS('Expenditure Breakdown'!$U$6:$U$123, 'Expenditure Breakdown'!$T$6:$T$123, "&gt;="&amp;AU1,'Expenditure Breakdown'!$T$6:$T$123, "&lt;"&amp;AV1)</f>
        <v>0</v>
      </c>
      <c r="AV17" s="263">
        <f>SUMIFS('Expenditure Breakdown'!$U$6:$U$123, 'Expenditure Breakdown'!$T$6:$T$123, "&gt;="&amp;AV1,'Expenditure Breakdown'!$T$6:$T$123, "&lt;"&amp;AW1)</f>
        <v>0</v>
      </c>
      <c r="AW17" s="263">
        <f>SUMIFS('Expenditure Breakdown'!$U$6:$U$123, 'Expenditure Breakdown'!$T$6:$T$123, "&gt;="&amp;AW1,'Expenditure Breakdown'!$T$6:$T$123, "&lt;"&amp;AX1)</f>
        <v>0</v>
      </c>
      <c r="AX17" s="263">
        <f>SUMIFS('Expenditure Breakdown'!$U$6:$U$123, 'Expenditure Breakdown'!$T$6:$T$123, "&gt;="&amp;AX1,'Expenditure Breakdown'!$T$6:$T$123, "&lt;"&amp;AY1)</f>
        <v>0</v>
      </c>
      <c r="AY17" s="263">
        <f>SUMIFS('Expenditure Breakdown'!$U$6:$U$123, 'Expenditure Breakdown'!$T$6:$T$123, "&gt;="&amp;AY1,'Expenditure Breakdown'!$T$6:$T$123, "&lt;"&amp;AZ1)</f>
        <v>0</v>
      </c>
      <c r="AZ17" s="263">
        <f>SUMIFS('Expenditure Breakdown'!$U$6:$U$123, 'Expenditure Breakdown'!$T$6:$T$123, "&gt;="&amp;AZ1,'Expenditure Breakdown'!$T$6:$T$123, "&lt;"&amp;BA1)</f>
        <v>0</v>
      </c>
      <c r="BA17" s="263">
        <f>SUMIFS('Expenditure Breakdown'!$U$6:$U$123, 'Expenditure Breakdown'!$T$6:$T$123, "&gt;="&amp;BA1,'Expenditure Breakdown'!$T$6:$T$123, "&lt;"&amp;BB1)</f>
        <v>0</v>
      </c>
      <c r="BB17" s="263">
        <f>SUMIFS('Expenditure Breakdown'!$U$6:$U$123, 'Expenditure Breakdown'!$T$6:$T$123, "&gt;="&amp;BB1,'Expenditure Breakdown'!$T$6:$T$123, "&lt;"&amp;BC1)</f>
        <v>0</v>
      </c>
      <c r="BC17" s="263">
        <f>SUMIFS('Expenditure Breakdown'!$U$6:$U$123, 'Expenditure Breakdown'!$T$6:$T$123, "&gt;="&amp;BC1,'Expenditure Breakdown'!$T$6:$T$123, "&lt;"&amp;BD1)</f>
        <v>0</v>
      </c>
      <c r="BD17" s="263">
        <f>SUMIFS('Expenditure Breakdown'!$U$6:$U$123, 'Expenditure Breakdown'!$T$6:$T$123, "&gt;="&amp;BD1,'Expenditure Breakdown'!$T$6:$T$123, "&lt;"&amp;BE1)</f>
        <v>0</v>
      </c>
      <c r="BE17" s="263">
        <f>SUMIFS('Expenditure Breakdown'!$U$6:$U$123, 'Expenditure Breakdown'!$T$6:$T$123, "&gt;="&amp;BE1,'Expenditure Breakdown'!$T$6:$T$123, "&lt;"&amp;BF1)</f>
        <v>0</v>
      </c>
      <c r="BF17" s="263">
        <f>SUMIFS('Expenditure Breakdown'!$U$6:$U$123, 'Expenditure Breakdown'!$T$6:$T$123, "&gt;="&amp;BF1,'Expenditure Breakdown'!$T$6:$T$123, "&lt;"&amp;BG1)</f>
        <v>0</v>
      </c>
      <c r="BG17" s="263">
        <f>SUMIFS('Expenditure Breakdown'!$U$6:$U$123, 'Expenditure Breakdown'!$T$6:$T$123, "&gt;="&amp;BG1,'Expenditure Breakdown'!$T$6:$T$123, "&lt;"&amp;BH1)</f>
        <v>0</v>
      </c>
      <c r="BH17" s="263">
        <f>SUMIFS('Expenditure Breakdown'!$U$6:$U$123, 'Expenditure Breakdown'!$T$6:$T$123, "&gt;="&amp;BH1,'Expenditure Breakdown'!$T$6:$T$123, "&lt;"&amp;BI1)</f>
        <v>0</v>
      </c>
      <c r="BI17" s="263">
        <f>SUMIFS('Expenditure Breakdown'!$U$6:$U$123, 'Expenditure Breakdown'!$T$6:$T$123, "&gt;="&amp;BI1,'Expenditure Breakdown'!$T$6:$T$123, "&lt;"&amp;BJ1)</f>
        <v>0</v>
      </c>
      <c r="BJ17" s="263">
        <f>SUMIFS('Expenditure Breakdown'!$U$6:$U$123, 'Expenditure Breakdown'!$T$6:$T$123, "&gt;="&amp;BJ1,'Expenditure Breakdown'!$T$6:$T$123, "&lt;"&amp;BK1)</f>
        <v>0</v>
      </c>
      <c r="BK17" s="263">
        <f>SUMIFS('Expenditure Breakdown'!$U$6:$U$123, 'Expenditure Breakdown'!$T$6:$T$123, "&gt;="&amp;BK1,'Expenditure Breakdown'!$T$6:$T$123, "&lt;"&amp;BL1)</f>
        <v>0</v>
      </c>
      <c r="BL17" s="263">
        <f>SUMIFS('Expenditure Breakdown'!$U$6:$U$123, 'Expenditure Breakdown'!$T$6:$T$123, "&gt;="&amp;BL1,'Expenditure Breakdown'!$T$6:$T$123, "&lt;"&amp;BM1)</f>
        <v>0</v>
      </c>
      <c r="BM17" s="263">
        <f>SUMIFS('Expenditure Breakdown'!$U$6:$U$123, 'Expenditure Breakdown'!$T$6:$T$123, "&gt;="&amp;BM1,'Expenditure Breakdown'!$T$6:$T$123, "&lt;"&amp;BN1)</f>
        <v>0</v>
      </c>
      <c r="BN17" s="263">
        <f>SUMIFS('Expenditure Breakdown'!$U$6:$U$123, 'Expenditure Breakdown'!$T$6:$T$123, "&gt;="&amp;BN1,'Expenditure Breakdown'!$T$6:$T$123, "&lt;"&amp;BO1)</f>
        <v>0</v>
      </c>
      <c r="BO17" s="263">
        <f>SUMIFS('Expenditure Breakdown'!$U$6:$U$123, 'Expenditure Breakdown'!$T$6:$T$123, "&gt;="&amp;BO1,'Expenditure Breakdown'!$T$6:$T$123, "&lt;"&amp;BP1)</f>
        <v>0</v>
      </c>
      <c r="BP17" s="263">
        <f>SUMIFS('Expenditure Breakdown'!$U$6:$U$123, 'Expenditure Breakdown'!$T$6:$T$123, "&gt;="&amp;BP1,'Expenditure Breakdown'!$T$6:$T$123, "&lt;"&amp;BQ1)</f>
        <v>0</v>
      </c>
      <c r="BQ17" s="263">
        <f>SUMIFS('Expenditure Breakdown'!$U$6:$U$123, 'Expenditure Breakdown'!$T$6:$T$123, "&gt;="&amp;BQ1,'Expenditure Breakdown'!$T$6:$T$123, "&lt;"&amp;BR1)</f>
        <v>0</v>
      </c>
      <c r="BR17" s="263">
        <f>SUMIFS('Expenditure Breakdown'!$U$6:$U$123, 'Expenditure Breakdown'!$T$6:$T$123, "&gt;="&amp;BR1,'Expenditure Breakdown'!$T$6:$T$123, "&lt;"&amp;BS1)</f>
        <v>0</v>
      </c>
      <c r="BS17" s="263">
        <f>SUMIFS('Expenditure Breakdown'!$U$6:$U$123, 'Expenditure Breakdown'!$T$6:$T$123, "&gt;="&amp;BS1,'Expenditure Breakdown'!$T$6:$T$123, "&lt;"&amp;BT1)</f>
        <v>0</v>
      </c>
      <c r="BT17" s="263">
        <f>SUMIFS('Expenditure Breakdown'!$U$6:$U$123, 'Expenditure Breakdown'!$T$6:$T$123, "&gt;="&amp;BT1,'Expenditure Breakdown'!$T$6:$T$123, "&lt;"&amp;BU1)</f>
        <v>0</v>
      </c>
      <c r="BU17" s="263">
        <f>SUMIFS('Expenditure Breakdown'!$U$6:$U$123, 'Expenditure Breakdown'!$T$6:$T$123, "&gt;="&amp;BU1,'Expenditure Breakdown'!$T$6:$T$123, "&lt;"&amp;BV1)</f>
        <v>0</v>
      </c>
      <c r="BV17" s="263">
        <f>SUMIFS('Expenditure Breakdown'!$U$6:$U$123, 'Expenditure Breakdown'!$T$6:$T$123, "&gt;="&amp;BV1,'Expenditure Breakdown'!$T$6:$T$123, "&lt;"&amp;BW1)</f>
        <v>0</v>
      </c>
      <c r="BW17" s="263">
        <f>SUMIFS('Expenditure Breakdown'!$U$6:$U$123, 'Expenditure Breakdown'!$T$6:$T$123, "&gt;="&amp;BW1,'Expenditure Breakdown'!$T$6:$T$123, "&lt;"&amp;BX1)</f>
        <v>0</v>
      </c>
    </row>
    <row r="18" spans="1:75">
      <c r="A18" s="993"/>
      <c r="B18" s="244" t="s">
        <v>399</v>
      </c>
      <c r="C18" s="539">
        <f>D17-D18</f>
        <v>0</v>
      </c>
      <c r="D18" s="245">
        <f>MAX(F18:BM18)</f>
        <v>1785727.7519908061</v>
      </c>
      <c r="E18" s="255"/>
      <c r="F18" s="263">
        <f>F17</f>
        <v>0</v>
      </c>
      <c r="G18" s="263">
        <f>F18+G17</f>
        <v>0</v>
      </c>
      <c r="H18" s="263">
        <f>G18+H17</f>
        <v>521076.48866320669</v>
      </c>
      <c r="I18" s="263">
        <f t="shared" ref="I18:J18" si="338">H18+I17</f>
        <v>521076.48866320669</v>
      </c>
      <c r="J18" s="263">
        <f t="shared" si="338"/>
        <v>521076.48866320669</v>
      </c>
      <c r="K18" s="263">
        <f t="shared" ref="K18" si="339">J18+K17</f>
        <v>521076.48866320669</v>
      </c>
      <c r="L18" s="263">
        <f t="shared" ref="L18" si="340">K18+L17</f>
        <v>576833.44376205222</v>
      </c>
      <c r="M18" s="263">
        <f t="shared" ref="M18" si="341">L18+M17</f>
        <v>576833.44376205222</v>
      </c>
      <c r="N18" s="263">
        <f t="shared" ref="N18" si="342">M18+N17</f>
        <v>576833.44376205222</v>
      </c>
      <c r="O18" s="263">
        <f t="shared" ref="O18" si="343">N18+O17</f>
        <v>576833.44376205222</v>
      </c>
      <c r="P18" s="263">
        <f t="shared" ref="P18" si="344">O18+P17</f>
        <v>576833.44376205222</v>
      </c>
      <c r="Q18" s="263">
        <f t="shared" ref="Q18" si="345">P18+Q17</f>
        <v>847634.98710664944</v>
      </c>
      <c r="R18" s="263">
        <f t="shared" ref="R18" si="346">Q18+R17</f>
        <v>847634.98710664944</v>
      </c>
      <c r="S18" s="263">
        <f t="shared" ref="S18" si="347">R18+S17</f>
        <v>847634.98710664944</v>
      </c>
      <c r="T18" s="263">
        <f t="shared" ref="T18" si="348">S18+T17</f>
        <v>847634.98710664944</v>
      </c>
      <c r="U18" s="263">
        <f t="shared" ref="U18" si="349">T18+U17</f>
        <v>1166308.6372612256</v>
      </c>
      <c r="V18" s="263">
        <f t="shared" ref="V18" si="350">U18+V17</f>
        <v>1166308.6372612256</v>
      </c>
      <c r="W18" s="263">
        <f t="shared" ref="W18" si="351">V18+W17</f>
        <v>1166308.6372612256</v>
      </c>
      <c r="X18" s="263">
        <f t="shared" ref="X18" si="352">W18+X17</f>
        <v>1166308.6372612256</v>
      </c>
      <c r="Y18" s="263">
        <f t="shared" ref="Y18" si="353">X18+Y17</f>
        <v>1711144.8298597843</v>
      </c>
      <c r="Z18" s="263">
        <f t="shared" ref="Z18" si="354">Y18+Z17</f>
        <v>1711144.8298597843</v>
      </c>
      <c r="AA18" s="263">
        <f t="shared" ref="AA18" si="355">Z18+AA17</f>
        <v>1711144.8298597843</v>
      </c>
      <c r="AB18" s="263">
        <f t="shared" ref="AB18" si="356">AA18+AB17</f>
        <v>1711144.8298597843</v>
      </c>
      <c r="AC18" s="263">
        <f t="shared" ref="AC18" si="357">AB18+AC17</f>
        <v>1711144.8298597843</v>
      </c>
      <c r="AD18" s="263">
        <f t="shared" ref="AD18" si="358">AC18+AD17</f>
        <v>1711144.8298597843</v>
      </c>
      <c r="AE18" s="263">
        <f t="shared" ref="AE18" si="359">AD18+AE17</f>
        <v>1711144.8298597843</v>
      </c>
      <c r="AF18" s="263">
        <f t="shared" ref="AF18" si="360">AE18+AF17</f>
        <v>1711144.8298597843</v>
      </c>
      <c r="AG18" s="263">
        <f t="shared" ref="AG18" si="361">AF18+AG17</f>
        <v>1711144.8298597843</v>
      </c>
      <c r="AH18" s="263">
        <f t="shared" ref="AH18" si="362">AG18+AH17</f>
        <v>1784971.6395913805</v>
      </c>
      <c r="AI18" s="263">
        <f t="shared" ref="AI18" si="363">AH18+AI17</f>
        <v>1784971.6395913805</v>
      </c>
      <c r="AJ18" s="263">
        <f t="shared" ref="AJ18" si="364">AI18+AJ17</f>
        <v>1784971.6395913805</v>
      </c>
      <c r="AK18" s="263">
        <f t="shared" ref="AK18" si="365">AJ18+AK17</f>
        <v>1784971.6395913805</v>
      </c>
      <c r="AL18" s="263">
        <f t="shared" ref="AL18" si="366">AK18+AL17</f>
        <v>1785727.7519908061</v>
      </c>
      <c r="AM18" s="263">
        <f t="shared" ref="AM18" si="367">AL18+AM17</f>
        <v>1785727.7519908061</v>
      </c>
      <c r="AN18" s="263">
        <f t="shared" ref="AN18" si="368">AM18+AN17</f>
        <v>1785727.7519908061</v>
      </c>
      <c r="AO18" s="263">
        <f t="shared" ref="AO18" si="369">AN18+AO17</f>
        <v>1785727.7519908061</v>
      </c>
      <c r="AP18" s="263">
        <f t="shared" ref="AP18" si="370">AO18+AP17</f>
        <v>1785727.7519908061</v>
      </c>
      <c r="AQ18" s="263">
        <f t="shared" ref="AQ18" si="371">AP18+AQ17</f>
        <v>1785727.7519908061</v>
      </c>
      <c r="AR18" s="263">
        <f t="shared" ref="AR18" si="372">AQ18+AR17</f>
        <v>1785727.7519908061</v>
      </c>
      <c r="AS18" s="263">
        <f t="shared" ref="AS18" si="373">AR18+AS17</f>
        <v>1785727.7519908061</v>
      </c>
      <c r="AT18" s="263">
        <f t="shared" ref="AT18" si="374">AS18+AT17</f>
        <v>1785727.7519908061</v>
      </c>
      <c r="AU18" s="263">
        <f t="shared" ref="AU18" si="375">AT18+AU17</f>
        <v>1785727.7519908061</v>
      </c>
      <c r="AV18" s="263">
        <f t="shared" ref="AV18" si="376">AU18+AV17</f>
        <v>1785727.7519908061</v>
      </c>
      <c r="AW18" s="263">
        <f t="shared" ref="AW18" si="377">AV18+AW17</f>
        <v>1785727.7519908061</v>
      </c>
      <c r="AX18" s="263">
        <f t="shared" ref="AX18" si="378">AW18+AX17</f>
        <v>1785727.7519908061</v>
      </c>
      <c r="AY18" s="263">
        <f t="shared" ref="AY18" si="379">AX18+AY17</f>
        <v>1785727.7519908061</v>
      </c>
      <c r="AZ18" s="263">
        <f t="shared" ref="AZ18" si="380">AY18+AZ17</f>
        <v>1785727.7519908061</v>
      </c>
      <c r="BA18" s="263">
        <f t="shared" ref="BA18" si="381">AZ18+BA17</f>
        <v>1785727.7519908061</v>
      </c>
      <c r="BB18" s="263">
        <f t="shared" ref="BB18" si="382">BA18+BB17</f>
        <v>1785727.7519908061</v>
      </c>
      <c r="BC18" s="263">
        <f t="shared" ref="BC18" si="383">BB18+BC17</f>
        <v>1785727.7519908061</v>
      </c>
      <c r="BD18" s="263">
        <f t="shared" ref="BD18" si="384">BC18+BD17</f>
        <v>1785727.7519908061</v>
      </c>
      <c r="BE18" s="263">
        <f t="shared" ref="BE18" si="385">BD18+BE17</f>
        <v>1785727.7519908061</v>
      </c>
      <c r="BF18" s="263">
        <f t="shared" ref="BF18" si="386">BE18+BF17</f>
        <v>1785727.7519908061</v>
      </c>
      <c r="BG18" s="263">
        <f t="shared" ref="BG18" si="387">BF18+BG17</f>
        <v>1785727.7519908061</v>
      </c>
      <c r="BH18" s="263">
        <f t="shared" ref="BH18" si="388">BG18+BH17</f>
        <v>1785727.7519908061</v>
      </c>
      <c r="BI18" s="263">
        <f t="shared" ref="BI18" si="389">BH18+BI17</f>
        <v>1785727.7519908061</v>
      </c>
      <c r="BJ18" s="263">
        <f t="shared" ref="BJ18" si="390">BI18+BJ17</f>
        <v>1785727.7519908061</v>
      </c>
      <c r="BK18" s="263">
        <f t="shared" ref="BK18" si="391">BJ18+BK17</f>
        <v>1785727.7519908061</v>
      </c>
      <c r="BL18" s="263">
        <f t="shared" ref="BL18" si="392">BK18+BL17</f>
        <v>1785727.7519908061</v>
      </c>
      <c r="BM18" s="263">
        <f t="shared" ref="BM18" si="393">BL18+BM17</f>
        <v>1785727.7519908061</v>
      </c>
      <c r="BN18" s="263">
        <f t="shared" ref="BN18" si="394">BM18+BN17</f>
        <v>1785727.7519908061</v>
      </c>
      <c r="BO18" s="263">
        <f t="shared" ref="BO18" si="395">BN18+BO17</f>
        <v>1785727.7519908061</v>
      </c>
      <c r="BP18" s="263">
        <f t="shared" ref="BP18" si="396">BO18+BP17</f>
        <v>1785727.7519908061</v>
      </c>
      <c r="BQ18" s="263">
        <f t="shared" ref="BQ18" si="397">BP18+BQ17</f>
        <v>1785727.7519908061</v>
      </c>
      <c r="BR18" s="263">
        <f t="shared" ref="BR18" si="398">BQ18+BR17</f>
        <v>1785727.7519908061</v>
      </c>
      <c r="BS18" s="263">
        <f t="shared" ref="BS18" si="399">BR18+BS17</f>
        <v>1785727.7519908061</v>
      </c>
      <c r="BT18" s="263">
        <f t="shared" ref="BT18" si="400">BS18+BT17</f>
        <v>1785727.7519908061</v>
      </c>
      <c r="BU18" s="263">
        <f t="shared" ref="BU18" si="401">BT18+BU17</f>
        <v>1785727.7519908061</v>
      </c>
      <c r="BV18" s="263">
        <f t="shared" ref="BV18" si="402">BU18+BV17</f>
        <v>1785727.7519908061</v>
      </c>
      <c r="BW18" s="263">
        <f t="shared" ref="BW18" si="403">BV18+BW17</f>
        <v>1785727.7519908061</v>
      </c>
    </row>
    <row r="19" spans="1:75" s="240" customFormat="1"/>
    <row r="20" spans="1:75">
      <c r="B20" t="s">
        <v>400</v>
      </c>
      <c r="D20" s="620">
        <f>SUM(F20:BM20)</f>
        <v>283948.00000000006</v>
      </c>
      <c r="E20" s="240"/>
      <c r="F20" s="645">
        <f>SUMIFS('Expenditure Breakdown'!$R$26:$R$33, 'Expenditure Breakdown'!$W$26:$W$33, "&gt;="&amp;F1,'Expenditure Breakdown'!$W$26:$W$33, "&lt;"&amp;G1)+SUMIFS('Expenditure Breakdown'!$R$47:$R$54, 'Expenditure Breakdown'!$W$47:$W$54, "&gt;="&amp;F1,'Expenditure Breakdown'!$W$47:$W$54, "&lt;"&amp;G1)+SUMIFS('Expenditure Breakdown'!$R$72:$R$79, 'Expenditure Breakdown'!$W$72:$W$79, "&gt;="&amp;F1,'Expenditure Breakdown'!$W$72:$W$79, "&lt;"&amp;G1)</f>
        <v>0</v>
      </c>
      <c r="G20" s="645">
        <f>SUMIFS('Expenditure Breakdown'!$R$26:$R$33, 'Expenditure Breakdown'!$W$26:$W$33, "&gt;="&amp;G1,'Expenditure Breakdown'!$W$26:$W$33, "&lt;"&amp;H1)+SUMIFS('Expenditure Breakdown'!$R$47:$R$54, 'Expenditure Breakdown'!$W$47:$W$54, "&gt;="&amp;G1,'Expenditure Breakdown'!$W$47:$W$54, "&lt;"&amp;H1)+SUMIFS('Expenditure Breakdown'!$R$72:$R$79, 'Expenditure Breakdown'!$W$72:$W$79, "&gt;="&amp;G1,'Expenditure Breakdown'!$W$72:$W$79, "&lt;"&amp;H1)</f>
        <v>0</v>
      </c>
      <c r="H20" s="645">
        <f>SUMIFS('Expenditure Breakdown'!$R$26:$R$33, 'Expenditure Breakdown'!$W$26:$W$33, "&gt;="&amp;H1,'Expenditure Breakdown'!$W$26:$W$33, "&lt;"&amp;I1)+SUMIFS('Expenditure Breakdown'!$R$47:$R$54, 'Expenditure Breakdown'!$W$47:$W$54, "&gt;="&amp;H1,'Expenditure Breakdown'!$W$47:$W$54, "&lt;"&amp;I1)+SUMIFS('Expenditure Breakdown'!$R$72:$R$79, 'Expenditure Breakdown'!$W$72:$W$79, "&gt;="&amp;H1,'Expenditure Breakdown'!$W$72:$W$79, "&lt;"&amp;I1)</f>
        <v>0</v>
      </c>
      <c r="I20" s="645">
        <f>SUMIFS('Expenditure Breakdown'!$R$26:$R$33, 'Expenditure Breakdown'!$W$26:$W$33, "&gt;="&amp;I1,'Expenditure Breakdown'!$W$26:$W$33, "&lt;"&amp;J1)+SUMIFS('Expenditure Breakdown'!$R$47:$R$54, 'Expenditure Breakdown'!$W$47:$W$54, "&gt;="&amp;I1,'Expenditure Breakdown'!$W$47:$W$54, "&lt;"&amp;J1)+SUMIFS('Expenditure Breakdown'!$R$72:$R$79, 'Expenditure Breakdown'!$W$72:$W$79, "&gt;="&amp;I1,'Expenditure Breakdown'!$W$72:$W$79, "&lt;"&amp;J1)</f>
        <v>0</v>
      </c>
      <c r="J20" s="645">
        <f>SUMIFS('Expenditure Breakdown'!$R$26:$R$33, 'Expenditure Breakdown'!$W$26:$W$33, "&gt;="&amp;J1,'Expenditure Breakdown'!$W$26:$W$33, "&lt;"&amp;K1)+SUMIFS('Expenditure Breakdown'!$R$47:$R$54, 'Expenditure Breakdown'!$W$47:$W$54, "&gt;="&amp;J1,'Expenditure Breakdown'!$W$47:$W$54, "&lt;"&amp;K1)+SUMIFS('Expenditure Breakdown'!$R$72:$R$79, 'Expenditure Breakdown'!$W$72:$W$79, "&gt;="&amp;J1,'Expenditure Breakdown'!$W$72:$W$79, "&lt;"&amp;K1)</f>
        <v>0</v>
      </c>
      <c r="K20" s="645">
        <f>SUMIFS('Expenditure Breakdown'!$R$26:$R$33, 'Expenditure Breakdown'!$W$26:$W$33, "&gt;="&amp;K1,'Expenditure Breakdown'!$W$26:$W$33, "&lt;"&amp;L1)+SUMIFS('Expenditure Breakdown'!$R$47:$R$54, 'Expenditure Breakdown'!$W$47:$W$54, "&gt;="&amp;K1,'Expenditure Breakdown'!$W$47:$W$54, "&lt;"&amp;L1)+SUMIFS('Expenditure Breakdown'!$R$72:$R$79, 'Expenditure Breakdown'!$W$72:$W$79, "&gt;="&amp;K1,'Expenditure Breakdown'!$W$72:$W$79, "&lt;"&amp;L1)</f>
        <v>0</v>
      </c>
      <c r="L20" s="645">
        <f>SUMIFS('Expenditure Breakdown'!$R$26:$R$33, 'Expenditure Breakdown'!$W$26:$W$33, "&gt;="&amp;L1,'Expenditure Breakdown'!$W$26:$W$33, "&lt;"&amp;M1)+SUMIFS('Expenditure Breakdown'!$R$47:$R$54, 'Expenditure Breakdown'!$W$47:$W$54, "&gt;="&amp;L1,'Expenditure Breakdown'!$W$47:$W$54, "&lt;"&amp;M1)+SUMIFS('Expenditure Breakdown'!$R$72:$R$79, 'Expenditure Breakdown'!$W$72:$W$79, "&gt;="&amp;L1,'Expenditure Breakdown'!$W$72:$W$79, "&lt;"&amp;M1)</f>
        <v>0</v>
      </c>
      <c r="M20" s="645">
        <f>SUMIFS('Expenditure Breakdown'!$R$26:$R$33, 'Expenditure Breakdown'!$W$26:$W$33, "&gt;="&amp;M1,'Expenditure Breakdown'!$W$26:$W$33, "&lt;"&amp;N1)+SUMIFS('Expenditure Breakdown'!$R$47:$R$54, 'Expenditure Breakdown'!$W$47:$W$54, "&gt;="&amp;M1,'Expenditure Breakdown'!$W$47:$W$54, "&lt;"&amp;N1)+SUMIFS('Expenditure Breakdown'!$R$72:$R$79, 'Expenditure Breakdown'!$W$72:$W$79, "&gt;="&amp;M1,'Expenditure Breakdown'!$W$72:$W$79, "&lt;"&amp;N1)</f>
        <v>0</v>
      </c>
      <c r="N20" s="645">
        <f>SUMIFS('Expenditure Breakdown'!$R$26:$R$33, 'Expenditure Breakdown'!$W$26:$W$33, "&gt;="&amp;N1,'Expenditure Breakdown'!$W$26:$W$33, "&lt;"&amp;O1)+SUMIFS('Expenditure Breakdown'!$R$47:$R$54, 'Expenditure Breakdown'!$W$47:$W$54, "&gt;="&amp;N1,'Expenditure Breakdown'!$W$47:$W$54, "&lt;"&amp;O1)+SUMIFS('Expenditure Breakdown'!$R$72:$R$79, 'Expenditure Breakdown'!$W$72:$W$79, "&gt;="&amp;N1,'Expenditure Breakdown'!$W$72:$W$79, "&lt;"&amp;O1)</f>
        <v>0</v>
      </c>
      <c r="O20" s="645">
        <f>SUMIFS('Expenditure Breakdown'!$R$26:$R$33, 'Expenditure Breakdown'!$W$26:$W$33, "&gt;="&amp;O1,'Expenditure Breakdown'!$W$26:$W$33, "&lt;"&amp;P1)+SUMIFS('Expenditure Breakdown'!$R$47:$R$54, 'Expenditure Breakdown'!$W$47:$W$54, "&gt;="&amp;O1,'Expenditure Breakdown'!$W$47:$W$54, "&lt;"&amp;P1)+SUMIFS('Expenditure Breakdown'!$R$72:$R$79, 'Expenditure Breakdown'!$W$72:$W$79, "&gt;="&amp;O1,'Expenditure Breakdown'!$W$72:$W$79, "&lt;"&amp;P1)</f>
        <v>0</v>
      </c>
      <c r="P20" s="645">
        <f>SUMIFS('Expenditure Breakdown'!$R$26:$R$33, 'Expenditure Breakdown'!$W$26:$W$33, "&gt;="&amp;P1,'Expenditure Breakdown'!$W$26:$W$33, "&lt;"&amp;Q1)+SUMIFS('Expenditure Breakdown'!$R$47:$R$54, 'Expenditure Breakdown'!$W$47:$W$54, "&gt;="&amp;P1,'Expenditure Breakdown'!$W$47:$W$54, "&lt;"&amp;Q1)+SUMIFS('Expenditure Breakdown'!$R$72:$R$79, 'Expenditure Breakdown'!$W$72:$W$79, "&gt;="&amp;P1,'Expenditure Breakdown'!$W$72:$W$79, "&lt;"&amp;Q1)</f>
        <v>0</v>
      </c>
      <c r="Q20" s="645">
        <f>SUMIFS('Expenditure Breakdown'!$R$26:$R$33, 'Expenditure Breakdown'!$W$26:$W$33, "&gt;="&amp;Q1,'Expenditure Breakdown'!$W$26:$W$33, "&lt;"&amp;R1)+SUMIFS('Expenditure Breakdown'!$R$47:$R$54, 'Expenditure Breakdown'!$W$47:$W$54, "&gt;="&amp;Q1,'Expenditure Breakdown'!$W$47:$W$54, "&lt;"&amp;R1)+SUMIFS('Expenditure Breakdown'!$R$72:$R$79, 'Expenditure Breakdown'!$W$72:$W$79, "&gt;="&amp;Q1,'Expenditure Breakdown'!$W$72:$W$79, "&lt;"&amp;R1)</f>
        <v>0</v>
      </c>
      <c r="R20" s="645">
        <f>SUMIFS('Expenditure Breakdown'!$R$26:$R$33, 'Expenditure Breakdown'!$W$26:$W$33, "&gt;="&amp;R1,'Expenditure Breakdown'!$W$26:$W$33, "&lt;"&amp;S1)+SUMIFS('Expenditure Breakdown'!$R$47:$R$54, 'Expenditure Breakdown'!$W$47:$W$54, "&gt;="&amp;R1,'Expenditure Breakdown'!$W$47:$W$54, "&lt;"&amp;S1)+SUMIFS('Expenditure Breakdown'!$R$72:$R$79, 'Expenditure Breakdown'!$W$72:$W$79, "&gt;="&amp;R1,'Expenditure Breakdown'!$W$72:$W$79, "&lt;"&amp;S1)</f>
        <v>0</v>
      </c>
      <c r="S20" s="645">
        <f>SUMIFS('Expenditure Breakdown'!$R$26:$R$33, 'Expenditure Breakdown'!$W$26:$W$33, "&gt;="&amp;S1,'Expenditure Breakdown'!$W$26:$W$33, "&lt;"&amp;T1)+SUMIFS('Expenditure Breakdown'!$R$47:$R$54, 'Expenditure Breakdown'!$W$47:$W$54, "&gt;="&amp;S1,'Expenditure Breakdown'!$W$47:$W$54, "&lt;"&amp;T1)+SUMIFS('Expenditure Breakdown'!$R$72:$R$79, 'Expenditure Breakdown'!$W$72:$W$79, "&gt;="&amp;S1,'Expenditure Breakdown'!$W$72:$W$79, "&lt;"&amp;T1)</f>
        <v>70987</v>
      </c>
      <c r="T20" s="645">
        <f>SUMIFS('Expenditure Breakdown'!$R$26:$R$33, 'Expenditure Breakdown'!$W$26:$W$33, "&gt;="&amp;T1,'Expenditure Breakdown'!$W$26:$W$33, "&lt;"&amp;U1)+SUMIFS('Expenditure Breakdown'!$R$47:$R$54, 'Expenditure Breakdown'!$W$47:$W$54, "&gt;="&amp;T1,'Expenditure Breakdown'!$W$47:$W$54, "&lt;"&amp;U1)+SUMIFS('Expenditure Breakdown'!$R$72:$R$79, 'Expenditure Breakdown'!$W$72:$W$79, "&gt;="&amp;T1,'Expenditure Breakdown'!$W$72:$W$79, "&lt;"&amp;U1)</f>
        <v>0</v>
      </c>
      <c r="U20" s="645">
        <f>SUMIFS('Expenditure Breakdown'!$R$26:$R$33, 'Expenditure Breakdown'!$W$26:$W$33, "&gt;="&amp;U1,'Expenditure Breakdown'!$W$26:$W$33, "&lt;"&amp;V1)+SUMIFS('Expenditure Breakdown'!$R$47:$R$54, 'Expenditure Breakdown'!$W$47:$W$54, "&gt;="&amp;U1,'Expenditure Breakdown'!$W$47:$W$54, "&lt;"&amp;V1)+SUMIFS('Expenditure Breakdown'!$R$72:$R$79, 'Expenditure Breakdown'!$W$72:$W$79, "&gt;="&amp;U1,'Expenditure Breakdown'!$W$72:$W$79, "&lt;"&amp;V1)</f>
        <v>0</v>
      </c>
      <c r="V20" s="645">
        <f>SUMIFS('Expenditure Breakdown'!$R$26:$R$33, 'Expenditure Breakdown'!$W$26:$W$33, "&gt;="&amp;V1,'Expenditure Breakdown'!$W$26:$W$33, "&lt;"&amp;W1)+SUMIFS('Expenditure Breakdown'!$R$47:$R$54, 'Expenditure Breakdown'!$W$47:$W$54, "&gt;="&amp;V1,'Expenditure Breakdown'!$W$47:$W$54, "&lt;"&amp;W1)+SUMIFS('Expenditure Breakdown'!$R$72:$R$79, 'Expenditure Breakdown'!$W$72:$W$79, "&gt;="&amp;V1,'Expenditure Breakdown'!$W$72:$W$79, "&lt;"&amp;W1)</f>
        <v>0</v>
      </c>
      <c r="W20" s="645">
        <f>SUMIFS('Expenditure Breakdown'!$R$26:$R$33, 'Expenditure Breakdown'!$W$26:$W$33, "&gt;="&amp;W1,'Expenditure Breakdown'!$W$26:$W$33, "&lt;"&amp;X1)+SUMIFS('Expenditure Breakdown'!$R$47:$R$54, 'Expenditure Breakdown'!$W$47:$W$54, "&gt;="&amp;W1,'Expenditure Breakdown'!$W$47:$W$54, "&lt;"&amp;X1)+SUMIFS('Expenditure Breakdown'!$R$72:$R$79, 'Expenditure Breakdown'!$W$72:$W$79, "&gt;="&amp;W1,'Expenditure Breakdown'!$W$72:$W$79, "&lt;"&amp;X1)</f>
        <v>0</v>
      </c>
      <c r="X20" s="645">
        <f>SUMIFS('Expenditure Breakdown'!$R$26:$R$33, 'Expenditure Breakdown'!$W$26:$W$33, "&gt;="&amp;X1,'Expenditure Breakdown'!$W$26:$W$33, "&lt;"&amp;Y1)+SUMIFS('Expenditure Breakdown'!$R$47:$R$54, 'Expenditure Breakdown'!$W$47:$W$54, "&gt;="&amp;X1,'Expenditure Breakdown'!$W$47:$W$54, "&lt;"&amp;Y1)+SUMIFS('Expenditure Breakdown'!$R$72:$R$79, 'Expenditure Breakdown'!$W$72:$W$79, "&gt;="&amp;X1,'Expenditure Breakdown'!$W$72:$W$79, "&lt;"&amp;Y1)</f>
        <v>0</v>
      </c>
      <c r="Y20" s="645">
        <f>SUMIFS('Expenditure Breakdown'!$R$26:$R$33, 'Expenditure Breakdown'!$W$26:$W$33, "&gt;="&amp;Y1,'Expenditure Breakdown'!$W$26:$W$33, "&lt;"&amp;Z1)+SUMIFS('Expenditure Breakdown'!$R$47:$R$54, 'Expenditure Breakdown'!$W$47:$W$54, "&gt;="&amp;Y1,'Expenditure Breakdown'!$W$47:$W$54, "&lt;"&amp;Z1)+SUMIFS('Expenditure Breakdown'!$R$72:$R$79, 'Expenditure Breakdown'!$W$72:$W$79, "&gt;="&amp;Y1,'Expenditure Breakdown'!$W$72:$W$79, "&lt;"&amp;Z1)</f>
        <v>127776.6</v>
      </c>
      <c r="Z20" s="645">
        <f>SUMIFS('Expenditure Breakdown'!$R$26:$R$33, 'Expenditure Breakdown'!$W$26:$W$33, "&gt;="&amp;Z1,'Expenditure Breakdown'!$W$26:$W$33, "&lt;"&amp;AA1)+SUMIFS('Expenditure Breakdown'!$R$47:$R$54, 'Expenditure Breakdown'!$W$47:$W$54, "&gt;="&amp;Z1,'Expenditure Breakdown'!$W$47:$W$54, "&lt;"&amp;AA1)+SUMIFS('Expenditure Breakdown'!$R$72:$R$79, 'Expenditure Breakdown'!$W$72:$W$79, "&gt;="&amp;Z1,'Expenditure Breakdown'!$W$72:$W$79, "&lt;"&amp;AA1)</f>
        <v>28394.800000000003</v>
      </c>
      <c r="AA20" s="645">
        <f>SUMIFS('Expenditure Breakdown'!$R$26:$R$33, 'Expenditure Breakdown'!$W$26:$W$33, "&gt;="&amp;AA1,'Expenditure Breakdown'!$W$26:$W$33, "&lt;"&amp;AB1)+SUMIFS('Expenditure Breakdown'!$R$47:$R$54, 'Expenditure Breakdown'!$W$47:$W$54, "&gt;="&amp;AA1,'Expenditure Breakdown'!$W$47:$W$54, "&lt;"&amp;AB1)+SUMIFS('Expenditure Breakdown'!$R$72:$R$79, 'Expenditure Breakdown'!$W$72:$W$79, "&gt;="&amp;AA1,'Expenditure Breakdown'!$W$72:$W$79, "&lt;"&amp;AB1)</f>
        <v>0</v>
      </c>
      <c r="AB20" s="645">
        <f>SUMIFS('Expenditure Breakdown'!$R$26:$R$33, 'Expenditure Breakdown'!$W$26:$W$33, "&gt;="&amp;AB1,'Expenditure Breakdown'!$W$26:$W$33, "&lt;"&amp;AC1)+SUMIFS('Expenditure Breakdown'!$R$47:$R$54, 'Expenditure Breakdown'!$W$47:$W$54, "&gt;="&amp;AB1,'Expenditure Breakdown'!$W$47:$W$54, "&lt;"&amp;AC1)+SUMIFS('Expenditure Breakdown'!$R$72:$R$79, 'Expenditure Breakdown'!$W$72:$W$79, "&gt;="&amp;AB1,'Expenditure Breakdown'!$W$72:$W$79, "&lt;"&amp;AC1)</f>
        <v>0</v>
      </c>
      <c r="AC20" s="645">
        <f>SUMIFS('Expenditure Breakdown'!$R$26:$R$33, 'Expenditure Breakdown'!$W$26:$W$33, "&gt;="&amp;AC1,'Expenditure Breakdown'!$W$26:$W$33, "&lt;"&amp;AD1)+SUMIFS('Expenditure Breakdown'!$R$47:$R$54, 'Expenditure Breakdown'!$W$47:$W$54, "&gt;="&amp;AC1,'Expenditure Breakdown'!$W$47:$W$54, "&lt;"&amp;AD1)+SUMIFS('Expenditure Breakdown'!$R$72:$R$79, 'Expenditure Breakdown'!$W$72:$W$79, "&gt;="&amp;AC1,'Expenditure Breakdown'!$W$72:$W$79, "&lt;"&amp;AD1)</f>
        <v>0</v>
      </c>
      <c r="AD20" s="645">
        <f>SUMIFS('Expenditure Breakdown'!$R$26:$R$33, 'Expenditure Breakdown'!$W$26:$W$33, "&gt;="&amp;AD1,'Expenditure Breakdown'!$W$26:$W$33, "&lt;"&amp;AE1)+SUMIFS('Expenditure Breakdown'!$R$47:$R$54, 'Expenditure Breakdown'!$W$47:$W$54, "&gt;="&amp;AD1,'Expenditure Breakdown'!$W$47:$W$54, "&lt;"&amp;AE1)+SUMIFS('Expenditure Breakdown'!$R$72:$R$79, 'Expenditure Breakdown'!$W$72:$W$79, "&gt;="&amp;AD1,'Expenditure Breakdown'!$W$72:$W$79, "&lt;"&amp;AE1)</f>
        <v>0</v>
      </c>
      <c r="AE20" s="645">
        <f>SUMIFS('Expenditure Breakdown'!$R$26:$R$33, 'Expenditure Breakdown'!$W$26:$W$33, "&gt;="&amp;AE1,'Expenditure Breakdown'!$W$26:$W$33, "&lt;"&amp;AF1)+SUMIFS('Expenditure Breakdown'!$R$47:$R$54, 'Expenditure Breakdown'!$W$47:$W$54, "&gt;="&amp;AE1,'Expenditure Breakdown'!$W$47:$W$54, "&lt;"&amp;AF1)+SUMIFS('Expenditure Breakdown'!$R$72:$R$79, 'Expenditure Breakdown'!$W$72:$W$79, "&gt;="&amp;AE1,'Expenditure Breakdown'!$W$72:$W$79, "&lt;"&amp;AF1)</f>
        <v>0</v>
      </c>
      <c r="AF20" s="645">
        <f>SUMIFS('Expenditure Breakdown'!$R$26:$R$33, 'Expenditure Breakdown'!$W$26:$W$33, "&gt;="&amp;AF1,'Expenditure Breakdown'!$W$26:$W$33, "&lt;"&amp;AG1)+SUMIFS('Expenditure Breakdown'!$R$47:$R$54, 'Expenditure Breakdown'!$W$47:$W$54, "&gt;="&amp;AF1,'Expenditure Breakdown'!$W$47:$W$54, "&lt;"&amp;AG1)+SUMIFS('Expenditure Breakdown'!$R$72:$R$79, 'Expenditure Breakdown'!$W$72:$W$79, "&gt;="&amp;AF1,'Expenditure Breakdown'!$W$72:$W$79, "&lt;"&amp;AG1)</f>
        <v>0</v>
      </c>
      <c r="AG20" s="645">
        <f>SUMIFS('Expenditure Breakdown'!$R$26:$R$33, 'Expenditure Breakdown'!$W$26:$W$33, "&gt;="&amp;AG1,'Expenditure Breakdown'!$W$26:$W$33, "&lt;"&amp;AH1)+SUMIFS('Expenditure Breakdown'!$R$47:$R$54, 'Expenditure Breakdown'!$W$47:$W$54, "&gt;="&amp;AG1,'Expenditure Breakdown'!$W$47:$W$54, "&lt;"&amp;AH1)+SUMIFS('Expenditure Breakdown'!$R$72:$R$79, 'Expenditure Breakdown'!$W$72:$W$79, "&gt;="&amp;AG1,'Expenditure Breakdown'!$W$72:$W$79, "&lt;"&amp;AH1)</f>
        <v>0</v>
      </c>
      <c r="AH20" s="645">
        <f>SUMIFS('Expenditure Breakdown'!$R$26:$R$33, 'Expenditure Breakdown'!$W$26:$W$33, "&gt;="&amp;AH1,'Expenditure Breakdown'!$W$26:$W$33, "&lt;"&amp;AI1)+SUMIFS('Expenditure Breakdown'!$R$47:$R$54, 'Expenditure Breakdown'!$W$47:$W$54, "&gt;="&amp;AH1,'Expenditure Breakdown'!$W$47:$W$54, "&lt;"&amp;AI1)+SUMIFS('Expenditure Breakdown'!$R$72:$R$79, 'Expenditure Breakdown'!$W$72:$W$79, "&gt;="&amp;AH1,'Expenditure Breakdown'!$W$72:$W$79, "&lt;"&amp;AI1)</f>
        <v>0</v>
      </c>
      <c r="AI20" s="645">
        <f>SUMIFS('Expenditure Breakdown'!$R$26:$R$33, 'Expenditure Breakdown'!$W$26:$W$33, "&gt;="&amp;AI1,'Expenditure Breakdown'!$W$26:$W$33, "&lt;"&amp;AJ1)+SUMIFS('Expenditure Breakdown'!$R$47:$R$54, 'Expenditure Breakdown'!$W$47:$W$54, "&gt;="&amp;AI1,'Expenditure Breakdown'!$W$47:$W$54, "&lt;"&amp;AJ1)+SUMIFS('Expenditure Breakdown'!$R$72:$R$79, 'Expenditure Breakdown'!$W$72:$W$79, "&gt;="&amp;AI1,'Expenditure Breakdown'!$W$72:$W$79, "&lt;"&amp;AJ1)</f>
        <v>0</v>
      </c>
      <c r="AJ20" s="645">
        <f>SUMIFS('Expenditure Breakdown'!$R$26:$R$33, 'Expenditure Breakdown'!$W$26:$W$33, "&gt;="&amp;AJ1,'Expenditure Breakdown'!$W$26:$W$33, "&lt;"&amp;AK1)+SUMIFS('Expenditure Breakdown'!$R$47:$R$54, 'Expenditure Breakdown'!$W$47:$W$54, "&gt;="&amp;AJ1,'Expenditure Breakdown'!$W$47:$W$54, "&lt;"&amp;AK1)+SUMIFS('Expenditure Breakdown'!$R$72:$R$79, 'Expenditure Breakdown'!$W$72:$W$79, "&gt;="&amp;AJ1,'Expenditure Breakdown'!$W$72:$W$79, "&lt;"&amp;AK1)</f>
        <v>42592.200000000004</v>
      </c>
      <c r="AK20" s="645">
        <f>SUMIFS('Expenditure Breakdown'!$R$26:$R$33, 'Expenditure Breakdown'!$W$26:$W$33, "&gt;="&amp;AK1,'Expenditure Breakdown'!$W$26:$W$33, "&lt;"&amp;AL1)+SUMIFS('Expenditure Breakdown'!$R$47:$R$54, 'Expenditure Breakdown'!$W$47:$W$54, "&gt;="&amp;AK1,'Expenditure Breakdown'!$W$47:$W$54, "&lt;"&amp;AL1)+SUMIFS('Expenditure Breakdown'!$R$72:$R$79, 'Expenditure Breakdown'!$W$72:$W$79, "&gt;="&amp;AK1,'Expenditure Breakdown'!$W$72:$W$79, "&lt;"&amp;AL1)</f>
        <v>0</v>
      </c>
      <c r="AL20" s="645">
        <f>SUMIFS('Expenditure Breakdown'!$R$26:$R$33, 'Expenditure Breakdown'!$W$26:$W$33, "&gt;="&amp;AL1,'Expenditure Breakdown'!$W$26:$W$33, "&lt;"&amp;AM1)+SUMIFS('Expenditure Breakdown'!$R$47:$R$54, 'Expenditure Breakdown'!$W$47:$W$54, "&gt;="&amp;AL1,'Expenditure Breakdown'!$W$47:$W$54, "&lt;"&amp;AM1)+SUMIFS('Expenditure Breakdown'!$R$72:$R$79, 'Expenditure Breakdown'!$W$72:$W$79, "&gt;="&amp;AL1,'Expenditure Breakdown'!$W$72:$W$79, "&lt;"&amp;AM1)</f>
        <v>0</v>
      </c>
      <c r="AM20" s="645">
        <f>SUMIFS('Expenditure Breakdown'!$R$26:$R$33, 'Expenditure Breakdown'!$W$26:$W$33, "&gt;="&amp;AM1,'Expenditure Breakdown'!$W$26:$W$33, "&lt;"&amp;AN1)+SUMIFS('Expenditure Breakdown'!$R$47:$R$54, 'Expenditure Breakdown'!$W$47:$W$54, "&gt;="&amp;AM1,'Expenditure Breakdown'!$W$47:$W$54, "&lt;"&amp;AN1)+SUMIFS('Expenditure Breakdown'!$R$72:$R$79, 'Expenditure Breakdown'!$W$72:$W$79, "&gt;="&amp;AM1,'Expenditure Breakdown'!$W$72:$W$79, "&lt;"&amp;AN1)</f>
        <v>14197.400000000001</v>
      </c>
      <c r="AN20" s="645">
        <f>SUMIFS('Expenditure Breakdown'!$R$26:$R$33, 'Expenditure Breakdown'!$W$26:$W$33, "&gt;="&amp;AN1,'Expenditure Breakdown'!$W$26:$W$33, "&lt;"&amp;AO1)+SUMIFS('Expenditure Breakdown'!$R$47:$R$54, 'Expenditure Breakdown'!$W$47:$W$54, "&gt;="&amp;AN1,'Expenditure Breakdown'!$W$47:$W$54, "&lt;"&amp;AO1)+SUMIFS('Expenditure Breakdown'!$R$72:$R$79, 'Expenditure Breakdown'!$W$72:$W$79, "&gt;="&amp;AN1,'Expenditure Breakdown'!$W$72:$W$79, "&lt;"&amp;AO1)</f>
        <v>0</v>
      </c>
      <c r="AO20" s="645">
        <f>SUMIFS('Expenditure Breakdown'!$R$26:$R$33, 'Expenditure Breakdown'!$W$26:$W$33, "&gt;="&amp;AO1,'Expenditure Breakdown'!$W$26:$W$33, "&lt;"&amp;AP1)+SUMIFS('Expenditure Breakdown'!$R$47:$R$54, 'Expenditure Breakdown'!$W$47:$W$54, "&gt;="&amp;AO1,'Expenditure Breakdown'!$W$47:$W$54, "&lt;"&amp;AP1)+SUMIFS('Expenditure Breakdown'!$R$72:$R$79, 'Expenditure Breakdown'!$W$72:$W$79, "&gt;="&amp;AO1,'Expenditure Breakdown'!$W$72:$W$79, "&lt;"&amp;AP1)</f>
        <v>0</v>
      </c>
      <c r="AP20" s="645">
        <f>SUMIFS('Expenditure Breakdown'!$R$26:$R$33, 'Expenditure Breakdown'!$W$26:$W$33, "&gt;="&amp;AP1,'Expenditure Breakdown'!$W$26:$W$33, "&lt;"&amp;AQ1)+SUMIFS('Expenditure Breakdown'!$R$47:$R$54, 'Expenditure Breakdown'!$W$47:$W$54, "&gt;="&amp;AP1,'Expenditure Breakdown'!$W$47:$W$54, "&lt;"&amp;AQ1)+SUMIFS('Expenditure Breakdown'!$R$72:$R$79, 'Expenditure Breakdown'!$W$72:$W$79, "&gt;="&amp;AP1,'Expenditure Breakdown'!$W$72:$W$79, "&lt;"&amp;AQ1)</f>
        <v>0</v>
      </c>
      <c r="AQ20" s="645">
        <f>SUMIFS('Expenditure Breakdown'!$R$26:$R$33, 'Expenditure Breakdown'!$W$26:$W$33, "&gt;="&amp;AQ1,'Expenditure Breakdown'!$W$26:$W$33, "&lt;"&amp;AR1)+SUMIFS('Expenditure Breakdown'!$R$47:$R$54, 'Expenditure Breakdown'!$W$47:$W$54, "&gt;="&amp;AQ1,'Expenditure Breakdown'!$W$47:$W$54, "&lt;"&amp;AR1)+SUMIFS('Expenditure Breakdown'!$R$72:$R$79, 'Expenditure Breakdown'!$W$72:$W$79, "&gt;="&amp;AQ1,'Expenditure Breakdown'!$W$72:$W$79, "&lt;"&amp;AR1)</f>
        <v>0</v>
      </c>
      <c r="AR20" s="645">
        <f>SUMIFS('Expenditure Breakdown'!$R$26:$R$33, 'Expenditure Breakdown'!$W$26:$W$33, "&gt;="&amp;AR1,'Expenditure Breakdown'!$W$26:$W$33, "&lt;"&amp;AS1)+SUMIFS('Expenditure Breakdown'!$R$47:$R$54, 'Expenditure Breakdown'!$W$47:$W$54, "&gt;="&amp;AR1,'Expenditure Breakdown'!$W$47:$W$54, "&lt;"&amp;AS1)+SUMIFS('Expenditure Breakdown'!$R$72:$R$79, 'Expenditure Breakdown'!$W$72:$W$79, "&gt;="&amp;AR1,'Expenditure Breakdown'!$W$72:$W$79, "&lt;"&amp;AS1)</f>
        <v>0</v>
      </c>
      <c r="AS20" s="645">
        <f>SUMIFS('Expenditure Breakdown'!$R$26:$R$33, 'Expenditure Breakdown'!$W$26:$W$33, "&gt;="&amp;AS1,'Expenditure Breakdown'!$W$26:$W$33, "&lt;"&amp;AT1)+SUMIFS('Expenditure Breakdown'!$R$47:$R$54, 'Expenditure Breakdown'!$W$47:$W$54, "&gt;="&amp;AS1,'Expenditure Breakdown'!$W$47:$W$54, "&lt;"&amp;AT1)+SUMIFS('Expenditure Breakdown'!$R$72:$R$79, 'Expenditure Breakdown'!$W$72:$W$79, "&gt;="&amp;AS1,'Expenditure Breakdown'!$W$72:$W$79, "&lt;"&amp;AT1)</f>
        <v>0</v>
      </c>
      <c r="AT20" s="645">
        <f>SUMIFS('Expenditure Breakdown'!$R$26:$R$33, 'Expenditure Breakdown'!$W$26:$W$33, "&gt;="&amp;AT1,'Expenditure Breakdown'!$W$26:$W$33, "&lt;"&amp;AU1)+SUMIFS('Expenditure Breakdown'!$R$47:$R$54, 'Expenditure Breakdown'!$W$47:$W$54, "&gt;="&amp;AT1,'Expenditure Breakdown'!$W$47:$W$54, "&lt;"&amp;AU1)+SUMIFS('Expenditure Breakdown'!$R$72:$R$79, 'Expenditure Breakdown'!$W$72:$W$79, "&gt;="&amp;AT1,'Expenditure Breakdown'!$W$72:$W$79, "&lt;"&amp;AU1)</f>
        <v>0</v>
      </c>
      <c r="AU20" s="645">
        <f>SUMIFS('Expenditure Breakdown'!$R$26:$R$33, 'Expenditure Breakdown'!$W$26:$W$33, "&gt;="&amp;AU1,'Expenditure Breakdown'!$W$26:$W$33, "&lt;"&amp;AV1)+SUMIFS('Expenditure Breakdown'!$R$47:$R$54, 'Expenditure Breakdown'!$W$47:$W$54, "&gt;="&amp;AU1,'Expenditure Breakdown'!$W$47:$W$54, "&lt;"&amp;AV1)+SUMIFS('Expenditure Breakdown'!$R$72:$R$79, 'Expenditure Breakdown'!$W$72:$W$79, "&gt;="&amp;AU1,'Expenditure Breakdown'!$W$72:$W$79, "&lt;"&amp;AV1)</f>
        <v>0</v>
      </c>
      <c r="AV20" s="645">
        <f>SUMIFS('Expenditure Breakdown'!$R$26:$R$33, 'Expenditure Breakdown'!$W$26:$W$33, "&gt;="&amp;AV1,'Expenditure Breakdown'!$W$26:$W$33, "&lt;"&amp;AW1)+SUMIFS('Expenditure Breakdown'!$R$47:$R$54, 'Expenditure Breakdown'!$W$47:$W$54, "&gt;="&amp;AV1,'Expenditure Breakdown'!$W$47:$W$54, "&lt;"&amp;AW1)+SUMIFS('Expenditure Breakdown'!$R$72:$R$79, 'Expenditure Breakdown'!$W$72:$W$79, "&gt;="&amp;AV1,'Expenditure Breakdown'!$W$72:$W$79, "&lt;"&amp;AW1)</f>
        <v>0</v>
      </c>
      <c r="AW20" s="645">
        <f>SUMIFS('Expenditure Breakdown'!$R$26:$R$33, 'Expenditure Breakdown'!$W$26:$W$33, "&gt;="&amp;AW1,'Expenditure Breakdown'!$W$26:$W$33, "&lt;"&amp;AX1)+SUMIFS('Expenditure Breakdown'!$R$47:$R$54, 'Expenditure Breakdown'!$W$47:$W$54, "&gt;="&amp;AW1,'Expenditure Breakdown'!$W$47:$W$54, "&lt;"&amp;AX1)+SUMIFS('Expenditure Breakdown'!$R$72:$R$79, 'Expenditure Breakdown'!$W$72:$W$79, "&gt;="&amp;AW1,'Expenditure Breakdown'!$W$72:$W$79, "&lt;"&amp;AX1)</f>
        <v>0</v>
      </c>
      <c r="AX20" s="645">
        <f>SUMIFS('Expenditure Breakdown'!$R$26:$R$33, 'Expenditure Breakdown'!$W$26:$W$33, "&gt;="&amp;AX1,'Expenditure Breakdown'!$W$26:$W$33, "&lt;"&amp;AY1)+SUMIFS('Expenditure Breakdown'!$R$47:$R$54, 'Expenditure Breakdown'!$W$47:$W$54, "&gt;="&amp;AX1,'Expenditure Breakdown'!$W$47:$W$54, "&lt;"&amp;AY1)+SUMIFS('Expenditure Breakdown'!$R$72:$R$79, 'Expenditure Breakdown'!$W$72:$W$79, "&gt;="&amp;AX1,'Expenditure Breakdown'!$W$72:$W$79, "&lt;"&amp;AY1)</f>
        <v>0</v>
      </c>
      <c r="AY20" s="645">
        <f>SUMIFS('Expenditure Breakdown'!$R$26:$R$33, 'Expenditure Breakdown'!$W$26:$W$33, "&gt;="&amp;AY1,'Expenditure Breakdown'!$W$26:$W$33, "&lt;"&amp;AZ1)+SUMIFS('Expenditure Breakdown'!$R$47:$R$54, 'Expenditure Breakdown'!$W$47:$W$54, "&gt;="&amp;AY1,'Expenditure Breakdown'!$W$47:$W$54, "&lt;"&amp;AZ1)+SUMIFS('Expenditure Breakdown'!$R$72:$R$79, 'Expenditure Breakdown'!$W$72:$W$79, "&gt;="&amp;AY1,'Expenditure Breakdown'!$W$72:$W$79, "&lt;"&amp;AZ1)</f>
        <v>0</v>
      </c>
      <c r="AZ20" s="645">
        <f>SUMIFS('Expenditure Breakdown'!$R$26:$R$33, 'Expenditure Breakdown'!$W$26:$W$33, "&gt;="&amp;AZ1,'Expenditure Breakdown'!$W$26:$W$33, "&lt;"&amp;BA1)+SUMIFS('Expenditure Breakdown'!$R$47:$R$54, 'Expenditure Breakdown'!$W$47:$W$54, "&gt;="&amp;AZ1,'Expenditure Breakdown'!$W$47:$W$54, "&lt;"&amp;BA1)+SUMIFS('Expenditure Breakdown'!$R$72:$R$79, 'Expenditure Breakdown'!$W$72:$W$79, "&gt;="&amp;AZ1,'Expenditure Breakdown'!$W$72:$W$79, "&lt;"&amp;BA1)</f>
        <v>0</v>
      </c>
      <c r="BA20" s="645">
        <f>SUMIFS('Expenditure Breakdown'!$R$26:$R$33, 'Expenditure Breakdown'!$W$26:$W$33, "&gt;="&amp;BA1,'Expenditure Breakdown'!$W$26:$W$33, "&lt;"&amp;BB1)+SUMIFS('Expenditure Breakdown'!$R$47:$R$54, 'Expenditure Breakdown'!$W$47:$W$54, "&gt;="&amp;BA1,'Expenditure Breakdown'!$W$47:$W$54, "&lt;"&amp;BB1)+SUMIFS('Expenditure Breakdown'!$R$72:$R$79, 'Expenditure Breakdown'!$W$72:$W$79, "&gt;="&amp;BA1,'Expenditure Breakdown'!$W$72:$W$79, "&lt;"&amp;BB1)</f>
        <v>0</v>
      </c>
      <c r="BB20" s="645">
        <f>SUMIFS('Expenditure Breakdown'!$R$26:$R$33, 'Expenditure Breakdown'!$W$26:$W$33, "&gt;="&amp;BB1,'Expenditure Breakdown'!$W$26:$W$33, "&lt;"&amp;BC1)+SUMIFS('Expenditure Breakdown'!$R$47:$R$54, 'Expenditure Breakdown'!$W$47:$W$54, "&gt;="&amp;BB1,'Expenditure Breakdown'!$W$47:$W$54, "&lt;"&amp;BC1)+SUMIFS('Expenditure Breakdown'!$R$72:$R$79, 'Expenditure Breakdown'!$W$72:$W$79, "&gt;="&amp;BB1,'Expenditure Breakdown'!$W$72:$W$79, "&lt;"&amp;BC1)</f>
        <v>0</v>
      </c>
      <c r="BC20" s="645">
        <f>SUMIFS('Expenditure Breakdown'!$R$26:$R$33, 'Expenditure Breakdown'!$W$26:$W$33, "&gt;="&amp;BC1,'Expenditure Breakdown'!$W$26:$W$33, "&lt;"&amp;BD1)+SUMIFS('Expenditure Breakdown'!$R$47:$R$54, 'Expenditure Breakdown'!$W$47:$W$54, "&gt;="&amp;BC1,'Expenditure Breakdown'!$W$47:$W$54, "&lt;"&amp;BD1)+SUMIFS('Expenditure Breakdown'!$R$72:$R$79, 'Expenditure Breakdown'!$W$72:$W$79, "&gt;="&amp;BC1,'Expenditure Breakdown'!$W$72:$W$79, "&lt;"&amp;BD1)</f>
        <v>0</v>
      </c>
      <c r="BD20" s="645">
        <f>SUMIFS('Expenditure Breakdown'!$R$26:$R$33, 'Expenditure Breakdown'!$W$26:$W$33, "&gt;="&amp;BD1,'Expenditure Breakdown'!$W$26:$W$33, "&lt;"&amp;BE1)+SUMIFS('Expenditure Breakdown'!$R$47:$R$54, 'Expenditure Breakdown'!$W$47:$W$54, "&gt;="&amp;BD1,'Expenditure Breakdown'!$W$47:$W$54, "&lt;"&amp;BE1)+SUMIFS('Expenditure Breakdown'!$R$72:$R$79, 'Expenditure Breakdown'!$W$72:$W$79, "&gt;="&amp;BD1,'Expenditure Breakdown'!$W$72:$W$79, "&lt;"&amp;BE1)</f>
        <v>0</v>
      </c>
      <c r="BE20" s="645">
        <f>SUMIFS('Expenditure Breakdown'!$R$26:$R$33, 'Expenditure Breakdown'!$W$26:$W$33, "&gt;="&amp;BE1,'Expenditure Breakdown'!$W$26:$W$33, "&lt;"&amp;BF1)+SUMIFS('Expenditure Breakdown'!$R$47:$R$54, 'Expenditure Breakdown'!$W$47:$W$54, "&gt;="&amp;BE1,'Expenditure Breakdown'!$W$47:$W$54, "&lt;"&amp;BF1)+SUMIFS('Expenditure Breakdown'!$R$72:$R$79, 'Expenditure Breakdown'!$W$72:$W$79, "&gt;="&amp;BE1,'Expenditure Breakdown'!$W$72:$W$79, "&lt;"&amp;BF1)</f>
        <v>0</v>
      </c>
      <c r="BF20" s="645">
        <f>SUMIFS('Expenditure Breakdown'!$R$26:$R$33, 'Expenditure Breakdown'!$W$26:$W$33, "&gt;="&amp;BF1,'Expenditure Breakdown'!$W$26:$W$33, "&lt;"&amp;BG1)+SUMIFS('Expenditure Breakdown'!$R$47:$R$54, 'Expenditure Breakdown'!$W$47:$W$54, "&gt;="&amp;BF1,'Expenditure Breakdown'!$W$47:$W$54, "&lt;"&amp;BG1)+SUMIFS('Expenditure Breakdown'!$R$72:$R$79, 'Expenditure Breakdown'!$W$72:$W$79, "&gt;="&amp;BF1,'Expenditure Breakdown'!$W$72:$W$79, "&lt;"&amp;BG1)</f>
        <v>0</v>
      </c>
      <c r="BG20" s="645">
        <f>SUMIFS('Expenditure Breakdown'!$R$26:$R$33, 'Expenditure Breakdown'!$W$26:$W$33, "&gt;="&amp;BG1,'Expenditure Breakdown'!$W$26:$W$33, "&lt;"&amp;BH1)+SUMIFS('Expenditure Breakdown'!$R$47:$R$54, 'Expenditure Breakdown'!$W$47:$W$54, "&gt;="&amp;BG1,'Expenditure Breakdown'!$W$47:$W$54, "&lt;"&amp;BH1)+SUMIFS('Expenditure Breakdown'!$R$72:$R$79, 'Expenditure Breakdown'!$W$72:$W$79, "&gt;="&amp;BG1,'Expenditure Breakdown'!$W$72:$W$79, "&lt;"&amp;BH1)</f>
        <v>0</v>
      </c>
      <c r="BH20" s="645">
        <f>SUMIFS('Expenditure Breakdown'!$R$26:$R$33, 'Expenditure Breakdown'!$W$26:$W$33, "&gt;="&amp;BH1,'Expenditure Breakdown'!$W$26:$W$33, "&lt;"&amp;BI1)+SUMIFS('Expenditure Breakdown'!$R$47:$R$54, 'Expenditure Breakdown'!$W$47:$W$54, "&gt;="&amp;BH1,'Expenditure Breakdown'!$W$47:$W$54, "&lt;"&amp;BI1)+SUMIFS('Expenditure Breakdown'!$R$72:$R$79, 'Expenditure Breakdown'!$W$72:$W$79, "&gt;="&amp;BH1,'Expenditure Breakdown'!$W$72:$W$79, "&lt;"&amp;BI1)</f>
        <v>0</v>
      </c>
      <c r="BI20" s="645">
        <f>SUMIFS('Expenditure Breakdown'!$R$26:$R$33, 'Expenditure Breakdown'!$W$26:$W$33, "&gt;="&amp;BI1,'Expenditure Breakdown'!$W$26:$W$33, "&lt;"&amp;BJ1)+SUMIFS('Expenditure Breakdown'!$R$47:$R$54, 'Expenditure Breakdown'!$W$47:$W$54, "&gt;="&amp;BI1,'Expenditure Breakdown'!$W$47:$W$54, "&lt;"&amp;BJ1)+SUMIFS('Expenditure Breakdown'!$R$72:$R$79, 'Expenditure Breakdown'!$W$72:$W$79, "&gt;="&amp;BI1,'Expenditure Breakdown'!$W$72:$W$79, "&lt;"&amp;BJ1)</f>
        <v>0</v>
      </c>
      <c r="BJ20" s="645">
        <f>SUMIFS('Expenditure Breakdown'!$R$26:$R$33, 'Expenditure Breakdown'!$W$26:$W$33, "&gt;="&amp;BJ1,'Expenditure Breakdown'!$W$26:$W$33, "&lt;"&amp;BK1)+SUMIFS('Expenditure Breakdown'!$R$47:$R$54, 'Expenditure Breakdown'!$W$47:$W$54, "&gt;="&amp;BJ1,'Expenditure Breakdown'!$W$47:$W$54, "&lt;"&amp;BK1)+SUMIFS('Expenditure Breakdown'!$R$72:$R$79, 'Expenditure Breakdown'!$W$72:$W$79, "&gt;="&amp;BJ1,'Expenditure Breakdown'!$W$72:$W$79, "&lt;"&amp;BK1)</f>
        <v>0</v>
      </c>
      <c r="BK20" s="645">
        <f>SUMIFS('Expenditure Breakdown'!$R$26:$R$33, 'Expenditure Breakdown'!$W$26:$W$33, "&gt;="&amp;BK1,'Expenditure Breakdown'!$W$26:$W$33, "&lt;"&amp;BL1)+SUMIFS('Expenditure Breakdown'!$R$47:$R$54, 'Expenditure Breakdown'!$W$47:$W$54, "&gt;="&amp;BK1,'Expenditure Breakdown'!$W$47:$W$54, "&lt;"&amp;BL1)+SUMIFS('Expenditure Breakdown'!$R$72:$R$79, 'Expenditure Breakdown'!$W$72:$W$79, "&gt;="&amp;BK1,'Expenditure Breakdown'!$W$72:$W$79, "&lt;"&amp;BL1)</f>
        <v>0</v>
      </c>
      <c r="BL20" s="645">
        <f>SUMIFS('Expenditure Breakdown'!$R$26:$R$33, 'Expenditure Breakdown'!$W$26:$W$33, "&gt;="&amp;BL1,'Expenditure Breakdown'!$W$26:$W$33, "&lt;"&amp;BM1)+SUMIFS('Expenditure Breakdown'!$R$47:$R$54, 'Expenditure Breakdown'!$W$47:$W$54, "&gt;="&amp;BL1,'Expenditure Breakdown'!$W$47:$W$54, "&lt;"&amp;BM1)+SUMIFS('Expenditure Breakdown'!$R$72:$R$79, 'Expenditure Breakdown'!$W$72:$W$79, "&gt;="&amp;BL1,'Expenditure Breakdown'!$W$72:$W$79, "&lt;"&amp;BM1)</f>
        <v>0</v>
      </c>
      <c r="BM20" s="645">
        <f>SUMIFS('Expenditure Breakdown'!$R$26:$R$33, 'Expenditure Breakdown'!$W$26:$W$33, "&gt;="&amp;BM1,'Expenditure Breakdown'!$W$26:$W$33, "&lt;"&amp;BN1)+SUMIFS('Expenditure Breakdown'!$R$47:$R$54, 'Expenditure Breakdown'!$W$47:$W$54, "&gt;="&amp;BM1,'Expenditure Breakdown'!$W$47:$W$54, "&lt;"&amp;BN1)+SUMIFS('Expenditure Breakdown'!$R$72:$R$79, 'Expenditure Breakdown'!$W$72:$W$79, "&gt;="&amp;BM1,'Expenditure Breakdown'!$W$72:$W$79, "&lt;"&amp;BN1)</f>
        <v>0</v>
      </c>
      <c r="BN20" s="645">
        <f>SUMIFS('Expenditure Breakdown'!$R$26:$R$33, 'Expenditure Breakdown'!$W$26:$W$33, "&gt;="&amp;BN1,'Expenditure Breakdown'!$W$26:$W$33, "&lt;"&amp;BO1)+SUMIFS('Expenditure Breakdown'!$R$47:$R$54, 'Expenditure Breakdown'!$W$47:$W$54, "&gt;="&amp;BN1,'Expenditure Breakdown'!$W$47:$W$54, "&lt;"&amp;BO1)+SUMIFS('Expenditure Breakdown'!$R$72:$R$79, 'Expenditure Breakdown'!$W$72:$W$79, "&gt;="&amp;BN1,'Expenditure Breakdown'!$W$72:$W$79, "&lt;"&amp;BO1)</f>
        <v>0</v>
      </c>
      <c r="BO20" s="645">
        <f>SUMIFS('Expenditure Breakdown'!$R$26:$R$33, 'Expenditure Breakdown'!$W$26:$W$33, "&gt;="&amp;BO1,'Expenditure Breakdown'!$W$26:$W$33, "&lt;"&amp;BP1)+SUMIFS('Expenditure Breakdown'!$R$47:$R$54, 'Expenditure Breakdown'!$W$47:$W$54, "&gt;="&amp;BO1,'Expenditure Breakdown'!$W$47:$W$54, "&lt;"&amp;BP1)+SUMIFS('Expenditure Breakdown'!$R$72:$R$79, 'Expenditure Breakdown'!$W$72:$W$79, "&gt;="&amp;BO1,'Expenditure Breakdown'!$W$72:$W$79, "&lt;"&amp;BP1)</f>
        <v>0</v>
      </c>
      <c r="BP20" s="645">
        <f>SUMIFS('Expenditure Breakdown'!$R$26:$R$33, 'Expenditure Breakdown'!$W$26:$W$33, "&gt;="&amp;BP1,'Expenditure Breakdown'!$W$26:$W$33, "&lt;"&amp;BQ1)+SUMIFS('Expenditure Breakdown'!$R$47:$R$54, 'Expenditure Breakdown'!$W$47:$W$54, "&gt;="&amp;BP1,'Expenditure Breakdown'!$W$47:$W$54, "&lt;"&amp;BQ1)+SUMIFS('Expenditure Breakdown'!$R$72:$R$79, 'Expenditure Breakdown'!$W$72:$W$79, "&gt;="&amp;BP1,'Expenditure Breakdown'!$W$72:$W$79, "&lt;"&amp;BQ1)</f>
        <v>0</v>
      </c>
      <c r="BQ20" s="645">
        <f>SUMIFS('Expenditure Breakdown'!$R$26:$R$33, 'Expenditure Breakdown'!$W$26:$W$33, "&gt;="&amp;BQ1,'Expenditure Breakdown'!$W$26:$W$33, "&lt;"&amp;BR1)+SUMIFS('Expenditure Breakdown'!$R$47:$R$54, 'Expenditure Breakdown'!$W$47:$W$54, "&gt;="&amp;BQ1,'Expenditure Breakdown'!$W$47:$W$54, "&lt;"&amp;BR1)+SUMIFS('Expenditure Breakdown'!$R$72:$R$79, 'Expenditure Breakdown'!$W$72:$W$79, "&gt;="&amp;BQ1,'Expenditure Breakdown'!$W$72:$W$79, "&lt;"&amp;BR1)</f>
        <v>0</v>
      </c>
      <c r="BR20" s="645">
        <f>SUMIFS('Expenditure Breakdown'!$R$26:$R$33, 'Expenditure Breakdown'!$W$26:$W$33, "&gt;="&amp;BR1,'Expenditure Breakdown'!$W$26:$W$33, "&lt;"&amp;BS1)+SUMIFS('Expenditure Breakdown'!$R$47:$R$54, 'Expenditure Breakdown'!$W$47:$W$54, "&gt;="&amp;BR1,'Expenditure Breakdown'!$W$47:$W$54, "&lt;"&amp;BS1)+SUMIFS('Expenditure Breakdown'!$R$72:$R$79, 'Expenditure Breakdown'!$W$72:$W$79, "&gt;="&amp;BR1,'Expenditure Breakdown'!$W$72:$W$79, "&lt;"&amp;BS1)</f>
        <v>0</v>
      </c>
      <c r="BS20" s="645">
        <f>SUMIFS('Expenditure Breakdown'!$R$26:$R$33, 'Expenditure Breakdown'!$W$26:$W$33, "&gt;="&amp;BS1,'Expenditure Breakdown'!$W$26:$W$33, "&lt;"&amp;BT1)+SUMIFS('Expenditure Breakdown'!$R$47:$R$54, 'Expenditure Breakdown'!$W$47:$W$54, "&gt;="&amp;BS1,'Expenditure Breakdown'!$W$47:$W$54, "&lt;"&amp;BT1)+SUMIFS('Expenditure Breakdown'!$R$72:$R$79, 'Expenditure Breakdown'!$W$72:$W$79, "&gt;="&amp;BS1,'Expenditure Breakdown'!$W$72:$W$79, "&lt;"&amp;BT1)</f>
        <v>0</v>
      </c>
      <c r="BT20" s="645">
        <f>SUMIFS('Expenditure Breakdown'!$R$26:$R$33, 'Expenditure Breakdown'!$W$26:$W$33, "&gt;="&amp;BT1,'Expenditure Breakdown'!$W$26:$W$33, "&lt;"&amp;BU1)+SUMIFS('Expenditure Breakdown'!$R$47:$R$54, 'Expenditure Breakdown'!$W$47:$W$54, "&gt;="&amp;BT1,'Expenditure Breakdown'!$W$47:$W$54, "&lt;"&amp;BU1)+SUMIFS('Expenditure Breakdown'!$R$72:$R$79, 'Expenditure Breakdown'!$W$72:$W$79, "&gt;="&amp;BT1,'Expenditure Breakdown'!$W$72:$W$79, "&lt;"&amp;BU1)</f>
        <v>0</v>
      </c>
      <c r="BU20" s="645">
        <f>SUMIFS('Expenditure Breakdown'!$R$26:$R$33, 'Expenditure Breakdown'!$W$26:$W$33, "&gt;="&amp;BU1,'Expenditure Breakdown'!$W$26:$W$33, "&lt;"&amp;BV1)+SUMIFS('Expenditure Breakdown'!$R$47:$R$54, 'Expenditure Breakdown'!$W$47:$W$54, "&gt;="&amp;BU1,'Expenditure Breakdown'!$W$47:$W$54, "&lt;"&amp;BV1)+SUMIFS('Expenditure Breakdown'!$R$72:$R$79, 'Expenditure Breakdown'!$W$72:$W$79, "&gt;="&amp;BU1,'Expenditure Breakdown'!$W$72:$W$79, "&lt;"&amp;BV1)</f>
        <v>0</v>
      </c>
      <c r="BV20" s="645">
        <f>SUMIFS('Expenditure Breakdown'!$R$26:$R$33, 'Expenditure Breakdown'!$W$26:$W$33, "&gt;="&amp;BV1,'Expenditure Breakdown'!$W$26:$W$33, "&lt;"&amp;BW1)+SUMIFS('Expenditure Breakdown'!$R$47:$R$54, 'Expenditure Breakdown'!$W$47:$W$54, "&gt;="&amp;BV1,'Expenditure Breakdown'!$W$47:$W$54, "&lt;"&amp;BW1)+SUMIFS('Expenditure Breakdown'!$R$72:$R$79, 'Expenditure Breakdown'!$W$72:$W$79, "&gt;="&amp;BV1,'Expenditure Breakdown'!$W$72:$W$79, "&lt;"&amp;BW1)</f>
        <v>0</v>
      </c>
      <c r="BW20" s="645">
        <f>SUMIFS('Expenditure Breakdown'!$R$26:$R$33, 'Expenditure Breakdown'!$W$26:$W$33, "&gt;="&amp;BW1,'Expenditure Breakdown'!$W$26:$W$33, "&lt;"&amp;BX1)+SUMIFS('Expenditure Breakdown'!$R$47:$R$54, 'Expenditure Breakdown'!$W$47:$W$54, "&gt;="&amp;BW1,'Expenditure Breakdown'!$W$47:$W$54, "&lt;"&amp;BX1)+SUMIFS('Expenditure Breakdown'!$R$72:$R$79, 'Expenditure Breakdown'!$W$72:$W$79, "&gt;="&amp;BW1,'Expenditure Breakdown'!$W$72:$W$79, "&lt;"&amp;BX1)</f>
        <v>0</v>
      </c>
    </row>
    <row r="21" spans="1:75">
      <c r="B21" t="s">
        <v>401</v>
      </c>
      <c r="E21" s="240"/>
      <c r="F21" s="645">
        <f>F20</f>
        <v>0</v>
      </c>
      <c r="G21" s="645">
        <f>G20+F21</f>
        <v>0</v>
      </c>
      <c r="H21" s="645">
        <f>H20+G21</f>
        <v>0</v>
      </c>
      <c r="I21" s="645">
        <f t="shared" ref="I21:J21" si="404">I20+H21</f>
        <v>0</v>
      </c>
      <c r="J21" s="645">
        <f t="shared" si="404"/>
        <v>0</v>
      </c>
      <c r="K21" s="645">
        <f t="shared" ref="K21" si="405">K20+J21</f>
        <v>0</v>
      </c>
      <c r="L21" s="645">
        <f t="shared" ref="L21" si="406">L20+K21</f>
        <v>0</v>
      </c>
      <c r="M21" s="645">
        <f t="shared" ref="M21" si="407">M20+L21</f>
        <v>0</v>
      </c>
      <c r="N21" s="645">
        <f t="shared" ref="N21" si="408">N20+M21</f>
        <v>0</v>
      </c>
      <c r="O21" s="645">
        <f t="shared" ref="O21" si="409">O20+N21</f>
        <v>0</v>
      </c>
      <c r="P21" s="645">
        <f t="shared" ref="P21" si="410">P20+O21</f>
        <v>0</v>
      </c>
      <c r="Q21" s="645">
        <f t="shared" ref="Q21" si="411">Q20+P21</f>
        <v>0</v>
      </c>
      <c r="R21" s="645">
        <f t="shared" ref="R21" si="412">R20+Q21</f>
        <v>0</v>
      </c>
      <c r="S21" s="645">
        <f t="shared" ref="S21" si="413">S20+R21</f>
        <v>70987</v>
      </c>
      <c r="T21" s="645">
        <f t="shared" ref="T21" si="414">T20+S21</f>
        <v>70987</v>
      </c>
      <c r="U21" s="645">
        <f t="shared" ref="U21" si="415">U20+T21</f>
        <v>70987</v>
      </c>
      <c r="V21" s="645">
        <f t="shared" ref="V21" si="416">V20+U21</f>
        <v>70987</v>
      </c>
      <c r="W21" s="645">
        <f t="shared" ref="W21" si="417">W20+V21</f>
        <v>70987</v>
      </c>
      <c r="X21" s="645">
        <f t="shared" ref="X21" si="418">X20+W21</f>
        <v>70987</v>
      </c>
      <c r="Y21" s="645">
        <f t="shared" ref="Y21" si="419">Y20+X21</f>
        <v>198763.6</v>
      </c>
      <c r="Z21" s="645">
        <f t="shared" ref="Z21" si="420">Z20+Y21</f>
        <v>227158.40000000002</v>
      </c>
      <c r="AA21" s="645">
        <f t="shared" ref="AA21" si="421">AA20+Z21</f>
        <v>227158.40000000002</v>
      </c>
      <c r="AB21" s="645">
        <f t="shared" ref="AB21" si="422">AB20+AA21</f>
        <v>227158.40000000002</v>
      </c>
      <c r="AC21" s="645">
        <f t="shared" ref="AC21" si="423">AC20+AB21</f>
        <v>227158.40000000002</v>
      </c>
      <c r="AD21" s="645">
        <f t="shared" ref="AD21" si="424">AD20+AC21</f>
        <v>227158.40000000002</v>
      </c>
      <c r="AE21" s="645">
        <f t="shared" ref="AE21" si="425">AE20+AD21</f>
        <v>227158.40000000002</v>
      </c>
      <c r="AF21" s="645">
        <f t="shared" ref="AF21" si="426">AF20+AE21</f>
        <v>227158.40000000002</v>
      </c>
      <c r="AG21" s="645">
        <f t="shared" ref="AG21" si="427">AG20+AF21</f>
        <v>227158.40000000002</v>
      </c>
      <c r="AH21" s="645">
        <f t="shared" ref="AH21" si="428">AH20+AG21</f>
        <v>227158.40000000002</v>
      </c>
      <c r="AI21" s="645">
        <f t="shared" ref="AI21" si="429">AI20+AH21</f>
        <v>227158.40000000002</v>
      </c>
      <c r="AJ21" s="645">
        <f t="shared" ref="AJ21" si="430">AJ20+AI21</f>
        <v>269750.60000000003</v>
      </c>
      <c r="AK21" s="645">
        <f t="shared" ref="AK21" si="431">AK20+AJ21</f>
        <v>269750.60000000003</v>
      </c>
      <c r="AL21" s="645">
        <f t="shared" ref="AL21" si="432">AL20+AK21</f>
        <v>269750.60000000003</v>
      </c>
      <c r="AM21" s="645">
        <f t="shared" ref="AM21" si="433">AM20+AL21</f>
        <v>283948.00000000006</v>
      </c>
      <c r="AN21" s="645">
        <f t="shared" ref="AN21" si="434">AN20+AM21</f>
        <v>283948.00000000006</v>
      </c>
      <c r="AO21" s="645">
        <f t="shared" ref="AO21" si="435">AO20+AN21</f>
        <v>283948.00000000006</v>
      </c>
      <c r="AP21" s="645">
        <f t="shared" ref="AP21" si="436">AP20+AO21</f>
        <v>283948.00000000006</v>
      </c>
      <c r="AQ21" s="645">
        <f t="shared" ref="AQ21" si="437">AQ20+AP21</f>
        <v>283948.00000000006</v>
      </c>
      <c r="AR21" s="645">
        <f t="shared" ref="AR21" si="438">AR20+AQ21</f>
        <v>283948.00000000006</v>
      </c>
      <c r="AS21" s="645">
        <f t="shared" ref="AS21" si="439">AS20+AR21</f>
        <v>283948.00000000006</v>
      </c>
      <c r="AT21" s="645">
        <f t="shared" ref="AT21" si="440">AT20+AS21</f>
        <v>283948.00000000006</v>
      </c>
      <c r="AU21" s="645">
        <f t="shared" ref="AU21" si="441">AU20+AT21</f>
        <v>283948.00000000006</v>
      </c>
      <c r="AV21" s="645">
        <f t="shared" ref="AV21" si="442">AV20+AU21</f>
        <v>283948.00000000006</v>
      </c>
      <c r="AW21" s="645">
        <f t="shared" ref="AW21" si="443">AW20+AV21</f>
        <v>283948.00000000006</v>
      </c>
      <c r="AX21" s="645">
        <f t="shared" ref="AX21" si="444">AX20+AW21</f>
        <v>283948.00000000006</v>
      </c>
      <c r="AY21" s="645">
        <f t="shared" ref="AY21" si="445">AY20+AX21</f>
        <v>283948.00000000006</v>
      </c>
      <c r="AZ21" s="645">
        <f t="shared" ref="AZ21" si="446">AZ20+AY21</f>
        <v>283948.00000000006</v>
      </c>
      <c r="BA21" s="645">
        <f t="shared" ref="BA21" si="447">BA20+AZ21</f>
        <v>283948.00000000006</v>
      </c>
      <c r="BB21" s="645">
        <f t="shared" ref="BB21" si="448">BB20+BA21</f>
        <v>283948.00000000006</v>
      </c>
      <c r="BC21" s="645">
        <f t="shared" ref="BC21" si="449">BC20+BB21</f>
        <v>283948.00000000006</v>
      </c>
      <c r="BD21" s="645">
        <f t="shared" ref="BD21" si="450">BD20+BC21</f>
        <v>283948.00000000006</v>
      </c>
      <c r="BE21" s="645">
        <f t="shared" ref="BE21" si="451">BE20+BD21</f>
        <v>283948.00000000006</v>
      </c>
      <c r="BF21" s="645">
        <f t="shared" ref="BF21" si="452">BF20+BE21</f>
        <v>283948.00000000006</v>
      </c>
      <c r="BG21" s="645">
        <f t="shared" ref="BG21" si="453">BG20+BF21</f>
        <v>283948.00000000006</v>
      </c>
      <c r="BH21" s="645">
        <f t="shared" ref="BH21" si="454">BH20+BG21</f>
        <v>283948.00000000006</v>
      </c>
      <c r="BI21" s="645">
        <f t="shared" ref="BI21" si="455">BI20+BH21</f>
        <v>283948.00000000006</v>
      </c>
      <c r="BJ21" s="645">
        <f t="shared" ref="BJ21" si="456">BJ20+BI21</f>
        <v>283948.00000000006</v>
      </c>
      <c r="BK21" s="645">
        <f t="shared" ref="BK21" si="457">BK20+BJ21</f>
        <v>283948.00000000006</v>
      </c>
      <c r="BL21" s="645">
        <f t="shared" ref="BL21" si="458">BL20+BK21</f>
        <v>283948.00000000006</v>
      </c>
      <c r="BM21" s="645">
        <f t="shared" ref="BM21" si="459">BM20+BL21</f>
        <v>283948.00000000006</v>
      </c>
      <c r="BN21" s="645">
        <f t="shared" ref="BN21" si="460">BN20+BM21</f>
        <v>283948.00000000006</v>
      </c>
      <c r="BO21" s="645">
        <f t="shared" ref="BO21" si="461">BO20+BN21</f>
        <v>283948.00000000006</v>
      </c>
      <c r="BP21" s="645">
        <f t="shared" ref="BP21" si="462">BP20+BO21</f>
        <v>283948.00000000006</v>
      </c>
      <c r="BQ21" s="645">
        <f t="shared" ref="BQ21" si="463">BQ20+BP21</f>
        <v>283948.00000000006</v>
      </c>
      <c r="BR21" s="645">
        <f t="shared" ref="BR21" si="464">BR20+BQ21</f>
        <v>283948.00000000006</v>
      </c>
      <c r="BS21" s="645">
        <f t="shared" ref="BS21" si="465">BS20+BR21</f>
        <v>283948.00000000006</v>
      </c>
      <c r="BT21" s="645">
        <f t="shared" ref="BT21" si="466">BT20+BS21</f>
        <v>283948.00000000006</v>
      </c>
      <c r="BU21" s="645">
        <f t="shared" ref="BU21" si="467">BU20+BT21</f>
        <v>283948.00000000006</v>
      </c>
      <c r="BV21" s="645">
        <f t="shared" ref="BV21" si="468">BV20+BU21</f>
        <v>283948.00000000006</v>
      </c>
      <c r="BW21" s="645">
        <f t="shared" ref="BW21" si="469">BW20+BV21</f>
        <v>283948.00000000006</v>
      </c>
    </row>
    <row r="22" spans="1:75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J17" sqref="J17"/>
    </sheetView>
  </sheetViews>
  <sheetFormatPr defaultColWidth="12.53125" defaultRowHeight="14.25"/>
  <cols>
    <col min="1" max="1" width="36.59765625" style="502" bestFit="1" customWidth="1"/>
    <col min="2" max="2" width="15.265625" style="503" bestFit="1" customWidth="1"/>
    <col min="3" max="3" width="6.73046875" style="502" bestFit="1" customWidth="1"/>
    <col min="4" max="4" width="12.53125" style="502" bestFit="1" customWidth="1"/>
    <col min="5" max="5" width="11.46484375" style="502" bestFit="1" customWidth="1"/>
    <col min="6" max="8" width="12.53125" style="502" bestFit="1" customWidth="1"/>
    <col min="9" max="9" width="11.46484375" style="502" bestFit="1" customWidth="1"/>
    <col min="10" max="13" width="10.796875" style="502" bestFit="1" customWidth="1"/>
    <col min="14" max="14" width="14.19921875" style="502" bestFit="1" customWidth="1"/>
    <col min="15" max="15" width="6" style="502" bestFit="1" customWidth="1"/>
    <col min="16" max="18" width="11.46484375" style="502" bestFit="1" customWidth="1"/>
    <col min="19" max="19" width="13.53125" style="502" bestFit="1" customWidth="1"/>
    <col min="20" max="16384" width="12.53125" style="502"/>
  </cols>
  <sheetData>
    <row r="1" spans="1:20">
      <c r="A1" s="527" t="s">
        <v>228</v>
      </c>
      <c r="B1" t="s">
        <v>402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7" t="s">
        <v>403</v>
      </c>
      <c r="B3" s="527" t="s">
        <v>404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7" t="s">
        <v>405</v>
      </c>
      <c r="B4"/>
      <c r="C4" t="s">
        <v>406</v>
      </c>
      <c r="D4" s="631">
        <v>45504</v>
      </c>
      <c r="E4" s="631">
        <v>45535</v>
      </c>
      <c r="F4" s="631">
        <v>45565</v>
      </c>
      <c r="G4" s="631">
        <v>45596</v>
      </c>
      <c r="H4" s="631">
        <v>45626</v>
      </c>
      <c r="I4" s="631">
        <v>45688</v>
      </c>
      <c r="J4" s="631">
        <v>45716</v>
      </c>
      <c r="K4" s="631">
        <v>45777</v>
      </c>
      <c r="L4" s="631">
        <v>45869</v>
      </c>
      <c r="M4" s="631">
        <v>45900</v>
      </c>
      <c r="N4" t="s">
        <v>407</v>
      </c>
      <c r="O4"/>
      <c r="P4"/>
      <c r="Q4"/>
      <c r="R4"/>
      <c r="S4"/>
      <c r="T4"/>
    </row>
    <row r="5" spans="1:20">
      <c r="A5" s="528" t="s">
        <v>406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/>
      <c r="P5"/>
      <c r="Q5"/>
      <c r="R5"/>
      <c r="S5"/>
      <c r="T5"/>
    </row>
    <row r="6" spans="1:20">
      <c r="A6" s="528" t="s">
        <v>336</v>
      </c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/>
      <c r="P6"/>
      <c r="Q6"/>
      <c r="R6"/>
      <c r="S6"/>
      <c r="T6"/>
    </row>
    <row r="7" spans="1:20">
      <c r="A7" s="528" t="s">
        <v>367</v>
      </c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/>
      <c r="P7"/>
      <c r="Q7"/>
      <c r="R7"/>
      <c r="S7"/>
      <c r="T7"/>
    </row>
    <row r="8" spans="1:20">
      <c r="A8" s="528" t="s">
        <v>235</v>
      </c>
      <c r="B8" s="529"/>
      <c r="C8" s="529">
        <v>0</v>
      </c>
      <c r="D8" s="529">
        <v>521076.48866320669</v>
      </c>
      <c r="E8" s="529"/>
      <c r="F8" s="529"/>
      <c r="G8" s="529">
        <v>55366.446193023206</v>
      </c>
      <c r="H8" s="529"/>
      <c r="I8" s="529"/>
      <c r="J8" s="529"/>
      <c r="K8" s="529"/>
      <c r="L8" s="529"/>
      <c r="M8" s="529"/>
      <c r="N8" s="529">
        <v>576442.93485622993</v>
      </c>
      <c r="O8" s="529"/>
      <c r="P8"/>
      <c r="Q8"/>
      <c r="R8"/>
      <c r="S8"/>
      <c r="T8"/>
    </row>
    <row r="9" spans="1:20">
      <c r="A9" s="528" t="s">
        <v>256</v>
      </c>
      <c r="B9" s="529">
        <v>0</v>
      </c>
      <c r="C9" s="529"/>
      <c r="D9" s="529"/>
      <c r="E9" s="529"/>
      <c r="F9" s="529">
        <v>89531.103147593982</v>
      </c>
      <c r="G9" s="529">
        <v>58023.896852406018</v>
      </c>
      <c r="H9" s="529"/>
      <c r="I9" s="529"/>
      <c r="J9" s="529"/>
      <c r="K9" s="529"/>
      <c r="L9" s="529"/>
      <c r="M9" s="529"/>
      <c r="N9" s="529">
        <v>147555</v>
      </c>
      <c r="O9" s="529"/>
      <c r="P9"/>
      <c r="Q9"/>
      <c r="R9"/>
      <c r="S9"/>
      <c r="T9"/>
    </row>
    <row r="10" spans="1:20">
      <c r="A10" s="528" t="s">
        <v>265</v>
      </c>
      <c r="B10" s="529">
        <v>0</v>
      </c>
      <c r="C10" s="529"/>
      <c r="D10" s="529"/>
      <c r="E10" s="529"/>
      <c r="F10" s="529">
        <v>83362.5</v>
      </c>
      <c r="G10" s="529"/>
      <c r="H10" s="529">
        <v>0</v>
      </c>
      <c r="I10" s="529"/>
      <c r="J10" s="529"/>
      <c r="K10" s="529"/>
      <c r="L10" s="529"/>
      <c r="M10" s="529"/>
      <c r="N10" s="529">
        <v>83362.5</v>
      </c>
      <c r="O10" s="529"/>
      <c r="P10"/>
      <c r="Q10"/>
      <c r="R10"/>
      <c r="S10"/>
      <c r="T10"/>
    </row>
    <row r="11" spans="1:20">
      <c r="A11" s="528" t="s">
        <v>281</v>
      </c>
      <c r="B11" s="529"/>
      <c r="C11" s="529">
        <v>0</v>
      </c>
      <c r="D11" s="529"/>
      <c r="E11" s="529"/>
      <c r="F11" s="529">
        <v>9288.6219216834779</v>
      </c>
      <c r="G11" s="529">
        <v>58288.588665690433</v>
      </c>
      <c r="H11" s="529">
        <v>65020.353451784344</v>
      </c>
      <c r="I11" s="529">
        <v>4644.310960841739</v>
      </c>
      <c r="J11" s="529"/>
      <c r="K11" s="529"/>
      <c r="L11" s="529"/>
      <c r="M11" s="529"/>
      <c r="N11" s="529">
        <v>137241.875</v>
      </c>
      <c r="O11" s="529"/>
      <c r="P11"/>
      <c r="Q11"/>
      <c r="R11"/>
      <c r="S11"/>
      <c r="T11"/>
    </row>
    <row r="12" spans="1:20">
      <c r="A12" s="528" t="s">
        <v>313</v>
      </c>
      <c r="B12" s="529"/>
      <c r="C12" s="529"/>
      <c r="D12" s="529"/>
      <c r="E12" s="529">
        <v>43754.455387137437</v>
      </c>
      <c r="F12" s="529"/>
      <c r="G12" s="529">
        <v>14326.859531870128</v>
      </c>
      <c r="H12" s="529">
        <v>3168.69</v>
      </c>
      <c r="I12" s="529"/>
      <c r="J12" s="529"/>
      <c r="K12" s="529"/>
      <c r="L12" s="529"/>
      <c r="M12" s="529"/>
      <c r="N12" s="529">
        <v>61250.004919007566</v>
      </c>
      <c r="O12" s="529"/>
      <c r="P12"/>
      <c r="Q12"/>
      <c r="R12"/>
      <c r="S12"/>
      <c r="T12"/>
    </row>
    <row r="13" spans="1:20">
      <c r="A13" s="528" t="s">
        <v>329</v>
      </c>
      <c r="B13" s="529">
        <v>0</v>
      </c>
      <c r="C13" s="529">
        <v>0</v>
      </c>
      <c r="D13" s="529"/>
      <c r="E13" s="529"/>
      <c r="F13" s="529">
        <v>70514.228800906072</v>
      </c>
      <c r="G13" s="529">
        <v>105771.34320135911</v>
      </c>
      <c r="H13" s="529">
        <v>135908.41254455256</v>
      </c>
      <c r="I13" s="529">
        <v>9707.7437531823252</v>
      </c>
      <c r="J13" s="529"/>
      <c r="K13" s="529"/>
      <c r="L13" s="529"/>
      <c r="M13" s="529"/>
      <c r="N13" s="529">
        <v>321901.72830000008</v>
      </c>
      <c r="O13" s="529"/>
      <c r="P13"/>
      <c r="Q13"/>
      <c r="R13"/>
      <c r="S13"/>
      <c r="T13"/>
    </row>
    <row r="14" spans="1:20">
      <c r="A14" s="528" t="s">
        <v>338</v>
      </c>
      <c r="B14" s="529"/>
      <c r="C14" s="529"/>
      <c r="D14" s="529"/>
      <c r="E14" s="529"/>
      <c r="F14" s="529"/>
      <c r="G14" s="529">
        <v>0</v>
      </c>
      <c r="H14" s="529"/>
      <c r="I14" s="529">
        <v>49914.42</v>
      </c>
      <c r="J14" s="529"/>
      <c r="K14" s="529"/>
      <c r="L14" s="529"/>
      <c r="M14" s="529"/>
      <c r="N14" s="529">
        <v>49914.42</v>
      </c>
      <c r="O14" s="529"/>
      <c r="P14" s="529"/>
      <c r="Q14"/>
      <c r="R14"/>
      <c r="S14"/>
      <c r="T14"/>
    </row>
    <row r="15" spans="1:20">
      <c r="A15" s="528" t="s">
        <v>353</v>
      </c>
      <c r="B15" s="529"/>
      <c r="C15" s="529"/>
      <c r="D15" s="529"/>
      <c r="E15" s="529"/>
      <c r="F15" s="529">
        <v>14529.411768999998</v>
      </c>
      <c r="G15" s="529">
        <v>21794.117653499998</v>
      </c>
      <c r="H15" s="529">
        <v>101705.88238299999</v>
      </c>
      <c r="I15" s="529">
        <v>7264.7058844999992</v>
      </c>
      <c r="J15" s="529"/>
      <c r="K15" s="529"/>
      <c r="L15" s="529"/>
      <c r="M15" s="529"/>
      <c r="N15" s="529">
        <v>145294.11768999998</v>
      </c>
      <c r="O15" s="529"/>
      <c r="P15"/>
      <c r="Q15"/>
      <c r="R15"/>
      <c r="S15"/>
      <c r="T15"/>
    </row>
    <row r="16" spans="1:20">
      <c r="A16" s="528" t="s">
        <v>355</v>
      </c>
      <c r="B16" s="529">
        <v>0</v>
      </c>
      <c r="C16" s="529">
        <v>0</v>
      </c>
      <c r="D16" s="529"/>
      <c r="E16" s="529"/>
      <c r="F16" s="529">
        <v>3007.4293108335673</v>
      </c>
      <c r="G16" s="529">
        <v>4511.1439662503508</v>
      </c>
      <c r="H16" s="529">
        <v>27754.825053773664</v>
      </c>
      <c r="I16" s="529">
        <v>1896.36216860792</v>
      </c>
      <c r="J16" s="529"/>
      <c r="K16" s="529"/>
      <c r="L16" s="529"/>
      <c r="M16" s="529"/>
      <c r="N16" s="529">
        <v>37169.760499465505</v>
      </c>
      <c r="O16" s="529"/>
      <c r="P16"/>
      <c r="Q16"/>
      <c r="R16"/>
      <c r="S16"/>
      <c r="T16"/>
    </row>
    <row r="17" spans="1:20">
      <c r="A17" s="528" t="s">
        <v>360</v>
      </c>
      <c r="B17" s="529">
        <v>0</v>
      </c>
      <c r="C17" s="529"/>
      <c r="D17" s="529"/>
      <c r="E17" s="529">
        <v>11462.155675412685</v>
      </c>
      <c r="F17" s="529"/>
      <c r="G17" s="529"/>
      <c r="H17" s="529">
        <v>93243.724447436631</v>
      </c>
      <c r="I17" s="529"/>
      <c r="J17" s="529"/>
      <c r="K17" s="529"/>
      <c r="L17" s="529"/>
      <c r="M17" s="529"/>
      <c r="N17" s="529">
        <v>104705.88012284931</v>
      </c>
      <c r="O17" s="529"/>
      <c r="P17"/>
      <c r="Q17"/>
      <c r="R17"/>
      <c r="S17"/>
      <c r="T17"/>
    </row>
    <row r="18" spans="1:20">
      <c r="A18" s="528" t="s">
        <v>373</v>
      </c>
      <c r="B18" s="529"/>
      <c r="C18" s="529">
        <v>0</v>
      </c>
      <c r="D18" s="529"/>
      <c r="E18" s="529"/>
      <c r="F18" s="529"/>
      <c r="G18" s="529"/>
      <c r="H18" s="529">
        <v>118007.18090000001</v>
      </c>
      <c r="I18" s="529"/>
      <c r="J18" s="529"/>
      <c r="K18" s="529"/>
      <c r="L18" s="529"/>
      <c r="M18" s="529">
        <v>0</v>
      </c>
      <c r="N18" s="529">
        <v>118007.18090000001</v>
      </c>
      <c r="O18" s="529"/>
      <c r="P18"/>
      <c r="Q18"/>
      <c r="R18"/>
      <c r="S18"/>
      <c r="T18"/>
    </row>
    <row r="19" spans="1:20">
      <c r="A19" s="528" t="s">
        <v>382</v>
      </c>
      <c r="B19" s="529"/>
      <c r="C19" s="529"/>
      <c r="D19" s="529"/>
      <c r="E19" s="529">
        <v>540.34403629542987</v>
      </c>
      <c r="F19" s="529">
        <v>568.24839458014196</v>
      </c>
      <c r="G19" s="529">
        <v>591.25409047679432</v>
      </c>
      <c r="H19" s="529">
        <v>27.123818011767469</v>
      </c>
      <c r="I19" s="529">
        <v>399.26696446413001</v>
      </c>
      <c r="J19" s="529">
        <v>756.11239942569</v>
      </c>
      <c r="K19" s="529">
        <v>0</v>
      </c>
      <c r="L19" s="529"/>
      <c r="M19" s="529"/>
      <c r="N19" s="529">
        <v>2882.3497032539535</v>
      </c>
      <c r="O19" s="529"/>
      <c r="P19"/>
      <c r="Q19"/>
      <c r="R19"/>
      <c r="S19"/>
      <c r="T19"/>
    </row>
    <row r="20" spans="1:20">
      <c r="A20" s="528" t="s">
        <v>386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/>
      <c r="P20"/>
      <c r="Q20"/>
      <c r="R20"/>
      <c r="S20"/>
      <c r="T20"/>
    </row>
    <row r="21" spans="1:20">
      <c r="A21" s="528" t="s">
        <v>407</v>
      </c>
      <c r="B21" s="529">
        <v>0</v>
      </c>
      <c r="C21" s="529">
        <v>0</v>
      </c>
      <c r="D21" s="529">
        <v>521076.48866320669</v>
      </c>
      <c r="E21" s="529">
        <v>55756.955098845552</v>
      </c>
      <c r="F21" s="529">
        <v>270801.54334459727</v>
      </c>
      <c r="G21" s="529">
        <v>318673.65015457605</v>
      </c>
      <c r="H21" s="529">
        <v>544836.19259855885</v>
      </c>
      <c r="I21" s="529">
        <v>73826.809731596106</v>
      </c>
      <c r="J21" s="529">
        <v>756.11239942569</v>
      </c>
      <c r="K21" s="529">
        <v>0</v>
      </c>
      <c r="L21" s="529"/>
      <c r="M21" s="529">
        <v>0</v>
      </c>
      <c r="N21" s="529">
        <v>1785727.7519908061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9">
        <v>521076.49</v>
      </c>
      <c r="E23">
        <v>55756.959999999999</v>
      </c>
      <c r="F23">
        <v>270801.53999999998</v>
      </c>
      <c r="G23">
        <v>310158.52</v>
      </c>
      <c r="H23">
        <v>544836.18999999994</v>
      </c>
      <c r="I23">
        <v>73826.81</v>
      </c>
      <c r="J23">
        <v>756.11</v>
      </c>
      <c r="K23" s="529">
        <f>SUM(D23:J23)</f>
        <v>1777212.62</v>
      </c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70">
        <f t="shared" ref="D24:J24" si="0">D21-D23</f>
        <v>-1.3367932988330722E-3</v>
      </c>
      <c r="E24" s="870">
        <f t="shared" si="0"/>
        <v>-4.9011544469976798E-3</v>
      </c>
      <c r="F24" s="870">
        <f t="shared" si="0"/>
        <v>3.3445972949266434E-3</v>
      </c>
      <c r="G24" s="870">
        <f t="shared" si="0"/>
        <v>8515.1301545760361</v>
      </c>
      <c r="H24" s="870">
        <f t="shared" si="0"/>
        <v>2.5985589018091559E-3</v>
      </c>
      <c r="I24" s="870">
        <f t="shared" si="0"/>
        <v>-2.6840389182325453E-4</v>
      </c>
      <c r="J24" s="870">
        <f t="shared" si="0"/>
        <v>2.399425689986856E-3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 s="870">
        <f>J23+G24</f>
        <v>9271.2401545760367</v>
      </c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topLeftCell="A10" workbookViewId="0">
      <selection activeCell="K14" sqref="K14"/>
    </sheetView>
  </sheetViews>
  <sheetFormatPr defaultColWidth="8.46484375" defaultRowHeight="14.25"/>
  <cols>
    <col min="1" max="1" width="20" bestFit="1" customWidth="1"/>
    <col min="2" max="2" width="15.265625" style="618" bestFit="1" customWidth="1"/>
    <col min="3" max="3" width="12.19921875" style="618" bestFit="1" customWidth="1"/>
    <col min="4" max="4" width="11.19921875" style="618" bestFit="1" customWidth="1"/>
    <col min="5" max="7" width="12.19921875" style="618" bestFit="1" customWidth="1"/>
    <col min="8" max="8" width="11.19921875" style="618" bestFit="1" customWidth="1"/>
    <col min="9" max="9" width="10.46484375" style="618" bestFit="1" customWidth="1"/>
    <col min="10" max="11" width="10.46484375" bestFit="1" customWidth="1"/>
    <col min="12" max="13" width="11.19921875" bestFit="1" customWidth="1"/>
    <col min="14" max="14" width="13.7304687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14">
      <c r="A3" s="527" t="s">
        <v>408</v>
      </c>
      <c r="B3" s="527" t="s">
        <v>404</v>
      </c>
      <c r="C3"/>
      <c r="D3"/>
      <c r="E3"/>
      <c r="F3"/>
      <c r="G3"/>
      <c r="H3"/>
      <c r="I3"/>
    </row>
    <row r="4" spans="1:14">
      <c r="A4" s="527" t="s">
        <v>405</v>
      </c>
      <c r="B4" t="s">
        <v>406</v>
      </c>
      <c r="C4" s="631">
        <v>45504</v>
      </c>
      <c r="D4" s="631">
        <v>45535</v>
      </c>
      <c r="E4" s="631">
        <v>45565</v>
      </c>
      <c r="F4" s="631">
        <v>45596</v>
      </c>
      <c r="G4" s="631">
        <v>45626</v>
      </c>
      <c r="H4" s="631">
        <v>45688</v>
      </c>
      <c r="I4" s="631">
        <v>45716</v>
      </c>
      <c r="J4" s="631">
        <v>45777</v>
      </c>
      <c r="L4" s="631">
        <v>45869</v>
      </c>
      <c r="M4" s="631">
        <v>45900</v>
      </c>
      <c r="N4" t="s">
        <v>407</v>
      </c>
    </row>
    <row r="5" spans="1:14">
      <c r="A5" s="528" t="s">
        <v>336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</row>
    <row r="6" spans="1:14">
      <c r="A6" s="528" t="s">
        <v>367</v>
      </c>
      <c r="B6" s="632"/>
      <c r="C6" s="632"/>
      <c r="D6" s="632">
        <v>24241.46</v>
      </c>
      <c r="E6" s="632"/>
      <c r="F6" s="632"/>
      <c r="G6" s="632">
        <v>24241.46</v>
      </c>
      <c r="H6" s="632"/>
      <c r="I6" s="632"/>
      <c r="J6" s="632"/>
      <c r="K6" s="632"/>
      <c r="L6" s="632"/>
      <c r="M6" s="632"/>
      <c r="N6" s="632">
        <v>48482.92</v>
      </c>
    </row>
    <row r="7" spans="1:14">
      <c r="A7" s="528" t="s">
        <v>406</v>
      </c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</row>
    <row r="8" spans="1:14">
      <c r="A8" s="528" t="s">
        <v>235</v>
      </c>
      <c r="B8" s="632"/>
      <c r="C8" s="632">
        <v>376456.5</v>
      </c>
      <c r="D8" s="632"/>
      <c r="E8" s="632"/>
      <c r="F8" s="632">
        <v>7746</v>
      </c>
      <c r="G8" s="632"/>
      <c r="H8" s="632"/>
      <c r="I8" s="632"/>
      <c r="J8" s="632"/>
      <c r="K8" s="632"/>
      <c r="L8" s="632"/>
      <c r="M8" s="632"/>
      <c r="N8" s="632">
        <v>384202.5</v>
      </c>
    </row>
    <row r="9" spans="1:14">
      <c r="A9" s="528" t="s">
        <v>256</v>
      </c>
      <c r="B9" s="632"/>
      <c r="C9" s="632"/>
      <c r="D9" s="632"/>
      <c r="E9" s="632">
        <v>69975.23</v>
      </c>
      <c r="F9" s="632">
        <v>45350</v>
      </c>
      <c r="G9" s="632"/>
      <c r="H9" s="632"/>
      <c r="I9" s="632"/>
      <c r="J9" s="632"/>
      <c r="K9" s="632"/>
      <c r="L9" s="632"/>
      <c r="M9" s="632"/>
      <c r="N9" s="632">
        <v>115325.23</v>
      </c>
    </row>
    <row r="10" spans="1:14">
      <c r="A10" s="528" t="s">
        <v>265</v>
      </c>
      <c r="B10" s="632"/>
      <c r="C10" s="632"/>
      <c r="D10" s="632"/>
      <c r="E10" s="632">
        <v>29643.200000000001</v>
      </c>
      <c r="F10" s="632"/>
      <c r="G10" s="632">
        <v>-7251.880000000001</v>
      </c>
      <c r="H10" s="632"/>
      <c r="I10" s="632"/>
      <c r="J10" s="632"/>
      <c r="K10" s="632"/>
      <c r="L10" s="632"/>
      <c r="M10" s="632"/>
      <c r="N10" s="632">
        <v>22391.32</v>
      </c>
    </row>
    <row r="11" spans="1:14">
      <c r="A11" s="528" t="s">
        <v>281</v>
      </c>
      <c r="B11" s="632"/>
      <c r="C11" s="632"/>
      <c r="D11" s="632"/>
      <c r="E11" s="632">
        <v>8481.2000000000007</v>
      </c>
      <c r="F11" s="632">
        <v>53221.8</v>
      </c>
      <c r="G11" s="632">
        <v>59368.4</v>
      </c>
      <c r="H11" s="632">
        <v>4240.6000000000004</v>
      </c>
      <c r="I11" s="632"/>
      <c r="J11" s="632"/>
      <c r="K11" s="632"/>
      <c r="L11" s="632"/>
      <c r="M11" s="632"/>
      <c r="N11" s="632">
        <v>125312</v>
      </c>
    </row>
    <row r="12" spans="1:14">
      <c r="A12" s="528" t="s">
        <v>313</v>
      </c>
      <c r="B12" s="632"/>
      <c r="C12" s="632"/>
      <c r="D12" s="632">
        <v>57520.5</v>
      </c>
      <c r="E12" s="632"/>
      <c r="F12" s="632">
        <v>2562.5099999999998</v>
      </c>
      <c r="G12" s="632">
        <v>46919</v>
      </c>
      <c r="H12" s="632"/>
      <c r="I12" s="632"/>
      <c r="J12" s="632"/>
      <c r="K12" s="632"/>
      <c r="L12" s="632"/>
      <c r="M12" s="632"/>
      <c r="N12" s="632">
        <v>107002.01000000001</v>
      </c>
    </row>
    <row r="13" spans="1:14">
      <c r="A13" s="528" t="s">
        <v>329</v>
      </c>
      <c r="B13" s="632"/>
      <c r="C13" s="632"/>
      <c r="D13" s="632"/>
      <c r="E13" s="632">
        <v>34664.6</v>
      </c>
      <c r="F13" s="632">
        <v>51996.9</v>
      </c>
      <c r="G13" s="632">
        <v>66812.2</v>
      </c>
      <c r="H13" s="632">
        <v>4772.3</v>
      </c>
      <c r="I13" s="632"/>
      <c r="J13" s="632"/>
      <c r="K13" s="632"/>
      <c r="L13" s="632"/>
      <c r="M13" s="632"/>
      <c r="N13" s="632">
        <v>158246</v>
      </c>
    </row>
    <row r="14" spans="1:14">
      <c r="A14" s="528" t="s">
        <v>338</v>
      </c>
      <c r="B14" s="632"/>
      <c r="C14" s="632"/>
      <c r="D14" s="632"/>
      <c r="E14" s="632"/>
      <c r="F14" s="632">
        <v>74215.38</v>
      </c>
      <c r="G14" s="632"/>
      <c r="H14" s="632">
        <v>9084</v>
      </c>
      <c r="I14" s="632"/>
      <c r="J14" s="632"/>
      <c r="K14" s="632"/>
      <c r="L14" s="632"/>
      <c r="M14" s="632"/>
      <c r="N14" s="632">
        <v>83299.38</v>
      </c>
    </row>
    <row r="15" spans="1:14">
      <c r="A15" s="528" t="s">
        <v>353</v>
      </c>
      <c r="B15" s="632"/>
      <c r="C15" s="632"/>
      <c r="D15" s="632"/>
      <c r="E15" s="632">
        <v>10369</v>
      </c>
      <c r="F15" s="632">
        <v>15553.5</v>
      </c>
      <c r="G15" s="632">
        <v>72583</v>
      </c>
      <c r="H15" s="632">
        <v>5184.5</v>
      </c>
      <c r="I15" s="632"/>
      <c r="J15" s="632"/>
      <c r="K15" s="632"/>
      <c r="L15" s="632"/>
      <c r="M15" s="632"/>
      <c r="N15" s="632">
        <v>103690</v>
      </c>
    </row>
    <row r="16" spans="1:14">
      <c r="A16" s="528" t="s">
        <v>355</v>
      </c>
      <c r="B16" s="632"/>
      <c r="C16" s="632"/>
      <c r="D16" s="632"/>
      <c r="E16" s="632">
        <v>8782</v>
      </c>
      <c r="F16" s="632">
        <v>13173</v>
      </c>
      <c r="G16" s="632">
        <v>66812.2</v>
      </c>
      <c r="H16" s="632">
        <v>4391</v>
      </c>
      <c r="I16" s="632"/>
      <c r="J16" s="632"/>
      <c r="K16" s="632"/>
      <c r="L16" s="632"/>
      <c r="M16" s="632"/>
      <c r="N16" s="632">
        <v>93158.2</v>
      </c>
    </row>
    <row r="17" spans="1:14">
      <c r="A17" s="528" t="s">
        <v>360</v>
      </c>
      <c r="B17" s="632"/>
      <c r="C17" s="632"/>
      <c r="D17" s="632">
        <v>2520</v>
      </c>
      <c r="E17" s="632"/>
      <c r="F17" s="632"/>
      <c r="G17" s="632">
        <v>9347.619999999999</v>
      </c>
      <c r="H17" s="632"/>
      <c r="I17" s="632"/>
      <c r="J17" s="632"/>
      <c r="K17" s="632"/>
      <c r="L17" s="632"/>
      <c r="M17" s="632"/>
      <c r="N17" s="632">
        <v>11867.619999999999</v>
      </c>
    </row>
    <row r="18" spans="1:14">
      <c r="A18" s="528" t="s">
        <v>373</v>
      </c>
      <c r="B18" s="632">
        <v>0</v>
      </c>
      <c r="C18" s="632"/>
      <c r="D18" s="632"/>
      <c r="E18" s="632"/>
      <c r="F18" s="632"/>
      <c r="G18" s="632">
        <v>21667.67</v>
      </c>
      <c r="H18" s="632"/>
      <c r="I18" s="632"/>
      <c r="J18" s="632"/>
      <c r="K18" s="632"/>
      <c r="L18" s="632"/>
      <c r="M18" s="632">
        <v>50400</v>
      </c>
      <c r="N18" s="632">
        <v>72067.67</v>
      </c>
    </row>
    <row r="19" spans="1:14">
      <c r="A19" s="528" t="s">
        <v>382</v>
      </c>
      <c r="B19" s="632"/>
      <c r="C19" s="632"/>
      <c r="D19" s="632">
        <v>1522.74</v>
      </c>
      <c r="E19" s="632">
        <v>1570.98</v>
      </c>
      <c r="F19" s="632">
        <v>1671</v>
      </c>
      <c r="G19" s="632">
        <v>53.96</v>
      </c>
      <c r="H19" s="632">
        <v>1016.01</v>
      </c>
      <c r="I19" s="632">
        <v>423.22</v>
      </c>
      <c r="J19" s="632">
        <v>1087.98</v>
      </c>
      <c r="K19" s="632"/>
      <c r="L19" s="632"/>
      <c r="M19" s="632"/>
      <c r="N19" s="632">
        <v>7345.8900000000012</v>
      </c>
    </row>
    <row r="20" spans="1:14">
      <c r="A20" s="528" t="s">
        <v>386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>
        <v>19463.419999999998</v>
      </c>
      <c r="M20" s="632"/>
      <c r="N20" s="632">
        <v>19463.419999999998</v>
      </c>
    </row>
    <row r="21" spans="1:14">
      <c r="A21" s="528" t="s">
        <v>407</v>
      </c>
      <c r="B21" s="632">
        <v>0</v>
      </c>
      <c r="C21" s="632">
        <v>376456.5</v>
      </c>
      <c r="D21" s="632">
        <v>85804.7</v>
      </c>
      <c r="E21" s="632">
        <v>163486.21</v>
      </c>
      <c r="F21" s="632">
        <v>265490.08999999997</v>
      </c>
      <c r="G21" s="632">
        <v>360553.63</v>
      </c>
      <c r="H21" s="632">
        <v>28688.41</v>
      </c>
      <c r="I21" s="632">
        <v>423.22</v>
      </c>
      <c r="J21" s="632">
        <v>1087.98</v>
      </c>
      <c r="K21" s="632"/>
      <c r="L21" s="632">
        <v>19463.419999999998</v>
      </c>
      <c r="M21" s="632">
        <v>50400</v>
      </c>
      <c r="N21" s="632">
        <v>1351854.1599999997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36E-BA40-4A75-BFC9-DB1D8EBE72C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995" t="s">
        <v>409</v>
      </c>
      <c r="C2" s="995"/>
      <c r="D2" s="995"/>
      <c r="E2" s="995"/>
      <c r="H2" s="996" t="s">
        <v>410</v>
      </c>
      <c r="I2" s="997"/>
      <c r="J2" s="997"/>
      <c r="K2" s="997"/>
      <c r="L2" s="997"/>
      <c r="M2" s="997"/>
      <c r="N2" s="997"/>
      <c r="O2" s="998"/>
    </row>
    <row r="3" spans="2:15">
      <c r="B3" s="875"/>
      <c r="H3" s="999"/>
      <c r="I3" s="1000"/>
      <c r="J3" s="1000"/>
      <c r="K3" s="1000"/>
      <c r="L3" s="1000"/>
      <c r="M3" s="1000"/>
      <c r="N3" s="1000"/>
      <c r="O3" s="1001"/>
    </row>
    <row r="4" spans="2:15">
      <c r="B4" s="876" t="s">
        <v>411</v>
      </c>
      <c r="C4" s="877" t="str">
        <f>'Project Plan'!E2</f>
        <v>SA Metal - 20 Christiaan</v>
      </c>
      <c r="H4" s="999"/>
      <c r="I4" s="1000"/>
      <c r="J4" s="1000"/>
      <c r="K4" s="1000"/>
      <c r="L4" s="1000"/>
      <c r="M4" s="1000"/>
      <c r="N4" s="1000"/>
      <c r="O4" s="1001"/>
    </row>
    <row r="5" spans="2:15">
      <c r="B5" s="876" t="s">
        <v>412</v>
      </c>
      <c r="C5" s="877" t="s">
        <v>413</v>
      </c>
      <c r="H5" s="999"/>
      <c r="I5" s="1000"/>
      <c r="J5" s="1000"/>
      <c r="K5" s="1000"/>
      <c r="L5" s="1000"/>
      <c r="M5" s="1000"/>
      <c r="N5" s="1000"/>
      <c r="O5" s="1001"/>
    </row>
    <row r="6" spans="2:15">
      <c r="B6" s="876" t="s">
        <v>414</v>
      </c>
      <c r="C6" s="877" t="s">
        <v>415</v>
      </c>
      <c r="H6" s="999"/>
      <c r="I6" s="1000"/>
      <c r="J6" s="1000"/>
      <c r="K6" s="1000"/>
      <c r="L6" s="1000"/>
      <c r="M6" s="1000"/>
      <c r="N6" s="1000"/>
      <c r="O6" s="1001"/>
    </row>
    <row r="7" spans="2:15">
      <c r="B7" s="876" t="s">
        <v>416</v>
      </c>
      <c r="C7" s="877" t="s">
        <v>417</v>
      </c>
      <c r="H7" s="999"/>
      <c r="I7" s="1000"/>
      <c r="J7" s="1000"/>
      <c r="K7" s="1000"/>
      <c r="L7" s="1000"/>
      <c r="M7" s="1000"/>
      <c r="N7" s="1000"/>
      <c r="O7" s="1001"/>
    </row>
    <row r="8" spans="2:15">
      <c r="B8" s="875"/>
      <c r="H8" s="999"/>
      <c r="I8" s="1000"/>
      <c r="J8" s="1000"/>
      <c r="K8" s="1000"/>
      <c r="L8" s="1000"/>
      <c r="M8" s="1000"/>
      <c r="N8" s="1000"/>
      <c r="O8" s="1001"/>
    </row>
    <row r="9" spans="2:15">
      <c r="B9" s="1005" t="s">
        <v>418</v>
      </c>
      <c r="C9" s="1005"/>
      <c r="D9" s="1005"/>
      <c r="E9" s="10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99"/>
      <c r="I9" s="1000"/>
      <c r="J9" s="1000"/>
      <c r="K9" s="1000"/>
      <c r="L9" s="1000"/>
      <c r="M9" s="1000"/>
      <c r="N9" s="1000"/>
      <c r="O9" s="1001"/>
    </row>
    <row r="10" spans="2:15" ht="14.65" thickBot="1">
      <c r="B10" s="1005" t="s">
        <v>419</v>
      </c>
      <c r="C10" s="1005"/>
      <c r="D10" s="1005"/>
      <c r="E10" s="1005"/>
      <c r="H10" s="1002"/>
      <c r="I10" s="1003"/>
      <c r="J10" s="1003"/>
      <c r="K10" s="1003"/>
      <c r="L10" s="1003"/>
      <c r="M10" s="1003"/>
      <c r="N10" s="1003"/>
      <c r="O10" s="1004"/>
    </row>
    <row r="11" spans="2:15">
      <c r="B11" s="878" t="s">
        <v>420</v>
      </c>
      <c r="C11" s="994" t="s">
        <v>421</v>
      </c>
      <c r="D11" s="994"/>
      <c r="E11" s="994"/>
    </row>
    <row r="12" spans="2:15">
      <c r="B12" s="878" t="s">
        <v>422</v>
      </c>
      <c r="C12" s="994" t="s">
        <v>421</v>
      </c>
      <c r="D12" s="994"/>
      <c r="E12" s="994"/>
    </row>
    <row r="13" spans="2:15">
      <c r="B13" s="878" t="s">
        <v>423</v>
      </c>
      <c r="C13" s="994" t="s">
        <v>421</v>
      </c>
      <c r="D13" s="994"/>
      <c r="E13" s="994"/>
    </row>
    <row r="14" spans="2:15">
      <c r="B14" s="878" t="s">
        <v>424</v>
      </c>
      <c r="C14" s="994" t="s">
        <v>425</v>
      </c>
      <c r="D14" s="994"/>
      <c r="E14" s="994"/>
    </row>
    <row r="15" spans="2:15">
      <c r="B15" s="878" t="s">
        <v>426</v>
      </c>
      <c r="C15" s="994" t="s">
        <v>427</v>
      </c>
      <c r="D15" s="994"/>
      <c r="E15" s="994"/>
    </row>
    <row r="16" spans="2:15" ht="15" customHeight="1">
      <c r="B16" s="878" t="s">
        <v>428</v>
      </c>
      <c r="C16" s="994" t="s">
        <v>429</v>
      </c>
      <c r="D16" s="994"/>
      <c r="E16" s="994"/>
    </row>
    <row r="17" spans="2:5">
      <c r="B17" s="875"/>
    </row>
    <row r="18" spans="2:5">
      <c r="B18" s="1006" t="s">
        <v>430</v>
      </c>
      <c r="C18" s="1006"/>
      <c r="D18" s="1006"/>
      <c r="E18" s="1006"/>
    </row>
    <row r="19" spans="2:5">
      <c r="B19" s="878" t="s">
        <v>431</v>
      </c>
      <c r="C19" s="878" t="s">
        <v>432</v>
      </c>
      <c r="D19" s="878" t="s">
        <v>433</v>
      </c>
      <c r="E19" s="878" t="s">
        <v>62</v>
      </c>
    </row>
    <row r="20" spans="2:5" ht="15" customHeight="1">
      <c r="B20" s="878" t="s">
        <v>434</v>
      </c>
      <c r="C20" s="878" t="s">
        <v>435</v>
      </c>
      <c r="D20" s="879" t="s">
        <v>436</v>
      </c>
      <c r="E20" s="880">
        <v>45953</v>
      </c>
    </row>
    <row r="21" spans="2:5">
      <c r="B21" s="878"/>
      <c r="C21" s="878"/>
      <c r="D21" s="878"/>
      <c r="E21" s="878"/>
    </row>
    <row r="22" spans="2:5">
      <c r="B22" s="878"/>
      <c r="C22" s="878"/>
      <c r="D22" s="878"/>
      <c r="E22" s="878"/>
    </row>
    <row r="23" spans="2:5">
      <c r="B23" s="878"/>
      <c r="C23" s="878"/>
      <c r="D23" s="878"/>
      <c r="E23" s="878"/>
    </row>
    <row r="24" spans="2:5">
      <c r="B24" s="878"/>
      <c r="C24" s="878"/>
      <c r="D24" s="878"/>
      <c r="E24" s="878"/>
    </row>
    <row r="25" spans="2:5">
      <c r="B25" s="878"/>
      <c r="C25" s="878"/>
      <c r="D25" s="878"/>
      <c r="E25" s="878"/>
    </row>
    <row r="26" spans="2:5">
      <c r="B26" s="87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1" t="s">
        <v>437</v>
      </c>
    </row>
    <row r="2" spans="1:4">
      <c r="A2" s="1008"/>
      <c r="B2" s="1008"/>
      <c r="C2" s="1008"/>
      <c r="D2" s="71"/>
    </row>
    <row r="3" spans="1:4">
      <c r="A3" s="1007" t="s">
        <v>438</v>
      </c>
      <c r="B3" s="1007"/>
      <c r="C3" s="1007"/>
      <c r="D3" s="112">
        <v>0.32</v>
      </c>
    </row>
    <row r="4" spans="1:4">
      <c r="A4" s="1007" t="s">
        <v>439</v>
      </c>
      <c r="B4" s="1007"/>
      <c r="C4" s="1007"/>
      <c r="D4" s="112">
        <v>0.5</v>
      </c>
    </row>
    <row r="5" spans="1:4">
      <c r="A5" s="1007" t="s">
        <v>440</v>
      </c>
      <c r="B5" s="1007"/>
      <c r="C5" s="1007"/>
      <c r="D5" s="112">
        <v>0.15</v>
      </c>
    </row>
    <row r="6" spans="1:4">
      <c r="A6" s="1007" t="s">
        <v>441</v>
      </c>
      <c r="B6" s="1007"/>
      <c r="C6" s="1007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26562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26562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26562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1009" t="s">
        <v>442</v>
      </c>
      <c r="C2" s="1009"/>
      <c r="D2" s="1009"/>
      <c r="E2" s="1009"/>
      <c r="F2" s="1009"/>
      <c r="G2" s="1009"/>
      <c r="H2" s="1009"/>
      <c r="I2" s="1009"/>
      <c r="J2" s="1009"/>
      <c r="K2" s="1009"/>
      <c r="L2" s="1009"/>
      <c r="M2" s="1009"/>
      <c r="N2" s="1009"/>
    </row>
    <row r="4" spans="2:14" ht="13.15">
      <c r="B4" s="92" t="s">
        <v>443</v>
      </c>
      <c r="C4" s="86"/>
      <c r="D4" s="90" t="s">
        <v>444</v>
      </c>
      <c r="E4" s="95"/>
      <c r="F4" s="90" t="s">
        <v>445</v>
      </c>
      <c r="H4" s="90" t="s">
        <v>446</v>
      </c>
      <c r="I4" s="95"/>
      <c r="J4" s="90" t="s">
        <v>447</v>
      </c>
      <c r="L4" s="90" t="s">
        <v>446</v>
      </c>
      <c r="M4" s="90"/>
      <c r="N4" s="90" t="s">
        <v>448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449</v>
      </c>
      <c r="H7" s="99"/>
      <c r="I7" s="95"/>
      <c r="J7" s="107" t="s">
        <v>449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254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.15">
      <c r="B10" s="108" t="s">
        <v>254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450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449</v>
      </c>
      <c r="H15" s="99"/>
      <c r="I15" s="95"/>
      <c r="J15" s="107" t="s">
        <v>449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453</v>
      </c>
      <c r="C17" s="92"/>
      <c r="D17" s="90">
        <f>SUM(D18:D19)</f>
        <v>66690</v>
      </c>
      <c r="E17" s="95"/>
      <c r="F17" s="90">
        <f>SUM(F18:F20)</f>
        <v>0</v>
      </c>
      <c r="H17" s="106">
        <f>$D$17- F17</f>
        <v>66690</v>
      </c>
      <c r="I17" s="95"/>
      <c r="J17" s="90">
        <f>SUM(J18:J20)</f>
        <v>0</v>
      </c>
      <c r="L17" s="106">
        <f>$D$17- J17</f>
        <v>66690</v>
      </c>
      <c r="M17" s="106"/>
    </row>
    <row r="18" spans="2:13">
      <c r="B18" s="108" t="s">
        <v>453</v>
      </c>
      <c r="C18" s="86"/>
      <c r="D18" s="89">
        <f>'Expenditure Breakdown'!G18</f>
        <v>66690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449</v>
      </c>
      <c r="H21" s="99"/>
      <c r="I21" s="95"/>
      <c r="J21" s="107" t="s">
        <v>449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454</v>
      </c>
      <c r="C23" s="92"/>
      <c r="D23" s="90">
        <f>SUM(D24:D25)</f>
        <v>37520</v>
      </c>
      <c r="E23" s="95"/>
      <c r="F23" s="90">
        <f>SUM(F24:F25)</f>
        <v>0</v>
      </c>
      <c r="H23" s="106">
        <f>$D$23- F23</f>
        <v>37520</v>
      </c>
      <c r="I23" s="95"/>
      <c r="J23" s="90">
        <f>SUM(J24:J25)</f>
        <v>0</v>
      </c>
      <c r="L23" s="106">
        <f>$D$23- J23</f>
        <v>37520</v>
      </c>
      <c r="M23" s="106"/>
    </row>
    <row r="24" spans="2:13">
      <c r="B24" s="108" t="s">
        <v>454</v>
      </c>
      <c r="C24" s="86"/>
      <c r="D24" s="89">
        <f>'Expenditure Breakdown'!G24</f>
        <v>37520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449</v>
      </c>
      <c r="H27" s="99"/>
      <c r="I27" s="95"/>
      <c r="J27" s="107" t="s">
        <v>449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455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449</v>
      </c>
      <c r="H34" s="99"/>
      <c r="I34" s="95"/>
      <c r="J34" s="107" t="s">
        <v>449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456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320</v>
      </c>
      <c r="C37" s="86"/>
      <c r="D37" s="89">
        <f>'Expenditure Breakdown'!G65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26562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26562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265625" style="88" bestFit="1" customWidth="1"/>
    <col min="16" max="16384" width="9.46484375" style="88"/>
  </cols>
  <sheetData>
    <row r="2" spans="2:15" s="94" customFormat="1" ht="17.649999999999999">
      <c r="B2" s="1009" t="s">
        <v>463</v>
      </c>
      <c r="C2" s="1009"/>
      <c r="D2" s="1009"/>
      <c r="E2" s="1009"/>
      <c r="F2" s="1009"/>
      <c r="G2" s="1009"/>
      <c r="H2" s="1009"/>
      <c r="I2" s="1009"/>
      <c r="J2" s="1009"/>
      <c r="K2" s="1009"/>
      <c r="L2" s="1009"/>
      <c r="M2" s="1009"/>
      <c r="N2" s="1009"/>
      <c r="O2" s="1009"/>
    </row>
    <row r="4" spans="2:15" ht="13.15">
      <c r="B4" s="92" t="s">
        <v>443</v>
      </c>
      <c r="C4" s="86"/>
      <c r="D4" s="90" t="s">
        <v>444</v>
      </c>
      <c r="E4" s="95"/>
      <c r="F4" s="95"/>
      <c r="G4" s="90" t="s">
        <v>464</v>
      </c>
      <c r="H4" s="96"/>
      <c r="J4" s="90" t="s">
        <v>446</v>
      </c>
      <c r="L4" s="90" t="s">
        <v>465</v>
      </c>
      <c r="M4" s="96"/>
      <c r="O4" s="90" t="s">
        <v>446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244</v>
      </c>
      <c r="C6" s="86"/>
      <c r="D6" s="89">
        <f>'Expenditure Breakdown'!AB8</f>
        <v>257521.38</v>
      </c>
      <c r="E6" s="95">
        <f>D6/(1000*'Project Plan'!$E$3)</f>
        <v>1.7400093243243244</v>
      </c>
      <c r="F6" s="95"/>
      <c r="G6" s="89">
        <v>277892.90999999997</v>
      </c>
      <c r="H6" s="96">
        <f>G6/('Project Plan'!$E$3*1000)</f>
        <v>1.8776547972972972</v>
      </c>
      <c r="J6" s="99">
        <f>D6-G6</f>
        <v>-20371.52999999997</v>
      </c>
      <c r="L6" s="89"/>
      <c r="M6" s="96">
        <f>L6/('Project Plan'!$E$3*1000)</f>
        <v>0</v>
      </c>
      <c r="O6" s="99">
        <f>D6-L6</f>
        <v>257521.38</v>
      </c>
    </row>
    <row r="7" spans="2:15" ht="13.15">
      <c r="B7" s="86" t="s">
        <v>247</v>
      </c>
      <c r="C7" s="86"/>
      <c r="D7" s="89">
        <f>'Expenditure Breakdown'!AB9</f>
        <v>50273.5</v>
      </c>
      <c r="E7" s="95">
        <f>D7/(1000*'Project Plan'!$E$3)</f>
        <v>0.33968581081081078</v>
      </c>
      <c r="F7" s="95"/>
      <c r="G7" s="89">
        <v>142158.25</v>
      </c>
      <c r="H7" s="96">
        <f>G7/('Project Plan'!$E$3*1000)</f>
        <v>0.96052871621621616</v>
      </c>
      <c r="J7" s="99">
        <f t="shared" ref="J7:J12" si="0">D7-G7</f>
        <v>-91884.75</v>
      </c>
      <c r="L7" s="89"/>
      <c r="M7" s="96">
        <f>L7/('Project Plan'!$E$3*1000)</f>
        <v>0</v>
      </c>
      <c r="O7" s="99">
        <f t="shared" ref="O7:O12" si="1">D7-L7</f>
        <v>50273.5</v>
      </c>
    </row>
    <row r="8" spans="2:15" ht="13.15">
      <c r="B8" s="86" t="s">
        <v>249</v>
      </c>
      <c r="C8" s="86"/>
      <c r="D8" s="89">
        <f>'Expenditure Breakdown'!AB10</f>
        <v>86450</v>
      </c>
      <c r="E8" s="95">
        <f>D8/(1000*'Project Plan'!$E$3)</f>
        <v>0.58412162162162162</v>
      </c>
      <c r="F8" s="95"/>
      <c r="G8" s="89">
        <v>96174</v>
      </c>
      <c r="H8" s="96">
        <f>G8/('Project Plan'!$E$3*1000)</f>
        <v>0.64982432432432435</v>
      </c>
      <c r="J8" s="99">
        <f t="shared" si="0"/>
        <v>-9724</v>
      </c>
      <c r="L8" s="89"/>
      <c r="M8" s="96">
        <f>L8/('Project Plan'!$E$3*1000)</f>
        <v>0</v>
      </c>
      <c r="O8" s="99">
        <f t="shared" si="1"/>
        <v>86450</v>
      </c>
    </row>
    <row r="9" spans="2:15" ht="13.15">
      <c r="B9" s="86" t="s">
        <v>251</v>
      </c>
      <c r="C9" s="86"/>
      <c r="D9" s="89">
        <f>'Expenditure Breakdown'!AB11</f>
        <v>37050</v>
      </c>
      <c r="E9" s="95">
        <f>D9/(1000*'Project Plan'!$E$3)</f>
        <v>0.25033783783783786</v>
      </c>
      <c r="F9" s="95"/>
      <c r="G9" s="89">
        <v>230160</v>
      </c>
      <c r="H9" s="96">
        <f>G9/('Project Plan'!$E$3*1000)</f>
        <v>1.5551351351351352</v>
      </c>
      <c r="J9" s="99">
        <f t="shared" si="0"/>
        <v>-193110</v>
      </c>
      <c r="L9" s="89"/>
      <c r="M9" s="96">
        <f>L9/('Project Plan'!$E$3*1000)</f>
        <v>0</v>
      </c>
      <c r="O9" s="99">
        <f t="shared" si="1"/>
        <v>37050</v>
      </c>
    </row>
    <row r="10" spans="2:15">
      <c r="B10" s="86" t="s">
        <v>253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466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248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259</v>
      </c>
      <c r="C13" s="86"/>
      <c r="D13" s="89">
        <f>'Expenditure Breakdown'!AB15</f>
        <v>23094.3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461</v>
      </c>
      <c r="C15" s="92"/>
      <c r="D15" s="90">
        <f>SUM(D6:D13)</f>
        <v>462889.18</v>
      </c>
      <c r="E15" s="95"/>
      <c r="F15" s="95"/>
      <c r="G15" s="90">
        <f>SUM(G6:G13)</f>
        <v>775642.7699999999</v>
      </c>
      <c r="H15" s="96"/>
      <c r="J15" s="101">
        <f>SUM(J6:J14)</f>
        <v>-335847.88999999996</v>
      </c>
      <c r="L15" s="90">
        <f>SUM(L6:L13)</f>
        <v>0</v>
      </c>
      <c r="M15" s="96"/>
      <c r="O15" s="101">
        <f>SUM(O6:O14)</f>
        <v>439794.88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443</v>
      </c>
      <c r="C18" s="86"/>
      <c r="D18" s="90" t="s">
        <v>444</v>
      </c>
      <c r="E18" s="95"/>
      <c r="F18" s="95"/>
      <c r="G18" s="90" t="s">
        <v>467</v>
      </c>
      <c r="H18" s="96"/>
      <c r="J18" s="90" t="s">
        <v>446</v>
      </c>
      <c r="L18" s="90" t="s">
        <v>468</v>
      </c>
      <c r="M18" s="96"/>
      <c r="O18" s="90" t="s">
        <v>446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469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257521.38</v>
      </c>
    </row>
    <row r="21" spans="2:15" ht="13.15">
      <c r="B21" s="86" t="s">
        <v>470</v>
      </c>
      <c r="C21" s="86"/>
      <c r="D21" s="89">
        <f>'Expenditure Breakdown'!C54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50273.5</v>
      </c>
    </row>
    <row r="22" spans="2:15" ht="13.15">
      <c r="B22" s="86" t="s">
        <v>471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86450</v>
      </c>
    </row>
    <row r="23" spans="2:15" ht="13.15">
      <c r="B23" s="86" t="s">
        <v>472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37050</v>
      </c>
    </row>
    <row r="24" spans="2:15">
      <c r="B24" s="86" t="s">
        <v>248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473</v>
      </c>
      <c r="C25" s="86"/>
      <c r="D25" s="89">
        <f>SUM('Expenditure Breakdown'!G81:G89)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253</v>
      </c>
      <c r="C26" s="86"/>
      <c r="D26" s="89">
        <f>'Expenditure Breakdown'!G91</f>
        <v>23094.3</v>
      </c>
      <c r="E26" s="98"/>
      <c r="F26" s="98"/>
      <c r="G26" s="89"/>
      <c r="H26" s="91"/>
      <c r="J26" s="99">
        <f t="shared" si="2"/>
        <v>23094.3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439794.88</v>
      </c>
    </row>
    <row r="32" spans="2:15" ht="13.5" thickBot="1">
      <c r="B32" s="102" t="s">
        <v>474</v>
      </c>
      <c r="C32" s="103"/>
      <c r="D32" s="103"/>
    </row>
    <row r="33" spans="2:4" ht="13.15" thickTop="1"/>
    <row r="34" spans="2:4">
      <c r="B34" s="88" t="s">
        <v>444</v>
      </c>
      <c r="D34" s="99">
        <f>D15</f>
        <v>462889.18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462889.18</v>
      </c>
    </row>
    <row r="41" spans="2:4" ht="13.15">
      <c r="B41" s="105"/>
      <c r="C41" s="105"/>
      <c r="D41" s="106"/>
    </row>
    <row r="42" spans="2:4">
      <c r="B42" s="86" t="s">
        <v>475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46484375" customWidth="1"/>
    <col min="10" max="10" width="19.53125" bestFit="1" customWidth="1"/>
  </cols>
  <sheetData>
    <row r="1" spans="2:14">
      <c r="B1" s="1011" t="str">
        <f>D15</f>
        <v>SA Metal - 20 Christiaan</v>
      </c>
      <c r="C1" s="1011"/>
      <c r="D1" s="1011"/>
      <c r="E1" s="1010" t="s">
        <v>476</v>
      </c>
      <c r="F1" s="1010"/>
      <c r="G1" s="1010"/>
      <c r="H1" s="1010"/>
      <c r="I1" s="1010"/>
      <c r="J1" s="1010"/>
      <c r="K1" s="77"/>
      <c r="L1" s="77"/>
      <c r="M1" s="77"/>
      <c r="N1" s="77"/>
    </row>
    <row r="2" spans="2:14" ht="6.75" customHeight="1"/>
    <row r="3" spans="2:14">
      <c r="B3" s="72" t="s">
        <v>477</v>
      </c>
      <c r="C3" s="72" t="s">
        <v>478</v>
      </c>
      <c r="D3" s="72" t="s">
        <v>479</v>
      </c>
      <c r="E3" s="78" t="s">
        <v>480</v>
      </c>
      <c r="F3" s="78" t="s">
        <v>481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- 20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79B390-2B5B-452A-845A-7A63042E99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18EE42-1DB5-4CB4-B51E-30B5B7CF60AA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2026-01-23T10:29:00Z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