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1" documentId="13_ncr:1_{12F1BD6A-C442-4E90-B493-754BD0DA0E1E}" xr6:coauthVersionLast="47" xr6:coauthVersionMax="47" xr10:uidLastSave="{55B4D20C-743E-454D-9CCB-39AC68E1C2C0}"/>
  <bookViews>
    <workbookView xWindow="-108" yWindow="-108" windowWidth="23256" windowHeight="12456" tabRatio="942" firstSheet="1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18" l="1"/>
  <c r="W45" i="18" l="1"/>
  <c r="H6" i="5"/>
  <c r="U3" i="5"/>
  <c r="W81" i="18" l="1"/>
  <c r="Q81" i="18"/>
  <c r="Q80" i="18"/>
  <c r="W135" i="18" l="1"/>
  <c r="W136" i="18"/>
  <c r="W137" i="18"/>
  <c r="W134" i="18"/>
  <c r="P6" i="18" l="1"/>
  <c r="Q6" i="18" s="1"/>
  <c r="W82" i="18"/>
  <c r="W79" i="18"/>
  <c r="W53" i="18"/>
  <c r="W21" i="18"/>
  <c r="E30" i="2"/>
  <c r="E32" i="2" s="1"/>
  <c r="G32" i="2" s="1"/>
  <c r="E22" i="2"/>
  <c r="G22" i="2" s="1"/>
  <c r="G19" i="2"/>
  <c r="G18" i="2"/>
  <c r="E18" i="2"/>
  <c r="E15" i="2"/>
  <c r="G15" i="2" s="1"/>
  <c r="G13" i="2"/>
  <c r="E16" i="2" s="1"/>
  <c r="G16" i="2" s="1"/>
  <c r="G12" i="2"/>
  <c r="I22" i="2"/>
  <c r="K13" i="2"/>
  <c r="I14" i="2" s="1"/>
  <c r="F18" i="2" l="1"/>
  <c r="I16" i="2"/>
  <c r="E23" i="2"/>
  <c r="G23" i="2" s="1"/>
  <c r="E14" i="2"/>
  <c r="G30" i="2"/>
  <c r="G14" i="2" l="1"/>
  <c r="G11" i="2" s="1"/>
  <c r="E24" i="2"/>
  <c r="E11" i="2"/>
  <c r="E31" i="2"/>
  <c r="Q7" i="18"/>
  <c r="F11" i="2" l="1"/>
  <c r="G31" i="2"/>
  <c r="G24" i="2"/>
  <c r="E25" i="2" l="1"/>
  <c r="E26" i="2" l="1"/>
  <c r="G26" i="2" s="1"/>
  <c r="G25" i="2"/>
  <c r="G21" i="2" s="1"/>
  <c r="F21" i="2" s="1"/>
  <c r="E21" i="2"/>
  <c r="I15" i="2" l="1"/>
  <c r="F13" i="5"/>
  <c r="F14" i="5" s="1"/>
  <c r="E36" i="2" l="1"/>
  <c r="J127" i="18"/>
  <c r="G127" i="18"/>
  <c r="J79" i="18"/>
  <c r="G81" i="18"/>
  <c r="O58" i="18"/>
  <c r="G36" i="2" l="1"/>
  <c r="H15" i="5" s="1"/>
  <c r="W128" i="18"/>
  <c r="W129" i="18" s="1"/>
  <c r="W130" i="18" s="1"/>
  <c r="W131" i="18" s="1"/>
  <c r="W120" i="18"/>
  <c r="T120" i="18" s="1"/>
  <c r="W46" i="18"/>
  <c r="T46" i="18" s="1"/>
  <c r="I44" i="18"/>
  <c r="X118" i="18" l="1"/>
  <c r="H16" i="5" l="1"/>
  <c r="T14" i="18"/>
  <c r="T44" i="18" s="1"/>
  <c r="T158" i="18"/>
  <c r="T157" i="18"/>
  <c r="T156" i="18"/>
  <c r="T155" i="18"/>
  <c r="T154" i="18"/>
  <c r="T153" i="18"/>
  <c r="T152" i="18"/>
  <c r="T151" i="18"/>
  <c r="T150" i="18"/>
  <c r="T149" i="18"/>
  <c r="T148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37" i="2" l="1"/>
  <c r="N12" i="2"/>
  <c r="G37" i="2" l="1"/>
  <c r="E33" i="2" s="1"/>
  <c r="E35" i="2"/>
  <c r="G33" i="2" l="1"/>
  <c r="G28" i="2" s="1"/>
  <c r="E28" i="2"/>
  <c r="K14" i="2"/>
  <c r="I24" i="2"/>
  <c r="K24" i="2" s="1"/>
  <c r="I25" i="2" s="1"/>
  <c r="G35" i="2"/>
  <c r="F35" i="2" s="1"/>
  <c r="K16" i="2"/>
  <c r="K15" i="2"/>
  <c r="C4" i="24"/>
  <c r="C7" i="23"/>
  <c r="C4" i="23"/>
  <c r="Q124" i="18"/>
  <c r="F28" i="2" l="1"/>
  <c r="I11" i="2"/>
  <c r="K11" i="2"/>
  <c r="I26" i="2"/>
  <c r="K26" i="2" s="1"/>
  <c r="K25" i="2"/>
  <c r="K19" i="2"/>
  <c r="I18" i="2"/>
  <c r="I30" i="2"/>
  <c r="I36" i="2"/>
  <c r="W14" i="18" s="1"/>
  <c r="W44" i="18" s="1"/>
  <c r="N13" i="2"/>
  <c r="J11" i="2" l="1"/>
  <c r="E40" i="2"/>
  <c r="K36" i="2"/>
  <c r="P15" i="5" s="1"/>
  <c r="K32" i="2"/>
  <c r="K30" i="2"/>
  <c r="K18" i="2"/>
  <c r="J18" i="2" s="1"/>
  <c r="G40" i="2" l="1"/>
  <c r="I31" i="2"/>
  <c r="K22" i="2"/>
  <c r="P16" i="5" s="1"/>
  <c r="H52" i="18"/>
  <c r="H44" i="18" s="1"/>
  <c r="H45" i="18" s="1"/>
  <c r="H46" i="18" s="1"/>
  <c r="E41" i="2" l="1"/>
  <c r="I23" i="2"/>
  <c r="K31" i="2"/>
  <c r="H6" i="18"/>
  <c r="M48" i="2"/>
  <c r="M44" i="2"/>
  <c r="M39" i="2"/>
  <c r="M28" i="2"/>
  <c r="M35" i="2"/>
  <c r="M21" i="2"/>
  <c r="M11" i="2"/>
  <c r="G41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O106" i="18"/>
  <c r="Q106" i="18" s="1"/>
  <c r="O90" i="18"/>
  <c r="O32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J102" i="18"/>
  <c r="V70" i="18"/>
  <c r="X79" i="18"/>
  <c r="I124" i="18"/>
  <c r="G134" i="18"/>
  <c r="G104" i="18"/>
  <c r="G103" i="18"/>
  <c r="Z17" i="18" s="1"/>
  <c r="G102" i="18"/>
  <c r="Z16" i="18" s="1"/>
  <c r="G90" i="18"/>
  <c r="G89" i="18"/>
  <c r="Z14" i="18" s="1"/>
  <c r="G52" i="18"/>
  <c r="Z12" i="18" s="1"/>
  <c r="G29" i="18"/>
  <c r="Z13" i="18" s="1"/>
  <c r="G21" i="18"/>
  <c r="G13" i="18"/>
  <c r="I13" i="18" s="1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7" i="5"/>
  <c r="E48" i="5"/>
  <c r="E22" i="5"/>
  <c r="I118" i="18"/>
  <c r="Z38" i="18"/>
  <c r="Z39" i="18" s="1"/>
  <c r="X21" i="18"/>
  <c r="E42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J21" i="2"/>
  <c r="K37" i="2"/>
  <c r="I35" i="2"/>
  <c r="U15" i="18"/>
  <c r="Q113" i="18"/>
  <c r="I6" i="18"/>
  <c r="I21" i="18"/>
  <c r="I28" i="18"/>
  <c r="F12" i="3" s="1"/>
  <c r="Q134" i="18"/>
  <c r="I127" i="18"/>
  <c r="F21" i="3" s="1"/>
  <c r="F19" i="3"/>
  <c r="J19" i="3" s="1"/>
  <c r="F10" i="3"/>
  <c r="I89" i="18"/>
  <c r="Z15" i="18"/>
  <c r="Z22" i="18" s="1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9" i="5"/>
  <c r="F16" i="5"/>
  <c r="X6" i="18"/>
  <c r="F15" i="5"/>
  <c r="F18" i="5"/>
  <c r="F17" i="5"/>
  <c r="F20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H13" i="3"/>
  <c r="H16" i="3"/>
  <c r="J16" i="3" s="1"/>
  <c r="U25" i="18"/>
  <c r="U26" i="18"/>
  <c r="U21" i="18"/>
  <c r="U24" i="18"/>
  <c r="E45" i="2" l="1"/>
  <c r="G42" i="2"/>
  <c r="G39" i="2" s="1"/>
  <c r="E39" i="2"/>
  <c r="V13" i="18"/>
  <c r="I33" i="2"/>
  <c r="K35" i="2"/>
  <c r="J35" i="2" s="1"/>
  <c r="J20" i="3"/>
  <c r="X134" i="18"/>
  <c r="F17" i="3"/>
  <c r="F14" i="3"/>
  <c r="J10" i="3"/>
  <c r="F11" i="3"/>
  <c r="J11" i="3" s="1"/>
  <c r="I2" i="18"/>
  <c r="F9" i="3"/>
  <c r="V118" i="18"/>
  <c r="U136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45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39" i="2" l="1"/>
  <c r="H17" i="5"/>
  <c r="G45" i="2"/>
  <c r="U32" i="18"/>
  <c r="U42" i="18"/>
  <c r="U64" i="18"/>
  <c r="U68" i="18"/>
  <c r="U134" i="18"/>
  <c r="U137" i="18"/>
  <c r="K33" i="2"/>
  <c r="K28" i="2" s="1"/>
  <c r="I28" i="2"/>
  <c r="N25" i="2"/>
  <c r="N24" i="2"/>
  <c r="N26" i="2"/>
  <c r="U90" i="18"/>
  <c r="F5" i="3"/>
  <c r="D5" i="5" s="1"/>
  <c r="U97" i="18"/>
  <c r="J9" i="3"/>
  <c r="F48" i="5"/>
  <c r="F46" i="5" s="1"/>
  <c r="U34" i="18"/>
  <c r="U61" i="18"/>
  <c r="U33" i="18"/>
  <c r="U94" i="18"/>
  <c r="V13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D6" i="5" l="1"/>
  <c r="V3" i="5"/>
  <c r="E46" i="2"/>
  <c r="F25" i="3"/>
  <c r="F42" i="5"/>
  <c r="F45" i="5"/>
  <c r="C5" i="6"/>
  <c r="J28" i="2"/>
  <c r="I40" i="2"/>
  <c r="F43" i="5"/>
  <c r="F44" i="5"/>
  <c r="N16" i="2"/>
  <c r="N11" i="2" s="1"/>
  <c r="V52" i="18"/>
  <c r="H5" i="3"/>
  <c r="V102" i="18"/>
  <c r="V28" i="18"/>
  <c r="V89" i="18"/>
  <c r="D7" i="5" l="1"/>
  <c r="G6" i="5"/>
  <c r="G46" i="2"/>
  <c r="G44" i="2" s="1"/>
  <c r="E49" i="2"/>
  <c r="E44" i="2"/>
  <c r="F47" i="5"/>
  <c r="K40" i="2"/>
  <c r="N36" i="2"/>
  <c r="U13" i="2"/>
  <c r="V13" i="2"/>
  <c r="W91" i="18"/>
  <c r="W90" i="18"/>
  <c r="J5" i="3"/>
  <c r="F5" i="5"/>
  <c r="H25" i="3"/>
  <c r="F44" i="2" l="1"/>
  <c r="G49" i="2"/>
  <c r="W58" i="18"/>
  <c r="T90" i="18"/>
  <c r="W106" i="18"/>
  <c r="W32" i="18"/>
  <c r="W59" i="18"/>
  <c r="T59" i="18" s="1"/>
  <c r="W107" i="18"/>
  <c r="W33" i="18"/>
  <c r="T91" i="18"/>
  <c r="I41" i="2"/>
  <c r="N19" i="2"/>
  <c r="N18" i="2" s="1"/>
  <c r="H21" i="18"/>
  <c r="H13" i="18"/>
  <c r="T14" i="2"/>
  <c r="F6" i="5"/>
  <c r="F7" i="5" s="1"/>
  <c r="C11" i="6"/>
  <c r="E51" i="2" l="1"/>
  <c r="G51" i="2" s="1"/>
  <c r="E50" i="2"/>
  <c r="T107" i="18"/>
  <c r="T33" i="18"/>
  <c r="T58" i="18"/>
  <c r="T106" i="18"/>
  <c r="T32" i="18"/>
  <c r="K41" i="2"/>
  <c r="N32" i="2"/>
  <c r="N30" i="2"/>
  <c r="N31" i="2"/>
  <c r="H28" i="18"/>
  <c r="V14" i="2"/>
  <c r="G50" i="2" l="1"/>
  <c r="E48" i="2"/>
  <c r="I42" i="2"/>
  <c r="H89" i="18"/>
  <c r="N23" i="2"/>
  <c r="N22" i="2"/>
  <c r="M18" i="2"/>
  <c r="U14" i="2"/>
  <c r="H18" i="5" l="1"/>
  <c r="G48" i="2"/>
  <c r="F48" i="2" s="1"/>
  <c r="H104" i="18"/>
  <c r="H79" i="18"/>
  <c r="H80" i="18" s="1"/>
  <c r="K42" i="2"/>
  <c r="K39" i="2" s="1"/>
  <c r="I45" i="2"/>
  <c r="I39" i="2"/>
  <c r="H102" i="18"/>
  <c r="H103" i="18"/>
  <c r="H105" i="18"/>
  <c r="N21" i="2"/>
  <c r="T15" i="2"/>
  <c r="W118" i="18" l="1"/>
  <c r="T118" i="18" s="1"/>
  <c r="P17" i="5"/>
  <c r="K45" i="2"/>
  <c r="J39" i="2"/>
  <c r="J9" i="2"/>
  <c r="H90" i="18"/>
  <c r="H29" i="18"/>
  <c r="T17" i="2"/>
  <c r="U15" i="2"/>
  <c r="V15" i="2"/>
  <c r="W92" i="18"/>
  <c r="W60" i="18" l="1"/>
  <c r="T60" i="18" s="1"/>
  <c r="W108" i="18"/>
  <c r="W34" i="18"/>
  <c r="T92" i="18"/>
  <c r="I46" i="2"/>
  <c r="N37" i="2"/>
  <c r="N35" i="2" s="1"/>
  <c r="N33" i="2"/>
  <c r="T108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3" i="18"/>
  <c r="V16" i="2"/>
  <c r="W61" i="18" l="1"/>
  <c r="T61" i="18" s="1"/>
  <c r="W109" i="18"/>
  <c r="T93" i="18"/>
  <c r="W35" i="18"/>
  <c r="K50" i="2"/>
  <c r="P18" i="5" s="1"/>
  <c r="I48" i="2"/>
  <c r="N40" i="2"/>
  <c r="K48" i="2" l="1"/>
  <c r="J48" i="2" s="1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T38" i="18" l="1"/>
  <c r="T112" i="18"/>
  <c r="T39" i="18"/>
  <c r="T113" i="18"/>
  <c r="W3" i="5" s="1"/>
  <c r="T37" i="18"/>
  <c r="T111" i="18"/>
  <c r="N51" i="2"/>
  <c r="N50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8" i="18" l="1"/>
  <c r="H119" i="18" s="1"/>
  <c r="H120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1" i="18" l="1"/>
  <c r="T127" i="18"/>
  <c r="W83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DU17" i="6"/>
  <c r="EE17" i="6"/>
  <c r="AJ17" i="6"/>
  <c r="FE17" i="6"/>
  <c r="BG17" i="6"/>
  <c r="FP17" i="6"/>
  <c r="DJ17" i="6"/>
  <c r="CX17" i="6"/>
  <c r="W17" i="6"/>
  <c r="GN17" i="6"/>
  <c r="AV17" i="6"/>
  <c r="DG17" i="6"/>
  <c r="JZ17" i="6"/>
  <c r="DD17" i="6"/>
  <c r="BP17" i="6"/>
  <c r="I17" i="6"/>
  <c r="KE17" i="6"/>
  <c r="GF17" i="6"/>
  <c r="DB17" i="6"/>
  <c r="CT17" i="6"/>
  <c r="KB17" i="6"/>
  <c r="M17" i="6"/>
  <c r="EK17" i="6"/>
  <c r="JU17" i="6"/>
  <c r="FQ17" i="6"/>
  <c r="IW17" i="6"/>
  <c r="BC17" i="6"/>
  <c r="HF17" i="6"/>
  <c r="DL17" i="6"/>
  <c r="DK17" i="6"/>
  <c r="HB17" i="6"/>
  <c r="IO17" i="6"/>
  <c r="IA17" i="6"/>
  <c r="BU17" i="6"/>
  <c r="BK17" i="6"/>
  <c r="ID17" i="6"/>
  <c r="CE17" i="6"/>
  <c r="JW17" i="6"/>
  <c r="AW17" i="6"/>
  <c r="JM17" i="6"/>
  <c r="FY17" i="6"/>
  <c r="GQ17" i="6"/>
  <c r="II17" i="6"/>
  <c r="EH17" i="6"/>
  <c r="GC17" i="6"/>
  <c r="GD17" i="6"/>
  <c r="T138" i="18"/>
  <c r="H17" i="6" s="1"/>
  <c r="F11" i="6"/>
  <c r="F12" i="6" s="1"/>
  <c r="F14" i="6" s="1"/>
  <c r="G12" i="6" l="1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H12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I12" i="6" l="1"/>
  <c r="H14" i="6"/>
  <c r="D17" i="6"/>
  <c r="F18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<sst xmlns="http://schemas.openxmlformats.org/spreadsheetml/2006/main" count="765" uniqueCount="436">
  <si>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</si>
  <si>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</si>
  <si>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</si>
  <si>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</si>
  <si>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</si>
  <si>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</si>
  <si>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</si>
  <si>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</si>
  <si>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</si>
  <si>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</si>
  <si>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</si>
  <si>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</si>
  <si>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</si>
  <si>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</si>
  <si>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</si>
  <si>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</si>
  <si>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</si>
  <si>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</si>
  <si>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</si>
  <si>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</si>
  <si>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</si>
  <si>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</si>
  <si>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</si>
  <si>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</si>
  <si>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</si>
  <si>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</si>
  <si>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</si>
  <si>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</si>
  <si>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</si>
  <si>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</si>
  <si>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</si>
  <si>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</si>
  <si>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</si>
  <si>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</si>
  <si>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</si>
  <si>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</si>
  <si>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</si>
  <si>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</si>
  <si>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</si>
  <si>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</si>
  <si>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</si>
  <si>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</si>
  <si>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</si>
  <si>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</si>
  <si>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</si>
  <si>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</si>
  <si>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</si>
  <si>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</si>
  <si>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</si>
  <si>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</si>
  <si>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</si>
  <si>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</si>
  <si>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</si>
  <si>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</si>
  <si>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</si>
  <si>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</si>
  <si>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</si>
  <si>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</si>
  <si>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</si>
  <si>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</si>
  <si>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</si>
  <si>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</si>
  <si>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</si>
  <si>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</si>
  <si>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</si>
  <si>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</si>
  <si>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</si>
  <si>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</si>
  <si>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</si>
  <si>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</si>
  <si>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</si>
  <si>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</si>
  <si>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</si>
  <si>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</si>
  <si>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</si>
  <si>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</si>
  <si>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</si>
  <si>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</si>
  <si>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</si>
  <si>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</si>
  <si>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</si>
  <si>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</si>
  <si>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</si>
  <si>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</si>
  <si>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</si>
  <si>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</si>
  <si>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</si>
  <si>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</si>
  <si>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</si>
  <si>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</si>
  <si>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</si>
  <si>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</si>
  <si>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</si>
  <si>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</si>
  <si>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</si>
  <si>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</si>
  <si>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</si>
  <si>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</si>
  <si>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</si>
  <si>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</si>
  <si>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</si>
  <si>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</si>
  <si>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</si>
  <si>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</si>
  <si>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</si>
  <si>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</si>
  <si>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</si>
  <si>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</si>
  <si>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</si>
  <si>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</si>
  <si>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</si>
  <si>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</si>
  <si>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</si>
  <si>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</si>
  <si>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</si>
  <si>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</si>
  <si>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</si>
  <si>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</si>
  <si>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</si>
  <si>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</si>
  <si>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</si>
  <si>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</si>
  <si>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</si>
  <si>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</si>
  <si>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</si>
  <si>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</si>
  <si>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</si>
  <si>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</si>
  <si>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</si>
  <si>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</si>
  <si>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</si>
  <si>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</si>
  <si>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</si>
  <si>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</si>
  <si>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</si>
  <si>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</si>
  <si>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</si>
  <si>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</si>
  <si>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</si>
  <si>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</si>
  <si>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</si>
  <si>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</si>
  <si>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</si>
  <si>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</si>
  <si>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</si>
  <si>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</si>
  <si>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</si>
  <si>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</si>
  <si>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</si>
  <si>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</si>
  <si>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</si>
  <si>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</si>
  <si>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</si>
  <si>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</si>
  <si>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</si>
  <si>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</si>
  <si>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</si>
  <si>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</si>
  <si>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</si>
  <si>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</si>
  <si>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</si>
  <si>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</si>
  <si>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</si>
  <si>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</si>
  <si>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</si>
  <si>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</si>
  <si>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</si>
  <si>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</si>
  <si>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</si>
  <si>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</si>
  <si>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</si>
  <si>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</si>
  <si>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</si>
  <si>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</si>
  <si>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</si>
  <si>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</si>
  <si>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</si>
  <si>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</si>
  <si>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</si>
  <si>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</si>
  <si>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</si>
  <si>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</si>
  <si>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</si>
  <si>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</si>
  <si>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</si>
  <si>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</si>
  <si>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</si>
  <si>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</si>
  <si>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</si>
  <si>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</si>
  <si>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</si>
  <si>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</si>
  <si>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</si>
  <si>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</si>
  <si>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</si>
  <si>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</si>
  <si>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</si>
  <si>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</si>
  <si>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</si>
  <si>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</si>
  <si>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</si>
  <si>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</si>
  <si>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</si>
  <si>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</si>
  <si>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</si>
  <si>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</si>
  <si>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</si>
  <si>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</si>
  <si>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</si>
  <si>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</si>
  <si>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</si>
  <si>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</si>
  <si>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</si>
  <si>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</si>
  <si>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</si>
  <si>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</si>
  <si>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</si>
  <si>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</si>
  <si>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</si>
  <si>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</si>
  <si>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</si>
  <si>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</si>
  <si>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</si>
  <si>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</si>
  <si>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</si>
  <si>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</si>
  <si>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</si>
  <si>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</si>
  <si>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</si>
  <si>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</si>
  <si>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</si>
  <si>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</si>
  <si>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</si>
  <si>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</si>
  <si>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</si>
  <si>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</si>
  <si>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</si>
  <si>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</si>
  <si>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</si>
  <si>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</si>
  <si>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</si>
  <si>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</si>
  <si>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</si>
  <si>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</si>
  <si>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</si>
  <si>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</si>
  <si>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</si>
  <si>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</si>
  <si>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</si>
  <si>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</si>
  <si>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</si>
  <si>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</si>
  <si>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</si>
  <si>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</si>
  <si>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</si>
  <si>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</si>
  <si>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</si>
  <si>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</si>
  <si>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</si>
  <si>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</si>
  <si>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</si>
  <si>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</si>
  <si>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</si>
  <si>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</si>
  <si>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</si>
  <si>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</si>
  <si>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</si>
  <si>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</si>
  <si>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</si>
  <si>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</si>
  <si>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</si>
  <si>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</si>
  <si>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</si>
  <si>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</si>
  <si>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</si>
  <si>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</si>
  <si>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</si>
  <si>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</si>
  <si>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</si>
  <si>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</si>
  <si>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</si>
  <si>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</si>
  <si>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</si>
  <si>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</si>
  <si>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</si>
  <si>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</si>
  <si>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</si>
  <si>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</si>
  <si>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</si>
  <si>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Surface Protection Mats</t>
  </si>
  <si>
    <t xml:space="preserve">Allocated from Red Rocket </t>
  </si>
  <si>
    <t>Less 15%</t>
  </si>
  <si>
    <t>R/Wp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</si>
  <si>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</si>
  <si>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</si>
  <si>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</si>
  <si>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</si>
  <si>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</si>
  <si>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</si>
  <si>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</si>
  <si>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</si>
  <si>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</si>
  <si>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</si>
  <si>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</si>
  <si>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</si>
  <si>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</si>
  <si>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</si>
  <si>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</si>
  <si>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</si>
  <si>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</si>
  <si>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</si>
  <si>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</si>
  <si>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</si>
  <si>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</si>
  <si>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</si>
  <si>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</si>
  <si>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</si>
  <si>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</si>
  <si>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</si>
  <si>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</si>
  <si>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</si>
  <si>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</si>
  <si>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</t>
  </si>
  <si>
    <t>Anchor Points - Deposit</t>
  </si>
  <si>
    <t>PO4566-7AP-20260121 - RV Approved</t>
  </si>
  <si>
    <t>Hisafe - Inv 00361</t>
  </si>
  <si>
    <t>Aircon - Labour Cost</t>
  </si>
  <si>
    <t>Anchor Points - Balance</t>
  </si>
  <si>
    <t>Air Conditioner  -Equipment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</si>
  <si>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</si>
  <si>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</si>
  <si>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</si>
  <si>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</si>
  <si>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</si>
  <si>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</si>
  <si>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</si>
  <si>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</si>
  <si>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</si>
  <si>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</si>
  <si>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</si>
  <si>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</si>
  <si>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</si>
  <si>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</si>
  <si>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</si>
  <si>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</si>
  <si>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</si>
  <si>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</si>
  <si>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</si>
  <si>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</si>
  <si>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</si>
  <si>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</si>
  <si>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</si>
  <si>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</si>
  <si>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</si>
  <si>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</si>
  <si>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</si>
  <si>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</si>
  <si>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</si>
  <si>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</si>
  <si>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</si>
  <si>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</si>
  <si>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</si>
  <si>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</si>
  <si>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</si>
  <si>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</si>
  <si>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</si>
  <si>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</si>
  <si>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</si>
  <si>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</si>
  <si>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</si>
  <si>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</si>
  <si>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</si>
  <si>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</si>
  <si>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</si>
  <si>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</si>
  <si>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</si>
  <si>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</si>
  <si>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</si>
  <si>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</si>
  <si>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</si>
  <si>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</si>
  <si>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</si>
  <si>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</si>
  <si>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</si>
  <si>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</si>
  <si>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</si>
  <si>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</si>
  <si>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</si>
  <si>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</si>
  <si>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</si>
  <si>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</si>
  <si>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</si>
  <si>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</si>
  <si>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</si>
  <si>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</si>
  <si>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</si>
  <si>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</si>
  <si>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</si>
  <si>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</si>
  <si>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</si>
  <si>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</si>
  <si>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</si>
  <si>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</si>
  <si>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</si>
  <si>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</si>
  <si>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</si>
  <si>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</si>
  <si>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</si>
  <si>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</si>
  <si>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</si>
  <si>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</si>
  <si>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</si>
  <si>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</si>
  <si>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</si>
  <si>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</si>
  <si>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</si>
  <si>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</si>
  <si>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</si>
  <si>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</si>
  <si>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</si>
  <si>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</si>
  <si>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</si>
  <si>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</si>
  <si>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</si>
  <si>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VO PM LIMIT</t>
  </si>
  <si>
    <t>CURRENT VO Total</t>
  </si>
  <si>
    <t>Waste Skip</t>
  </si>
  <si>
    <t>Miscellaneous</t>
  </si>
  <si>
    <t>Installer Price - Photon Solar</t>
  </si>
  <si>
    <t>PO4578-7AP-20260126 - RV Approved</t>
  </si>
  <si>
    <t>Air Conditioner  - Equipment</t>
  </si>
  <si>
    <t>New installer Contigency</t>
  </si>
  <si>
    <t>Lintels</t>
  </si>
  <si>
    <t>PO4589-7AP-20260129 - RV Approved</t>
  </si>
  <si>
    <t>Lintels for Africa - 234145</t>
  </si>
  <si>
    <t>MSA Energy - INV0003571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</si>
</sst>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63</c:v>
                  </c:pt>
                  <c:pt idx="1">
                    <c:v>1</c:v>
                  </c:pt>
                  <c:pt idx="2">
                    <c:v>40</c:v>
                  </c:pt>
                  <c:pt idx="3">
                    <c:v>23</c:v>
                  </c:pt>
                  <c:pt idx="4">
                    <c:v>17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3">
                  <c:v>46057</c:v>
                </c:pt>
                <c:pt idx="4">
                  <c:v>46062</c:v>
                </c:pt>
                <c:pt idx="5">
                  <c:v>46080</c:v>
                </c:pt>
                <c:pt idx="6">
                  <c:v>46084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46052</c:v>
                </c:pt>
                <c:pt idx="1">
                  <c:v>46052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71184.800000000003</c:v>
                </c:pt>
                <c:pt idx="13">
                  <c:v>143640.34000000003</c:v>
                </c:pt>
                <c:pt idx="14">
                  <c:v>143640.34000000003</c:v>
                </c:pt>
                <c:pt idx="15">
                  <c:v>176698.86800000002</c:v>
                </c:pt>
                <c:pt idx="16">
                  <c:v>218503.27800000002</c:v>
                </c:pt>
                <c:pt idx="17">
                  <c:v>247094.27800000002</c:v>
                </c:pt>
                <c:pt idx="18">
                  <c:v>288417.43800000002</c:v>
                </c:pt>
                <c:pt idx="19">
                  <c:v>300994.93800000002</c:v>
                </c:pt>
                <c:pt idx="20">
                  <c:v>1196518.3804399516</c:v>
                </c:pt>
                <c:pt idx="21">
                  <c:v>1205264.2624399515</c:v>
                </c:pt>
                <c:pt idx="22">
                  <c:v>1220264.2624399515</c:v>
                </c:pt>
                <c:pt idx="23">
                  <c:v>1220264.2624399515</c:v>
                </c:pt>
                <c:pt idx="24">
                  <c:v>1220264.2624399515</c:v>
                </c:pt>
                <c:pt idx="25">
                  <c:v>1220745.5124399515</c:v>
                </c:pt>
                <c:pt idx="26">
                  <c:v>1220745.5124399515</c:v>
                </c:pt>
                <c:pt idx="27">
                  <c:v>1220745.5124399515</c:v>
                </c:pt>
                <c:pt idx="28">
                  <c:v>1370745.5124399515</c:v>
                </c:pt>
                <c:pt idx="29">
                  <c:v>1370745.5124399515</c:v>
                </c:pt>
                <c:pt idx="30">
                  <c:v>1370745.5124399515</c:v>
                </c:pt>
                <c:pt idx="31">
                  <c:v>1370745.5124399515</c:v>
                </c:pt>
                <c:pt idx="32">
                  <c:v>1370745.5124399515</c:v>
                </c:pt>
                <c:pt idx="33">
                  <c:v>1370745.5124399515</c:v>
                </c:pt>
                <c:pt idx="34">
                  <c:v>1370745.5124399515</c:v>
                </c:pt>
                <c:pt idx="35">
                  <c:v>1370745.5124399515</c:v>
                </c:pt>
                <c:pt idx="36">
                  <c:v>1370745.5124399515</c:v>
                </c:pt>
                <c:pt idx="37">
                  <c:v>1370745.5124399515</c:v>
                </c:pt>
                <c:pt idx="38">
                  <c:v>1370745.5124399515</c:v>
                </c:pt>
                <c:pt idx="39">
                  <c:v>1370745.5124399515</c:v>
                </c:pt>
                <c:pt idx="40">
                  <c:v>1370745.5124399515</c:v>
                </c:pt>
                <c:pt idx="41">
                  <c:v>1370745.5124399515</c:v>
                </c:pt>
                <c:pt idx="42">
                  <c:v>1370745.5124399515</c:v>
                </c:pt>
                <c:pt idx="43">
                  <c:v>1370745.5124399515</c:v>
                </c:pt>
                <c:pt idx="44">
                  <c:v>1370745.5124399515</c:v>
                </c:pt>
                <c:pt idx="45">
                  <c:v>1370745.5124399515</c:v>
                </c:pt>
                <c:pt idx="46">
                  <c:v>1370745.5124399515</c:v>
                </c:pt>
                <c:pt idx="47">
                  <c:v>1370745.5124399515</c:v>
                </c:pt>
                <c:pt idx="48">
                  <c:v>1370745.5124399515</c:v>
                </c:pt>
                <c:pt idx="49">
                  <c:v>1370745.5124399515</c:v>
                </c:pt>
                <c:pt idx="50">
                  <c:v>1370745.5124399515</c:v>
                </c:pt>
                <c:pt idx="51">
                  <c:v>1370745.5124399515</c:v>
                </c:pt>
                <c:pt idx="52">
                  <c:v>1370745.5124399515</c:v>
                </c:pt>
                <c:pt idx="53">
                  <c:v>1370745.5124399515</c:v>
                </c:pt>
                <c:pt idx="54">
                  <c:v>1370745.5124399515</c:v>
                </c:pt>
                <c:pt idx="55">
                  <c:v>1370745.5124399515</c:v>
                </c:pt>
                <c:pt idx="56">
                  <c:v>1370745.5124399515</c:v>
                </c:pt>
                <c:pt idx="57">
                  <c:v>1370745.5124399515</c:v>
                </c:pt>
                <c:pt idx="58">
                  <c:v>1370745.5124399515</c:v>
                </c:pt>
                <c:pt idx="59">
                  <c:v>1370745.5124399515</c:v>
                </c:pt>
                <c:pt idx="60">
                  <c:v>1370745.5124399515</c:v>
                </c:pt>
                <c:pt idx="61">
                  <c:v>1370745.5124399515</c:v>
                </c:pt>
                <c:pt idx="62">
                  <c:v>1370745.5124399515</c:v>
                </c:pt>
                <c:pt idx="63">
                  <c:v>1370745.5124399515</c:v>
                </c:pt>
                <c:pt idx="64">
                  <c:v>1370745.5124399515</c:v>
                </c:pt>
                <c:pt idx="65">
                  <c:v>1370745.5124399515</c:v>
                </c:pt>
                <c:pt idx="66">
                  <c:v>1370745.5124399515</c:v>
                </c:pt>
                <c:pt idx="67">
                  <c:v>1370745.5124399515</c:v>
                </c:pt>
                <c:pt idx="68">
                  <c:v>1370745.5124399515</c:v>
                </c:pt>
                <c:pt idx="69">
                  <c:v>1370745.5124399515</c:v>
                </c:pt>
                <c:pt idx="70">
                  <c:v>1370745.5124399515</c:v>
                </c:pt>
                <c:pt idx="71">
                  <c:v>1370745.5124399515</c:v>
                </c:pt>
                <c:pt idx="72">
                  <c:v>1370745.5124399515</c:v>
                </c:pt>
                <c:pt idx="73">
                  <c:v>1370745.5124399515</c:v>
                </c:pt>
                <c:pt idx="74">
                  <c:v>1370745.5124399515</c:v>
                </c:pt>
                <c:pt idx="75">
                  <c:v>1370745.5124399515</c:v>
                </c:pt>
                <c:pt idx="76">
                  <c:v>1370745.5124399515</c:v>
                </c:pt>
                <c:pt idx="77">
                  <c:v>1370745.5124399515</c:v>
                </c:pt>
                <c:pt idx="78">
                  <c:v>1370745.5124399515</c:v>
                </c:pt>
                <c:pt idx="79">
                  <c:v>1370745.5124399515</c:v>
                </c:pt>
                <c:pt idx="80">
                  <c:v>1370745.5124399515</c:v>
                </c:pt>
                <c:pt idx="81">
                  <c:v>1370745.5124399515</c:v>
                </c:pt>
                <c:pt idx="82">
                  <c:v>1370745.5124399515</c:v>
                </c:pt>
                <c:pt idx="83">
                  <c:v>1370745.5124399515</c:v>
                </c:pt>
                <c:pt idx="84">
                  <c:v>1370745.5124399515</c:v>
                </c:pt>
                <c:pt idx="85">
                  <c:v>1370745.5124399515</c:v>
                </c:pt>
                <c:pt idx="86">
                  <c:v>1370745.5124399515</c:v>
                </c:pt>
                <c:pt idx="87">
                  <c:v>1370745.5124399515</c:v>
                </c:pt>
                <c:pt idx="88">
                  <c:v>1370745.5124399515</c:v>
                </c:pt>
                <c:pt idx="89">
                  <c:v>1370745.5124399515</c:v>
                </c:pt>
                <c:pt idx="90">
                  <c:v>1370745.5124399515</c:v>
                </c:pt>
                <c:pt idx="91">
                  <c:v>1370745.5124399515</c:v>
                </c:pt>
                <c:pt idx="92">
                  <c:v>1370745.5124399515</c:v>
                </c:pt>
                <c:pt idx="93">
                  <c:v>1370745.5124399515</c:v>
                </c:pt>
                <c:pt idx="94">
                  <c:v>1370745.5124399515</c:v>
                </c:pt>
                <c:pt idx="95">
                  <c:v>1370745.5124399515</c:v>
                </c:pt>
                <c:pt idx="96">
                  <c:v>1370745.5124399515</c:v>
                </c:pt>
                <c:pt idx="97">
                  <c:v>1370745.5124399515</c:v>
                </c:pt>
                <c:pt idx="98">
                  <c:v>1370745.5124399515</c:v>
                </c:pt>
                <c:pt idx="99">
                  <c:v>1370745.5124399515</c:v>
                </c:pt>
                <c:pt idx="100">
                  <c:v>1370745.5124399515</c:v>
                </c:pt>
                <c:pt idx="101">
                  <c:v>1370745.5124399515</c:v>
                </c:pt>
                <c:pt idx="102">
                  <c:v>1370745.5124399515</c:v>
                </c:pt>
                <c:pt idx="103">
                  <c:v>1370745.5124399515</c:v>
                </c:pt>
                <c:pt idx="104">
                  <c:v>1370745.5124399515</c:v>
                </c:pt>
                <c:pt idx="105">
                  <c:v>1370745.5124399515</c:v>
                </c:pt>
                <c:pt idx="106">
                  <c:v>1370745.5124399515</c:v>
                </c:pt>
                <c:pt idx="107">
                  <c:v>1370745.5124399515</c:v>
                </c:pt>
                <c:pt idx="108">
                  <c:v>1370745.5124399515</c:v>
                </c:pt>
                <c:pt idx="109">
                  <c:v>1370745.5124399515</c:v>
                </c:pt>
                <c:pt idx="110">
                  <c:v>1370745.5124399515</c:v>
                </c:pt>
                <c:pt idx="111">
                  <c:v>1370745.5124399515</c:v>
                </c:pt>
                <c:pt idx="112">
                  <c:v>1370745.5124399515</c:v>
                </c:pt>
                <c:pt idx="113">
                  <c:v>1370745.5124399515</c:v>
                </c:pt>
                <c:pt idx="114">
                  <c:v>1370745.5124399515</c:v>
                </c:pt>
                <c:pt idx="115">
                  <c:v>1370745.5124399515</c:v>
                </c:pt>
                <c:pt idx="116">
                  <c:v>1370745.5124399515</c:v>
                </c:pt>
                <c:pt idx="117">
                  <c:v>1370745.5124399515</c:v>
                </c:pt>
                <c:pt idx="118">
                  <c:v>1370745.5124399515</c:v>
                </c:pt>
                <c:pt idx="119">
                  <c:v>1370745.5124399515</c:v>
                </c:pt>
                <c:pt idx="120">
                  <c:v>1370745.5124399515</c:v>
                </c:pt>
                <c:pt idx="121">
                  <c:v>1370745.5124399515</c:v>
                </c:pt>
                <c:pt idx="122">
                  <c:v>1370745.5124399515</c:v>
                </c:pt>
                <c:pt idx="123">
                  <c:v>1370745.5124399515</c:v>
                </c:pt>
                <c:pt idx="124">
                  <c:v>1370745.5124399515</c:v>
                </c:pt>
                <c:pt idx="125">
                  <c:v>1370745.5124399515</c:v>
                </c:pt>
                <c:pt idx="126">
                  <c:v>1370745.5124399515</c:v>
                </c:pt>
                <c:pt idx="127">
                  <c:v>1370745.5124399515</c:v>
                </c:pt>
                <c:pt idx="128">
                  <c:v>1370745.5124399515</c:v>
                </c:pt>
                <c:pt idx="129">
                  <c:v>1370745.5124399515</c:v>
                </c:pt>
                <c:pt idx="130">
                  <c:v>1370745.5124399515</c:v>
                </c:pt>
                <c:pt idx="131">
                  <c:v>1370745.5124399515</c:v>
                </c:pt>
                <c:pt idx="132">
                  <c:v>1370745.5124399515</c:v>
                </c:pt>
                <c:pt idx="133">
                  <c:v>1370745.5124399515</c:v>
                </c:pt>
                <c:pt idx="134">
                  <c:v>1370745.5124399515</c:v>
                </c:pt>
                <c:pt idx="135">
                  <c:v>1370745.5124399515</c:v>
                </c:pt>
                <c:pt idx="136">
                  <c:v>1370745.5124399515</c:v>
                </c:pt>
                <c:pt idx="137">
                  <c:v>1370745.5124399515</c:v>
                </c:pt>
                <c:pt idx="138">
                  <c:v>1370745.5124399515</c:v>
                </c:pt>
                <c:pt idx="139">
                  <c:v>1370745.5124399515</c:v>
                </c:pt>
                <c:pt idx="140">
                  <c:v>1370745.5124399515</c:v>
                </c:pt>
                <c:pt idx="141">
                  <c:v>1370745.5124399515</c:v>
                </c:pt>
                <c:pt idx="142">
                  <c:v>1370745.5124399515</c:v>
                </c:pt>
                <c:pt idx="143">
                  <c:v>1370745.5124399515</c:v>
                </c:pt>
                <c:pt idx="144">
                  <c:v>1370745.5124399515</c:v>
                </c:pt>
                <c:pt idx="145">
                  <c:v>1370745.5124399515</c:v>
                </c:pt>
                <c:pt idx="146">
                  <c:v>1370745.5124399515</c:v>
                </c:pt>
                <c:pt idx="147">
                  <c:v>1370745.5124399515</c:v>
                </c:pt>
                <c:pt idx="148">
                  <c:v>1370745.5124399515</c:v>
                </c:pt>
                <c:pt idx="149">
                  <c:v>1370745.5124399515</c:v>
                </c:pt>
                <c:pt idx="150">
                  <c:v>1370745.5124399515</c:v>
                </c:pt>
                <c:pt idx="151">
                  <c:v>1370745.5124399515</c:v>
                </c:pt>
                <c:pt idx="152">
                  <c:v>1370745.5124399515</c:v>
                </c:pt>
                <c:pt idx="153">
                  <c:v>1370745.5124399515</c:v>
                </c:pt>
                <c:pt idx="154">
                  <c:v>1370745.5124399515</c:v>
                </c:pt>
                <c:pt idx="155">
                  <c:v>1370745.5124399515</c:v>
                </c:pt>
                <c:pt idx="156">
                  <c:v>1370745.5124399515</c:v>
                </c:pt>
                <c:pt idx="157">
                  <c:v>1370745.5124399515</c:v>
                </c:pt>
                <c:pt idx="158">
                  <c:v>1370745.5124399515</c:v>
                </c:pt>
                <c:pt idx="159">
                  <c:v>1370745.5124399515</c:v>
                </c:pt>
                <c:pt idx="160">
                  <c:v>1370745.5124399515</c:v>
                </c:pt>
                <c:pt idx="161">
                  <c:v>1370745.5124399515</c:v>
                </c:pt>
                <c:pt idx="162">
                  <c:v>1370745.5124399515</c:v>
                </c:pt>
                <c:pt idx="163">
                  <c:v>1370745.5124399515</c:v>
                </c:pt>
                <c:pt idx="164">
                  <c:v>1370745.5124399515</c:v>
                </c:pt>
                <c:pt idx="165">
                  <c:v>1370745.5124399515</c:v>
                </c:pt>
                <c:pt idx="166">
                  <c:v>1370745.5124399515</c:v>
                </c:pt>
                <c:pt idx="167">
                  <c:v>1370745.5124399515</c:v>
                </c:pt>
                <c:pt idx="168">
                  <c:v>1370745.5124399515</c:v>
                </c:pt>
                <c:pt idx="169">
                  <c:v>1370745.5124399515</c:v>
                </c:pt>
                <c:pt idx="170">
                  <c:v>1370745.5124399515</c:v>
                </c:pt>
                <c:pt idx="171">
                  <c:v>1370745.5124399515</c:v>
                </c:pt>
                <c:pt idx="172">
                  <c:v>1370745.5124399515</c:v>
                </c:pt>
                <c:pt idx="173">
                  <c:v>1370745.5124399515</c:v>
                </c:pt>
                <c:pt idx="174">
                  <c:v>1370745.5124399515</c:v>
                </c:pt>
                <c:pt idx="175">
                  <c:v>1370745.5124399515</c:v>
                </c:pt>
                <c:pt idx="176">
                  <c:v>1370745.5124399515</c:v>
                </c:pt>
                <c:pt idx="177">
                  <c:v>1370745.5124399515</c:v>
                </c:pt>
                <c:pt idx="178">
                  <c:v>1370745.5124399515</c:v>
                </c:pt>
                <c:pt idx="179">
                  <c:v>1370745.5124399515</c:v>
                </c:pt>
                <c:pt idx="180">
                  <c:v>1370745.5124399515</c:v>
                </c:pt>
                <c:pt idx="181">
                  <c:v>1370745.5124399515</c:v>
                </c:pt>
                <c:pt idx="182">
                  <c:v>1370745.5124399515</c:v>
                </c:pt>
                <c:pt idx="183">
                  <c:v>1370745.5124399515</c:v>
                </c:pt>
                <c:pt idx="184">
                  <c:v>1370745.5124399515</c:v>
                </c:pt>
                <c:pt idx="185">
                  <c:v>1370745.5124399515</c:v>
                </c:pt>
                <c:pt idx="186">
                  <c:v>1370745.5124399515</c:v>
                </c:pt>
                <c:pt idx="187">
                  <c:v>1370745.5124399515</c:v>
                </c:pt>
                <c:pt idx="188">
                  <c:v>1370745.5124399515</c:v>
                </c:pt>
                <c:pt idx="189">
                  <c:v>1370745.5124399515</c:v>
                </c:pt>
                <c:pt idx="190">
                  <c:v>1370745.5124399515</c:v>
                </c:pt>
                <c:pt idx="191">
                  <c:v>1370745.5124399515</c:v>
                </c:pt>
                <c:pt idx="192">
                  <c:v>1370745.5124399515</c:v>
                </c:pt>
                <c:pt idx="193">
                  <c:v>1370745.5124399515</c:v>
                </c:pt>
                <c:pt idx="194">
                  <c:v>1370745.5124399515</c:v>
                </c:pt>
                <c:pt idx="195">
                  <c:v>1370745.5124399515</c:v>
                </c:pt>
                <c:pt idx="196">
                  <c:v>1370745.5124399515</c:v>
                </c:pt>
                <c:pt idx="197">
                  <c:v>1370745.5124399515</c:v>
                </c:pt>
                <c:pt idx="198">
                  <c:v>1370745.5124399515</c:v>
                </c:pt>
                <c:pt idx="199">
                  <c:v>1370745.5124399515</c:v>
                </c:pt>
                <c:pt idx="200">
                  <c:v>1370745.5124399515</c:v>
                </c:pt>
                <c:pt idx="201">
                  <c:v>1370745.5124399515</c:v>
                </c:pt>
                <c:pt idx="202">
                  <c:v>1370745.5124399515</c:v>
                </c:pt>
                <c:pt idx="203">
                  <c:v>1370745.5124399515</c:v>
                </c:pt>
                <c:pt idx="204">
                  <c:v>1370745.5124399515</c:v>
                </c:pt>
                <c:pt idx="205">
                  <c:v>1370745.5124399515</c:v>
                </c:pt>
                <c:pt idx="206">
                  <c:v>1370745.5124399515</c:v>
                </c:pt>
                <c:pt idx="207">
                  <c:v>1370745.5124399515</c:v>
                </c:pt>
                <c:pt idx="208">
                  <c:v>1370745.5124399515</c:v>
                </c:pt>
                <c:pt idx="209">
                  <c:v>1370745.5124399515</c:v>
                </c:pt>
                <c:pt idx="210">
                  <c:v>1370745.5124399515</c:v>
                </c:pt>
                <c:pt idx="211">
                  <c:v>1370745.5124399515</c:v>
                </c:pt>
                <c:pt idx="212">
                  <c:v>1370745.5124399515</c:v>
                </c:pt>
                <c:pt idx="213">
                  <c:v>1370745.5124399515</c:v>
                </c:pt>
                <c:pt idx="214">
                  <c:v>1370745.5124399515</c:v>
                </c:pt>
                <c:pt idx="215">
                  <c:v>1370745.5124399515</c:v>
                </c:pt>
                <c:pt idx="216">
                  <c:v>1370745.5124399515</c:v>
                </c:pt>
                <c:pt idx="217">
                  <c:v>1370745.5124399515</c:v>
                </c:pt>
                <c:pt idx="218">
                  <c:v>1370745.5124399515</c:v>
                </c:pt>
                <c:pt idx="219">
                  <c:v>1370745.5124399515</c:v>
                </c:pt>
                <c:pt idx="220">
                  <c:v>1370745.5124399515</c:v>
                </c:pt>
                <c:pt idx="221">
                  <c:v>1370745.5124399515</c:v>
                </c:pt>
                <c:pt idx="222">
                  <c:v>1370745.5124399515</c:v>
                </c:pt>
                <c:pt idx="223">
                  <c:v>1370745.5124399515</c:v>
                </c:pt>
                <c:pt idx="224">
                  <c:v>1370745.5124399515</c:v>
                </c:pt>
                <c:pt idx="225">
                  <c:v>1370745.5124399515</c:v>
                </c:pt>
                <c:pt idx="226">
                  <c:v>1370745.5124399515</c:v>
                </c:pt>
                <c:pt idx="227">
                  <c:v>1370745.5124399515</c:v>
                </c:pt>
                <c:pt idx="228">
                  <c:v>1370745.5124399515</c:v>
                </c:pt>
                <c:pt idx="229">
                  <c:v>1370745.5124399515</c:v>
                </c:pt>
                <c:pt idx="230">
                  <c:v>1370745.5124399515</c:v>
                </c:pt>
                <c:pt idx="231">
                  <c:v>1370745.5124399515</c:v>
                </c:pt>
                <c:pt idx="232">
                  <c:v>1370745.5124399515</c:v>
                </c:pt>
                <c:pt idx="233">
                  <c:v>1370745.5124399515</c:v>
                </c:pt>
                <c:pt idx="234">
                  <c:v>1370745.5124399515</c:v>
                </c:pt>
                <c:pt idx="235">
                  <c:v>1370745.5124399515</c:v>
                </c:pt>
                <c:pt idx="236">
                  <c:v>1370745.5124399515</c:v>
                </c:pt>
                <c:pt idx="237">
                  <c:v>1370745.5124399515</c:v>
                </c:pt>
                <c:pt idx="238">
                  <c:v>1370745.5124399515</c:v>
                </c:pt>
                <c:pt idx="239">
                  <c:v>1370745.5124399515</c:v>
                </c:pt>
                <c:pt idx="240">
                  <c:v>1370745.5124399515</c:v>
                </c:pt>
                <c:pt idx="241">
                  <c:v>1370745.5124399515</c:v>
                </c:pt>
                <c:pt idx="242">
                  <c:v>1370745.5124399515</c:v>
                </c:pt>
                <c:pt idx="243">
                  <c:v>1370745.5124399515</c:v>
                </c:pt>
                <c:pt idx="244">
                  <c:v>1370745.5124399515</c:v>
                </c:pt>
                <c:pt idx="245">
                  <c:v>1370745.5124399515</c:v>
                </c:pt>
                <c:pt idx="246">
                  <c:v>1370745.5124399515</c:v>
                </c:pt>
                <c:pt idx="247">
                  <c:v>1370745.5124399515</c:v>
                </c:pt>
                <c:pt idx="248">
                  <c:v>1370745.5124399515</c:v>
                </c:pt>
                <c:pt idx="249">
                  <c:v>1370745.5124399515</c:v>
                </c:pt>
                <c:pt idx="250">
                  <c:v>1370745.5124399515</c:v>
                </c:pt>
                <c:pt idx="251">
                  <c:v>1370745.5124399515</c:v>
                </c:pt>
                <c:pt idx="252">
                  <c:v>1370745.5124399515</c:v>
                </c:pt>
                <c:pt idx="253">
                  <c:v>1370745.5124399515</c:v>
                </c:pt>
                <c:pt idx="254">
                  <c:v>1370745.5124399515</c:v>
                </c:pt>
                <c:pt idx="255">
                  <c:v>1370745.5124399515</c:v>
                </c:pt>
                <c:pt idx="256">
                  <c:v>1370745.5124399515</c:v>
                </c:pt>
                <c:pt idx="257">
                  <c:v>1370745.5124399515</c:v>
                </c:pt>
                <c:pt idx="258">
                  <c:v>1370745.5124399515</c:v>
                </c:pt>
                <c:pt idx="259">
                  <c:v>1370745.5124399515</c:v>
                </c:pt>
                <c:pt idx="260">
                  <c:v>1370745.5124399515</c:v>
                </c:pt>
                <c:pt idx="261">
                  <c:v>1370745.5124399515</c:v>
                </c:pt>
                <c:pt idx="262">
                  <c:v>1370745.5124399515</c:v>
                </c:pt>
                <c:pt idx="263">
                  <c:v>1370745.5124399515</c:v>
                </c:pt>
                <c:pt idx="264">
                  <c:v>1370745.5124399515</c:v>
                </c:pt>
                <c:pt idx="265">
                  <c:v>1370745.5124399515</c:v>
                </c:pt>
                <c:pt idx="266">
                  <c:v>1370745.5124399515</c:v>
                </c:pt>
                <c:pt idx="267">
                  <c:v>1370745.5124399515</c:v>
                </c:pt>
                <c:pt idx="268">
                  <c:v>1370745.5124399515</c:v>
                </c:pt>
                <c:pt idx="269">
                  <c:v>1370745.5124399515</c:v>
                </c:pt>
                <c:pt idx="270">
                  <c:v>1370745.5124399515</c:v>
                </c:pt>
                <c:pt idx="271">
                  <c:v>1370745.5124399515</c:v>
                </c:pt>
                <c:pt idx="272">
                  <c:v>1370745.5124399515</c:v>
                </c:pt>
                <c:pt idx="273">
                  <c:v>1370745.5124399515</c:v>
                </c:pt>
                <c:pt idx="274">
                  <c:v>1370745.5124399515</c:v>
                </c:pt>
                <c:pt idx="275">
                  <c:v>1370745.5124399515</c:v>
                </c:pt>
                <c:pt idx="276">
                  <c:v>1370745.5124399515</c:v>
                </c:pt>
                <c:pt idx="277">
                  <c:v>1370745.5124399515</c:v>
                </c:pt>
                <c:pt idx="278">
                  <c:v>1370745.5124399515</c:v>
                </c:pt>
                <c:pt idx="279">
                  <c:v>1370745.5124399515</c:v>
                </c:pt>
                <c:pt idx="280">
                  <c:v>1370745.5124399515</c:v>
                </c:pt>
                <c:pt idx="281">
                  <c:v>1370745.5124399515</c:v>
                </c:pt>
                <c:pt idx="282">
                  <c:v>1370745.5124399515</c:v>
                </c:pt>
                <c:pt idx="283">
                  <c:v>1370745.5124399515</c:v>
                </c:pt>
                <c:pt idx="284">
                  <c:v>1370745.5124399515</c:v>
                </c:pt>
                <c:pt idx="285">
                  <c:v>1370745.5124399515</c:v>
                </c:pt>
                <c:pt idx="286">
                  <c:v>1370745.5124399515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398634.04879902903</c:v>
                </c:pt>
                <c:pt idx="13">
                  <c:v>326178.50879902899</c:v>
                </c:pt>
                <c:pt idx="14">
                  <c:v>1453743.7459166979</c:v>
                </c:pt>
                <c:pt idx="15">
                  <c:v>1420685.217916698</c:v>
                </c:pt>
                <c:pt idx="16">
                  <c:v>1378880.807916698</c:v>
                </c:pt>
                <c:pt idx="17">
                  <c:v>1350289.807916698</c:v>
                </c:pt>
                <c:pt idx="18">
                  <c:v>1496894.1874363094</c:v>
                </c:pt>
                <c:pt idx="19">
                  <c:v>1578280.4571961151</c:v>
                </c:pt>
                <c:pt idx="20">
                  <c:v>682757.01475616358</c:v>
                </c:pt>
                <c:pt idx="21">
                  <c:v>674011.1327561636</c:v>
                </c:pt>
                <c:pt idx="22">
                  <c:v>659011.1327561636</c:v>
                </c:pt>
                <c:pt idx="23">
                  <c:v>659011.1327561636</c:v>
                </c:pt>
                <c:pt idx="24">
                  <c:v>659011.1327561636</c:v>
                </c:pt>
                <c:pt idx="25">
                  <c:v>658529.8827561636</c:v>
                </c:pt>
                <c:pt idx="26">
                  <c:v>658529.8827561636</c:v>
                </c:pt>
                <c:pt idx="27">
                  <c:v>658529.8827561636</c:v>
                </c:pt>
                <c:pt idx="28">
                  <c:v>508529.8827561636</c:v>
                </c:pt>
                <c:pt idx="29">
                  <c:v>508529.8827561636</c:v>
                </c:pt>
                <c:pt idx="30">
                  <c:v>508529.8827561636</c:v>
                </c:pt>
                <c:pt idx="31">
                  <c:v>508529.8827561636</c:v>
                </c:pt>
                <c:pt idx="32">
                  <c:v>508529.8827561636</c:v>
                </c:pt>
                <c:pt idx="33">
                  <c:v>508529.8827561636</c:v>
                </c:pt>
                <c:pt idx="34">
                  <c:v>508529.8827561636</c:v>
                </c:pt>
                <c:pt idx="35">
                  <c:v>508529.8827561636</c:v>
                </c:pt>
                <c:pt idx="36">
                  <c:v>508529.8827561636</c:v>
                </c:pt>
                <c:pt idx="37">
                  <c:v>508529.8827561636</c:v>
                </c:pt>
                <c:pt idx="38">
                  <c:v>508529.8827561636</c:v>
                </c:pt>
                <c:pt idx="39">
                  <c:v>508529.8827561636</c:v>
                </c:pt>
                <c:pt idx="40">
                  <c:v>508529.8827561636</c:v>
                </c:pt>
                <c:pt idx="41">
                  <c:v>508529.8827561636</c:v>
                </c:pt>
                <c:pt idx="42">
                  <c:v>508529.8827561636</c:v>
                </c:pt>
                <c:pt idx="43">
                  <c:v>508529.8827561636</c:v>
                </c:pt>
                <c:pt idx="44">
                  <c:v>508529.8827561636</c:v>
                </c:pt>
                <c:pt idx="45">
                  <c:v>508529.8827561636</c:v>
                </c:pt>
                <c:pt idx="46">
                  <c:v>508529.8827561636</c:v>
                </c:pt>
                <c:pt idx="47">
                  <c:v>508529.8827561636</c:v>
                </c:pt>
                <c:pt idx="48">
                  <c:v>508529.8827561636</c:v>
                </c:pt>
                <c:pt idx="49">
                  <c:v>508529.8827561636</c:v>
                </c:pt>
                <c:pt idx="50">
                  <c:v>508529.8827561636</c:v>
                </c:pt>
                <c:pt idx="51">
                  <c:v>508529.8827561636</c:v>
                </c:pt>
                <c:pt idx="52">
                  <c:v>508529.8827561636</c:v>
                </c:pt>
                <c:pt idx="53">
                  <c:v>508529.8827561636</c:v>
                </c:pt>
                <c:pt idx="54">
                  <c:v>508529.8827561636</c:v>
                </c:pt>
                <c:pt idx="55">
                  <c:v>508529.8827561636</c:v>
                </c:pt>
                <c:pt idx="56">
                  <c:v>508529.8827561636</c:v>
                </c:pt>
                <c:pt idx="57">
                  <c:v>508529.8827561636</c:v>
                </c:pt>
                <c:pt idx="58">
                  <c:v>508529.8827561636</c:v>
                </c:pt>
                <c:pt idx="59">
                  <c:v>508529.8827561636</c:v>
                </c:pt>
                <c:pt idx="60">
                  <c:v>508529.8827561636</c:v>
                </c:pt>
                <c:pt idx="61">
                  <c:v>508529.8827561636</c:v>
                </c:pt>
                <c:pt idx="62">
                  <c:v>508529.8827561636</c:v>
                </c:pt>
                <c:pt idx="63">
                  <c:v>508529.8827561636</c:v>
                </c:pt>
                <c:pt idx="64">
                  <c:v>508529.8827561636</c:v>
                </c:pt>
                <c:pt idx="65">
                  <c:v>508529.8827561636</c:v>
                </c:pt>
                <c:pt idx="66">
                  <c:v>508529.8827561636</c:v>
                </c:pt>
                <c:pt idx="67">
                  <c:v>508529.8827561636</c:v>
                </c:pt>
                <c:pt idx="68">
                  <c:v>508529.8827561636</c:v>
                </c:pt>
                <c:pt idx="69">
                  <c:v>508529.8827561636</c:v>
                </c:pt>
                <c:pt idx="70">
                  <c:v>508529.8827561636</c:v>
                </c:pt>
                <c:pt idx="71">
                  <c:v>508529.8827561636</c:v>
                </c:pt>
                <c:pt idx="72">
                  <c:v>508529.8827561636</c:v>
                </c:pt>
                <c:pt idx="73">
                  <c:v>508529.8827561636</c:v>
                </c:pt>
                <c:pt idx="74">
                  <c:v>508529.8827561636</c:v>
                </c:pt>
                <c:pt idx="75">
                  <c:v>508529.8827561636</c:v>
                </c:pt>
                <c:pt idx="76">
                  <c:v>508529.8827561636</c:v>
                </c:pt>
                <c:pt idx="77">
                  <c:v>508529.8827561636</c:v>
                </c:pt>
                <c:pt idx="78">
                  <c:v>508529.8827561636</c:v>
                </c:pt>
                <c:pt idx="79">
                  <c:v>508529.8827561636</c:v>
                </c:pt>
                <c:pt idx="80">
                  <c:v>508529.8827561636</c:v>
                </c:pt>
                <c:pt idx="81">
                  <c:v>508529.8827561636</c:v>
                </c:pt>
                <c:pt idx="82">
                  <c:v>508529.8827561636</c:v>
                </c:pt>
                <c:pt idx="83">
                  <c:v>508529.8827561636</c:v>
                </c:pt>
                <c:pt idx="84">
                  <c:v>508529.8827561636</c:v>
                </c:pt>
                <c:pt idx="85">
                  <c:v>508529.8827561636</c:v>
                </c:pt>
                <c:pt idx="86">
                  <c:v>508529.8827561636</c:v>
                </c:pt>
                <c:pt idx="87">
                  <c:v>508529.8827561636</c:v>
                </c:pt>
                <c:pt idx="88">
                  <c:v>508529.8827561636</c:v>
                </c:pt>
                <c:pt idx="89">
                  <c:v>508529.8827561636</c:v>
                </c:pt>
                <c:pt idx="90">
                  <c:v>508529.8827561636</c:v>
                </c:pt>
                <c:pt idx="91">
                  <c:v>508529.8827561636</c:v>
                </c:pt>
                <c:pt idx="92">
                  <c:v>508529.8827561636</c:v>
                </c:pt>
                <c:pt idx="93">
                  <c:v>508529.8827561636</c:v>
                </c:pt>
                <c:pt idx="94">
                  <c:v>508529.8827561636</c:v>
                </c:pt>
                <c:pt idx="95">
                  <c:v>508529.8827561636</c:v>
                </c:pt>
                <c:pt idx="96">
                  <c:v>508529.8827561636</c:v>
                </c:pt>
                <c:pt idx="97">
                  <c:v>508529.8827561636</c:v>
                </c:pt>
                <c:pt idx="98">
                  <c:v>508529.8827561636</c:v>
                </c:pt>
                <c:pt idx="99">
                  <c:v>508529.8827561636</c:v>
                </c:pt>
                <c:pt idx="100">
                  <c:v>508529.8827561636</c:v>
                </c:pt>
                <c:pt idx="101">
                  <c:v>508529.8827561636</c:v>
                </c:pt>
                <c:pt idx="102">
                  <c:v>508529.8827561636</c:v>
                </c:pt>
                <c:pt idx="103">
                  <c:v>508529.8827561636</c:v>
                </c:pt>
                <c:pt idx="104">
                  <c:v>508529.8827561636</c:v>
                </c:pt>
                <c:pt idx="105">
                  <c:v>508529.8827561636</c:v>
                </c:pt>
                <c:pt idx="106">
                  <c:v>508529.8827561636</c:v>
                </c:pt>
                <c:pt idx="107">
                  <c:v>508529.8827561636</c:v>
                </c:pt>
                <c:pt idx="108">
                  <c:v>508529.8827561636</c:v>
                </c:pt>
                <c:pt idx="109">
                  <c:v>508529.8827561636</c:v>
                </c:pt>
                <c:pt idx="110">
                  <c:v>508529.8827561636</c:v>
                </c:pt>
                <c:pt idx="111">
                  <c:v>508529.8827561636</c:v>
                </c:pt>
                <c:pt idx="112">
                  <c:v>508529.8827561636</c:v>
                </c:pt>
                <c:pt idx="113">
                  <c:v>508529.8827561636</c:v>
                </c:pt>
                <c:pt idx="114">
                  <c:v>508529.8827561636</c:v>
                </c:pt>
                <c:pt idx="115">
                  <c:v>508529.8827561636</c:v>
                </c:pt>
                <c:pt idx="116">
                  <c:v>508529.8827561636</c:v>
                </c:pt>
                <c:pt idx="117">
                  <c:v>508529.8827561636</c:v>
                </c:pt>
                <c:pt idx="118">
                  <c:v>508529.8827561636</c:v>
                </c:pt>
                <c:pt idx="119">
                  <c:v>508529.8827561636</c:v>
                </c:pt>
                <c:pt idx="120">
                  <c:v>508529.8827561636</c:v>
                </c:pt>
                <c:pt idx="121">
                  <c:v>508529.8827561636</c:v>
                </c:pt>
                <c:pt idx="122">
                  <c:v>508529.8827561636</c:v>
                </c:pt>
                <c:pt idx="123">
                  <c:v>508529.8827561636</c:v>
                </c:pt>
                <c:pt idx="124">
                  <c:v>508529.8827561636</c:v>
                </c:pt>
                <c:pt idx="125">
                  <c:v>508529.8827561636</c:v>
                </c:pt>
                <c:pt idx="126">
                  <c:v>508529.8827561636</c:v>
                </c:pt>
                <c:pt idx="127">
                  <c:v>508529.8827561636</c:v>
                </c:pt>
                <c:pt idx="128">
                  <c:v>508529.8827561636</c:v>
                </c:pt>
                <c:pt idx="129">
                  <c:v>508529.8827561636</c:v>
                </c:pt>
                <c:pt idx="130">
                  <c:v>508529.8827561636</c:v>
                </c:pt>
                <c:pt idx="131">
                  <c:v>508529.8827561636</c:v>
                </c:pt>
                <c:pt idx="132">
                  <c:v>508529.8827561636</c:v>
                </c:pt>
                <c:pt idx="133">
                  <c:v>508529.8827561636</c:v>
                </c:pt>
                <c:pt idx="134">
                  <c:v>508529.8827561636</c:v>
                </c:pt>
                <c:pt idx="135">
                  <c:v>508529.8827561636</c:v>
                </c:pt>
                <c:pt idx="136">
                  <c:v>508529.8827561636</c:v>
                </c:pt>
                <c:pt idx="137">
                  <c:v>508529.8827561636</c:v>
                </c:pt>
                <c:pt idx="138">
                  <c:v>508529.8827561636</c:v>
                </c:pt>
                <c:pt idx="139">
                  <c:v>508529.8827561636</c:v>
                </c:pt>
                <c:pt idx="140">
                  <c:v>508529.8827561636</c:v>
                </c:pt>
                <c:pt idx="141">
                  <c:v>508529.8827561636</c:v>
                </c:pt>
                <c:pt idx="142">
                  <c:v>508529.8827561636</c:v>
                </c:pt>
                <c:pt idx="143">
                  <c:v>508529.8827561636</c:v>
                </c:pt>
                <c:pt idx="144">
                  <c:v>508529.8827561636</c:v>
                </c:pt>
                <c:pt idx="145">
                  <c:v>508529.8827561636</c:v>
                </c:pt>
                <c:pt idx="146">
                  <c:v>508529.8827561636</c:v>
                </c:pt>
                <c:pt idx="147">
                  <c:v>508529.8827561636</c:v>
                </c:pt>
                <c:pt idx="148">
                  <c:v>508529.8827561636</c:v>
                </c:pt>
                <c:pt idx="149">
                  <c:v>508529.8827561636</c:v>
                </c:pt>
                <c:pt idx="150">
                  <c:v>508529.8827561636</c:v>
                </c:pt>
                <c:pt idx="151">
                  <c:v>508529.8827561636</c:v>
                </c:pt>
                <c:pt idx="152">
                  <c:v>508529.8827561636</c:v>
                </c:pt>
                <c:pt idx="153">
                  <c:v>508529.8827561636</c:v>
                </c:pt>
                <c:pt idx="154">
                  <c:v>508529.8827561636</c:v>
                </c:pt>
                <c:pt idx="155">
                  <c:v>508529.8827561636</c:v>
                </c:pt>
                <c:pt idx="156">
                  <c:v>508529.8827561636</c:v>
                </c:pt>
                <c:pt idx="157">
                  <c:v>508529.8827561636</c:v>
                </c:pt>
                <c:pt idx="158">
                  <c:v>508529.8827561636</c:v>
                </c:pt>
                <c:pt idx="159">
                  <c:v>508529.8827561636</c:v>
                </c:pt>
                <c:pt idx="160">
                  <c:v>508529.8827561636</c:v>
                </c:pt>
                <c:pt idx="161">
                  <c:v>508529.8827561636</c:v>
                </c:pt>
                <c:pt idx="162">
                  <c:v>508529.8827561636</c:v>
                </c:pt>
                <c:pt idx="163">
                  <c:v>508529.8827561636</c:v>
                </c:pt>
                <c:pt idx="164">
                  <c:v>508529.8827561636</c:v>
                </c:pt>
                <c:pt idx="165">
                  <c:v>508529.8827561636</c:v>
                </c:pt>
                <c:pt idx="166">
                  <c:v>508529.8827561636</c:v>
                </c:pt>
                <c:pt idx="167">
                  <c:v>508529.8827561636</c:v>
                </c:pt>
                <c:pt idx="168">
                  <c:v>508529.8827561636</c:v>
                </c:pt>
                <c:pt idx="169">
                  <c:v>508529.8827561636</c:v>
                </c:pt>
                <c:pt idx="170">
                  <c:v>508529.8827561636</c:v>
                </c:pt>
                <c:pt idx="171">
                  <c:v>508529.8827561636</c:v>
                </c:pt>
                <c:pt idx="172">
                  <c:v>508529.8827561636</c:v>
                </c:pt>
                <c:pt idx="173">
                  <c:v>508529.8827561636</c:v>
                </c:pt>
                <c:pt idx="174">
                  <c:v>508529.8827561636</c:v>
                </c:pt>
                <c:pt idx="175">
                  <c:v>508529.8827561636</c:v>
                </c:pt>
                <c:pt idx="176">
                  <c:v>508529.8827561636</c:v>
                </c:pt>
                <c:pt idx="177">
                  <c:v>508529.8827561636</c:v>
                </c:pt>
                <c:pt idx="178">
                  <c:v>508529.8827561636</c:v>
                </c:pt>
                <c:pt idx="179">
                  <c:v>508529.8827561636</c:v>
                </c:pt>
                <c:pt idx="180">
                  <c:v>508529.8827561636</c:v>
                </c:pt>
                <c:pt idx="181">
                  <c:v>508529.8827561636</c:v>
                </c:pt>
                <c:pt idx="182">
                  <c:v>508529.8827561636</c:v>
                </c:pt>
                <c:pt idx="183">
                  <c:v>508529.8827561636</c:v>
                </c:pt>
                <c:pt idx="184">
                  <c:v>508529.8827561636</c:v>
                </c:pt>
                <c:pt idx="185">
                  <c:v>508529.8827561636</c:v>
                </c:pt>
                <c:pt idx="186">
                  <c:v>508529.8827561636</c:v>
                </c:pt>
                <c:pt idx="187">
                  <c:v>508529.8827561636</c:v>
                </c:pt>
                <c:pt idx="188">
                  <c:v>508529.8827561636</c:v>
                </c:pt>
                <c:pt idx="189">
                  <c:v>508529.8827561636</c:v>
                </c:pt>
                <c:pt idx="190">
                  <c:v>508529.8827561636</c:v>
                </c:pt>
                <c:pt idx="191">
                  <c:v>508529.8827561636</c:v>
                </c:pt>
                <c:pt idx="192">
                  <c:v>508529.8827561636</c:v>
                </c:pt>
                <c:pt idx="193">
                  <c:v>508529.8827561636</c:v>
                </c:pt>
                <c:pt idx="194">
                  <c:v>508529.8827561636</c:v>
                </c:pt>
                <c:pt idx="195">
                  <c:v>508529.8827561636</c:v>
                </c:pt>
                <c:pt idx="196">
                  <c:v>508529.8827561636</c:v>
                </c:pt>
                <c:pt idx="197">
                  <c:v>508529.8827561636</c:v>
                </c:pt>
                <c:pt idx="198">
                  <c:v>508529.8827561636</c:v>
                </c:pt>
                <c:pt idx="199">
                  <c:v>508529.8827561636</c:v>
                </c:pt>
                <c:pt idx="200">
                  <c:v>508529.8827561636</c:v>
                </c:pt>
                <c:pt idx="201">
                  <c:v>508529.8827561636</c:v>
                </c:pt>
                <c:pt idx="202">
                  <c:v>508529.8827561636</c:v>
                </c:pt>
                <c:pt idx="203">
                  <c:v>508529.8827561636</c:v>
                </c:pt>
                <c:pt idx="204">
                  <c:v>508529.8827561636</c:v>
                </c:pt>
                <c:pt idx="205">
                  <c:v>508529.8827561636</c:v>
                </c:pt>
                <c:pt idx="206">
                  <c:v>508529.8827561636</c:v>
                </c:pt>
                <c:pt idx="207">
                  <c:v>508529.8827561636</c:v>
                </c:pt>
                <c:pt idx="208">
                  <c:v>508529.8827561636</c:v>
                </c:pt>
                <c:pt idx="209">
                  <c:v>508529.8827561636</c:v>
                </c:pt>
                <c:pt idx="210">
                  <c:v>508529.8827561636</c:v>
                </c:pt>
                <c:pt idx="211">
                  <c:v>508529.8827561636</c:v>
                </c:pt>
                <c:pt idx="212">
                  <c:v>508529.8827561636</c:v>
                </c:pt>
                <c:pt idx="213">
                  <c:v>508529.8827561636</c:v>
                </c:pt>
                <c:pt idx="214">
                  <c:v>508529.8827561636</c:v>
                </c:pt>
                <c:pt idx="215">
                  <c:v>508529.8827561636</c:v>
                </c:pt>
                <c:pt idx="216">
                  <c:v>508529.8827561636</c:v>
                </c:pt>
                <c:pt idx="217">
                  <c:v>508529.8827561636</c:v>
                </c:pt>
                <c:pt idx="218">
                  <c:v>508529.8827561636</c:v>
                </c:pt>
                <c:pt idx="219">
                  <c:v>508529.8827561636</c:v>
                </c:pt>
                <c:pt idx="220">
                  <c:v>508529.8827561636</c:v>
                </c:pt>
                <c:pt idx="221">
                  <c:v>508529.8827561636</c:v>
                </c:pt>
                <c:pt idx="222">
                  <c:v>508529.8827561636</c:v>
                </c:pt>
                <c:pt idx="223">
                  <c:v>508529.8827561636</c:v>
                </c:pt>
                <c:pt idx="224">
                  <c:v>508529.8827561636</c:v>
                </c:pt>
                <c:pt idx="225">
                  <c:v>508529.8827561636</c:v>
                </c:pt>
                <c:pt idx="226">
                  <c:v>508529.8827561636</c:v>
                </c:pt>
                <c:pt idx="227">
                  <c:v>508529.8827561636</c:v>
                </c:pt>
                <c:pt idx="228">
                  <c:v>508529.8827561636</c:v>
                </c:pt>
                <c:pt idx="229">
                  <c:v>508529.8827561636</c:v>
                </c:pt>
                <c:pt idx="230">
                  <c:v>508529.8827561636</c:v>
                </c:pt>
                <c:pt idx="231">
                  <c:v>508529.8827561636</c:v>
                </c:pt>
                <c:pt idx="232">
                  <c:v>508529.8827561636</c:v>
                </c:pt>
                <c:pt idx="233">
                  <c:v>508529.8827561636</c:v>
                </c:pt>
                <c:pt idx="234">
                  <c:v>508529.8827561636</c:v>
                </c:pt>
                <c:pt idx="235">
                  <c:v>508529.8827561636</c:v>
                </c:pt>
                <c:pt idx="236">
                  <c:v>508529.8827561636</c:v>
                </c:pt>
                <c:pt idx="237">
                  <c:v>508529.8827561636</c:v>
                </c:pt>
                <c:pt idx="238">
                  <c:v>508529.8827561636</c:v>
                </c:pt>
                <c:pt idx="239">
                  <c:v>508529.8827561636</c:v>
                </c:pt>
                <c:pt idx="240">
                  <c:v>508529.8827561636</c:v>
                </c:pt>
                <c:pt idx="241">
                  <c:v>508529.8827561636</c:v>
                </c:pt>
                <c:pt idx="242">
                  <c:v>508529.8827561636</c:v>
                </c:pt>
                <c:pt idx="243">
                  <c:v>508529.8827561636</c:v>
                </c:pt>
                <c:pt idx="244">
                  <c:v>508529.8827561636</c:v>
                </c:pt>
                <c:pt idx="245">
                  <c:v>508529.8827561636</c:v>
                </c:pt>
                <c:pt idx="246">
                  <c:v>508529.8827561636</c:v>
                </c:pt>
                <c:pt idx="247">
                  <c:v>508529.8827561636</c:v>
                </c:pt>
                <c:pt idx="248">
                  <c:v>508529.8827561636</c:v>
                </c:pt>
                <c:pt idx="249">
                  <c:v>508529.8827561636</c:v>
                </c:pt>
                <c:pt idx="250">
                  <c:v>508529.8827561636</c:v>
                </c:pt>
                <c:pt idx="251">
                  <c:v>508529.8827561636</c:v>
                </c:pt>
                <c:pt idx="252">
                  <c:v>508529.8827561636</c:v>
                </c:pt>
                <c:pt idx="253">
                  <c:v>508529.8827561636</c:v>
                </c:pt>
                <c:pt idx="254">
                  <c:v>508529.8827561636</c:v>
                </c:pt>
                <c:pt idx="255">
                  <c:v>508529.8827561636</c:v>
                </c:pt>
                <c:pt idx="256">
                  <c:v>508529.8827561636</c:v>
                </c:pt>
                <c:pt idx="257">
                  <c:v>508529.8827561636</c:v>
                </c:pt>
                <c:pt idx="258">
                  <c:v>508529.8827561636</c:v>
                </c:pt>
                <c:pt idx="259">
                  <c:v>508529.8827561636</c:v>
                </c:pt>
                <c:pt idx="260">
                  <c:v>508529.8827561636</c:v>
                </c:pt>
                <c:pt idx="261">
                  <c:v>508529.8827561636</c:v>
                </c:pt>
                <c:pt idx="262">
                  <c:v>508529.8827561636</c:v>
                </c:pt>
                <c:pt idx="263">
                  <c:v>508529.8827561636</c:v>
                </c:pt>
                <c:pt idx="264">
                  <c:v>508529.8827561636</c:v>
                </c:pt>
                <c:pt idx="265">
                  <c:v>508529.8827561636</c:v>
                </c:pt>
                <c:pt idx="266">
                  <c:v>508529.8827561636</c:v>
                </c:pt>
                <c:pt idx="267">
                  <c:v>508529.8827561636</c:v>
                </c:pt>
                <c:pt idx="268">
                  <c:v>508529.8827561636</c:v>
                </c:pt>
                <c:pt idx="269">
                  <c:v>508529.8827561636</c:v>
                </c:pt>
                <c:pt idx="270">
                  <c:v>508529.8827561636</c:v>
                </c:pt>
                <c:pt idx="271">
                  <c:v>508529.8827561636</c:v>
                </c:pt>
                <c:pt idx="272">
                  <c:v>508529.8827561636</c:v>
                </c:pt>
                <c:pt idx="273">
                  <c:v>508529.8827561636</c:v>
                </c:pt>
                <c:pt idx="274">
                  <c:v>508529.8827561636</c:v>
                </c:pt>
                <c:pt idx="275">
                  <c:v>508529.8827561636</c:v>
                </c:pt>
                <c:pt idx="276">
                  <c:v>508529.8827561636</c:v>
                </c:pt>
                <c:pt idx="277">
                  <c:v>508529.8827561636</c:v>
                </c:pt>
                <c:pt idx="278">
                  <c:v>508529.8827561636</c:v>
                </c:pt>
                <c:pt idx="279">
                  <c:v>508529.8827561636</c:v>
                </c:pt>
                <c:pt idx="280">
                  <c:v>508529.8827561636</c:v>
                </c:pt>
                <c:pt idx="281">
                  <c:v>508529.8827561636</c:v>
                </c:pt>
                <c:pt idx="282">
                  <c:v>508529.8827561636</c:v>
                </c:pt>
                <c:pt idx="283">
                  <c:v>508529.8827561636</c:v>
                </c:pt>
                <c:pt idx="284">
                  <c:v>508529.8827561636</c:v>
                </c:pt>
                <c:pt idx="285">
                  <c:v>508529.8827561636</c:v>
                </c:pt>
                <c:pt idx="286">
                  <c:v>508529.8827561636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976322.54227266274</c:v>
                </c:pt>
                <c:pt idx="12">
                  <c:v>976322.54227266274</c:v>
                </c:pt>
                <c:pt idx="13">
                  <c:v>976322.54227266274</c:v>
                </c:pt>
                <c:pt idx="14">
                  <c:v>976322.54227266274</c:v>
                </c:pt>
                <c:pt idx="15">
                  <c:v>2100984.068103049</c:v>
                </c:pt>
                <c:pt idx="16">
                  <c:v>2100984.068103049</c:v>
                </c:pt>
                <c:pt idx="17">
                  <c:v>2100984.068103049</c:v>
                </c:pt>
                <c:pt idx="18">
                  <c:v>2100984.068103049</c:v>
                </c:pt>
                <c:pt idx="19">
                  <c:v>2100984.068103049</c:v>
                </c:pt>
                <c:pt idx="20">
                  <c:v>1913400.2257948613</c:v>
                </c:pt>
                <c:pt idx="21">
                  <c:v>1913400.2257948613</c:v>
                </c:pt>
                <c:pt idx="22">
                  <c:v>1913400.2257948613</c:v>
                </c:pt>
                <c:pt idx="23">
                  <c:v>1913400.2257948613</c:v>
                </c:pt>
                <c:pt idx="24">
                  <c:v>1879275.3951961147</c:v>
                </c:pt>
                <c:pt idx="25">
                  <c:v>1879275.3951961147</c:v>
                </c:pt>
                <c:pt idx="26">
                  <c:v>1879275.3951961147</c:v>
                </c:pt>
                <c:pt idx="27">
                  <c:v>1879275.3951961147</c:v>
                </c:pt>
                <c:pt idx="28">
                  <c:v>1879275.3951961147</c:v>
                </c:pt>
                <c:pt idx="29">
                  <c:v>1879275.3951961147</c:v>
                </c:pt>
                <c:pt idx="30">
                  <c:v>1879275.3951961147</c:v>
                </c:pt>
                <c:pt idx="31">
                  <c:v>1879275.3951961147</c:v>
                </c:pt>
                <c:pt idx="32">
                  <c:v>1879275.3951961147</c:v>
                </c:pt>
                <c:pt idx="33">
                  <c:v>1879275.3951961147</c:v>
                </c:pt>
                <c:pt idx="34">
                  <c:v>1879275.3951961147</c:v>
                </c:pt>
                <c:pt idx="35">
                  <c:v>1879275.3951961147</c:v>
                </c:pt>
                <c:pt idx="36">
                  <c:v>1879275.3951961147</c:v>
                </c:pt>
                <c:pt idx="37">
                  <c:v>1879275.3951961147</c:v>
                </c:pt>
                <c:pt idx="38">
                  <c:v>1879275.3951961147</c:v>
                </c:pt>
                <c:pt idx="39">
                  <c:v>1879275.3951961147</c:v>
                </c:pt>
                <c:pt idx="40">
                  <c:v>1879275.3951961147</c:v>
                </c:pt>
                <c:pt idx="41">
                  <c:v>1879275.3951961147</c:v>
                </c:pt>
                <c:pt idx="42">
                  <c:v>1879275.3951961147</c:v>
                </c:pt>
                <c:pt idx="43">
                  <c:v>1879275.3951961147</c:v>
                </c:pt>
                <c:pt idx="44">
                  <c:v>1879275.3951961147</c:v>
                </c:pt>
                <c:pt idx="45">
                  <c:v>1879275.3951961147</c:v>
                </c:pt>
                <c:pt idx="46">
                  <c:v>1879275.3951961147</c:v>
                </c:pt>
                <c:pt idx="47">
                  <c:v>1879275.3951961147</c:v>
                </c:pt>
                <c:pt idx="48">
                  <c:v>1879275.3951961147</c:v>
                </c:pt>
                <c:pt idx="49">
                  <c:v>1879275.3951961147</c:v>
                </c:pt>
                <c:pt idx="50">
                  <c:v>1879275.3951961147</c:v>
                </c:pt>
                <c:pt idx="51">
                  <c:v>1879275.3951961147</c:v>
                </c:pt>
                <c:pt idx="52">
                  <c:v>1879275.3951961147</c:v>
                </c:pt>
                <c:pt idx="53">
                  <c:v>1879275.3951961147</c:v>
                </c:pt>
                <c:pt idx="54">
                  <c:v>1879275.3951961147</c:v>
                </c:pt>
                <c:pt idx="55">
                  <c:v>1879275.3951961147</c:v>
                </c:pt>
                <c:pt idx="56">
                  <c:v>1879275.3951961147</c:v>
                </c:pt>
                <c:pt idx="57">
                  <c:v>1879275.3951961147</c:v>
                </c:pt>
                <c:pt idx="58">
                  <c:v>1879275.3951961147</c:v>
                </c:pt>
                <c:pt idx="59">
                  <c:v>1879275.3951961147</c:v>
                </c:pt>
                <c:pt idx="60">
                  <c:v>1879275.3951961147</c:v>
                </c:pt>
                <c:pt idx="61">
                  <c:v>1879275.3951961147</c:v>
                </c:pt>
                <c:pt idx="62">
                  <c:v>1879275.3951961147</c:v>
                </c:pt>
                <c:pt idx="63">
                  <c:v>1879275.3951961147</c:v>
                </c:pt>
                <c:pt idx="64">
                  <c:v>1879275.3951961147</c:v>
                </c:pt>
                <c:pt idx="65">
                  <c:v>1879275.3951961147</c:v>
                </c:pt>
                <c:pt idx="66">
                  <c:v>1879275.3951961147</c:v>
                </c:pt>
                <c:pt idx="67">
                  <c:v>1879275.3951961147</c:v>
                </c:pt>
                <c:pt idx="68">
                  <c:v>1879275.3951961147</c:v>
                </c:pt>
                <c:pt idx="69">
                  <c:v>1879275.3951961147</c:v>
                </c:pt>
                <c:pt idx="70">
                  <c:v>1879275.3951961147</c:v>
                </c:pt>
                <c:pt idx="71">
                  <c:v>1879275.3951961147</c:v>
                </c:pt>
                <c:pt idx="72">
                  <c:v>1879275.3951961147</c:v>
                </c:pt>
                <c:pt idx="73">
                  <c:v>1879275.3951961147</c:v>
                </c:pt>
                <c:pt idx="74">
                  <c:v>1879275.3951961147</c:v>
                </c:pt>
                <c:pt idx="75">
                  <c:v>1879275.3951961147</c:v>
                </c:pt>
                <c:pt idx="76">
                  <c:v>1879275.3951961147</c:v>
                </c:pt>
                <c:pt idx="77">
                  <c:v>1879275.3951961147</c:v>
                </c:pt>
                <c:pt idx="78">
                  <c:v>1879275.3951961147</c:v>
                </c:pt>
                <c:pt idx="79">
                  <c:v>1879275.3951961147</c:v>
                </c:pt>
                <c:pt idx="80">
                  <c:v>1879275.3951961147</c:v>
                </c:pt>
                <c:pt idx="81">
                  <c:v>1879275.3951961147</c:v>
                </c:pt>
                <c:pt idx="82">
                  <c:v>1879275.3951961147</c:v>
                </c:pt>
                <c:pt idx="83">
                  <c:v>1879275.3951961147</c:v>
                </c:pt>
                <c:pt idx="84">
                  <c:v>1879275.3951961147</c:v>
                </c:pt>
                <c:pt idx="85">
                  <c:v>1879275.3951961147</c:v>
                </c:pt>
                <c:pt idx="86">
                  <c:v>1879275.3951961147</c:v>
                </c:pt>
                <c:pt idx="87">
                  <c:v>1879275.3951961147</c:v>
                </c:pt>
                <c:pt idx="88">
                  <c:v>1879275.3951961147</c:v>
                </c:pt>
                <c:pt idx="89">
                  <c:v>1879275.3951961147</c:v>
                </c:pt>
                <c:pt idx="90">
                  <c:v>1879275.3951961147</c:v>
                </c:pt>
                <c:pt idx="91">
                  <c:v>1879275.3951961147</c:v>
                </c:pt>
                <c:pt idx="92">
                  <c:v>1879275.3951961147</c:v>
                </c:pt>
                <c:pt idx="93">
                  <c:v>1879275.3951961147</c:v>
                </c:pt>
                <c:pt idx="94">
                  <c:v>1879275.3951961147</c:v>
                </c:pt>
                <c:pt idx="95">
                  <c:v>1879275.3951961147</c:v>
                </c:pt>
                <c:pt idx="96">
                  <c:v>1879275.3951961147</c:v>
                </c:pt>
                <c:pt idx="97">
                  <c:v>1879275.3951961147</c:v>
                </c:pt>
                <c:pt idx="98">
                  <c:v>1879275.3951961147</c:v>
                </c:pt>
                <c:pt idx="99">
                  <c:v>1879275.3951961147</c:v>
                </c:pt>
                <c:pt idx="100">
                  <c:v>1879275.3951961147</c:v>
                </c:pt>
                <c:pt idx="101">
                  <c:v>1879275.3951961147</c:v>
                </c:pt>
                <c:pt idx="102">
                  <c:v>1879275.3951961147</c:v>
                </c:pt>
                <c:pt idx="103">
                  <c:v>1879275.3951961147</c:v>
                </c:pt>
                <c:pt idx="104">
                  <c:v>1879275.3951961147</c:v>
                </c:pt>
                <c:pt idx="105">
                  <c:v>1879275.3951961147</c:v>
                </c:pt>
                <c:pt idx="106">
                  <c:v>1879275.3951961147</c:v>
                </c:pt>
                <c:pt idx="107">
                  <c:v>1879275.3951961147</c:v>
                </c:pt>
                <c:pt idx="108">
                  <c:v>1879275.3951961147</c:v>
                </c:pt>
                <c:pt idx="109">
                  <c:v>1879275.3951961147</c:v>
                </c:pt>
                <c:pt idx="110">
                  <c:v>1879275.3951961147</c:v>
                </c:pt>
                <c:pt idx="111">
                  <c:v>1879275.3951961147</c:v>
                </c:pt>
                <c:pt idx="112">
                  <c:v>1879275.3951961147</c:v>
                </c:pt>
                <c:pt idx="113">
                  <c:v>1879275.3951961147</c:v>
                </c:pt>
                <c:pt idx="114">
                  <c:v>1879275.3951961147</c:v>
                </c:pt>
                <c:pt idx="115">
                  <c:v>1879275.3951961147</c:v>
                </c:pt>
                <c:pt idx="116">
                  <c:v>1879275.3951961147</c:v>
                </c:pt>
                <c:pt idx="117">
                  <c:v>1879275.3951961147</c:v>
                </c:pt>
                <c:pt idx="118">
                  <c:v>1879275.3951961147</c:v>
                </c:pt>
                <c:pt idx="119">
                  <c:v>1879275.3951961147</c:v>
                </c:pt>
                <c:pt idx="120">
                  <c:v>1879275.3951961147</c:v>
                </c:pt>
                <c:pt idx="121">
                  <c:v>1879275.3951961147</c:v>
                </c:pt>
                <c:pt idx="122">
                  <c:v>1879275.3951961147</c:v>
                </c:pt>
                <c:pt idx="123">
                  <c:v>1879275.3951961147</c:v>
                </c:pt>
                <c:pt idx="124">
                  <c:v>1879275.3951961147</c:v>
                </c:pt>
                <c:pt idx="125">
                  <c:v>1879275.3951961147</c:v>
                </c:pt>
                <c:pt idx="126">
                  <c:v>1879275.3951961147</c:v>
                </c:pt>
                <c:pt idx="127">
                  <c:v>1879275.3951961147</c:v>
                </c:pt>
                <c:pt idx="128">
                  <c:v>1879275.3951961147</c:v>
                </c:pt>
                <c:pt idx="129">
                  <c:v>1879275.3951961147</c:v>
                </c:pt>
                <c:pt idx="130">
                  <c:v>1879275.3951961147</c:v>
                </c:pt>
                <c:pt idx="131">
                  <c:v>1879275.3951961147</c:v>
                </c:pt>
                <c:pt idx="132">
                  <c:v>1879275.3951961147</c:v>
                </c:pt>
                <c:pt idx="133">
                  <c:v>1879275.3951961147</c:v>
                </c:pt>
                <c:pt idx="134">
                  <c:v>1879275.3951961147</c:v>
                </c:pt>
                <c:pt idx="135">
                  <c:v>1879275.3951961147</c:v>
                </c:pt>
                <c:pt idx="136">
                  <c:v>1879275.3951961147</c:v>
                </c:pt>
                <c:pt idx="137">
                  <c:v>1879275.3951961147</c:v>
                </c:pt>
                <c:pt idx="138">
                  <c:v>1879275.3951961147</c:v>
                </c:pt>
                <c:pt idx="139">
                  <c:v>1879275.3951961147</c:v>
                </c:pt>
                <c:pt idx="140">
                  <c:v>1879275.3951961147</c:v>
                </c:pt>
                <c:pt idx="141">
                  <c:v>1879275.3951961147</c:v>
                </c:pt>
                <c:pt idx="142">
                  <c:v>1879275.3951961147</c:v>
                </c:pt>
                <c:pt idx="143">
                  <c:v>1879275.3951961147</c:v>
                </c:pt>
                <c:pt idx="144">
                  <c:v>1879275.3951961147</c:v>
                </c:pt>
                <c:pt idx="145">
                  <c:v>1879275.3951961147</c:v>
                </c:pt>
                <c:pt idx="146">
                  <c:v>1879275.3951961147</c:v>
                </c:pt>
                <c:pt idx="147">
                  <c:v>1879275.3951961147</c:v>
                </c:pt>
                <c:pt idx="148">
                  <c:v>1879275.3951961147</c:v>
                </c:pt>
                <c:pt idx="149">
                  <c:v>1879275.3951961147</c:v>
                </c:pt>
                <c:pt idx="150">
                  <c:v>1879275.3951961147</c:v>
                </c:pt>
                <c:pt idx="151">
                  <c:v>1879275.3951961147</c:v>
                </c:pt>
                <c:pt idx="152">
                  <c:v>1879275.3951961147</c:v>
                </c:pt>
                <c:pt idx="153">
                  <c:v>1879275.3951961147</c:v>
                </c:pt>
                <c:pt idx="154">
                  <c:v>1879275.3951961147</c:v>
                </c:pt>
                <c:pt idx="155">
                  <c:v>1879275.3951961147</c:v>
                </c:pt>
                <c:pt idx="156">
                  <c:v>1879275.3951961147</c:v>
                </c:pt>
                <c:pt idx="157">
                  <c:v>1879275.3951961147</c:v>
                </c:pt>
                <c:pt idx="158">
                  <c:v>1879275.3951961147</c:v>
                </c:pt>
                <c:pt idx="159">
                  <c:v>1879275.3951961147</c:v>
                </c:pt>
                <c:pt idx="160">
                  <c:v>1879275.3951961147</c:v>
                </c:pt>
                <c:pt idx="161">
                  <c:v>1879275.3951961147</c:v>
                </c:pt>
                <c:pt idx="162">
                  <c:v>1879275.3951961147</c:v>
                </c:pt>
                <c:pt idx="163">
                  <c:v>1879275.3951961147</c:v>
                </c:pt>
                <c:pt idx="164">
                  <c:v>1879275.3951961147</c:v>
                </c:pt>
                <c:pt idx="165">
                  <c:v>1879275.3951961147</c:v>
                </c:pt>
                <c:pt idx="166">
                  <c:v>1879275.3951961147</c:v>
                </c:pt>
                <c:pt idx="167">
                  <c:v>1879275.3951961147</c:v>
                </c:pt>
                <c:pt idx="168">
                  <c:v>1879275.3951961147</c:v>
                </c:pt>
                <c:pt idx="169">
                  <c:v>1879275.3951961147</c:v>
                </c:pt>
                <c:pt idx="170">
                  <c:v>1879275.3951961147</c:v>
                </c:pt>
                <c:pt idx="171">
                  <c:v>1879275.3951961147</c:v>
                </c:pt>
                <c:pt idx="172">
                  <c:v>1879275.3951961147</c:v>
                </c:pt>
                <c:pt idx="173">
                  <c:v>1879275.3951961147</c:v>
                </c:pt>
                <c:pt idx="174">
                  <c:v>1879275.3951961147</c:v>
                </c:pt>
                <c:pt idx="175">
                  <c:v>1879275.3951961147</c:v>
                </c:pt>
                <c:pt idx="176">
                  <c:v>1879275.3951961147</c:v>
                </c:pt>
                <c:pt idx="177">
                  <c:v>1879275.3951961147</c:v>
                </c:pt>
                <c:pt idx="178">
                  <c:v>1879275.3951961147</c:v>
                </c:pt>
                <c:pt idx="179">
                  <c:v>1879275.3951961147</c:v>
                </c:pt>
                <c:pt idx="180">
                  <c:v>1879275.3951961147</c:v>
                </c:pt>
                <c:pt idx="181">
                  <c:v>1879275.3951961147</c:v>
                </c:pt>
                <c:pt idx="182">
                  <c:v>1879275.3951961147</c:v>
                </c:pt>
                <c:pt idx="183">
                  <c:v>1879275.3951961147</c:v>
                </c:pt>
                <c:pt idx="184">
                  <c:v>1879275.3951961147</c:v>
                </c:pt>
                <c:pt idx="185">
                  <c:v>1879275.3951961147</c:v>
                </c:pt>
                <c:pt idx="186">
                  <c:v>1879275.3951961147</c:v>
                </c:pt>
                <c:pt idx="187">
                  <c:v>1879275.3951961147</c:v>
                </c:pt>
                <c:pt idx="188">
                  <c:v>1879275.3951961147</c:v>
                </c:pt>
                <c:pt idx="189">
                  <c:v>1879275.3951961147</c:v>
                </c:pt>
                <c:pt idx="190">
                  <c:v>1879275.3951961147</c:v>
                </c:pt>
                <c:pt idx="191">
                  <c:v>1879275.3951961147</c:v>
                </c:pt>
                <c:pt idx="192">
                  <c:v>1879275.3951961147</c:v>
                </c:pt>
                <c:pt idx="193">
                  <c:v>1879275.3951961147</c:v>
                </c:pt>
                <c:pt idx="194">
                  <c:v>1879275.3951961147</c:v>
                </c:pt>
                <c:pt idx="195">
                  <c:v>1879275.3951961147</c:v>
                </c:pt>
                <c:pt idx="196">
                  <c:v>1879275.3951961147</c:v>
                </c:pt>
                <c:pt idx="197">
                  <c:v>1879275.3951961147</c:v>
                </c:pt>
                <c:pt idx="198">
                  <c:v>1879275.3951961147</c:v>
                </c:pt>
                <c:pt idx="199">
                  <c:v>1879275.3951961147</c:v>
                </c:pt>
                <c:pt idx="200">
                  <c:v>1879275.3951961147</c:v>
                </c:pt>
                <c:pt idx="201">
                  <c:v>1879275.3951961147</c:v>
                </c:pt>
                <c:pt idx="202">
                  <c:v>1879275.3951961147</c:v>
                </c:pt>
                <c:pt idx="203">
                  <c:v>1879275.3951961147</c:v>
                </c:pt>
                <c:pt idx="204">
                  <c:v>1879275.3951961147</c:v>
                </c:pt>
                <c:pt idx="205">
                  <c:v>1879275.3951961147</c:v>
                </c:pt>
                <c:pt idx="206">
                  <c:v>1879275.3951961147</c:v>
                </c:pt>
                <c:pt idx="207">
                  <c:v>1879275.3951961147</c:v>
                </c:pt>
                <c:pt idx="208">
                  <c:v>1879275.3951961147</c:v>
                </c:pt>
                <c:pt idx="209">
                  <c:v>1879275.3951961147</c:v>
                </c:pt>
                <c:pt idx="210">
                  <c:v>1879275.3951961147</c:v>
                </c:pt>
                <c:pt idx="211">
                  <c:v>1879275.3951961147</c:v>
                </c:pt>
                <c:pt idx="212">
                  <c:v>1879275.3951961147</c:v>
                </c:pt>
                <c:pt idx="213">
                  <c:v>1879275.3951961147</c:v>
                </c:pt>
                <c:pt idx="214">
                  <c:v>1879275.3951961147</c:v>
                </c:pt>
                <c:pt idx="215">
                  <c:v>1879275.3951961147</c:v>
                </c:pt>
                <c:pt idx="216">
                  <c:v>1879275.3951961147</c:v>
                </c:pt>
                <c:pt idx="217">
                  <c:v>1879275.3951961147</c:v>
                </c:pt>
                <c:pt idx="218">
                  <c:v>1879275.3951961147</c:v>
                </c:pt>
                <c:pt idx="219">
                  <c:v>1879275.3951961147</c:v>
                </c:pt>
                <c:pt idx="220">
                  <c:v>1879275.3951961147</c:v>
                </c:pt>
                <c:pt idx="221">
                  <c:v>1879275.3951961147</c:v>
                </c:pt>
                <c:pt idx="222">
                  <c:v>1879275.3951961147</c:v>
                </c:pt>
                <c:pt idx="223">
                  <c:v>1879275.3951961147</c:v>
                </c:pt>
                <c:pt idx="224">
                  <c:v>1879275.3951961147</c:v>
                </c:pt>
                <c:pt idx="225">
                  <c:v>1879275.3951961147</c:v>
                </c:pt>
                <c:pt idx="226">
                  <c:v>1879275.3951961147</c:v>
                </c:pt>
                <c:pt idx="227">
                  <c:v>1879275.3951961147</c:v>
                </c:pt>
                <c:pt idx="228">
                  <c:v>1879275.3951961147</c:v>
                </c:pt>
                <c:pt idx="229">
                  <c:v>1879275.3951961147</c:v>
                </c:pt>
                <c:pt idx="230">
                  <c:v>1879275.3951961147</c:v>
                </c:pt>
                <c:pt idx="231">
                  <c:v>1879275.3951961147</c:v>
                </c:pt>
                <c:pt idx="232">
                  <c:v>1879275.3951961147</c:v>
                </c:pt>
                <c:pt idx="233">
                  <c:v>1879275.3951961147</c:v>
                </c:pt>
                <c:pt idx="234">
                  <c:v>1879275.3951961147</c:v>
                </c:pt>
                <c:pt idx="235">
                  <c:v>1879275.3951961147</c:v>
                </c:pt>
                <c:pt idx="236">
                  <c:v>1879275.3951961147</c:v>
                </c:pt>
                <c:pt idx="237">
                  <c:v>1879275.3951961147</c:v>
                </c:pt>
                <c:pt idx="238">
                  <c:v>1879275.3951961147</c:v>
                </c:pt>
                <c:pt idx="239">
                  <c:v>1879275.3951961147</c:v>
                </c:pt>
                <c:pt idx="240">
                  <c:v>1879275.3951961147</c:v>
                </c:pt>
                <c:pt idx="241">
                  <c:v>1879275.3951961147</c:v>
                </c:pt>
                <c:pt idx="242">
                  <c:v>1879275.3951961147</c:v>
                </c:pt>
                <c:pt idx="243">
                  <c:v>1879275.3951961147</c:v>
                </c:pt>
                <c:pt idx="244">
                  <c:v>1879275.3951961147</c:v>
                </c:pt>
                <c:pt idx="245">
                  <c:v>1879275.3951961147</c:v>
                </c:pt>
                <c:pt idx="246">
                  <c:v>1879275.3951961147</c:v>
                </c:pt>
                <c:pt idx="247">
                  <c:v>1879275.3951961147</c:v>
                </c:pt>
                <c:pt idx="248">
                  <c:v>1879275.3951961147</c:v>
                </c:pt>
                <c:pt idx="249">
                  <c:v>1879275.3951961147</c:v>
                </c:pt>
                <c:pt idx="250">
                  <c:v>1879275.3951961147</c:v>
                </c:pt>
                <c:pt idx="251">
                  <c:v>1879275.3951961147</c:v>
                </c:pt>
                <c:pt idx="252">
                  <c:v>1879275.3951961147</c:v>
                </c:pt>
                <c:pt idx="253">
                  <c:v>1879275.3951961147</c:v>
                </c:pt>
                <c:pt idx="254">
                  <c:v>1879275.3951961147</c:v>
                </c:pt>
                <c:pt idx="255">
                  <c:v>1879275.3951961147</c:v>
                </c:pt>
                <c:pt idx="256">
                  <c:v>1879275.3951961147</c:v>
                </c:pt>
                <c:pt idx="257">
                  <c:v>1879275.3951961147</c:v>
                </c:pt>
                <c:pt idx="258">
                  <c:v>1879275.3951961147</c:v>
                </c:pt>
                <c:pt idx="259">
                  <c:v>1879275.3951961147</c:v>
                </c:pt>
                <c:pt idx="260">
                  <c:v>1879275.3951961147</c:v>
                </c:pt>
                <c:pt idx="261">
                  <c:v>1879275.3951961147</c:v>
                </c:pt>
                <c:pt idx="262">
                  <c:v>1879275.3951961147</c:v>
                </c:pt>
                <c:pt idx="263">
                  <c:v>1879275.3951961147</c:v>
                </c:pt>
                <c:pt idx="264">
                  <c:v>1879275.3951961147</c:v>
                </c:pt>
                <c:pt idx="265">
                  <c:v>1879275.3951961147</c:v>
                </c:pt>
                <c:pt idx="266">
                  <c:v>1879275.3951961147</c:v>
                </c:pt>
                <c:pt idx="267">
                  <c:v>1879275.3951961147</c:v>
                </c:pt>
                <c:pt idx="268">
                  <c:v>1879275.3951961147</c:v>
                </c:pt>
                <c:pt idx="269">
                  <c:v>1879275.3951961147</c:v>
                </c:pt>
                <c:pt idx="270">
                  <c:v>1879275.3951961147</c:v>
                </c:pt>
                <c:pt idx="271">
                  <c:v>1879275.3951961147</c:v>
                </c:pt>
                <c:pt idx="272">
                  <c:v>1879275.3951961147</c:v>
                </c:pt>
                <c:pt idx="273">
                  <c:v>1879275.3951961147</c:v>
                </c:pt>
                <c:pt idx="274">
                  <c:v>1879275.3951961147</c:v>
                </c:pt>
                <c:pt idx="275">
                  <c:v>1879275.3951961147</c:v>
                </c:pt>
                <c:pt idx="276">
                  <c:v>1879275.3951961147</c:v>
                </c:pt>
                <c:pt idx="277">
                  <c:v>1879275.3951961147</c:v>
                </c:pt>
                <c:pt idx="278">
                  <c:v>1879275.3951961147</c:v>
                </c:pt>
                <c:pt idx="279">
                  <c:v>1879275.3951961147</c:v>
                </c:pt>
                <c:pt idx="280">
                  <c:v>1879275.3951961147</c:v>
                </c:pt>
                <c:pt idx="281">
                  <c:v>1879275.3951961147</c:v>
                </c:pt>
                <c:pt idx="282">
                  <c:v>1879275.3951961147</c:v>
                </c:pt>
                <c:pt idx="283">
                  <c:v>1879275.3951961147</c:v>
                </c:pt>
                <c:pt idx="284">
                  <c:v>1879275.3951961147</c:v>
                </c:pt>
                <c:pt idx="285">
                  <c:v>1879275.3951961147</c:v>
                </c:pt>
                <c:pt idx="286">
                  <c:v>1879275.3951961147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8771180556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Ts &amp; Meters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701"/>
  </r>
  <r>
    <n v="6"/>
    <x v="6"/>
    <s v="PVDB"/>
    <m/>
    <m/>
    <n v="89859.36"/>
    <s v="PO4539-7AP-20251212 - RV Approved"/>
    <m/>
    <x v="3"/>
    <n v="156878.0162575609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1406.066086957013"/>
    <n v="0.1"/>
    <n v="6140.6066086957017"/>
    <m/>
    <m/>
    <x v="1"/>
    <n v="10720.376635113475"/>
    <m/>
    <d v="2026-01-28T00:00:00"/>
    <m/>
  </r>
  <r>
    <n v="6"/>
    <x v="6"/>
    <s v="Site Establishment"/>
    <m/>
    <n v="0.15"/>
    <n v="9210.9099130435516"/>
    <m/>
    <m/>
    <x v="1"/>
    <n v="16080.564952670211"/>
    <m/>
    <d v="2026-01-28T00:00:00"/>
    <m/>
  </r>
  <r>
    <n v="6"/>
    <x v="6"/>
    <s v="AC Installation Complete"/>
    <m/>
    <n v="0.2"/>
    <n v="12281.213217391403"/>
    <m/>
    <m/>
    <x v="3"/>
    <n v="21440.753270226949"/>
    <m/>
    <d v="2026-02-24T00:00:00"/>
    <m/>
  </r>
  <r>
    <n v="6"/>
    <x v="6"/>
    <s v="DC Installation Complete"/>
    <m/>
    <n v="0.25"/>
    <n v="15351.516521739253"/>
    <m/>
    <m/>
    <x v="3"/>
    <n v="26800.941587783684"/>
    <m/>
    <d v="2026-02-26T00:00:00"/>
    <m/>
  </r>
  <r>
    <n v="6"/>
    <x v="6"/>
    <s v="Commissioning Complete"/>
    <m/>
    <n v="0.1"/>
    <n v="6140.6066086957017"/>
    <m/>
    <m/>
    <x v="4"/>
    <n v="10720.376635113475"/>
    <m/>
    <d v="2026-03-09T00:00:00"/>
    <m/>
  </r>
  <r>
    <n v="6"/>
    <x v="6"/>
    <s v="Site De-establisment"/>
    <m/>
    <n v="0.1"/>
    <n v="6140.6066086957017"/>
    <m/>
    <m/>
    <x v="4"/>
    <n v="10720.376635113475"/>
    <m/>
    <d v="2026-03-10T00:00:00"/>
    <m/>
  </r>
  <r>
    <n v="6"/>
    <x v="6"/>
    <s v="Handover Document Complete"/>
    <m/>
    <n v="0.05"/>
    <n v="3070.3033043478508"/>
    <m/>
    <m/>
    <x v="4"/>
    <n v="5360.1883175567373"/>
    <m/>
    <d v="2026-03-10T00:00:00"/>
    <m/>
  </r>
  <r>
    <n v="6"/>
    <x v="6"/>
    <s v="End of Defects Period"/>
    <m/>
    <n v="0.05"/>
    <n v="3070.3033043478508"/>
    <m/>
    <m/>
    <x v="5"/>
    <n v="5360.188317556737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16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1"/>
    <n v="534.72222222222217"/>
    <n v="0"/>
    <d v="2026-02-07T00:00:00"/>
    <n v="1925"/>
  </r>
  <r>
    <n v="14"/>
    <x v="14"/>
    <s v="Travel"/>
    <m/>
    <m/>
    <n v="481.25"/>
    <m/>
    <m/>
    <x v="3"/>
    <n v="534.72222222222217"/>
    <m/>
    <d v="2026-03-07T00:00:00"/>
    <m/>
  </r>
  <r>
    <n v="14"/>
    <x v="14"/>
    <s v="Travel"/>
    <m/>
    <m/>
    <n v="481.25"/>
    <m/>
    <m/>
    <x v="4"/>
    <n v="534.72222222222217"/>
    <m/>
    <d v="2026-04-07T00:00:00"/>
    <m/>
  </r>
  <r>
    <n v="14"/>
    <x v="14"/>
    <s v="Travel"/>
    <m/>
    <m/>
    <n v="481.25"/>
    <m/>
    <m/>
    <x v="5"/>
    <n v="534.72222222222217"/>
    <m/>
    <d v="2026-05-07T00:00:00"/>
    <m/>
  </r>
  <r>
    <n v="14"/>
    <x v="14"/>
    <s v="Travel"/>
    <m/>
    <m/>
    <m/>
    <m/>
    <m/>
    <x v="2"/>
    <n v="0"/>
    <m/>
    <d v="2026-02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77734375"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44140625" customWidth="1"/>
    <col min="6" max="6" width="5.77734375" customWidth="1"/>
  </cols>
  <sheetData>
    <row r="1" spans="2:15" ht="15" thickBot="1"/>
    <row r="2" spans="2:15" ht="18">
      <c r="B2" s="644" t="s">
        <v>0</v>
      </c>
      <c r="C2" s="644"/>
      <c r="D2" s="644"/>
      <c r="E2" s="644"/>
      <c r="H2" s="645" t="s">
        <v>1</v>
      </c>
      <c r="I2" s="646"/>
      <c r="J2" s="646"/>
      <c r="K2" s="646"/>
      <c r="L2" s="646"/>
      <c r="M2" s="646"/>
      <c r="N2" s="646"/>
      <c r="O2" s="647"/>
    </row>
    <row r="3" spans="2:15">
      <c r="B3" s="613"/>
      <c r="H3" s="648"/>
      <c r="I3" s="649"/>
      <c r="J3" s="649"/>
      <c r="K3" s="649"/>
      <c r="L3" s="649"/>
      <c r="M3" s="649"/>
      <c r="N3" s="649"/>
      <c r="O3" s="650"/>
    </row>
    <row r="4" spans="2:15">
      <c r="B4" s="614" t="s">
        <v>2</v>
      </c>
      <c r="C4" s="615" t="str">
        <f>'Project Plan'!E2</f>
        <v>7th Avenue Park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4" t="s">
        <v>3</v>
      </c>
      <c r="C5" s="615" t="s">
        <v>4</v>
      </c>
      <c r="H5" s="648"/>
      <c r="I5" s="649"/>
      <c r="J5" s="649"/>
      <c r="K5" s="649"/>
      <c r="L5" s="649"/>
      <c r="M5" s="649"/>
      <c r="N5" s="649"/>
      <c r="O5" s="650"/>
    </row>
    <row r="6" spans="2:15">
      <c r="B6" s="614" t="s">
        <v>5</v>
      </c>
      <c r="C6" s="615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4" t="s">
        <v>7</v>
      </c>
      <c r="C7" s="615" t="s">
        <v>8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3"/>
      <c r="H8" s="648"/>
      <c r="I8" s="649"/>
      <c r="J8" s="649"/>
      <c r="K8" s="649"/>
      <c r="L8" s="649"/>
      <c r="M8" s="649"/>
      <c r="N8" s="649"/>
      <c r="O8" s="650"/>
    </row>
    <row r="9" spans="2:15">
      <c r="B9" s="654" t="s">
        <v>9</v>
      </c>
      <c r="C9" s="654"/>
      <c r="D9" s="654"/>
      <c r="E9" s="654"/>
      <c r="H9" s="648"/>
      <c r="I9" s="649"/>
      <c r="J9" s="649"/>
      <c r="K9" s="649"/>
      <c r="L9" s="649"/>
      <c r="M9" s="649"/>
      <c r="N9" s="649"/>
      <c r="O9" s="650"/>
    </row>
    <row r="10" spans="2:15" ht="15" thickBot="1">
      <c r="B10" s="654" t="s">
        <v>10</v>
      </c>
      <c r="C10" s="654"/>
      <c r="D10" s="654"/>
      <c r="E10" s="654"/>
      <c r="H10" s="651"/>
      <c r="I10" s="652"/>
      <c r="J10" s="652"/>
      <c r="K10" s="652"/>
      <c r="L10" s="652"/>
      <c r="M10" s="652"/>
      <c r="N10" s="652"/>
      <c r="O10" s="653"/>
    </row>
    <row r="11" spans="2:15">
      <c r="B11" s="616" t="s">
        <v>11</v>
      </c>
      <c r="C11" s="643"/>
      <c r="D11" s="643"/>
      <c r="E11" s="643"/>
    </row>
    <row r="12" spans="2:15">
      <c r="B12" s="616" t="s">
        <v>12</v>
      </c>
      <c r="C12" s="643"/>
      <c r="D12" s="643"/>
      <c r="E12" s="643"/>
    </row>
    <row r="13" spans="2:15">
      <c r="B13" s="616" t="s">
        <v>13</v>
      </c>
      <c r="C13" s="643"/>
      <c r="D13" s="643"/>
      <c r="E13" s="643"/>
    </row>
    <row r="14" spans="2:15">
      <c r="B14" s="616" t="s">
        <v>14</v>
      </c>
      <c r="C14" s="643"/>
      <c r="D14" s="643"/>
      <c r="E14" s="643"/>
    </row>
    <row r="15" spans="2:15">
      <c r="B15" s="616" t="s">
        <v>15</v>
      </c>
      <c r="C15" s="643"/>
      <c r="D15" s="643"/>
      <c r="E15" s="643"/>
    </row>
    <row r="16" spans="2:15" ht="15" customHeight="1">
      <c r="B16" s="616" t="s">
        <v>16</v>
      </c>
      <c r="C16" s="643"/>
      <c r="D16" s="643"/>
      <c r="E16" s="643"/>
    </row>
    <row r="17" spans="2:5">
      <c r="B17" s="613"/>
    </row>
    <row r="18" spans="2:5">
      <c r="B18" s="655" t="s">
        <v>17</v>
      </c>
      <c r="C18" s="655"/>
      <c r="D18" s="655"/>
      <c r="E18" s="65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7734375"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44140625" customWidth="1"/>
    <col min="6" max="6" width="5.77734375" customWidth="1"/>
  </cols>
  <sheetData>
    <row r="1" spans="2:15" ht="15" thickBot="1"/>
    <row r="2" spans="2:15" ht="18">
      <c r="B2" s="644" t="s">
        <v>22</v>
      </c>
      <c r="C2" s="644"/>
      <c r="D2" s="644"/>
      <c r="E2" s="644"/>
      <c r="H2" s="645" t="s">
        <v>23</v>
      </c>
      <c r="I2" s="646"/>
      <c r="J2" s="646"/>
      <c r="K2" s="646"/>
      <c r="L2" s="646"/>
      <c r="M2" s="646"/>
      <c r="N2" s="646"/>
      <c r="O2" s="647"/>
    </row>
    <row r="3" spans="2:15">
      <c r="B3" s="613"/>
      <c r="H3" s="648"/>
      <c r="I3" s="649"/>
      <c r="J3" s="649"/>
      <c r="K3" s="649"/>
      <c r="L3" s="649"/>
      <c r="M3" s="649"/>
      <c r="N3" s="649"/>
      <c r="O3" s="650"/>
    </row>
    <row r="4" spans="2:15">
      <c r="B4" s="614" t="s">
        <v>2</v>
      </c>
      <c r="C4" s="615" t="str">
        <f>'Project Plan'!E2</f>
        <v>7th Avenue Park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4" t="s">
        <v>24</v>
      </c>
      <c r="C5" s="615"/>
      <c r="H5" s="648"/>
      <c r="I5" s="649"/>
      <c r="J5" s="649"/>
      <c r="K5" s="649"/>
      <c r="L5" s="649"/>
      <c r="M5" s="649"/>
      <c r="N5" s="649"/>
      <c r="O5" s="650"/>
    </row>
    <row r="6" spans="2:15">
      <c r="B6" s="614" t="s">
        <v>5</v>
      </c>
      <c r="C6" s="615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4" t="s">
        <v>25</v>
      </c>
      <c r="C7" s="615" t="str">
        <f>'Project Plan'!E5</f>
        <v>Justin Franke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4" t="s">
        <v>26</v>
      </c>
      <c r="C8" s="615"/>
      <c r="H8" s="648"/>
      <c r="I8" s="649"/>
      <c r="J8" s="649"/>
      <c r="K8" s="649"/>
      <c r="L8" s="649"/>
      <c r="M8" s="649"/>
      <c r="N8" s="649"/>
      <c r="O8" s="650"/>
    </row>
    <row r="9" spans="2:15">
      <c r="B9" s="613"/>
      <c r="H9" s="648"/>
      <c r="I9" s="649"/>
      <c r="J9" s="649"/>
      <c r="K9" s="649"/>
      <c r="L9" s="649"/>
      <c r="M9" s="649"/>
      <c r="N9" s="649"/>
      <c r="O9" s="650"/>
    </row>
    <row r="10" spans="2:15">
      <c r="B10" s="654" t="s">
        <v>9</v>
      </c>
      <c r="C10" s="654"/>
      <c r="D10" s="654"/>
      <c r="E10" s="654"/>
      <c r="H10" s="648"/>
      <c r="I10" s="649"/>
      <c r="J10" s="649"/>
      <c r="K10" s="649"/>
      <c r="L10" s="649"/>
      <c r="M10" s="649"/>
      <c r="N10" s="649"/>
      <c r="O10" s="650"/>
    </row>
    <row r="11" spans="2:15" ht="15" thickBot="1">
      <c r="B11" s="654" t="s">
        <v>10</v>
      </c>
      <c r="C11" s="654"/>
      <c r="D11" s="654"/>
      <c r="E11" s="654"/>
      <c r="H11" s="651"/>
      <c r="I11" s="652"/>
      <c r="J11" s="652"/>
      <c r="K11" s="652"/>
      <c r="L11" s="652"/>
      <c r="M11" s="652"/>
      <c r="N11" s="652"/>
      <c r="O11" s="653"/>
    </row>
    <row r="12" spans="2:15" ht="26.4">
      <c r="B12" s="616" t="s">
        <v>27</v>
      </c>
      <c r="C12" s="643"/>
      <c r="D12" s="643"/>
      <c r="E12" s="643"/>
    </row>
    <row r="13" spans="2:15">
      <c r="B13" s="616" t="s">
        <v>28</v>
      </c>
      <c r="C13" s="643"/>
      <c r="D13" s="643"/>
      <c r="E13" s="643"/>
    </row>
    <row r="14" spans="2:15">
      <c r="B14" s="616" t="s">
        <v>29</v>
      </c>
      <c r="C14" s="643"/>
      <c r="D14" s="643"/>
      <c r="E14" s="643"/>
    </row>
    <row r="15" spans="2:15">
      <c r="B15" s="616" t="s">
        <v>30</v>
      </c>
      <c r="C15" s="643"/>
      <c r="D15" s="643"/>
      <c r="E15" s="643"/>
    </row>
    <row r="16" spans="2:15" ht="26.4">
      <c r="B16" s="616" t="s">
        <v>31</v>
      </c>
      <c r="C16" s="643"/>
      <c r="D16" s="643"/>
      <c r="E16" s="643"/>
    </row>
    <row r="17" spans="2:5">
      <c r="B17" s="616" t="s">
        <v>32</v>
      </c>
      <c r="C17" s="643"/>
      <c r="D17" s="643"/>
      <c r="E17" s="643"/>
    </row>
    <row r="18" spans="2:5">
      <c r="B18" s="616" t="s">
        <v>33</v>
      </c>
      <c r="C18" s="643"/>
      <c r="D18" s="643"/>
      <c r="E18" s="643"/>
    </row>
    <row r="19" spans="2:5">
      <c r="B19" s="616" t="s">
        <v>34</v>
      </c>
      <c r="C19" s="643"/>
      <c r="D19" s="643"/>
      <c r="E19" s="643"/>
    </row>
    <row r="20" spans="2:5">
      <c r="B20" s="616" t="s">
        <v>35</v>
      </c>
      <c r="C20" s="643"/>
      <c r="D20" s="643"/>
      <c r="E20" s="643"/>
    </row>
    <row r="21" spans="2:5">
      <c r="B21" s="616" t="s">
        <v>36</v>
      </c>
      <c r="C21" s="643"/>
      <c r="D21" s="643"/>
      <c r="E21" s="643"/>
    </row>
    <row r="22" spans="2:5" ht="15" customHeight="1">
      <c r="B22" s="616" t="s">
        <v>16</v>
      </c>
      <c r="C22" s="643"/>
      <c r="D22" s="643"/>
      <c r="E22" s="643"/>
    </row>
    <row r="23" spans="2:5">
      <c r="B23" s="613"/>
    </row>
    <row r="24" spans="2:5">
      <c r="B24" s="655" t="s">
        <v>17</v>
      </c>
      <c r="C24" s="655"/>
      <c r="D24" s="655"/>
      <c r="E24" s="65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5546875" customWidth="1"/>
  </cols>
  <sheetData>
    <row r="1" spans="2:15">
      <c r="B1" s="658"/>
      <c r="C1" s="659"/>
      <c r="D1" s="659"/>
      <c r="E1" s="659"/>
      <c r="F1" s="656" t="s">
        <v>37</v>
      </c>
      <c r="G1" s="656"/>
      <c r="H1" s="656"/>
      <c r="I1" s="656"/>
      <c r="J1" s="656"/>
      <c r="K1" s="657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777343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/>
      <c r="D3" s="600"/>
      <c r="E3" s="603"/>
      <c r="F3" s="600"/>
      <c r="G3" s="1"/>
    </row>
    <row r="4" spans="1:7">
      <c r="A4" s="126"/>
      <c r="B4" s="600" t="s">
        <v>83</v>
      </c>
      <c r="C4" s="600"/>
      <c r="D4" s="600"/>
      <c r="E4" s="603"/>
      <c r="F4" s="600"/>
      <c r="G4" s="1"/>
    </row>
    <row r="5" spans="1:7">
      <c r="A5" s="126"/>
      <c r="B5" s="600" t="s">
        <v>84</v>
      </c>
      <c r="C5" s="600"/>
      <c r="D5" s="600"/>
      <c r="E5" s="603"/>
      <c r="F5" s="600"/>
      <c r="G5" s="1"/>
    </row>
    <row r="6" spans="1:7">
      <c r="A6" s="126"/>
      <c r="B6" s="600" t="s">
        <v>85</v>
      </c>
      <c r="C6" s="600"/>
      <c r="D6" s="600"/>
      <c r="E6" s="603"/>
      <c r="F6" s="600"/>
      <c r="G6" s="1"/>
    </row>
    <row r="7" spans="1:7">
      <c r="A7" s="126"/>
      <c r="B7" s="600" t="s">
        <v>86</v>
      </c>
      <c r="C7" s="600"/>
      <c r="D7" s="600"/>
      <c r="E7" s="603"/>
      <c r="F7" s="600"/>
      <c r="G7" s="1"/>
    </row>
    <row r="8" spans="1:7">
      <c r="A8" s="126"/>
      <c r="B8" s="600" t="s">
        <v>87</v>
      </c>
      <c r="C8" s="600"/>
      <c r="D8" s="600"/>
      <c r="E8" s="603"/>
      <c r="F8" s="600"/>
      <c r="G8" s="1"/>
    </row>
    <row r="9" spans="1:7">
      <c r="A9" s="126"/>
      <c r="B9" s="600" t="s">
        <v>88</v>
      </c>
      <c r="C9" s="600"/>
      <c r="D9" s="600"/>
      <c r="E9" s="603"/>
      <c r="F9" s="600"/>
      <c r="G9" s="1"/>
    </row>
    <row r="10" spans="1:7">
      <c r="A10" s="126"/>
      <c r="B10" s="600" t="s">
        <v>89</v>
      </c>
      <c r="C10" s="600"/>
      <c r="D10" s="600"/>
      <c r="E10" s="603"/>
      <c r="F10" s="600"/>
      <c r="G10" s="1"/>
    </row>
    <row r="11" spans="1:7">
      <c r="A11" s="126"/>
      <c r="B11" s="600" t="s">
        <v>90</v>
      </c>
      <c r="C11" s="600"/>
      <c r="D11" s="600"/>
      <c r="E11" s="603"/>
      <c r="F11" s="600"/>
      <c r="G11" s="1"/>
    </row>
    <row r="12" spans="1:7">
      <c r="A12" s="126"/>
      <c r="B12" s="600" t="s">
        <v>91</v>
      </c>
      <c r="C12" s="600"/>
      <c r="D12" s="600"/>
      <c r="E12" s="603"/>
      <c r="F12" s="600"/>
      <c r="G12" s="1"/>
    </row>
    <row r="13" spans="1:7">
      <c r="A13" s="126"/>
      <c r="B13" s="600" t="s">
        <v>92</v>
      </c>
      <c r="C13" s="600"/>
      <c r="D13" s="600"/>
      <c r="E13" s="603"/>
      <c r="F13" s="600"/>
      <c r="G13" s="1"/>
    </row>
    <row r="14" spans="1:7">
      <c r="A14" s="126"/>
      <c r="B14" s="600" t="s">
        <v>93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94</v>
      </c>
      <c r="C23" s="26"/>
      <c r="D23" s="26"/>
      <c r="E23" s="26"/>
      <c r="F23" s="26"/>
      <c r="G23" s="26"/>
    </row>
    <row r="24" spans="1:7">
      <c r="A24" s="26"/>
      <c r="B24" s="601" t="s">
        <v>95</v>
      </c>
      <c r="C24" s="26"/>
      <c r="D24" s="26"/>
      <c r="E24" s="26"/>
      <c r="F24" s="26"/>
    </row>
    <row r="25" spans="1:7">
      <c r="A25" s="26"/>
      <c r="B25" s="601" t="s">
        <v>96</v>
      </c>
      <c r="C25" s="26"/>
      <c r="D25" s="26"/>
      <c r="E25" s="26"/>
      <c r="F25" s="26"/>
    </row>
    <row r="26" spans="1:7">
      <c r="A26" s="26"/>
      <c r="B26" s="601" t="s">
        <v>97</v>
      </c>
      <c r="C26" s="26"/>
      <c r="D26" s="26"/>
      <c r="E26" s="26"/>
      <c r="F26" s="26"/>
    </row>
    <row r="27" spans="1:7">
      <c r="A27" s="26"/>
      <c r="B27" s="601" t="s">
        <v>98</v>
      </c>
      <c r="C27" s="26"/>
      <c r="D27" s="26"/>
      <c r="E27" s="26"/>
      <c r="F27" s="26"/>
    </row>
    <row r="28" spans="1:7">
      <c r="A28" s="26"/>
      <c r="B28" s="601" t="s">
        <v>99</v>
      </c>
      <c r="C28" s="26"/>
      <c r="D28" s="26"/>
      <c r="E28" s="26"/>
      <c r="F28" s="26"/>
    </row>
    <row r="29" spans="1:7">
      <c r="A29" s="26"/>
      <c r="B29" s="601" t="s">
        <v>100</v>
      </c>
      <c r="C29" s="26"/>
      <c r="D29" s="26"/>
      <c r="E29" s="26"/>
      <c r="F29" s="26"/>
    </row>
    <row r="30" spans="1:7">
      <c r="A30" s="26"/>
      <c r="B30" s="601" t="s">
        <v>101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660" t="s">
        <v>102</v>
      </c>
      <c r="C2" s="661"/>
      <c r="D2" s="661"/>
      <c r="E2" s="661"/>
      <c r="F2" s="66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0" t="s">
        <v>111</v>
      </c>
      <c r="C16" s="661"/>
      <c r="D16" s="661"/>
      <c r="E16" s="661"/>
      <c r="F16" s="66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9" zoomScale="95" zoomScaleNormal="95" workbookViewId="0">
      <selection activeCell="J19" sqref="J19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777343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4414062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46052</v>
      </c>
      <c r="O1" s="305">
        <f ca="1">TODAY()</f>
        <v>46052</v>
      </c>
      <c r="Q1" s="1"/>
    </row>
    <row r="2" spans="2:28" ht="15" customHeight="1" thickBot="1">
      <c r="B2" s="88"/>
      <c r="C2" s="89" t="s">
        <v>167</v>
      </c>
      <c r="D2" s="90"/>
      <c r="E2" s="564" t="s">
        <v>168</v>
      </c>
      <c r="F2" s="565"/>
      <c r="G2" s="565"/>
      <c r="H2" s="566"/>
      <c r="I2" s="663" t="s">
        <v>169</v>
      </c>
      <c r="J2" s="664"/>
      <c r="K2" s="585">
        <f>NETWORKDAYS(I18,K39,Data!C3:C60)</f>
        <v>22</v>
      </c>
      <c r="N2" s="306">
        <v>0</v>
      </c>
      <c r="O2" s="306">
        <v>1</v>
      </c>
    </row>
    <row r="3" spans="2:28" s="26" customFormat="1" ht="14.4" thickBot="1">
      <c r="B3" s="91"/>
      <c r="C3" s="92" t="s">
        <v>170</v>
      </c>
      <c r="D3" s="90"/>
      <c r="E3" s="312">
        <v>178</v>
      </c>
      <c r="F3" s="93"/>
      <c r="G3" s="94"/>
      <c r="H3" s="94"/>
      <c r="I3" s="663" t="s">
        <v>171</v>
      </c>
      <c r="J3" s="664"/>
      <c r="K3" s="585">
        <f>K2/5</f>
        <v>4.4000000000000004</v>
      </c>
      <c r="Q3" s="1"/>
    </row>
    <row r="4" spans="2:28" s="26" customFormat="1" ht="14.4" thickBot="1">
      <c r="B4" s="91"/>
      <c r="C4" s="92" t="s">
        <v>172</v>
      </c>
      <c r="D4" s="90"/>
      <c r="E4" s="563" t="s">
        <v>173</v>
      </c>
      <c r="F4" s="94"/>
      <c r="G4" s="94"/>
      <c r="H4" s="94"/>
      <c r="I4" s="663" t="s">
        <v>174</v>
      </c>
      <c r="J4" s="664"/>
      <c r="K4" s="586">
        <f>E3/K3</f>
        <v>40.454545454545453</v>
      </c>
      <c r="Q4" s="1"/>
    </row>
    <row r="5" spans="2:28" s="26" customFormat="1">
      <c r="B5" s="91"/>
      <c r="C5" s="92" t="s">
        <v>175</v>
      </c>
      <c r="D5" s="90"/>
      <c r="E5" s="563" t="s">
        <v>176</v>
      </c>
      <c r="F5" s="94"/>
      <c r="G5" s="94"/>
      <c r="H5" s="94"/>
      <c r="I5" s="26" t="s">
        <v>177</v>
      </c>
      <c r="K5" s="26" t="s">
        <v>178</v>
      </c>
      <c r="Q5" s="1"/>
    </row>
    <row r="6" spans="2:28">
      <c r="B6" s="95"/>
      <c r="C6" s="96" t="s">
        <v>179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9" t="s">
        <v>180</v>
      </c>
      <c r="E7" s="628" t="s">
        <v>181</v>
      </c>
      <c r="F7" s="80"/>
      <c r="G7" s="97"/>
      <c r="J7" s="27"/>
      <c r="Q7" s="1"/>
    </row>
    <row r="8" spans="2:28" ht="30" customHeight="1">
      <c r="B8" s="667" t="s">
        <v>130</v>
      </c>
      <c r="C8" s="668" t="s">
        <v>182</v>
      </c>
      <c r="D8" s="126"/>
      <c r="E8" s="669" t="s">
        <v>183</v>
      </c>
      <c r="F8" s="148" t="s">
        <v>184</v>
      </c>
      <c r="G8" s="669" t="s">
        <v>185</v>
      </c>
      <c r="H8" s="149"/>
      <c r="I8" s="669" t="s">
        <v>186</v>
      </c>
      <c r="J8" s="148" t="s">
        <v>184</v>
      </c>
      <c r="K8" s="669" t="s">
        <v>187</v>
      </c>
      <c r="M8" s="582" t="s">
        <v>44</v>
      </c>
      <c r="N8" s="583" t="s">
        <v>188</v>
      </c>
      <c r="O8" s="665" t="s">
        <v>189</v>
      </c>
      <c r="Z8" s="26"/>
      <c r="AA8" s="26"/>
      <c r="AB8" s="26"/>
    </row>
    <row r="9" spans="2:28">
      <c r="B9" s="667"/>
      <c r="C9" s="668"/>
      <c r="D9" s="126"/>
      <c r="E9" s="669"/>
      <c r="F9" s="40">
        <f>G39-E19</f>
        <v>29</v>
      </c>
      <c r="G9" s="669"/>
      <c r="H9" s="149"/>
      <c r="I9" s="669"/>
      <c r="J9" s="41">
        <f>K39-I19</f>
        <v>29</v>
      </c>
      <c r="K9" s="669"/>
      <c r="M9" s="265">
        <f>AVERAGE(M11,M18,M21,M28,M35,M39,M48,M44)</f>
        <v>2.1874999999999999E-2</v>
      </c>
      <c r="N9" s="265">
        <f ca="1">AVERAGE(N11,N18,N21,N28,N35,N39,N48,N44)</f>
        <v>0.18836405529953917</v>
      </c>
      <c r="O9" s="666"/>
      <c r="S9" s="584">
        <f ca="1">TODAY()</f>
        <v>46052</v>
      </c>
      <c r="T9" s="584">
        <f ca="1">TODAY()</f>
        <v>46052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190</v>
      </c>
      <c r="D11" s="130"/>
      <c r="E11" s="569">
        <f>MIN(E12:E17)</f>
        <v>45986</v>
      </c>
      <c r="F11" s="570">
        <f>G11-E11</f>
        <v>63</v>
      </c>
      <c r="G11" s="569">
        <f>MAX(G12:G17)</f>
        <v>46049</v>
      </c>
      <c r="H11" s="571"/>
      <c r="I11" s="569">
        <f>MIN(I12:I17)</f>
        <v>45986</v>
      </c>
      <c r="J11" s="570">
        <f>K11-I11</f>
        <v>63</v>
      </c>
      <c r="K11" s="569">
        <f>MAX(K12:K17)</f>
        <v>46049</v>
      </c>
      <c r="L11" s="572"/>
      <c r="M11" s="573">
        <f>(J12*M12+J13*M13+J14*M14+J15*M15+J16*M16)/SUM(J12:J16)</f>
        <v>0.17499999999999999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191</v>
      </c>
      <c r="C12" s="158" t="s">
        <v>192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193</v>
      </c>
      <c r="T12" s="535" t="s">
        <v>124</v>
      </c>
      <c r="U12" s="535" t="s">
        <v>184</v>
      </c>
      <c r="V12" s="535" t="s">
        <v>194</v>
      </c>
    </row>
    <row r="13" spans="2:28" s="26" customFormat="1">
      <c r="B13" s="157" t="s">
        <v>195</v>
      </c>
      <c r="C13" s="158" t="s">
        <v>196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63</v>
      </c>
      <c r="V13" s="536">
        <f>K11</f>
        <v>46049</v>
      </c>
    </row>
    <row r="14" spans="2:28" s="26" customFormat="1">
      <c r="B14" s="157" t="s">
        <v>197</v>
      </c>
      <c r="C14" s="158" t="s">
        <v>198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0.8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C18</f>
        <v>Site Establishment</v>
      </c>
      <c r="T14" s="536">
        <f>I18</f>
        <v>46062</v>
      </c>
      <c r="U14" s="537">
        <f>J18</f>
        <v>1</v>
      </c>
      <c r="V14" s="536">
        <f>K18</f>
        <v>46063</v>
      </c>
    </row>
    <row r="15" spans="2:28" s="26" customFormat="1">
      <c r="B15" s="157" t="s">
        <v>199</v>
      </c>
      <c r="C15" s="158" t="s">
        <v>200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0</v>
      </c>
      <c r="N15" s="577">
        <f t="shared" ca="1" si="0"/>
        <v>1</v>
      </c>
      <c r="O15" s="36"/>
      <c r="Q15" s="1"/>
      <c r="S15" s="534" t="str">
        <f>C21</f>
        <v>AC Installation</v>
      </c>
      <c r="T15" s="536">
        <f>I21</f>
        <v>46030</v>
      </c>
      <c r="U15" s="537">
        <f>J21</f>
        <v>40</v>
      </c>
      <c r="V15" s="536">
        <f>K21</f>
        <v>46070</v>
      </c>
    </row>
    <row r="16" spans="2:28" s="26" customFormat="1">
      <c r="B16" s="157" t="s">
        <v>201</v>
      </c>
      <c r="C16" s="158" t="s">
        <v>202</v>
      </c>
      <c r="D16" s="126"/>
      <c r="E16" s="574">
        <f>WORKDAY.INTL(G13,0,1,Data!$C$3:$C$60)</f>
        <v>46044</v>
      </c>
      <c r="F16" s="575">
        <v>3</v>
      </c>
      <c r="G16" s="574">
        <f>WORKDAY.INTL(E16,F16,1,Data!$C$3:$C$60)</f>
        <v>46049</v>
      </c>
      <c r="H16" s="576"/>
      <c r="I16" s="574">
        <f>WORKDAY.INTL(K13,0,1,Data!$C$3:$C$60)</f>
        <v>46044</v>
      </c>
      <c r="J16" s="575">
        <v>3</v>
      </c>
      <c r="K16" s="574">
        <f>WORKDAY.INTL(I16,J16,1,Data!$C$3:$C$60)</f>
        <v>46049</v>
      </c>
      <c r="L16" s="77"/>
      <c r="M16" s="577">
        <v>0</v>
      </c>
      <c r="N16" s="577">
        <f t="shared" ca="1" si="0"/>
        <v>1</v>
      </c>
      <c r="O16" s="36"/>
      <c r="Q16" s="1"/>
      <c r="S16" s="534" t="str">
        <f>C28</f>
        <v>DC Works</v>
      </c>
      <c r="T16" s="536">
        <f>I28</f>
        <v>46057</v>
      </c>
      <c r="U16" s="537">
        <f>J28</f>
        <v>23</v>
      </c>
      <c r="V16" s="536">
        <f>K28</f>
        <v>46080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4" t="str">
        <f>C35</f>
        <v>Module installation</v>
      </c>
      <c r="T17" s="536">
        <f>I35</f>
        <v>46062</v>
      </c>
      <c r="U17" s="537">
        <f>J35</f>
        <v>17</v>
      </c>
      <c r="V17" s="536">
        <f>K35</f>
        <v>46079</v>
      </c>
    </row>
    <row r="18" spans="2:28" s="28" customFormat="1">
      <c r="B18" s="155">
        <v>2</v>
      </c>
      <c r="C18" s="156" t="s">
        <v>203</v>
      </c>
      <c r="D18" s="130"/>
      <c r="E18" s="569">
        <f>MIN(E19:E20)</f>
        <v>46062</v>
      </c>
      <c r="F18" s="570">
        <f>G18-E18</f>
        <v>1</v>
      </c>
      <c r="G18" s="569">
        <f>MAX(G19:G20)</f>
        <v>46063</v>
      </c>
      <c r="H18" s="571"/>
      <c r="I18" s="569">
        <f>MIN(I19:I20)</f>
        <v>46062</v>
      </c>
      <c r="J18" s="570">
        <f>K18-I18</f>
        <v>1</v>
      </c>
      <c r="K18" s="569">
        <f>MAX(K19:K20)</f>
        <v>46063</v>
      </c>
      <c r="L18" s="572"/>
      <c r="M18" s="573">
        <f>(J19*M19)/J18</f>
        <v>0</v>
      </c>
      <c r="N18" s="573">
        <f ca="1">(K19*N19)/K18</f>
        <v>0</v>
      </c>
      <c r="O18" s="33"/>
      <c r="P18" s="26"/>
      <c r="Q18" s="37"/>
      <c r="R18" s="32"/>
      <c r="S18" s="534" t="str">
        <f>C39</f>
        <v>Commissioning</v>
      </c>
      <c r="T18" s="536">
        <f>I39</f>
        <v>46080</v>
      </c>
      <c r="U18" s="537">
        <f>J39</f>
        <v>11</v>
      </c>
      <c r="V18" s="536">
        <f>K39</f>
        <v>46091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204</v>
      </c>
      <c r="C19" s="158" t="s">
        <v>205</v>
      </c>
      <c r="D19" s="126"/>
      <c r="E19" s="574">
        <v>46062</v>
      </c>
      <c r="F19" s="575">
        <v>1</v>
      </c>
      <c r="G19" s="574">
        <f>E19+F19</f>
        <v>46063</v>
      </c>
      <c r="H19" s="576"/>
      <c r="I19" s="574">
        <v>46062</v>
      </c>
      <c r="J19" s="575">
        <v>1</v>
      </c>
      <c r="K19" s="574">
        <f>I19+J19</f>
        <v>46063</v>
      </c>
      <c r="L19" s="77"/>
      <c r="M19" s="577">
        <v>0</v>
      </c>
      <c r="N19" s="577">
        <f ca="1">_xlfn.LET(
  _xlpm.s,VALUE($I19),
  _xlpm.e,VALUE($K19),
  IF(OR(_xlpm.s="",_xlpm.e=""),"", IF(_xlpm.e&lt;=_xlpm.s, IF(TODAY()&gt;=_xlpm.e,1,0), MAX(0,MIN(1,(TODAY()-_xlpm.s)/(_xlpm.e-_xlpm.s)))))
)</f>
        <v>0</v>
      </c>
      <c r="O19" s="36"/>
      <c r="Q19" s="38"/>
      <c r="R19" s="35"/>
      <c r="S19" s="534" t="str">
        <f>C44</f>
        <v>QA Inspections</v>
      </c>
      <c r="T19" s="536">
        <f>I44</f>
        <v>46084</v>
      </c>
      <c r="U19" s="537">
        <f>J44</f>
        <v>8</v>
      </c>
      <c r="V19" s="536">
        <f>K44</f>
        <v>46092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4" t="str">
        <f>C48</f>
        <v>Project Closure</v>
      </c>
      <c r="T20" s="536">
        <f>I48</f>
        <v>46087</v>
      </c>
      <c r="U20" s="537">
        <f>J48</f>
        <v>18</v>
      </c>
      <c r="V20" s="536">
        <f>K48</f>
        <v>46105</v>
      </c>
    </row>
    <row r="21" spans="2:28" s="28" customFormat="1">
      <c r="B21" s="155">
        <v>3</v>
      </c>
      <c r="C21" s="156" t="s">
        <v>206</v>
      </c>
      <c r="D21" s="130"/>
      <c r="E21" s="569">
        <f>MIN(E22:E27)</f>
        <v>46030</v>
      </c>
      <c r="F21" s="570">
        <f>G21-E21</f>
        <v>40</v>
      </c>
      <c r="G21" s="569">
        <f>MAX(G22:G27)</f>
        <v>46070</v>
      </c>
      <c r="H21" s="579"/>
      <c r="I21" s="569">
        <f>MIN(I22:I27)</f>
        <v>46030</v>
      </c>
      <c r="J21" s="570">
        <f>K21-I21</f>
        <v>40</v>
      </c>
      <c r="K21" s="569">
        <f>MAX(K22:K27)</f>
        <v>46070</v>
      </c>
      <c r="L21" s="572"/>
      <c r="M21" s="573">
        <f>(J22*M22+J23*M23+J24*M24+J25*M25+J26*M26)/SUM(J22:J26)</f>
        <v>0</v>
      </c>
      <c r="N21" s="573">
        <f ca="1">(J22*N22+J23*N23+J24*N24+J25*N25+J26*N26)/SUM(J22:J26)</f>
        <v>0.50691244239631339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207</v>
      </c>
      <c r="C22" s="158" t="s">
        <v>208</v>
      </c>
      <c r="D22" s="126"/>
      <c r="E22" s="574">
        <f>WORKDAY.INTL(E19,0,1,Data!$C$3:$C$60)</f>
        <v>46062</v>
      </c>
      <c r="F22" s="575">
        <v>1</v>
      </c>
      <c r="G22" s="574">
        <f>WORKDAY.INTL(E22,F22,1,Data!$C$3:$C$60)</f>
        <v>46063</v>
      </c>
      <c r="H22" s="576"/>
      <c r="I22" s="574">
        <f>WORKDAY.INTL(I19,0,1,Data!$C$3:$C$60)</f>
        <v>46062</v>
      </c>
      <c r="J22" s="575">
        <v>1</v>
      </c>
      <c r="K22" s="574">
        <f>WORKDAY.INTL(I22,J22,1,Data!$C$3:$C$60)</f>
        <v>46063</v>
      </c>
      <c r="L22" s="77"/>
      <c r="M22" s="577">
        <v>0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0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209</v>
      </c>
      <c r="C23" s="158" t="s">
        <v>210</v>
      </c>
      <c r="D23" s="126"/>
      <c r="E23" s="574">
        <f>WORKDAY.INTL(G22,0,1,Data!$C$3:$C$60)</f>
        <v>46063</v>
      </c>
      <c r="F23" s="575">
        <v>1</v>
      </c>
      <c r="G23" s="574">
        <f>WORKDAY.INTL(E23,F23,1,Data!$C$3:$C$60)</f>
        <v>46064</v>
      </c>
      <c r="H23" s="576"/>
      <c r="I23" s="574">
        <f>WORKDAY.INTL(K22,0,1,Data!$C$3:$C$60)</f>
        <v>46063</v>
      </c>
      <c r="J23" s="575">
        <v>1</v>
      </c>
      <c r="K23" s="574">
        <f>WORKDAY.INTL(I23,J23,1,Data!$C$3:$C$60)</f>
        <v>46064</v>
      </c>
      <c r="L23" s="77"/>
      <c r="M23" s="577">
        <v>0</v>
      </c>
      <c r="N23" s="577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211</v>
      </c>
      <c r="C24" s="158" t="s">
        <v>212</v>
      </c>
      <c r="D24" s="126"/>
      <c r="E24" s="574">
        <f>WORKDAY.INTL(E14,0,1,Data!$C$3:$C$60)-14</f>
        <v>46030</v>
      </c>
      <c r="F24" s="575">
        <v>25</v>
      </c>
      <c r="G24" s="574">
        <f>WORKDAY.INTL(E24,F24,1,Data!$C$3:$C$60)</f>
        <v>46065</v>
      </c>
      <c r="H24" s="576"/>
      <c r="I24" s="574">
        <f>WORKDAY.INTL(I14,0,1,Data!$C$3:$C$60)-14</f>
        <v>46030</v>
      </c>
      <c r="J24" s="575">
        <v>25</v>
      </c>
      <c r="K24" s="574">
        <f>WORKDAY.INTL(I24,J24,1,Data!$C$3:$C$60)</f>
        <v>46065</v>
      </c>
      <c r="L24" s="77"/>
      <c r="M24" s="577">
        <v>0</v>
      </c>
      <c r="N24" s="577">
        <f t="shared" ca="1" si="1"/>
        <v>0.62857142857142856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213</v>
      </c>
      <c r="C25" s="158" t="s">
        <v>214</v>
      </c>
      <c r="D25" s="126"/>
      <c r="E25" s="574">
        <f>WORKDAY.INTL(G24,0,1,Data!$C$3:$C$60)</f>
        <v>46065</v>
      </c>
      <c r="F25" s="575">
        <v>3</v>
      </c>
      <c r="G25" s="574">
        <f>WORKDAY.INTL(E25,F25,1,Data!$C$3:$C$60)</f>
        <v>46070</v>
      </c>
      <c r="H25" s="576"/>
      <c r="I25" s="574">
        <f>WORKDAY.INTL(K24,0,1,Data!$C$3:$C$60)</f>
        <v>46065</v>
      </c>
      <c r="J25" s="575">
        <v>3</v>
      </c>
      <c r="K25" s="574">
        <f>WORKDAY.INTL(I25,J25,1,Data!$C$3:$C$60)</f>
        <v>46070</v>
      </c>
      <c r="L25" s="77"/>
      <c r="M25" s="577">
        <v>0</v>
      </c>
      <c r="N25" s="577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215</v>
      </c>
      <c r="C26" s="158" t="s">
        <v>216</v>
      </c>
      <c r="D26" s="126"/>
      <c r="E26" s="574">
        <f>WORKDAY.INTL(E25,0,1,Data!$C$3:$C$60)</f>
        <v>46065</v>
      </c>
      <c r="F26" s="575">
        <v>1</v>
      </c>
      <c r="G26" s="574">
        <f>WORKDAY.INTL(E26,F26,1,Data!$C$3:$C$60)</f>
        <v>46066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217</v>
      </c>
      <c r="D28" s="130"/>
      <c r="E28" s="569">
        <f>MIN(E30:E34)</f>
        <v>46062</v>
      </c>
      <c r="F28" s="570">
        <f>G28-E28</f>
        <v>18</v>
      </c>
      <c r="G28" s="569">
        <f>MAX(G30:G34)</f>
        <v>46080</v>
      </c>
      <c r="H28" s="579"/>
      <c r="I28" s="569">
        <f>MIN(I30:I34)</f>
        <v>46057</v>
      </c>
      <c r="J28" s="570">
        <f>K28-I28</f>
        <v>23</v>
      </c>
      <c r="K28" s="569">
        <f>MAX(K30:K34)</f>
        <v>46080</v>
      </c>
      <c r="L28" s="572"/>
      <c r="M28" s="573">
        <f>(J30*M30+J31*M31+J33*M33)/SUM(J30:J33)</f>
        <v>0</v>
      </c>
      <c r="N28" s="573">
        <f ca="1">(K30*N30+K31*N31+K33*N33)/SUM(K30:K33)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218</v>
      </c>
      <c r="C30" s="158" t="s">
        <v>219</v>
      </c>
      <c r="D30" s="126"/>
      <c r="E30" s="574">
        <f>E19</f>
        <v>46062</v>
      </c>
      <c r="F30" s="575">
        <v>1</v>
      </c>
      <c r="G30" s="574">
        <f>WORKDAY.INTL(E30,F30,1,Data!$C$3:$C$60)</f>
        <v>46063</v>
      </c>
      <c r="H30" s="576"/>
      <c r="I30" s="574">
        <f>I19</f>
        <v>46062</v>
      </c>
      <c r="J30" s="575">
        <v>1</v>
      </c>
      <c r="K30" s="574">
        <f>WORKDAY.INTL(I30,J30,1,Data!$C$3:$C$60)</f>
        <v>46063</v>
      </c>
      <c r="L30" s="77"/>
      <c r="M30" s="577">
        <v>0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220</v>
      </c>
      <c r="C31" s="158" t="s">
        <v>221</v>
      </c>
      <c r="D31" s="126"/>
      <c r="E31" s="574">
        <f>WORKDAY.INTL(G30,0,1,Data!$C$3:$C$60)</f>
        <v>46063</v>
      </c>
      <c r="F31" s="575">
        <v>3</v>
      </c>
      <c r="G31" s="574">
        <f>WORKDAY.INTL(E31,F31,1,Data!$C$3:$C$60)</f>
        <v>46066</v>
      </c>
      <c r="H31" s="576"/>
      <c r="I31" s="574">
        <f>WORKDAY.INTL(K30,0,1,Data!$C$3:$C$60)</f>
        <v>46063</v>
      </c>
      <c r="J31" s="575">
        <v>3</v>
      </c>
      <c r="K31" s="574">
        <f>WORKDAY.INTL(I31,J31,1,Data!$C$3:$C$60)</f>
        <v>46066</v>
      </c>
      <c r="L31" s="77"/>
      <c r="M31" s="577">
        <v>0</v>
      </c>
      <c r="N31" s="577">
        <f t="shared" ca="1" si="2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222</v>
      </c>
      <c r="C32" s="158" t="s">
        <v>223</v>
      </c>
      <c r="D32" s="126"/>
      <c r="E32" s="574">
        <f>E30</f>
        <v>46062</v>
      </c>
      <c r="F32" s="575">
        <v>1</v>
      </c>
      <c r="G32" s="574">
        <f>WORKDAY.INTL(E32,F32,1,Data!$C$3:$C$60)</f>
        <v>46063</v>
      </c>
      <c r="H32" s="576"/>
      <c r="I32" s="574">
        <v>46057</v>
      </c>
      <c r="J32" s="575">
        <v>1</v>
      </c>
      <c r="K32" s="574">
        <f>WORKDAY.INTL(I32,J32,1,Data!$C$3:$C$60)</f>
        <v>46058</v>
      </c>
      <c r="L32" s="77"/>
      <c r="M32" s="577">
        <v>0</v>
      </c>
      <c r="N32" s="577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224</v>
      </c>
      <c r="C33" s="154" t="s">
        <v>225</v>
      </c>
      <c r="D33" s="126"/>
      <c r="E33" s="580">
        <f>WORKDAY.INTL(G37,0,1,Data!$C$3:$C$60)-3</f>
        <v>46076</v>
      </c>
      <c r="F33" s="575">
        <v>4</v>
      </c>
      <c r="G33" s="580">
        <f>WORKDAY.INTL(E33,F33,1,Data!$C$3:$C$60)</f>
        <v>46080</v>
      </c>
      <c r="H33" s="576"/>
      <c r="I33" s="580">
        <f>WORKDAY.INTL(K37,0,1,Data!$C$3:$C$60)-3</f>
        <v>46076</v>
      </c>
      <c r="J33" s="575">
        <v>4</v>
      </c>
      <c r="K33" s="580">
        <f>WORKDAY.INTL(I33,J33,1,Data!$C$3:$C$60)</f>
        <v>46080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226</v>
      </c>
      <c r="D35" s="130"/>
      <c r="E35" s="569">
        <f>MIN(E36:E38)</f>
        <v>46062</v>
      </c>
      <c r="F35" s="570">
        <f>G35-E35</f>
        <v>17</v>
      </c>
      <c r="G35" s="569">
        <f>MAX(G36:G38)</f>
        <v>46079</v>
      </c>
      <c r="H35" s="571"/>
      <c r="I35" s="569">
        <f>MIN(I36:I38)</f>
        <v>46062</v>
      </c>
      <c r="J35" s="570">
        <f>K35-I35</f>
        <v>17</v>
      </c>
      <c r="K35" s="569">
        <f>MAX(K36:K38)</f>
        <v>46079</v>
      </c>
      <c r="L35" s="572"/>
      <c r="M35" s="573">
        <f>(J36*M36+J37*M37)/SUM(J36:J37)</f>
        <v>0</v>
      </c>
      <c r="N35" s="573">
        <f ca="1">(K36*N36+K37*N37)/SUM(K36:K37)</f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227</v>
      </c>
      <c r="C36" s="158" t="s">
        <v>228</v>
      </c>
      <c r="D36" s="126"/>
      <c r="E36" s="580">
        <f>WORKDAY.INTL(E19,0,1,Data!$C$3:$C$60)</f>
        <v>46062</v>
      </c>
      <c r="F36" s="575">
        <v>1</v>
      </c>
      <c r="G36" s="574">
        <f>WORKDAY.INTL(E36,F36,1,Data!$C$3:$C$60)</f>
        <v>46063</v>
      </c>
      <c r="H36" s="576"/>
      <c r="I36" s="580">
        <f>WORKDAY.INTL(I19,0,1,Data!$C$3:$C$60)</f>
        <v>46062</v>
      </c>
      <c r="J36" s="575">
        <v>1</v>
      </c>
      <c r="K36" s="574">
        <f>WORKDAY.INTL(I36,J36,1,Data!$C$3:$C$60)</f>
        <v>46063</v>
      </c>
      <c r="L36" s="77"/>
      <c r="M36" s="577">
        <v>0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229</v>
      </c>
      <c r="C37" s="158" t="s">
        <v>230</v>
      </c>
      <c r="D37" s="126"/>
      <c r="E37" s="580">
        <f>G31</f>
        <v>46066</v>
      </c>
      <c r="F37" s="575">
        <v>9</v>
      </c>
      <c r="G37" s="574">
        <f>WORKDAY.INTL(E37,F37,1,Data!$C$3:$C$60)</f>
        <v>46079</v>
      </c>
      <c r="H37" s="576"/>
      <c r="I37" s="580">
        <f>K31</f>
        <v>46066</v>
      </c>
      <c r="J37" s="575">
        <v>9</v>
      </c>
      <c r="K37" s="574">
        <f>WORKDAY.INTL(I37,J37,1,Data!$C$3:$C$60)</f>
        <v>46079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231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46080</v>
      </c>
      <c r="J39" s="570">
        <f>K39-I39</f>
        <v>11</v>
      </c>
      <c r="K39" s="569">
        <f>MAX(K40:K43)</f>
        <v>46091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232</v>
      </c>
      <c r="C40" s="154" t="s">
        <v>231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46080</v>
      </c>
      <c r="J40" s="575">
        <v>1</v>
      </c>
      <c r="K40" s="580">
        <f>WORKDAY.INTL(I40,J40,1,Data!$C$3:$C$60)</f>
        <v>46083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233</v>
      </c>
      <c r="C41" s="154" t="s">
        <v>144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46083</v>
      </c>
      <c r="J41" s="575">
        <v>1</v>
      </c>
      <c r="K41" s="580">
        <f>WORKDAY.INTL(I41,J41,1,Data!$C$3:$C$60)</f>
        <v>46084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234</v>
      </c>
      <c r="C42" s="154" t="s">
        <v>235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46084</v>
      </c>
      <c r="J42" s="575">
        <v>5</v>
      </c>
      <c r="K42" s="580">
        <f>WORKDAY.INTL(I42,J42,1,Data!$C$3:$C$60)</f>
        <v>46091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236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46084</v>
      </c>
      <c r="J44" s="570">
        <f>K44-I44</f>
        <v>8</v>
      </c>
      <c r="K44" s="569">
        <f>MAX(K45:K47)</f>
        <v>46092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237</v>
      </c>
      <c r="C45" s="154" t="s">
        <v>238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46084</v>
      </c>
      <c r="J45" s="575">
        <v>3</v>
      </c>
      <c r="K45" s="580">
        <f>WORKDAY.INTL(I45,J45,1,Data!$C$3:$C$60)</f>
        <v>46087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239</v>
      </c>
      <c r="C46" s="154" t="s">
        <v>240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46087</v>
      </c>
      <c r="J46" s="575">
        <v>3</v>
      </c>
      <c r="K46" s="580">
        <f>WORKDAY.INTL(I46,J46,1,Data!$C$3:$C$60)</f>
        <v>46092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241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46087</v>
      </c>
      <c r="J48" s="570">
        <f>K48-I48</f>
        <v>18</v>
      </c>
      <c r="K48" s="569">
        <f>MAX(K49:K51)</f>
        <v>46105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242</v>
      </c>
      <c r="C49" s="154" t="s">
        <v>243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46087</v>
      </c>
      <c r="J49" s="575">
        <v>7</v>
      </c>
      <c r="K49" s="580">
        <f>WORKDAY.INTL(I49,J49,1,Data!$C$3:$C$60)</f>
        <v>46098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244</v>
      </c>
      <c r="C50" s="154" t="s">
        <v>245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46098</v>
      </c>
      <c r="J50" s="575">
        <v>1</v>
      </c>
      <c r="K50" s="580">
        <f>WORKDAY.INTL(I50,J50,1,Data!$C$3:$C$60)</f>
        <v>46099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246</v>
      </c>
      <c r="C51" s="154" t="s">
        <v>247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46098</v>
      </c>
      <c r="J51" s="575">
        <v>5</v>
      </c>
      <c r="K51" s="580">
        <f>WORKDAY.INTL(I51,J51,1,Data!$C$3:$C$60)</f>
        <v>46105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zoomScaleNormal="100" workbookViewId="0">
      <selection activeCell="H9" sqref="H9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21875" style="43" bestFit="1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112.21875" style="43" customWidth="1"/>
    <col min="20" max="20" width="4.44140625" style="43" customWidth="1"/>
    <col min="21" max="21" width="18.77734375" style="43" bestFit="1" customWidth="1"/>
    <col min="22" max="22" width="15.5546875" style="24" bestFit="1" customWidth="1"/>
    <col min="23" max="23" width="17.77734375" style="24" bestFit="1" customWidth="1"/>
    <col min="24" max="24" width="14.77734375" style="24" bestFit="1" customWidth="1"/>
    <col min="25" max="25" width="5.218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218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115</v>
      </c>
      <c r="V2" s="622" t="s">
        <v>116</v>
      </c>
      <c r="W2" s="622" t="s">
        <v>117</v>
      </c>
      <c r="X2" s="622" t="s">
        <v>118</v>
      </c>
    </row>
    <row r="3" spans="1:42" s="24" customFormat="1" ht="13.2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975787.8200504405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661634.2699999999</v>
      </c>
    </row>
    <row r="4" spans="1:42" s="24" customFormat="1" ht="13.2">
      <c r="B4" s="256">
        <v>1</v>
      </c>
      <c r="C4" s="257" t="s">
        <v>123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1533654.4012312251</v>
      </c>
      <c r="E5" s="259"/>
      <c r="F5" s="258">
        <f>+'Expenditure Tracking'!H5</f>
        <v>1370745.5124399513</v>
      </c>
      <c r="G5" s="641" t="s">
        <v>424</v>
      </c>
      <c r="H5" s="641" t="s">
        <v>425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126</v>
      </c>
      <c r="D6" s="258">
        <f>+D4-D5</f>
        <v>345620.99396488955</v>
      </c>
      <c r="E6" s="259"/>
      <c r="F6" s="258">
        <f>+F4-F5</f>
        <v>508529.8827561636</v>
      </c>
      <c r="G6" s="541">
        <f>D6*0.05</f>
        <v>17281.049698244478</v>
      </c>
      <c r="H6" s="640">
        <f>SUMIF('Expenditure Breakdown'!N:N,"*VO*",'Expenditure Breakdown'!Q:Q)</f>
        <v>0</v>
      </c>
      <c r="J6" s="53"/>
      <c r="L6" s="276"/>
      <c r="N6" s="276" t="s">
        <v>127</v>
      </c>
      <c r="T6" s="53"/>
    </row>
    <row r="7" spans="1:42" s="24" customFormat="1" ht="15" customHeight="1" thickBot="1">
      <c r="B7" s="256">
        <v>4</v>
      </c>
      <c r="C7" s="257" t="s">
        <v>128</v>
      </c>
      <c r="D7" s="260">
        <f>+D6/D4</f>
        <v>0.18391183902496724</v>
      </c>
      <c r="E7" s="259"/>
      <c r="F7" s="260">
        <f>+F6/F4</f>
        <v>0.27059891490948568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129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637" t="s">
        <v>139</v>
      </c>
      <c r="T12" s="53"/>
    </row>
    <row r="13" spans="1:42" s="24" customFormat="1" ht="13.2">
      <c r="B13" s="587">
        <v>1</v>
      </c>
      <c r="C13" s="672" t="s">
        <v>140</v>
      </c>
      <c r="D13" s="673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141</v>
      </c>
      <c r="M13" s="592"/>
      <c r="N13" s="591">
        <v>45989</v>
      </c>
      <c r="O13" s="595"/>
      <c r="P13" s="626">
        <v>45999</v>
      </c>
      <c r="R13" s="86"/>
      <c r="S13" s="638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140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141</v>
      </c>
      <c r="M14" s="592"/>
      <c r="N14" s="591">
        <v>45989</v>
      </c>
      <c r="O14" s="595"/>
      <c r="P14" s="626">
        <v>46034</v>
      </c>
      <c r="R14" s="86"/>
      <c r="S14" s="638" t="b">
        <v>0</v>
      </c>
      <c r="T14" s="53"/>
      <c r="AP14" s="524"/>
    </row>
    <row r="15" spans="1:42" s="24" customFormat="1" ht="13.2">
      <c r="B15" s="597">
        <v>2</v>
      </c>
      <c r="C15" s="672" t="s">
        <v>142</v>
      </c>
      <c r="D15" s="673"/>
      <c r="E15" s="588">
        <v>0.5</v>
      </c>
      <c r="F15" s="589">
        <f t="shared" ref="F15:F19" si="0">$D$4*E15</f>
        <v>939637.69759805733</v>
      </c>
      <c r="G15" s="598"/>
      <c r="H15" s="591">
        <f>'Project Plan'!G36+7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Plan'!K36+7</f>
        <v>46070</v>
      </c>
      <c r="R15" s="280"/>
      <c r="S15" s="638" t="b">
        <v>0</v>
      </c>
      <c r="T15" s="53"/>
    </row>
    <row r="16" spans="1:42" s="24" customFormat="1" ht="13.2">
      <c r="B16" s="587">
        <v>3</v>
      </c>
      <c r="C16" s="672" t="s">
        <v>143</v>
      </c>
      <c r="D16" s="673"/>
      <c r="E16" s="588">
        <v>9.9999999999999992E-2</v>
      </c>
      <c r="F16" s="589">
        <f t="shared" si="0"/>
        <v>187927.53951961146</v>
      </c>
      <c r="G16" s="598"/>
      <c r="H16" s="591">
        <f>'Project Plan'!G22+7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Plan'!K22+7</f>
        <v>46070</v>
      </c>
      <c r="R16" s="280"/>
      <c r="S16" s="638" t="b">
        <v>0</v>
      </c>
      <c r="T16" s="53"/>
    </row>
    <row r="17" spans="2:20" s="24" customFormat="1" ht="13.2">
      <c r="B17" s="587">
        <v>4</v>
      </c>
      <c r="C17" s="670" t="s">
        <v>144</v>
      </c>
      <c r="D17" s="671"/>
      <c r="E17" s="588">
        <v>0.1</v>
      </c>
      <c r="F17" s="589">
        <f t="shared" si="0"/>
        <v>187927.53951961148</v>
      </c>
      <c r="G17" s="598"/>
      <c r="H17" s="591">
        <f>'Project Plan'!G39+7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Plan'!K39+7</f>
        <v>46098</v>
      </c>
      <c r="R17" s="280"/>
      <c r="S17" s="638" t="b">
        <v>0</v>
      </c>
      <c r="T17" s="53"/>
    </row>
    <row r="18" spans="2:20" s="24" customFormat="1" ht="13.2">
      <c r="B18" s="587">
        <v>5</v>
      </c>
      <c r="C18" s="670" t="s">
        <v>145</v>
      </c>
      <c r="D18" s="671"/>
      <c r="E18" s="588">
        <v>0.05</v>
      </c>
      <c r="F18" s="589">
        <f t="shared" si="0"/>
        <v>93963.769759805742</v>
      </c>
      <c r="G18" s="598"/>
      <c r="H18" s="591">
        <f>'Project Plan'!G50+7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Plan'!K50+7</f>
        <v>46106</v>
      </c>
      <c r="R18" s="280"/>
      <c r="S18" s="639" t="b">
        <v>0</v>
      </c>
      <c r="T18" s="53"/>
    </row>
    <row r="19" spans="2:20" s="24" customFormat="1" ht="13.2">
      <c r="B19" s="587">
        <v>6</v>
      </c>
      <c r="C19" s="670" t="s">
        <v>146</v>
      </c>
      <c r="D19" s="671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8" t="b">
        <v>0</v>
      </c>
      <c r="T19" s="53"/>
    </row>
    <row r="20" spans="2:20" s="24" customFormat="1" ht="13.2">
      <c r="B20" s="587">
        <v>7</v>
      </c>
      <c r="C20" s="672" t="s">
        <v>146</v>
      </c>
      <c r="D20" s="673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6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2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147</v>
      </c>
      <c r="C24" s="57" t="s">
        <v>148</v>
      </c>
      <c r="D24" s="57"/>
      <c r="F24" s="58"/>
      <c r="H24" s="30"/>
    </row>
    <row r="25" spans="2:20" s="24" customFormat="1" ht="13.2">
      <c r="C25" s="59" t="s">
        <v>149</v>
      </c>
      <c r="D25" s="60"/>
      <c r="F25" s="61"/>
    </row>
    <row r="26" spans="2:20" s="24" customFormat="1" ht="13.2">
      <c r="C26" s="59" t="s">
        <v>150</v>
      </c>
      <c r="D26" s="60"/>
    </row>
    <row r="27" spans="2:20" s="24" customFormat="1" ht="13.2">
      <c r="C27" s="62" t="s">
        <v>151</v>
      </c>
      <c r="D27" s="63"/>
    </row>
    <row r="28" spans="2:20" s="24" customFormat="1" ht="13.2">
      <c r="C28" s="64" t="s">
        <v>152</v>
      </c>
      <c r="D28" s="60"/>
    </row>
    <row r="29" spans="2:20" s="24" customFormat="1" ht="13.2">
      <c r="B29" s="31"/>
      <c r="C29" s="64" t="s">
        <v>153</v>
      </c>
      <c r="D29" s="60"/>
    </row>
    <row r="30" spans="2:20" s="24" customFormat="1" ht="13.2">
      <c r="B30" s="31"/>
      <c r="C30" s="24" t="s">
        <v>154</v>
      </c>
    </row>
    <row r="31" spans="2:20" s="24" customFormat="1" ht="27.75" customHeight="1">
      <c r="B31" s="31"/>
      <c r="C31" s="65" t="s">
        <v>155</v>
      </c>
      <c r="D31" s="65"/>
      <c r="F31" s="61"/>
    </row>
    <row r="32" spans="2:20" s="24" customFormat="1" ht="13.2">
      <c r="B32" s="31"/>
      <c r="F32" s="58"/>
      <c r="N32" s="541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  <c r="F35" s="58"/>
    </row>
    <row r="36" spans="2:6" s="24" customFormat="1" ht="13.2">
      <c r="B36" s="31"/>
    </row>
    <row r="37" spans="2:6" s="24" customFormat="1" ht="13.2">
      <c r="B37" s="31"/>
    </row>
    <row r="38" spans="2:6" s="24" customFormat="1" ht="13.2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130</v>
      </c>
      <c r="C41" s="47" t="s">
        <v>131</v>
      </c>
      <c r="D41" s="48"/>
      <c r="E41" s="46" t="s">
        <v>132</v>
      </c>
      <c r="F41" s="46" t="s">
        <v>133</v>
      </c>
    </row>
    <row r="42" spans="2:6" s="24" customFormat="1" ht="12.75" hidden="1" customHeight="1">
      <c r="B42" s="66">
        <v>1</v>
      </c>
      <c r="C42" s="67" t="s">
        <v>156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142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143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157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145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158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159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74"/>
      <c r="C4" s="674"/>
      <c r="D4" s="674"/>
      <c r="E4" s="313"/>
      <c r="F4" s="131" t="s">
        <v>119</v>
      </c>
      <c r="G4" s="126"/>
      <c r="H4" s="131" t="s">
        <v>120</v>
      </c>
      <c r="I4" s="126"/>
      <c r="J4" s="132" t="s">
        <v>160</v>
      </c>
      <c r="K4" s="26"/>
      <c r="L4" s="26"/>
    </row>
    <row r="5" spans="1:12" ht="14.4" thickBot="1">
      <c r="A5" s="126"/>
      <c r="B5" s="675" t="s">
        <v>161</v>
      </c>
      <c r="C5" s="675"/>
      <c r="D5" s="675"/>
      <c r="E5" s="313"/>
      <c r="F5" s="133">
        <f>SUM(F9:F23)</f>
        <v>1533654.4012312251</v>
      </c>
      <c r="G5" s="128"/>
      <c r="H5" s="133">
        <f>SUM(H9:H23)</f>
        <v>1370745.5124399513</v>
      </c>
      <c r="I5" s="126"/>
      <c r="J5" s="134">
        <f>SUM(J9:J23)</f>
        <v>162908.88879127387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162</v>
      </c>
      <c r="G7" s="139"/>
      <c r="H7" s="138" t="s">
        <v>163</v>
      </c>
      <c r="I7" s="139"/>
      <c r="J7" s="138" t="s">
        <v>164</v>
      </c>
      <c r="K7" s="84"/>
      <c r="L7" s="29" t="s">
        <v>165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161359.47</v>
      </c>
      <c r="I11" s="23"/>
      <c r="J11" s="143">
        <f t="shared" si="0"/>
        <v>-10285.470000000001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34612.339999999997</v>
      </c>
      <c r="I13" s="23"/>
      <c r="J13" s="143">
        <f t="shared" si="0"/>
        <v>14387.660000000003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19451.999999999978</v>
      </c>
      <c r="I14" s="23"/>
      <c r="J14" s="143">
        <f t="shared" si="0"/>
        <v>191813.42608695655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105855.76000000001</v>
      </c>
      <c r="I16" s="23"/>
      <c r="J16" s="143">
        <f t="shared" si="0"/>
        <v>25235.239999999991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136510</v>
      </c>
      <c r="G17" s="21"/>
      <c r="H17" s="142">
        <f>'Expenditure Breakdown'!X89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25523.90303030303</v>
      </c>
      <c r="G18" s="21"/>
      <c r="H18" s="142">
        <f>'Expenditure Breakdown'!X102</f>
        <v>14150</v>
      </c>
      <c r="I18" s="23"/>
      <c r="J18" s="143">
        <f t="shared" si="0"/>
        <v>11373.90303030303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17291.832113965746</v>
      </c>
      <c r="G21" s="21"/>
      <c r="H21" s="142">
        <f>'Expenditure Breakdown'!X127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166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M1" zoomScale="80" zoomScaleNormal="80" workbookViewId="0">
      <pane ySplit="4" topLeftCell="A115" activePane="bottomLeft" state="frozen"/>
      <selection activeCell="X33" sqref="X33"/>
      <selection pane="bottomLeft" activeCell="T14" activeCellId="2" sqref="T44 T28 T14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44140625" style="4" hidden="1" customWidth="1"/>
    <col min="5" max="5" width="13" style="6" hidden="1" customWidth="1"/>
    <col min="6" max="6" width="16.44140625" style="372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218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7" width="17.44140625" style="26" customWidth="1"/>
    <col min="18" max="18" width="37.44140625" style="27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9" t="s">
        <v>248</v>
      </c>
      <c r="C2" s="720"/>
      <c r="D2" s="720"/>
      <c r="E2" s="720"/>
      <c r="F2" s="720"/>
      <c r="G2" s="720"/>
      <c r="H2" s="395"/>
      <c r="I2" s="162">
        <f>SUM(I6:I159)</f>
        <v>1533654.4012312251</v>
      </c>
      <c r="J2" s="162">
        <f>SUM(J6:J159)</f>
        <v>1879275.3951961147</v>
      </c>
      <c r="L2" s="721" t="s">
        <v>249</v>
      </c>
      <c r="M2" s="722"/>
      <c r="N2" s="722"/>
      <c r="O2" s="722"/>
      <c r="P2" s="722"/>
      <c r="Q2" s="722"/>
      <c r="R2" s="723" t="s">
        <v>250</v>
      </c>
      <c r="S2" s="724"/>
      <c r="T2" s="724"/>
      <c r="U2" s="724"/>
      <c r="V2" s="724"/>
      <c r="W2" s="725"/>
      <c r="X2" s="162">
        <f>SUM(X6:X159)</f>
        <v>1370745.5124399513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6" t="s">
        <v>261</v>
      </c>
      <c r="S4" s="497" t="s">
        <v>135</v>
      </c>
      <c r="T4" s="520" t="s">
        <v>136</v>
      </c>
      <c r="U4" s="521" t="s">
        <v>262</v>
      </c>
      <c r="V4" s="274" t="s">
        <v>263</v>
      </c>
      <c r="W4" s="520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461648.54000000004</v>
      </c>
      <c r="H6" s="548">
        <f>'Project Plan'!E36+60</f>
        <v>46122</v>
      </c>
      <c r="I6" s="676">
        <f>SUM(G6:G11)</f>
        <v>461648.54000000004</v>
      </c>
      <c r="J6" s="679">
        <f>F160</f>
        <v>577060.67500000005</v>
      </c>
      <c r="K6" s="289"/>
      <c r="L6" s="185">
        <v>1</v>
      </c>
      <c r="M6" s="316" t="s">
        <v>267</v>
      </c>
      <c r="N6" s="186" t="s">
        <v>268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435</v>
      </c>
      <c r="T6" s="539">
        <v>46053</v>
      </c>
      <c r="U6" s="397">
        <f t="shared" ref="U6:U11" si="0">(Q6/$X$6*$J$6)</f>
        <v>577060.67500000005</v>
      </c>
      <c r="V6" s="688">
        <f>J6-SUM(U6:U11)</f>
        <v>0</v>
      </c>
      <c r="W6" s="453">
        <v>46111</v>
      </c>
      <c r="X6" s="676">
        <f>SUM(Q6:Q11)</f>
        <v>357460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39"/>
      <c r="I7" s="677"/>
      <c r="J7" s="680"/>
      <c r="K7" s="192"/>
      <c r="L7" s="215">
        <v>1</v>
      </c>
      <c r="M7" s="217" t="s">
        <v>267</v>
      </c>
      <c r="N7" s="290"/>
      <c r="O7" s="433"/>
      <c r="P7" s="627"/>
      <c r="Q7" s="219">
        <f>O7*P7</f>
        <v>0</v>
      </c>
      <c r="R7" s="470"/>
      <c r="S7" s="500"/>
      <c r="T7" s="411"/>
      <c r="U7" s="397">
        <f t="shared" si="0"/>
        <v>0</v>
      </c>
      <c r="V7" s="689"/>
      <c r="W7" s="454"/>
      <c r="X7" s="67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77"/>
      <c r="J8" s="680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89"/>
      <c r="W8" s="454"/>
      <c r="X8" s="67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77"/>
      <c r="J9" s="680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89"/>
      <c r="W9" s="455"/>
      <c r="X9" s="67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77"/>
      <c r="J10" s="680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89"/>
      <c r="W10" s="455"/>
      <c r="X10" s="67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78"/>
      <c r="J11" s="681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90"/>
      <c r="W11" s="456"/>
      <c r="X11" s="678"/>
      <c r="Y11" s="605" t="s">
        <v>270</v>
      </c>
      <c r="Z11" s="486" t="s">
        <v>271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272</v>
      </c>
      <c r="Z12" s="487">
        <f>G52</f>
        <v>211265.42608695652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140000</v>
      </c>
      <c r="H13" s="552">
        <f>'Project Plan'!E22+60</f>
        <v>46122</v>
      </c>
      <c r="I13" s="699">
        <f>SUM(G13:G19)</f>
        <v>140000</v>
      </c>
      <c r="J13" s="702">
        <f>F161</f>
        <v>175000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8"/>
      <c r="X13" s="699">
        <f>SUM(Q13:Q19)</f>
        <v>137740</v>
      </c>
      <c r="Y13" s="606" t="s">
        <v>275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0"/>
      <c r="J14" s="703"/>
      <c r="K14" s="205"/>
      <c r="L14" s="202">
        <v>2</v>
      </c>
      <c r="M14" s="325" t="s">
        <v>274</v>
      </c>
      <c r="N14" s="309" t="s">
        <v>276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435</v>
      </c>
      <c r="T14" s="543">
        <f>T6</f>
        <v>46053</v>
      </c>
      <c r="U14" s="401">
        <f t="shared" si="2"/>
        <v>175000</v>
      </c>
      <c r="V14" s="715"/>
      <c r="W14" s="459">
        <f>W6</f>
        <v>46111</v>
      </c>
      <c r="X14" s="700"/>
      <c r="Y14" s="606" t="s">
        <v>277</v>
      </c>
      <c r="Z14" s="487">
        <f>G89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0"/>
      <c r="J15" s="703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15"/>
      <c r="W15" s="459"/>
      <c r="X15" s="700"/>
      <c r="Y15" s="606" t="s">
        <v>278</v>
      </c>
      <c r="Z15" s="487">
        <f>G90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0"/>
      <c r="J16" s="703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15"/>
      <c r="W16" s="459"/>
      <c r="X16" s="700"/>
      <c r="Y16" s="606" t="s">
        <v>279</v>
      </c>
      <c r="Z16" s="487">
        <f>G102</f>
        <v>8500</v>
      </c>
    </row>
    <row r="17" spans="1:26" ht="14.25" customHeight="1">
      <c r="B17" s="202">
        <v>2</v>
      </c>
      <c r="C17" s="325"/>
      <c r="D17" s="309"/>
      <c r="E17" s="381"/>
      <c r="F17" s="351"/>
      <c r="G17" s="375"/>
      <c r="H17" s="543"/>
      <c r="I17" s="700"/>
      <c r="J17" s="703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15"/>
      <c r="W17" s="459"/>
      <c r="X17" s="700"/>
      <c r="Y17" s="606" t="s">
        <v>280</v>
      </c>
      <c r="Z17" s="487">
        <f>G103</f>
        <v>17023.90303030303</v>
      </c>
    </row>
    <row r="18" spans="1:26" ht="14.25" customHeight="1">
      <c r="B18" s="202">
        <v>2</v>
      </c>
      <c r="C18" s="325"/>
      <c r="D18" s="309"/>
      <c r="E18" s="381"/>
      <c r="F18" s="351"/>
      <c r="G18" s="375"/>
      <c r="H18" s="543"/>
      <c r="I18" s="700"/>
      <c r="J18" s="703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15"/>
      <c r="W18" s="459"/>
      <c r="X18" s="700"/>
      <c r="Y18" s="606" t="s">
        <v>281</v>
      </c>
      <c r="Z18" s="487">
        <f>G105</f>
        <v>0</v>
      </c>
    </row>
    <row r="19" spans="1:26" ht="15" customHeight="1" thickBot="1">
      <c r="B19" s="296">
        <v>2</v>
      </c>
      <c r="C19" s="297"/>
      <c r="D19" s="297"/>
      <c r="E19" s="298"/>
      <c r="F19" s="365"/>
      <c r="G19" s="299"/>
      <c r="H19" s="553"/>
      <c r="I19" s="701"/>
      <c r="J19" s="704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16"/>
      <c r="W19" s="460"/>
      <c r="X19" s="701"/>
      <c r="Y19" s="606" t="s">
        <v>282</v>
      </c>
      <c r="Z19" s="487">
        <v>0</v>
      </c>
    </row>
    <row r="20" spans="1:26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283</v>
      </c>
      <c r="Z20" s="487">
        <v>0</v>
      </c>
    </row>
    <row r="21" spans="1:26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151074</v>
      </c>
      <c r="H21" s="540">
        <f>'Project Plan'!E30+30</f>
        <v>46092</v>
      </c>
      <c r="I21" s="676">
        <f>SUM(G21:G26)</f>
        <v>151074</v>
      </c>
      <c r="J21" s="679">
        <f>F162</f>
        <v>188842.5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130360.8</v>
      </c>
      <c r="R21" s="477"/>
      <c r="S21" s="507"/>
      <c r="T21" s="604">
        <v>46081</v>
      </c>
      <c r="U21" s="397">
        <f t="shared" ref="U21:U26" si="3">(Q21/$X$21*$J$21)</f>
        <v>152564.0817610519</v>
      </c>
      <c r="V21" s="688">
        <f>J21-SUM(U21:U26)</f>
        <v>0</v>
      </c>
      <c r="W21" s="461">
        <f>T21+30</f>
        <v>46111</v>
      </c>
      <c r="X21" s="676">
        <f>SUM(Q21:Q26)</f>
        <v>161359.47</v>
      </c>
      <c r="Y21" s="606" t="s">
        <v>288</v>
      </c>
      <c r="Z21" s="489">
        <v>0</v>
      </c>
    </row>
    <row r="22" spans="1:26" ht="14.25" customHeight="1">
      <c r="B22" s="215">
        <v>3</v>
      </c>
      <c r="C22" s="216"/>
      <c r="D22" s="232"/>
      <c r="E22" s="218"/>
      <c r="F22" s="357"/>
      <c r="G22" s="219"/>
      <c r="H22" s="539"/>
      <c r="I22" s="677"/>
      <c r="J22" s="680"/>
      <c r="K22" s="192"/>
      <c r="L22" s="215">
        <v>3</v>
      </c>
      <c r="M22" s="322" t="s">
        <v>286</v>
      </c>
      <c r="N22" s="232" t="s">
        <v>289</v>
      </c>
      <c r="O22" s="433">
        <v>65</v>
      </c>
      <c r="P22" s="357">
        <v>31.54</v>
      </c>
      <c r="Q22" s="219">
        <v>2050.1</v>
      </c>
      <c r="R22" s="470" t="s">
        <v>290</v>
      </c>
      <c r="S22" s="500" t="s">
        <v>290</v>
      </c>
      <c r="T22" s="630">
        <v>46053</v>
      </c>
      <c r="U22" s="397">
        <f t="shared" si="3"/>
        <v>2399.2766538586175</v>
      </c>
      <c r="V22" s="689"/>
      <c r="W22" s="631">
        <v>46053</v>
      </c>
      <c r="X22" s="677"/>
      <c r="Y22" s="606" t="s">
        <v>158</v>
      </c>
      <c r="Z22" s="487">
        <f>SUM(Z12:Z21)</f>
        <v>453242.02911725955</v>
      </c>
    </row>
    <row r="23" spans="1:26" ht="14.25" customHeight="1">
      <c r="B23" s="215">
        <v>3</v>
      </c>
      <c r="C23" s="216"/>
      <c r="D23" s="232"/>
      <c r="E23" s="218"/>
      <c r="F23" s="357"/>
      <c r="G23" s="219"/>
      <c r="H23" s="539"/>
      <c r="I23" s="677"/>
      <c r="J23" s="680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0"/>
      <c r="T23" s="411" t="str">
        <f t="shared" si="1"/>
        <v/>
      </c>
      <c r="U23" s="397">
        <f t="shared" si="3"/>
        <v>0</v>
      </c>
      <c r="V23" s="689"/>
      <c r="W23" s="454"/>
      <c r="X23" s="677"/>
      <c r="Y23" s="606" t="s">
        <v>291</v>
      </c>
      <c r="Z23" s="490">
        <f>+Z22*0.85</f>
        <v>385255.7247496706</v>
      </c>
    </row>
    <row r="24" spans="1:26" ht="14.25" customHeight="1">
      <c r="B24" s="215">
        <v>3</v>
      </c>
      <c r="C24" s="285"/>
      <c r="D24" s="286"/>
      <c r="E24" s="307"/>
      <c r="F24" s="343"/>
      <c r="G24" s="287"/>
      <c r="H24" s="549"/>
      <c r="I24" s="677"/>
      <c r="J24" s="680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1"/>
      <c r="T24" s="412" t="str">
        <f t="shared" si="1"/>
        <v/>
      </c>
      <c r="U24" s="397">
        <f t="shared" si="3"/>
        <v>0</v>
      </c>
      <c r="V24" s="689"/>
      <c r="W24" s="455"/>
      <c r="X24" s="677"/>
      <c r="Y24" s="607" t="s">
        <v>292</v>
      </c>
      <c r="Z24" s="489">
        <f>Z23/'Project Plan'!$E$3/1000</f>
        <v>2.1643580042116328</v>
      </c>
    </row>
    <row r="25" spans="1:26" ht="14.25" customHeight="1">
      <c r="B25" s="215">
        <v>3</v>
      </c>
      <c r="C25" s="285"/>
      <c r="D25" s="286"/>
      <c r="E25" s="307"/>
      <c r="F25" s="343"/>
      <c r="G25" s="287"/>
      <c r="H25" s="549"/>
      <c r="I25" s="677"/>
      <c r="J25" s="680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689"/>
      <c r="W25" s="455"/>
      <c r="X25" s="677"/>
    </row>
    <row r="26" spans="1:26" ht="15" customHeight="1" thickBot="1">
      <c r="B26" s="220">
        <v>3</v>
      </c>
      <c r="C26" s="241"/>
      <c r="D26" s="233"/>
      <c r="E26" s="222"/>
      <c r="F26" s="358"/>
      <c r="G26" s="234"/>
      <c r="H26" s="550"/>
      <c r="I26" s="678"/>
      <c r="J26" s="681"/>
      <c r="K26" s="193"/>
      <c r="L26" s="220">
        <v>3</v>
      </c>
      <c r="M26" s="323" t="s">
        <v>286</v>
      </c>
      <c r="N26" s="233" t="s">
        <v>432</v>
      </c>
      <c r="O26" s="435"/>
      <c r="P26" s="358"/>
      <c r="Q26" s="234">
        <v>28948.57</v>
      </c>
      <c r="R26" s="472" t="s">
        <v>433</v>
      </c>
      <c r="S26" s="502" t="s">
        <v>434</v>
      </c>
      <c r="T26" s="550">
        <v>46053</v>
      </c>
      <c r="U26" s="398">
        <f t="shared" si="3"/>
        <v>33879.141585089485</v>
      </c>
      <c r="V26" s="690"/>
      <c r="W26" s="456">
        <v>46058</v>
      </c>
      <c r="X26" s="678"/>
      <c r="Y26" s="608" t="s">
        <v>120</v>
      </c>
      <c r="Z26" s="491" t="s">
        <v>428</v>
      </c>
    </row>
    <row r="27" spans="1:26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6" ht="14.25" customHeight="1">
      <c r="B28" s="197">
        <v>4</v>
      </c>
      <c r="C28" s="198" t="s">
        <v>275</v>
      </c>
      <c r="D28" s="198" t="s">
        <v>293</v>
      </c>
      <c r="E28" s="268">
        <v>2813</v>
      </c>
      <c r="F28" s="355"/>
      <c r="G28" s="200">
        <v>39382</v>
      </c>
      <c r="H28" s="552">
        <f>'Project Plan'!E32+60</f>
        <v>46122</v>
      </c>
      <c r="I28" s="699">
        <f>SUM(G28:G42)</f>
        <v>119324.7</v>
      </c>
      <c r="J28" s="702">
        <f>F163</f>
        <v>149155.875</v>
      </c>
      <c r="K28" s="201"/>
      <c r="L28" s="197">
        <v>4</v>
      </c>
      <c r="M28" s="324" t="s">
        <v>294</v>
      </c>
      <c r="N28" s="198" t="s">
        <v>295</v>
      </c>
      <c r="O28" s="429">
        <v>4000</v>
      </c>
      <c r="P28" s="355">
        <v>14</v>
      </c>
      <c r="Q28" s="200">
        <f>O28*P28</f>
        <v>56000</v>
      </c>
      <c r="R28" s="474"/>
      <c r="S28" s="504" t="s">
        <v>435</v>
      </c>
      <c r="T28" s="552">
        <v>46053</v>
      </c>
      <c r="U28" s="401">
        <f t="shared" ref="U28:U41" si="4">(Q28/$X$28*$J$28)</f>
        <v>66529.10394265232</v>
      </c>
      <c r="V28" s="714">
        <f>J28-SUM(U28:U42)</f>
        <v>0</v>
      </c>
      <c r="W28" s="458">
        <f>W6</f>
        <v>46111</v>
      </c>
      <c r="X28" s="699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6" ht="14.25" customHeight="1">
      <c r="B29" s="224">
        <v>4</v>
      </c>
      <c r="C29" s="309"/>
      <c r="D29" s="309" t="s">
        <v>296</v>
      </c>
      <c r="E29" s="295"/>
      <c r="F29" s="351"/>
      <c r="G29" s="516">
        <f>D163-G28</f>
        <v>79942.7</v>
      </c>
      <c r="H29" s="543">
        <f>'Project Plan'!G28</f>
        <v>46080</v>
      </c>
      <c r="I29" s="700"/>
      <c r="J29" s="703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15"/>
      <c r="W29" s="459"/>
      <c r="X29" s="700"/>
      <c r="Y29" s="609" t="str">
        <f t="shared" si="5"/>
        <v>AC Labour</v>
      </c>
      <c r="Z29" s="492">
        <v>48000</v>
      </c>
    </row>
    <row r="30" spans="1:26" ht="14.25" customHeight="1">
      <c r="B30" s="224">
        <v>4</v>
      </c>
      <c r="C30" s="309"/>
      <c r="D30" s="309"/>
      <c r="E30" s="295"/>
      <c r="F30" s="351"/>
      <c r="G30" s="204"/>
      <c r="H30" s="543"/>
      <c r="I30" s="700"/>
      <c r="J30" s="703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15"/>
      <c r="W30" s="459"/>
      <c r="X30" s="700"/>
      <c r="Y30" s="609" t="str">
        <f t="shared" si="5"/>
        <v>DC Labour</v>
      </c>
      <c r="Z30" s="492">
        <v>104000</v>
      </c>
    </row>
    <row r="31" spans="1:26" ht="14.25" customHeight="1">
      <c r="B31" s="224">
        <v>4</v>
      </c>
      <c r="C31" s="309"/>
      <c r="D31" s="309"/>
      <c r="E31" s="295"/>
      <c r="F31" s="351"/>
      <c r="G31" s="204"/>
      <c r="H31" s="543"/>
      <c r="I31" s="700"/>
      <c r="J31" s="703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15"/>
      <c r="W31" s="459"/>
      <c r="X31" s="700"/>
      <c r="Y31" s="609" t="s">
        <v>297</v>
      </c>
      <c r="Z31" s="492">
        <v>0</v>
      </c>
    </row>
    <row r="32" spans="1:26" ht="14.25" customHeight="1">
      <c r="B32" s="224">
        <v>4</v>
      </c>
      <c r="C32" s="309"/>
      <c r="D32" s="309"/>
      <c r="E32" s="295"/>
      <c r="F32" s="351"/>
      <c r="G32" s="204"/>
      <c r="H32" s="543"/>
      <c r="I32" s="700"/>
      <c r="J32" s="703"/>
      <c r="K32" s="205"/>
      <c r="L32" s="202">
        <v>4</v>
      </c>
      <c r="M32" s="325" t="s">
        <v>294</v>
      </c>
      <c r="N32" s="309" t="s">
        <v>298</v>
      </c>
      <c r="O32" s="447">
        <f>Z28</f>
        <v>69550</v>
      </c>
      <c r="P32" s="448">
        <v>0.1</v>
      </c>
      <c r="Q32" s="204">
        <f>$O$32*P32</f>
        <v>6955</v>
      </c>
      <c r="R32" s="717"/>
      <c r="S32" s="505"/>
      <c r="T32" s="416">
        <f>T90</f>
        <v>46081</v>
      </c>
      <c r="U32" s="401">
        <f t="shared" si="4"/>
        <v>8262.6771057347669</v>
      </c>
      <c r="V32" s="715"/>
      <c r="W32" s="459">
        <f>W90</f>
        <v>46062</v>
      </c>
      <c r="X32" s="700"/>
      <c r="Y32" s="609" t="s">
        <v>299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0"/>
      <c r="J33" s="703"/>
      <c r="K33" s="205"/>
      <c r="L33" s="202">
        <v>4</v>
      </c>
      <c r="M33" s="325" t="s">
        <v>294</v>
      </c>
      <c r="N33" s="309" t="s">
        <v>203</v>
      </c>
      <c r="O33" s="438"/>
      <c r="P33" s="448">
        <v>0.15</v>
      </c>
      <c r="Q33" s="204">
        <f t="shared" ref="Q33:Q39" si="6">$O$32*P33</f>
        <v>10432.5</v>
      </c>
      <c r="R33" s="729"/>
      <c r="S33" s="505"/>
      <c r="T33" s="416">
        <f t="shared" ref="T33:T39" si="7">T91</f>
        <v>46081</v>
      </c>
      <c r="U33" s="401">
        <f t="shared" si="4"/>
        <v>12394.015658602149</v>
      </c>
      <c r="V33" s="715"/>
      <c r="W33" s="459">
        <f t="shared" ref="W33:W39" si="8">W91</f>
        <v>46062</v>
      </c>
      <c r="X33" s="700"/>
      <c r="Y33" s="609" t="s">
        <v>300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0"/>
      <c r="J34" s="703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6"/>
        <v>13910</v>
      </c>
      <c r="R34" s="729"/>
      <c r="S34" s="505"/>
      <c r="T34" s="416">
        <f t="shared" si="7"/>
        <v>46081</v>
      </c>
      <c r="U34" s="401">
        <f t="shared" si="4"/>
        <v>16525.354211469534</v>
      </c>
      <c r="V34" s="715"/>
      <c r="W34" s="459">
        <f t="shared" si="8"/>
        <v>46077</v>
      </c>
      <c r="X34" s="700"/>
      <c r="Y34" s="609" t="s">
        <v>302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0"/>
      <c r="J35" s="703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6"/>
        <v>17387.5</v>
      </c>
      <c r="R35" s="729"/>
      <c r="S35" s="505"/>
      <c r="T35" s="416">
        <f t="shared" si="7"/>
        <v>46112</v>
      </c>
      <c r="U35" s="401">
        <f t="shared" si="4"/>
        <v>20656.692764336916</v>
      </c>
      <c r="V35" s="715"/>
      <c r="W35" s="459">
        <f t="shared" si="8"/>
        <v>46087</v>
      </c>
      <c r="X35" s="700"/>
      <c r="Y35" s="609" t="s">
        <v>426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0"/>
      <c r="J36" s="703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6"/>
        <v>6955</v>
      </c>
      <c r="R36" s="729"/>
      <c r="S36" s="505"/>
      <c r="T36" s="416">
        <f t="shared" si="7"/>
        <v>46112</v>
      </c>
      <c r="U36" s="401">
        <f t="shared" si="4"/>
        <v>8262.6771057347669</v>
      </c>
      <c r="V36" s="715"/>
      <c r="W36" s="459">
        <f t="shared" si="8"/>
        <v>46098</v>
      </c>
      <c r="X36" s="700"/>
      <c r="Y36" s="609" t="s">
        <v>427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0"/>
      <c r="J37" s="703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6"/>
        <v>6955</v>
      </c>
      <c r="R37" s="729"/>
      <c r="S37" s="505"/>
      <c r="T37" s="416">
        <f t="shared" si="7"/>
        <v>46112</v>
      </c>
      <c r="U37" s="401">
        <f t="shared" si="4"/>
        <v>8262.6771057347669</v>
      </c>
      <c r="V37" s="715"/>
      <c r="W37" s="459">
        <f t="shared" si="8"/>
        <v>46099</v>
      </c>
      <c r="X37" s="700"/>
      <c r="Y37" s="609" t="s">
        <v>288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0"/>
      <c r="J38" s="703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6"/>
        <v>3477.5</v>
      </c>
      <c r="R38" s="729"/>
      <c r="S38" s="505"/>
      <c r="T38" s="416">
        <f t="shared" si="7"/>
        <v>46112</v>
      </c>
      <c r="U38" s="401">
        <f t="shared" si="4"/>
        <v>4131.3385528673834</v>
      </c>
      <c r="V38" s="715"/>
      <c r="W38" s="459">
        <f t="shared" si="8"/>
        <v>46099</v>
      </c>
      <c r="X38" s="700"/>
      <c r="Y38" s="609" t="s">
        <v>158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0"/>
      <c r="J39" s="703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6"/>
        <v>3477.5</v>
      </c>
      <c r="R39" s="718"/>
      <c r="S39" s="505"/>
      <c r="T39" s="416">
        <f t="shared" si="7"/>
        <v>46142</v>
      </c>
      <c r="U39" s="401">
        <f t="shared" si="4"/>
        <v>4131.3385528673834</v>
      </c>
      <c r="V39" s="715"/>
      <c r="W39" s="459">
        <f t="shared" si="8"/>
        <v>46122</v>
      </c>
      <c r="X39" s="700"/>
      <c r="Y39" s="610" t="s">
        <v>292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0"/>
      <c r="J40" s="703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15"/>
      <c r="W40" s="459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0"/>
      <c r="J41" s="703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15"/>
      <c r="W41" s="459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1"/>
      <c r="J42" s="704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16"/>
      <c r="W42" s="460"/>
      <c r="X42" s="701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0">
        <f>H52</f>
        <v>46095</v>
      </c>
      <c r="I44" s="676">
        <f>D165</f>
        <v>49000</v>
      </c>
      <c r="J44" s="679">
        <f>F165</f>
        <v>61250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8598.34</v>
      </c>
      <c r="R44" s="477"/>
      <c r="S44" s="507" t="s">
        <v>435</v>
      </c>
      <c r="T44" s="539">
        <f>T14</f>
        <v>46053</v>
      </c>
      <c r="U44" s="396">
        <f>(Q44/$X$44*$J$44)</f>
        <v>15215.62324303991</v>
      </c>
      <c r="V44" s="688">
        <f>J44-SUM(U44:U50)</f>
        <v>0</v>
      </c>
      <c r="W44" s="461">
        <f>W14</f>
        <v>46111</v>
      </c>
      <c r="X44" s="676">
        <f>SUM(Q44:Q50)</f>
        <v>34612.339999999997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39">
        <f>H44</f>
        <v>46095</v>
      </c>
      <c r="I45" s="677"/>
      <c r="J45" s="680"/>
      <c r="K45" s="192"/>
      <c r="L45" s="190">
        <v>5</v>
      </c>
      <c r="M45" s="327" t="s">
        <v>310</v>
      </c>
      <c r="N45" s="191" t="s">
        <v>312</v>
      </c>
      <c r="O45" s="440"/>
      <c r="P45" s="350"/>
      <c r="Q45" s="219">
        <v>11014</v>
      </c>
      <c r="R45" s="470" t="s">
        <v>429</v>
      </c>
      <c r="S45" s="500"/>
      <c r="T45" s="411">
        <v>46081</v>
      </c>
      <c r="U45" s="396">
        <f t="shared" ref="U45:U50" si="9">(Q45/$X$44*$J$44)</f>
        <v>19490.375397907221</v>
      </c>
      <c r="V45" s="689"/>
      <c r="W45" s="454">
        <f>T45+30</f>
        <v>46111</v>
      </c>
      <c r="X45" s="677"/>
    </row>
    <row r="46" spans="1:26" ht="14.25" customHeight="1">
      <c r="B46" s="190">
        <v>5</v>
      </c>
      <c r="C46" s="214"/>
      <c r="D46" s="288" t="s">
        <v>313</v>
      </c>
      <c r="E46" s="218"/>
      <c r="F46" s="357"/>
      <c r="G46" s="219">
        <v>15000</v>
      </c>
      <c r="H46" s="539">
        <f>H45</f>
        <v>46095</v>
      </c>
      <c r="I46" s="677"/>
      <c r="J46" s="680"/>
      <c r="K46" s="192"/>
      <c r="L46" s="190">
        <v>5</v>
      </c>
      <c r="M46" s="327" t="s">
        <v>310</v>
      </c>
      <c r="N46" s="217" t="s">
        <v>313</v>
      </c>
      <c r="O46" s="433"/>
      <c r="P46" s="357"/>
      <c r="Q46" s="219">
        <v>15000</v>
      </c>
      <c r="R46" s="470"/>
      <c r="S46" s="500"/>
      <c r="T46" s="411">
        <f t="shared" si="1"/>
        <v>46112</v>
      </c>
      <c r="U46" s="396">
        <f t="shared" si="9"/>
        <v>26544.001359052872</v>
      </c>
      <c r="V46" s="689"/>
      <c r="W46" s="454">
        <f>W45</f>
        <v>46111</v>
      </c>
      <c r="X46" s="67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77"/>
      <c r="J47" s="680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689"/>
      <c r="W47" s="454"/>
      <c r="X47" s="67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77"/>
      <c r="J48" s="680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689"/>
      <c r="W48" s="455"/>
      <c r="X48" s="67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77"/>
      <c r="J49" s="680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689"/>
      <c r="W49" s="455"/>
      <c r="X49" s="67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78"/>
      <c r="J50" s="681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690"/>
      <c r="W50" s="456"/>
      <c r="X50" s="678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211265.42608695652</v>
      </c>
      <c r="H52" s="552">
        <f>'Project Plan'!G24+30</f>
        <v>46095</v>
      </c>
      <c r="I52" s="699">
        <f>SUM(G52:G68)</f>
        <v>211265.42608695652</v>
      </c>
      <c r="J52" s="702">
        <f>F164</f>
        <v>264081.78260869568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14">
        <f>J52-SUM(U52:U68)</f>
        <v>0</v>
      </c>
      <c r="W52" s="458"/>
      <c r="X52" s="699">
        <f>SUM(Q52:Q68)</f>
        <v>19451.999999999978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0"/>
      <c r="J53" s="703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89859.36</v>
      </c>
      <c r="R53" s="475" t="s">
        <v>316</v>
      </c>
      <c r="S53" s="505"/>
      <c r="T53" s="416">
        <v>46081</v>
      </c>
      <c r="U53" s="401">
        <f t="shared" si="10"/>
        <v>1219937.2801190906</v>
      </c>
      <c r="V53" s="715"/>
      <c r="W53" s="459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0"/>
      <c r="J54" s="703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15"/>
      <c r="W54" s="459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0"/>
      <c r="J55" s="703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15"/>
      <c r="W55" s="459"/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0"/>
      <c r="J56" s="703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15"/>
      <c r="W56" s="459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0"/>
      <c r="J57" s="703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15"/>
      <c r="W57" s="459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0"/>
      <c r="J58" s="703"/>
      <c r="K58" s="205"/>
      <c r="L58" s="202">
        <v>6</v>
      </c>
      <c r="M58" s="328" t="s">
        <v>315</v>
      </c>
      <c r="N58" s="309" t="s">
        <v>298</v>
      </c>
      <c r="O58" s="447">
        <f>Z27-Q53</f>
        <v>-70407.360000000001</v>
      </c>
      <c r="P58" s="448">
        <v>0.1</v>
      </c>
      <c r="Q58" s="204">
        <f>$O$58*P58</f>
        <v>-7040.7360000000008</v>
      </c>
      <c r="R58" s="717"/>
      <c r="S58" s="505"/>
      <c r="T58" s="419">
        <f>T90</f>
        <v>46081</v>
      </c>
      <c r="U58" s="401">
        <f t="shared" si="10"/>
        <v>-95585.549751039478</v>
      </c>
      <c r="V58" s="715"/>
      <c r="W58" s="459">
        <f>W90</f>
        <v>46062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0"/>
      <c r="J59" s="703"/>
      <c r="K59" s="205"/>
      <c r="L59" s="202">
        <v>6</v>
      </c>
      <c r="M59" s="329" t="s">
        <v>315</v>
      </c>
      <c r="N59" s="309" t="s">
        <v>203</v>
      </c>
      <c r="O59" s="438"/>
      <c r="P59" s="448">
        <v>0.15</v>
      </c>
      <c r="Q59" s="204">
        <f t="shared" ref="Q59:Q65" si="11">$O$58*P59</f>
        <v>-10561.103999999999</v>
      </c>
      <c r="R59" s="729"/>
      <c r="S59" s="505"/>
      <c r="T59" s="419">
        <f t="shared" si="1"/>
        <v>46081</v>
      </c>
      <c r="U59" s="401">
        <f t="shared" si="10"/>
        <v>-143378.32462655919</v>
      </c>
      <c r="V59" s="715"/>
      <c r="W59" s="459">
        <f t="shared" ref="W59:W65" si="12">W91</f>
        <v>46062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0"/>
      <c r="J60" s="703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1"/>
        <v>-14081.472000000002</v>
      </c>
      <c r="R60" s="729"/>
      <c r="S60" s="505"/>
      <c r="T60" s="419">
        <f t="shared" si="1"/>
        <v>46081</v>
      </c>
      <c r="U60" s="401">
        <f t="shared" si="10"/>
        <v>-191171.09950207896</v>
      </c>
      <c r="V60" s="715"/>
      <c r="W60" s="459">
        <f t="shared" si="12"/>
        <v>46077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0"/>
      <c r="J61" s="703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1"/>
        <v>-17601.84</v>
      </c>
      <c r="R61" s="729"/>
      <c r="S61" s="505"/>
      <c r="T61" s="419">
        <f t="shared" si="1"/>
        <v>46112</v>
      </c>
      <c r="U61" s="401">
        <f t="shared" si="10"/>
        <v>-238963.87437759864</v>
      </c>
      <c r="V61" s="715"/>
      <c r="W61" s="459">
        <f t="shared" si="12"/>
        <v>46087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0"/>
      <c r="J62" s="703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1"/>
        <v>-7040.7360000000008</v>
      </c>
      <c r="R62" s="729"/>
      <c r="S62" s="505"/>
      <c r="T62" s="419">
        <f t="shared" si="1"/>
        <v>46112</v>
      </c>
      <c r="U62" s="401">
        <f t="shared" si="10"/>
        <v>-95585.549751039478</v>
      </c>
      <c r="V62" s="715"/>
      <c r="W62" s="459">
        <f t="shared" si="12"/>
        <v>46098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0"/>
      <c r="J63" s="703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1"/>
        <v>-7040.7360000000008</v>
      </c>
      <c r="R63" s="729"/>
      <c r="S63" s="509"/>
      <c r="T63" s="419">
        <f t="shared" si="1"/>
        <v>46112</v>
      </c>
      <c r="U63" s="406">
        <f t="shared" si="10"/>
        <v>-95585.549751039478</v>
      </c>
      <c r="V63" s="715"/>
      <c r="W63" s="459">
        <f t="shared" si="12"/>
        <v>46099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0"/>
      <c r="J64" s="703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1"/>
        <v>-3520.3680000000004</v>
      </c>
      <c r="R64" s="729"/>
      <c r="S64" s="509"/>
      <c r="T64" s="419">
        <f t="shared" si="1"/>
        <v>46112</v>
      </c>
      <c r="U64" s="406">
        <f t="shared" si="10"/>
        <v>-47792.774875519739</v>
      </c>
      <c r="V64" s="715"/>
      <c r="W64" s="459">
        <f t="shared" si="12"/>
        <v>46099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0"/>
      <c r="J65" s="703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1"/>
        <v>-3520.3680000000004</v>
      </c>
      <c r="R65" s="718"/>
      <c r="S65" s="509"/>
      <c r="T65" s="419">
        <f t="shared" si="1"/>
        <v>46142</v>
      </c>
      <c r="U65" s="406">
        <f t="shared" si="10"/>
        <v>-47792.774875519739</v>
      </c>
      <c r="V65" s="715"/>
      <c r="W65" s="459">
        <f t="shared" si="12"/>
        <v>46122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0"/>
      <c r="J66" s="703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15"/>
      <c r="W66" s="462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0"/>
      <c r="J67" s="703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15"/>
      <c r="W67" s="462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1"/>
      <c r="J68" s="704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16"/>
      <c r="W68" s="460"/>
      <c r="X68" s="701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317</v>
      </c>
      <c r="D70" s="282"/>
      <c r="E70" s="360"/>
      <c r="F70" s="366"/>
      <c r="G70" s="283"/>
      <c r="H70" s="556"/>
      <c r="I70" s="676">
        <f>SUM(G70:G77)</f>
        <v>0</v>
      </c>
      <c r="J70" s="679">
        <v>0</v>
      </c>
      <c r="K70" s="189"/>
      <c r="L70" s="281">
        <v>7</v>
      </c>
      <c r="M70" s="213" t="s">
        <v>318</v>
      </c>
      <c r="N70" s="282"/>
      <c r="O70" s="360"/>
      <c r="P70" s="366"/>
      <c r="Q70" s="283"/>
      <c r="R70" s="481"/>
      <c r="S70" s="511"/>
      <c r="T70" s="421" t="str">
        <f t="shared" ref="T70:T133" si="13">IF(W70&gt;1,EOMONTH(W70,0),"")</f>
        <v/>
      </c>
      <c r="U70" s="523"/>
      <c r="V70" s="726">
        <f>J70-SUM(U70:U77)</f>
        <v>0</v>
      </c>
      <c r="W70" s="464"/>
      <c r="X70" s="67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77"/>
      <c r="J71" s="680"/>
      <c r="K71" s="192"/>
      <c r="L71" s="284">
        <v>7</v>
      </c>
      <c r="M71" s="285" t="s">
        <v>318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727"/>
      <c r="W71" s="455"/>
      <c r="X71" s="67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77"/>
      <c r="J72" s="680"/>
      <c r="K72" s="192"/>
      <c r="L72" s="284">
        <v>7</v>
      </c>
      <c r="M72" s="285" t="s">
        <v>318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727"/>
      <c r="W72" s="455"/>
      <c r="X72" s="67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77"/>
      <c r="J73" s="680"/>
      <c r="K73" s="192"/>
      <c r="L73" s="284">
        <v>7</v>
      </c>
      <c r="M73" s="285" t="s">
        <v>318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727"/>
      <c r="W73" s="455"/>
      <c r="X73" s="67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77"/>
      <c r="J74" s="680"/>
      <c r="K74" s="192"/>
      <c r="L74" s="284">
        <v>7</v>
      </c>
      <c r="M74" s="285" t="s">
        <v>318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727"/>
      <c r="W74" s="455"/>
      <c r="X74" s="67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77"/>
      <c r="J75" s="680"/>
      <c r="K75" s="192"/>
      <c r="L75" s="284">
        <v>7</v>
      </c>
      <c r="M75" s="285" t="s">
        <v>318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727"/>
      <c r="W75" s="455"/>
      <c r="X75" s="67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77"/>
      <c r="J76" s="680"/>
      <c r="K76" s="192"/>
      <c r="L76" s="284">
        <v>7</v>
      </c>
      <c r="M76" s="285" t="s">
        <v>318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727"/>
      <c r="W76" s="455"/>
      <c r="X76" s="67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78"/>
      <c r="J77" s="681"/>
      <c r="K77" s="193"/>
      <c r="L77" s="220">
        <v>7</v>
      </c>
      <c r="M77" s="241" t="s">
        <v>318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28"/>
      <c r="W77" s="456"/>
      <c r="X77" s="678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319</v>
      </c>
      <c r="D79" s="237" t="s">
        <v>320</v>
      </c>
      <c r="E79" s="361"/>
      <c r="F79" s="315"/>
      <c r="G79" s="238">
        <v>28591</v>
      </c>
      <c r="H79" s="552">
        <f>H89</f>
        <v>46077</v>
      </c>
      <c r="I79" s="699">
        <f>SUM(G79:G87)</f>
        <v>131091</v>
      </c>
      <c r="J79" s="702">
        <f>F168+F169+F183</f>
        <v>163169.30555555556</v>
      </c>
      <c r="K79" s="201"/>
      <c r="L79" s="236">
        <v>8</v>
      </c>
      <c r="M79" s="324" t="s">
        <v>321</v>
      </c>
      <c r="N79" s="237" t="s">
        <v>320</v>
      </c>
      <c r="O79" s="361"/>
      <c r="P79" s="633"/>
      <c r="Q79" s="238">
        <v>28591</v>
      </c>
      <c r="R79" s="474"/>
      <c r="S79" s="504"/>
      <c r="T79" s="415">
        <v>46081</v>
      </c>
      <c r="U79" s="400">
        <f>(Q79/$X$79*$J$79)</f>
        <v>44071.04171883408</v>
      </c>
      <c r="V79" s="708">
        <f>J79-SUM(U79:U87)</f>
        <v>0</v>
      </c>
      <c r="W79" s="458">
        <f>T79+14</f>
        <v>46095</v>
      </c>
      <c r="X79" s="699">
        <f>SUM(Q79:Q87)</f>
        <v>105855.76000000001</v>
      </c>
    </row>
    <row r="80" spans="1:24" ht="14.25" customHeight="1">
      <c r="B80" s="226">
        <v>8</v>
      </c>
      <c r="C80" s="227"/>
      <c r="D80" s="239" t="s">
        <v>322</v>
      </c>
      <c r="E80" s="314"/>
      <c r="F80" s="359"/>
      <c r="G80" s="228">
        <v>87500</v>
      </c>
      <c r="H80" s="543">
        <f>H79</f>
        <v>46077</v>
      </c>
      <c r="I80" s="700"/>
      <c r="J80" s="703"/>
      <c r="K80" s="205"/>
      <c r="L80" s="226">
        <v>8</v>
      </c>
      <c r="M80" s="332" t="s">
        <v>321</v>
      </c>
      <c r="N80" s="239" t="s">
        <v>323</v>
      </c>
      <c r="O80" s="635">
        <v>62264.76</v>
      </c>
      <c r="P80" s="531">
        <v>0.5</v>
      </c>
      <c r="Q80" s="228">
        <f>O80*P80</f>
        <v>31132.38</v>
      </c>
      <c r="R80" s="717" t="s">
        <v>324</v>
      </c>
      <c r="S80" s="505" t="s">
        <v>325</v>
      </c>
      <c r="T80" s="543">
        <v>46053</v>
      </c>
      <c r="U80" s="401">
        <f t="shared" ref="U80:U87" si="14">(Q80/$X$79*$J$79)</f>
        <v>47988.402566772624</v>
      </c>
      <c r="V80" s="709"/>
      <c r="W80" s="458">
        <v>46051</v>
      </c>
      <c r="X80" s="700"/>
    </row>
    <row r="81" spans="1:24" ht="14.25" customHeight="1">
      <c r="B81" s="226">
        <v>8</v>
      </c>
      <c r="C81" s="227"/>
      <c r="D81" s="239" t="s">
        <v>326</v>
      </c>
      <c r="E81" s="314"/>
      <c r="F81" s="359"/>
      <c r="G81" s="228">
        <f>D183</f>
        <v>5000</v>
      </c>
      <c r="H81" s="543">
        <v>46081</v>
      </c>
      <c r="I81" s="700"/>
      <c r="J81" s="703"/>
      <c r="K81" s="205"/>
      <c r="L81" s="226">
        <v>8</v>
      </c>
      <c r="M81" s="332" t="s">
        <v>321</v>
      </c>
      <c r="N81" s="239" t="s">
        <v>327</v>
      </c>
      <c r="O81" s="314"/>
      <c r="P81" s="531">
        <v>0.5</v>
      </c>
      <c r="Q81" s="228">
        <f>O80*P81</f>
        <v>31132.38</v>
      </c>
      <c r="R81" s="718"/>
      <c r="S81" s="505" t="s">
        <v>325</v>
      </c>
      <c r="T81" s="543">
        <v>46053</v>
      </c>
      <c r="U81" s="401">
        <f t="shared" si="14"/>
        <v>47988.402566772624</v>
      </c>
      <c r="V81" s="709"/>
      <c r="W81" s="458">
        <f>W80+14</f>
        <v>46065</v>
      </c>
      <c r="X81" s="700"/>
    </row>
    <row r="82" spans="1:24" ht="14.25" customHeight="1">
      <c r="B82" s="226">
        <v>8</v>
      </c>
      <c r="C82" s="227"/>
      <c r="D82" s="239" t="s">
        <v>328</v>
      </c>
      <c r="E82" s="314"/>
      <c r="F82" s="359"/>
      <c r="G82" s="228">
        <v>10000</v>
      </c>
      <c r="H82" s="543">
        <v>46081</v>
      </c>
      <c r="I82" s="700"/>
      <c r="J82" s="703"/>
      <c r="K82" s="205"/>
      <c r="L82" s="226">
        <v>8</v>
      </c>
      <c r="M82" s="332" t="s">
        <v>321</v>
      </c>
      <c r="N82" s="239" t="s">
        <v>326</v>
      </c>
      <c r="O82" s="314"/>
      <c r="P82" s="531"/>
      <c r="Q82" s="228">
        <v>5000</v>
      </c>
      <c r="R82" s="475"/>
      <c r="S82" s="505"/>
      <c r="T82" s="416">
        <v>46111</v>
      </c>
      <c r="U82" s="401">
        <f t="shared" si="14"/>
        <v>7707.1529010587401</v>
      </c>
      <c r="V82" s="709"/>
      <c r="W82" s="458">
        <f>T82+14</f>
        <v>46125</v>
      </c>
      <c r="X82" s="70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0"/>
      <c r="J83" s="703"/>
      <c r="K83" s="205"/>
      <c r="L83" s="226">
        <v>8</v>
      </c>
      <c r="M83" s="332" t="s">
        <v>321</v>
      </c>
      <c r="N83" s="239" t="s">
        <v>430</v>
      </c>
      <c r="O83" s="314"/>
      <c r="P83" s="531"/>
      <c r="Q83" s="228">
        <v>10000</v>
      </c>
      <c r="R83" s="475"/>
      <c r="S83" s="505"/>
      <c r="T83" s="416">
        <v>46111</v>
      </c>
      <c r="U83" s="401">
        <f t="shared" si="14"/>
        <v>15414.30580211748</v>
      </c>
      <c r="V83" s="709"/>
      <c r="W83" s="458">
        <f>T83+14</f>
        <v>46125</v>
      </c>
      <c r="X83" s="70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0"/>
      <c r="J84" s="703"/>
      <c r="K84" s="205"/>
      <c r="L84" s="226">
        <v>8</v>
      </c>
      <c r="M84" s="332" t="s">
        <v>321</v>
      </c>
      <c r="N84" s="239"/>
      <c r="O84" s="441"/>
      <c r="P84" s="531"/>
      <c r="Q84" s="228"/>
      <c r="R84" s="475"/>
      <c r="S84" s="505"/>
      <c r="T84" s="543"/>
      <c r="U84" s="401">
        <f t="shared" si="14"/>
        <v>0</v>
      </c>
      <c r="V84" s="709"/>
      <c r="W84" s="459"/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0"/>
      <c r="J85" s="703"/>
      <c r="K85" s="205"/>
      <c r="L85" s="226">
        <v>8</v>
      </c>
      <c r="M85" s="332" t="s">
        <v>321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09"/>
      <c r="W85" s="459"/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0"/>
      <c r="J86" s="703"/>
      <c r="K86" s="205"/>
      <c r="L86" s="226">
        <v>8</v>
      </c>
      <c r="M86" s="332" t="s">
        <v>321</v>
      </c>
      <c r="N86" s="239"/>
      <c r="O86" s="441"/>
      <c r="P86" s="531"/>
      <c r="Q86" s="228"/>
      <c r="R86" s="479"/>
      <c r="S86" s="509"/>
      <c r="T86" s="419" t="str">
        <f t="shared" si="13"/>
        <v/>
      </c>
      <c r="U86" s="406">
        <f t="shared" si="14"/>
        <v>0</v>
      </c>
      <c r="V86" s="709"/>
      <c r="W86" s="462"/>
      <c r="X86" s="70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1"/>
      <c r="J87" s="704"/>
      <c r="K87" s="210"/>
      <c r="L87" s="206">
        <v>8</v>
      </c>
      <c r="M87" s="331" t="s">
        <v>321</v>
      </c>
      <c r="N87" s="208"/>
      <c r="O87" s="442"/>
      <c r="P87" s="634"/>
      <c r="Q87" s="209"/>
      <c r="R87" s="476"/>
      <c r="S87" s="506"/>
      <c r="T87" s="417" t="str">
        <f t="shared" si="13"/>
        <v/>
      </c>
      <c r="U87" s="402">
        <f t="shared" si="14"/>
        <v>0</v>
      </c>
      <c r="V87" s="710"/>
      <c r="W87" s="460"/>
      <c r="X87" s="70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329</v>
      </c>
      <c r="L88" s="240"/>
      <c r="M88" s="76"/>
      <c r="N88" s="76"/>
      <c r="O88" s="443"/>
      <c r="P88" s="367"/>
      <c r="Q88" s="76"/>
      <c r="R88" s="642"/>
      <c r="S88" s="240"/>
      <c r="T88" s="422" t="str">
        <f t="shared" si="13"/>
        <v/>
      </c>
      <c r="U88" s="387"/>
      <c r="V88" s="387"/>
      <c r="W88" s="427"/>
      <c r="X88" s="612"/>
    </row>
    <row r="89" spans="1:24" ht="15" customHeight="1">
      <c r="B89" s="215">
        <v>9</v>
      </c>
      <c r="C89" s="341" t="s">
        <v>330</v>
      </c>
      <c r="D89" s="231" t="s">
        <v>331</v>
      </c>
      <c r="E89" s="218"/>
      <c r="F89" s="336"/>
      <c r="G89" s="495">
        <f>D173</f>
        <v>44530</v>
      </c>
      <c r="H89" s="540">
        <f>'Project Plan'!G21+7</f>
        <v>46077</v>
      </c>
      <c r="I89" s="705">
        <f>SUM(G89:G100)</f>
        <v>136510</v>
      </c>
      <c r="J89" s="679">
        <f>F173+F174</f>
        <v>151677.77777777778</v>
      </c>
      <c r="K89" s="192"/>
      <c r="L89" s="215">
        <v>9</v>
      </c>
      <c r="M89" s="322" t="s">
        <v>332</v>
      </c>
      <c r="N89" s="231"/>
      <c r="O89" s="433"/>
      <c r="P89" s="336"/>
      <c r="Q89" s="219"/>
      <c r="R89" s="477"/>
      <c r="S89" s="507"/>
      <c r="T89" s="418" t="str">
        <f t="shared" si="13"/>
        <v/>
      </c>
      <c r="U89" s="404">
        <f t="shared" ref="U89:U100" si="15">(Q89/$X$89*$J$89)</f>
        <v>0</v>
      </c>
      <c r="V89" s="688">
        <f>J89-SUM(U89:U100)</f>
        <v>0</v>
      </c>
      <c r="W89" s="461"/>
      <c r="X89" s="676">
        <f>SUM(Q89:Q100)</f>
        <v>152000</v>
      </c>
    </row>
    <row r="90" spans="1:24" ht="15" customHeight="1">
      <c r="B90" s="215">
        <v>9</v>
      </c>
      <c r="C90" s="341"/>
      <c r="D90" s="232" t="s">
        <v>333</v>
      </c>
      <c r="E90" s="218"/>
      <c r="F90" s="357"/>
      <c r="G90" s="495">
        <f>D174</f>
        <v>91980</v>
      </c>
      <c r="H90" s="539">
        <f>'Project Plan'!G28+7</f>
        <v>46087</v>
      </c>
      <c r="I90" s="706"/>
      <c r="J90" s="680"/>
      <c r="K90" s="192"/>
      <c r="L90" s="215">
        <v>9</v>
      </c>
      <c r="M90" s="322" t="s">
        <v>332</v>
      </c>
      <c r="N90" s="232" t="s">
        <v>298</v>
      </c>
      <c r="O90" s="450">
        <f>Z30+Z29</f>
        <v>152000</v>
      </c>
      <c r="P90" s="451">
        <v>0.1</v>
      </c>
      <c r="Q90" s="219">
        <f>$O$90*P90</f>
        <v>15200</v>
      </c>
      <c r="R90" s="694"/>
      <c r="S90" s="500"/>
      <c r="T90" s="412">
        <f t="shared" si="13"/>
        <v>46081</v>
      </c>
      <c r="U90" s="397">
        <f t="shared" si="15"/>
        <v>15167.777777777779</v>
      </c>
      <c r="V90" s="689"/>
      <c r="W90" s="454">
        <f>'Project Plan'!I19</f>
        <v>46062</v>
      </c>
      <c r="X90" s="67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06"/>
      <c r="J91" s="680"/>
      <c r="K91" s="192"/>
      <c r="L91" s="284">
        <v>9</v>
      </c>
      <c r="M91" s="394" t="s">
        <v>332</v>
      </c>
      <c r="N91" s="286" t="s">
        <v>203</v>
      </c>
      <c r="O91" s="434"/>
      <c r="P91" s="449">
        <v>0.15</v>
      </c>
      <c r="Q91" s="219">
        <f t="shared" ref="Q91:Q97" si="16">$O$90*P91</f>
        <v>22800</v>
      </c>
      <c r="R91" s="695"/>
      <c r="S91" s="501"/>
      <c r="T91" s="412">
        <f t="shared" si="13"/>
        <v>46081</v>
      </c>
      <c r="U91" s="397">
        <f t="shared" si="15"/>
        <v>22751.666666666668</v>
      </c>
      <c r="V91" s="689"/>
      <c r="W91" s="455">
        <f>'Project Plan'!I19</f>
        <v>46062</v>
      </c>
      <c r="X91" s="67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06"/>
      <c r="J92" s="680"/>
      <c r="K92" s="192"/>
      <c r="L92" s="284">
        <v>9</v>
      </c>
      <c r="M92" s="394" t="s">
        <v>332</v>
      </c>
      <c r="N92" s="286" t="s">
        <v>301</v>
      </c>
      <c r="O92" s="434"/>
      <c r="P92" s="449">
        <v>0.2</v>
      </c>
      <c r="Q92" s="219">
        <f t="shared" si="16"/>
        <v>30400</v>
      </c>
      <c r="R92" s="695"/>
      <c r="S92" s="501"/>
      <c r="T92" s="412">
        <f t="shared" si="13"/>
        <v>46081</v>
      </c>
      <c r="U92" s="397">
        <f t="shared" si="15"/>
        <v>30335.555555555558</v>
      </c>
      <c r="V92" s="689"/>
      <c r="W92" s="455">
        <f>'Project Plan'!K21+7</f>
        <v>46077</v>
      </c>
      <c r="X92" s="67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06"/>
      <c r="J93" s="680"/>
      <c r="K93" s="192"/>
      <c r="L93" s="284">
        <v>9</v>
      </c>
      <c r="M93" s="394" t="s">
        <v>332</v>
      </c>
      <c r="N93" s="286" t="s">
        <v>303</v>
      </c>
      <c r="O93" s="434"/>
      <c r="P93" s="449">
        <v>0.25</v>
      </c>
      <c r="Q93" s="219">
        <f t="shared" si="16"/>
        <v>38000</v>
      </c>
      <c r="R93" s="695"/>
      <c r="S93" s="501"/>
      <c r="T93" s="412">
        <f t="shared" si="13"/>
        <v>46112</v>
      </c>
      <c r="U93" s="397">
        <f t="shared" si="15"/>
        <v>37919.444444444445</v>
      </c>
      <c r="V93" s="689"/>
      <c r="W93" s="455">
        <f>'Project Plan'!K28+7</f>
        <v>46087</v>
      </c>
      <c r="X93" s="67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06"/>
      <c r="J94" s="680"/>
      <c r="K94" s="192"/>
      <c r="L94" s="284">
        <v>9</v>
      </c>
      <c r="M94" s="394" t="s">
        <v>332</v>
      </c>
      <c r="N94" s="286" t="s">
        <v>304</v>
      </c>
      <c r="O94" s="434"/>
      <c r="P94" s="449">
        <v>0.1</v>
      </c>
      <c r="Q94" s="219">
        <f t="shared" si="16"/>
        <v>15200</v>
      </c>
      <c r="R94" s="695"/>
      <c r="S94" s="501"/>
      <c r="T94" s="412">
        <f t="shared" si="13"/>
        <v>46112</v>
      </c>
      <c r="U94" s="397">
        <f t="shared" si="15"/>
        <v>15167.777777777779</v>
      </c>
      <c r="V94" s="689"/>
      <c r="W94" s="455">
        <f>'Project Plan'!K39+7</f>
        <v>46098</v>
      </c>
      <c r="X94" s="67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06"/>
      <c r="J95" s="680"/>
      <c r="K95" s="192"/>
      <c r="L95" s="284">
        <v>9</v>
      </c>
      <c r="M95" s="394" t="s">
        <v>332</v>
      </c>
      <c r="N95" s="286" t="s">
        <v>305</v>
      </c>
      <c r="O95" s="434"/>
      <c r="P95" s="449">
        <v>0.1</v>
      </c>
      <c r="Q95" s="219">
        <f t="shared" si="16"/>
        <v>15200</v>
      </c>
      <c r="R95" s="695"/>
      <c r="S95" s="501"/>
      <c r="T95" s="412">
        <f t="shared" si="13"/>
        <v>46112</v>
      </c>
      <c r="U95" s="397">
        <f t="shared" si="15"/>
        <v>15167.777777777779</v>
      </c>
      <c r="V95" s="689"/>
      <c r="W95" s="455">
        <f>'Project Plan'!K46+7</f>
        <v>46099</v>
      </c>
      <c r="X95" s="67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06"/>
      <c r="J96" s="680"/>
      <c r="K96" s="192"/>
      <c r="L96" s="284">
        <v>9</v>
      </c>
      <c r="M96" s="394" t="s">
        <v>332</v>
      </c>
      <c r="N96" s="286" t="s">
        <v>306</v>
      </c>
      <c r="O96" s="434"/>
      <c r="P96" s="449">
        <v>0.05</v>
      </c>
      <c r="Q96" s="219">
        <f t="shared" si="16"/>
        <v>7600</v>
      </c>
      <c r="R96" s="695"/>
      <c r="S96" s="501"/>
      <c r="T96" s="412">
        <f t="shared" si="13"/>
        <v>46112</v>
      </c>
      <c r="U96" s="397">
        <f t="shared" si="15"/>
        <v>7583.8888888888896</v>
      </c>
      <c r="V96" s="689"/>
      <c r="W96" s="455">
        <f>'Project Plan'!K46+7</f>
        <v>46099</v>
      </c>
      <c r="X96" s="67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06"/>
      <c r="J97" s="680"/>
      <c r="K97" s="192"/>
      <c r="L97" s="284">
        <v>9</v>
      </c>
      <c r="M97" s="394" t="s">
        <v>332</v>
      </c>
      <c r="N97" s="286" t="s">
        <v>307</v>
      </c>
      <c r="O97" s="434"/>
      <c r="P97" s="449">
        <v>0.05</v>
      </c>
      <c r="Q97" s="219">
        <f t="shared" si="16"/>
        <v>7600</v>
      </c>
      <c r="R97" s="696"/>
      <c r="S97" s="501"/>
      <c r="T97" s="412">
        <f t="shared" si="13"/>
        <v>46142</v>
      </c>
      <c r="U97" s="397">
        <f t="shared" si="15"/>
        <v>7583.8888888888896</v>
      </c>
      <c r="V97" s="689"/>
      <c r="W97" s="455">
        <f>'Project Plan'!K46+30</f>
        <v>46122</v>
      </c>
      <c r="X97" s="67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06"/>
      <c r="J98" s="680"/>
      <c r="K98" s="192"/>
      <c r="L98" s="284">
        <v>9</v>
      </c>
      <c r="M98" s="394" t="s">
        <v>332</v>
      </c>
      <c r="N98" s="286"/>
      <c r="O98" s="434"/>
      <c r="P98" s="343"/>
      <c r="Q98" s="287"/>
      <c r="R98" s="471"/>
      <c r="S98" s="501"/>
      <c r="T98" s="412" t="str">
        <f t="shared" si="13"/>
        <v/>
      </c>
      <c r="U98" s="397">
        <f t="shared" si="15"/>
        <v>0</v>
      </c>
      <c r="V98" s="689"/>
      <c r="W98" s="455"/>
      <c r="X98" s="67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06"/>
      <c r="J99" s="680"/>
      <c r="K99" s="192"/>
      <c r="L99" s="284">
        <v>9</v>
      </c>
      <c r="M99" s="394" t="s">
        <v>332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689"/>
      <c r="W99" s="455"/>
      <c r="X99" s="67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07"/>
      <c r="J100" s="681"/>
      <c r="K100" s="267"/>
      <c r="L100" s="220">
        <v>9</v>
      </c>
      <c r="M100" s="340" t="s">
        <v>332</v>
      </c>
      <c r="N100" s="233"/>
      <c r="O100" s="435"/>
      <c r="P100" s="358"/>
      <c r="Q100" s="234"/>
      <c r="R100" s="472"/>
      <c r="S100" s="502"/>
      <c r="T100" s="413" t="str">
        <f t="shared" si="13"/>
        <v/>
      </c>
      <c r="U100" s="398">
        <f t="shared" si="15"/>
        <v>0</v>
      </c>
      <c r="V100" s="690"/>
      <c r="W100" s="456"/>
      <c r="X100" s="678"/>
    </row>
    <row r="101" spans="1:24" ht="14.4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3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334</v>
      </c>
      <c r="D102" s="174" t="s">
        <v>279</v>
      </c>
      <c r="E102" s="175"/>
      <c r="F102" s="368"/>
      <c r="G102" s="242">
        <f>D177</f>
        <v>8500</v>
      </c>
      <c r="H102" s="559">
        <f>H89</f>
        <v>46077</v>
      </c>
      <c r="I102" s="682">
        <f>SUM(G102:G116)</f>
        <v>25523.90303030303</v>
      </c>
      <c r="J102" s="685">
        <f>F177+F180+F181+F179+F178</f>
        <v>28359.892255892257</v>
      </c>
      <c r="K102" s="243"/>
      <c r="L102" s="173">
        <v>10</v>
      </c>
      <c r="M102" s="333" t="s">
        <v>335</v>
      </c>
      <c r="N102" s="174"/>
      <c r="O102" s="444"/>
      <c r="P102" s="368"/>
      <c r="Q102" s="242"/>
      <c r="R102" s="482"/>
      <c r="S102" s="512"/>
      <c r="T102" s="423" t="str">
        <f t="shared" si="13"/>
        <v/>
      </c>
      <c r="U102" s="408">
        <f t="shared" ref="U102:U115" si="17">(Q102/$X$102*$J$102)</f>
        <v>0</v>
      </c>
      <c r="V102" s="691">
        <f>J102-SUM(U102:U116)</f>
        <v>0</v>
      </c>
      <c r="W102" s="465"/>
      <c r="X102" s="682">
        <f>SUM(Q102:Q116)</f>
        <v>14150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17023.90303030303</v>
      </c>
      <c r="H103" s="560">
        <f>H89</f>
        <v>46077</v>
      </c>
      <c r="I103" s="683"/>
      <c r="J103" s="686"/>
      <c r="K103" s="176"/>
      <c r="L103" s="244">
        <v>10</v>
      </c>
      <c r="M103" s="334" t="s">
        <v>335</v>
      </c>
      <c r="N103" s="245"/>
      <c r="O103" s="445"/>
      <c r="P103" s="369"/>
      <c r="Q103" s="247"/>
      <c r="R103" s="483"/>
      <c r="S103" s="513"/>
      <c r="T103" s="424" t="str">
        <f t="shared" si="13"/>
        <v/>
      </c>
      <c r="U103" s="522">
        <f t="shared" si="17"/>
        <v>0</v>
      </c>
      <c r="V103" s="692"/>
      <c r="W103" s="466"/>
      <c r="X103" s="683"/>
    </row>
    <row r="104" spans="1:24" ht="14.25" customHeight="1">
      <c r="B104" s="244">
        <v>10</v>
      </c>
      <c r="C104" s="245"/>
      <c r="D104" s="245" t="s">
        <v>336</v>
      </c>
      <c r="E104" s="246"/>
      <c r="F104" s="369"/>
      <c r="G104" s="247">
        <f>D180</f>
        <v>0</v>
      </c>
      <c r="H104" s="560">
        <f>H89</f>
        <v>46077</v>
      </c>
      <c r="I104" s="683"/>
      <c r="J104" s="686"/>
      <c r="K104" s="176"/>
      <c r="L104" s="244">
        <v>10</v>
      </c>
      <c r="M104" s="334" t="s">
        <v>335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409">
        <f t="shared" si="17"/>
        <v>0</v>
      </c>
      <c r="V104" s="692"/>
      <c r="W104" s="466"/>
      <c r="X104" s="683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0">
        <f>H89</f>
        <v>46077</v>
      </c>
      <c r="I105" s="683"/>
      <c r="J105" s="686"/>
      <c r="K105" s="176"/>
      <c r="L105" s="244">
        <v>10</v>
      </c>
      <c r="M105" s="334" t="s">
        <v>335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692"/>
      <c r="W105" s="466"/>
      <c r="X105" s="68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3"/>
      <c r="J106" s="686"/>
      <c r="K106" s="176"/>
      <c r="L106" s="244">
        <v>10</v>
      </c>
      <c r="M106" s="334" t="s">
        <v>335</v>
      </c>
      <c r="N106" s="245" t="s">
        <v>298</v>
      </c>
      <c r="O106" s="494">
        <f>SUM(Z31:Z35)</f>
        <v>14150</v>
      </c>
      <c r="P106" s="452">
        <v>0.1</v>
      </c>
      <c r="Q106" s="247">
        <f>$O$106*P106</f>
        <v>1415</v>
      </c>
      <c r="R106" s="711"/>
      <c r="S106" s="514"/>
      <c r="T106" s="425">
        <f>T90</f>
        <v>46081</v>
      </c>
      <c r="U106" s="409">
        <f t="shared" si="17"/>
        <v>2835.989225589226</v>
      </c>
      <c r="V106" s="692"/>
      <c r="W106" s="467">
        <f>W90</f>
        <v>46062</v>
      </c>
      <c r="X106" s="68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3"/>
      <c r="J107" s="686"/>
      <c r="K107" s="176"/>
      <c r="L107" s="244">
        <v>10</v>
      </c>
      <c r="M107" s="334" t="s">
        <v>335</v>
      </c>
      <c r="N107" s="245" t="s">
        <v>203</v>
      </c>
      <c r="O107" s="445"/>
      <c r="P107" s="452">
        <v>0.15</v>
      </c>
      <c r="Q107" s="247">
        <f t="shared" ref="Q107:Q113" si="18">$O$106*P107</f>
        <v>2122.5</v>
      </c>
      <c r="R107" s="712"/>
      <c r="S107" s="518"/>
      <c r="T107" s="425">
        <f t="shared" ref="T107:T113" si="19">T91</f>
        <v>46081</v>
      </c>
      <c r="U107" s="409">
        <f t="shared" si="17"/>
        <v>4253.9838383838387</v>
      </c>
      <c r="V107" s="692"/>
      <c r="W107" s="467">
        <f t="shared" ref="W107:W113" si="20">W91</f>
        <v>46062</v>
      </c>
      <c r="X107" s="68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3"/>
      <c r="J108" s="686"/>
      <c r="K108" s="176"/>
      <c r="L108" s="244">
        <v>10</v>
      </c>
      <c r="M108" s="334" t="s">
        <v>335</v>
      </c>
      <c r="N108" s="245" t="s">
        <v>301</v>
      </c>
      <c r="O108" s="445"/>
      <c r="P108" s="452">
        <v>0.2</v>
      </c>
      <c r="Q108" s="247">
        <f t="shared" si="18"/>
        <v>2830</v>
      </c>
      <c r="R108" s="712"/>
      <c r="S108" s="514"/>
      <c r="T108" s="425">
        <f t="shared" si="19"/>
        <v>46081</v>
      </c>
      <c r="U108" s="409">
        <f t="shared" si="17"/>
        <v>5671.9784511784519</v>
      </c>
      <c r="V108" s="692"/>
      <c r="W108" s="467">
        <f t="shared" si="20"/>
        <v>46077</v>
      </c>
      <c r="X108" s="68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3"/>
      <c r="J109" s="686"/>
      <c r="K109" s="176"/>
      <c r="L109" s="244">
        <v>10</v>
      </c>
      <c r="M109" s="334" t="s">
        <v>335</v>
      </c>
      <c r="N109" s="245" t="s">
        <v>303</v>
      </c>
      <c r="O109" s="445"/>
      <c r="P109" s="452">
        <v>0.25</v>
      </c>
      <c r="Q109" s="247">
        <f t="shared" si="18"/>
        <v>3537.5</v>
      </c>
      <c r="R109" s="712"/>
      <c r="S109" s="514"/>
      <c r="T109" s="425">
        <f t="shared" si="19"/>
        <v>46112</v>
      </c>
      <c r="U109" s="409">
        <f t="shared" si="17"/>
        <v>7089.9730639730642</v>
      </c>
      <c r="V109" s="692"/>
      <c r="W109" s="467">
        <f t="shared" si="20"/>
        <v>46087</v>
      </c>
      <c r="X109" s="68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3"/>
      <c r="J110" s="686"/>
      <c r="K110" s="176"/>
      <c r="L110" s="244">
        <v>10</v>
      </c>
      <c r="M110" s="334" t="s">
        <v>335</v>
      </c>
      <c r="N110" s="245" t="s">
        <v>304</v>
      </c>
      <c r="O110" s="445"/>
      <c r="P110" s="452">
        <v>0.1</v>
      </c>
      <c r="Q110" s="247">
        <f t="shared" si="18"/>
        <v>1415</v>
      </c>
      <c r="R110" s="712"/>
      <c r="S110" s="514"/>
      <c r="T110" s="425">
        <f t="shared" si="19"/>
        <v>46112</v>
      </c>
      <c r="U110" s="409">
        <f t="shared" si="17"/>
        <v>2835.989225589226</v>
      </c>
      <c r="V110" s="692"/>
      <c r="W110" s="467">
        <f t="shared" si="20"/>
        <v>46098</v>
      </c>
      <c r="X110" s="68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3"/>
      <c r="J111" s="686"/>
      <c r="K111" s="176"/>
      <c r="L111" s="244">
        <v>10</v>
      </c>
      <c r="M111" s="334" t="s">
        <v>335</v>
      </c>
      <c r="N111" s="245" t="s">
        <v>305</v>
      </c>
      <c r="O111" s="445"/>
      <c r="P111" s="452">
        <v>0.1</v>
      </c>
      <c r="Q111" s="247">
        <f t="shared" si="18"/>
        <v>1415</v>
      </c>
      <c r="R111" s="712"/>
      <c r="S111" s="514"/>
      <c r="T111" s="425">
        <f t="shared" si="19"/>
        <v>46112</v>
      </c>
      <c r="U111" s="409">
        <f t="shared" si="17"/>
        <v>2835.989225589226</v>
      </c>
      <c r="V111" s="692"/>
      <c r="W111" s="467">
        <f t="shared" si="20"/>
        <v>46099</v>
      </c>
      <c r="X111" s="68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3"/>
      <c r="J112" s="686"/>
      <c r="K112" s="176"/>
      <c r="L112" s="244">
        <v>10</v>
      </c>
      <c r="M112" s="334" t="s">
        <v>335</v>
      </c>
      <c r="N112" s="245" t="s">
        <v>306</v>
      </c>
      <c r="O112" s="445"/>
      <c r="P112" s="452">
        <v>0.05</v>
      </c>
      <c r="Q112" s="247">
        <f t="shared" si="18"/>
        <v>707.5</v>
      </c>
      <c r="R112" s="712"/>
      <c r="S112" s="514"/>
      <c r="T112" s="425">
        <f t="shared" si="19"/>
        <v>46112</v>
      </c>
      <c r="U112" s="409">
        <f t="shared" si="17"/>
        <v>1417.994612794613</v>
      </c>
      <c r="V112" s="692"/>
      <c r="W112" s="467">
        <f t="shared" si="20"/>
        <v>46099</v>
      </c>
      <c r="X112" s="68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3"/>
      <c r="J113" s="686"/>
      <c r="K113" s="176"/>
      <c r="L113" s="244">
        <v>10</v>
      </c>
      <c r="M113" s="334" t="s">
        <v>335</v>
      </c>
      <c r="N113" s="245" t="s">
        <v>307</v>
      </c>
      <c r="O113" s="445"/>
      <c r="P113" s="452">
        <v>0.05</v>
      </c>
      <c r="Q113" s="247">
        <f t="shared" si="18"/>
        <v>707.5</v>
      </c>
      <c r="R113" s="713"/>
      <c r="S113" s="514"/>
      <c r="T113" s="425">
        <f t="shared" si="19"/>
        <v>46142</v>
      </c>
      <c r="U113" s="409">
        <f t="shared" si="17"/>
        <v>1417.994612794613</v>
      </c>
      <c r="V113" s="692"/>
      <c r="W113" s="467">
        <f t="shared" si="20"/>
        <v>46122</v>
      </c>
      <c r="X113" s="68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3"/>
      <c r="J114" s="686"/>
      <c r="K114" s="176"/>
      <c r="L114" s="244">
        <v>10</v>
      </c>
      <c r="M114" s="334" t="s">
        <v>335</v>
      </c>
      <c r="N114" s="245"/>
      <c r="O114" s="445"/>
      <c r="P114" s="369"/>
      <c r="Q114" s="247"/>
      <c r="R114" s="484"/>
      <c r="S114" s="514"/>
      <c r="T114" s="425" t="str">
        <f t="shared" si="13"/>
        <v/>
      </c>
      <c r="U114" s="409">
        <f t="shared" si="17"/>
        <v>0</v>
      </c>
      <c r="V114" s="692"/>
      <c r="W114" s="467"/>
      <c r="X114" s="68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3"/>
      <c r="J115" s="686"/>
      <c r="K115" s="176"/>
      <c r="L115" s="244">
        <v>10</v>
      </c>
      <c r="M115" s="334" t="s">
        <v>335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692"/>
      <c r="W115" s="467"/>
      <c r="X115" s="68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84"/>
      <c r="J116" s="687"/>
      <c r="K116" s="179"/>
      <c r="L116" s="177">
        <v>10</v>
      </c>
      <c r="M116" s="335" t="s">
        <v>335</v>
      </c>
      <c r="N116" s="248"/>
      <c r="O116" s="446"/>
      <c r="P116" s="370"/>
      <c r="Q116" s="178"/>
      <c r="R116" s="485"/>
      <c r="S116" s="515"/>
      <c r="T116" s="426" t="str">
        <f t="shared" si="13"/>
        <v/>
      </c>
      <c r="U116" s="410"/>
      <c r="V116" s="693"/>
      <c r="W116" s="468"/>
      <c r="X116" s="684"/>
    </row>
    <row r="117" spans="1:24" ht="14.4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2"/>
      <c r="R117" s="478"/>
      <c r="S117" s="508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337</v>
      </c>
      <c r="D118" s="255" t="s">
        <v>338</v>
      </c>
      <c r="E118" s="187"/>
      <c r="F118" s="336"/>
      <c r="G118" s="188">
        <v>11000</v>
      </c>
      <c r="H118" s="540">
        <f>'Project Plan'!G39</f>
        <v>46091</v>
      </c>
      <c r="I118" s="676">
        <f>SUM(G118:G122)</f>
        <v>89000</v>
      </c>
      <c r="J118" s="679">
        <f>F176</f>
        <v>98888.888888888891</v>
      </c>
      <c r="K118" s="189"/>
      <c r="L118" s="185">
        <v>11</v>
      </c>
      <c r="M118" s="255" t="s">
        <v>339</v>
      </c>
      <c r="N118" s="255" t="s">
        <v>338</v>
      </c>
      <c r="O118" s="187"/>
      <c r="P118" s="336"/>
      <c r="Q118" s="188">
        <v>12577.5</v>
      </c>
      <c r="R118" s="533"/>
      <c r="S118" s="507"/>
      <c r="T118" s="418">
        <f>IF(W118&gt;1,EOMONTH(W118,0),"")</f>
        <v>46112</v>
      </c>
      <c r="U118" s="397">
        <f>(Q118/$X$118*$J$118)</f>
        <v>14271.658060814687</v>
      </c>
      <c r="V118" s="688">
        <f>J118-SUM(U118:U122)</f>
        <v>0</v>
      </c>
      <c r="W118" s="461">
        <f>'Project Plan'!K39+14</f>
        <v>46105</v>
      </c>
      <c r="X118" s="676">
        <f>SUM(Q118:Q122)</f>
        <v>87150</v>
      </c>
    </row>
    <row r="119" spans="1:24" ht="15" customHeight="1">
      <c r="B119" s="215">
        <v>11</v>
      </c>
      <c r="C119" s="217"/>
      <c r="D119" s="217" t="s">
        <v>340</v>
      </c>
      <c r="E119" s="218"/>
      <c r="F119" s="357"/>
      <c r="G119" s="219">
        <v>18000</v>
      </c>
      <c r="H119" s="540">
        <f>H118</f>
        <v>46091</v>
      </c>
      <c r="I119" s="677"/>
      <c r="J119" s="680"/>
      <c r="K119" s="192"/>
      <c r="L119" s="215">
        <v>11</v>
      </c>
      <c r="M119" s="290" t="s">
        <v>339</v>
      </c>
      <c r="N119" s="217" t="s">
        <v>341</v>
      </c>
      <c r="O119" s="218"/>
      <c r="P119" s="357"/>
      <c r="Q119" s="219">
        <v>8572.5</v>
      </c>
      <c r="R119" s="470"/>
      <c r="S119" s="500" t="s">
        <v>342</v>
      </c>
      <c r="T119" s="630">
        <v>46022</v>
      </c>
      <c r="U119" s="632">
        <v>9727.1944922547336</v>
      </c>
      <c r="V119" s="689"/>
      <c r="W119" s="631">
        <v>45974</v>
      </c>
      <c r="X119" s="677"/>
    </row>
    <row r="120" spans="1:24" ht="15" customHeight="1">
      <c r="B120" s="215">
        <v>11</v>
      </c>
      <c r="C120" s="217"/>
      <c r="D120" s="217" t="s">
        <v>343</v>
      </c>
      <c r="E120" s="218"/>
      <c r="F120" s="357"/>
      <c r="G120" s="219">
        <v>60000</v>
      </c>
      <c r="H120" s="540">
        <f>H119</f>
        <v>46091</v>
      </c>
      <c r="I120" s="677"/>
      <c r="J120" s="680"/>
      <c r="K120" s="192"/>
      <c r="L120" s="215">
        <v>11</v>
      </c>
      <c r="M120" s="290" t="s">
        <v>339</v>
      </c>
      <c r="N120" s="217" t="s">
        <v>343</v>
      </c>
      <c r="O120" s="218"/>
      <c r="P120" s="357"/>
      <c r="Q120" s="219">
        <v>60000</v>
      </c>
      <c r="R120" s="470"/>
      <c r="S120" s="500"/>
      <c r="T120" s="411">
        <f t="shared" si="13"/>
        <v>46112</v>
      </c>
      <c r="U120" s="397">
        <f>(Q120/$X$118*$J$118)</f>
        <v>68081.851214381328</v>
      </c>
      <c r="V120" s="689"/>
      <c r="W120" s="454">
        <f>W121</f>
        <v>46111</v>
      </c>
      <c r="X120" s="67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77"/>
      <c r="J121" s="680"/>
      <c r="K121" s="192"/>
      <c r="L121" s="215">
        <v>11</v>
      </c>
      <c r="M121" s="290" t="s">
        <v>339</v>
      </c>
      <c r="N121" s="288" t="s">
        <v>344</v>
      </c>
      <c r="O121" s="434"/>
      <c r="P121" s="343"/>
      <c r="Q121" s="287">
        <v>6000</v>
      </c>
      <c r="R121" s="471"/>
      <c r="S121" s="501"/>
      <c r="T121" s="411">
        <f t="shared" si="13"/>
        <v>46112</v>
      </c>
      <c r="U121" s="397">
        <f>(Q121/$X$118*$J$118)</f>
        <v>6808.1851214381331</v>
      </c>
      <c r="V121" s="689"/>
      <c r="W121" s="455">
        <v>46111</v>
      </c>
      <c r="X121" s="67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78"/>
      <c r="J122" s="681"/>
      <c r="K122" s="193"/>
      <c r="L122" s="220">
        <v>11</v>
      </c>
      <c r="M122" s="318" t="s">
        <v>339</v>
      </c>
      <c r="N122" s="221"/>
      <c r="O122" s="222"/>
      <c r="P122" s="358"/>
      <c r="Q122" s="234"/>
      <c r="R122" s="472"/>
      <c r="S122" s="502"/>
      <c r="T122" s="413" t="str">
        <f t="shared" si="13"/>
        <v/>
      </c>
      <c r="U122" s="398">
        <f>(Q122/$X$118*$J$118)</f>
        <v>0</v>
      </c>
      <c r="V122" s="690"/>
      <c r="W122" s="456"/>
      <c r="X122" s="67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3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345</v>
      </c>
      <c r="D124" s="174" t="s">
        <v>346</v>
      </c>
      <c r="E124" s="175"/>
      <c r="F124" s="368"/>
      <c r="G124" s="242">
        <v>0</v>
      </c>
      <c r="H124" s="559"/>
      <c r="I124" s="682">
        <f>SUM(G124:G125)</f>
        <v>0</v>
      </c>
      <c r="J124" s="685">
        <v>0</v>
      </c>
      <c r="K124" s="697"/>
      <c r="L124" s="173">
        <v>12</v>
      </c>
      <c r="M124" s="174" t="s">
        <v>347</v>
      </c>
      <c r="N124" s="174" t="s">
        <v>346</v>
      </c>
      <c r="O124" s="444"/>
      <c r="P124" s="368"/>
      <c r="Q124" s="242">
        <f>G124</f>
        <v>0</v>
      </c>
      <c r="R124" s="482"/>
      <c r="S124" s="512"/>
      <c r="T124" s="423" t="str">
        <f t="shared" si="13"/>
        <v/>
      </c>
      <c r="U124" s="408"/>
      <c r="V124" s="384"/>
      <c r="W124" s="465"/>
      <c r="X124" s="682">
        <f>SUM(Q124:Q125)</f>
        <v>0</v>
      </c>
    </row>
    <row r="125" spans="1:24" ht="15" customHeight="1" thickBot="1">
      <c r="B125" s="177">
        <v>12</v>
      </c>
      <c r="C125" s="248" t="s">
        <v>345</v>
      </c>
      <c r="D125" s="248"/>
      <c r="E125" s="249"/>
      <c r="F125" s="370"/>
      <c r="G125" s="178"/>
      <c r="H125" s="562"/>
      <c r="I125" s="684"/>
      <c r="J125" s="687"/>
      <c r="K125" s="698"/>
      <c r="L125" s="177">
        <v>12</v>
      </c>
      <c r="M125" s="248" t="s">
        <v>347</v>
      </c>
      <c r="N125" s="248"/>
      <c r="O125" s="446"/>
      <c r="P125" s="370"/>
      <c r="Q125" s="178"/>
      <c r="R125" s="485"/>
      <c r="S125" s="515"/>
      <c r="T125" s="426" t="str">
        <f t="shared" si="13"/>
        <v/>
      </c>
      <c r="U125" s="410"/>
      <c r="V125" s="383"/>
      <c r="W125" s="468"/>
      <c r="X125" s="684"/>
    </row>
    <row r="126" spans="1:24" ht="14.4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3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348</v>
      </c>
      <c r="D127" s="255" t="s">
        <v>349</v>
      </c>
      <c r="E127" s="187"/>
      <c r="F127" s="336"/>
      <c r="G127" s="188">
        <f>D175</f>
        <v>17291.832113965746</v>
      </c>
      <c r="H127" s="540">
        <f>'Project Plan'!G48</f>
        <v>46105</v>
      </c>
      <c r="I127" s="676">
        <f>SUM(G127:G131)</f>
        <v>17291.832113965746</v>
      </c>
      <c r="J127" s="679">
        <f>F175</f>
        <v>19649.80922041562</v>
      </c>
      <c r="K127" s="189"/>
      <c r="L127" s="185">
        <v>13</v>
      </c>
      <c r="M127" s="255" t="s">
        <v>350</v>
      </c>
      <c r="N127" s="255" t="s">
        <v>351</v>
      </c>
      <c r="O127" s="432"/>
      <c r="P127" s="336"/>
      <c r="Q127" s="188">
        <f>'Project Plan'!$E$6*1.25%</f>
        <v>23490.942439951436</v>
      </c>
      <c r="R127" s="477"/>
      <c r="S127" s="507"/>
      <c r="T127" s="418">
        <f t="shared" si="13"/>
        <v>46112</v>
      </c>
      <c r="U127" s="404">
        <f t="shared" ref="U127:U132" si="21">(Q127/$X$127*$J$127)</f>
        <v>19649.80922041562</v>
      </c>
      <c r="V127" s="688">
        <f>J127-SUM(U127:U132)</f>
        <v>0</v>
      </c>
      <c r="W127" s="461">
        <v>46112</v>
      </c>
      <c r="X127" s="676">
        <f>SUM(Q127:Q132)</f>
        <v>23490.942439951436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39"/>
      <c r="I128" s="677"/>
      <c r="J128" s="680"/>
      <c r="K128" s="192"/>
      <c r="L128" s="215">
        <v>13</v>
      </c>
      <c r="M128" s="290" t="s">
        <v>350</v>
      </c>
      <c r="N128" s="217" t="s">
        <v>352</v>
      </c>
      <c r="O128" s="218"/>
      <c r="P128" s="357"/>
      <c r="Q128" s="219"/>
      <c r="R128" s="470"/>
      <c r="S128" s="500"/>
      <c r="T128" s="411">
        <f t="shared" si="13"/>
        <v>46112</v>
      </c>
      <c r="U128" s="396">
        <f t="shared" si="21"/>
        <v>0</v>
      </c>
      <c r="V128" s="689"/>
      <c r="W128" s="454">
        <f>W127</f>
        <v>46112</v>
      </c>
      <c r="X128" s="67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77"/>
      <c r="J129" s="680"/>
      <c r="K129" s="192"/>
      <c r="L129" s="215">
        <v>13</v>
      </c>
      <c r="M129" s="290" t="s">
        <v>350</v>
      </c>
      <c r="N129" s="217" t="s">
        <v>353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689"/>
      <c r="W129" s="454">
        <f t="shared" ref="W129:W131" si="22">W128</f>
        <v>46112</v>
      </c>
      <c r="X129" s="67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77"/>
      <c r="J130" s="680"/>
      <c r="K130" s="192"/>
      <c r="L130" s="215">
        <v>13</v>
      </c>
      <c r="M130" s="290" t="s">
        <v>350</v>
      </c>
      <c r="N130" s="217" t="s">
        <v>354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689"/>
      <c r="W130" s="454">
        <f t="shared" si="22"/>
        <v>46112</v>
      </c>
      <c r="X130" s="67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39"/>
      <c r="I131" s="677"/>
      <c r="J131" s="680"/>
      <c r="K131" s="192"/>
      <c r="L131" s="215">
        <v>13</v>
      </c>
      <c r="M131" s="290" t="s">
        <v>350</v>
      </c>
      <c r="N131" s="217" t="s">
        <v>355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689"/>
      <c r="W131" s="454">
        <f t="shared" si="22"/>
        <v>46112</v>
      </c>
      <c r="X131" s="67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78"/>
      <c r="J132" s="681"/>
      <c r="K132" s="267"/>
      <c r="L132" s="220">
        <v>13</v>
      </c>
      <c r="M132" s="318" t="s">
        <v>350</v>
      </c>
      <c r="N132" s="221"/>
      <c r="O132" s="435"/>
      <c r="P132" s="358"/>
      <c r="Q132" s="234"/>
      <c r="R132" s="472"/>
      <c r="S132" s="502"/>
      <c r="T132" s="413" t="str">
        <f t="shared" si="13"/>
        <v/>
      </c>
      <c r="U132" s="398">
        <f t="shared" si="21"/>
        <v>0</v>
      </c>
      <c r="V132" s="690"/>
      <c r="W132" s="456"/>
      <c r="X132" s="678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3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356</v>
      </c>
      <c r="D134" s="174" t="s">
        <v>357</v>
      </c>
      <c r="E134" s="175"/>
      <c r="F134" s="368"/>
      <c r="G134" s="242">
        <f>D186</f>
        <v>1925</v>
      </c>
      <c r="H134" s="559">
        <f>'Project Plan'!G48</f>
        <v>46105</v>
      </c>
      <c r="I134" s="682">
        <f>SUM(G134:G145)</f>
        <v>1925</v>
      </c>
      <c r="J134" s="685">
        <f>F186</f>
        <v>2138.8888888888887</v>
      </c>
      <c r="K134" s="243"/>
      <c r="L134" s="173">
        <v>14</v>
      </c>
      <c r="M134" s="333" t="s">
        <v>358</v>
      </c>
      <c r="N134" s="174" t="s">
        <v>359</v>
      </c>
      <c r="O134" s="444"/>
      <c r="P134" s="525"/>
      <c r="Q134" s="530">
        <f>$G$134/4</f>
        <v>481.25</v>
      </c>
      <c r="R134" s="527"/>
      <c r="S134" s="517"/>
      <c r="T134" s="423">
        <v>46053</v>
      </c>
      <c r="U134" s="408">
        <f t="shared" ref="U134:U145" si="23">(Q134/$X$134*$J$134)</f>
        <v>534.72222222222217</v>
      </c>
      <c r="V134" s="691">
        <f>J134-SUM(U134:U145)</f>
        <v>0</v>
      </c>
      <c r="W134" s="467">
        <f>T134+7</f>
        <v>46060</v>
      </c>
      <c r="X134" s="68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3"/>
      <c r="J135" s="686"/>
      <c r="K135" s="176"/>
      <c r="L135" s="244">
        <v>14</v>
      </c>
      <c r="M135" s="334" t="s">
        <v>358</v>
      </c>
      <c r="N135" s="245" t="s">
        <v>359</v>
      </c>
      <c r="O135" s="445"/>
      <c r="P135" s="526"/>
      <c r="Q135" s="529">
        <f>$G$134/4</f>
        <v>481.25</v>
      </c>
      <c r="R135" s="528"/>
      <c r="S135" s="517"/>
      <c r="T135" s="425">
        <v>46081</v>
      </c>
      <c r="U135" s="409">
        <f t="shared" si="23"/>
        <v>534.72222222222217</v>
      </c>
      <c r="V135" s="692"/>
      <c r="W135" s="467">
        <f>T135+7</f>
        <v>46088</v>
      </c>
      <c r="X135" s="68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3"/>
      <c r="J136" s="686"/>
      <c r="K136" s="176"/>
      <c r="L136" s="244">
        <v>14</v>
      </c>
      <c r="M136" s="334" t="s">
        <v>358</v>
      </c>
      <c r="N136" s="245" t="s">
        <v>359</v>
      </c>
      <c r="O136" s="445"/>
      <c r="P136" s="369"/>
      <c r="Q136" s="247">
        <f>$G$134/4</f>
        <v>481.25</v>
      </c>
      <c r="R136" s="484"/>
      <c r="S136" s="517"/>
      <c r="T136" s="425">
        <v>46112</v>
      </c>
      <c r="U136" s="409">
        <f t="shared" si="23"/>
        <v>534.72222222222217</v>
      </c>
      <c r="V136" s="692"/>
      <c r="W136" s="467">
        <f>T136+7</f>
        <v>46119</v>
      </c>
      <c r="X136" s="68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3"/>
      <c r="J137" s="686"/>
      <c r="K137" s="176"/>
      <c r="L137" s="244">
        <v>14</v>
      </c>
      <c r="M137" s="334" t="s">
        <v>358</v>
      </c>
      <c r="N137" s="245" t="s">
        <v>359</v>
      </c>
      <c r="O137" s="445"/>
      <c r="P137" s="369"/>
      <c r="Q137" s="247">
        <f>$G$134/4</f>
        <v>481.25</v>
      </c>
      <c r="R137" s="484"/>
      <c r="S137" s="512"/>
      <c r="T137" s="425">
        <v>46142</v>
      </c>
      <c r="U137" s="409">
        <f t="shared" si="23"/>
        <v>534.72222222222217</v>
      </c>
      <c r="V137" s="692"/>
      <c r="W137" s="467">
        <f>T137+7</f>
        <v>46149</v>
      </c>
      <c r="X137" s="68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3"/>
      <c r="J138" s="686"/>
      <c r="K138" s="176"/>
      <c r="L138" s="244">
        <v>14</v>
      </c>
      <c r="M138" s="334" t="s">
        <v>358</v>
      </c>
      <c r="N138" s="245" t="s">
        <v>359</v>
      </c>
      <c r="O138" s="445"/>
      <c r="P138" s="369"/>
      <c r="Q138" s="247"/>
      <c r="R138" s="484"/>
      <c r="S138" s="512"/>
      <c r="T138" s="425" t="str">
        <f t="shared" ref="T138:T158" si="24">IF(W138&gt;1,EOMONTH(W138,0),"")</f>
        <v/>
      </c>
      <c r="U138" s="409">
        <f t="shared" si="23"/>
        <v>0</v>
      </c>
      <c r="V138" s="692"/>
      <c r="W138" s="467"/>
      <c r="X138" s="68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3"/>
      <c r="J139" s="686"/>
      <c r="K139" s="176"/>
      <c r="L139" s="244">
        <v>14</v>
      </c>
      <c r="M139" s="334" t="s">
        <v>358</v>
      </c>
      <c r="N139" s="245" t="s">
        <v>359</v>
      </c>
      <c r="O139" s="445"/>
      <c r="P139" s="369"/>
      <c r="Q139" s="247"/>
      <c r="R139" s="484"/>
      <c r="S139" s="512"/>
      <c r="T139" s="425" t="str">
        <f t="shared" si="24"/>
        <v/>
      </c>
      <c r="U139" s="409">
        <f t="shared" si="23"/>
        <v>0</v>
      </c>
      <c r="V139" s="692"/>
      <c r="W139" s="467"/>
      <c r="X139" s="68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3"/>
      <c r="J140" s="686"/>
      <c r="K140" s="176"/>
      <c r="L140" s="244">
        <v>14</v>
      </c>
      <c r="M140" s="334" t="s">
        <v>358</v>
      </c>
      <c r="N140" s="245" t="s">
        <v>359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692"/>
      <c r="W140" s="467"/>
      <c r="X140" s="68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3"/>
      <c r="J141" s="686"/>
      <c r="K141" s="176"/>
      <c r="L141" s="244">
        <v>14</v>
      </c>
      <c r="M141" s="334" t="s">
        <v>358</v>
      </c>
      <c r="N141" s="245" t="s">
        <v>359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692"/>
      <c r="W141" s="467"/>
      <c r="X141" s="68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3"/>
      <c r="J142" s="686"/>
      <c r="K142" s="176"/>
      <c r="L142" s="244">
        <v>14</v>
      </c>
      <c r="M142" s="334" t="s">
        <v>358</v>
      </c>
      <c r="N142" s="245" t="s">
        <v>359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692"/>
      <c r="W142" s="467"/>
      <c r="X142" s="68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3"/>
      <c r="J143" s="686"/>
      <c r="K143" s="176"/>
      <c r="L143" s="244">
        <v>14</v>
      </c>
      <c r="M143" s="334" t="s">
        <v>358</v>
      </c>
      <c r="N143" s="245" t="s">
        <v>359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692"/>
      <c r="W143" s="467"/>
      <c r="X143" s="68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3"/>
      <c r="J144" s="686"/>
      <c r="K144" s="176"/>
      <c r="L144" s="244">
        <v>14</v>
      </c>
      <c r="M144" s="334" t="s">
        <v>358</v>
      </c>
      <c r="N144" s="245"/>
      <c r="O144" s="445"/>
      <c r="P144" s="369"/>
      <c r="Q144" s="247"/>
      <c r="R144" s="484"/>
      <c r="S144" s="514"/>
      <c r="T144" s="425" t="str">
        <f t="shared" si="24"/>
        <v/>
      </c>
      <c r="U144" s="409">
        <f t="shared" si="23"/>
        <v>0</v>
      </c>
      <c r="V144" s="692"/>
      <c r="W144" s="467"/>
      <c r="X144" s="68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84"/>
      <c r="J145" s="687"/>
      <c r="K145" s="179"/>
      <c r="L145" s="177">
        <v>14</v>
      </c>
      <c r="M145" s="335" t="s">
        <v>358</v>
      </c>
      <c r="N145" s="248"/>
      <c r="O145" s="446"/>
      <c r="P145" s="370"/>
      <c r="Q145" s="178"/>
      <c r="R145" s="485"/>
      <c r="S145" s="515"/>
      <c r="T145" s="426" t="str">
        <f t="shared" si="24"/>
        <v/>
      </c>
      <c r="U145" s="410">
        <f t="shared" si="23"/>
        <v>0</v>
      </c>
      <c r="V145" s="693"/>
      <c r="W145" s="468"/>
      <c r="X145" s="684"/>
    </row>
    <row r="146" spans="1:24" ht="14.4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3"/>
      <c r="T146" s="414" t="str">
        <f t="shared" si="24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360</v>
      </c>
      <c r="D147" s="186"/>
      <c r="E147" s="187"/>
      <c r="F147" s="336"/>
      <c r="G147" s="188"/>
      <c r="H147" s="540"/>
      <c r="I147" s="676">
        <f>SUM(G147:G158)</f>
        <v>0</v>
      </c>
      <c r="J147" s="679">
        <v>0</v>
      </c>
      <c r="K147" s="189"/>
      <c r="L147" s="185">
        <v>15</v>
      </c>
      <c r="M147" s="255" t="s">
        <v>361</v>
      </c>
      <c r="N147" s="186" t="s">
        <v>431</v>
      </c>
      <c r="O147" s="187"/>
      <c r="P147" s="336"/>
      <c r="Q147" s="188">
        <v>150000</v>
      </c>
      <c r="R147" s="477"/>
      <c r="S147" s="507"/>
      <c r="T147" s="418">
        <v>46173</v>
      </c>
      <c r="U147" s="404"/>
      <c r="V147" s="688">
        <v>0</v>
      </c>
      <c r="W147" s="461">
        <v>46173</v>
      </c>
      <c r="X147" s="676">
        <f>SUM(Q147:Q158)</f>
        <v>150000</v>
      </c>
    </row>
    <row r="148" spans="1:24">
      <c r="B148" s="215">
        <v>15</v>
      </c>
      <c r="C148" s="217"/>
      <c r="D148" s="217"/>
      <c r="E148" s="218"/>
      <c r="F148" s="357"/>
      <c r="G148" s="219"/>
      <c r="H148" s="539"/>
      <c r="I148" s="677"/>
      <c r="J148" s="680"/>
      <c r="K148" s="192"/>
      <c r="L148" s="215">
        <v>15</v>
      </c>
      <c r="M148" s="290" t="s">
        <v>361</v>
      </c>
      <c r="N148" s="217"/>
      <c r="O148" s="433"/>
      <c r="P148" s="357"/>
      <c r="Q148" s="219"/>
      <c r="R148" s="470"/>
      <c r="S148" s="500"/>
      <c r="T148" s="411" t="str">
        <f t="shared" si="24"/>
        <v/>
      </c>
      <c r="U148" s="396"/>
      <c r="V148" s="689"/>
      <c r="W148" s="454"/>
      <c r="X148" s="677"/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77"/>
      <c r="J149" s="680"/>
      <c r="K149" s="192"/>
      <c r="L149" s="215">
        <v>15</v>
      </c>
      <c r="M149" s="290" t="s">
        <v>361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689"/>
      <c r="W149" s="454"/>
      <c r="X149" s="67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77"/>
      <c r="J150" s="680"/>
      <c r="K150" s="192"/>
      <c r="L150" s="215">
        <v>15</v>
      </c>
      <c r="M150" s="290" t="s">
        <v>361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689"/>
      <c r="W150" s="454"/>
      <c r="X150" s="67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77"/>
      <c r="J151" s="680"/>
      <c r="K151" s="192"/>
      <c r="L151" s="215">
        <v>15</v>
      </c>
      <c r="M151" s="290" t="s">
        <v>361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689"/>
      <c r="W151" s="454"/>
      <c r="X151" s="67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77"/>
      <c r="J152" s="680"/>
      <c r="K152" s="192"/>
      <c r="L152" s="215">
        <v>15</v>
      </c>
      <c r="M152" s="290" t="s">
        <v>361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689"/>
      <c r="W152" s="454"/>
      <c r="X152" s="67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77"/>
      <c r="J153" s="680"/>
      <c r="K153" s="192"/>
      <c r="L153" s="215">
        <v>15</v>
      </c>
      <c r="M153" s="290" t="s">
        <v>361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689"/>
      <c r="W153" s="454"/>
      <c r="X153" s="67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77"/>
      <c r="J154" s="680"/>
      <c r="K154" s="192"/>
      <c r="L154" s="215">
        <v>15</v>
      </c>
      <c r="M154" s="290" t="s">
        <v>361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689"/>
      <c r="W154" s="454"/>
      <c r="X154" s="67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77"/>
      <c r="J155" s="680"/>
      <c r="K155" s="192"/>
      <c r="L155" s="215">
        <v>15</v>
      </c>
      <c r="M155" s="290" t="s">
        <v>361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689"/>
      <c r="W155" s="454"/>
      <c r="X155" s="67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77"/>
      <c r="J156" s="680"/>
      <c r="K156" s="192"/>
      <c r="L156" s="215">
        <v>15</v>
      </c>
      <c r="M156" s="290" t="s">
        <v>361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689"/>
      <c r="W156" s="454"/>
      <c r="X156" s="67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77"/>
      <c r="J157" s="680"/>
      <c r="K157" s="192"/>
      <c r="L157" s="215">
        <v>15</v>
      </c>
      <c r="M157" s="290" t="s">
        <v>361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689"/>
      <c r="W157" s="454"/>
      <c r="X157" s="67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78"/>
      <c r="J158" s="681"/>
      <c r="K158" s="193"/>
      <c r="L158" s="220">
        <v>15</v>
      </c>
      <c r="M158" s="318" t="s">
        <v>361</v>
      </c>
      <c r="N158" s="221"/>
      <c r="O158" s="435"/>
      <c r="P158" s="358"/>
      <c r="Q158" s="234"/>
      <c r="R158" s="472"/>
      <c r="S158" s="502"/>
      <c r="T158" s="413" t="str">
        <f t="shared" si="24"/>
        <v/>
      </c>
      <c r="U158" s="398"/>
      <c r="V158" s="690"/>
      <c r="W158" s="456"/>
      <c r="X158" s="67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362</v>
      </c>
      <c r="D160" s="4">
        <v>461648.54000000004</v>
      </c>
      <c r="E160" s="77"/>
      <c r="F160" s="431">
        <v>577060.67500000005</v>
      </c>
      <c r="G160" s="26"/>
      <c r="H160" s="26"/>
      <c r="I160" s="160"/>
      <c r="J160" s="160"/>
    </row>
    <row r="161" spans="2:23">
      <c r="B161" s="26"/>
      <c r="C161" s="431" t="s">
        <v>363</v>
      </c>
      <c r="D161" s="4">
        <v>140000</v>
      </c>
      <c r="E161" s="77"/>
      <c r="F161" s="431">
        <v>175000</v>
      </c>
      <c r="G161" s="26"/>
      <c r="H161" s="26"/>
      <c r="I161" s="160"/>
      <c r="J161" s="160"/>
    </row>
    <row r="162" spans="2:23">
      <c r="B162" s="26"/>
      <c r="C162" s="431" t="s">
        <v>364</v>
      </c>
      <c r="D162" s="4">
        <v>151074</v>
      </c>
      <c r="E162" s="77"/>
      <c r="F162" s="431">
        <v>188842.5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119324.7</v>
      </c>
      <c r="E163" s="77"/>
      <c r="F163" s="431">
        <v>149155.875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211265.42608695652</v>
      </c>
      <c r="E164" s="77"/>
      <c r="F164" s="431">
        <v>264081.78260869568</v>
      </c>
      <c r="G164" s="26"/>
      <c r="H164" s="26"/>
      <c r="I164" s="253"/>
      <c r="J164" s="253"/>
    </row>
    <row r="165" spans="2:23">
      <c r="B165" s="26"/>
      <c r="C165" s="431" t="s">
        <v>365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366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368</v>
      </c>
      <c r="D168" s="4">
        <v>126091</v>
      </c>
      <c r="E168" s="77"/>
      <c r="F168" s="431">
        <v>157613.75</v>
      </c>
      <c r="G168" s="26"/>
      <c r="H168" s="26"/>
      <c r="I168" s="160"/>
      <c r="J168" s="160"/>
    </row>
    <row r="169" spans="2:23">
      <c r="B169" s="26"/>
      <c r="C169" s="431" t="s">
        <v>369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370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371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372</v>
      </c>
      <c r="D173" s="26">
        <v>44530</v>
      </c>
      <c r="E173" s="77"/>
      <c r="F173" s="431">
        <v>49477.777777777781</v>
      </c>
      <c r="I173" s="160"/>
      <c r="J173" s="160"/>
      <c r="R173" s="27"/>
      <c r="T173" s="431"/>
      <c r="U173" s="431"/>
      <c r="W173" s="431"/>
    </row>
    <row r="174" spans="2:23" s="26" customFormat="1">
      <c r="C174" s="431" t="s">
        <v>373</v>
      </c>
      <c r="D174" s="26">
        <v>91980</v>
      </c>
      <c r="E174" s="77"/>
      <c r="F174" s="431">
        <v>102200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374</v>
      </c>
      <c r="D175" s="26">
        <v>17291.832113965746</v>
      </c>
      <c r="E175" s="77"/>
      <c r="F175" s="431">
        <v>19649.80922041562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375</v>
      </c>
      <c r="D176" s="26">
        <v>89000</v>
      </c>
      <c r="E176" s="77"/>
      <c r="F176" s="431">
        <v>98888.888888888891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376</v>
      </c>
      <c r="D177" s="26">
        <v>8500</v>
      </c>
      <c r="E177" s="77"/>
      <c r="F177" s="431">
        <v>9444.4444444444453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377</v>
      </c>
      <c r="D178" s="26">
        <v>0</v>
      </c>
      <c r="E178" s="77"/>
      <c r="F178" s="431">
        <v>0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378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379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380</v>
      </c>
      <c r="D181" s="26">
        <v>17023.90303030303</v>
      </c>
      <c r="E181" s="77"/>
      <c r="F181" s="431">
        <v>18915.447811447812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381</v>
      </c>
      <c r="D182" s="26">
        <v>0</v>
      </c>
      <c r="E182" s="77"/>
      <c r="F182" s="431">
        <v>0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368</v>
      </c>
      <c r="D183" s="26">
        <v>5000</v>
      </c>
      <c r="E183" s="77"/>
      <c r="F183" s="431">
        <v>5555.5555555555557</v>
      </c>
      <c r="I183" s="160"/>
      <c r="J183" s="160"/>
      <c r="R183" s="27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R184" s="27"/>
      <c r="T184" s="431"/>
      <c r="U184" s="431"/>
      <c r="W184" s="431"/>
    </row>
    <row r="185" spans="3:23" s="26" customFormat="1">
      <c r="C185" s="431" t="s">
        <v>382</v>
      </c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383</v>
      </c>
      <c r="D186" s="26">
        <v>1925</v>
      </c>
      <c r="E186" s="77"/>
      <c r="F186" s="431">
        <v>2138.8888888888887</v>
      </c>
      <c r="I186" s="160"/>
      <c r="J186" s="160"/>
      <c r="R186" s="27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384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0" t="s">
        <v>385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123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31"/>
      <c r="B4" s="106" t="s">
        <v>386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31"/>
      <c r="B5" s="110" t="s">
        <v>125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281087.60303030303</v>
      </c>
      <c r="V5" s="112">
        <f>SUMIFS('Expenditure Breakdown'!$G$6:$G$166, 'Expenditure Breakdown'!$H$6:$H$166, "&gt;="&amp;V1,'Expenditure Breakdown'!$H$6:$H$166, "&lt;"&amp;W1)</f>
        <v>91980</v>
      </c>
      <c r="W5" s="112">
        <f>SUMIFS('Expenditure Breakdown'!$G$6:$G$166, 'Expenditure Breakdown'!$H$6:$H$166, "&gt;="&amp;W1,'Expenditure Breakdown'!$H$6:$H$166, "&lt;"&amp;X1)</f>
        <v>500339.42608695652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19216.832113965746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641030.54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"&lt;"&amp;KF1)</f>
        <v>0</v>
      </c>
      <c r="KF5" s="112">
        <f>SUMIFS('Expenditure Breakdown'!$G$6:$G$166, 'Expenditure Breakdown'!$H$6:$H$166, "&gt;="&amp;KF1,'Expenditure Breakdown'!$H$6:$H$166, "&lt;"&amp;#REF!)</f>
        <v>0</v>
      </c>
      <c r="KG5" s="102"/>
      <c r="KH5" s="113"/>
      <c r="KI5" s="113"/>
    </row>
    <row r="6" spans="1:770" s="114" customFormat="1">
      <c r="A6" s="731"/>
      <c r="B6" s="110" t="s">
        <v>387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31"/>
      <c r="B7" s="115" t="s">
        <v>388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30" t="s">
        <v>120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389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187927.53951961148</v>
      </c>
      <c r="Y9" s="122">
        <f>SUMIFS('Revenue Tracking'!$F$13:$F$20, 'Revenue Tracking'!$P$13:$P$20, "&gt;="&amp;Y1,'Revenue Tracking'!$P$13:$P$20, "&lt;"&amp;Z1)</f>
        <v>93963.769759805742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31"/>
      <c r="B10" s="120" t="s">
        <v>390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31"/>
      <c r="B11" s="123" t="s">
        <v>391</v>
      </c>
      <c r="C11" s="124">
        <f>'Revenue Tracking'!F5</f>
        <v>1370745.5124399513</v>
      </c>
      <c r="D11" s="124">
        <f>SUM(F11:KF11)</f>
        <v>1370745.5124399515</v>
      </c>
      <c r="E11" s="108"/>
      <c r="F11" s="125">
        <f>SUMIFS('Expenditure Breakdown'!$Q$6:$Q$166, 'Expenditure Breakdown'!$W$6:$W$166, "&gt;="&amp;F1,'Expenditure Breakdown'!$W$6:$W$166, "&lt;"&amp;G1)</f>
        <v>8572.5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33182.480000000003</v>
      </c>
      <c r="R11" s="125">
        <f>SUMIFS('Expenditure Breakdown'!$Q$6:$Q$166, 'Expenditure Breakdown'!$W$6:$W$166, "&gt;="&amp;R1,'Expenditure Breakdown'!$W$6:$W$166, "&lt;"&amp;S1)</f>
        <v>29429.82</v>
      </c>
      <c r="S11" s="125">
        <f>SUMIFS('Expenditure Breakdown'!$Q$6:$Q$166, 'Expenditure Breakdown'!$W$6:$W$166, "&gt;="&amp;S1,'Expenditure Breakdown'!$W$6:$W$166, "&lt;"&amp;T1)</f>
        <v>72455.540000000008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33058.527999999998</v>
      </c>
      <c r="V11" s="125">
        <f>SUMIFS('Expenditure Breakdown'!$Q$6:$Q$166, 'Expenditure Breakdown'!$W$6:$W$166, "&gt;="&amp;V1,'Expenditure Breakdown'!$W$6:$W$166, "&lt;"&amp;W1)</f>
        <v>41804.410000000003</v>
      </c>
      <c r="W11" s="125">
        <f>SUMIFS('Expenditure Breakdown'!$Q$6:$Q$166, 'Expenditure Breakdown'!$W$6:$W$166, "&gt;="&amp;W1,'Expenditure Breakdown'!$W$6:$W$166, "&lt;"&amp;X1)</f>
        <v>28591</v>
      </c>
      <c r="X11" s="125">
        <f>SUMIFS('Expenditure Breakdown'!$Q$6:$Q$166, 'Expenditure Breakdown'!$W$6:$W$166, "&gt;="&amp;X1,'Expenditure Breakdown'!$W$6:$W$166, "&lt;"&amp;Y1)</f>
        <v>41323.159999999996</v>
      </c>
      <c r="Y11" s="125">
        <f>SUMIFS('Expenditure Breakdown'!$Q$6:$Q$166, 'Expenditure Breakdown'!$W$6:$W$166, "&gt;="&amp;Y1,'Expenditure Breakdown'!$W$6:$W$166, "&lt;"&amp;Z1)</f>
        <v>12577.5</v>
      </c>
      <c r="Z11" s="125">
        <f>SUMIFS('Expenditure Breakdown'!$Q$6:$Q$166, 'Expenditure Breakdown'!$W$6:$W$166, "&gt;="&amp;Z1,'Expenditure Breakdown'!$W$6:$W$166, "&lt;"&amp;AA1)</f>
        <v>895523.44243995147</v>
      </c>
      <c r="AA11" s="125">
        <f>SUMIFS('Expenditure Breakdown'!$Q$6:$Q$166, 'Expenditure Breakdown'!$W$6:$W$166, "&gt;="&amp;AA1,'Expenditure Breakdown'!$W$6:$W$166, "&lt;"&amp;AB1)</f>
        <v>8745.8819999999996</v>
      </c>
      <c r="AB11" s="125">
        <f>SUMIFS('Expenditure Breakdown'!$Q$6:$Q$166, 'Expenditure Breakdown'!$W$6:$W$166, "&gt;="&amp;AB1,'Expenditure Breakdown'!$W$6:$W$166, "&lt;"&amp;AC1)</f>
        <v>15000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481.25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150000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"&lt;"&amp;KF1)</f>
        <v>0</v>
      </c>
      <c r="KF11" s="125">
        <f>SUMIFS('Expenditure Breakdown'!$Q$6:$Q$166, 'Expenditure Breakdown'!$W$6:$W$166, "&gt;="&amp;KF1,'Expenditure Breakdown'!$W$6:$W$166, "&lt;"&amp;#REF!)</f>
        <v>0</v>
      </c>
      <c r="KG11" s="102"/>
      <c r="KH11" s="113"/>
      <c r="KI11" s="113"/>
    </row>
    <row r="12" spans="1:770" s="114" customFormat="1">
      <c r="A12" s="731"/>
      <c r="B12" s="123" t="s">
        <v>392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71184.800000000003</v>
      </c>
      <c r="S12" s="125">
        <f t="shared" si="26"/>
        <v>143640.34000000003</v>
      </c>
      <c r="T12" s="125">
        <f t="shared" si="26"/>
        <v>143640.34000000003</v>
      </c>
      <c r="U12" s="125">
        <f t="shared" si="26"/>
        <v>176698.86800000002</v>
      </c>
      <c r="V12" s="125">
        <f t="shared" si="26"/>
        <v>218503.27800000002</v>
      </c>
      <c r="W12" s="125">
        <f t="shared" si="26"/>
        <v>247094.27800000002</v>
      </c>
      <c r="X12" s="125">
        <f t="shared" si="26"/>
        <v>288417.43800000002</v>
      </c>
      <c r="Y12" s="125">
        <f t="shared" si="26"/>
        <v>300994.93800000002</v>
      </c>
      <c r="Z12" s="125">
        <f t="shared" si="26"/>
        <v>1196518.3804399516</v>
      </c>
      <c r="AA12" s="125">
        <f t="shared" si="26"/>
        <v>1205264.2624399515</v>
      </c>
      <c r="AB12" s="125">
        <f t="shared" si="26"/>
        <v>1220264.2624399515</v>
      </c>
      <c r="AC12" s="125">
        <f t="shared" si="26"/>
        <v>1220264.2624399515</v>
      </c>
      <c r="AD12" s="125">
        <f>AC12+AD11</f>
        <v>1220264.2624399515</v>
      </c>
      <c r="AE12" s="125">
        <f t="shared" si="26"/>
        <v>1220745.5124399515</v>
      </c>
      <c r="AF12" s="125">
        <f t="shared" si="26"/>
        <v>1220745.5124399515</v>
      </c>
      <c r="AG12" s="125">
        <f t="shared" si="26"/>
        <v>1220745.5124399515</v>
      </c>
      <c r="AH12" s="125">
        <f t="shared" si="26"/>
        <v>1370745.5124399515</v>
      </c>
      <c r="AI12" s="125">
        <f t="shared" si="26"/>
        <v>1370745.5124399515</v>
      </c>
      <c r="AJ12" s="125">
        <f t="shared" si="26"/>
        <v>1370745.5124399515</v>
      </c>
      <c r="AK12" s="125">
        <f t="shared" si="26"/>
        <v>1370745.5124399515</v>
      </c>
      <c r="AL12" s="125">
        <f t="shared" si="26"/>
        <v>1370745.5124399515</v>
      </c>
      <c r="AM12" s="125">
        <f t="shared" si="26"/>
        <v>1370745.5124399515</v>
      </c>
      <c r="AN12" s="125">
        <f t="shared" si="26"/>
        <v>1370745.5124399515</v>
      </c>
      <c r="AO12" s="125">
        <f t="shared" si="26"/>
        <v>1370745.5124399515</v>
      </c>
      <c r="AP12" s="125">
        <f t="shared" si="26"/>
        <v>1370745.5124399515</v>
      </c>
      <c r="AQ12" s="125">
        <f t="shared" si="26"/>
        <v>1370745.5124399515</v>
      </c>
      <c r="AR12" s="125">
        <f t="shared" si="26"/>
        <v>1370745.5124399515</v>
      </c>
      <c r="AS12" s="125">
        <f t="shared" si="26"/>
        <v>1370745.5124399515</v>
      </c>
      <c r="AT12" s="125">
        <f t="shared" si="26"/>
        <v>1370745.5124399515</v>
      </c>
      <c r="AU12" s="125">
        <f t="shared" si="26"/>
        <v>1370745.5124399515</v>
      </c>
      <c r="AV12" s="125">
        <f t="shared" si="26"/>
        <v>1370745.5124399515</v>
      </c>
      <c r="AW12" s="125">
        <f t="shared" si="26"/>
        <v>1370745.5124399515</v>
      </c>
      <c r="AX12" s="125">
        <f t="shared" si="26"/>
        <v>1370745.5124399515</v>
      </c>
      <c r="AY12" s="125">
        <f t="shared" si="26"/>
        <v>1370745.5124399515</v>
      </c>
      <c r="AZ12" s="125">
        <f t="shared" si="26"/>
        <v>1370745.5124399515</v>
      </c>
      <c r="BA12" s="125">
        <f t="shared" si="26"/>
        <v>1370745.5124399515</v>
      </c>
      <c r="BB12" s="125">
        <f t="shared" si="26"/>
        <v>1370745.5124399515</v>
      </c>
      <c r="BC12" s="125">
        <f t="shared" si="26"/>
        <v>1370745.5124399515</v>
      </c>
      <c r="BD12" s="125">
        <f t="shared" si="26"/>
        <v>1370745.5124399515</v>
      </c>
      <c r="BE12" s="125">
        <f t="shared" si="26"/>
        <v>1370745.5124399515</v>
      </c>
      <c r="BF12" s="125">
        <f t="shared" si="26"/>
        <v>1370745.5124399515</v>
      </c>
      <c r="BG12" s="125">
        <f t="shared" si="26"/>
        <v>1370745.5124399515</v>
      </c>
      <c r="BH12" s="125">
        <f t="shared" si="26"/>
        <v>1370745.5124399515</v>
      </c>
      <c r="BI12" s="125">
        <f t="shared" si="26"/>
        <v>1370745.5124399515</v>
      </c>
      <c r="BJ12" s="125">
        <f t="shared" si="26"/>
        <v>1370745.5124399515</v>
      </c>
      <c r="BK12" s="125">
        <f t="shared" si="26"/>
        <v>1370745.5124399515</v>
      </c>
      <c r="BL12" s="125">
        <f t="shared" si="26"/>
        <v>1370745.5124399515</v>
      </c>
      <c r="BM12" s="125">
        <f t="shared" si="26"/>
        <v>1370745.5124399515</v>
      </c>
      <c r="BN12" s="125">
        <f t="shared" si="26"/>
        <v>1370745.5124399515</v>
      </c>
      <c r="BO12" s="125">
        <f t="shared" si="26"/>
        <v>1370745.5124399515</v>
      </c>
      <c r="BP12" s="125">
        <f t="shared" si="26"/>
        <v>1370745.5124399515</v>
      </c>
      <c r="BQ12" s="125">
        <f t="shared" si="26"/>
        <v>1370745.5124399515</v>
      </c>
      <c r="BR12" s="125">
        <f t="shared" si="26"/>
        <v>1370745.5124399515</v>
      </c>
      <c r="BS12" s="125">
        <f t="shared" si="26"/>
        <v>1370745.5124399515</v>
      </c>
      <c r="BT12" s="125">
        <f t="shared" si="26"/>
        <v>1370745.5124399515</v>
      </c>
      <c r="BU12" s="125">
        <f t="shared" ref="BU12:EF12" si="27">BT12+BU11</f>
        <v>1370745.5124399515</v>
      </c>
      <c r="BV12" s="125">
        <f t="shared" si="27"/>
        <v>1370745.5124399515</v>
      </c>
      <c r="BW12" s="125">
        <f t="shared" si="27"/>
        <v>1370745.5124399515</v>
      </c>
      <c r="BX12" s="125">
        <f t="shared" si="27"/>
        <v>1370745.5124399515</v>
      </c>
      <c r="BY12" s="125">
        <f t="shared" si="27"/>
        <v>1370745.5124399515</v>
      </c>
      <c r="BZ12" s="125">
        <f t="shared" si="27"/>
        <v>1370745.5124399515</v>
      </c>
      <c r="CA12" s="125">
        <f t="shared" si="27"/>
        <v>1370745.5124399515</v>
      </c>
      <c r="CB12" s="125">
        <f t="shared" si="27"/>
        <v>1370745.5124399515</v>
      </c>
      <c r="CC12" s="125">
        <f t="shared" si="27"/>
        <v>1370745.5124399515</v>
      </c>
      <c r="CD12" s="125">
        <f t="shared" si="27"/>
        <v>1370745.5124399515</v>
      </c>
      <c r="CE12" s="125">
        <f t="shared" si="27"/>
        <v>1370745.5124399515</v>
      </c>
      <c r="CF12" s="125">
        <f t="shared" si="27"/>
        <v>1370745.5124399515</v>
      </c>
      <c r="CG12" s="125">
        <f t="shared" si="27"/>
        <v>1370745.5124399515</v>
      </c>
      <c r="CH12" s="125">
        <f t="shared" si="27"/>
        <v>1370745.5124399515</v>
      </c>
      <c r="CI12" s="125">
        <f t="shared" si="27"/>
        <v>1370745.5124399515</v>
      </c>
      <c r="CJ12" s="125">
        <f t="shared" si="27"/>
        <v>1370745.5124399515</v>
      </c>
      <c r="CK12" s="125">
        <f t="shared" si="27"/>
        <v>1370745.5124399515</v>
      </c>
      <c r="CL12" s="125">
        <f t="shared" si="27"/>
        <v>1370745.5124399515</v>
      </c>
      <c r="CM12" s="125">
        <f t="shared" si="27"/>
        <v>1370745.5124399515</v>
      </c>
      <c r="CN12" s="125">
        <f t="shared" si="27"/>
        <v>1370745.5124399515</v>
      </c>
      <c r="CO12" s="125">
        <f t="shared" si="27"/>
        <v>1370745.5124399515</v>
      </c>
      <c r="CP12" s="125">
        <f t="shared" si="27"/>
        <v>1370745.5124399515</v>
      </c>
      <c r="CQ12" s="125">
        <f t="shared" si="27"/>
        <v>1370745.5124399515</v>
      </c>
      <c r="CR12" s="125">
        <f t="shared" si="27"/>
        <v>1370745.5124399515</v>
      </c>
      <c r="CS12" s="125">
        <f t="shared" si="27"/>
        <v>1370745.5124399515</v>
      </c>
      <c r="CT12" s="125">
        <f t="shared" si="27"/>
        <v>1370745.5124399515</v>
      </c>
      <c r="CU12" s="125">
        <f t="shared" si="27"/>
        <v>1370745.5124399515</v>
      </c>
      <c r="CV12" s="125">
        <f t="shared" si="27"/>
        <v>1370745.5124399515</v>
      </c>
      <c r="CW12" s="125">
        <f t="shared" si="27"/>
        <v>1370745.5124399515</v>
      </c>
      <c r="CX12" s="125">
        <f t="shared" si="27"/>
        <v>1370745.5124399515</v>
      </c>
      <c r="CY12" s="125">
        <f t="shared" si="27"/>
        <v>1370745.5124399515</v>
      </c>
      <c r="CZ12" s="125">
        <f t="shared" si="27"/>
        <v>1370745.5124399515</v>
      </c>
      <c r="DA12" s="125">
        <f t="shared" si="27"/>
        <v>1370745.5124399515</v>
      </c>
      <c r="DB12" s="125">
        <f t="shared" si="27"/>
        <v>1370745.5124399515</v>
      </c>
      <c r="DC12" s="125">
        <f t="shared" si="27"/>
        <v>1370745.5124399515</v>
      </c>
      <c r="DD12" s="125">
        <f t="shared" si="27"/>
        <v>1370745.5124399515</v>
      </c>
      <c r="DE12" s="125">
        <f t="shared" si="27"/>
        <v>1370745.5124399515</v>
      </c>
      <c r="DF12" s="125">
        <f t="shared" si="27"/>
        <v>1370745.5124399515</v>
      </c>
      <c r="DG12" s="125">
        <f t="shared" si="27"/>
        <v>1370745.5124399515</v>
      </c>
      <c r="DH12" s="125">
        <f t="shared" si="27"/>
        <v>1370745.5124399515</v>
      </c>
      <c r="DI12" s="125">
        <f t="shared" si="27"/>
        <v>1370745.5124399515</v>
      </c>
      <c r="DJ12" s="125">
        <f t="shared" si="27"/>
        <v>1370745.5124399515</v>
      </c>
      <c r="DK12" s="125">
        <f t="shared" si="27"/>
        <v>1370745.5124399515</v>
      </c>
      <c r="DL12" s="125">
        <f t="shared" si="27"/>
        <v>1370745.5124399515</v>
      </c>
      <c r="DM12" s="125">
        <f t="shared" si="27"/>
        <v>1370745.5124399515</v>
      </c>
      <c r="DN12" s="125">
        <f t="shared" si="27"/>
        <v>1370745.5124399515</v>
      </c>
      <c r="DO12" s="125">
        <f t="shared" si="27"/>
        <v>1370745.5124399515</v>
      </c>
      <c r="DP12" s="125">
        <f t="shared" si="27"/>
        <v>1370745.5124399515</v>
      </c>
      <c r="DQ12" s="125">
        <f t="shared" si="27"/>
        <v>1370745.5124399515</v>
      </c>
      <c r="DR12" s="125">
        <f t="shared" si="27"/>
        <v>1370745.5124399515</v>
      </c>
      <c r="DS12" s="125">
        <f t="shared" si="27"/>
        <v>1370745.5124399515</v>
      </c>
      <c r="DT12" s="125">
        <f t="shared" si="27"/>
        <v>1370745.5124399515</v>
      </c>
      <c r="DU12" s="125">
        <f t="shared" si="27"/>
        <v>1370745.5124399515</v>
      </c>
      <c r="DV12" s="125">
        <f t="shared" si="27"/>
        <v>1370745.5124399515</v>
      </c>
      <c r="DW12" s="125">
        <f t="shared" si="27"/>
        <v>1370745.5124399515</v>
      </c>
      <c r="DX12" s="125">
        <f t="shared" si="27"/>
        <v>1370745.5124399515</v>
      </c>
      <c r="DY12" s="125">
        <f t="shared" si="27"/>
        <v>1370745.5124399515</v>
      </c>
      <c r="DZ12" s="125">
        <f t="shared" si="27"/>
        <v>1370745.5124399515</v>
      </c>
      <c r="EA12" s="125">
        <f t="shared" si="27"/>
        <v>1370745.5124399515</v>
      </c>
      <c r="EB12" s="125">
        <f t="shared" si="27"/>
        <v>1370745.5124399515</v>
      </c>
      <c r="EC12" s="125">
        <f t="shared" si="27"/>
        <v>1370745.5124399515</v>
      </c>
      <c r="ED12" s="125">
        <f t="shared" si="27"/>
        <v>1370745.5124399515</v>
      </c>
      <c r="EE12" s="125">
        <f t="shared" si="27"/>
        <v>1370745.5124399515</v>
      </c>
      <c r="EF12" s="125">
        <f t="shared" si="27"/>
        <v>1370745.5124399515</v>
      </c>
      <c r="EG12" s="125">
        <f t="shared" ref="EG12:GR12" si="28">EF12+EG11</f>
        <v>1370745.5124399515</v>
      </c>
      <c r="EH12" s="125">
        <f t="shared" si="28"/>
        <v>1370745.5124399515</v>
      </c>
      <c r="EI12" s="125">
        <f t="shared" si="28"/>
        <v>1370745.5124399515</v>
      </c>
      <c r="EJ12" s="125">
        <f t="shared" si="28"/>
        <v>1370745.5124399515</v>
      </c>
      <c r="EK12" s="125">
        <f t="shared" si="28"/>
        <v>1370745.5124399515</v>
      </c>
      <c r="EL12" s="125">
        <f t="shared" si="28"/>
        <v>1370745.5124399515</v>
      </c>
      <c r="EM12" s="125">
        <f t="shared" si="28"/>
        <v>1370745.5124399515</v>
      </c>
      <c r="EN12" s="125">
        <f t="shared" si="28"/>
        <v>1370745.5124399515</v>
      </c>
      <c r="EO12" s="125">
        <f t="shared" si="28"/>
        <v>1370745.5124399515</v>
      </c>
      <c r="EP12" s="125">
        <f t="shared" si="28"/>
        <v>1370745.5124399515</v>
      </c>
      <c r="EQ12" s="125">
        <f t="shared" si="28"/>
        <v>1370745.5124399515</v>
      </c>
      <c r="ER12" s="125">
        <f t="shared" si="28"/>
        <v>1370745.5124399515</v>
      </c>
      <c r="ES12" s="125">
        <f t="shared" si="28"/>
        <v>1370745.5124399515</v>
      </c>
      <c r="ET12" s="125">
        <f t="shared" si="28"/>
        <v>1370745.5124399515</v>
      </c>
      <c r="EU12" s="125">
        <f t="shared" si="28"/>
        <v>1370745.5124399515</v>
      </c>
      <c r="EV12" s="125">
        <f t="shared" si="28"/>
        <v>1370745.5124399515</v>
      </c>
      <c r="EW12" s="125">
        <f t="shared" si="28"/>
        <v>1370745.5124399515</v>
      </c>
      <c r="EX12" s="125">
        <f t="shared" si="28"/>
        <v>1370745.5124399515</v>
      </c>
      <c r="EY12" s="125">
        <f t="shared" si="28"/>
        <v>1370745.5124399515</v>
      </c>
      <c r="EZ12" s="125">
        <f t="shared" si="28"/>
        <v>1370745.5124399515</v>
      </c>
      <c r="FA12" s="125">
        <f t="shared" si="28"/>
        <v>1370745.5124399515</v>
      </c>
      <c r="FB12" s="125">
        <f t="shared" si="28"/>
        <v>1370745.5124399515</v>
      </c>
      <c r="FC12" s="125">
        <f t="shared" si="28"/>
        <v>1370745.5124399515</v>
      </c>
      <c r="FD12" s="125">
        <f t="shared" si="28"/>
        <v>1370745.5124399515</v>
      </c>
      <c r="FE12" s="125">
        <f t="shared" si="28"/>
        <v>1370745.5124399515</v>
      </c>
      <c r="FF12" s="125">
        <f t="shared" si="28"/>
        <v>1370745.5124399515</v>
      </c>
      <c r="FG12" s="125">
        <f t="shared" si="28"/>
        <v>1370745.5124399515</v>
      </c>
      <c r="FH12" s="125">
        <f t="shared" si="28"/>
        <v>1370745.5124399515</v>
      </c>
      <c r="FI12" s="125">
        <f t="shared" si="28"/>
        <v>1370745.5124399515</v>
      </c>
      <c r="FJ12" s="125">
        <f t="shared" si="28"/>
        <v>1370745.5124399515</v>
      </c>
      <c r="FK12" s="125">
        <f t="shared" si="28"/>
        <v>1370745.5124399515</v>
      </c>
      <c r="FL12" s="125">
        <f t="shared" si="28"/>
        <v>1370745.5124399515</v>
      </c>
      <c r="FM12" s="125">
        <f t="shared" si="28"/>
        <v>1370745.5124399515</v>
      </c>
      <c r="FN12" s="125">
        <f t="shared" si="28"/>
        <v>1370745.5124399515</v>
      </c>
      <c r="FO12" s="125">
        <f t="shared" si="28"/>
        <v>1370745.5124399515</v>
      </c>
      <c r="FP12" s="125">
        <f t="shared" si="28"/>
        <v>1370745.5124399515</v>
      </c>
      <c r="FQ12" s="125">
        <f t="shared" si="28"/>
        <v>1370745.5124399515</v>
      </c>
      <c r="FR12" s="125">
        <f t="shared" si="28"/>
        <v>1370745.5124399515</v>
      </c>
      <c r="FS12" s="125">
        <f t="shared" si="28"/>
        <v>1370745.5124399515</v>
      </c>
      <c r="FT12" s="125">
        <f t="shared" si="28"/>
        <v>1370745.5124399515</v>
      </c>
      <c r="FU12" s="125">
        <f t="shared" si="28"/>
        <v>1370745.5124399515</v>
      </c>
      <c r="FV12" s="125">
        <f t="shared" si="28"/>
        <v>1370745.5124399515</v>
      </c>
      <c r="FW12" s="125">
        <f t="shared" si="28"/>
        <v>1370745.5124399515</v>
      </c>
      <c r="FX12" s="125">
        <f t="shared" si="28"/>
        <v>1370745.5124399515</v>
      </c>
      <c r="FY12" s="125">
        <f t="shared" si="28"/>
        <v>1370745.5124399515</v>
      </c>
      <c r="FZ12" s="125">
        <f t="shared" si="28"/>
        <v>1370745.5124399515</v>
      </c>
      <c r="GA12" s="125">
        <f t="shared" si="28"/>
        <v>1370745.5124399515</v>
      </c>
      <c r="GB12" s="125">
        <f t="shared" si="28"/>
        <v>1370745.5124399515</v>
      </c>
      <c r="GC12" s="125">
        <f t="shared" si="28"/>
        <v>1370745.5124399515</v>
      </c>
      <c r="GD12" s="125">
        <f t="shared" si="28"/>
        <v>1370745.5124399515</v>
      </c>
      <c r="GE12" s="125">
        <f t="shared" si="28"/>
        <v>1370745.5124399515</v>
      </c>
      <c r="GF12" s="125">
        <f t="shared" si="28"/>
        <v>1370745.5124399515</v>
      </c>
      <c r="GG12" s="125">
        <f t="shared" si="28"/>
        <v>1370745.5124399515</v>
      </c>
      <c r="GH12" s="125">
        <f t="shared" si="28"/>
        <v>1370745.5124399515</v>
      </c>
      <c r="GI12" s="125">
        <f t="shared" si="28"/>
        <v>1370745.5124399515</v>
      </c>
      <c r="GJ12" s="125">
        <f t="shared" si="28"/>
        <v>1370745.5124399515</v>
      </c>
      <c r="GK12" s="125">
        <f t="shared" si="28"/>
        <v>1370745.5124399515</v>
      </c>
      <c r="GL12" s="125">
        <f t="shared" si="28"/>
        <v>1370745.5124399515</v>
      </c>
      <c r="GM12" s="125">
        <f t="shared" si="28"/>
        <v>1370745.5124399515</v>
      </c>
      <c r="GN12" s="125">
        <f t="shared" si="28"/>
        <v>1370745.5124399515</v>
      </c>
      <c r="GO12" s="125">
        <f t="shared" si="28"/>
        <v>1370745.5124399515</v>
      </c>
      <c r="GP12" s="125">
        <f t="shared" si="28"/>
        <v>1370745.5124399515</v>
      </c>
      <c r="GQ12" s="125">
        <f t="shared" si="28"/>
        <v>1370745.5124399515</v>
      </c>
      <c r="GR12" s="125">
        <f t="shared" si="28"/>
        <v>1370745.5124399515</v>
      </c>
      <c r="GS12" s="125">
        <f t="shared" ref="GS12:JD12" si="29">GR12+GS11</f>
        <v>1370745.5124399515</v>
      </c>
      <c r="GT12" s="125">
        <f t="shared" si="29"/>
        <v>1370745.5124399515</v>
      </c>
      <c r="GU12" s="125">
        <f t="shared" si="29"/>
        <v>1370745.5124399515</v>
      </c>
      <c r="GV12" s="125">
        <f t="shared" si="29"/>
        <v>1370745.5124399515</v>
      </c>
      <c r="GW12" s="125">
        <f t="shared" si="29"/>
        <v>1370745.5124399515</v>
      </c>
      <c r="GX12" s="125">
        <f t="shared" si="29"/>
        <v>1370745.5124399515</v>
      </c>
      <c r="GY12" s="125">
        <f t="shared" si="29"/>
        <v>1370745.5124399515</v>
      </c>
      <c r="GZ12" s="125">
        <f t="shared" si="29"/>
        <v>1370745.5124399515</v>
      </c>
      <c r="HA12" s="125">
        <f t="shared" si="29"/>
        <v>1370745.5124399515</v>
      </c>
      <c r="HB12" s="125">
        <f t="shared" si="29"/>
        <v>1370745.5124399515</v>
      </c>
      <c r="HC12" s="125">
        <f t="shared" si="29"/>
        <v>1370745.5124399515</v>
      </c>
      <c r="HD12" s="125">
        <f t="shared" si="29"/>
        <v>1370745.5124399515</v>
      </c>
      <c r="HE12" s="125">
        <f t="shared" si="29"/>
        <v>1370745.5124399515</v>
      </c>
      <c r="HF12" s="125">
        <f t="shared" si="29"/>
        <v>1370745.5124399515</v>
      </c>
      <c r="HG12" s="125">
        <f t="shared" si="29"/>
        <v>1370745.5124399515</v>
      </c>
      <c r="HH12" s="125">
        <f t="shared" si="29"/>
        <v>1370745.5124399515</v>
      </c>
      <c r="HI12" s="125">
        <f t="shared" si="29"/>
        <v>1370745.5124399515</v>
      </c>
      <c r="HJ12" s="125">
        <f t="shared" si="29"/>
        <v>1370745.5124399515</v>
      </c>
      <c r="HK12" s="125">
        <f t="shared" si="29"/>
        <v>1370745.5124399515</v>
      </c>
      <c r="HL12" s="125">
        <f t="shared" si="29"/>
        <v>1370745.5124399515</v>
      </c>
      <c r="HM12" s="125">
        <f t="shared" si="29"/>
        <v>1370745.5124399515</v>
      </c>
      <c r="HN12" s="125">
        <f t="shared" si="29"/>
        <v>1370745.5124399515</v>
      </c>
      <c r="HO12" s="125">
        <f t="shared" si="29"/>
        <v>1370745.5124399515</v>
      </c>
      <c r="HP12" s="125">
        <f t="shared" si="29"/>
        <v>1370745.5124399515</v>
      </c>
      <c r="HQ12" s="125">
        <f t="shared" si="29"/>
        <v>1370745.5124399515</v>
      </c>
      <c r="HR12" s="125">
        <f t="shared" si="29"/>
        <v>1370745.5124399515</v>
      </c>
      <c r="HS12" s="125">
        <f t="shared" si="29"/>
        <v>1370745.5124399515</v>
      </c>
      <c r="HT12" s="125">
        <f t="shared" si="29"/>
        <v>1370745.5124399515</v>
      </c>
      <c r="HU12" s="125">
        <f t="shared" si="29"/>
        <v>1370745.5124399515</v>
      </c>
      <c r="HV12" s="125">
        <f t="shared" si="29"/>
        <v>1370745.5124399515</v>
      </c>
      <c r="HW12" s="125">
        <f t="shared" si="29"/>
        <v>1370745.5124399515</v>
      </c>
      <c r="HX12" s="125">
        <f t="shared" si="29"/>
        <v>1370745.5124399515</v>
      </c>
      <c r="HY12" s="125">
        <f t="shared" si="29"/>
        <v>1370745.5124399515</v>
      </c>
      <c r="HZ12" s="125">
        <f t="shared" si="29"/>
        <v>1370745.5124399515</v>
      </c>
      <c r="IA12" s="125">
        <f t="shared" si="29"/>
        <v>1370745.5124399515</v>
      </c>
      <c r="IB12" s="125">
        <f t="shared" si="29"/>
        <v>1370745.5124399515</v>
      </c>
      <c r="IC12" s="125">
        <f t="shared" si="29"/>
        <v>1370745.5124399515</v>
      </c>
      <c r="ID12" s="125">
        <f t="shared" si="29"/>
        <v>1370745.5124399515</v>
      </c>
      <c r="IE12" s="125">
        <f t="shared" si="29"/>
        <v>1370745.5124399515</v>
      </c>
      <c r="IF12" s="125">
        <f t="shared" si="29"/>
        <v>1370745.5124399515</v>
      </c>
      <c r="IG12" s="125">
        <f t="shared" si="29"/>
        <v>1370745.5124399515</v>
      </c>
      <c r="IH12" s="125">
        <f t="shared" si="29"/>
        <v>1370745.5124399515</v>
      </c>
      <c r="II12" s="125">
        <f t="shared" si="29"/>
        <v>1370745.5124399515</v>
      </c>
      <c r="IJ12" s="125">
        <f t="shared" si="29"/>
        <v>1370745.5124399515</v>
      </c>
      <c r="IK12" s="125">
        <f t="shared" si="29"/>
        <v>1370745.5124399515</v>
      </c>
      <c r="IL12" s="125">
        <f t="shared" si="29"/>
        <v>1370745.5124399515</v>
      </c>
      <c r="IM12" s="125">
        <f t="shared" si="29"/>
        <v>1370745.5124399515</v>
      </c>
      <c r="IN12" s="125">
        <f t="shared" si="29"/>
        <v>1370745.5124399515</v>
      </c>
      <c r="IO12" s="125">
        <f t="shared" si="29"/>
        <v>1370745.5124399515</v>
      </c>
      <c r="IP12" s="125">
        <f t="shared" si="29"/>
        <v>1370745.5124399515</v>
      </c>
      <c r="IQ12" s="125">
        <f t="shared" si="29"/>
        <v>1370745.5124399515</v>
      </c>
      <c r="IR12" s="125">
        <f t="shared" si="29"/>
        <v>1370745.5124399515</v>
      </c>
      <c r="IS12" s="125">
        <f t="shared" si="29"/>
        <v>1370745.5124399515</v>
      </c>
      <c r="IT12" s="125">
        <f t="shared" si="29"/>
        <v>1370745.5124399515</v>
      </c>
      <c r="IU12" s="125">
        <f t="shared" si="29"/>
        <v>1370745.5124399515</v>
      </c>
      <c r="IV12" s="125">
        <f t="shared" si="29"/>
        <v>1370745.5124399515</v>
      </c>
      <c r="IW12" s="125">
        <f t="shared" si="29"/>
        <v>1370745.5124399515</v>
      </c>
      <c r="IX12" s="125">
        <f t="shared" si="29"/>
        <v>1370745.5124399515</v>
      </c>
      <c r="IY12" s="125">
        <f t="shared" si="29"/>
        <v>1370745.5124399515</v>
      </c>
      <c r="IZ12" s="125">
        <f t="shared" si="29"/>
        <v>1370745.5124399515</v>
      </c>
      <c r="JA12" s="125">
        <f t="shared" si="29"/>
        <v>1370745.5124399515</v>
      </c>
      <c r="JB12" s="125">
        <f t="shared" si="29"/>
        <v>1370745.5124399515</v>
      </c>
      <c r="JC12" s="125">
        <f t="shared" si="29"/>
        <v>1370745.5124399515</v>
      </c>
      <c r="JD12" s="125">
        <f t="shared" si="29"/>
        <v>1370745.5124399515</v>
      </c>
      <c r="JE12" s="125">
        <f t="shared" ref="JE12:KF12" si="30">JD12+JE11</f>
        <v>1370745.5124399515</v>
      </c>
      <c r="JF12" s="125">
        <f t="shared" si="30"/>
        <v>1370745.5124399515</v>
      </c>
      <c r="JG12" s="125">
        <f t="shared" si="30"/>
        <v>1370745.5124399515</v>
      </c>
      <c r="JH12" s="125">
        <f t="shared" si="30"/>
        <v>1370745.5124399515</v>
      </c>
      <c r="JI12" s="125">
        <f t="shared" si="30"/>
        <v>1370745.5124399515</v>
      </c>
      <c r="JJ12" s="125">
        <f t="shared" si="30"/>
        <v>1370745.5124399515</v>
      </c>
      <c r="JK12" s="125">
        <f t="shared" si="30"/>
        <v>1370745.5124399515</v>
      </c>
      <c r="JL12" s="125">
        <f t="shared" si="30"/>
        <v>1370745.5124399515</v>
      </c>
      <c r="JM12" s="125">
        <f t="shared" si="30"/>
        <v>1370745.5124399515</v>
      </c>
      <c r="JN12" s="125">
        <f t="shared" si="30"/>
        <v>1370745.5124399515</v>
      </c>
      <c r="JO12" s="125">
        <f t="shared" si="30"/>
        <v>1370745.5124399515</v>
      </c>
      <c r="JP12" s="125">
        <f t="shared" si="30"/>
        <v>1370745.5124399515</v>
      </c>
      <c r="JQ12" s="125">
        <f t="shared" si="30"/>
        <v>1370745.5124399515</v>
      </c>
      <c r="JR12" s="125">
        <f t="shared" si="30"/>
        <v>1370745.5124399515</v>
      </c>
      <c r="JS12" s="125">
        <f t="shared" si="30"/>
        <v>1370745.5124399515</v>
      </c>
      <c r="JT12" s="125">
        <f t="shared" si="30"/>
        <v>1370745.5124399515</v>
      </c>
      <c r="JU12" s="125">
        <f t="shared" si="30"/>
        <v>1370745.5124399515</v>
      </c>
      <c r="JV12" s="125">
        <f t="shared" si="30"/>
        <v>1370745.5124399515</v>
      </c>
      <c r="JW12" s="125">
        <f t="shared" si="30"/>
        <v>1370745.5124399515</v>
      </c>
      <c r="JX12" s="125">
        <f t="shared" si="30"/>
        <v>1370745.5124399515</v>
      </c>
      <c r="JY12" s="125">
        <f t="shared" si="30"/>
        <v>1370745.5124399515</v>
      </c>
      <c r="JZ12" s="125">
        <f t="shared" si="30"/>
        <v>1370745.5124399515</v>
      </c>
      <c r="KA12" s="125">
        <f t="shared" si="30"/>
        <v>1370745.5124399515</v>
      </c>
      <c r="KB12" s="125">
        <f t="shared" si="30"/>
        <v>1370745.5124399515</v>
      </c>
      <c r="KC12" s="125">
        <f t="shared" si="30"/>
        <v>1370745.5124399515</v>
      </c>
      <c r="KD12" s="125">
        <f t="shared" si="30"/>
        <v>1370745.5124399515</v>
      </c>
      <c r="KE12" s="125">
        <f t="shared" si="30"/>
        <v>1370745.5124399515</v>
      </c>
      <c r="KF12" s="125">
        <f t="shared" si="30"/>
        <v>1370745.5124399515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393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398634.04879902903</v>
      </c>
      <c r="S14" s="118">
        <f t="shared" si="32"/>
        <v>326178.50879902899</v>
      </c>
      <c r="T14" s="118">
        <f t="shared" si="32"/>
        <v>1453743.7459166979</v>
      </c>
      <c r="U14" s="118">
        <f t="shared" si="32"/>
        <v>1420685.217916698</v>
      </c>
      <c r="V14" s="118">
        <f t="shared" si="32"/>
        <v>1378880.807916698</v>
      </c>
      <c r="W14" s="118">
        <f t="shared" si="32"/>
        <v>1350289.807916698</v>
      </c>
      <c r="X14" s="118">
        <f t="shared" si="32"/>
        <v>1496894.1874363094</v>
      </c>
      <c r="Y14" s="118">
        <f t="shared" si="32"/>
        <v>1578280.4571961151</v>
      </c>
      <c r="Z14" s="118">
        <f t="shared" si="32"/>
        <v>682757.01475616358</v>
      </c>
      <c r="AA14" s="118">
        <f t="shared" si="32"/>
        <v>674011.1327561636</v>
      </c>
      <c r="AB14" s="118">
        <f t="shared" si="32"/>
        <v>659011.1327561636</v>
      </c>
      <c r="AC14" s="118">
        <f t="shared" si="32"/>
        <v>659011.1327561636</v>
      </c>
      <c r="AD14" s="118">
        <f t="shared" si="32"/>
        <v>659011.1327561636</v>
      </c>
      <c r="AE14" s="118">
        <f t="shared" si="32"/>
        <v>658529.8827561636</v>
      </c>
      <c r="AF14" s="118">
        <f t="shared" si="32"/>
        <v>658529.8827561636</v>
      </c>
      <c r="AG14" s="118">
        <f t="shared" si="32"/>
        <v>658529.8827561636</v>
      </c>
      <c r="AH14" s="118">
        <f t="shared" si="32"/>
        <v>508529.8827561636</v>
      </c>
      <c r="AI14" s="118">
        <f t="shared" si="32"/>
        <v>508529.8827561636</v>
      </c>
      <c r="AJ14" s="118">
        <f t="shared" si="32"/>
        <v>508529.8827561636</v>
      </c>
      <c r="AK14" s="118">
        <f t="shared" si="32"/>
        <v>508529.8827561636</v>
      </c>
      <c r="AL14" s="118">
        <f t="shared" si="32"/>
        <v>508529.8827561636</v>
      </c>
      <c r="AM14" s="118">
        <f t="shared" si="32"/>
        <v>508529.8827561636</v>
      </c>
      <c r="AN14" s="118">
        <f t="shared" si="32"/>
        <v>508529.8827561636</v>
      </c>
      <c r="AO14" s="118">
        <f t="shared" si="32"/>
        <v>508529.8827561636</v>
      </c>
      <c r="AP14" s="118">
        <f t="shared" si="32"/>
        <v>508529.8827561636</v>
      </c>
      <c r="AQ14" s="118">
        <f t="shared" si="32"/>
        <v>508529.8827561636</v>
      </c>
      <c r="AR14" s="118">
        <f t="shared" si="32"/>
        <v>508529.8827561636</v>
      </c>
      <c r="AS14" s="118">
        <f t="shared" si="32"/>
        <v>508529.8827561636</v>
      </c>
      <c r="AT14" s="118">
        <f t="shared" si="32"/>
        <v>508529.8827561636</v>
      </c>
      <c r="AU14" s="118">
        <f t="shared" si="32"/>
        <v>508529.8827561636</v>
      </c>
      <c r="AV14" s="118">
        <f t="shared" si="32"/>
        <v>508529.8827561636</v>
      </c>
      <c r="AW14" s="118">
        <f t="shared" si="32"/>
        <v>508529.8827561636</v>
      </c>
      <c r="AX14" s="118">
        <f t="shared" si="32"/>
        <v>508529.8827561636</v>
      </c>
      <c r="AY14" s="118">
        <f t="shared" si="32"/>
        <v>508529.8827561636</v>
      </c>
      <c r="AZ14" s="118">
        <f t="shared" si="32"/>
        <v>508529.8827561636</v>
      </c>
      <c r="BA14" s="118">
        <f t="shared" si="32"/>
        <v>508529.8827561636</v>
      </c>
      <c r="BB14" s="118">
        <f t="shared" si="32"/>
        <v>508529.8827561636</v>
      </c>
      <c r="BC14" s="118">
        <f t="shared" si="32"/>
        <v>508529.8827561636</v>
      </c>
      <c r="BD14" s="118">
        <f t="shared" si="32"/>
        <v>508529.8827561636</v>
      </c>
      <c r="BE14" s="118">
        <f t="shared" si="32"/>
        <v>508529.8827561636</v>
      </c>
      <c r="BF14" s="118">
        <f t="shared" si="32"/>
        <v>508529.8827561636</v>
      </c>
      <c r="BG14" s="118">
        <f t="shared" si="32"/>
        <v>508529.8827561636</v>
      </c>
      <c r="BH14" s="118">
        <f t="shared" si="32"/>
        <v>508529.8827561636</v>
      </c>
      <c r="BI14" s="118">
        <f t="shared" si="32"/>
        <v>508529.8827561636</v>
      </c>
      <c r="BJ14" s="118">
        <f t="shared" si="32"/>
        <v>508529.8827561636</v>
      </c>
      <c r="BK14" s="118">
        <f t="shared" si="32"/>
        <v>508529.8827561636</v>
      </c>
      <c r="BL14" s="118">
        <f t="shared" si="32"/>
        <v>508529.8827561636</v>
      </c>
      <c r="BM14" s="118">
        <f t="shared" si="32"/>
        <v>508529.8827561636</v>
      </c>
      <c r="BN14" s="118">
        <f t="shared" si="32"/>
        <v>508529.8827561636</v>
      </c>
      <c r="BO14" s="118">
        <f t="shared" si="32"/>
        <v>508529.8827561636</v>
      </c>
      <c r="BP14" s="118">
        <f t="shared" si="32"/>
        <v>508529.8827561636</v>
      </c>
      <c r="BQ14" s="118">
        <f t="shared" si="32"/>
        <v>508529.8827561636</v>
      </c>
      <c r="BR14" s="118">
        <f t="shared" si="32"/>
        <v>508529.8827561636</v>
      </c>
      <c r="BS14" s="118">
        <f t="shared" si="32"/>
        <v>508529.8827561636</v>
      </c>
      <c r="BT14" s="118">
        <f t="shared" si="32"/>
        <v>508529.8827561636</v>
      </c>
      <c r="BU14" s="118">
        <f t="shared" ref="BU14:EF14" si="33">BU10-BU12</f>
        <v>508529.8827561636</v>
      </c>
      <c r="BV14" s="118">
        <f t="shared" si="33"/>
        <v>508529.8827561636</v>
      </c>
      <c r="BW14" s="118">
        <f t="shared" si="33"/>
        <v>508529.8827561636</v>
      </c>
      <c r="BX14" s="118">
        <f t="shared" si="33"/>
        <v>508529.8827561636</v>
      </c>
      <c r="BY14" s="118">
        <f t="shared" si="33"/>
        <v>508529.8827561636</v>
      </c>
      <c r="BZ14" s="118">
        <f t="shared" si="33"/>
        <v>508529.8827561636</v>
      </c>
      <c r="CA14" s="118">
        <f t="shared" si="33"/>
        <v>508529.8827561636</v>
      </c>
      <c r="CB14" s="118">
        <f t="shared" si="33"/>
        <v>508529.8827561636</v>
      </c>
      <c r="CC14" s="118">
        <f t="shared" si="33"/>
        <v>508529.8827561636</v>
      </c>
      <c r="CD14" s="118">
        <f t="shared" si="33"/>
        <v>508529.8827561636</v>
      </c>
      <c r="CE14" s="118">
        <f t="shared" si="33"/>
        <v>508529.8827561636</v>
      </c>
      <c r="CF14" s="118">
        <f t="shared" si="33"/>
        <v>508529.8827561636</v>
      </c>
      <c r="CG14" s="118">
        <f t="shared" si="33"/>
        <v>508529.8827561636</v>
      </c>
      <c r="CH14" s="118">
        <f t="shared" si="33"/>
        <v>508529.8827561636</v>
      </c>
      <c r="CI14" s="118">
        <f t="shared" si="33"/>
        <v>508529.8827561636</v>
      </c>
      <c r="CJ14" s="118">
        <f t="shared" si="33"/>
        <v>508529.8827561636</v>
      </c>
      <c r="CK14" s="118">
        <f t="shared" si="33"/>
        <v>508529.8827561636</v>
      </c>
      <c r="CL14" s="118">
        <f t="shared" si="33"/>
        <v>508529.8827561636</v>
      </c>
      <c r="CM14" s="118">
        <f t="shared" si="33"/>
        <v>508529.8827561636</v>
      </c>
      <c r="CN14" s="118">
        <f t="shared" si="33"/>
        <v>508529.8827561636</v>
      </c>
      <c r="CO14" s="118">
        <f t="shared" si="33"/>
        <v>508529.8827561636</v>
      </c>
      <c r="CP14" s="118">
        <f t="shared" si="33"/>
        <v>508529.8827561636</v>
      </c>
      <c r="CQ14" s="118">
        <f t="shared" si="33"/>
        <v>508529.8827561636</v>
      </c>
      <c r="CR14" s="118">
        <f t="shared" si="33"/>
        <v>508529.8827561636</v>
      </c>
      <c r="CS14" s="118">
        <f t="shared" si="33"/>
        <v>508529.8827561636</v>
      </c>
      <c r="CT14" s="118">
        <f t="shared" si="33"/>
        <v>508529.8827561636</v>
      </c>
      <c r="CU14" s="118">
        <f t="shared" si="33"/>
        <v>508529.8827561636</v>
      </c>
      <c r="CV14" s="118">
        <f t="shared" si="33"/>
        <v>508529.8827561636</v>
      </c>
      <c r="CW14" s="118">
        <f t="shared" si="33"/>
        <v>508529.8827561636</v>
      </c>
      <c r="CX14" s="118">
        <f t="shared" si="33"/>
        <v>508529.8827561636</v>
      </c>
      <c r="CY14" s="118">
        <f t="shared" si="33"/>
        <v>508529.8827561636</v>
      </c>
      <c r="CZ14" s="118">
        <f t="shared" si="33"/>
        <v>508529.8827561636</v>
      </c>
      <c r="DA14" s="118">
        <f t="shared" si="33"/>
        <v>508529.8827561636</v>
      </c>
      <c r="DB14" s="118">
        <f t="shared" si="33"/>
        <v>508529.8827561636</v>
      </c>
      <c r="DC14" s="118">
        <f t="shared" si="33"/>
        <v>508529.8827561636</v>
      </c>
      <c r="DD14" s="118">
        <f t="shared" si="33"/>
        <v>508529.8827561636</v>
      </c>
      <c r="DE14" s="118">
        <f t="shared" si="33"/>
        <v>508529.8827561636</v>
      </c>
      <c r="DF14" s="118">
        <f t="shared" si="33"/>
        <v>508529.8827561636</v>
      </c>
      <c r="DG14" s="118">
        <f t="shared" si="33"/>
        <v>508529.8827561636</v>
      </c>
      <c r="DH14" s="118">
        <f t="shared" si="33"/>
        <v>508529.8827561636</v>
      </c>
      <c r="DI14" s="118">
        <f t="shared" si="33"/>
        <v>508529.8827561636</v>
      </c>
      <c r="DJ14" s="118">
        <f t="shared" si="33"/>
        <v>508529.8827561636</v>
      </c>
      <c r="DK14" s="118">
        <f t="shared" si="33"/>
        <v>508529.8827561636</v>
      </c>
      <c r="DL14" s="118">
        <f t="shared" si="33"/>
        <v>508529.8827561636</v>
      </c>
      <c r="DM14" s="118">
        <f t="shared" si="33"/>
        <v>508529.8827561636</v>
      </c>
      <c r="DN14" s="118">
        <f t="shared" si="33"/>
        <v>508529.8827561636</v>
      </c>
      <c r="DO14" s="118">
        <f t="shared" si="33"/>
        <v>508529.8827561636</v>
      </c>
      <c r="DP14" s="118">
        <f t="shared" si="33"/>
        <v>508529.8827561636</v>
      </c>
      <c r="DQ14" s="118">
        <f t="shared" si="33"/>
        <v>508529.8827561636</v>
      </c>
      <c r="DR14" s="118">
        <f t="shared" si="33"/>
        <v>508529.8827561636</v>
      </c>
      <c r="DS14" s="118">
        <f t="shared" si="33"/>
        <v>508529.8827561636</v>
      </c>
      <c r="DT14" s="118">
        <f t="shared" si="33"/>
        <v>508529.8827561636</v>
      </c>
      <c r="DU14" s="118">
        <f t="shared" si="33"/>
        <v>508529.8827561636</v>
      </c>
      <c r="DV14" s="118">
        <f t="shared" si="33"/>
        <v>508529.8827561636</v>
      </c>
      <c r="DW14" s="118">
        <f t="shared" si="33"/>
        <v>508529.8827561636</v>
      </c>
      <c r="DX14" s="118">
        <f t="shared" si="33"/>
        <v>508529.8827561636</v>
      </c>
      <c r="DY14" s="118">
        <f t="shared" si="33"/>
        <v>508529.8827561636</v>
      </c>
      <c r="DZ14" s="118">
        <f t="shared" si="33"/>
        <v>508529.8827561636</v>
      </c>
      <c r="EA14" s="118">
        <f t="shared" si="33"/>
        <v>508529.8827561636</v>
      </c>
      <c r="EB14" s="118">
        <f t="shared" si="33"/>
        <v>508529.8827561636</v>
      </c>
      <c r="EC14" s="118">
        <f t="shared" si="33"/>
        <v>508529.8827561636</v>
      </c>
      <c r="ED14" s="118">
        <f t="shared" si="33"/>
        <v>508529.8827561636</v>
      </c>
      <c r="EE14" s="118">
        <f t="shared" si="33"/>
        <v>508529.8827561636</v>
      </c>
      <c r="EF14" s="118">
        <f t="shared" si="33"/>
        <v>508529.8827561636</v>
      </c>
      <c r="EG14" s="118">
        <f t="shared" ref="EG14:GR14" si="34">EG10-EG12</f>
        <v>508529.8827561636</v>
      </c>
      <c r="EH14" s="118">
        <f t="shared" si="34"/>
        <v>508529.8827561636</v>
      </c>
      <c r="EI14" s="118">
        <f t="shared" si="34"/>
        <v>508529.8827561636</v>
      </c>
      <c r="EJ14" s="118">
        <f t="shared" si="34"/>
        <v>508529.8827561636</v>
      </c>
      <c r="EK14" s="118">
        <f t="shared" si="34"/>
        <v>508529.8827561636</v>
      </c>
      <c r="EL14" s="118">
        <f t="shared" si="34"/>
        <v>508529.8827561636</v>
      </c>
      <c r="EM14" s="118">
        <f t="shared" si="34"/>
        <v>508529.8827561636</v>
      </c>
      <c r="EN14" s="118">
        <f t="shared" si="34"/>
        <v>508529.8827561636</v>
      </c>
      <c r="EO14" s="118">
        <f t="shared" si="34"/>
        <v>508529.8827561636</v>
      </c>
      <c r="EP14" s="118">
        <f t="shared" si="34"/>
        <v>508529.8827561636</v>
      </c>
      <c r="EQ14" s="118">
        <f t="shared" si="34"/>
        <v>508529.8827561636</v>
      </c>
      <c r="ER14" s="118">
        <f t="shared" si="34"/>
        <v>508529.8827561636</v>
      </c>
      <c r="ES14" s="118">
        <f t="shared" si="34"/>
        <v>508529.8827561636</v>
      </c>
      <c r="ET14" s="118">
        <f t="shared" si="34"/>
        <v>508529.8827561636</v>
      </c>
      <c r="EU14" s="118">
        <f t="shared" si="34"/>
        <v>508529.8827561636</v>
      </c>
      <c r="EV14" s="118">
        <f t="shared" si="34"/>
        <v>508529.8827561636</v>
      </c>
      <c r="EW14" s="118">
        <f t="shared" si="34"/>
        <v>508529.8827561636</v>
      </c>
      <c r="EX14" s="118">
        <f t="shared" si="34"/>
        <v>508529.8827561636</v>
      </c>
      <c r="EY14" s="118">
        <f t="shared" si="34"/>
        <v>508529.8827561636</v>
      </c>
      <c r="EZ14" s="118">
        <f t="shared" si="34"/>
        <v>508529.8827561636</v>
      </c>
      <c r="FA14" s="118">
        <f t="shared" si="34"/>
        <v>508529.8827561636</v>
      </c>
      <c r="FB14" s="118">
        <f t="shared" si="34"/>
        <v>508529.8827561636</v>
      </c>
      <c r="FC14" s="118">
        <f t="shared" si="34"/>
        <v>508529.8827561636</v>
      </c>
      <c r="FD14" s="118">
        <f t="shared" si="34"/>
        <v>508529.8827561636</v>
      </c>
      <c r="FE14" s="118">
        <f t="shared" si="34"/>
        <v>508529.8827561636</v>
      </c>
      <c r="FF14" s="118">
        <f t="shared" si="34"/>
        <v>508529.8827561636</v>
      </c>
      <c r="FG14" s="118">
        <f t="shared" si="34"/>
        <v>508529.8827561636</v>
      </c>
      <c r="FH14" s="118">
        <f t="shared" si="34"/>
        <v>508529.8827561636</v>
      </c>
      <c r="FI14" s="118">
        <f t="shared" si="34"/>
        <v>508529.8827561636</v>
      </c>
      <c r="FJ14" s="118">
        <f t="shared" si="34"/>
        <v>508529.8827561636</v>
      </c>
      <c r="FK14" s="118">
        <f t="shared" si="34"/>
        <v>508529.8827561636</v>
      </c>
      <c r="FL14" s="118">
        <f t="shared" si="34"/>
        <v>508529.8827561636</v>
      </c>
      <c r="FM14" s="118">
        <f t="shared" si="34"/>
        <v>508529.8827561636</v>
      </c>
      <c r="FN14" s="118">
        <f t="shared" si="34"/>
        <v>508529.8827561636</v>
      </c>
      <c r="FO14" s="118">
        <f t="shared" si="34"/>
        <v>508529.8827561636</v>
      </c>
      <c r="FP14" s="118">
        <f t="shared" si="34"/>
        <v>508529.8827561636</v>
      </c>
      <c r="FQ14" s="118">
        <f t="shared" si="34"/>
        <v>508529.8827561636</v>
      </c>
      <c r="FR14" s="118">
        <f t="shared" si="34"/>
        <v>508529.8827561636</v>
      </c>
      <c r="FS14" s="118">
        <f t="shared" si="34"/>
        <v>508529.8827561636</v>
      </c>
      <c r="FT14" s="118">
        <f t="shared" si="34"/>
        <v>508529.8827561636</v>
      </c>
      <c r="FU14" s="118">
        <f t="shared" si="34"/>
        <v>508529.8827561636</v>
      </c>
      <c r="FV14" s="118">
        <f t="shared" si="34"/>
        <v>508529.8827561636</v>
      </c>
      <c r="FW14" s="118">
        <f t="shared" si="34"/>
        <v>508529.8827561636</v>
      </c>
      <c r="FX14" s="118">
        <f t="shared" si="34"/>
        <v>508529.8827561636</v>
      </c>
      <c r="FY14" s="118">
        <f t="shared" si="34"/>
        <v>508529.8827561636</v>
      </c>
      <c r="FZ14" s="118">
        <f t="shared" si="34"/>
        <v>508529.8827561636</v>
      </c>
      <c r="GA14" s="118">
        <f t="shared" si="34"/>
        <v>508529.8827561636</v>
      </c>
      <c r="GB14" s="118">
        <f t="shared" si="34"/>
        <v>508529.8827561636</v>
      </c>
      <c r="GC14" s="118">
        <f t="shared" si="34"/>
        <v>508529.8827561636</v>
      </c>
      <c r="GD14" s="118">
        <f t="shared" si="34"/>
        <v>508529.8827561636</v>
      </c>
      <c r="GE14" s="118">
        <f t="shared" si="34"/>
        <v>508529.8827561636</v>
      </c>
      <c r="GF14" s="118">
        <f t="shared" si="34"/>
        <v>508529.8827561636</v>
      </c>
      <c r="GG14" s="118">
        <f t="shared" si="34"/>
        <v>508529.8827561636</v>
      </c>
      <c r="GH14" s="118">
        <f t="shared" si="34"/>
        <v>508529.8827561636</v>
      </c>
      <c r="GI14" s="118">
        <f t="shared" si="34"/>
        <v>508529.8827561636</v>
      </c>
      <c r="GJ14" s="118">
        <f t="shared" si="34"/>
        <v>508529.8827561636</v>
      </c>
      <c r="GK14" s="118">
        <f t="shared" si="34"/>
        <v>508529.8827561636</v>
      </c>
      <c r="GL14" s="118">
        <f t="shared" si="34"/>
        <v>508529.8827561636</v>
      </c>
      <c r="GM14" s="118">
        <f t="shared" si="34"/>
        <v>508529.8827561636</v>
      </c>
      <c r="GN14" s="118">
        <f t="shared" si="34"/>
        <v>508529.8827561636</v>
      </c>
      <c r="GO14" s="118">
        <f t="shared" si="34"/>
        <v>508529.8827561636</v>
      </c>
      <c r="GP14" s="118">
        <f t="shared" si="34"/>
        <v>508529.8827561636</v>
      </c>
      <c r="GQ14" s="118">
        <f t="shared" si="34"/>
        <v>508529.8827561636</v>
      </c>
      <c r="GR14" s="118">
        <f t="shared" si="34"/>
        <v>508529.8827561636</v>
      </c>
      <c r="GS14" s="118">
        <f t="shared" ref="GS14:JD14" si="35">GS10-GS12</f>
        <v>508529.8827561636</v>
      </c>
      <c r="GT14" s="118">
        <f t="shared" si="35"/>
        <v>508529.8827561636</v>
      </c>
      <c r="GU14" s="118">
        <f t="shared" si="35"/>
        <v>508529.8827561636</v>
      </c>
      <c r="GV14" s="118">
        <f t="shared" si="35"/>
        <v>508529.8827561636</v>
      </c>
      <c r="GW14" s="118">
        <f t="shared" si="35"/>
        <v>508529.8827561636</v>
      </c>
      <c r="GX14" s="118">
        <f t="shared" si="35"/>
        <v>508529.8827561636</v>
      </c>
      <c r="GY14" s="118">
        <f t="shared" si="35"/>
        <v>508529.8827561636</v>
      </c>
      <c r="GZ14" s="118">
        <f t="shared" si="35"/>
        <v>508529.8827561636</v>
      </c>
      <c r="HA14" s="118">
        <f t="shared" si="35"/>
        <v>508529.8827561636</v>
      </c>
      <c r="HB14" s="118">
        <f t="shared" si="35"/>
        <v>508529.8827561636</v>
      </c>
      <c r="HC14" s="118">
        <f t="shared" si="35"/>
        <v>508529.8827561636</v>
      </c>
      <c r="HD14" s="118">
        <f t="shared" si="35"/>
        <v>508529.8827561636</v>
      </c>
      <c r="HE14" s="118">
        <f t="shared" si="35"/>
        <v>508529.8827561636</v>
      </c>
      <c r="HF14" s="118">
        <f t="shared" si="35"/>
        <v>508529.8827561636</v>
      </c>
      <c r="HG14" s="118">
        <f t="shared" si="35"/>
        <v>508529.8827561636</v>
      </c>
      <c r="HH14" s="118">
        <f t="shared" si="35"/>
        <v>508529.8827561636</v>
      </c>
      <c r="HI14" s="118">
        <f t="shared" si="35"/>
        <v>508529.8827561636</v>
      </c>
      <c r="HJ14" s="118">
        <f t="shared" si="35"/>
        <v>508529.8827561636</v>
      </c>
      <c r="HK14" s="118">
        <f t="shared" si="35"/>
        <v>508529.8827561636</v>
      </c>
      <c r="HL14" s="118">
        <f t="shared" si="35"/>
        <v>508529.8827561636</v>
      </c>
      <c r="HM14" s="118">
        <f t="shared" si="35"/>
        <v>508529.8827561636</v>
      </c>
      <c r="HN14" s="118">
        <f t="shared" si="35"/>
        <v>508529.8827561636</v>
      </c>
      <c r="HO14" s="118">
        <f t="shared" si="35"/>
        <v>508529.8827561636</v>
      </c>
      <c r="HP14" s="118">
        <f t="shared" si="35"/>
        <v>508529.8827561636</v>
      </c>
      <c r="HQ14" s="118">
        <f t="shared" si="35"/>
        <v>508529.8827561636</v>
      </c>
      <c r="HR14" s="118">
        <f t="shared" si="35"/>
        <v>508529.8827561636</v>
      </c>
      <c r="HS14" s="118">
        <f t="shared" si="35"/>
        <v>508529.8827561636</v>
      </c>
      <c r="HT14" s="118">
        <f t="shared" si="35"/>
        <v>508529.8827561636</v>
      </c>
      <c r="HU14" s="118">
        <f t="shared" si="35"/>
        <v>508529.8827561636</v>
      </c>
      <c r="HV14" s="118">
        <f t="shared" si="35"/>
        <v>508529.8827561636</v>
      </c>
      <c r="HW14" s="118">
        <f t="shared" si="35"/>
        <v>508529.8827561636</v>
      </c>
      <c r="HX14" s="118">
        <f t="shared" si="35"/>
        <v>508529.8827561636</v>
      </c>
      <c r="HY14" s="118">
        <f t="shared" si="35"/>
        <v>508529.8827561636</v>
      </c>
      <c r="HZ14" s="118">
        <f t="shared" si="35"/>
        <v>508529.8827561636</v>
      </c>
      <c r="IA14" s="118">
        <f t="shared" si="35"/>
        <v>508529.8827561636</v>
      </c>
      <c r="IB14" s="118">
        <f t="shared" si="35"/>
        <v>508529.8827561636</v>
      </c>
      <c r="IC14" s="118">
        <f t="shared" si="35"/>
        <v>508529.8827561636</v>
      </c>
      <c r="ID14" s="118">
        <f t="shared" si="35"/>
        <v>508529.8827561636</v>
      </c>
      <c r="IE14" s="118">
        <f t="shared" si="35"/>
        <v>508529.8827561636</v>
      </c>
      <c r="IF14" s="118">
        <f t="shared" si="35"/>
        <v>508529.8827561636</v>
      </c>
      <c r="IG14" s="118">
        <f t="shared" si="35"/>
        <v>508529.8827561636</v>
      </c>
      <c r="IH14" s="118">
        <f t="shared" si="35"/>
        <v>508529.8827561636</v>
      </c>
      <c r="II14" s="118">
        <f t="shared" si="35"/>
        <v>508529.8827561636</v>
      </c>
      <c r="IJ14" s="118">
        <f t="shared" si="35"/>
        <v>508529.8827561636</v>
      </c>
      <c r="IK14" s="118">
        <f t="shared" si="35"/>
        <v>508529.8827561636</v>
      </c>
      <c r="IL14" s="118">
        <f t="shared" si="35"/>
        <v>508529.8827561636</v>
      </c>
      <c r="IM14" s="118">
        <f t="shared" si="35"/>
        <v>508529.8827561636</v>
      </c>
      <c r="IN14" s="118">
        <f t="shared" si="35"/>
        <v>508529.8827561636</v>
      </c>
      <c r="IO14" s="118">
        <f t="shared" si="35"/>
        <v>508529.8827561636</v>
      </c>
      <c r="IP14" s="118">
        <f t="shared" si="35"/>
        <v>508529.8827561636</v>
      </c>
      <c r="IQ14" s="118">
        <f t="shared" si="35"/>
        <v>508529.8827561636</v>
      </c>
      <c r="IR14" s="118">
        <f t="shared" si="35"/>
        <v>508529.8827561636</v>
      </c>
      <c r="IS14" s="118">
        <f t="shared" si="35"/>
        <v>508529.8827561636</v>
      </c>
      <c r="IT14" s="118">
        <f t="shared" si="35"/>
        <v>508529.8827561636</v>
      </c>
      <c r="IU14" s="118">
        <f t="shared" si="35"/>
        <v>508529.8827561636</v>
      </c>
      <c r="IV14" s="118">
        <f t="shared" si="35"/>
        <v>508529.8827561636</v>
      </c>
      <c r="IW14" s="118">
        <f t="shared" si="35"/>
        <v>508529.8827561636</v>
      </c>
      <c r="IX14" s="118">
        <f t="shared" si="35"/>
        <v>508529.8827561636</v>
      </c>
      <c r="IY14" s="118">
        <f t="shared" si="35"/>
        <v>508529.8827561636</v>
      </c>
      <c r="IZ14" s="118">
        <f t="shared" si="35"/>
        <v>508529.8827561636</v>
      </c>
      <c r="JA14" s="118">
        <f t="shared" si="35"/>
        <v>508529.8827561636</v>
      </c>
      <c r="JB14" s="118">
        <f t="shared" si="35"/>
        <v>508529.8827561636</v>
      </c>
      <c r="JC14" s="118">
        <f t="shared" si="35"/>
        <v>508529.8827561636</v>
      </c>
      <c r="JD14" s="118">
        <f t="shared" si="35"/>
        <v>508529.8827561636</v>
      </c>
      <c r="JE14" s="118">
        <f t="shared" ref="JE14:KF14" si="36">JE10-JE12</f>
        <v>508529.8827561636</v>
      </c>
      <c r="JF14" s="118">
        <f t="shared" si="36"/>
        <v>508529.8827561636</v>
      </c>
      <c r="JG14" s="118">
        <f t="shared" si="36"/>
        <v>508529.8827561636</v>
      </c>
      <c r="JH14" s="118">
        <f t="shared" si="36"/>
        <v>508529.8827561636</v>
      </c>
      <c r="JI14" s="118">
        <f t="shared" si="36"/>
        <v>508529.8827561636</v>
      </c>
      <c r="JJ14" s="118">
        <f t="shared" si="36"/>
        <v>508529.8827561636</v>
      </c>
      <c r="JK14" s="118">
        <f t="shared" si="36"/>
        <v>508529.8827561636</v>
      </c>
      <c r="JL14" s="118">
        <f t="shared" si="36"/>
        <v>508529.8827561636</v>
      </c>
      <c r="JM14" s="118">
        <f t="shared" si="36"/>
        <v>508529.8827561636</v>
      </c>
      <c r="JN14" s="118">
        <f t="shared" si="36"/>
        <v>508529.8827561636</v>
      </c>
      <c r="JO14" s="118">
        <f t="shared" si="36"/>
        <v>508529.8827561636</v>
      </c>
      <c r="JP14" s="118">
        <f t="shared" si="36"/>
        <v>508529.8827561636</v>
      </c>
      <c r="JQ14" s="118">
        <f t="shared" si="36"/>
        <v>508529.8827561636</v>
      </c>
      <c r="JR14" s="118">
        <f t="shared" si="36"/>
        <v>508529.8827561636</v>
      </c>
      <c r="JS14" s="118">
        <f t="shared" si="36"/>
        <v>508529.8827561636</v>
      </c>
      <c r="JT14" s="118">
        <f t="shared" si="36"/>
        <v>508529.8827561636</v>
      </c>
      <c r="JU14" s="118">
        <f t="shared" si="36"/>
        <v>508529.8827561636</v>
      </c>
      <c r="JV14" s="118">
        <f t="shared" si="36"/>
        <v>508529.8827561636</v>
      </c>
      <c r="JW14" s="118">
        <f t="shared" si="36"/>
        <v>508529.8827561636</v>
      </c>
      <c r="JX14" s="118">
        <f t="shared" si="36"/>
        <v>508529.8827561636</v>
      </c>
      <c r="JY14" s="118">
        <f t="shared" si="36"/>
        <v>508529.8827561636</v>
      </c>
      <c r="JZ14" s="118">
        <f t="shared" si="36"/>
        <v>508529.8827561636</v>
      </c>
      <c r="KA14" s="118">
        <f t="shared" si="36"/>
        <v>508529.8827561636</v>
      </c>
      <c r="KB14" s="118">
        <f t="shared" si="36"/>
        <v>508529.8827561636</v>
      </c>
      <c r="KC14" s="118">
        <f t="shared" si="36"/>
        <v>508529.8827561636</v>
      </c>
      <c r="KD14" s="118">
        <f t="shared" si="36"/>
        <v>508529.8827561636</v>
      </c>
      <c r="KE14" s="118">
        <f t="shared" si="36"/>
        <v>508529.8827561636</v>
      </c>
      <c r="KF14" s="118">
        <f t="shared" si="36"/>
        <v>508529.8827561636</v>
      </c>
    </row>
    <row r="15" spans="1:770" s="102" customFormat="1"/>
    <row r="16" spans="1:770" s="102" customFormat="1">
      <c r="C16" s="104" t="s">
        <v>263</v>
      </c>
      <c r="D16" s="104" t="s">
        <v>263</v>
      </c>
    </row>
    <row r="17" spans="1:292">
      <c r="A17" s="732"/>
      <c r="B17" s="106" t="s">
        <v>394</v>
      </c>
      <c r="C17" s="275">
        <f>C3-D17</f>
        <v>0</v>
      </c>
      <c r="D17" s="107">
        <f>SUM(F17:KF17)</f>
        <v>1879275.3951961147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9727.1944922547336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966595.34778040799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1124661.5258303862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-187583.84230818754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-34124.830598746637</v>
      </c>
      <c r="AE17" s="125">
        <f>SUMIFS('Expenditure Breakdown'!$U$6:$U$166, 'Expenditure Breakdown'!$T$6:$T$166, "&gt;="&amp;AE1,'Expenditure Breakdown'!$T$6:$T$166, "&lt;"&amp;AF1)</f>
        <v>0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"&lt;"&amp;KF1)</f>
        <v>0</v>
      </c>
      <c r="KF17" s="125">
        <f>SUMIFS('Expenditure Breakdown'!$U$6:$U$166, 'Expenditure Breakdown'!$T$6:$T$166, "&gt;="&amp;KF1,'Expenditure Breakdown'!$T$6:$T$166, "&lt;"&amp;#REF!)</f>
        <v>0</v>
      </c>
    </row>
    <row r="18" spans="1:292">
      <c r="A18" s="732"/>
      <c r="B18" s="106" t="s">
        <v>395</v>
      </c>
      <c r="C18" s="275">
        <f>D17-D18</f>
        <v>-221708.67290693428</v>
      </c>
      <c r="D18" s="107">
        <f>MAX(F18:KF18)</f>
        <v>2100984.068103049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976322.54227266274</v>
      </c>
      <c r="R18" s="125">
        <f t="shared" si="37"/>
        <v>976322.54227266274</v>
      </c>
      <c r="S18" s="125">
        <f t="shared" si="37"/>
        <v>976322.54227266274</v>
      </c>
      <c r="T18" s="125">
        <f t="shared" si="37"/>
        <v>976322.54227266274</v>
      </c>
      <c r="U18" s="125">
        <f t="shared" si="37"/>
        <v>2100984.068103049</v>
      </c>
      <c r="V18" s="125">
        <f t="shared" si="37"/>
        <v>2100984.068103049</v>
      </c>
      <c r="W18" s="125">
        <f t="shared" si="37"/>
        <v>2100984.068103049</v>
      </c>
      <c r="X18" s="125">
        <f t="shared" si="37"/>
        <v>2100984.068103049</v>
      </c>
      <c r="Y18" s="125">
        <f t="shared" si="37"/>
        <v>2100984.068103049</v>
      </c>
      <c r="Z18" s="125">
        <f t="shared" si="37"/>
        <v>1913400.2257948613</v>
      </c>
      <c r="AA18" s="125">
        <f t="shared" si="37"/>
        <v>1913400.2257948613</v>
      </c>
      <c r="AB18" s="125">
        <f t="shared" si="37"/>
        <v>1913400.2257948613</v>
      </c>
      <c r="AC18" s="125">
        <f t="shared" si="37"/>
        <v>1913400.2257948613</v>
      </c>
      <c r="AD18" s="125">
        <f>AC18+AD17</f>
        <v>1879275.3951961147</v>
      </c>
      <c r="AE18" s="125">
        <f t="shared" si="37"/>
        <v>1879275.3951961147</v>
      </c>
      <c r="AF18" s="125">
        <f t="shared" si="37"/>
        <v>1879275.3951961147</v>
      </c>
      <c r="AG18" s="125">
        <f t="shared" si="37"/>
        <v>1879275.3951961147</v>
      </c>
      <c r="AH18" s="125">
        <f t="shared" si="37"/>
        <v>1879275.3951961147</v>
      </c>
      <c r="AI18" s="125">
        <f t="shared" si="37"/>
        <v>1879275.3951961147</v>
      </c>
      <c r="AJ18" s="125">
        <f t="shared" si="37"/>
        <v>1879275.3951961147</v>
      </c>
      <c r="AK18" s="125">
        <f t="shared" si="37"/>
        <v>1879275.3951961147</v>
      </c>
      <c r="AL18" s="125">
        <f t="shared" si="37"/>
        <v>1879275.3951961147</v>
      </c>
      <c r="AM18" s="125">
        <f t="shared" si="37"/>
        <v>1879275.3951961147</v>
      </c>
      <c r="AN18" s="125">
        <f t="shared" si="37"/>
        <v>1879275.3951961147</v>
      </c>
      <c r="AO18" s="125">
        <f t="shared" si="37"/>
        <v>1879275.3951961147</v>
      </c>
      <c r="AP18" s="125">
        <f t="shared" si="37"/>
        <v>1879275.3951961147</v>
      </c>
      <c r="AQ18" s="125">
        <f t="shared" si="37"/>
        <v>1879275.3951961147</v>
      </c>
      <c r="AR18" s="125">
        <f t="shared" si="37"/>
        <v>1879275.3951961147</v>
      </c>
      <c r="AS18" s="125">
        <f t="shared" si="37"/>
        <v>1879275.3951961147</v>
      </c>
      <c r="AT18" s="125">
        <f t="shared" si="37"/>
        <v>1879275.3951961147</v>
      </c>
      <c r="AU18" s="125">
        <f t="shared" si="37"/>
        <v>1879275.3951961147</v>
      </c>
      <c r="AV18" s="125">
        <f t="shared" si="37"/>
        <v>1879275.3951961147</v>
      </c>
      <c r="AW18" s="125">
        <f t="shared" si="37"/>
        <v>1879275.3951961147</v>
      </c>
      <c r="AX18" s="125">
        <f t="shared" si="37"/>
        <v>1879275.3951961147</v>
      </c>
      <c r="AY18" s="125">
        <f t="shared" si="37"/>
        <v>1879275.3951961147</v>
      </c>
      <c r="AZ18" s="125">
        <f t="shared" si="37"/>
        <v>1879275.3951961147</v>
      </c>
      <c r="BA18" s="125">
        <f t="shared" si="37"/>
        <v>1879275.3951961147</v>
      </c>
      <c r="BB18" s="125">
        <f t="shared" si="37"/>
        <v>1879275.3951961147</v>
      </c>
      <c r="BC18" s="125">
        <f t="shared" si="37"/>
        <v>1879275.3951961147</v>
      </c>
      <c r="BD18" s="125">
        <f t="shared" si="37"/>
        <v>1879275.3951961147</v>
      </c>
      <c r="BE18" s="125">
        <f t="shared" si="37"/>
        <v>1879275.3951961147</v>
      </c>
      <c r="BF18" s="125">
        <f t="shared" si="37"/>
        <v>1879275.3951961147</v>
      </c>
      <c r="BG18" s="125">
        <f t="shared" si="37"/>
        <v>1879275.3951961147</v>
      </c>
      <c r="BH18" s="125">
        <f t="shared" si="37"/>
        <v>1879275.3951961147</v>
      </c>
      <c r="BI18" s="125">
        <f t="shared" si="37"/>
        <v>1879275.3951961147</v>
      </c>
      <c r="BJ18" s="125">
        <f t="shared" si="37"/>
        <v>1879275.3951961147</v>
      </c>
      <c r="BK18" s="125">
        <f t="shared" si="37"/>
        <v>1879275.3951961147</v>
      </c>
      <c r="BL18" s="125">
        <f t="shared" si="37"/>
        <v>1879275.3951961147</v>
      </c>
      <c r="BM18" s="125">
        <f t="shared" si="37"/>
        <v>1879275.3951961147</v>
      </c>
      <c r="BN18" s="125">
        <f t="shared" si="37"/>
        <v>1879275.3951961147</v>
      </c>
      <c r="BO18" s="125">
        <f t="shared" si="37"/>
        <v>1879275.3951961147</v>
      </c>
      <c r="BP18" s="125">
        <f t="shared" si="37"/>
        <v>1879275.3951961147</v>
      </c>
      <c r="BQ18" s="125">
        <f t="shared" si="37"/>
        <v>1879275.3951961147</v>
      </c>
      <c r="BR18" s="125">
        <f t="shared" si="37"/>
        <v>1879275.3951961147</v>
      </c>
      <c r="BS18" s="125">
        <f t="shared" si="37"/>
        <v>1879275.3951961147</v>
      </c>
      <c r="BT18" s="125">
        <f t="shared" si="37"/>
        <v>1879275.3951961147</v>
      </c>
      <c r="BU18" s="125">
        <f t="shared" ref="BU18:EF18" si="38">BT18+BU17</f>
        <v>1879275.3951961147</v>
      </c>
      <c r="BV18" s="125">
        <f t="shared" si="38"/>
        <v>1879275.3951961147</v>
      </c>
      <c r="BW18" s="125">
        <f t="shared" si="38"/>
        <v>1879275.3951961147</v>
      </c>
      <c r="BX18" s="125">
        <f t="shared" si="38"/>
        <v>1879275.3951961147</v>
      </c>
      <c r="BY18" s="125">
        <f t="shared" si="38"/>
        <v>1879275.3951961147</v>
      </c>
      <c r="BZ18" s="125">
        <f t="shared" si="38"/>
        <v>1879275.3951961147</v>
      </c>
      <c r="CA18" s="125">
        <f t="shared" si="38"/>
        <v>1879275.3951961147</v>
      </c>
      <c r="CB18" s="125">
        <f t="shared" si="38"/>
        <v>1879275.3951961147</v>
      </c>
      <c r="CC18" s="125">
        <f t="shared" si="38"/>
        <v>1879275.3951961147</v>
      </c>
      <c r="CD18" s="125">
        <f t="shared" si="38"/>
        <v>1879275.3951961147</v>
      </c>
      <c r="CE18" s="125">
        <f t="shared" si="38"/>
        <v>1879275.3951961147</v>
      </c>
      <c r="CF18" s="125">
        <f t="shared" si="38"/>
        <v>1879275.3951961147</v>
      </c>
      <c r="CG18" s="125">
        <f t="shared" si="38"/>
        <v>1879275.3951961147</v>
      </c>
      <c r="CH18" s="125">
        <f t="shared" si="38"/>
        <v>1879275.3951961147</v>
      </c>
      <c r="CI18" s="125">
        <f t="shared" si="38"/>
        <v>1879275.3951961147</v>
      </c>
      <c r="CJ18" s="125">
        <f t="shared" si="38"/>
        <v>1879275.3951961147</v>
      </c>
      <c r="CK18" s="125">
        <f t="shared" si="38"/>
        <v>1879275.3951961147</v>
      </c>
      <c r="CL18" s="125">
        <f t="shared" si="38"/>
        <v>1879275.3951961147</v>
      </c>
      <c r="CM18" s="125">
        <f t="shared" si="38"/>
        <v>1879275.3951961147</v>
      </c>
      <c r="CN18" s="125">
        <f t="shared" si="38"/>
        <v>1879275.3951961147</v>
      </c>
      <c r="CO18" s="125">
        <f t="shared" si="38"/>
        <v>1879275.3951961147</v>
      </c>
      <c r="CP18" s="125">
        <f t="shared" si="38"/>
        <v>1879275.3951961147</v>
      </c>
      <c r="CQ18" s="125">
        <f t="shared" si="38"/>
        <v>1879275.3951961147</v>
      </c>
      <c r="CR18" s="125">
        <f t="shared" si="38"/>
        <v>1879275.3951961147</v>
      </c>
      <c r="CS18" s="125">
        <f t="shared" si="38"/>
        <v>1879275.3951961147</v>
      </c>
      <c r="CT18" s="125">
        <f t="shared" si="38"/>
        <v>1879275.3951961147</v>
      </c>
      <c r="CU18" s="125">
        <f t="shared" si="38"/>
        <v>1879275.3951961147</v>
      </c>
      <c r="CV18" s="125">
        <f t="shared" si="38"/>
        <v>1879275.3951961147</v>
      </c>
      <c r="CW18" s="125">
        <f t="shared" si="38"/>
        <v>1879275.3951961147</v>
      </c>
      <c r="CX18" s="125">
        <f t="shared" si="38"/>
        <v>1879275.3951961147</v>
      </c>
      <c r="CY18" s="125">
        <f t="shared" si="38"/>
        <v>1879275.3951961147</v>
      </c>
      <c r="CZ18" s="125">
        <f t="shared" si="38"/>
        <v>1879275.3951961147</v>
      </c>
      <c r="DA18" s="125">
        <f t="shared" si="38"/>
        <v>1879275.3951961147</v>
      </c>
      <c r="DB18" s="125">
        <f t="shared" si="38"/>
        <v>1879275.3951961147</v>
      </c>
      <c r="DC18" s="125">
        <f t="shared" si="38"/>
        <v>1879275.3951961147</v>
      </c>
      <c r="DD18" s="125">
        <f t="shared" si="38"/>
        <v>1879275.3951961147</v>
      </c>
      <c r="DE18" s="125">
        <f t="shared" si="38"/>
        <v>1879275.3951961147</v>
      </c>
      <c r="DF18" s="125">
        <f t="shared" si="38"/>
        <v>1879275.3951961147</v>
      </c>
      <c r="DG18" s="125">
        <f t="shared" si="38"/>
        <v>1879275.3951961147</v>
      </c>
      <c r="DH18" s="125">
        <f t="shared" si="38"/>
        <v>1879275.3951961147</v>
      </c>
      <c r="DI18" s="125">
        <f t="shared" si="38"/>
        <v>1879275.3951961147</v>
      </c>
      <c r="DJ18" s="125">
        <f t="shared" si="38"/>
        <v>1879275.3951961147</v>
      </c>
      <c r="DK18" s="125">
        <f t="shared" si="38"/>
        <v>1879275.3951961147</v>
      </c>
      <c r="DL18" s="125">
        <f t="shared" si="38"/>
        <v>1879275.3951961147</v>
      </c>
      <c r="DM18" s="125">
        <f t="shared" si="38"/>
        <v>1879275.3951961147</v>
      </c>
      <c r="DN18" s="125">
        <f t="shared" si="38"/>
        <v>1879275.3951961147</v>
      </c>
      <c r="DO18" s="125">
        <f t="shared" si="38"/>
        <v>1879275.3951961147</v>
      </c>
      <c r="DP18" s="125">
        <f t="shared" si="38"/>
        <v>1879275.3951961147</v>
      </c>
      <c r="DQ18" s="125">
        <f t="shared" si="38"/>
        <v>1879275.3951961147</v>
      </c>
      <c r="DR18" s="125">
        <f t="shared" si="38"/>
        <v>1879275.3951961147</v>
      </c>
      <c r="DS18" s="125">
        <f t="shared" si="38"/>
        <v>1879275.3951961147</v>
      </c>
      <c r="DT18" s="125">
        <f t="shared" si="38"/>
        <v>1879275.3951961147</v>
      </c>
      <c r="DU18" s="125">
        <f t="shared" si="38"/>
        <v>1879275.3951961147</v>
      </c>
      <c r="DV18" s="125">
        <f t="shared" si="38"/>
        <v>1879275.3951961147</v>
      </c>
      <c r="DW18" s="125">
        <f t="shared" si="38"/>
        <v>1879275.3951961147</v>
      </c>
      <c r="DX18" s="125">
        <f t="shared" si="38"/>
        <v>1879275.3951961147</v>
      </c>
      <c r="DY18" s="125">
        <f t="shared" si="38"/>
        <v>1879275.3951961147</v>
      </c>
      <c r="DZ18" s="125">
        <f t="shared" si="38"/>
        <v>1879275.3951961147</v>
      </c>
      <c r="EA18" s="125">
        <f t="shared" si="38"/>
        <v>1879275.3951961147</v>
      </c>
      <c r="EB18" s="125">
        <f t="shared" si="38"/>
        <v>1879275.3951961147</v>
      </c>
      <c r="EC18" s="125">
        <f t="shared" si="38"/>
        <v>1879275.3951961147</v>
      </c>
      <c r="ED18" s="125">
        <f t="shared" si="38"/>
        <v>1879275.3951961147</v>
      </c>
      <c r="EE18" s="125">
        <f t="shared" si="38"/>
        <v>1879275.3951961147</v>
      </c>
      <c r="EF18" s="125">
        <f t="shared" si="38"/>
        <v>1879275.3951961147</v>
      </c>
      <c r="EG18" s="125">
        <f t="shared" ref="EG18:GR18" si="39">EF18+EG17</f>
        <v>1879275.3951961147</v>
      </c>
      <c r="EH18" s="125">
        <f t="shared" si="39"/>
        <v>1879275.3951961147</v>
      </c>
      <c r="EI18" s="125">
        <f t="shared" si="39"/>
        <v>1879275.3951961147</v>
      </c>
      <c r="EJ18" s="125">
        <f t="shared" si="39"/>
        <v>1879275.3951961147</v>
      </c>
      <c r="EK18" s="125">
        <f t="shared" si="39"/>
        <v>1879275.3951961147</v>
      </c>
      <c r="EL18" s="125">
        <f t="shared" si="39"/>
        <v>1879275.3951961147</v>
      </c>
      <c r="EM18" s="125">
        <f t="shared" si="39"/>
        <v>1879275.3951961147</v>
      </c>
      <c r="EN18" s="125">
        <f t="shared" si="39"/>
        <v>1879275.3951961147</v>
      </c>
      <c r="EO18" s="125">
        <f t="shared" si="39"/>
        <v>1879275.3951961147</v>
      </c>
      <c r="EP18" s="125">
        <f t="shared" si="39"/>
        <v>1879275.3951961147</v>
      </c>
      <c r="EQ18" s="125">
        <f t="shared" si="39"/>
        <v>1879275.3951961147</v>
      </c>
      <c r="ER18" s="125">
        <f t="shared" si="39"/>
        <v>1879275.3951961147</v>
      </c>
      <c r="ES18" s="125">
        <f t="shared" si="39"/>
        <v>1879275.3951961147</v>
      </c>
      <c r="ET18" s="125">
        <f t="shared" si="39"/>
        <v>1879275.3951961147</v>
      </c>
      <c r="EU18" s="125">
        <f t="shared" si="39"/>
        <v>1879275.3951961147</v>
      </c>
      <c r="EV18" s="125">
        <f t="shared" si="39"/>
        <v>1879275.3951961147</v>
      </c>
      <c r="EW18" s="125">
        <f t="shared" si="39"/>
        <v>1879275.3951961147</v>
      </c>
      <c r="EX18" s="125">
        <f t="shared" si="39"/>
        <v>1879275.3951961147</v>
      </c>
      <c r="EY18" s="125">
        <f t="shared" si="39"/>
        <v>1879275.3951961147</v>
      </c>
      <c r="EZ18" s="125">
        <f t="shared" si="39"/>
        <v>1879275.3951961147</v>
      </c>
      <c r="FA18" s="125">
        <f t="shared" si="39"/>
        <v>1879275.3951961147</v>
      </c>
      <c r="FB18" s="125">
        <f t="shared" si="39"/>
        <v>1879275.3951961147</v>
      </c>
      <c r="FC18" s="125">
        <f t="shared" si="39"/>
        <v>1879275.3951961147</v>
      </c>
      <c r="FD18" s="125">
        <f t="shared" si="39"/>
        <v>1879275.3951961147</v>
      </c>
      <c r="FE18" s="125">
        <f t="shared" si="39"/>
        <v>1879275.3951961147</v>
      </c>
      <c r="FF18" s="125">
        <f t="shared" si="39"/>
        <v>1879275.3951961147</v>
      </c>
      <c r="FG18" s="125">
        <f t="shared" si="39"/>
        <v>1879275.3951961147</v>
      </c>
      <c r="FH18" s="125">
        <f t="shared" si="39"/>
        <v>1879275.3951961147</v>
      </c>
      <c r="FI18" s="125">
        <f t="shared" si="39"/>
        <v>1879275.3951961147</v>
      </c>
      <c r="FJ18" s="125">
        <f t="shared" si="39"/>
        <v>1879275.3951961147</v>
      </c>
      <c r="FK18" s="125">
        <f t="shared" si="39"/>
        <v>1879275.3951961147</v>
      </c>
      <c r="FL18" s="125">
        <f t="shared" si="39"/>
        <v>1879275.3951961147</v>
      </c>
      <c r="FM18" s="125">
        <f t="shared" si="39"/>
        <v>1879275.3951961147</v>
      </c>
      <c r="FN18" s="125">
        <f t="shared" si="39"/>
        <v>1879275.3951961147</v>
      </c>
      <c r="FO18" s="125">
        <f t="shared" si="39"/>
        <v>1879275.3951961147</v>
      </c>
      <c r="FP18" s="125">
        <f t="shared" si="39"/>
        <v>1879275.3951961147</v>
      </c>
      <c r="FQ18" s="125">
        <f t="shared" si="39"/>
        <v>1879275.3951961147</v>
      </c>
      <c r="FR18" s="125">
        <f t="shared" si="39"/>
        <v>1879275.3951961147</v>
      </c>
      <c r="FS18" s="125">
        <f t="shared" si="39"/>
        <v>1879275.3951961147</v>
      </c>
      <c r="FT18" s="125">
        <f t="shared" si="39"/>
        <v>1879275.3951961147</v>
      </c>
      <c r="FU18" s="125">
        <f t="shared" si="39"/>
        <v>1879275.3951961147</v>
      </c>
      <c r="FV18" s="125">
        <f t="shared" si="39"/>
        <v>1879275.3951961147</v>
      </c>
      <c r="FW18" s="125">
        <f t="shared" si="39"/>
        <v>1879275.3951961147</v>
      </c>
      <c r="FX18" s="125">
        <f t="shared" si="39"/>
        <v>1879275.3951961147</v>
      </c>
      <c r="FY18" s="125">
        <f t="shared" si="39"/>
        <v>1879275.3951961147</v>
      </c>
      <c r="FZ18" s="125">
        <f t="shared" si="39"/>
        <v>1879275.3951961147</v>
      </c>
      <c r="GA18" s="125">
        <f t="shared" si="39"/>
        <v>1879275.3951961147</v>
      </c>
      <c r="GB18" s="125">
        <f t="shared" si="39"/>
        <v>1879275.3951961147</v>
      </c>
      <c r="GC18" s="125">
        <f t="shared" si="39"/>
        <v>1879275.3951961147</v>
      </c>
      <c r="GD18" s="125">
        <f t="shared" si="39"/>
        <v>1879275.3951961147</v>
      </c>
      <c r="GE18" s="125">
        <f t="shared" si="39"/>
        <v>1879275.3951961147</v>
      </c>
      <c r="GF18" s="125">
        <f t="shared" si="39"/>
        <v>1879275.3951961147</v>
      </c>
      <c r="GG18" s="125">
        <f t="shared" si="39"/>
        <v>1879275.3951961147</v>
      </c>
      <c r="GH18" s="125">
        <f t="shared" si="39"/>
        <v>1879275.3951961147</v>
      </c>
      <c r="GI18" s="125">
        <f t="shared" si="39"/>
        <v>1879275.3951961147</v>
      </c>
      <c r="GJ18" s="125">
        <f t="shared" si="39"/>
        <v>1879275.3951961147</v>
      </c>
      <c r="GK18" s="125">
        <f t="shared" si="39"/>
        <v>1879275.3951961147</v>
      </c>
      <c r="GL18" s="125">
        <f t="shared" si="39"/>
        <v>1879275.3951961147</v>
      </c>
      <c r="GM18" s="125">
        <f t="shared" si="39"/>
        <v>1879275.3951961147</v>
      </c>
      <c r="GN18" s="125">
        <f t="shared" si="39"/>
        <v>1879275.3951961147</v>
      </c>
      <c r="GO18" s="125">
        <f t="shared" si="39"/>
        <v>1879275.3951961147</v>
      </c>
      <c r="GP18" s="125">
        <f t="shared" si="39"/>
        <v>1879275.3951961147</v>
      </c>
      <c r="GQ18" s="125">
        <f t="shared" si="39"/>
        <v>1879275.3951961147</v>
      </c>
      <c r="GR18" s="125">
        <f t="shared" si="39"/>
        <v>1879275.3951961147</v>
      </c>
      <c r="GS18" s="125">
        <f t="shared" ref="GS18:JD18" si="40">GR18+GS17</f>
        <v>1879275.3951961147</v>
      </c>
      <c r="GT18" s="125">
        <f t="shared" si="40"/>
        <v>1879275.3951961147</v>
      </c>
      <c r="GU18" s="125">
        <f t="shared" si="40"/>
        <v>1879275.3951961147</v>
      </c>
      <c r="GV18" s="125">
        <f t="shared" si="40"/>
        <v>1879275.3951961147</v>
      </c>
      <c r="GW18" s="125">
        <f t="shared" si="40"/>
        <v>1879275.3951961147</v>
      </c>
      <c r="GX18" s="125">
        <f t="shared" si="40"/>
        <v>1879275.3951961147</v>
      </c>
      <c r="GY18" s="125">
        <f t="shared" si="40"/>
        <v>1879275.3951961147</v>
      </c>
      <c r="GZ18" s="125">
        <f t="shared" si="40"/>
        <v>1879275.3951961147</v>
      </c>
      <c r="HA18" s="125">
        <f t="shared" si="40"/>
        <v>1879275.3951961147</v>
      </c>
      <c r="HB18" s="125">
        <f t="shared" si="40"/>
        <v>1879275.3951961147</v>
      </c>
      <c r="HC18" s="125">
        <f t="shared" si="40"/>
        <v>1879275.3951961147</v>
      </c>
      <c r="HD18" s="125">
        <f t="shared" si="40"/>
        <v>1879275.3951961147</v>
      </c>
      <c r="HE18" s="125">
        <f t="shared" si="40"/>
        <v>1879275.3951961147</v>
      </c>
      <c r="HF18" s="125">
        <f t="shared" si="40"/>
        <v>1879275.3951961147</v>
      </c>
      <c r="HG18" s="125">
        <f t="shared" si="40"/>
        <v>1879275.3951961147</v>
      </c>
      <c r="HH18" s="125">
        <f t="shared" si="40"/>
        <v>1879275.3951961147</v>
      </c>
      <c r="HI18" s="125">
        <f t="shared" si="40"/>
        <v>1879275.3951961147</v>
      </c>
      <c r="HJ18" s="125">
        <f t="shared" si="40"/>
        <v>1879275.3951961147</v>
      </c>
      <c r="HK18" s="125">
        <f t="shared" si="40"/>
        <v>1879275.3951961147</v>
      </c>
      <c r="HL18" s="125">
        <f t="shared" si="40"/>
        <v>1879275.3951961147</v>
      </c>
      <c r="HM18" s="125">
        <f t="shared" si="40"/>
        <v>1879275.3951961147</v>
      </c>
      <c r="HN18" s="125">
        <f t="shared" si="40"/>
        <v>1879275.3951961147</v>
      </c>
      <c r="HO18" s="125">
        <f t="shared" si="40"/>
        <v>1879275.3951961147</v>
      </c>
      <c r="HP18" s="125">
        <f t="shared" si="40"/>
        <v>1879275.3951961147</v>
      </c>
      <c r="HQ18" s="125">
        <f t="shared" si="40"/>
        <v>1879275.3951961147</v>
      </c>
      <c r="HR18" s="125">
        <f t="shared" si="40"/>
        <v>1879275.3951961147</v>
      </c>
      <c r="HS18" s="125">
        <f t="shared" si="40"/>
        <v>1879275.3951961147</v>
      </c>
      <c r="HT18" s="125">
        <f t="shared" si="40"/>
        <v>1879275.3951961147</v>
      </c>
      <c r="HU18" s="125">
        <f t="shared" si="40"/>
        <v>1879275.3951961147</v>
      </c>
      <c r="HV18" s="125">
        <f t="shared" si="40"/>
        <v>1879275.3951961147</v>
      </c>
      <c r="HW18" s="125">
        <f t="shared" si="40"/>
        <v>1879275.3951961147</v>
      </c>
      <c r="HX18" s="125">
        <f t="shared" si="40"/>
        <v>1879275.3951961147</v>
      </c>
      <c r="HY18" s="125">
        <f t="shared" si="40"/>
        <v>1879275.3951961147</v>
      </c>
      <c r="HZ18" s="125">
        <f t="shared" si="40"/>
        <v>1879275.3951961147</v>
      </c>
      <c r="IA18" s="125">
        <f t="shared" si="40"/>
        <v>1879275.3951961147</v>
      </c>
      <c r="IB18" s="125">
        <f t="shared" si="40"/>
        <v>1879275.3951961147</v>
      </c>
      <c r="IC18" s="125">
        <f t="shared" si="40"/>
        <v>1879275.3951961147</v>
      </c>
      <c r="ID18" s="125">
        <f t="shared" si="40"/>
        <v>1879275.3951961147</v>
      </c>
      <c r="IE18" s="125">
        <f t="shared" si="40"/>
        <v>1879275.3951961147</v>
      </c>
      <c r="IF18" s="125">
        <f t="shared" si="40"/>
        <v>1879275.3951961147</v>
      </c>
      <c r="IG18" s="125">
        <f t="shared" si="40"/>
        <v>1879275.3951961147</v>
      </c>
      <c r="IH18" s="125">
        <f t="shared" si="40"/>
        <v>1879275.3951961147</v>
      </c>
      <c r="II18" s="125">
        <f t="shared" si="40"/>
        <v>1879275.3951961147</v>
      </c>
      <c r="IJ18" s="125">
        <f t="shared" si="40"/>
        <v>1879275.3951961147</v>
      </c>
      <c r="IK18" s="125">
        <f t="shared" si="40"/>
        <v>1879275.3951961147</v>
      </c>
      <c r="IL18" s="125">
        <f t="shared" si="40"/>
        <v>1879275.3951961147</v>
      </c>
      <c r="IM18" s="125">
        <f t="shared" si="40"/>
        <v>1879275.3951961147</v>
      </c>
      <c r="IN18" s="125">
        <f t="shared" si="40"/>
        <v>1879275.3951961147</v>
      </c>
      <c r="IO18" s="125">
        <f t="shared" si="40"/>
        <v>1879275.3951961147</v>
      </c>
      <c r="IP18" s="125">
        <f t="shared" si="40"/>
        <v>1879275.3951961147</v>
      </c>
      <c r="IQ18" s="125">
        <f t="shared" si="40"/>
        <v>1879275.3951961147</v>
      </c>
      <c r="IR18" s="125">
        <f t="shared" si="40"/>
        <v>1879275.3951961147</v>
      </c>
      <c r="IS18" s="125">
        <f t="shared" si="40"/>
        <v>1879275.3951961147</v>
      </c>
      <c r="IT18" s="125">
        <f t="shared" si="40"/>
        <v>1879275.3951961147</v>
      </c>
      <c r="IU18" s="125">
        <f t="shared" si="40"/>
        <v>1879275.3951961147</v>
      </c>
      <c r="IV18" s="125">
        <f t="shared" si="40"/>
        <v>1879275.3951961147</v>
      </c>
      <c r="IW18" s="125">
        <f t="shared" si="40"/>
        <v>1879275.3951961147</v>
      </c>
      <c r="IX18" s="125">
        <f t="shared" si="40"/>
        <v>1879275.3951961147</v>
      </c>
      <c r="IY18" s="125">
        <f t="shared" si="40"/>
        <v>1879275.3951961147</v>
      </c>
      <c r="IZ18" s="125">
        <f t="shared" si="40"/>
        <v>1879275.3951961147</v>
      </c>
      <c r="JA18" s="125">
        <f t="shared" si="40"/>
        <v>1879275.3951961147</v>
      </c>
      <c r="JB18" s="125">
        <f t="shared" si="40"/>
        <v>1879275.3951961147</v>
      </c>
      <c r="JC18" s="125">
        <f t="shared" si="40"/>
        <v>1879275.3951961147</v>
      </c>
      <c r="JD18" s="125">
        <f t="shared" si="40"/>
        <v>1879275.3951961147</v>
      </c>
      <c r="JE18" s="125">
        <f t="shared" ref="JE18:KF18" si="41">JD18+JE17</f>
        <v>1879275.3951961147</v>
      </c>
      <c r="JF18" s="125">
        <f t="shared" si="41"/>
        <v>1879275.3951961147</v>
      </c>
      <c r="JG18" s="125">
        <f t="shared" si="41"/>
        <v>1879275.3951961147</v>
      </c>
      <c r="JH18" s="125">
        <f t="shared" si="41"/>
        <v>1879275.3951961147</v>
      </c>
      <c r="JI18" s="125">
        <f t="shared" si="41"/>
        <v>1879275.3951961147</v>
      </c>
      <c r="JJ18" s="125">
        <f t="shared" si="41"/>
        <v>1879275.3951961147</v>
      </c>
      <c r="JK18" s="125">
        <f t="shared" si="41"/>
        <v>1879275.3951961147</v>
      </c>
      <c r="JL18" s="125">
        <f t="shared" si="41"/>
        <v>1879275.3951961147</v>
      </c>
      <c r="JM18" s="125">
        <f t="shared" si="41"/>
        <v>1879275.3951961147</v>
      </c>
      <c r="JN18" s="125">
        <f t="shared" si="41"/>
        <v>1879275.3951961147</v>
      </c>
      <c r="JO18" s="125">
        <f t="shared" si="41"/>
        <v>1879275.3951961147</v>
      </c>
      <c r="JP18" s="125">
        <f t="shared" si="41"/>
        <v>1879275.3951961147</v>
      </c>
      <c r="JQ18" s="125">
        <f t="shared" si="41"/>
        <v>1879275.3951961147</v>
      </c>
      <c r="JR18" s="125">
        <f t="shared" si="41"/>
        <v>1879275.3951961147</v>
      </c>
      <c r="JS18" s="125">
        <f t="shared" si="41"/>
        <v>1879275.3951961147</v>
      </c>
      <c r="JT18" s="125">
        <f t="shared" si="41"/>
        <v>1879275.3951961147</v>
      </c>
      <c r="JU18" s="125">
        <f t="shared" si="41"/>
        <v>1879275.3951961147</v>
      </c>
      <c r="JV18" s="125">
        <f t="shared" si="41"/>
        <v>1879275.3951961147</v>
      </c>
      <c r="JW18" s="125">
        <f t="shared" si="41"/>
        <v>1879275.3951961147</v>
      </c>
      <c r="JX18" s="125">
        <f t="shared" si="41"/>
        <v>1879275.3951961147</v>
      </c>
      <c r="JY18" s="125">
        <f t="shared" si="41"/>
        <v>1879275.3951961147</v>
      </c>
      <c r="JZ18" s="125">
        <f t="shared" si="41"/>
        <v>1879275.3951961147</v>
      </c>
      <c r="KA18" s="125">
        <f t="shared" si="41"/>
        <v>1879275.3951961147</v>
      </c>
      <c r="KB18" s="125">
        <f t="shared" si="41"/>
        <v>1879275.3951961147</v>
      </c>
      <c r="KC18" s="125">
        <f t="shared" si="41"/>
        <v>1879275.3951961147</v>
      </c>
      <c r="KD18" s="125">
        <f t="shared" si="41"/>
        <v>1879275.3951961147</v>
      </c>
      <c r="KE18" s="125">
        <f t="shared" si="41"/>
        <v>1879275.3951961147</v>
      </c>
      <c r="KF18" s="125">
        <f t="shared" si="41"/>
        <v>1879275.3951961147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" style="269" bestFit="1" customWidth="1"/>
    <col min="2" max="2" width="15.44140625" style="270" bestFit="1" customWidth="1"/>
    <col min="3" max="3" width="10.44140625" style="269" bestFit="1" customWidth="1"/>
    <col min="4" max="4" width="6.21875" style="269" bestFit="1" customWidth="1"/>
    <col min="5" max="5" width="13.5546875" style="269" bestFit="1" customWidth="1"/>
    <col min="6" max="7" width="12.21875" style="269" bestFit="1" customWidth="1"/>
    <col min="8" max="9" width="11.21875" style="269" bestFit="1" customWidth="1"/>
    <col min="10" max="10" width="13.5546875" style="269" bestFit="1" customWidth="1"/>
    <col min="11" max="11" width="11.21875" style="269" bestFit="1" customWidth="1"/>
    <col min="12" max="12" width="6.2187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396</v>
      </c>
      <c r="B3" s="538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398</v>
      </c>
      <c r="B4" t="s">
        <v>399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400</v>
      </c>
      <c r="K4"/>
      <c r="L4"/>
      <c r="M4"/>
      <c r="N4"/>
      <c r="O4"/>
      <c r="P4"/>
      <c r="Q4"/>
      <c r="R4"/>
      <c r="S4"/>
      <c r="T4"/>
    </row>
    <row r="5" spans="1:20">
      <c r="A5" s="345" t="s">
        <v>399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/>
      <c r="D11" s="272">
        <v>0</v>
      </c>
      <c r="E11" s="272">
        <v>26800.941587783687</v>
      </c>
      <c r="F11" s="272">
        <v>205119.71111557155</v>
      </c>
      <c r="G11" s="272">
        <v>26800.941587783687</v>
      </c>
      <c r="H11" s="272">
        <v>5360.1883175567373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321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332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335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339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>
        <v>98888.888888888876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350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358</v>
      </c>
      <c r="B17" s="272"/>
      <c r="C17" s="272"/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>
        <v>534.72222222222217</v>
      </c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361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347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318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400</v>
      </c>
      <c r="B21" s="272">
        <v>0</v>
      </c>
      <c r="C21" s="272">
        <v>9727.1944922547336</v>
      </c>
      <c r="D21" s="272">
        <v>0</v>
      </c>
      <c r="E21" s="272">
        <v>1045694.148739391</v>
      </c>
      <c r="F21" s="272">
        <v>582816.27554468822</v>
      </c>
      <c r="G21" s="272">
        <v>203084.80058876408</v>
      </c>
      <c r="H21" s="272">
        <v>19282.437172120637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1" bestFit="1" customWidth="1"/>
    <col min="2" max="2" width="15.44140625" style="308" bestFit="1" customWidth="1"/>
    <col min="3" max="3" width="10.44140625" style="308" bestFit="1" customWidth="1"/>
    <col min="4" max="4" width="6.21875" style="308" bestFit="1" customWidth="1"/>
    <col min="5" max="7" width="12.21875" style="308" bestFit="1" customWidth="1"/>
    <col min="8" max="9" width="11.21875" style="308" bestFit="1" customWidth="1"/>
    <col min="10" max="10" width="13.554687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0">
      <c r="A3" s="538" t="s">
        <v>401</v>
      </c>
      <c r="B3" s="538" t="s">
        <v>397</v>
      </c>
      <c r="C3"/>
      <c r="D3"/>
      <c r="E3"/>
      <c r="F3"/>
      <c r="G3"/>
      <c r="H3"/>
      <c r="I3"/>
    </row>
    <row r="4" spans="1:10">
      <c r="A4" s="538" t="s">
        <v>398</v>
      </c>
      <c r="B4" t="s">
        <v>399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400</v>
      </c>
    </row>
    <row r="5" spans="1:10">
      <c r="A5" s="345" t="s">
        <v>399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267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274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286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294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310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315</v>
      </c>
      <c r="B11" s="347"/>
      <c r="C11" s="347"/>
      <c r="D11" s="347"/>
      <c r="E11" s="347">
        <v>15351.516521739253</v>
      </c>
      <c r="F11" s="347">
        <v>117492.08973913065</v>
      </c>
      <c r="G11" s="347">
        <v>15351.516521739253</v>
      </c>
      <c r="H11" s="347">
        <v>3070.3033043478508</v>
      </c>
      <c r="I11" s="347"/>
      <c r="J11" s="347">
        <v>151265.42608695701</v>
      </c>
    </row>
    <row r="12" spans="1:10">
      <c r="A12" s="345" t="s">
        <v>321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332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335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339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>
        <v>87150</v>
      </c>
    </row>
    <row r="16" spans="1:10">
      <c r="A16" s="345" t="s">
        <v>350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358</v>
      </c>
      <c r="B17" s="347"/>
      <c r="C17" s="347"/>
      <c r="D17" s="347"/>
      <c r="E17" s="347">
        <v>481.25</v>
      </c>
      <c r="F17" s="347">
        <v>481.25</v>
      </c>
      <c r="G17" s="347">
        <v>481.25</v>
      </c>
      <c r="H17" s="347">
        <v>481.25</v>
      </c>
      <c r="I17" s="347"/>
      <c r="J17" s="347">
        <v>1925</v>
      </c>
    </row>
    <row r="18" spans="1:10">
      <c r="A18" s="345" t="s">
        <v>361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347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318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400</v>
      </c>
      <c r="B21" s="347">
        <v>0</v>
      </c>
      <c r="C21" s="347">
        <v>8572.5</v>
      </c>
      <c r="D21" s="347">
        <v>0</v>
      </c>
      <c r="E21" s="347">
        <v>730328.00061264844</v>
      </c>
      <c r="F21" s="347">
        <v>440758.56110276701</v>
      </c>
      <c r="G21" s="347">
        <v>178842.44305259979</v>
      </c>
      <c r="H21" s="347">
        <v>15739.80012252967</v>
      </c>
      <c r="I21" s="347">
        <v>15000</v>
      </c>
      <c r="J21" s="347">
        <v>1389241.3048905446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402</v>
      </c>
      <c r="F2" s="19" t="s">
        <v>403</v>
      </c>
    </row>
    <row r="3" spans="3:8">
      <c r="C3" s="15">
        <v>45658</v>
      </c>
      <c r="D3" s="9" t="s">
        <v>404</v>
      </c>
      <c r="F3" s="17" t="s">
        <v>405</v>
      </c>
    </row>
    <row r="4" spans="3:8">
      <c r="C4" s="15">
        <v>45737</v>
      </c>
      <c r="D4" s="9" t="s">
        <v>406</v>
      </c>
      <c r="F4" s="17" t="s">
        <v>407</v>
      </c>
    </row>
    <row r="5" spans="3:8">
      <c r="C5" s="15">
        <v>45765</v>
      </c>
      <c r="D5" s="9" t="s">
        <v>408</v>
      </c>
      <c r="F5" s="17" t="s">
        <v>409</v>
      </c>
    </row>
    <row r="6" spans="3:8" ht="13.8" thickBot="1">
      <c r="C6" s="15">
        <v>45768</v>
      </c>
      <c r="D6" s="9" t="s">
        <v>410</v>
      </c>
      <c r="F6" s="18" t="s">
        <v>411</v>
      </c>
    </row>
    <row r="7" spans="3:8">
      <c r="C7" s="15">
        <v>45774</v>
      </c>
      <c r="D7" s="9" t="s">
        <v>412</v>
      </c>
    </row>
    <row r="8" spans="3:8">
      <c r="C8" s="15">
        <v>45765</v>
      </c>
      <c r="D8" s="9" t="s">
        <v>413</v>
      </c>
    </row>
    <row r="9" spans="3:8">
      <c r="C9" s="15">
        <v>45778</v>
      </c>
      <c r="D9" s="9" t="s">
        <v>414</v>
      </c>
    </row>
    <row r="10" spans="3:8">
      <c r="C10" s="15">
        <v>45824</v>
      </c>
      <c r="D10" s="9" t="s">
        <v>415</v>
      </c>
    </row>
    <row r="11" spans="3:8">
      <c r="C11" s="15">
        <v>45878</v>
      </c>
      <c r="D11" s="9" t="s">
        <v>416</v>
      </c>
    </row>
    <row r="12" spans="3:8">
      <c r="C12" s="15">
        <v>45924</v>
      </c>
      <c r="D12" s="9" t="s">
        <v>417</v>
      </c>
    </row>
    <row r="13" spans="3:8">
      <c r="C13" s="15">
        <v>46007</v>
      </c>
      <c r="D13" s="9" t="s">
        <v>418</v>
      </c>
      <c r="F13" s="20"/>
      <c r="H13" s="9" t="s">
        <v>419</v>
      </c>
    </row>
    <row r="14" spans="3:8">
      <c r="C14" s="15">
        <v>46016</v>
      </c>
      <c r="D14" s="9" t="s">
        <v>420</v>
      </c>
    </row>
    <row r="15" spans="3:8">
      <c r="C15" s="15">
        <v>46017</v>
      </c>
      <c r="D15" s="9" t="s">
        <v>421</v>
      </c>
    </row>
    <row r="16" spans="3:8">
      <c r="C16" s="15">
        <v>46006</v>
      </c>
      <c r="D16" s="9" t="s">
        <v>422</v>
      </c>
    </row>
    <row r="17" spans="3:4">
      <c r="C17" s="15">
        <v>46007</v>
      </c>
      <c r="D17" s="9" t="s">
        <v>422</v>
      </c>
    </row>
    <row r="18" spans="3:4">
      <c r="C18" s="15">
        <v>46008</v>
      </c>
      <c r="D18" s="9" t="s">
        <v>422</v>
      </c>
    </row>
    <row r="19" spans="3:4">
      <c r="C19" s="15">
        <v>46009</v>
      </c>
      <c r="D19" s="9" t="s">
        <v>422</v>
      </c>
    </row>
    <row r="20" spans="3:4">
      <c r="C20" s="15">
        <v>46010</v>
      </c>
      <c r="D20" s="9" t="s">
        <v>422</v>
      </c>
    </row>
    <row r="21" spans="3:4">
      <c r="C21" s="15">
        <v>46011</v>
      </c>
      <c r="D21" s="9" t="s">
        <v>422</v>
      </c>
    </row>
    <row r="22" spans="3:4">
      <c r="C22" s="15">
        <v>46012</v>
      </c>
      <c r="D22" s="9" t="s">
        <v>422</v>
      </c>
    </row>
    <row r="23" spans="3:4">
      <c r="C23" s="15">
        <v>46013</v>
      </c>
      <c r="D23" s="9" t="s">
        <v>422</v>
      </c>
    </row>
    <row r="24" spans="3:4">
      <c r="C24" s="15">
        <v>46014</v>
      </c>
      <c r="D24" s="9" t="s">
        <v>422</v>
      </c>
    </row>
    <row r="25" spans="3:4">
      <c r="C25" s="15">
        <v>46015</v>
      </c>
      <c r="D25" s="9" t="s">
        <v>422</v>
      </c>
    </row>
    <row r="26" spans="3:4">
      <c r="C26" s="15">
        <v>46016</v>
      </c>
      <c r="D26" s="9" t="s">
        <v>422</v>
      </c>
    </row>
    <row r="27" spans="3:4">
      <c r="C27" s="15">
        <v>46017</v>
      </c>
      <c r="D27" s="9" t="s">
        <v>422</v>
      </c>
    </row>
    <row r="28" spans="3:4">
      <c r="C28" s="15">
        <v>46018</v>
      </c>
      <c r="D28" s="9" t="s">
        <v>422</v>
      </c>
    </row>
    <row r="29" spans="3:4">
      <c r="C29" s="15">
        <v>46019</v>
      </c>
      <c r="D29" s="9" t="s">
        <v>422</v>
      </c>
    </row>
    <row r="30" spans="3:4">
      <c r="C30" s="15">
        <v>46020</v>
      </c>
      <c r="D30" s="9" t="s">
        <v>422</v>
      </c>
    </row>
    <row r="31" spans="3:4">
      <c r="C31" s="15">
        <v>46021</v>
      </c>
      <c r="D31" s="9" t="s">
        <v>422</v>
      </c>
    </row>
    <row r="32" spans="3:4">
      <c r="C32" s="15">
        <v>46022</v>
      </c>
      <c r="D32" s="9" t="s">
        <v>422</v>
      </c>
    </row>
    <row r="33" spans="3:4">
      <c r="C33" s="15">
        <v>46023</v>
      </c>
      <c r="D33" s="9" t="s">
        <v>422</v>
      </c>
    </row>
    <row r="34" spans="3:4">
      <c r="C34" s="15">
        <v>46024</v>
      </c>
      <c r="D34" s="9" t="s">
        <v>422</v>
      </c>
    </row>
    <row r="35" spans="3:4">
      <c r="C35" s="15">
        <v>46025</v>
      </c>
      <c r="D35" s="9" t="s">
        <v>422</v>
      </c>
    </row>
    <row r="36" spans="3:4">
      <c r="C36" s="15">
        <v>46026</v>
      </c>
      <c r="D36" s="9" t="s">
        <v>422</v>
      </c>
    </row>
    <row r="37" spans="3:4">
      <c r="C37" s="15">
        <v>46027</v>
      </c>
      <c r="D37" s="9" t="s">
        <v>422</v>
      </c>
    </row>
    <row r="38" spans="3:4">
      <c r="C38" s="15">
        <v>46028</v>
      </c>
      <c r="D38" s="9" t="s">
        <v>422</v>
      </c>
    </row>
    <row r="39" spans="3:4">
      <c r="C39" s="15">
        <v>46029</v>
      </c>
      <c r="D39" s="9" t="s">
        <v>422</v>
      </c>
    </row>
    <row r="40" spans="3:4">
      <c r="C40" s="15">
        <v>46030</v>
      </c>
      <c r="D40" s="9" t="s">
        <v>422</v>
      </c>
    </row>
    <row r="41" spans="3:4">
      <c r="C41" s="15"/>
      <c r="D41" s="9" t="s">
        <v>422</v>
      </c>
    </row>
    <row r="42" spans="3:4">
      <c r="C42" s="15"/>
      <c r="D42" s="9" t="s">
        <v>422</v>
      </c>
    </row>
    <row r="43" spans="3:4">
      <c r="C43" s="15"/>
      <c r="D43" s="9" t="s">
        <v>422</v>
      </c>
    </row>
    <row r="44" spans="3:4">
      <c r="C44" s="15"/>
      <c r="D44" s="9" t="s">
        <v>422</v>
      </c>
    </row>
    <row r="45" spans="3:4">
      <c r="C45" s="15"/>
      <c r="D45" s="9" t="s">
        <v>422</v>
      </c>
    </row>
    <row r="46" spans="3:4">
      <c r="C46" s="15"/>
      <c r="D46" s="9" t="s">
        <v>422</v>
      </c>
    </row>
    <row r="47" spans="3:4">
      <c r="C47" s="15"/>
      <c r="D47" s="9" t="s">
        <v>422</v>
      </c>
    </row>
    <row r="48" spans="3:4">
      <c r="C48" s="15"/>
      <c r="D48" s="9" t="s">
        <v>422</v>
      </c>
    </row>
    <row r="49" spans="3:4">
      <c r="C49" s="15">
        <v>46102</v>
      </c>
      <c r="D49" s="9" t="s">
        <v>406</v>
      </c>
    </row>
    <row r="50" spans="3:4">
      <c r="C50" s="15">
        <v>46115</v>
      </c>
      <c r="D50" s="9" t="s">
        <v>408</v>
      </c>
    </row>
    <row r="51" spans="3:4">
      <c r="C51" s="15">
        <v>46118</v>
      </c>
      <c r="D51" s="9" t="s">
        <v>410</v>
      </c>
    </row>
    <row r="52" spans="3:4">
      <c r="C52" s="15">
        <v>46139</v>
      </c>
      <c r="D52" s="9" t="s">
        <v>412</v>
      </c>
    </row>
    <row r="53" spans="3:4">
      <c r="C53" s="15">
        <v>46143</v>
      </c>
      <c r="D53" s="9" t="s">
        <v>414</v>
      </c>
    </row>
    <row r="54" spans="3:4">
      <c r="C54" s="15">
        <v>46189</v>
      </c>
      <c r="D54" s="9" t="s">
        <v>415</v>
      </c>
    </row>
    <row r="55" spans="3:4">
      <c r="C55" s="15">
        <v>46243</v>
      </c>
      <c r="D55" s="9" t="s">
        <v>416</v>
      </c>
    </row>
    <row r="56" spans="3:4">
      <c r="C56" s="15">
        <v>46244</v>
      </c>
      <c r="D56" s="9" t="s">
        <v>423</v>
      </c>
    </row>
    <row r="57" spans="3:4">
      <c r="C57" s="15">
        <v>46289</v>
      </c>
      <c r="D57" s="9" t="s">
        <v>417</v>
      </c>
    </row>
    <row r="58" spans="3:4">
      <c r="C58" s="15">
        <v>46372</v>
      </c>
      <c r="D58" s="9" t="s">
        <v>418</v>
      </c>
    </row>
    <row r="59" spans="3:4">
      <c r="C59" s="15">
        <v>46381</v>
      </c>
      <c r="D59" s="9" t="s">
        <v>420</v>
      </c>
    </row>
    <row r="60" spans="3:4" ht="13.8" thickBot="1">
      <c r="C60" s="16">
        <v>46382</v>
      </c>
      <c r="D60" s="9" t="s">
        <v>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2026-01-30T10:13:19Z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