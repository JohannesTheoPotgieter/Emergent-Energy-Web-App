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5" documentId="13_ncr:1_{2473AA54-0E02-4422-B2AA-DE31959F4533}" xr6:coauthVersionLast="47" xr6:coauthVersionMax="47" xr10:uidLastSave="{C677AE3E-D6B3-442D-B33C-310C8B94F422}"/>
  <bookViews>
    <workbookView xWindow="-108" yWindow="-108" windowWidth="23256" windowHeight="12456" tabRatio="743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18" l="1"/>
  <c r="Q32" i="18"/>
  <c r="Q31" i="18"/>
  <c r="Q30" i="18"/>
  <c r="Q29" i="18"/>
  <c r="P6" i="18" l="1"/>
  <c r="Q56" i="18" l="1"/>
  <c r="Q54" i="18"/>
  <c r="AA57" i="18" l="1"/>
  <c r="AA48" i="18" l="1"/>
  <c r="AA47" i="18"/>
  <c r="Z56" i="18"/>
  <c r="Z57" i="18" s="1"/>
  <c r="AF39" i="18"/>
  <c r="AF40" i="18" s="1"/>
  <c r="AC39" i="18"/>
  <c r="AC40" i="18" s="1"/>
  <c r="M9" i="2"/>
  <c r="O33" i="18"/>
  <c r="Z19" i="18"/>
  <c r="AA29" i="18"/>
  <c r="AA30" i="18"/>
  <c r="W127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4" i="18"/>
  <c r="Q74" i="18"/>
  <c r="W73" i="18"/>
  <c r="Q73" i="18"/>
  <c r="W18" i="18"/>
  <c r="Q18" i="18"/>
  <c r="W16" i="18"/>
  <c r="Q16" i="18"/>
  <c r="Q17" i="18"/>
  <c r="G24" i="2" l="1"/>
  <c r="E26" i="2"/>
  <c r="G14" i="2"/>
  <c r="E16" i="2"/>
  <c r="G16" i="2" s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80" i="18"/>
  <c r="W80" i="18" s="1"/>
  <c r="T47" i="18"/>
  <c r="W48" i="18"/>
  <c r="T46" i="18"/>
  <c r="T54" i="18"/>
  <c r="T21" i="18"/>
  <c r="T14" i="18"/>
  <c r="T15" i="18" s="1"/>
  <c r="K13" i="2"/>
  <c r="I13" i="2"/>
  <c r="H6" i="5"/>
  <c r="O113" i="18"/>
  <c r="O97" i="18"/>
  <c r="W86" i="18"/>
  <c r="W84" i="18"/>
  <c r="W82" i="18"/>
  <c r="T56" i="18"/>
  <c r="W14" i="18"/>
  <c r="W15" i="18" s="1"/>
  <c r="W17" i="18" s="1"/>
  <c r="Q87" i="18"/>
  <c r="Q86" i="18"/>
  <c r="Q85" i="18"/>
  <c r="Q84" i="18"/>
  <c r="Q83" i="18"/>
  <c r="Q82" i="18"/>
  <c r="Q80" i="18"/>
  <c r="O59" i="18"/>
  <c r="W144" i="18"/>
  <c r="W143" i="18"/>
  <c r="W142" i="18"/>
  <c r="W141" i="18"/>
  <c r="O6" i="18"/>
  <c r="Q6" i="18" s="1"/>
  <c r="J80" i="18"/>
  <c r="I80" i="18"/>
  <c r="E17" i="2" l="1"/>
  <c r="G17" i="2" s="1"/>
  <c r="E15" i="2"/>
  <c r="AO13" i="5"/>
  <c r="W54" i="18"/>
  <c r="W56" i="18" s="1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E28" i="2" l="1"/>
  <c r="E40" i="2"/>
  <c r="H14" i="5" s="1"/>
  <c r="J134" i="18"/>
  <c r="G134" i="18"/>
  <c r="G28" i="2" l="1"/>
  <c r="G22" i="2" s="1"/>
  <c r="E22" i="2"/>
  <c r="G40" i="2"/>
  <c r="W135" i="18"/>
  <c r="W136" i="18" s="1"/>
  <c r="W137" i="18" s="1"/>
  <c r="W138" i="18" s="1"/>
  <c r="W47" i="18"/>
  <c r="I45" i="18"/>
  <c r="F22" i="2" l="1"/>
  <c r="X125" i="18"/>
  <c r="T165" i="18" l="1"/>
  <c r="T164" i="18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8" i="18"/>
  <c r="T137" i="18"/>
  <c r="T136" i="18"/>
  <c r="T135" i="18"/>
  <c r="T133" i="18"/>
  <c r="T132" i="18"/>
  <c r="T131" i="18"/>
  <c r="T130" i="18"/>
  <c r="T124" i="18"/>
  <c r="T123" i="18"/>
  <c r="T122" i="18"/>
  <c r="T121" i="18"/>
  <c r="T112" i="18"/>
  <c r="T111" i="18"/>
  <c r="T110" i="18"/>
  <c r="T108" i="18"/>
  <c r="T107" i="18"/>
  <c r="T106" i="18"/>
  <c r="T105" i="18"/>
  <c r="T96" i="18"/>
  <c r="T95" i="18"/>
  <c r="T94" i="18"/>
  <c r="T93" i="18"/>
  <c r="T92" i="18"/>
  <c r="T88" i="18"/>
  <c r="T79" i="18"/>
  <c r="T78" i="18"/>
  <c r="T77" i="18"/>
  <c r="T76" i="18"/>
  <c r="T70" i="18"/>
  <c r="T69" i="18"/>
  <c r="T68" i="18"/>
  <c r="T67" i="18"/>
  <c r="T58" i="18"/>
  <c r="T57" i="18"/>
  <c r="T55" i="18"/>
  <c r="T53" i="18"/>
  <c r="T52" i="18"/>
  <c r="T51" i="18"/>
  <c r="T50" i="18"/>
  <c r="T44" i="18"/>
  <c r="T43" i="18"/>
  <c r="T42" i="18"/>
  <c r="T41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1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8" i="18" l="1"/>
  <c r="W97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3" i="18"/>
  <c r="H45" i="18" s="1"/>
  <c r="H46" i="18" s="1"/>
  <c r="H47" i="18" s="1"/>
  <c r="H48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0" i="2"/>
  <c r="S19" i="2"/>
  <c r="S18" i="2"/>
  <c r="S17" i="2"/>
  <c r="S16" i="2"/>
  <c r="S15" i="2"/>
  <c r="S14" i="2"/>
  <c r="S13" i="2"/>
  <c r="X45" i="18"/>
  <c r="G112" i="18"/>
  <c r="Z18" i="18" s="1"/>
  <c r="J109" i="18"/>
  <c r="X80" i="18"/>
  <c r="I131" i="18"/>
  <c r="G141" i="18"/>
  <c r="G111" i="18"/>
  <c r="G110" i="18"/>
  <c r="Z17" i="18" s="1"/>
  <c r="G109" i="18"/>
  <c r="Z16" i="18" s="1"/>
  <c r="G97" i="18"/>
  <c r="G96" i="18"/>
  <c r="Z14" i="18" s="1"/>
  <c r="AA14" i="18" s="1"/>
  <c r="G53" i="18"/>
  <c r="Z12" i="18" s="1"/>
  <c r="G29" i="18"/>
  <c r="Z13" i="18" s="1"/>
  <c r="G21" i="18"/>
  <c r="G13" i="18"/>
  <c r="I13" i="18" s="1"/>
  <c r="G6" i="18"/>
  <c r="Q134" i="18"/>
  <c r="Y30" i="18"/>
  <c r="Y29" i="18"/>
  <c r="Y28" i="18"/>
  <c r="Y27" i="18"/>
  <c r="J141" i="18"/>
  <c r="J125" i="18"/>
  <c r="J96" i="18"/>
  <c r="J53" i="18"/>
  <c r="J45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1" i="18"/>
  <c r="I71" i="18"/>
  <c r="F15" i="3" s="1"/>
  <c r="F16" i="3"/>
  <c r="O1" i="2"/>
  <c r="N1" i="2"/>
  <c r="G25" i="3"/>
  <c r="D4" i="5"/>
  <c r="E51" i="5"/>
  <c r="E52" i="5"/>
  <c r="E26" i="5"/>
  <c r="I125" i="18"/>
  <c r="X21" i="18"/>
  <c r="P16" i="5" l="1"/>
  <c r="N26" i="2"/>
  <c r="U77" i="18"/>
  <c r="U78" i="18"/>
  <c r="U75" i="18"/>
  <c r="U74" i="18"/>
  <c r="U73" i="18"/>
  <c r="U72" i="18"/>
  <c r="U71" i="18"/>
  <c r="U76" i="18"/>
  <c r="I22" i="2"/>
  <c r="J22" i="2" s="1"/>
  <c r="F21" i="5"/>
  <c r="F20" i="5"/>
  <c r="F19" i="5"/>
  <c r="F18" i="5"/>
  <c r="F22" i="5"/>
  <c r="U84" i="18"/>
  <c r="U86" i="18"/>
  <c r="U88" i="18"/>
  <c r="U90" i="18"/>
  <c r="U91" i="18"/>
  <c r="U81" i="18"/>
  <c r="U82" i="18"/>
  <c r="U83" i="18"/>
  <c r="U85" i="18"/>
  <c r="U87" i="18"/>
  <c r="U89" i="18"/>
  <c r="U92" i="18"/>
  <c r="Q113" i="18"/>
  <c r="Q37" i="18"/>
  <c r="F14" i="5"/>
  <c r="F13" i="5"/>
  <c r="E46" i="2"/>
  <c r="U50" i="18"/>
  <c r="U51" i="18"/>
  <c r="U46" i="18"/>
  <c r="U49" i="18"/>
  <c r="U48" i="18"/>
  <c r="U47" i="18"/>
  <c r="U45" i="18"/>
  <c r="U94" i="18"/>
  <c r="U80" i="18"/>
  <c r="U93" i="18"/>
  <c r="I141" i="18"/>
  <c r="F22" i="3" s="1"/>
  <c r="Q144" i="18"/>
  <c r="K41" i="2"/>
  <c r="I39" i="2"/>
  <c r="U15" i="18"/>
  <c r="I6" i="18"/>
  <c r="I21" i="18"/>
  <c r="I28" i="18"/>
  <c r="F12" i="3" s="1"/>
  <c r="Q141" i="18"/>
  <c r="I134" i="18"/>
  <c r="F21" i="3" s="1"/>
  <c r="F19" i="3"/>
  <c r="J19" i="3" s="1"/>
  <c r="F10" i="3"/>
  <c r="I96" i="18"/>
  <c r="Z15" i="18"/>
  <c r="AA15" i="18" s="1"/>
  <c r="U13" i="18"/>
  <c r="J2" i="18"/>
  <c r="J4" i="18" s="1"/>
  <c r="F20" i="3"/>
  <c r="Q143" i="18"/>
  <c r="Q142" i="18"/>
  <c r="U14" i="18"/>
  <c r="H10" i="3"/>
  <c r="U17" i="18"/>
  <c r="I53" i="18"/>
  <c r="U16" i="18"/>
  <c r="U19" i="18"/>
  <c r="U18" i="18"/>
  <c r="U125" i="18"/>
  <c r="H20" i="3"/>
  <c r="I109" i="18"/>
  <c r="N15" i="2"/>
  <c r="J23" i="3"/>
  <c r="F23" i="5"/>
  <c r="F15" i="5"/>
  <c r="X6" i="18"/>
  <c r="F17" i="5"/>
  <c r="F16" i="5"/>
  <c r="F24" i="5"/>
  <c r="C3" i="6"/>
  <c r="H15" i="3"/>
  <c r="J15" i="3" s="1"/>
  <c r="Q33" i="18"/>
  <c r="Q62" i="18"/>
  <c r="Q66" i="18"/>
  <c r="Q65" i="18"/>
  <c r="Q64" i="18"/>
  <c r="Q60" i="18"/>
  <c r="Q61" i="18"/>
  <c r="Q59" i="18"/>
  <c r="Q63" i="18"/>
  <c r="Q117" i="18"/>
  <c r="Q114" i="18"/>
  <c r="Q116" i="18"/>
  <c r="Q118" i="18"/>
  <c r="Q115" i="18"/>
  <c r="X134" i="18"/>
  <c r="F13" i="3"/>
  <c r="H11" i="3"/>
  <c r="U23" i="18"/>
  <c r="U22" i="18"/>
  <c r="U127" i="18"/>
  <c r="U129" i="18"/>
  <c r="U128" i="18"/>
  <c r="U126" i="18"/>
  <c r="H13" i="3"/>
  <c r="H16" i="3"/>
  <c r="J16" i="3" s="1"/>
  <c r="U25" i="18"/>
  <c r="U26" i="18"/>
  <c r="U21" i="18"/>
  <c r="U24" i="18"/>
  <c r="Q35" i="18" l="1"/>
  <c r="Q40" i="18"/>
  <c r="Q36" i="18"/>
  <c r="Q34" i="18"/>
  <c r="Q38" i="18"/>
  <c r="Q39" i="18"/>
  <c r="V71" i="18"/>
  <c r="Q119" i="18"/>
  <c r="Q120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1" i="18"/>
  <c r="U149" i="18" s="1"/>
  <c r="F17" i="3"/>
  <c r="F14" i="3"/>
  <c r="J10" i="3"/>
  <c r="F11" i="3"/>
  <c r="J11" i="3" s="1"/>
  <c r="I2" i="18"/>
  <c r="F9" i="3"/>
  <c r="V125" i="18"/>
  <c r="F18" i="3"/>
  <c r="N16" i="2"/>
  <c r="J13" i="3"/>
  <c r="F26" i="5"/>
  <c r="F4" i="5" s="1"/>
  <c r="U11" i="18"/>
  <c r="H9" i="3"/>
  <c r="U7" i="18"/>
  <c r="U8" i="18"/>
  <c r="U9" i="18"/>
  <c r="U10" i="18"/>
  <c r="X53" i="18"/>
  <c r="U6" i="18"/>
  <c r="U138" i="18"/>
  <c r="U134" i="18"/>
  <c r="H21" i="3"/>
  <c r="J21" i="3" s="1"/>
  <c r="U139" i="18"/>
  <c r="U135" i="18"/>
  <c r="U136" i="18"/>
  <c r="U137" i="18"/>
  <c r="V80" i="18"/>
  <c r="V45" i="18"/>
  <c r="V21" i="18"/>
  <c r="X28" i="18" l="1"/>
  <c r="U39" i="18" s="1"/>
  <c r="U146" i="18"/>
  <c r="U143" i="18"/>
  <c r="X109" i="18"/>
  <c r="U112" i="18" s="1"/>
  <c r="C9" i="6"/>
  <c r="L9" i="5"/>
  <c r="U64" i="18"/>
  <c r="U69" i="18"/>
  <c r="H22" i="3"/>
  <c r="J22" i="3" s="1"/>
  <c r="U142" i="18"/>
  <c r="U147" i="18"/>
  <c r="U151" i="18"/>
  <c r="U150" i="18"/>
  <c r="U145" i="18"/>
  <c r="U148" i="18"/>
  <c r="U152" i="18"/>
  <c r="Z39" i="18"/>
  <c r="Z40" i="18" s="1"/>
  <c r="F43" i="2"/>
  <c r="G49" i="2"/>
  <c r="U33" i="18"/>
  <c r="U43" i="18"/>
  <c r="U65" i="18"/>
  <c r="U141" i="18"/>
  <c r="U144" i="18"/>
  <c r="K37" i="2"/>
  <c r="K32" i="2" s="1"/>
  <c r="I32" i="2"/>
  <c r="N25" i="2"/>
  <c r="N30" i="2"/>
  <c r="F5" i="3"/>
  <c r="D5" i="5" s="1"/>
  <c r="D6" i="5" s="1"/>
  <c r="J9" i="3"/>
  <c r="F52" i="5"/>
  <c r="F50" i="5" s="1"/>
  <c r="U35" i="18"/>
  <c r="U62" i="18"/>
  <c r="U34" i="18"/>
  <c r="U66" i="18"/>
  <c r="T13" i="2"/>
  <c r="V134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2" i="18"/>
  <c r="U28" i="18"/>
  <c r="H12" i="3"/>
  <c r="J12" i="3" s="1"/>
  <c r="U41" i="18"/>
  <c r="U42" i="18"/>
  <c r="U29" i="18"/>
  <c r="U37" i="18"/>
  <c r="U61" i="18"/>
  <c r="V6" i="18"/>
  <c r="U40" i="18"/>
  <c r="U63" i="18"/>
  <c r="U38" i="18"/>
  <c r="U36" i="18"/>
  <c r="U60" i="18"/>
  <c r="U117" i="18" l="1"/>
  <c r="H18" i="3"/>
  <c r="J18" i="3" s="1"/>
  <c r="U109" i="18"/>
  <c r="U118" i="18"/>
  <c r="U122" i="18"/>
  <c r="U116" i="18"/>
  <c r="U119" i="18"/>
  <c r="U120" i="18"/>
  <c r="U121" i="18"/>
  <c r="U114" i="18"/>
  <c r="U110" i="18"/>
  <c r="U115" i="18"/>
  <c r="U113" i="18"/>
  <c r="U111" i="18"/>
  <c r="D7" i="5"/>
  <c r="G6" i="5"/>
  <c r="Q100" i="18"/>
  <c r="Q102" i="18"/>
  <c r="Q98" i="18"/>
  <c r="Q97" i="18"/>
  <c r="Q99" i="18"/>
  <c r="Q101" i="18"/>
  <c r="Q103" i="18"/>
  <c r="Q104" i="18"/>
  <c r="V141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3" i="18"/>
  <c r="V28" i="18"/>
  <c r="V109" i="18" l="1"/>
  <c r="X96" i="18"/>
  <c r="U99" i="18" s="1"/>
  <c r="G50" i="2"/>
  <c r="G48" i="2" s="1"/>
  <c r="E53" i="2"/>
  <c r="E48" i="2"/>
  <c r="F51" i="5"/>
  <c r="K44" i="2"/>
  <c r="I45" i="2" s="1"/>
  <c r="P18" i="5" s="1"/>
  <c r="N40" i="2"/>
  <c r="U13" i="2"/>
  <c r="V13" i="2"/>
  <c r="U100" i="18" l="1"/>
  <c r="U102" i="18"/>
  <c r="U103" i="18"/>
  <c r="U97" i="18"/>
  <c r="U98" i="18"/>
  <c r="H17" i="3"/>
  <c r="U106" i="18"/>
  <c r="U107" i="18"/>
  <c r="U96" i="18"/>
  <c r="U105" i="18"/>
  <c r="X2" i="18"/>
  <c r="U101" i="18"/>
  <c r="U104" i="18"/>
  <c r="F48" i="2"/>
  <c r="G53" i="2"/>
  <c r="W59" i="18"/>
  <c r="T97" i="18"/>
  <c r="W113" i="18"/>
  <c r="W33" i="18"/>
  <c r="W60" i="18"/>
  <c r="T60" i="18" s="1"/>
  <c r="W114" i="18"/>
  <c r="W34" i="18"/>
  <c r="T98" i="18"/>
  <c r="N20" i="2"/>
  <c r="N19" i="2" s="1"/>
  <c r="N9" i="2" s="1"/>
  <c r="H21" i="18"/>
  <c r="H13" i="18"/>
  <c r="T14" i="2"/>
  <c r="J17" i="3" l="1"/>
  <c r="J5" i="3" s="1"/>
  <c r="H5" i="3"/>
  <c r="F5" i="5" s="1"/>
  <c r="V96" i="18"/>
  <c r="E55" i="2"/>
  <c r="G55" i="2" s="1"/>
  <c r="E54" i="2"/>
  <c r="T114" i="18"/>
  <c r="T34" i="18"/>
  <c r="T59" i="18"/>
  <c r="T113" i="18"/>
  <c r="T33" i="18"/>
  <c r="K45" i="2"/>
  <c r="N36" i="2"/>
  <c r="N34" i="2"/>
  <c r="N35" i="2"/>
  <c r="H28" i="18"/>
  <c r="V14" i="2"/>
  <c r="F6" i="5" l="1"/>
  <c r="F7" i="5" s="1"/>
  <c r="C11" i="6"/>
  <c r="H25" i="3"/>
  <c r="G54" i="2"/>
  <c r="H19" i="5" s="1"/>
  <c r="H20" i="5" s="1"/>
  <c r="E52" i="2"/>
  <c r="I46" i="2"/>
  <c r="H96" i="18"/>
  <c r="N24" i="2"/>
  <c r="N23" i="2"/>
  <c r="M19" i="2"/>
  <c r="U14" i="2"/>
  <c r="G52" i="2" l="1"/>
  <c r="F52" i="2" s="1"/>
  <c r="H111" i="18"/>
  <c r="K46" i="2"/>
  <c r="K43" i="2" s="1"/>
  <c r="I49" i="2"/>
  <c r="I43" i="2"/>
  <c r="H109" i="18"/>
  <c r="H110" i="18"/>
  <c r="H112" i="18"/>
  <c r="T15" i="2"/>
  <c r="W125" i="18" l="1"/>
  <c r="K49" i="2"/>
  <c r="J43" i="2"/>
  <c r="J9" i="2"/>
  <c r="H97" i="18"/>
  <c r="H29" i="18"/>
  <c r="T17" i="2"/>
  <c r="U15" i="2"/>
  <c r="V15" i="2"/>
  <c r="W99" i="18"/>
  <c r="W61" i="18" l="1"/>
  <c r="T61" i="18" s="1"/>
  <c r="W115" i="18"/>
  <c r="W35" i="18"/>
  <c r="T99" i="18"/>
  <c r="I50" i="2"/>
  <c r="N41" i="2"/>
  <c r="N37" i="2"/>
  <c r="T115" i="18" l="1"/>
  <c r="T35" i="18"/>
  <c r="I53" i="2"/>
  <c r="K50" i="2"/>
  <c r="K48" i="2" s="1"/>
  <c r="I48" i="2"/>
  <c r="T16" i="2"/>
  <c r="U17" i="2"/>
  <c r="V17" i="2"/>
  <c r="J48" i="2" l="1"/>
  <c r="K53" i="2"/>
  <c r="I54" i="2" l="1"/>
  <c r="I55" i="2"/>
  <c r="K55" i="2" s="1"/>
  <c r="U16" i="2"/>
  <c r="W100" i="18"/>
  <c r="V16" i="2"/>
  <c r="W62" i="18" l="1"/>
  <c r="T62" i="18" s="1"/>
  <c r="W116" i="18"/>
  <c r="T100" i="18"/>
  <c r="W36" i="18"/>
  <c r="K54" i="2"/>
  <c r="I52" i="2"/>
  <c r="N44" i="2"/>
  <c r="K52" i="2" l="1"/>
  <c r="T116" i="18"/>
  <c r="T36" i="18"/>
  <c r="N45" i="2"/>
  <c r="N46" i="2"/>
  <c r="J52" i="2" l="1"/>
  <c r="P19" i="5"/>
  <c r="P20" i="5" s="1"/>
  <c r="N49" i="2"/>
  <c r="H141" i="18"/>
  <c r="H134" i="18"/>
  <c r="K2" i="2" l="1"/>
  <c r="K3" i="2" s="1"/>
  <c r="K4" i="2" s="1"/>
  <c r="T18" i="2"/>
  <c r="U18" i="2" l="1"/>
  <c r="V18" i="2"/>
  <c r="W101" i="18"/>
  <c r="T101" i="18" l="1"/>
  <c r="W117" i="18"/>
  <c r="W63" i="18"/>
  <c r="T63" i="18" s="1"/>
  <c r="W37" i="18"/>
  <c r="T117" i="18" l="1"/>
  <c r="T37" i="18"/>
  <c r="N50" i="2"/>
  <c r="T19" i="2"/>
  <c r="N53" i="2" l="1"/>
  <c r="W103" i="18"/>
  <c r="W104" i="18"/>
  <c r="W102" i="18"/>
  <c r="W64" i="18" l="1"/>
  <c r="T64" i="18" s="1"/>
  <c r="T102" i="18"/>
  <c r="W118" i="18"/>
  <c r="W38" i="18"/>
  <c r="T104" i="18"/>
  <c r="W66" i="18"/>
  <c r="T66" i="18" s="1"/>
  <c r="W120" i="18"/>
  <c r="W40" i="18"/>
  <c r="W65" i="18"/>
  <c r="T65" i="18" s="1"/>
  <c r="T103" i="18"/>
  <c r="W39" i="18"/>
  <c r="W119" i="18"/>
  <c r="U19" i="2"/>
  <c r="V19" i="2"/>
  <c r="T39" i="18" l="1"/>
  <c r="T119" i="18"/>
  <c r="T40" i="18"/>
  <c r="T120" i="18"/>
  <c r="T38" i="18"/>
  <c r="T118" i="18"/>
  <c r="N55" i="2"/>
  <c r="N54" i="2"/>
  <c r="F9" i="6" l="1"/>
  <c r="G9" i="6"/>
  <c r="F10" i="6" l="1"/>
  <c r="G10" i="6" l="1"/>
  <c r="F9" i="2" l="1"/>
  <c r="H125" i="18" l="1"/>
  <c r="H126" i="18" s="1"/>
  <c r="G3" i="6" l="1"/>
  <c r="F3" i="6"/>
  <c r="F5" i="6" l="1"/>
  <c r="F6" i="6" s="1"/>
  <c r="G5" i="6"/>
  <c r="F4" i="6"/>
  <c r="G6" i="6" l="1"/>
  <c r="F7" i="6"/>
  <c r="G4" i="6"/>
  <c r="G7" i="6" l="1"/>
  <c r="T20" i="2" l="1"/>
  <c r="V20" i="2"/>
  <c r="U20" i="2"/>
  <c r="T125" i="18" l="1"/>
  <c r="V3" i="5" s="1"/>
  <c r="T128" i="18"/>
  <c r="T129" i="18" s="1"/>
  <c r="T134" i="18"/>
  <c r="W3" i="5" s="1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BA1" i="6"/>
  <c r="AZ9" i="6" s="1"/>
  <c r="AZ6" i="6" l="1"/>
  <c r="AZ18" i="6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G17" i="6"/>
  <c r="BG18" i="6" s="1"/>
  <c r="BG11" i="6"/>
  <c r="BG12" i="6" s="1"/>
  <c r="AX4" i="6"/>
  <c r="AW7" i="6"/>
  <c r="BH6" i="6" l="1"/>
  <c r="BH12" i="6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K1" i="6"/>
  <c r="BJ9" i="6" s="1"/>
  <c r="BI3" i="6"/>
  <c r="BI17" i="6"/>
  <c r="BI18" i="6" s="1"/>
  <c r="BJ6" i="6" l="1"/>
  <c r="BJ17" i="6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C5" i="6"/>
  <c r="CC6" i="6" s="1"/>
  <c r="BT10" i="6"/>
  <c r="BS14" i="6"/>
  <c r="CD12" i="6" l="1"/>
  <c r="CD18" i="6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E9" i="6"/>
  <c r="CE11" i="6"/>
  <c r="CE12" i="6" s="1"/>
  <c r="BV4" i="6"/>
  <c r="BU7" i="6"/>
  <c r="CF6" i="6" l="1"/>
  <c r="CF18" i="6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P11" i="6"/>
  <c r="CP12" i="6" s="1"/>
  <c r="CP18" i="6"/>
  <c r="CG10" i="6"/>
  <c r="CF14" i="6"/>
  <c r="CQ6" i="6" l="1"/>
  <c r="CS1" i="6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5" i="6"/>
  <c r="CU6" i="6" s="1"/>
  <c r="CU3" i="6"/>
  <c r="CU9" i="6"/>
  <c r="CJ14" i="6"/>
  <c r="CK10" i="6"/>
  <c r="CK4" i="6"/>
  <c r="CJ7" i="6"/>
  <c r="CU18" i="6" l="1"/>
  <c r="CK14" i="6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G14" i="6"/>
  <c r="DH10" i="6"/>
  <c r="DQ11" i="6"/>
  <c r="DQ12" i="6" s="1"/>
  <c r="DQ9" i="6"/>
  <c r="DQ3" i="6"/>
  <c r="DG7" i="6"/>
  <c r="DH4" i="6"/>
  <c r="DR6" i="6" l="1"/>
  <c r="DR12" i="6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K4" i="6"/>
  <c r="DJ7" i="6"/>
  <c r="DK10" i="6"/>
  <c r="DJ14" i="6"/>
  <c r="DT9" i="6"/>
  <c r="DU12" i="6" l="1"/>
  <c r="DU3" i="6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M17" i="6"/>
  <c r="EM18" i="6" s="1"/>
  <c r="ED10" i="6"/>
  <c r="EC14" i="6"/>
  <c r="EM9" i="6"/>
  <c r="EM3" i="6"/>
  <c r="EM11" i="6"/>
  <c r="EM12" i="6" s="1"/>
  <c r="EC7" i="6"/>
  <c r="ED4" i="6"/>
  <c r="EN6" i="6" l="1"/>
  <c r="EE10" i="6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Q3" i="6"/>
  <c r="EQ11" i="6"/>
  <c r="EQ12" i="6" s="1"/>
  <c r="EQ17" i="6"/>
  <c r="EQ18" i="6" s="1"/>
  <c r="EH4" i="6"/>
  <c r="EG7" i="6"/>
  <c r="EH10" i="6"/>
  <c r="EG14" i="6"/>
  <c r="ER6" i="6" l="1"/>
  <c r="ER18" i="6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J4" i="6"/>
  <c r="EI7" i="6"/>
  <c r="ET18" i="6" l="1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G3" i="6"/>
  <c r="FG17" i="6"/>
  <c r="FG18" i="6" s="1"/>
  <c r="EW14" i="6"/>
  <c r="EX10" i="6"/>
  <c r="FH6" i="6" l="1"/>
  <c r="FH18" i="6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l="1"/>
  <c r="GH3" i="6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Q9" i="6"/>
  <c r="GQ3" i="6"/>
  <c r="GR6" i="6" l="1"/>
  <c r="GR12" i="6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V17" i="6"/>
  <c r="IV18" i="6" s="1"/>
  <c r="IM10" i="6"/>
  <c r="IL14" i="6"/>
  <c r="IW12" i="6" l="1"/>
  <c r="IW9" i="6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KF3" i="6"/>
  <c r="KF9" i="6"/>
  <c r="D9" i="6" s="1"/>
  <c r="KE12" i="6"/>
  <c r="KE3" i="6"/>
  <c r="JV4" i="6"/>
  <c r="JU7" i="6"/>
  <c r="JV10" i="6"/>
  <c r="JU14" i="6"/>
  <c r="KE5" i="6"/>
  <c r="KE6" i="6" s="1"/>
  <c r="KF6" i="6" l="1"/>
  <c r="D5" i="6"/>
  <c r="D3" i="6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<sst xmlns="http://schemas.openxmlformats.org/spreadsheetml/2006/main" count="872" uniqueCount="480">
  <si>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</si>
  <si>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</si>
  <si>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</si>
  <si>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</si>
  <si>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</si>
  <si>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</si>
  <si>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</si>
  <si>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</si>
  <si>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</si>
  <si>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</si>
  <si>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</si>
  <si>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</si>
  <si>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</si>
  <si>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</si>
  <si>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</si>
  <si>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</si>
  <si>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</si>
  <si>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</si>
  <si>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</si>
  <si>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</si>
  <si>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</si>
  <si>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</si>
  <si>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</si>
  <si>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</si>
  <si>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</si>
  <si>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</si>
  <si>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</si>
  <si>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</si>
  <si>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</si>
  <si>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</si>
  <si>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</si>
  <si>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</si>
  <si>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</si>
  <si>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</si>
  <si>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</si>
  <si>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</si>
  <si>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</si>
  <si>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</si>
  <si>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</si>
  <si>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</si>
  <si>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</si>
  <si>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</si>
  <si>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</si>
  <si>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</si>
  <si>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</si>
  <si>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</si>
  <si>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</si>
  <si>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</si>
  <si>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</si>
  <si>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</si>
  <si>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</si>
  <si>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</si>
  <si>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</si>
  <si>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</si>
  <si>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</si>
  <si>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</si>
  <si>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</si>
  <si>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</si>
  <si>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</si>
  <si>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</si>
  <si>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</si>
  <si>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</si>
  <si>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</si>
  <si>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</si>
  <si>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</si>
  <si>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</si>
  <si>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</si>
  <si>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</si>
  <si>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</si>
  <si>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</si>
  <si>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</si>
  <si>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</si>
  <si>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</si>
  <si>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</si>
  <si>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</si>
  <si>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</si>
  <si>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</si>
  <si>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</si>
  <si>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</si>
  <si>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</si>
  <si>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</si>
  <si>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</si>
  <si>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</si>
  <si>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</si>
  <si>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</si>
  <si>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</si>
  <si>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</si>
  <si>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</si>
  <si>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</si>
  <si>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</si>
  <si>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</si>
  <si>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</si>
  <si>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</si>
  <si>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</si>
  <si>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</si>
  <si>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</si>
  <si>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</si>
  <si>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</si>
  <si>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</si>
  <si>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</si>
  <si>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</si>
  <si>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</si>
  <si>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</si>
  <si>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</si>
  <si>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</si>
  <si>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</si>
  <si>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</si>
  <si>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</si>
  <si>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</si>
  <si>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</si>
  <si>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</si>
  <si>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</si>
  <si>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</si>
  <si>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</si>
  <si>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</si>
  <si>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</si>
  <si>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</si>
  <si>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</si>
  <si>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</si>
  <si>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</si>
  <si>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</si>
  <si>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</si>
  <si>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</si>
  <si>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</si>
  <si>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</si>
  <si>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</si>
  <si>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</si>
  <si>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</si>
  <si>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</si>
  <si>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</si>
  <si>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</si>
  <si>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</si>
  <si>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</si>
  <si>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</si>
  <si>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</si>
  <si>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</si>
  <si>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</si>
  <si>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</si>
  <si>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</si>
  <si>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</si>
  <si>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</si>
  <si>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</si>
  <si>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</si>
  <si>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</si>
  <si>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</si>
  <si>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</si>
  <si>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</si>
  <si>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</si>
  <si>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</si>
  <si>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</si>
  <si>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</si>
  <si>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</si>
  <si>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</si>
  <si>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</si>
  <si>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</si>
  <si>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</si>
  <si>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</si>
  <si>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</si>
  <si>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</si>
  <si>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</si>
  <si>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</si>
  <si>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</si>
  <si>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</si>
  <si>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</si>
  <si>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</si>
  <si>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</si>
  <si>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</si>
  <si>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</si>
  <si>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</si>
  <si>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</si>
  <si>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</si>
  <si>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</si>
  <si>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</si>
  <si>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</si>
  <si>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</si>
  <si>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</si>
  <si>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</si>
  <si>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</si>
  <si>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</si>
  <si>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</si>
  <si>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</si>
  <si>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</si>
  <si>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</si>
  <si>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</si>
  <si>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</si>
  <si>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</si>
  <si>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</si>
  <si>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</si>
  <si>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</si>
  <si>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</si>
  <si>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</si>
  <si>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</si>
  <si>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</si>
  <si>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</si>
  <si>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</si>
  <si>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</si>
  <si>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</si>
  <si>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</si>
  <si>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</si>
  <si>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</si>
  <si>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</si>
  <si>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</si>
  <si>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</si>
  <si>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</si>
  <si>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</si>
  <si>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</si>
  <si>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</si>
  <si>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</si>
  <si>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</si>
  <si>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</si>
  <si>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</si>
  <si>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</si>
  <si>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</si>
  <si>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</si>
  <si>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</si>
  <si>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</si>
  <si>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</si>
  <si>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</si>
  <si>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</si>
  <si>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</si>
  <si>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</si>
  <si>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</si>
  <si>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</si>
  <si>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</si>
  <si>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</si>
  <si>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</si>
  <si>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</si>
  <si>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</si>
  <si>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</si>
  <si>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</si>
  <si>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</si>
  <si>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</si>
  <si>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</si>
  <si>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</si>
  <si>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</si>
  <si>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</si>
  <si>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</si>
  <si>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</si>
  <si>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</si>
  <si>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</si>
  <si>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</si>
  <si>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</si>
  <si>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</si>
  <si>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</si>
  <si>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</si>
  <si>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</si>
  <si>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</si>
  <si>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</si>
  <si>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</si>
  <si>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</si>
  <si>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</si>
  <si>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</si>
  <si>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</si>
  <si>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</si>
  <si>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</si>
  <si>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</si>
  <si>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</si>
  <si>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</si>
  <si>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</si>
  <si>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</si>
  <si>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</si>
  <si>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</si>
  <si>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</si>
  <si>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</si>
  <si>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</si>
  <si>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</si>
  <si>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</si>
  <si>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</si>
  <si>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</si>
  <si>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</si>
  <si>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</si>
  <si>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</si>
  <si>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</si>
  <si>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</si>
  <si>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</si>
  <si>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</si>
  <si>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</si>
  <si>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</si>
  <si>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</si>
  <si>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</si>
  <si>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</si>
  <si>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</si>
  <si>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</si>
  <si>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</si>
  <si>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</si>
  <si>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</si>
  <si>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</si>
  <si>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</si>
  <si>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</si>
  <si>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</si>
  <si>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</si>
  <si>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</si>
  <si>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</si>
  <si>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</si>
  <si>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</si>
  <si>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</si>
  <si>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</si>
  <si>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</si>
  <si>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</si>
  <si>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</si>
  <si>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</si>
  <si>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</si>
  <si>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</si>
  <si>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</si>
  <si>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</si>
  <si>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</si>
  <si>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</si>
  <si>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</si>
  <si>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</si>
  <si>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</si>
  <si>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</si>
  <si>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</si>
  <si>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</si>
  <si>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</si>
  <si>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Trenching</t>
  </si>
  <si>
    <t>Mounting Structures</t>
  </si>
  <si>
    <t>Structure Budget</t>
  </si>
  <si>
    <t>3. Mounting Structures</t>
  </si>
  <si>
    <t>Other</t>
  </si>
  <si>
    <t>Less 15%</t>
  </si>
  <si>
    <t>R/Wp</t>
  </si>
  <si>
    <t>DC Cable Budget</t>
  </si>
  <si>
    <t>4. DC Equipment</t>
  </si>
  <si>
    <t>DC Equipment Budget</t>
  </si>
  <si>
    <t>Project Kick Off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</si>
  <si>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</si>
  <si>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</si>
  <si>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</si>
  <si>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</si>
  <si>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</si>
  <si>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</si>
  <si>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</si>
  <si>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</si>
  <si>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</si>
  <si>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</si>
  <si>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</si>
  <si>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Revenue Grade Meter</t>
  </si>
  <si>
    <t>Generator Integration</t>
  </si>
  <si>
    <t>AC Equipment Budget</t>
  </si>
  <si>
    <t>6. AC Equipment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</si>
  <si>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</si>
  <si>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</si>
  <si>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</si>
  <si>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</si>
  <si>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</si>
  <si>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</si>
  <si>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</si>
  <si>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</si>
  <si>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</si>
  <si>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</si>
  <si>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</si>
  <si>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</si>
  <si>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</si>
  <si>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</si>
  <si>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</si>
  <si>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</si>
  <si>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</si>
  <si>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</si>
  <si>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</si>
  <si>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</si>
  <si>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</si>
  <si>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</si>
  <si>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</si>
  <si>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</si>
  <si>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</si>
  <si>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</si>
  <si>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</si>
  <si>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</si>
  <si>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</si>
  <si>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</si>
  <si>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</si>
  <si>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</si>
  <si>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</si>
  <si>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</si>
  <si>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</si>
  <si>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</si>
  <si>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</si>
  <si>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</si>
  <si>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</si>
  <si>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</si>
  <si>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</si>
  <si>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</si>
  <si>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</si>
  <si>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</si>
  <si>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</si>
  <si>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</si>
  <si>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</si>
  <si>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</si>
  <si>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</si>
  <si>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</si>
  <si>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</si>
  <si>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</si>
  <si>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</si>
  <si>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</si>
  <si>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</si>
  <si>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</si>
  <si>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</si>
  <si>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</si>
  <si>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</si>
  <si>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</si>
  <si>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</si>
  <si>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</si>
  <si>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</si>
  <si>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</si>
  <si>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</si>
  <si>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</si>
  <si>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</si>
  <si>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</si>
  <si>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</si>
  <si>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</si>
  <si>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</si>
  <si>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</si>
  <si>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</si>
  <si>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</si>
  <si>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</si>
  <si>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</si>
  <si>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</si>
  <si>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</si>
  <si>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</si>
  <si>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</si>
  <si>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</si>
  <si>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</si>
  <si>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</si>
  <si>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</si>
  <si>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</si>
  <si>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</si>
  <si>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</si>
  <si>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</si>
  <si>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</si>
  <si>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</si>
  <si>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</si>
  <si>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</si>
  <si>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</si>
  <si>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</si>
  <si>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</si>
  <si>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</si>
  <si>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</si>
  <si>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</si>
  <si>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</si>
  <si>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</si>
  <si>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</si>
  <si>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</si>
  <si>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</si>
  <si>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</si>
  <si>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</si>
  <si>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</si>
  <si>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</si>
  <si>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</si>
  <si>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</si>
  <si>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</si>
  <si>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</si>
  <si>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</si>
  <si>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</si>
  <si>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</si>
  <si>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</si>
  <si>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</si>
  <si>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</si>
  <si>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</si>
  <si>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</si>
  <si>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</si>
  <si>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</si>
  <si>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</si>
  <si>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BESS Panel</t>
  </si>
  <si>
    <t>Schletter Structure - Possible Coega Stock</t>
  </si>
  <si>
    <t>CTs &amp; Meters</t>
  </si>
  <si>
    <t>ACTUAL - GreenWay</t>
  </si>
  <si>
    <t>Not willing to quote</t>
  </si>
  <si>
    <t>ACTUAL - Matthews Group</t>
  </si>
  <si>
    <t>Only willing to do the AC</t>
  </si>
  <si>
    <t>Installer Price</t>
  </si>
  <si>
    <t>ACTUAL - Cosmic Sun</t>
  </si>
  <si>
    <t>After Negotiations</t>
  </si>
  <si>
    <t>APEX Controller - Remove Scope TBC</t>
  </si>
  <si>
    <t>At R2.11/W</t>
  </si>
  <si>
    <t>PO4653-PNPB-20260304 - RV Approved</t>
  </si>
  <si>
    <t>Jinko 610W (MSA)</t>
  </si>
  <si>
    <t>DC Cable - red from Coega Steel - Ziegler</t>
  </si>
  <si>
    <t>DC Cable - black from Coega Steel - Ziegler</t>
  </si>
  <si>
    <t>DC Cable - red from JHB stock (Mahikeng)</t>
  </si>
  <si>
    <t>DC Cable - black from JHB stock (Mahikeng)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</si>
</sst>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68" fontId="4" fillId="4" borderId="2" xfId="0" applyNumberFormat="1" applyFont="1" applyFill="1" applyBorder="1" applyAlignment="1" applyProtection="1">
      <alignment horizontal="center"/>
      <protection locked="0"/>
    </xf>
    <xf numFmtId="167" fontId="5" fillId="5" borderId="0" xfId="3" applyFont="1" applyFill="1" applyProtection="1"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499051.63750000001</c:v>
                </c:pt>
                <c:pt idx="12">
                  <c:v>731803.27500000002</c:v>
                </c:pt>
                <c:pt idx="13">
                  <c:v>731803.27500000002</c:v>
                </c:pt>
                <c:pt idx="14">
                  <c:v>731803.27500000002</c:v>
                </c:pt>
                <c:pt idx="15">
                  <c:v>1969889.355</c:v>
                </c:pt>
                <c:pt idx="16">
                  <c:v>2811289.355</c:v>
                </c:pt>
                <c:pt idx="17">
                  <c:v>2811289.355</c:v>
                </c:pt>
                <c:pt idx="18">
                  <c:v>3042640.9925000002</c:v>
                </c:pt>
                <c:pt idx="19">
                  <c:v>3211656.0782140908</c:v>
                </c:pt>
                <c:pt idx="20">
                  <c:v>3213056.0782140908</c:v>
                </c:pt>
                <c:pt idx="21">
                  <c:v>3259326.4057140909</c:v>
                </c:pt>
                <c:pt idx="22">
                  <c:v>3259326.4057140909</c:v>
                </c:pt>
                <c:pt idx="23">
                  <c:v>3259326.4057140909</c:v>
                </c:pt>
                <c:pt idx="24">
                  <c:v>3357326.4057140909</c:v>
                </c:pt>
                <c:pt idx="25">
                  <c:v>3357326.4057140909</c:v>
                </c:pt>
                <c:pt idx="26">
                  <c:v>3357326.4057140909</c:v>
                </c:pt>
                <c:pt idx="27">
                  <c:v>3357326.4057140909</c:v>
                </c:pt>
                <c:pt idx="28">
                  <c:v>3357326.4057140909</c:v>
                </c:pt>
                <c:pt idx="29">
                  <c:v>3357326.4057140909</c:v>
                </c:pt>
                <c:pt idx="30">
                  <c:v>3357326.4057140909</c:v>
                </c:pt>
                <c:pt idx="31">
                  <c:v>3357326.4057140909</c:v>
                </c:pt>
                <c:pt idx="32">
                  <c:v>3357326.4057140909</c:v>
                </c:pt>
                <c:pt idx="33">
                  <c:v>3357326.4057140909</c:v>
                </c:pt>
                <c:pt idx="34">
                  <c:v>3357326.4057140909</c:v>
                </c:pt>
                <c:pt idx="35">
                  <c:v>3357326.4057140909</c:v>
                </c:pt>
                <c:pt idx="36">
                  <c:v>3357326.4057140909</c:v>
                </c:pt>
                <c:pt idx="37">
                  <c:v>3357326.4057140909</c:v>
                </c:pt>
                <c:pt idx="38">
                  <c:v>3357326.4057140909</c:v>
                </c:pt>
                <c:pt idx="39">
                  <c:v>3357326.4057140909</c:v>
                </c:pt>
                <c:pt idx="40">
                  <c:v>3357326.4057140909</c:v>
                </c:pt>
                <c:pt idx="41">
                  <c:v>3357326.4057140909</c:v>
                </c:pt>
                <c:pt idx="42">
                  <c:v>3357326.4057140909</c:v>
                </c:pt>
                <c:pt idx="43">
                  <c:v>3357326.4057140909</c:v>
                </c:pt>
                <c:pt idx="44">
                  <c:v>3357326.4057140909</c:v>
                </c:pt>
                <c:pt idx="45">
                  <c:v>3357326.4057140909</c:v>
                </c:pt>
                <c:pt idx="46">
                  <c:v>3357326.4057140909</c:v>
                </c:pt>
                <c:pt idx="47">
                  <c:v>3357326.4057140909</c:v>
                </c:pt>
                <c:pt idx="48">
                  <c:v>3357326.4057140909</c:v>
                </c:pt>
                <c:pt idx="49">
                  <c:v>3357326.4057140909</c:v>
                </c:pt>
                <c:pt idx="50">
                  <c:v>3357326.4057140909</c:v>
                </c:pt>
                <c:pt idx="51">
                  <c:v>3357326.4057140909</c:v>
                </c:pt>
                <c:pt idx="52">
                  <c:v>3357326.4057140909</c:v>
                </c:pt>
                <c:pt idx="53">
                  <c:v>3357326.4057140909</c:v>
                </c:pt>
                <c:pt idx="54">
                  <c:v>3357326.4057140909</c:v>
                </c:pt>
                <c:pt idx="55">
                  <c:v>3357326.4057140909</c:v>
                </c:pt>
                <c:pt idx="56">
                  <c:v>3357326.4057140909</c:v>
                </c:pt>
                <c:pt idx="57">
                  <c:v>3357326.4057140909</c:v>
                </c:pt>
                <c:pt idx="58">
                  <c:v>3357326.4057140909</c:v>
                </c:pt>
                <c:pt idx="59">
                  <c:v>3357326.4057140909</c:v>
                </c:pt>
                <c:pt idx="60">
                  <c:v>3357326.4057140909</c:v>
                </c:pt>
                <c:pt idx="61">
                  <c:v>3357326.4057140909</c:v>
                </c:pt>
                <c:pt idx="62">
                  <c:v>3357326.4057140909</c:v>
                </c:pt>
                <c:pt idx="63">
                  <c:v>3357326.4057140909</c:v>
                </c:pt>
                <c:pt idx="64">
                  <c:v>3357326.4057140909</c:v>
                </c:pt>
                <c:pt idx="65">
                  <c:v>3357326.4057140909</c:v>
                </c:pt>
                <c:pt idx="66">
                  <c:v>3357326.4057140909</c:v>
                </c:pt>
                <c:pt idx="67">
                  <c:v>3357326.4057140909</c:v>
                </c:pt>
                <c:pt idx="68">
                  <c:v>3357326.4057140909</c:v>
                </c:pt>
                <c:pt idx="69">
                  <c:v>3357326.4057140909</c:v>
                </c:pt>
                <c:pt idx="70">
                  <c:v>3357326.4057140909</c:v>
                </c:pt>
                <c:pt idx="71">
                  <c:v>3357326.4057140909</c:v>
                </c:pt>
                <c:pt idx="72">
                  <c:v>3357326.4057140909</c:v>
                </c:pt>
                <c:pt idx="73">
                  <c:v>3357326.4057140909</c:v>
                </c:pt>
                <c:pt idx="74">
                  <c:v>3357326.4057140909</c:v>
                </c:pt>
                <c:pt idx="75">
                  <c:v>3357326.4057140909</c:v>
                </c:pt>
                <c:pt idx="76">
                  <c:v>3357326.4057140909</c:v>
                </c:pt>
                <c:pt idx="77">
                  <c:v>3357326.4057140909</c:v>
                </c:pt>
                <c:pt idx="78">
                  <c:v>3357326.4057140909</c:v>
                </c:pt>
                <c:pt idx="79">
                  <c:v>3357326.4057140909</c:v>
                </c:pt>
                <c:pt idx="80">
                  <c:v>3357326.4057140909</c:v>
                </c:pt>
                <c:pt idx="81">
                  <c:v>3357326.4057140909</c:v>
                </c:pt>
                <c:pt idx="82">
                  <c:v>3357326.4057140909</c:v>
                </c:pt>
                <c:pt idx="83">
                  <c:v>3357326.4057140909</c:v>
                </c:pt>
                <c:pt idx="84">
                  <c:v>3357326.4057140909</c:v>
                </c:pt>
                <c:pt idx="85">
                  <c:v>3357326.4057140909</c:v>
                </c:pt>
                <c:pt idx="86">
                  <c:v>3357326.4057140909</c:v>
                </c:pt>
                <c:pt idx="87">
                  <c:v>3357326.4057140909</c:v>
                </c:pt>
                <c:pt idx="88">
                  <c:v>3357326.4057140909</c:v>
                </c:pt>
                <c:pt idx="89">
                  <c:v>3357326.4057140909</c:v>
                </c:pt>
                <c:pt idx="90">
                  <c:v>3357326.4057140909</c:v>
                </c:pt>
                <c:pt idx="91">
                  <c:v>3357326.4057140909</c:v>
                </c:pt>
                <c:pt idx="92">
                  <c:v>3357326.4057140909</c:v>
                </c:pt>
                <c:pt idx="93">
                  <c:v>3357326.4057140909</c:v>
                </c:pt>
                <c:pt idx="94">
                  <c:v>3357326.4057140909</c:v>
                </c:pt>
                <c:pt idx="95">
                  <c:v>3357326.4057140909</c:v>
                </c:pt>
                <c:pt idx="96">
                  <c:v>3357326.4057140909</c:v>
                </c:pt>
                <c:pt idx="97">
                  <c:v>3357326.4057140909</c:v>
                </c:pt>
                <c:pt idx="98">
                  <c:v>3357326.4057140909</c:v>
                </c:pt>
                <c:pt idx="99">
                  <c:v>3357326.4057140909</c:v>
                </c:pt>
                <c:pt idx="100">
                  <c:v>3357326.4057140909</c:v>
                </c:pt>
                <c:pt idx="101">
                  <c:v>3357326.4057140909</c:v>
                </c:pt>
                <c:pt idx="102">
                  <c:v>3357326.4057140909</c:v>
                </c:pt>
                <c:pt idx="103">
                  <c:v>3357326.4057140909</c:v>
                </c:pt>
                <c:pt idx="104">
                  <c:v>3357326.4057140909</c:v>
                </c:pt>
                <c:pt idx="105">
                  <c:v>3357326.4057140909</c:v>
                </c:pt>
                <c:pt idx="106">
                  <c:v>3357326.4057140909</c:v>
                </c:pt>
                <c:pt idx="107">
                  <c:v>3357326.4057140909</c:v>
                </c:pt>
                <c:pt idx="108">
                  <c:v>3357326.4057140909</c:v>
                </c:pt>
                <c:pt idx="109">
                  <c:v>3357326.4057140909</c:v>
                </c:pt>
                <c:pt idx="110">
                  <c:v>3357326.4057140909</c:v>
                </c:pt>
                <c:pt idx="111">
                  <c:v>3357326.4057140909</c:v>
                </c:pt>
                <c:pt idx="112">
                  <c:v>3357326.4057140909</c:v>
                </c:pt>
                <c:pt idx="113">
                  <c:v>3357326.4057140909</c:v>
                </c:pt>
                <c:pt idx="114">
                  <c:v>3357326.4057140909</c:v>
                </c:pt>
                <c:pt idx="115">
                  <c:v>3357326.4057140909</c:v>
                </c:pt>
                <c:pt idx="116">
                  <c:v>3357326.4057140909</c:v>
                </c:pt>
                <c:pt idx="117">
                  <c:v>3357326.4057140909</c:v>
                </c:pt>
                <c:pt idx="118">
                  <c:v>3357326.4057140909</c:v>
                </c:pt>
                <c:pt idx="119">
                  <c:v>3357326.4057140909</c:v>
                </c:pt>
                <c:pt idx="120">
                  <c:v>3357326.4057140909</c:v>
                </c:pt>
                <c:pt idx="121">
                  <c:v>3357326.4057140909</c:v>
                </c:pt>
                <c:pt idx="122">
                  <c:v>3357326.4057140909</c:v>
                </c:pt>
                <c:pt idx="123">
                  <c:v>3357326.4057140909</c:v>
                </c:pt>
                <c:pt idx="124">
                  <c:v>3357326.4057140909</c:v>
                </c:pt>
                <c:pt idx="125">
                  <c:v>3357326.4057140909</c:v>
                </c:pt>
                <c:pt idx="126">
                  <c:v>3357326.4057140909</c:v>
                </c:pt>
                <c:pt idx="127">
                  <c:v>3357326.4057140909</c:v>
                </c:pt>
                <c:pt idx="128">
                  <c:v>3357326.4057140909</c:v>
                </c:pt>
                <c:pt idx="129">
                  <c:v>3357326.4057140909</c:v>
                </c:pt>
                <c:pt idx="130">
                  <c:v>3357326.4057140909</c:v>
                </c:pt>
                <c:pt idx="131">
                  <c:v>3357326.4057140909</c:v>
                </c:pt>
                <c:pt idx="132">
                  <c:v>3357326.4057140909</c:v>
                </c:pt>
                <c:pt idx="133">
                  <c:v>3357326.4057140909</c:v>
                </c:pt>
                <c:pt idx="134">
                  <c:v>3357326.4057140909</c:v>
                </c:pt>
                <c:pt idx="135">
                  <c:v>3357326.4057140909</c:v>
                </c:pt>
                <c:pt idx="136">
                  <c:v>3357326.4057140909</c:v>
                </c:pt>
                <c:pt idx="137">
                  <c:v>3357326.4057140909</c:v>
                </c:pt>
                <c:pt idx="138">
                  <c:v>3357326.4057140909</c:v>
                </c:pt>
                <c:pt idx="139">
                  <c:v>3357326.4057140909</c:v>
                </c:pt>
                <c:pt idx="140">
                  <c:v>3357326.4057140909</c:v>
                </c:pt>
                <c:pt idx="141">
                  <c:v>3357326.4057140909</c:v>
                </c:pt>
                <c:pt idx="142">
                  <c:v>3357326.4057140909</c:v>
                </c:pt>
                <c:pt idx="143">
                  <c:v>3357326.4057140909</c:v>
                </c:pt>
                <c:pt idx="144">
                  <c:v>3357326.4057140909</c:v>
                </c:pt>
                <c:pt idx="145">
                  <c:v>3357326.4057140909</c:v>
                </c:pt>
                <c:pt idx="146">
                  <c:v>3357326.4057140909</c:v>
                </c:pt>
                <c:pt idx="147">
                  <c:v>3357326.4057140909</c:v>
                </c:pt>
                <c:pt idx="148">
                  <c:v>3357326.4057140909</c:v>
                </c:pt>
                <c:pt idx="149">
                  <c:v>3357326.4057140909</c:v>
                </c:pt>
                <c:pt idx="150">
                  <c:v>3357326.4057140909</c:v>
                </c:pt>
                <c:pt idx="151">
                  <c:v>3357326.4057140909</c:v>
                </c:pt>
                <c:pt idx="152">
                  <c:v>3357326.4057140909</c:v>
                </c:pt>
                <c:pt idx="153">
                  <c:v>3357326.4057140909</c:v>
                </c:pt>
                <c:pt idx="154">
                  <c:v>3357326.4057140909</c:v>
                </c:pt>
                <c:pt idx="155">
                  <c:v>3357326.4057140909</c:v>
                </c:pt>
                <c:pt idx="156">
                  <c:v>3357326.4057140909</c:v>
                </c:pt>
                <c:pt idx="157">
                  <c:v>3357326.4057140909</c:v>
                </c:pt>
                <c:pt idx="158">
                  <c:v>3357326.4057140909</c:v>
                </c:pt>
                <c:pt idx="159">
                  <c:v>3357326.4057140909</c:v>
                </c:pt>
                <c:pt idx="160">
                  <c:v>3357326.4057140909</c:v>
                </c:pt>
                <c:pt idx="161">
                  <c:v>3357326.4057140909</c:v>
                </c:pt>
                <c:pt idx="162">
                  <c:v>3357326.4057140909</c:v>
                </c:pt>
                <c:pt idx="163">
                  <c:v>3357326.4057140909</c:v>
                </c:pt>
                <c:pt idx="164">
                  <c:v>3357326.4057140909</c:v>
                </c:pt>
                <c:pt idx="165">
                  <c:v>3357326.4057140909</c:v>
                </c:pt>
                <c:pt idx="166">
                  <c:v>3357326.4057140909</c:v>
                </c:pt>
                <c:pt idx="167">
                  <c:v>3357326.4057140909</c:v>
                </c:pt>
                <c:pt idx="168">
                  <c:v>3357326.4057140909</c:v>
                </c:pt>
                <c:pt idx="169">
                  <c:v>3357326.4057140909</c:v>
                </c:pt>
                <c:pt idx="170">
                  <c:v>3357326.4057140909</c:v>
                </c:pt>
                <c:pt idx="171">
                  <c:v>3357326.4057140909</c:v>
                </c:pt>
                <c:pt idx="172">
                  <c:v>3357326.4057140909</c:v>
                </c:pt>
                <c:pt idx="173">
                  <c:v>3357326.4057140909</c:v>
                </c:pt>
                <c:pt idx="174">
                  <c:v>3357326.4057140909</c:v>
                </c:pt>
                <c:pt idx="175">
                  <c:v>3357326.4057140909</c:v>
                </c:pt>
                <c:pt idx="176">
                  <c:v>3357326.4057140909</c:v>
                </c:pt>
                <c:pt idx="177">
                  <c:v>3357326.4057140909</c:v>
                </c:pt>
                <c:pt idx="178">
                  <c:v>3357326.4057140909</c:v>
                </c:pt>
                <c:pt idx="179">
                  <c:v>3357326.4057140909</c:v>
                </c:pt>
                <c:pt idx="180">
                  <c:v>3357326.4057140909</c:v>
                </c:pt>
                <c:pt idx="181">
                  <c:v>3357326.4057140909</c:v>
                </c:pt>
                <c:pt idx="182">
                  <c:v>3357326.4057140909</c:v>
                </c:pt>
                <c:pt idx="183">
                  <c:v>3357326.4057140909</c:v>
                </c:pt>
                <c:pt idx="184">
                  <c:v>3357326.4057140909</c:v>
                </c:pt>
                <c:pt idx="185">
                  <c:v>3357326.4057140909</c:v>
                </c:pt>
                <c:pt idx="186">
                  <c:v>3357326.4057140909</c:v>
                </c:pt>
                <c:pt idx="187">
                  <c:v>3357326.4057140909</c:v>
                </c:pt>
                <c:pt idx="188">
                  <c:v>3357326.4057140909</c:v>
                </c:pt>
                <c:pt idx="189">
                  <c:v>3357326.4057140909</c:v>
                </c:pt>
                <c:pt idx="190">
                  <c:v>3357326.4057140909</c:v>
                </c:pt>
                <c:pt idx="191">
                  <c:v>3357326.4057140909</c:v>
                </c:pt>
                <c:pt idx="192">
                  <c:v>3357326.4057140909</c:v>
                </c:pt>
                <c:pt idx="193">
                  <c:v>3357326.4057140909</c:v>
                </c:pt>
                <c:pt idx="194">
                  <c:v>3357326.4057140909</c:v>
                </c:pt>
                <c:pt idx="195">
                  <c:v>3357326.4057140909</c:v>
                </c:pt>
                <c:pt idx="196">
                  <c:v>3357326.4057140909</c:v>
                </c:pt>
                <c:pt idx="197">
                  <c:v>3357326.4057140909</c:v>
                </c:pt>
                <c:pt idx="198">
                  <c:v>3357326.4057140909</c:v>
                </c:pt>
                <c:pt idx="199">
                  <c:v>3357326.4057140909</c:v>
                </c:pt>
                <c:pt idx="200">
                  <c:v>3357326.4057140909</c:v>
                </c:pt>
                <c:pt idx="201">
                  <c:v>3357326.4057140909</c:v>
                </c:pt>
                <c:pt idx="202">
                  <c:v>3357326.4057140909</c:v>
                </c:pt>
                <c:pt idx="203">
                  <c:v>3357326.4057140909</c:v>
                </c:pt>
                <c:pt idx="204">
                  <c:v>3357326.4057140909</c:v>
                </c:pt>
                <c:pt idx="205">
                  <c:v>3357326.4057140909</c:v>
                </c:pt>
                <c:pt idx="206">
                  <c:v>3357326.4057140909</c:v>
                </c:pt>
                <c:pt idx="207">
                  <c:v>3357326.4057140909</c:v>
                </c:pt>
                <c:pt idx="208">
                  <c:v>3357326.4057140909</c:v>
                </c:pt>
                <c:pt idx="209">
                  <c:v>3357326.4057140909</c:v>
                </c:pt>
                <c:pt idx="210">
                  <c:v>3357326.4057140909</c:v>
                </c:pt>
                <c:pt idx="211">
                  <c:v>3357326.4057140909</c:v>
                </c:pt>
                <c:pt idx="212">
                  <c:v>3357326.4057140909</c:v>
                </c:pt>
                <c:pt idx="213">
                  <c:v>3357326.4057140909</c:v>
                </c:pt>
                <c:pt idx="214">
                  <c:v>3357326.4057140909</c:v>
                </c:pt>
                <c:pt idx="215">
                  <c:v>3357326.4057140909</c:v>
                </c:pt>
                <c:pt idx="216">
                  <c:v>3357326.4057140909</c:v>
                </c:pt>
                <c:pt idx="217">
                  <c:v>3357326.4057140909</c:v>
                </c:pt>
                <c:pt idx="218">
                  <c:v>3357326.4057140909</c:v>
                </c:pt>
                <c:pt idx="219">
                  <c:v>3357326.4057140909</c:v>
                </c:pt>
                <c:pt idx="220">
                  <c:v>3357326.4057140909</c:v>
                </c:pt>
                <c:pt idx="221">
                  <c:v>3357326.4057140909</c:v>
                </c:pt>
                <c:pt idx="222">
                  <c:v>3357326.4057140909</c:v>
                </c:pt>
                <c:pt idx="223">
                  <c:v>3357326.4057140909</c:v>
                </c:pt>
                <c:pt idx="224">
                  <c:v>3357326.4057140909</c:v>
                </c:pt>
                <c:pt idx="225">
                  <c:v>3357326.4057140909</c:v>
                </c:pt>
                <c:pt idx="226">
                  <c:v>3357326.4057140909</c:v>
                </c:pt>
                <c:pt idx="227">
                  <c:v>3357326.4057140909</c:v>
                </c:pt>
                <c:pt idx="228">
                  <c:v>3357326.4057140909</c:v>
                </c:pt>
                <c:pt idx="229">
                  <c:v>3357326.4057140909</c:v>
                </c:pt>
                <c:pt idx="230">
                  <c:v>3357326.4057140909</c:v>
                </c:pt>
                <c:pt idx="231">
                  <c:v>3357326.4057140909</c:v>
                </c:pt>
                <c:pt idx="232">
                  <c:v>3357326.4057140909</c:v>
                </c:pt>
                <c:pt idx="233">
                  <c:v>3357326.4057140909</c:v>
                </c:pt>
                <c:pt idx="234">
                  <c:v>3357326.4057140909</c:v>
                </c:pt>
                <c:pt idx="235">
                  <c:v>3357326.4057140909</c:v>
                </c:pt>
                <c:pt idx="236">
                  <c:v>3357326.4057140909</c:v>
                </c:pt>
                <c:pt idx="237">
                  <c:v>3357326.4057140909</c:v>
                </c:pt>
                <c:pt idx="238">
                  <c:v>3357326.4057140909</c:v>
                </c:pt>
                <c:pt idx="239">
                  <c:v>3357326.4057140909</c:v>
                </c:pt>
                <c:pt idx="240">
                  <c:v>3357326.4057140909</c:v>
                </c:pt>
                <c:pt idx="241">
                  <c:v>3357326.4057140909</c:v>
                </c:pt>
                <c:pt idx="242">
                  <c:v>3357326.4057140909</c:v>
                </c:pt>
                <c:pt idx="243">
                  <c:v>3357326.4057140909</c:v>
                </c:pt>
                <c:pt idx="244">
                  <c:v>3357326.4057140909</c:v>
                </c:pt>
                <c:pt idx="245">
                  <c:v>3357326.4057140909</c:v>
                </c:pt>
                <c:pt idx="246">
                  <c:v>3357326.4057140909</c:v>
                </c:pt>
                <c:pt idx="247">
                  <c:v>3357326.4057140909</c:v>
                </c:pt>
                <c:pt idx="248">
                  <c:v>3357326.4057140909</c:v>
                </c:pt>
                <c:pt idx="249">
                  <c:v>3357326.4057140909</c:v>
                </c:pt>
                <c:pt idx="250">
                  <c:v>3357326.4057140909</c:v>
                </c:pt>
                <c:pt idx="251">
                  <c:v>3357326.4057140909</c:v>
                </c:pt>
                <c:pt idx="252">
                  <c:v>3357326.4057140909</c:v>
                </c:pt>
                <c:pt idx="253">
                  <c:v>3357326.4057140909</c:v>
                </c:pt>
                <c:pt idx="254">
                  <c:v>3357326.4057140909</c:v>
                </c:pt>
                <c:pt idx="255">
                  <c:v>3357326.4057140909</c:v>
                </c:pt>
                <c:pt idx="256">
                  <c:v>3357326.4057140909</c:v>
                </c:pt>
                <c:pt idx="257">
                  <c:v>3357326.4057140909</c:v>
                </c:pt>
                <c:pt idx="258">
                  <c:v>3357326.4057140909</c:v>
                </c:pt>
                <c:pt idx="259">
                  <c:v>3357326.4057140909</c:v>
                </c:pt>
                <c:pt idx="260">
                  <c:v>3357326.4057140909</c:v>
                </c:pt>
                <c:pt idx="261">
                  <c:v>3357326.4057140909</c:v>
                </c:pt>
                <c:pt idx="262">
                  <c:v>3357326.4057140909</c:v>
                </c:pt>
                <c:pt idx="263">
                  <c:v>3357326.4057140909</c:v>
                </c:pt>
                <c:pt idx="264">
                  <c:v>3357326.4057140909</c:v>
                </c:pt>
                <c:pt idx="265">
                  <c:v>3357326.4057140909</c:v>
                </c:pt>
                <c:pt idx="266">
                  <c:v>3357326.4057140909</c:v>
                </c:pt>
                <c:pt idx="267">
                  <c:v>3357326.4057140909</c:v>
                </c:pt>
                <c:pt idx="268">
                  <c:v>3357326.4057140909</c:v>
                </c:pt>
                <c:pt idx="269">
                  <c:v>3357326.4057140909</c:v>
                </c:pt>
                <c:pt idx="270">
                  <c:v>3357326.4057140909</c:v>
                </c:pt>
                <c:pt idx="271">
                  <c:v>3357326.4057140909</c:v>
                </c:pt>
                <c:pt idx="272">
                  <c:v>3357326.4057140909</c:v>
                </c:pt>
                <c:pt idx="273">
                  <c:v>3357326.4057140909</c:v>
                </c:pt>
                <c:pt idx="274">
                  <c:v>3357326.4057140909</c:v>
                </c:pt>
                <c:pt idx="275">
                  <c:v>3357326.4057140909</c:v>
                </c:pt>
                <c:pt idx="276">
                  <c:v>3357326.4057140909</c:v>
                </c:pt>
                <c:pt idx="277">
                  <c:v>3357326.4057140909</c:v>
                </c:pt>
                <c:pt idx="278">
                  <c:v>3357326.4057140909</c:v>
                </c:pt>
                <c:pt idx="279">
                  <c:v>3357326.4057140909</c:v>
                </c:pt>
                <c:pt idx="280">
                  <c:v>3357326.4057140909</c:v>
                </c:pt>
                <c:pt idx="281">
                  <c:v>3357326.4057140909</c:v>
                </c:pt>
                <c:pt idx="282">
                  <c:v>3357326.4057140909</c:v>
                </c:pt>
                <c:pt idx="283">
                  <c:v>3357326.4057140909</c:v>
                </c:pt>
                <c:pt idx="284">
                  <c:v>3357326.4057140909</c:v>
                </c:pt>
                <c:pt idx="285">
                  <c:v>3357326.4057140909</c:v>
                </c:pt>
                <c:pt idx="286">
                  <c:v>3357326.4057140909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3002614.1910581505</c:v>
                </c:pt>
                <c:pt idx="12">
                  <c:v>2769862.5535581508</c:v>
                </c:pt>
                <c:pt idx="13">
                  <c:v>2769862.5535581508</c:v>
                </c:pt>
                <c:pt idx="14">
                  <c:v>2769862.5535581508</c:v>
                </c:pt>
                <c:pt idx="15">
                  <c:v>1737756.8164145127</c:v>
                </c:pt>
                <c:pt idx="16">
                  <c:v>999346.98784269346</c:v>
                </c:pt>
                <c:pt idx="17">
                  <c:v>999346.98784269346</c:v>
                </c:pt>
                <c:pt idx="18">
                  <c:v>767995.35034269327</c:v>
                </c:pt>
                <c:pt idx="19">
                  <c:v>907950.77891314542</c:v>
                </c:pt>
                <c:pt idx="20">
                  <c:v>906550.77891314542</c:v>
                </c:pt>
                <c:pt idx="21">
                  <c:v>860280.45141314529</c:v>
                </c:pt>
                <c:pt idx="22">
                  <c:v>860280.45141314529</c:v>
                </c:pt>
                <c:pt idx="23">
                  <c:v>860280.45141314529</c:v>
                </c:pt>
                <c:pt idx="24">
                  <c:v>762280.45141314529</c:v>
                </c:pt>
                <c:pt idx="25">
                  <c:v>762280.45141314529</c:v>
                </c:pt>
                <c:pt idx="26">
                  <c:v>762280.45141314529</c:v>
                </c:pt>
                <c:pt idx="27">
                  <c:v>762280.45141314529</c:v>
                </c:pt>
                <c:pt idx="28">
                  <c:v>762280.45141314529</c:v>
                </c:pt>
                <c:pt idx="29">
                  <c:v>762280.45141314529</c:v>
                </c:pt>
                <c:pt idx="30">
                  <c:v>762280.45141314529</c:v>
                </c:pt>
                <c:pt idx="31">
                  <c:v>762280.45141314529</c:v>
                </c:pt>
                <c:pt idx="32">
                  <c:v>762280.45141314529</c:v>
                </c:pt>
                <c:pt idx="33">
                  <c:v>762280.45141314529</c:v>
                </c:pt>
                <c:pt idx="34">
                  <c:v>762280.45141314529</c:v>
                </c:pt>
                <c:pt idx="35">
                  <c:v>762280.45141314529</c:v>
                </c:pt>
                <c:pt idx="36">
                  <c:v>762280.45141314529</c:v>
                </c:pt>
                <c:pt idx="37">
                  <c:v>762280.45141314529</c:v>
                </c:pt>
                <c:pt idx="38">
                  <c:v>762280.45141314529</c:v>
                </c:pt>
                <c:pt idx="39">
                  <c:v>762280.45141314529</c:v>
                </c:pt>
                <c:pt idx="40">
                  <c:v>762280.45141314529</c:v>
                </c:pt>
                <c:pt idx="41">
                  <c:v>762280.45141314529</c:v>
                </c:pt>
                <c:pt idx="42">
                  <c:v>762280.45141314529</c:v>
                </c:pt>
                <c:pt idx="43">
                  <c:v>762280.45141314529</c:v>
                </c:pt>
                <c:pt idx="44">
                  <c:v>762280.45141314529</c:v>
                </c:pt>
                <c:pt idx="45">
                  <c:v>762280.45141314529</c:v>
                </c:pt>
                <c:pt idx="46">
                  <c:v>762280.45141314529</c:v>
                </c:pt>
                <c:pt idx="47">
                  <c:v>762280.45141314529</c:v>
                </c:pt>
                <c:pt idx="48">
                  <c:v>762280.45141314529</c:v>
                </c:pt>
                <c:pt idx="49">
                  <c:v>762280.45141314529</c:v>
                </c:pt>
                <c:pt idx="50">
                  <c:v>762280.45141314529</c:v>
                </c:pt>
                <c:pt idx="51">
                  <c:v>762280.45141314529</c:v>
                </c:pt>
                <c:pt idx="52">
                  <c:v>762280.45141314529</c:v>
                </c:pt>
                <c:pt idx="53">
                  <c:v>762280.45141314529</c:v>
                </c:pt>
                <c:pt idx="54">
                  <c:v>762280.45141314529</c:v>
                </c:pt>
                <c:pt idx="55">
                  <c:v>762280.45141314529</c:v>
                </c:pt>
                <c:pt idx="56">
                  <c:v>762280.45141314529</c:v>
                </c:pt>
                <c:pt idx="57">
                  <c:v>762280.45141314529</c:v>
                </c:pt>
                <c:pt idx="58">
                  <c:v>762280.45141314529</c:v>
                </c:pt>
                <c:pt idx="59">
                  <c:v>762280.45141314529</c:v>
                </c:pt>
                <c:pt idx="60">
                  <c:v>762280.45141314529</c:v>
                </c:pt>
                <c:pt idx="61">
                  <c:v>762280.45141314529</c:v>
                </c:pt>
                <c:pt idx="62">
                  <c:v>762280.45141314529</c:v>
                </c:pt>
                <c:pt idx="63">
                  <c:v>762280.45141314529</c:v>
                </c:pt>
                <c:pt idx="64">
                  <c:v>762280.45141314529</c:v>
                </c:pt>
                <c:pt idx="65">
                  <c:v>762280.45141314529</c:v>
                </c:pt>
                <c:pt idx="66">
                  <c:v>762280.45141314529</c:v>
                </c:pt>
                <c:pt idx="67">
                  <c:v>762280.45141314529</c:v>
                </c:pt>
                <c:pt idx="68">
                  <c:v>762280.45141314529</c:v>
                </c:pt>
                <c:pt idx="69">
                  <c:v>762280.45141314529</c:v>
                </c:pt>
                <c:pt idx="70">
                  <c:v>762280.45141314529</c:v>
                </c:pt>
                <c:pt idx="71">
                  <c:v>762280.45141314529</c:v>
                </c:pt>
                <c:pt idx="72">
                  <c:v>762280.45141314529</c:v>
                </c:pt>
                <c:pt idx="73">
                  <c:v>762280.45141314529</c:v>
                </c:pt>
                <c:pt idx="74">
                  <c:v>762280.45141314529</c:v>
                </c:pt>
                <c:pt idx="75">
                  <c:v>762280.45141314529</c:v>
                </c:pt>
                <c:pt idx="76">
                  <c:v>762280.45141314529</c:v>
                </c:pt>
                <c:pt idx="77">
                  <c:v>762280.45141314529</c:v>
                </c:pt>
                <c:pt idx="78">
                  <c:v>762280.45141314529</c:v>
                </c:pt>
                <c:pt idx="79">
                  <c:v>762280.45141314529</c:v>
                </c:pt>
                <c:pt idx="80">
                  <c:v>762280.45141314529</c:v>
                </c:pt>
                <c:pt idx="81">
                  <c:v>762280.45141314529</c:v>
                </c:pt>
                <c:pt idx="82">
                  <c:v>762280.45141314529</c:v>
                </c:pt>
                <c:pt idx="83">
                  <c:v>762280.45141314529</c:v>
                </c:pt>
                <c:pt idx="84">
                  <c:v>762280.45141314529</c:v>
                </c:pt>
                <c:pt idx="85">
                  <c:v>762280.45141314529</c:v>
                </c:pt>
                <c:pt idx="86">
                  <c:v>762280.45141314529</c:v>
                </c:pt>
                <c:pt idx="87">
                  <c:v>762280.45141314529</c:v>
                </c:pt>
                <c:pt idx="88">
                  <c:v>762280.45141314529</c:v>
                </c:pt>
                <c:pt idx="89">
                  <c:v>762280.45141314529</c:v>
                </c:pt>
                <c:pt idx="90">
                  <c:v>762280.45141314529</c:v>
                </c:pt>
                <c:pt idx="91">
                  <c:v>762280.45141314529</c:v>
                </c:pt>
                <c:pt idx="92">
                  <c:v>762280.45141314529</c:v>
                </c:pt>
                <c:pt idx="93">
                  <c:v>762280.45141314529</c:v>
                </c:pt>
                <c:pt idx="94">
                  <c:v>762280.45141314529</c:v>
                </c:pt>
                <c:pt idx="95">
                  <c:v>762280.45141314529</c:v>
                </c:pt>
                <c:pt idx="96">
                  <c:v>762280.45141314529</c:v>
                </c:pt>
                <c:pt idx="97">
                  <c:v>762280.45141314529</c:v>
                </c:pt>
                <c:pt idx="98">
                  <c:v>762280.45141314529</c:v>
                </c:pt>
                <c:pt idx="99">
                  <c:v>762280.45141314529</c:v>
                </c:pt>
                <c:pt idx="100">
                  <c:v>762280.45141314529</c:v>
                </c:pt>
                <c:pt idx="101">
                  <c:v>762280.45141314529</c:v>
                </c:pt>
                <c:pt idx="102">
                  <c:v>762280.45141314529</c:v>
                </c:pt>
                <c:pt idx="103">
                  <c:v>762280.45141314529</c:v>
                </c:pt>
                <c:pt idx="104">
                  <c:v>762280.45141314529</c:v>
                </c:pt>
                <c:pt idx="105">
                  <c:v>762280.45141314529</c:v>
                </c:pt>
                <c:pt idx="106">
                  <c:v>762280.45141314529</c:v>
                </c:pt>
                <c:pt idx="107">
                  <c:v>762280.45141314529</c:v>
                </c:pt>
                <c:pt idx="108">
                  <c:v>762280.45141314529</c:v>
                </c:pt>
                <c:pt idx="109">
                  <c:v>762280.45141314529</c:v>
                </c:pt>
                <c:pt idx="110">
                  <c:v>762280.45141314529</c:v>
                </c:pt>
                <c:pt idx="111">
                  <c:v>762280.45141314529</c:v>
                </c:pt>
                <c:pt idx="112">
                  <c:v>762280.45141314529</c:v>
                </c:pt>
                <c:pt idx="113">
                  <c:v>762280.45141314529</c:v>
                </c:pt>
                <c:pt idx="114">
                  <c:v>762280.45141314529</c:v>
                </c:pt>
                <c:pt idx="115">
                  <c:v>762280.45141314529</c:v>
                </c:pt>
                <c:pt idx="116">
                  <c:v>762280.45141314529</c:v>
                </c:pt>
                <c:pt idx="117">
                  <c:v>762280.45141314529</c:v>
                </c:pt>
                <c:pt idx="118">
                  <c:v>762280.45141314529</c:v>
                </c:pt>
                <c:pt idx="119">
                  <c:v>762280.45141314529</c:v>
                </c:pt>
                <c:pt idx="120">
                  <c:v>762280.45141314529</c:v>
                </c:pt>
                <c:pt idx="121">
                  <c:v>762280.45141314529</c:v>
                </c:pt>
                <c:pt idx="122">
                  <c:v>762280.45141314529</c:v>
                </c:pt>
                <c:pt idx="123">
                  <c:v>762280.45141314529</c:v>
                </c:pt>
                <c:pt idx="124">
                  <c:v>762280.45141314529</c:v>
                </c:pt>
                <c:pt idx="125">
                  <c:v>762280.45141314529</c:v>
                </c:pt>
                <c:pt idx="126">
                  <c:v>762280.45141314529</c:v>
                </c:pt>
                <c:pt idx="127">
                  <c:v>762280.45141314529</c:v>
                </c:pt>
                <c:pt idx="128">
                  <c:v>762280.45141314529</c:v>
                </c:pt>
                <c:pt idx="129">
                  <c:v>762280.45141314529</c:v>
                </c:pt>
                <c:pt idx="130">
                  <c:v>762280.45141314529</c:v>
                </c:pt>
                <c:pt idx="131">
                  <c:v>762280.45141314529</c:v>
                </c:pt>
                <c:pt idx="132">
                  <c:v>762280.45141314529</c:v>
                </c:pt>
                <c:pt idx="133">
                  <c:v>762280.45141314529</c:v>
                </c:pt>
                <c:pt idx="134">
                  <c:v>762280.45141314529</c:v>
                </c:pt>
                <c:pt idx="135">
                  <c:v>762280.45141314529</c:v>
                </c:pt>
                <c:pt idx="136">
                  <c:v>762280.45141314529</c:v>
                </c:pt>
                <c:pt idx="137">
                  <c:v>762280.45141314529</c:v>
                </c:pt>
                <c:pt idx="138">
                  <c:v>762280.45141314529</c:v>
                </c:pt>
                <c:pt idx="139">
                  <c:v>762280.45141314529</c:v>
                </c:pt>
                <c:pt idx="140">
                  <c:v>762280.45141314529</c:v>
                </c:pt>
                <c:pt idx="141">
                  <c:v>762280.45141314529</c:v>
                </c:pt>
                <c:pt idx="142">
                  <c:v>762280.45141314529</c:v>
                </c:pt>
                <c:pt idx="143">
                  <c:v>762280.45141314529</c:v>
                </c:pt>
                <c:pt idx="144">
                  <c:v>762280.45141314529</c:v>
                </c:pt>
                <c:pt idx="145">
                  <c:v>762280.45141314529</c:v>
                </c:pt>
                <c:pt idx="146">
                  <c:v>762280.45141314529</c:v>
                </c:pt>
                <c:pt idx="147">
                  <c:v>762280.45141314529</c:v>
                </c:pt>
                <c:pt idx="148">
                  <c:v>762280.45141314529</c:v>
                </c:pt>
                <c:pt idx="149">
                  <c:v>762280.45141314529</c:v>
                </c:pt>
                <c:pt idx="150">
                  <c:v>762280.45141314529</c:v>
                </c:pt>
                <c:pt idx="151">
                  <c:v>762280.45141314529</c:v>
                </c:pt>
                <c:pt idx="152">
                  <c:v>762280.45141314529</c:v>
                </c:pt>
                <c:pt idx="153">
                  <c:v>762280.45141314529</c:v>
                </c:pt>
                <c:pt idx="154">
                  <c:v>762280.45141314529</c:v>
                </c:pt>
                <c:pt idx="155">
                  <c:v>762280.45141314529</c:v>
                </c:pt>
                <c:pt idx="156">
                  <c:v>762280.45141314529</c:v>
                </c:pt>
                <c:pt idx="157">
                  <c:v>762280.45141314529</c:v>
                </c:pt>
                <c:pt idx="158">
                  <c:v>762280.45141314529</c:v>
                </c:pt>
                <c:pt idx="159">
                  <c:v>762280.45141314529</c:v>
                </c:pt>
                <c:pt idx="160">
                  <c:v>762280.45141314529</c:v>
                </c:pt>
                <c:pt idx="161">
                  <c:v>762280.45141314529</c:v>
                </c:pt>
                <c:pt idx="162">
                  <c:v>762280.45141314529</c:v>
                </c:pt>
                <c:pt idx="163">
                  <c:v>762280.45141314529</c:v>
                </c:pt>
                <c:pt idx="164">
                  <c:v>762280.45141314529</c:v>
                </c:pt>
                <c:pt idx="165">
                  <c:v>762280.45141314529</c:v>
                </c:pt>
                <c:pt idx="166">
                  <c:v>762280.45141314529</c:v>
                </c:pt>
                <c:pt idx="167">
                  <c:v>762280.45141314529</c:v>
                </c:pt>
                <c:pt idx="168">
                  <c:v>762280.45141314529</c:v>
                </c:pt>
                <c:pt idx="169">
                  <c:v>762280.45141314529</c:v>
                </c:pt>
                <c:pt idx="170">
                  <c:v>762280.45141314529</c:v>
                </c:pt>
                <c:pt idx="171">
                  <c:v>762280.45141314529</c:v>
                </c:pt>
                <c:pt idx="172">
                  <c:v>762280.45141314529</c:v>
                </c:pt>
                <c:pt idx="173">
                  <c:v>762280.45141314529</c:v>
                </c:pt>
                <c:pt idx="174">
                  <c:v>762280.45141314529</c:v>
                </c:pt>
                <c:pt idx="175">
                  <c:v>762280.45141314529</c:v>
                </c:pt>
                <c:pt idx="176">
                  <c:v>762280.45141314529</c:v>
                </c:pt>
                <c:pt idx="177">
                  <c:v>762280.45141314529</c:v>
                </c:pt>
                <c:pt idx="178">
                  <c:v>762280.45141314529</c:v>
                </c:pt>
                <c:pt idx="179">
                  <c:v>762280.45141314529</c:v>
                </c:pt>
                <c:pt idx="180">
                  <c:v>762280.45141314529</c:v>
                </c:pt>
                <c:pt idx="181">
                  <c:v>762280.45141314529</c:v>
                </c:pt>
                <c:pt idx="182">
                  <c:v>762280.45141314529</c:v>
                </c:pt>
                <c:pt idx="183">
                  <c:v>762280.45141314529</c:v>
                </c:pt>
                <c:pt idx="184">
                  <c:v>762280.45141314529</c:v>
                </c:pt>
                <c:pt idx="185">
                  <c:v>762280.45141314529</c:v>
                </c:pt>
                <c:pt idx="186">
                  <c:v>762280.45141314529</c:v>
                </c:pt>
                <c:pt idx="187">
                  <c:v>762280.45141314529</c:v>
                </c:pt>
                <c:pt idx="188">
                  <c:v>762280.45141314529</c:v>
                </c:pt>
                <c:pt idx="189">
                  <c:v>762280.45141314529</c:v>
                </c:pt>
                <c:pt idx="190">
                  <c:v>762280.45141314529</c:v>
                </c:pt>
                <c:pt idx="191">
                  <c:v>762280.45141314529</c:v>
                </c:pt>
                <c:pt idx="192">
                  <c:v>762280.45141314529</c:v>
                </c:pt>
                <c:pt idx="193">
                  <c:v>762280.45141314529</c:v>
                </c:pt>
                <c:pt idx="194">
                  <c:v>762280.45141314529</c:v>
                </c:pt>
                <c:pt idx="195">
                  <c:v>762280.45141314529</c:v>
                </c:pt>
                <c:pt idx="196">
                  <c:v>762280.45141314529</c:v>
                </c:pt>
                <c:pt idx="197">
                  <c:v>762280.45141314529</c:v>
                </c:pt>
                <c:pt idx="198">
                  <c:v>762280.45141314529</c:v>
                </c:pt>
                <c:pt idx="199">
                  <c:v>762280.45141314529</c:v>
                </c:pt>
                <c:pt idx="200">
                  <c:v>762280.45141314529</c:v>
                </c:pt>
                <c:pt idx="201">
                  <c:v>762280.45141314529</c:v>
                </c:pt>
                <c:pt idx="202">
                  <c:v>762280.45141314529</c:v>
                </c:pt>
                <c:pt idx="203">
                  <c:v>762280.45141314529</c:v>
                </c:pt>
                <c:pt idx="204">
                  <c:v>762280.45141314529</c:v>
                </c:pt>
                <c:pt idx="205">
                  <c:v>762280.45141314529</c:v>
                </c:pt>
                <c:pt idx="206">
                  <c:v>762280.45141314529</c:v>
                </c:pt>
                <c:pt idx="207">
                  <c:v>762280.45141314529</c:v>
                </c:pt>
                <c:pt idx="208">
                  <c:v>762280.45141314529</c:v>
                </c:pt>
                <c:pt idx="209">
                  <c:v>762280.45141314529</c:v>
                </c:pt>
                <c:pt idx="210">
                  <c:v>762280.45141314529</c:v>
                </c:pt>
                <c:pt idx="211">
                  <c:v>762280.45141314529</c:v>
                </c:pt>
                <c:pt idx="212">
                  <c:v>762280.45141314529</c:v>
                </c:pt>
                <c:pt idx="213">
                  <c:v>762280.45141314529</c:v>
                </c:pt>
                <c:pt idx="214">
                  <c:v>762280.45141314529</c:v>
                </c:pt>
                <c:pt idx="215">
                  <c:v>762280.45141314529</c:v>
                </c:pt>
                <c:pt idx="216">
                  <c:v>762280.45141314529</c:v>
                </c:pt>
                <c:pt idx="217">
                  <c:v>762280.45141314529</c:v>
                </c:pt>
                <c:pt idx="218">
                  <c:v>762280.45141314529</c:v>
                </c:pt>
                <c:pt idx="219">
                  <c:v>762280.45141314529</c:v>
                </c:pt>
                <c:pt idx="220">
                  <c:v>762280.45141314529</c:v>
                </c:pt>
                <c:pt idx="221">
                  <c:v>762280.45141314529</c:v>
                </c:pt>
                <c:pt idx="222">
                  <c:v>762280.45141314529</c:v>
                </c:pt>
                <c:pt idx="223">
                  <c:v>762280.45141314529</c:v>
                </c:pt>
                <c:pt idx="224">
                  <c:v>762280.45141314529</c:v>
                </c:pt>
                <c:pt idx="225">
                  <c:v>762280.45141314529</c:v>
                </c:pt>
                <c:pt idx="226">
                  <c:v>762280.45141314529</c:v>
                </c:pt>
                <c:pt idx="227">
                  <c:v>762280.45141314529</c:v>
                </c:pt>
                <c:pt idx="228">
                  <c:v>762280.45141314529</c:v>
                </c:pt>
                <c:pt idx="229">
                  <c:v>762280.45141314529</c:v>
                </c:pt>
                <c:pt idx="230">
                  <c:v>762280.45141314529</c:v>
                </c:pt>
                <c:pt idx="231">
                  <c:v>762280.45141314529</c:v>
                </c:pt>
                <c:pt idx="232">
                  <c:v>762280.45141314529</c:v>
                </c:pt>
                <c:pt idx="233">
                  <c:v>762280.45141314529</c:v>
                </c:pt>
                <c:pt idx="234">
                  <c:v>762280.45141314529</c:v>
                </c:pt>
                <c:pt idx="235">
                  <c:v>762280.45141314529</c:v>
                </c:pt>
                <c:pt idx="236">
                  <c:v>762280.45141314529</c:v>
                </c:pt>
                <c:pt idx="237">
                  <c:v>762280.45141314529</c:v>
                </c:pt>
                <c:pt idx="238">
                  <c:v>762280.45141314529</c:v>
                </c:pt>
                <c:pt idx="239">
                  <c:v>762280.45141314529</c:v>
                </c:pt>
                <c:pt idx="240">
                  <c:v>762280.45141314529</c:v>
                </c:pt>
                <c:pt idx="241">
                  <c:v>762280.45141314529</c:v>
                </c:pt>
                <c:pt idx="242">
                  <c:v>762280.45141314529</c:v>
                </c:pt>
                <c:pt idx="243">
                  <c:v>762280.45141314529</c:v>
                </c:pt>
                <c:pt idx="244">
                  <c:v>762280.45141314529</c:v>
                </c:pt>
                <c:pt idx="245">
                  <c:v>762280.45141314529</c:v>
                </c:pt>
                <c:pt idx="246">
                  <c:v>762280.45141314529</c:v>
                </c:pt>
                <c:pt idx="247">
                  <c:v>762280.45141314529</c:v>
                </c:pt>
                <c:pt idx="248">
                  <c:v>762280.45141314529</c:v>
                </c:pt>
                <c:pt idx="249">
                  <c:v>762280.45141314529</c:v>
                </c:pt>
                <c:pt idx="250">
                  <c:v>762280.45141314529</c:v>
                </c:pt>
                <c:pt idx="251">
                  <c:v>762280.45141314529</c:v>
                </c:pt>
                <c:pt idx="252">
                  <c:v>762280.45141314529</c:v>
                </c:pt>
                <c:pt idx="253">
                  <c:v>762280.45141314529</c:v>
                </c:pt>
                <c:pt idx="254">
                  <c:v>762280.45141314529</c:v>
                </c:pt>
                <c:pt idx="255">
                  <c:v>762280.45141314529</c:v>
                </c:pt>
                <c:pt idx="256">
                  <c:v>762280.45141314529</c:v>
                </c:pt>
                <c:pt idx="257">
                  <c:v>762280.45141314529</c:v>
                </c:pt>
                <c:pt idx="258">
                  <c:v>762280.45141314529</c:v>
                </c:pt>
                <c:pt idx="259">
                  <c:v>762280.45141314529</c:v>
                </c:pt>
                <c:pt idx="260">
                  <c:v>762280.45141314529</c:v>
                </c:pt>
                <c:pt idx="261">
                  <c:v>762280.45141314529</c:v>
                </c:pt>
                <c:pt idx="262">
                  <c:v>762280.45141314529</c:v>
                </c:pt>
                <c:pt idx="263">
                  <c:v>762280.45141314529</c:v>
                </c:pt>
                <c:pt idx="264">
                  <c:v>762280.45141314529</c:v>
                </c:pt>
                <c:pt idx="265">
                  <c:v>762280.45141314529</c:v>
                </c:pt>
                <c:pt idx="266">
                  <c:v>762280.45141314529</c:v>
                </c:pt>
                <c:pt idx="267">
                  <c:v>762280.45141314529</c:v>
                </c:pt>
                <c:pt idx="268">
                  <c:v>762280.45141314529</c:v>
                </c:pt>
                <c:pt idx="269">
                  <c:v>762280.45141314529</c:v>
                </c:pt>
                <c:pt idx="270">
                  <c:v>762280.45141314529</c:v>
                </c:pt>
                <c:pt idx="271">
                  <c:v>762280.45141314529</c:v>
                </c:pt>
                <c:pt idx="272">
                  <c:v>762280.45141314529</c:v>
                </c:pt>
                <c:pt idx="273">
                  <c:v>762280.45141314529</c:v>
                </c:pt>
                <c:pt idx="274">
                  <c:v>762280.45141314529</c:v>
                </c:pt>
                <c:pt idx="275">
                  <c:v>762280.45141314529</c:v>
                </c:pt>
                <c:pt idx="276">
                  <c:v>762280.45141314529</c:v>
                </c:pt>
                <c:pt idx="277">
                  <c:v>762280.45141314529</c:v>
                </c:pt>
                <c:pt idx="278">
                  <c:v>762280.45141314529</c:v>
                </c:pt>
                <c:pt idx="279">
                  <c:v>762280.45141314529</c:v>
                </c:pt>
                <c:pt idx="280">
                  <c:v>762280.45141314529</c:v>
                </c:pt>
                <c:pt idx="281">
                  <c:v>762280.45141314529</c:v>
                </c:pt>
                <c:pt idx="282">
                  <c:v>762280.45141314529</c:v>
                </c:pt>
                <c:pt idx="283">
                  <c:v>762280.45141314529</c:v>
                </c:pt>
                <c:pt idx="284">
                  <c:v>762280.45141314529</c:v>
                </c:pt>
                <c:pt idx="285">
                  <c:v>762280.45141314529</c:v>
                </c:pt>
                <c:pt idx="286">
                  <c:v>762280.45141314529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3272292.9830516824</c:v>
                </c:pt>
                <c:pt idx="12">
                  <c:v>3272292.9830516824</c:v>
                </c:pt>
                <c:pt idx="13">
                  <c:v>3272292.9830516824</c:v>
                </c:pt>
                <c:pt idx="14">
                  <c:v>3272292.9830516824</c:v>
                </c:pt>
                <c:pt idx="15">
                  <c:v>3677494.6240282711</c:v>
                </c:pt>
                <c:pt idx="16">
                  <c:v>3677494.6240282711</c:v>
                </c:pt>
                <c:pt idx="17">
                  <c:v>3677494.6240282711</c:v>
                </c:pt>
                <c:pt idx="18">
                  <c:v>3677494.6240282711</c:v>
                </c:pt>
                <c:pt idx="19">
                  <c:v>4078316.9531691996</c:v>
                </c:pt>
                <c:pt idx="20">
                  <c:v>4078316.9531691996</c:v>
                </c:pt>
                <c:pt idx="21">
                  <c:v>4078316.9531691996</c:v>
                </c:pt>
                <c:pt idx="22">
                  <c:v>4078316.9531691996</c:v>
                </c:pt>
                <c:pt idx="23">
                  <c:v>4078316.9531691996</c:v>
                </c:pt>
                <c:pt idx="24">
                  <c:v>4119606.8571272353</c:v>
                </c:pt>
                <c:pt idx="25">
                  <c:v>4119606.8571272353</c:v>
                </c:pt>
                <c:pt idx="26">
                  <c:v>4119606.8571272353</c:v>
                </c:pt>
                <c:pt idx="27">
                  <c:v>4119606.8571272353</c:v>
                </c:pt>
                <c:pt idx="28">
                  <c:v>4119606.8571272353</c:v>
                </c:pt>
                <c:pt idx="29">
                  <c:v>4119606.8571272353</c:v>
                </c:pt>
                <c:pt idx="30">
                  <c:v>4119606.8571272353</c:v>
                </c:pt>
                <c:pt idx="31">
                  <c:v>4119606.8571272353</c:v>
                </c:pt>
                <c:pt idx="32">
                  <c:v>4119606.8571272353</c:v>
                </c:pt>
                <c:pt idx="33">
                  <c:v>4119606.8571272353</c:v>
                </c:pt>
                <c:pt idx="34">
                  <c:v>4119606.8571272353</c:v>
                </c:pt>
                <c:pt idx="35">
                  <c:v>4119606.8571272353</c:v>
                </c:pt>
                <c:pt idx="36">
                  <c:v>4119606.8571272353</c:v>
                </c:pt>
                <c:pt idx="37">
                  <c:v>4119606.8571272353</c:v>
                </c:pt>
                <c:pt idx="38">
                  <c:v>4119606.8571272353</c:v>
                </c:pt>
                <c:pt idx="39">
                  <c:v>4119606.8571272353</c:v>
                </c:pt>
                <c:pt idx="40">
                  <c:v>4119606.8571272353</c:v>
                </c:pt>
                <c:pt idx="41">
                  <c:v>4119606.8571272353</c:v>
                </c:pt>
                <c:pt idx="42">
                  <c:v>4119606.8571272353</c:v>
                </c:pt>
                <c:pt idx="43">
                  <c:v>4119606.8571272353</c:v>
                </c:pt>
                <c:pt idx="44">
                  <c:v>4119606.8571272353</c:v>
                </c:pt>
                <c:pt idx="45">
                  <c:v>4119606.8571272353</c:v>
                </c:pt>
                <c:pt idx="46">
                  <c:v>4119606.8571272353</c:v>
                </c:pt>
                <c:pt idx="47">
                  <c:v>4119606.8571272353</c:v>
                </c:pt>
                <c:pt idx="48">
                  <c:v>4119606.8571272353</c:v>
                </c:pt>
                <c:pt idx="49">
                  <c:v>4119606.8571272353</c:v>
                </c:pt>
                <c:pt idx="50">
                  <c:v>4119606.8571272353</c:v>
                </c:pt>
                <c:pt idx="51">
                  <c:v>4119606.8571272353</c:v>
                </c:pt>
                <c:pt idx="52">
                  <c:v>4119606.8571272353</c:v>
                </c:pt>
                <c:pt idx="53">
                  <c:v>4119606.8571272353</c:v>
                </c:pt>
                <c:pt idx="54">
                  <c:v>4119606.8571272353</c:v>
                </c:pt>
                <c:pt idx="55">
                  <c:v>4119606.8571272353</c:v>
                </c:pt>
                <c:pt idx="56">
                  <c:v>4119606.8571272353</c:v>
                </c:pt>
                <c:pt idx="57">
                  <c:v>4119606.8571272353</c:v>
                </c:pt>
                <c:pt idx="58">
                  <c:v>4119606.8571272353</c:v>
                </c:pt>
                <c:pt idx="59">
                  <c:v>4119606.8571272353</c:v>
                </c:pt>
                <c:pt idx="60">
                  <c:v>4119606.8571272353</c:v>
                </c:pt>
                <c:pt idx="61">
                  <c:v>4119606.8571272353</c:v>
                </c:pt>
                <c:pt idx="62">
                  <c:v>4119606.8571272353</c:v>
                </c:pt>
                <c:pt idx="63">
                  <c:v>4119606.8571272353</c:v>
                </c:pt>
                <c:pt idx="64">
                  <c:v>4119606.8571272353</c:v>
                </c:pt>
                <c:pt idx="65">
                  <c:v>4119606.8571272353</c:v>
                </c:pt>
                <c:pt idx="66">
                  <c:v>4119606.8571272353</c:v>
                </c:pt>
                <c:pt idx="67">
                  <c:v>4119606.8571272353</c:v>
                </c:pt>
                <c:pt idx="68">
                  <c:v>4119606.8571272353</c:v>
                </c:pt>
                <c:pt idx="69">
                  <c:v>4119606.8571272353</c:v>
                </c:pt>
                <c:pt idx="70">
                  <c:v>4119606.8571272353</c:v>
                </c:pt>
                <c:pt idx="71">
                  <c:v>4119606.8571272353</c:v>
                </c:pt>
                <c:pt idx="72">
                  <c:v>4119606.8571272353</c:v>
                </c:pt>
                <c:pt idx="73">
                  <c:v>4119606.8571272353</c:v>
                </c:pt>
                <c:pt idx="74">
                  <c:v>4119606.8571272353</c:v>
                </c:pt>
                <c:pt idx="75">
                  <c:v>4119606.8571272353</c:v>
                </c:pt>
                <c:pt idx="76">
                  <c:v>4119606.8571272353</c:v>
                </c:pt>
                <c:pt idx="77">
                  <c:v>4119606.8571272353</c:v>
                </c:pt>
                <c:pt idx="78">
                  <c:v>4119606.8571272353</c:v>
                </c:pt>
                <c:pt idx="79">
                  <c:v>4119606.8571272353</c:v>
                </c:pt>
                <c:pt idx="80">
                  <c:v>4119606.8571272353</c:v>
                </c:pt>
                <c:pt idx="81">
                  <c:v>4119606.8571272353</c:v>
                </c:pt>
                <c:pt idx="82">
                  <c:v>4119606.8571272353</c:v>
                </c:pt>
                <c:pt idx="83">
                  <c:v>4119606.8571272353</c:v>
                </c:pt>
                <c:pt idx="84">
                  <c:v>4119606.8571272353</c:v>
                </c:pt>
                <c:pt idx="85">
                  <c:v>4119606.8571272353</c:v>
                </c:pt>
                <c:pt idx="86">
                  <c:v>4119606.8571272353</c:v>
                </c:pt>
                <c:pt idx="87">
                  <c:v>4119606.8571272353</c:v>
                </c:pt>
                <c:pt idx="88">
                  <c:v>4119606.8571272353</c:v>
                </c:pt>
                <c:pt idx="89">
                  <c:v>4119606.8571272353</c:v>
                </c:pt>
                <c:pt idx="90">
                  <c:v>4119606.8571272353</c:v>
                </c:pt>
                <c:pt idx="91">
                  <c:v>4119606.8571272353</c:v>
                </c:pt>
                <c:pt idx="92">
                  <c:v>4119606.8571272353</c:v>
                </c:pt>
                <c:pt idx="93">
                  <c:v>4119606.8571272353</c:v>
                </c:pt>
                <c:pt idx="94">
                  <c:v>4119606.8571272353</c:v>
                </c:pt>
                <c:pt idx="95">
                  <c:v>4119606.8571272353</c:v>
                </c:pt>
                <c:pt idx="96">
                  <c:v>4119606.8571272353</c:v>
                </c:pt>
                <c:pt idx="97">
                  <c:v>4119606.8571272353</c:v>
                </c:pt>
                <c:pt idx="98">
                  <c:v>4119606.8571272353</c:v>
                </c:pt>
                <c:pt idx="99">
                  <c:v>4119606.8571272353</c:v>
                </c:pt>
                <c:pt idx="100">
                  <c:v>4119606.8571272353</c:v>
                </c:pt>
                <c:pt idx="101">
                  <c:v>4119606.8571272353</c:v>
                </c:pt>
                <c:pt idx="102">
                  <c:v>4119606.8571272353</c:v>
                </c:pt>
                <c:pt idx="103">
                  <c:v>4119606.8571272353</c:v>
                </c:pt>
                <c:pt idx="104">
                  <c:v>4119606.8571272353</c:v>
                </c:pt>
                <c:pt idx="105">
                  <c:v>4119606.8571272353</c:v>
                </c:pt>
                <c:pt idx="106">
                  <c:v>4119606.8571272353</c:v>
                </c:pt>
                <c:pt idx="107">
                  <c:v>4119606.8571272353</c:v>
                </c:pt>
                <c:pt idx="108">
                  <c:v>4119606.8571272353</c:v>
                </c:pt>
                <c:pt idx="109">
                  <c:v>4119606.8571272353</c:v>
                </c:pt>
                <c:pt idx="110">
                  <c:v>4119606.8571272353</c:v>
                </c:pt>
                <c:pt idx="111">
                  <c:v>4119606.8571272353</c:v>
                </c:pt>
                <c:pt idx="112">
                  <c:v>4119606.8571272353</c:v>
                </c:pt>
                <c:pt idx="113">
                  <c:v>4119606.8571272353</c:v>
                </c:pt>
                <c:pt idx="114">
                  <c:v>4119606.8571272353</c:v>
                </c:pt>
                <c:pt idx="115">
                  <c:v>4119606.8571272353</c:v>
                </c:pt>
                <c:pt idx="116">
                  <c:v>4119606.8571272353</c:v>
                </c:pt>
                <c:pt idx="117">
                  <c:v>4119606.8571272353</c:v>
                </c:pt>
                <c:pt idx="118">
                  <c:v>4119606.8571272353</c:v>
                </c:pt>
                <c:pt idx="119">
                  <c:v>4119606.8571272353</c:v>
                </c:pt>
                <c:pt idx="120">
                  <c:v>4119606.8571272353</c:v>
                </c:pt>
                <c:pt idx="121">
                  <c:v>4119606.8571272353</c:v>
                </c:pt>
                <c:pt idx="122">
                  <c:v>4119606.8571272353</c:v>
                </c:pt>
                <c:pt idx="123">
                  <c:v>4119606.8571272353</c:v>
                </c:pt>
                <c:pt idx="124">
                  <c:v>4119606.8571272353</c:v>
                </c:pt>
                <c:pt idx="125">
                  <c:v>4119606.8571272353</c:v>
                </c:pt>
                <c:pt idx="126">
                  <c:v>4119606.8571272353</c:v>
                </c:pt>
                <c:pt idx="127">
                  <c:v>4119606.8571272353</c:v>
                </c:pt>
                <c:pt idx="128">
                  <c:v>4119606.8571272353</c:v>
                </c:pt>
                <c:pt idx="129">
                  <c:v>4119606.8571272353</c:v>
                </c:pt>
                <c:pt idx="130">
                  <c:v>4119606.8571272353</c:v>
                </c:pt>
                <c:pt idx="131">
                  <c:v>4119606.8571272353</c:v>
                </c:pt>
                <c:pt idx="132">
                  <c:v>4119606.8571272353</c:v>
                </c:pt>
                <c:pt idx="133">
                  <c:v>4119606.8571272353</c:v>
                </c:pt>
                <c:pt idx="134">
                  <c:v>4119606.8571272353</c:v>
                </c:pt>
                <c:pt idx="135">
                  <c:v>4119606.8571272353</c:v>
                </c:pt>
                <c:pt idx="136">
                  <c:v>4119606.8571272353</c:v>
                </c:pt>
                <c:pt idx="137">
                  <c:v>4119606.8571272353</c:v>
                </c:pt>
                <c:pt idx="138">
                  <c:v>4119606.8571272353</c:v>
                </c:pt>
                <c:pt idx="139">
                  <c:v>4119606.8571272353</c:v>
                </c:pt>
                <c:pt idx="140">
                  <c:v>4119606.8571272353</c:v>
                </c:pt>
                <c:pt idx="141">
                  <c:v>4119606.8571272353</c:v>
                </c:pt>
                <c:pt idx="142">
                  <c:v>4119606.8571272353</c:v>
                </c:pt>
                <c:pt idx="143">
                  <c:v>4119606.8571272353</c:v>
                </c:pt>
                <c:pt idx="144">
                  <c:v>4119606.8571272353</c:v>
                </c:pt>
                <c:pt idx="145">
                  <c:v>4119606.8571272353</c:v>
                </c:pt>
                <c:pt idx="146">
                  <c:v>4119606.8571272353</c:v>
                </c:pt>
                <c:pt idx="147">
                  <c:v>4119606.8571272353</c:v>
                </c:pt>
                <c:pt idx="148">
                  <c:v>4119606.8571272353</c:v>
                </c:pt>
                <c:pt idx="149">
                  <c:v>4119606.8571272353</c:v>
                </c:pt>
                <c:pt idx="150">
                  <c:v>4119606.8571272353</c:v>
                </c:pt>
                <c:pt idx="151">
                  <c:v>4119606.8571272353</c:v>
                </c:pt>
                <c:pt idx="152">
                  <c:v>4119606.8571272353</c:v>
                </c:pt>
                <c:pt idx="153">
                  <c:v>4119606.8571272353</c:v>
                </c:pt>
                <c:pt idx="154">
                  <c:v>4119606.8571272353</c:v>
                </c:pt>
                <c:pt idx="155">
                  <c:v>4119606.8571272353</c:v>
                </c:pt>
                <c:pt idx="156">
                  <c:v>4119606.8571272353</c:v>
                </c:pt>
                <c:pt idx="157">
                  <c:v>4119606.8571272353</c:v>
                </c:pt>
                <c:pt idx="158">
                  <c:v>4119606.8571272353</c:v>
                </c:pt>
                <c:pt idx="159">
                  <c:v>4119606.8571272353</c:v>
                </c:pt>
                <c:pt idx="160">
                  <c:v>4119606.8571272353</c:v>
                </c:pt>
                <c:pt idx="161">
                  <c:v>4119606.8571272353</c:v>
                </c:pt>
                <c:pt idx="162">
                  <c:v>4119606.8571272353</c:v>
                </c:pt>
                <c:pt idx="163">
                  <c:v>4119606.8571272353</c:v>
                </c:pt>
                <c:pt idx="164">
                  <c:v>4119606.8571272353</c:v>
                </c:pt>
                <c:pt idx="165">
                  <c:v>4119606.8571272353</c:v>
                </c:pt>
                <c:pt idx="166">
                  <c:v>4119606.8571272353</c:v>
                </c:pt>
                <c:pt idx="167">
                  <c:v>4119606.8571272353</c:v>
                </c:pt>
                <c:pt idx="168">
                  <c:v>4119606.8571272353</c:v>
                </c:pt>
                <c:pt idx="169">
                  <c:v>4119606.8571272353</c:v>
                </c:pt>
                <c:pt idx="170">
                  <c:v>4119606.8571272353</c:v>
                </c:pt>
                <c:pt idx="171">
                  <c:v>4119606.8571272353</c:v>
                </c:pt>
                <c:pt idx="172">
                  <c:v>4119606.8571272353</c:v>
                </c:pt>
                <c:pt idx="173">
                  <c:v>4119606.8571272353</c:v>
                </c:pt>
                <c:pt idx="174">
                  <c:v>4119606.8571272353</c:v>
                </c:pt>
                <c:pt idx="175">
                  <c:v>4119606.8571272353</c:v>
                </c:pt>
                <c:pt idx="176">
                  <c:v>4119606.8571272353</c:v>
                </c:pt>
                <c:pt idx="177">
                  <c:v>4119606.8571272353</c:v>
                </c:pt>
                <c:pt idx="178">
                  <c:v>4119606.8571272353</c:v>
                </c:pt>
                <c:pt idx="179">
                  <c:v>4119606.8571272353</c:v>
                </c:pt>
                <c:pt idx="180">
                  <c:v>4119606.8571272353</c:v>
                </c:pt>
                <c:pt idx="181">
                  <c:v>4119606.8571272353</c:v>
                </c:pt>
                <c:pt idx="182">
                  <c:v>4119606.8571272353</c:v>
                </c:pt>
                <c:pt idx="183">
                  <c:v>4119606.8571272353</c:v>
                </c:pt>
                <c:pt idx="184">
                  <c:v>4119606.8571272353</c:v>
                </c:pt>
                <c:pt idx="185">
                  <c:v>4119606.8571272353</c:v>
                </c:pt>
                <c:pt idx="186">
                  <c:v>4119606.8571272353</c:v>
                </c:pt>
                <c:pt idx="187">
                  <c:v>4119606.8571272353</c:v>
                </c:pt>
                <c:pt idx="188">
                  <c:v>4119606.8571272353</c:v>
                </c:pt>
                <c:pt idx="189">
                  <c:v>4119606.8571272353</c:v>
                </c:pt>
                <c:pt idx="190">
                  <c:v>4119606.8571272353</c:v>
                </c:pt>
                <c:pt idx="191">
                  <c:v>4119606.8571272353</c:v>
                </c:pt>
                <c:pt idx="192">
                  <c:v>4119606.8571272353</c:v>
                </c:pt>
                <c:pt idx="193">
                  <c:v>4119606.8571272353</c:v>
                </c:pt>
                <c:pt idx="194">
                  <c:v>4119606.8571272353</c:v>
                </c:pt>
                <c:pt idx="195">
                  <c:v>4119606.8571272353</c:v>
                </c:pt>
                <c:pt idx="196">
                  <c:v>4119606.8571272353</c:v>
                </c:pt>
                <c:pt idx="197">
                  <c:v>4119606.8571272353</c:v>
                </c:pt>
                <c:pt idx="198">
                  <c:v>4119606.8571272353</c:v>
                </c:pt>
                <c:pt idx="199">
                  <c:v>4119606.8571272353</c:v>
                </c:pt>
                <c:pt idx="200">
                  <c:v>4119606.8571272353</c:v>
                </c:pt>
                <c:pt idx="201">
                  <c:v>4119606.8571272353</c:v>
                </c:pt>
                <c:pt idx="202">
                  <c:v>4119606.8571272353</c:v>
                </c:pt>
                <c:pt idx="203">
                  <c:v>4119606.8571272353</c:v>
                </c:pt>
                <c:pt idx="204">
                  <c:v>4119606.8571272353</c:v>
                </c:pt>
                <c:pt idx="205">
                  <c:v>4119606.8571272353</c:v>
                </c:pt>
                <c:pt idx="206">
                  <c:v>4119606.8571272353</c:v>
                </c:pt>
                <c:pt idx="207">
                  <c:v>4119606.8571272353</c:v>
                </c:pt>
                <c:pt idx="208">
                  <c:v>4119606.8571272353</c:v>
                </c:pt>
                <c:pt idx="209">
                  <c:v>4119606.8571272353</c:v>
                </c:pt>
                <c:pt idx="210">
                  <c:v>4119606.8571272353</c:v>
                </c:pt>
                <c:pt idx="211">
                  <c:v>4119606.8571272353</c:v>
                </c:pt>
                <c:pt idx="212">
                  <c:v>4119606.8571272353</c:v>
                </c:pt>
                <c:pt idx="213">
                  <c:v>4119606.8571272353</c:v>
                </c:pt>
                <c:pt idx="214">
                  <c:v>4119606.8571272353</c:v>
                </c:pt>
                <c:pt idx="215">
                  <c:v>4119606.8571272353</c:v>
                </c:pt>
                <c:pt idx="216">
                  <c:v>4119606.8571272353</c:v>
                </c:pt>
                <c:pt idx="217">
                  <c:v>4119606.8571272353</c:v>
                </c:pt>
                <c:pt idx="218">
                  <c:v>4119606.8571272353</c:v>
                </c:pt>
                <c:pt idx="219">
                  <c:v>4119606.8571272353</c:v>
                </c:pt>
                <c:pt idx="220">
                  <c:v>4119606.8571272353</c:v>
                </c:pt>
                <c:pt idx="221">
                  <c:v>4119606.8571272353</c:v>
                </c:pt>
                <c:pt idx="222">
                  <c:v>4119606.8571272353</c:v>
                </c:pt>
                <c:pt idx="223">
                  <c:v>4119606.8571272353</c:v>
                </c:pt>
                <c:pt idx="224">
                  <c:v>4119606.8571272353</c:v>
                </c:pt>
                <c:pt idx="225">
                  <c:v>4119606.8571272353</c:v>
                </c:pt>
                <c:pt idx="226">
                  <c:v>4119606.8571272353</c:v>
                </c:pt>
                <c:pt idx="227">
                  <c:v>4119606.8571272353</c:v>
                </c:pt>
                <c:pt idx="228">
                  <c:v>4119606.8571272353</c:v>
                </c:pt>
                <c:pt idx="229">
                  <c:v>4119606.8571272353</c:v>
                </c:pt>
                <c:pt idx="230">
                  <c:v>4119606.8571272353</c:v>
                </c:pt>
                <c:pt idx="231">
                  <c:v>4119606.8571272353</c:v>
                </c:pt>
                <c:pt idx="232">
                  <c:v>4119606.8571272353</c:v>
                </c:pt>
                <c:pt idx="233">
                  <c:v>4119606.8571272353</c:v>
                </c:pt>
                <c:pt idx="234">
                  <c:v>4119606.8571272353</c:v>
                </c:pt>
                <c:pt idx="235">
                  <c:v>4119606.8571272353</c:v>
                </c:pt>
                <c:pt idx="236">
                  <c:v>4119606.8571272353</c:v>
                </c:pt>
                <c:pt idx="237">
                  <c:v>4119606.8571272353</c:v>
                </c:pt>
                <c:pt idx="238">
                  <c:v>4119606.8571272353</c:v>
                </c:pt>
                <c:pt idx="239">
                  <c:v>4119606.8571272353</c:v>
                </c:pt>
                <c:pt idx="240">
                  <c:v>4119606.8571272353</c:v>
                </c:pt>
                <c:pt idx="241">
                  <c:v>4119606.8571272353</c:v>
                </c:pt>
                <c:pt idx="242">
                  <c:v>4119606.8571272353</c:v>
                </c:pt>
                <c:pt idx="243">
                  <c:v>4119606.8571272353</c:v>
                </c:pt>
                <c:pt idx="244">
                  <c:v>4119606.8571272353</c:v>
                </c:pt>
                <c:pt idx="245">
                  <c:v>4119606.8571272353</c:v>
                </c:pt>
                <c:pt idx="246">
                  <c:v>4119606.8571272353</c:v>
                </c:pt>
                <c:pt idx="247">
                  <c:v>4119606.8571272353</c:v>
                </c:pt>
                <c:pt idx="248">
                  <c:v>4119606.8571272353</c:v>
                </c:pt>
                <c:pt idx="249">
                  <c:v>4119606.8571272353</c:v>
                </c:pt>
                <c:pt idx="250">
                  <c:v>4119606.8571272353</c:v>
                </c:pt>
                <c:pt idx="251">
                  <c:v>4119606.8571272353</c:v>
                </c:pt>
                <c:pt idx="252">
                  <c:v>4119606.8571272353</c:v>
                </c:pt>
                <c:pt idx="253">
                  <c:v>4119606.8571272353</c:v>
                </c:pt>
                <c:pt idx="254">
                  <c:v>4119606.8571272353</c:v>
                </c:pt>
                <c:pt idx="255">
                  <c:v>4119606.8571272353</c:v>
                </c:pt>
                <c:pt idx="256">
                  <c:v>4119606.8571272353</c:v>
                </c:pt>
                <c:pt idx="257">
                  <c:v>4119606.8571272353</c:v>
                </c:pt>
                <c:pt idx="258">
                  <c:v>4119606.8571272353</c:v>
                </c:pt>
                <c:pt idx="259">
                  <c:v>4119606.8571272353</c:v>
                </c:pt>
                <c:pt idx="260">
                  <c:v>4119606.8571272353</c:v>
                </c:pt>
                <c:pt idx="261">
                  <c:v>4119606.8571272353</c:v>
                </c:pt>
                <c:pt idx="262">
                  <c:v>4119606.8571272353</c:v>
                </c:pt>
                <c:pt idx="263">
                  <c:v>4119606.8571272353</c:v>
                </c:pt>
                <c:pt idx="264">
                  <c:v>4119606.8571272353</c:v>
                </c:pt>
                <c:pt idx="265">
                  <c:v>4119606.8571272353</c:v>
                </c:pt>
                <c:pt idx="266">
                  <c:v>4119606.8571272353</c:v>
                </c:pt>
                <c:pt idx="267">
                  <c:v>4119606.8571272353</c:v>
                </c:pt>
                <c:pt idx="268">
                  <c:v>4119606.8571272353</c:v>
                </c:pt>
                <c:pt idx="269">
                  <c:v>4119606.8571272353</c:v>
                </c:pt>
                <c:pt idx="270">
                  <c:v>4119606.8571272353</c:v>
                </c:pt>
                <c:pt idx="271">
                  <c:v>4119606.8571272353</c:v>
                </c:pt>
                <c:pt idx="272">
                  <c:v>4119606.8571272353</c:v>
                </c:pt>
                <c:pt idx="273">
                  <c:v>4119606.8571272353</c:v>
                </c:pt>
                <c:pt idx="274">
                  <c:v>4119606.8571272353</c:v>
                </c:pt>
                <c:pt idx="275">
                  <c:v>4119606.8571272353</c:v>
                </c:pt>
                <c:pt idx="276">
                  <c:v>4119606.8571272353</c:v>
                </c:pt>
                <c:pt idx="277">
                  <c:v>4119606.8571272353</c:v>
                </c:pt>
                <c:pt idx="278">
                  <c:v>4119606.8571272353</c:v>
                </c:pt>
                <c:pt idx="279">
                  <c:v>4119606.8571272353</c:v>
                </c:pt>
                <c:pt idx="280">
                  <c:v>4119606.8571272353</c:v>
                </c:pt>
                <c:pt idx="281">
                  <c:v>4119606.8571272353</c:v>
                </c:pt>
                <c:pt idx="282">
                  <c:v>4119606.8571272353</c:v>
                </c:pt>
                <c:pt idx="283">
                  <c:v>4119606.8571272353</c:v>
                </c:pt>
                <c:pt idx="284">
                  <c:v>4119606.8571272353</c:v>
                </c:pt>
                <c:pt idx="285">
                  <c:v>4119606.8571272353</c:v>
                </c:pt>
                <c:pt idx="286">
                  <c:v>4119606.8571272353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700" t="s">
        <v>0</v>
      </c>
      <c r="C2" s="700"/>
      <c r="D2" s="700"/>
      <c r="E2" s="700"/>
      <c r="H2" s="701" t="s">
        <v>1</v>
      </c>
      <c r="I2" s="702"/>
      <c r="J2" s="702"/>
      <c r="K2" s="702"/>
      <c r="L2" s="702"/>
      <c r="M2" s="702"/>
      <c r="N2" s="702"/>
      <c r="O2" s="703"/>
    </row>
    <row r="3" spans="2:15">
      <c r="B3" s="615"/>
      <c r="H3" s="704"/>
      <c r="I3" s="705"/>
      <c r="J3" s="705"/>
      <c r="K3" s="705"/>
      <c r="L3" s="705"/>
      <c r="M3" s="705"/>
      <c r="N3" s="705"/>
      <c r="O3" s="706"/>
    </row>
    <row r="4" spans="2:15">
      <c r="B4" s="616" t="s">
        <v>2</v>
      </c>
      <c r="C4" s="617" t="str">
        <f>'Project Plan'!E2</f>
        <v>PnP Bethal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6" t="s">
        <v>3</v>
      </c>
      <c r="C5" s="617" t="s">
        <v>4</v>
      </c>
      <c r="H5" s="704"/>
      <c r="I5" s="705"/>
      <c r="J5" s="705"/>
      <c r="K5" s="705"/>
      <c r="L5" s="705"/>
      <c r="M5" s="705"/>
      <c r="N5" s="705"/>
      <c r="O5" s="706"/>
    </row>
    <row r="6" spans="2:15">
      <c r="B6" s="616" t="s">
        <v>5</v>
      </c>
      <c r="C6" s="617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6" t="s">
        <v>7</v>
      </c>
      <c r="C7" s="617" t="s">
        <v>8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5"/>
      <c r="H8" s="704"/>
      <c r="I8" s="705"/>
      <c r="J8" s="705"/>
      <c r="K8" s="705"/>
      <c r="L8" s="705"/>
      <c r="M8" s="705"/>
      <c r="N8" s="705"/>
      <c r="O8" s="706"/>
    </row>
    <row r="9" spans="2:15">
      <c r="B9" s="710" t="s">
        <v>9</v>
      </c>
      <c r="C9" s="710"/>
      <c r="D9" s="710"/>
      <c r="E9" s="710"/>
      <c r="H9" s="704"/>
      <c r="I9" s="705"/>
      <c r="J9" s="705"/>
      <c r="K9" s="705"/>
      <c r="L9" s="705"/>
      <c r="M9" s="705"/>
      <c r="N9" s="705"/>
      <c r="O9" s="706"/>
    </row>
    <row r="10" spans="2:15" ht="15" thickBot="1">
      <c r="B10" s="710" t="s">
        <v>10</v>
      </c>
      <c r="C10" s="710"/>
      <c r="D10" s="710"/>
      <c r="E10" s="710"/>
      <c r="H10" s="707"/>
      <c r="I10" s="708"/>
      <c r="J10" s="708"/>
      <c r="K10" s="708"/>
      <c r="L10" s="708"/>
      <c r="M10" s="708"/>
      <c r="N10" s="708"/>
      <c r="O10" s="709"/>
    </row>
    <row r="11" spans="2:15">
      <c r="B11" s="618" t="s">
        <v>11</v>
      </c>
      <c r="C11" s="699"/>
      <c r="D11" s="699"/>
      <c r="E11" s="699"/>
    </row>
    <row r="12" spans="2:15">
      <c r="B12" s="618" t="s">
        <v>12</v>
      </c>
      <c r="C12" s="699"/>
      <c r="D12" s="699"/>
      <c r="E12" s="699"/>
    </row>
    <row r="13" spans="2:15">
      <c r="B13" s="618" t="s">
        <v>13</v>
      </c>
      <c r="C13" s="699"/>
      <c r="D13" s="699"/>
      <c r="E13" s="699"/>
    </row>
    <row r="14" spans="2:15">
      <c r="B14" s="618" t="s">
        <v>14</v>
      </c>
      <c r="C14" s="699"/>
      <c r="D14" s="699"/>
      <c r="E14" s="699"/>
    </row>
    <row r="15" spans="2:15">
      <c r="B15" s="618" t="s">
        <v>15</v>
      </c>
      <c r="C15" s="699"/>
      <c r="D15" s="699"/>
      <c r="E15" s="699"/>
    </row>
    <row r="16" spans="2:15" ht="15" customHeight="1">
      <c r="B16" s="618" t="s">
        <v>16</v>
      </c>
      <c r="C16" s="699"/>
      <c r="D16" s="699"/>
      <c r="E16" s="699"/>
    </row>
    <row r="17" spans="2:5">
      <c r="B17" s="615"/>
    </row>
    <row r="18" spans="2:5">
      <c r="B18" s="711" t="s">
        <v>17</v>
      </c>
      <c r="C18" s="711"/>
      <c r="D18" s="711"/>
      <c r="E18" s="71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700" t="s">
        <v>22</v>
      </c>
      <c r="C2" s="700"/>
      <c r="D2" s="700"/>
      <c r="E2" s="700"/>
      <c r="H2" s="701" t="s">
        <v>23</v>
      </c>
      <c r="I2" s="702"/>
      <c r="J2" s="702"/>
      <c r="K2" s="702"/>
      <c r="L2" s="702"/>
      <c r="M2" s="702"/>
      <c r="N2" s="702"/>
      <c r="O2" s="703"/>
    </row>
    <row r="3" spans="2:15">
      <c r="B3" s="615"/>
      <c r="H3" s="704"/>
      <c r="I3" s="705"/>
      <c r="J3" s="705"/>
      <c r="K3" s="705"/>
      <c r="L3" s="705"/>
      <c r="M3" s="705"/>
      <c r="N3" s="705"/>
      <c r="O3" s="706"/>
    </row>
    <row r="4" spans="2:15">
      <c r="B4" s="616" t="s">
        <v>2</v>
      </c>
      <c r="C4" s="617" t="str">
        <f>'Project Plan'!E2</f>
        <v>PnP Bethal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6" t="s">
        <v>24</v>
      </c>
      <c r="C5" s="617"/>
      <c r="H5" s="704"/>
      <c r="I5" s="705"/>
      <c r="J5" s="705"/>
      <c r="K5" s="705"/>
      <c r="L5" s="705"/>
      <c r="M5" s="705"/>
      <c r="N5" s="705"/>
      <c r="O5" s="706"/>
    </row>
    <row r="6" spans="2:15">
      <c r="B6" s="616" t="s">
        <v>5</v>
      </c>
      <c r="C6" s="617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6" t="s">
        <v>25</v>
      </c>
      <c r="C7" s="617" t="str">
        <f>'Project Plan'!E5</f>
        <v>Eon Van Rensburg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6" t="s">
        <v>26</v>
      </c>
      <c r="C8" s="617"/>
      <c r="H8" s="704"/>
      <c r="I8" s="705"/>
      <c r="J8" s="705"/>
      <c r="K8" s="705"/>
      <c r="L8" s="705"/>
      <c r="M8" s="705"/>
      <c r="N8" s="705"/>
      <c r="O8" s="706"/>
    </row>
    <row r="9" spans="2:15">
      <c r="B9" s="615"/>
      <c r="H9" s="704"/>
      <c r="I9" s="705"/>
      <c r="J9" s="705"/>
      <c r="K9" s="705"/>
      <c r="L9" s="705"/>
      <c r="M9" s="705"/>
      <c r="N9" s="705"/>
      <c r="O9" s="706"/>
    </row>
    <row r="10" spans="2:15">
      <c r="B10" s="710" t="s">
        <v>9</v>
      </c>
      <c r="C10" s="710"/>
      <c r="D10" s="710"/>
      <c r="E10" s="710"/>
      <c r="H10" s="704"/>
      <c r="I10" s="705"/>
      <c r="J10" s="705"/>
      <c r="K10" s="705"/>
      <c r="L10" s="705"/>
      <c r="M10" s="705"/>
      <c r="N10" s="705"/>
      <c r="O10" s="706"/>
    </row>
    <row r="11" spans="2:15" ht="15" thickBot="1">
      <c r="B11" s="710" t="s">
        <v>10</v>
      </c>
      <c r="C11" s="710"/>
      <c r="D11" s="710"/>
      <c r="E11" s="710"/>
      <c r="H11" s="707"/>
      <c r="I11" s="708"/>
      <c r="J11" s="708"/>
      <c r="K11" s="708"/>
      <c r="L11" s="708"/>
      <c r="M11" s="708"/>
      <c r="N11" s="708"/>
      <c r="O11" s="709"/>
    </row>
    <row r="12" spans="2:15" ht="26.4">
      <c r="B12" s="618" t="s">
        <v>27</v>
      </c>
      <c r="C12" s="699"/>
      <c r="D12" s="699"/>
      <c r="E12" s="699"/>
    </row>
    <row r="13" spans="2:15">
      <c r="B13" s="618" t="s">
        <v>28</v>
      </c>
      <c r="C13" s="699"/>
      <c r="D13" s="699"/>
      <c r="E13" s="699"/>
    </row>
    <row r="14" spans="2:15">
      <c r="B14" s="618" t="s">
        <v>29</v>
      </c>
      <c r="C14" s="699"/>
      <c r="D14" s="699"/>
      <c r="E14" s="699"/>
    </row>
    <row r="15" spans="2:15">
      <c r="B15" s="618" t="s">
        <v>30</v>
      </c>
      <c r="C15" s="699"/>
      <c r="D15" s="699"/>
      <c r="E15" s="699"/>
    </row>
    <row r="16" spans="2:15" ht="26.4">
      <c r="B16" s="618" t="s">
        <v>31</v>
      </c>
      <c r="C16" s="699"/>
      <c r="D16" s="699"/>
      <c r="E16" s="699"/>
    </row>
    <row r="17" spans="2:5">
      <c r="B17" s="618" t="s">
        <v>32</v>
      </c>
      <c r="C17" s="699"/>
      <c r="D17" s="699"/>
      <c r="E17" s="699"/>
    </row>
    <row r="18" spans="2:5">
      <c r="B18" s="618" t="s">
        <v>33</v>
      </c>
      <c r="C18" s="699"/>
      <c r="D18" s="699"/>
      <c r="E18" s="699"/>
    </row>
    <row r="19" spans="2:5">
      <c r="B19" s="618" t="s">
        <v>34</v>
      </c>
      <c r="C19" s="699"/>
      <c r="D19" s="699"/>
      <c r="E19" s="699"/>
    </row>
    <row r="20" spans="2:5">
      <c r="B20" s="618" t="s">
        <v>35</v>
      </c>
      <c r="C20" s="699"/>
      <c r="D20" s="699"/>
      <c r="E20" s="699"/>
    </row>
    <row r="21" spans="2:5">
      <c r="B21" s="618" t="s">
        <v>36</v>
      </c>
      <c r="C21" s="699"/>
      <c r="D21" s="699"/>
      <c r="E21" s="699"/>
    </row>
    <row r="22" spans="2:5" ht="15" customHeight="1">
      <c r="B22" s="618" t="s">
        <v>16</v>
      </c>
      <c r="C22" s="699"/>
      <c r="D22" s="699"/>
      <c r="E22" s="699"/>
    </row>
    <row r="23" spans="2:5">
      <c r="B23" s="615"/>
    </row>
    <row r="24" spans="2:5">
      <c r="B24" s="711" t="s">
        <v>17</v>
      </c>
      <c r="C24" s="711"/>
      <c r="D24" s="711"/>
      <c r="E24" s="71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714"/>
      <c r="C1" s="715"/>
      <c r="D1" s="715"/>
      <c r="E1" s="715"/>
      <c r="F1" s="712" t="s">
        <v>37</v>
      </c>
      <c r="G1" s="712"/>
      <c r="H1" s="712"/>
      <c r="I1" s="712"/>
      <c r="J1" s="712"/>
      <c r="K1" s="713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777343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16" t="s">
        <v>118</v>
      </c>
      <c r="C2" s="717"/>
      <c r="D2" s="717"/>
      <c r="E2" s="717"/>
      <c r="F2" s="718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16" t="s">
        <v>127</v>
      </c>
      <c r="C16" s="717"/>
      <c r="D16" s="717"/>
      <c r="E16" s="717"/>
      <c r="F16" s="718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3" zoomScaleNormal="100" workbookViewId="0">
      <selection activeCell="X16" sqref="X1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5.5546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4.4414062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4414062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46085</v>
      </c>
      <c r="O1" s="305">
        <f ca="1">TODAY()</f>
        <v>46085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19" t="s">
        <v>132</v>
      </c>
      <c r="J2" s="720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420</v>
      </c>
      <c r="F3" s="93"/>
      <c r="G3" s="94"/>
      <c r="H3" s="94"/>
      <c r="I3" s="719" t="s">
        <v>134</v>
      </c>
      <c r="J3" s="720"/>
      <c r="K3" s="587">
        <f>K2/5</f>
        <v>8.4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19" t="s">
        <v>137</v>
      </c>
      <c r="J4" s="720"/>
      <c r="K4" s="588">
        <f>E3/K3</f>
        <v>50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723" t="s">
        <v>143</v>
      </c>
      <c r="C8" s="724" t="s">
        <v>144</v>
      </c>
      <c r="D8" s="126"/>
      <c r="E8" s="725" t="s">
        <v>145</v>
      </c>
      <c r="F8" s="148" t="s">
        <v>146</v>
      </c>
      <c r="G8" s="725" t="s">
        <v>147</v>
      </c>
      <c r="H8" s="149"/>
      <c r="I8" s="725" t="s">
        <v>148</v>
      </c>
      <c r="J8" s="148" t="s">
        <v>146</v>
      </c>
      <c r="K8" s="725" t="s">
        <v>149</v>
      </c>
      <c r="M8" s="584" t="s">
        <v>44</v>
      </c>
      <c r="N8" s="585" t="s">
        <v>150</v>
      </c>
      <c r="O8" s="721" t="s">
        <v>151</v>
      </c>
      <c r="Z8" s="26"/>
      <c r="AA8" s="26"/>
      <c r="AB8" s="26"/>
    </row>
    <row r="9" spans="2:28">
      <c r="B9" s="723"/>
      <c r="C9" s="724"/>
      <c r="D9" s="126"/>
      <c r="E9" s="725"/>
      <c r="F9" s="40">
        <f>G43-E20</f>
        <v>63</v>
      </c>
      <c r="G9" s="725"/>
      <c r="H9" s="149"/>
      <c r="I9" s="725"/>
      <c r="J9" s="41">
        <f>K43-I20</f>
        <v>63</v>
      </c>
      <c r="K9" s="725"/>
      <c r="M9" s="265">
        <f>AVERAGE(M11,M19,M22,M32,M39,M43,M52,M48)</f>
        <v>2.291288566243194E-2</v>
      </c>
      <c r="N9" s="265">
        <f ca="1">AVERAGE(N11,N19,N22,N32,N39,N43,N52,N48)</f>
        <v>2.6202359346642466E-2</v>
      </c>
      <c r="O9" s="722"/>
      <c r="S9" s="586">
        <f ca="1">TODAY()</f>
        <v>46085</v>
      </c>
      <c r="T9" s="586">
        <f ca="1">TODAY()</f>
        <v>46085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0.13157894736842105</v>
      </c>
      <c r="N11" s="575">
        <f ca="1">(J12*N12+J14*N14+J15*N15+J16*N16+J17*N17)/SUM(J12:J17)</f>
        <v>0.15789473684210525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536" t="str">
        <f>C11</f>
        <v>Project Initiation</v>
      </c>
      <c r="T13" s="538">
        <f>I11</f>
        <v>46043</v>
      </c>
      <c r="U13" s="539">
        <f>J11</f>
        <v>50</v>
      </c>
      <c r="V13" s="538">
        <f>K11</f>
        <v>46093</v>
      </c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C19</f>
        <v>Site Establishment</v>
      </c>
      <c r="T14" s="538">
        <f>I19</f>
        <v>46090</v>
      </c>
      <c r="U14" s="539">
        <f>J19</f>
        <v>1</v>
      </c>
      <c r="V14" s="538">
        <f>K19</f>
        <v>46091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C22</f>
        <v>AC Installation</v>
      </c>
      <c r="T15" s="538">
        <f>I22</f>
        <v>46071</v>
      </c>
      <c r="U15" s="539">
        <f>J22</f>
        <v>63</v>
      </c>
      <c r="V15" s="538">
        <f>K22</f>
        <v>46134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C32</f>
        <v>DC Works</v>
      </c>
      <c r="T16" s="538">
        <f>I32</f>
        <v>46090</v>
      </c>
      <c r="U16" s="539">
        <f>J32</f>
        <v>23</v>
      </c>
      <c r="V16" s="538">
        <f>K32</f>
        <v>46113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C39</f>
        <v>Module installation</v>
      </c>
      <c r="T17" s="538">
        <f>I39</f>
        <v>46090</v>
      </c>
      <c r="U17" s="539">
        <f>J39</f>
        <v>17</v>
      </c>
      <c r="V17" s="538">
        <f>K39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C43</f>
        <v>Commissioning</v>
      </c>
      <c r="T18" s="538">
        <f>I43</f>
        <v>46134</v>
      </c>
      <c r="U18" s="539">
        <f>J43</f>
        <v>19</v>
      </c>
      <c r="V18" s="538">
        <f>K43</f>
        <v>46153</v>
      </c>
    </row>
    <row r="19" spans="2:28" s="28" customFormat="1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C48</f>
        <v>QA Inspections</v>
      </c>
      <c r="T19" s="538">
        <f>I48</f>
        <v>46146</v>
      </c>
      <c r="U19" s="539">
        <f>J48</f>
        <v>8</v>
      </c>
      <c r="V19" s="538">
        <f>K48</f>
        <v>46154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C52</f>
        <v>Project Closure</v>
      </c>
      <c r="T20" s="538">
        <f>I52</f>
        <v>46149</v>
      </c>
      <c r="U20" s="539">
        <f>J52</f>
        <v>13</v>
      </c>
      <c r="V20" s="538">
        <f>K52</f>
        <v>46162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</row>
    <row r="22" spans="2:28" s="28" customFormat="1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0.33333333333333331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187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194</v>
      </c>
      <c r="C37" s="154" t="s">
        <v>195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196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201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208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213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1.77734375" style="43" bestFit="1" customWidth="1"/>
    <col min="8" max="8" width="18.21875" style="43" bestFit="1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8.44140625" style="24" bestFit="1" customWidth="1"/>
    <col min="23" max="23" width="14.777343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221</v>
      </c>
      <c r="U2" s="624" t="s">
        <v>222</v>
      </c>
      <c r="V2" s="624" t="s">
        <v>223</v>
      </c>
      <c r="W2" s="624" t="s">
        <v>224</v>
      </c>
    </row>
    <row r="3" spans="1:41" s="24" customFormat="1" ht="13.2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4119606.8571272357</v>
      </c>
      <c r="U3" s="625">
        <f>SUMIFS('Expenditure Breakdown'!$Q:$Q,
        'Expenditure Breakdown'!$T:$T, "&gt;"&amp;DATE(2025,8,31),
        'Expenditure Breakdown'!$T:$T, "&lt;="&amp;DATE(2026,8,31))</f>
        <v>3357326.40571409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3.2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3357326.4057140909</v>
      </c>
      <c r="G5" s="636" t="s">
        <v>231</v>
      </c>
      <c r="H5" s="636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762280.45141314529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0.18503718385028453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.2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3.2">
      <c r="B13" s="589">
        <v>1</v>
      </c>
      <c r="C13" s="726" t="s">
        <v>245</v>
      </c>
      <c r="D13" s="727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246</v>
      </c>
      <c r="M13" s="594"/>
      <c r="N13" s="593">
        <v>46066</v>
      </c>
      <c r="O13" s="597"/>
      <c r="P13" s="593">
        <v>46072</v>
      </c>
      <c r="R13" s="86" t="s">
        <v>247</v>
      </c>
      <c r="S13" s="53"/>
      <c r="AO13" s="525">
        <f>'Change Register'!$Q$14+ 7</f>
        <v>7</v>
      </c>
    </row>
    <row r="14" spans="1:41" s="24" customFormat="1" ht="13.2">
      <c r="B14" s="599">
        <v>2</v>
      </c>
      <c r="C14" s="726" t="s">
        <v>248</v>
      </c>
      <c r="D14" s="727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3.2">
      <c r="B15" s="589">
        <v>3</v>
      </c>
      <c r="C15" s="726" t="s">
        <v>249</v>
      </c>
      <c r="D15" s="727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3.2">
      <c r="B16" s="599">
        <v>4</v>
      </c>
      <c r="C16" s="728" t="s">
        <v>250</v>
      </c>
      <c r="D16" s="729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3.2">
      <c r="B17" s="589">
        <v>5</v>
      </c>
      <c r="C17" s="728" t="s">
        <v>251</v>
      </c>
      <c r="D17" s="729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3.2">
      <c r="B18" s="599">
        <v>6</v>
      </c>
      <c r="C18" s="728" t="s">
        <v>252</v>
      </c>
      <c r="D18" s="729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3.2">
      <c r="B19" s="589">
        <v>7</v>
      </c>
      <c r="C19" s="728" t="s">
        <v>253</v>
      </c>
      <c r="D19" s="729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3.2">
      <c r="B20" s="599">
        <v>8</v>
      </c>
      <c r="C20" s="728" t="s">
        <v>254</v>
      </c>
      <c r="D20" s="729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3.2">
      <c r="B21" s="589">
        <v>9</v>
      </c>
      <c r="C21" s="728" t="s">
        <v>255</v>
      </c>
      <c r="D21" s="729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3.2">
      <c r="B22" s="599">
        <v>10</v>
      </c>
      <c r="C22" s="728" t="s">
        <v>255</v>
      </c>
      <c r="D22" s="729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3.2">
      <c r="B23" s="589">
        <v>11</v>
      </c>
      <c r="C23" s="728" t="s">
        <v>255</v>
      </c>
      <c r="D23" s="729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3.2">
      <c r="B24" s="599">
        <v>12</v>
      </c>
      <c r="C24" s="726" t="s">
        <v>255</v>
      </c>
      <c r="D24" s="727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.2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3.2">
      <c r="C29" s="59" t="s">
        <v>258</v>
      </c>
      <c r="D29" s="60"/>
      <c r="F29" s="61"/>
    </row>
    <row r="30" spans="2:19" s="24" customFormat="1" ht="13.2">
      <c r="C30" s="59" t="s">
        <v>259</v>
      </c>
      <c r="D30" s="60"/>
    </row>
    <row r="31" spans="2:19" s="24" customFormat="1" ht="13.2">
      <c r="C31" s="62" t="s">
        <v>260</v>
      </c>
      <c r="D31" s="63"/>
    </row>
    <row r="32" spans="2:19" s="24" customFormat="1" ht="13.2">
      <c r="C32" s="64" t="s">
        <v>261</v>
      </c>
      <c r="D32" s="60"/>
    </row>
    <row r="33" spans="2:14" s="24" customFormat="1" ht="13.2">
      <c r="B33" s="31"/>
      <c r="C33" s="64" t="s">
        <v>262</v>
      </c>
      <c r="D33" s="60"/>
    </row>
    <row r="34" spans="2:14" s="24" customFormat="1" ht="13.2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3.2">
      <c r="B36" s="31"/>
      <c r="F36" s="58"/>
      <c r="N36" s="543"/>
    </row>
    <row r="37" spans="2:14" s="24" customFormat="1" ht="13.2">
      <c r="B37" s="31"/>
      <c r="F37" s="58"/>
    </row>
    <row r="38" spans="2:14" s="24" customFormat="1" ht="13.2">
      <c r="B38" s="31"/>
      <c r="F38" s="58"/>
    </row>
    <row r="39" spans="2:14" s="24" customFormat="1" ht="13.2">
      <c r="B39" s="31"/>
      <c r="F39" s="58"/>
    </row>
    <row r="40" spans="2:14" s="24" customFormat="1" ht="13.2">
      <c r="B40" s="31"/>
    </row>
    <row r="41" spans="2:14" s="24" customFormat="1" ht="13.2">
      <c r="B41" s="31"/>
    </row>
    <row r="42" spans="2:14" s="24" customFormat="1" ht="13.2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="110" zoomScaleNormal="110" workbookViewId="0">
      <pane ySplit="7" topLeftCell="A8" activePane="bottomLeft" state="frozen"/>
      <selection activeCell="X33" sqref="X33"/>
      <selection pane="bottomLeft" activeCell="J11" activeCellId="3" sqref="J15 J17 J10 J11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30"/>
      <c r="C4" s="730"/>
      <c r="D4" s="730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4" thickBot="1">
      <c r="A5" s="126"/>
      <c r="B5" s="731" t="s">
        <v>271</v>
      </c>
      <c r="C5" s="731"/>
      <c r="D5" s="731"/>
      <c r="E5" s="313"/>
      <c r="F5" s="133">
        <f>SUM(F9:F23)</f>
        <v>3462114.9011195651</v>
      </c>
      <c r="G5" s="128"/>
      <c r="H5" s="133">
        <f>SUM(H9:H23)</f>
        <v>3357326.4057140909</v>
      </c>
      <c r="I5" s="126"/>
      <c r="J5" s="134">
        <f>SUM(J9:J23)</f>
        <v>104788.49540547447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840000.00000000012</v>
      </c>
      <c r="I9" s="23"/>
      <c r="J9" s="143">
        <f t="shared" ref="J9:J23" si="0">F9-H9</f>
        <v>94547.919999999809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318852.75000000006</v>
      </c>
      <c r="I12" s="23"/>
      <c r="J12" s="143">
        <f t="shared" si="0"/>
        <v>-95151.95000000007</v>
      </c>
      <c r="K12" s="85"/>
      <c r="L12" s="159"/>
    </row>
    <row r="13" spans="1:12">
      <c r="A13" s="126"/>
      <c r="B13" s="140">
        <f>'Expenditure Breakdown'!L45</f>
        <v>5</v>
      </c>
      <c r="C13" s="129"/>
      <c r="D13" s="141" t="str">
        <f>'Expenditure Breakdown'!M45</f>
        <v>5. Monitoring</v>
      </c>
      <c r="E13" s="144"/>
      <c r="F13" s="142">
        <f>'Expenditure Breakdown'!I45</f>
        <v>174000</v>
      </c>
      <c r="G13" s="21"/>
      <c r="H13" s="142">
        <f>'Expenditure Breakdown'!X45</f>
        <v>168000</v>
      </c>
      <c r="I13" s="23"/>
      <c r="J13" s="143">
        <f t="shared" si="0"/>
        <v>6000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413396.72608695651</v>
      </c>
      <c r="G14" s="21"/>
      <c r="H14" s="142">
        <f>'Expenditure Breakdown'!X53</f>
        <v>331844.57000000007</v>
      </c>
      <c r="I14" s="23"/>
      <c r="J14" s="143">
        <f t="shared" si="0"/>
        <v>81552.156086956442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531293.91304347827</v>
      </c>
      <c r="G15" s="21"/>
      <c r="H15" s="142">
        <f>'Expenditure Breakdown'!X71</f>
        <v>303900</v>
      </c>
      <c r="I15" s="23"/>
      <c r="J15" s="143">
        <f t="shared" si="0"/>
        <v>227393.91304347827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245040.6</v>
      </c>
      <c r="G16" s="21"/>
      <c r="H16" s="142">
        <f>'Expenditure Breakdown'!X80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Breakdown'!L96</f>
        <v>9</v>
      </c>
      <c r="C17" s="129"/>
      <c r="D17" s="141" t="str">
        <f>'Expenditure Breakdown'!M96</f>
        <v>9. AC &amp; DC installation</v>
      </c>
      <c r="E17" s="144"/>
      <c r="F17" s="142">
        <f>'Expenditure Breakdown'!I96</f>
        <v>333680</v>
      </c>
      <c r="G17" s="21"/>
      <c r="H17" s="142">
        <f>'Expenditure Breakdown'!X96</f>
        <v>534200</v>
      </c>
      <c r="I17" s="23"/>
      <c r="J17" s="143">
        <f t="shared" si="0"/>
        <v>-200520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49217.111111111109</v>
      </c>
      <c r="G18" s="21"/>
      <c r="H18" s="142">
        <f>'Expenditure Breakdown'!X109</f>
        <v>45750</v>
      </c>
      <c r="I18" s="23"/>
      <c r="J18" s="143">
        <f t="shared" si="0"/>
        <v>3467.1111111111095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118984</v>
      </c>
      <c r="G19" s="21"/>
      <c r="H19" s="142">
        <f>'Expenditure Breakdown'!X125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39647.830878019326</v>
      </c>
      <c r="G21" s="21"/>
      <c r="H21" s="142">
        <f>'Expenditure Breakdown'!X134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5600</v>
      </c>
      <c r="G22" s="21"/>
      <c r="H22" s="142">
        <f>'Expenditure Breakdown'!X141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M1" zoomScale="85" zoomScaleNormal="85" workbookViewId="0">
      <pane ySplit="4" topLeftCell="A68" activePane="bottomLeft" state="frozen"/>
      <selection activeCell="X33" sqref="X33"/>
      <selection pane="bottomLeft" activeCell="O80" sqref="O80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60.7773437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44140625" style="26" customWidth="1"/>
    <col min="14" max="14" width="89.5546875" style="26" bestFit="1" customWidth="1"/>
    <col min="15" max="15" width="15.44140625" style="26" customWidth="1"/>
    <col min="16" max="17" width="17.44140625" style="26" customWidth="1"/>
    <col min="18" max="18" width="37.44140625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4.77734375" style="26" bestFit="1" customWidth="1"/>
    <col min="27" max="27" width="13.77734375" style="26" bestFit="1" customWidth="1"/>
    <col min="28" max="28" width="27.21875" style="26" customWidth="1"/>
    <col min="29" max="29" width="21.33203125" style="26" customWidth="1"/>
    <col min="30" max="30" width="6.88671875" style="26" customWidth="1"/>
    <col min="31" max="31" width="29.21875" style="26" customWidth="1"/>
    <col min="32" max="32" width="20" style="26" customWidth="1"/>
    <col min="33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2" t="s">
        <v>277</v>
      </c>
      <c r="C2" s="693"/>
      <c r="D2" s="693"/>
      <c r="E2" s="693"/>
      <c r="F2" s="693"/>
      <c r="G2" s="693"/>
      <c r="H2" s="395"/>
      <c r="I2" s="162">
        <f>SUM(I6:I166)</f>
        <v>3462114.9011195651</v>
      </c>
      <c r="J2" s="162">
        <f>SUM(J6:J166)</f>
        <v>4119606.8571272367</v>
      </c>
      <c r="L2" s="694" t="s">
        <v>278</v>
      </c>
      <c r="M2" s="695"/>
      <c r="N2" s="695"/>
      <c r="O2" s="695"/>
      <c r="P2" s="695"/>
      <c r="Q2" s="695"/>
      <c r="R2" s="696" t="s">
        <v>279</v>
      </c>
      <c r="S2" s="697"/>
      <c r="T2" s="697"/>
      <c r="U2" s="697"/>
      <c r="V2" s="697"/>
      <c r="W2" s="698"/>
      <c r="X2" s="162">
        <f>SUM(X6:X166)</f>
        <v>3357326.4057140909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6" t="s">
        <v>290</v>
      </c>
      <c r="S4" s="497" t="s">
        <v>241</v>
      </c>
      <c r="T4" s="521" t="s">
        <v>242</v>
      </c>
      <c r="U4" s="522" t="s">
        <v>291</v>
      </c>
      <c r="V4" s="274" t="s">
        <v>292</v>
      </c>
      <c r="W4" s="521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D167</f>
        <v>934547.91999999993</v>
      </c>
      <c r="H6" s="550">
        <f>'Project Plan'!E40+60</f>
        <v>46150</v>
      </c>
      <c r="I6" s="642">
        <f>SUM(G6:G11)</f>
        <v>934547.91999999993</v>
      </c>
      <c r="J6" s="645">
        <f>F167</f>
        <v>1139692.5853658535</v>
      </c>
      <c r="K6" s="289"/>
      <c r="L6" s="185">
        <v>1</v>
      </c>
      <c r="M6" s="316" t="s">
        <v>296</v>
      </c>
      <c r="N6" s="186" t="s">
        <v>475</v>
      </c>
      <c r="O6" s="520">
        <f>'Project Plan'!E3*1000/610</f>
        <v>688.52459016393448</v>
      </c>
      <c r="P6" s="336">
        <f>2*610</f>
        <v>1220</v>
      </c>
      <c r="Q6" s="292">
        <f>O6*P6</f>
        <v>840000.00000000012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4">
        <f>J6-SUM(U6:U11)</f>
        <v>0</v>
      </c>
      <c r="W6" s="452">
        <f>'Project Plan'!I40+60</f>
        <v>46150</v>
      </c>
      <c r="X6" s="642">
        <f>SUM(Q6:Q11)</f>
        <v>840000.00000000012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41"/>
      <c r="I7" s="643"/>
      <c r="J7" s="646"/>
      <c r="K7" s="192"/>
      <c r="L7" s="215">
        <v>1</v>
      </c>
      <c r="M7" s="217" t="s">
        <v>296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5"/>
      <c r="W7" s="453"/>
      <c r="X7" s="643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3"/>
      <c r="J8" s="646"/>
      <c r="K8" s="192"/>
      <c r="L8" s="215">
        <v>1</v>
      </c>
      <c r="M8" s="217" t="s">
        <v>296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70" si="1">IF(W8&gt;1,EOMONTH(W8,0),"")</f>
        <v/>
      </c>
      <c r="U8" s="397">
        <f t="shared" si="0"/>
        <v>0</v>
      </c>
      <c r="V8" s="655"/>
      <c r="W8" s="453"/>
      <c r="X8" s="643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3"/>
      <c r="J9" s="646"/>
      <c r="K9" s="192"/>
      <c r="L9" s="215">
        <v>1</v>
      </c>
      <c r="M9" s="217" t="s">
        <v>296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5"/>
      <c r="W9" s="454"/>
      <c r="X9" s="64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3"/>
      <c r="J10" s="646"/>
      <c r="K10" s="192"/>
      <c r="L10" s="215">
        <v>1</v>
      </c>
      <c r="M10" s="217" t="s">
        <v>296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5"/>
      <c r="W10" s="454"/>
      <c r="X10" s="64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4"/>
      <c r="J11" s="647"/>
      <c r="K11" s="193"/>
      <c r="L11" s="220">
        <v>1</v>
      </c>
      <c r="M11" s="318" t="s">
        <v>296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56"/>
      <c r="W11" s="455"/>
      <c r="X11" s="644"/>
      <c r="Y11" s="607" t="s">
        <v>298</v>
      </c>
      <c r="Z11" s="486" t="s">
        <v>299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300</v>
      </c>
      <c r="Z12" s="487">
        <f>G53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D168</f>
        <v>204150</v>
      </c>
      <c r="H13" s="554">
        <f>'Project Plan'!E23+60</f>
        <v>46150</v>
      </c>
      <c r="I13" s="665">
        <f>SUM(G13:G19)</f>
        <v>204150</v>
      </c>
      <c r="J13" s="668">
        <f>F168</f>
        <v>248963.41463414632</v>
      </c>
      <c r="K13" s="201"/>
      <c r="L13" s="197">
        <v>2</v>
      </c>
      <c r="M13" s="319" t="s">
        <v>302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83">
        <f>J13-SUM(U13:U19)</f>
        <v>0</v>
      </c>
      <c r="W13" s="457"/>
      <c r="X13" s="665">
        <f>SUM(Q13:Q19)</f>
        <v>323590</v>
      </c>
      <c r="Y13" s="608" t="s">
        <v>303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6"/>
      <c r="J14" s="669"/>
      <c r="K14" s="205"/>
      <c r="L14" s="202">
        <v>2</v>
      </c>
      <c r="M14" s="325" t="s">
        <v>302</v>
      </c>
      <c r="N14" s="309" t="s">
        <v>304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84"/>
      <c r="W14" s="458">
        <f>T14+30</f>
        <v>46142</v>
      </c>
      <c r="X14" s="666"/>
      <c r="Y14" s="608" t="s">
        <v>305</v>
      </c>
      <c r="Z14" s="487">
        <f>G96</f>
        <v>104920</v>
      </c>
      <c r="AA14" s="637">
        <f>Z14/'Project Plan'!$E$3/1000</f>
        <v>0.24980952380952379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6"/>
      <c r="J15" s="669"/>
      <c r="K15" s="205"/>
      <c r="L15" s="202">
        <v>2</v>
      </c>
      <c r="M15" s="325" t="s">
        <v>302</v>
      </c>
      <c r="N15" s="309" t="s">
        <v>306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84"/>
      <c r="W15" s="458">
        <f>W14</f>
        <v>46142</v>
      </c>
      <c r="X15" s="666"/>
      <c r="Y15" s="608" t="s">
        <v>307</v>
      </c>
      <c r="Z15" s="487">
        <f>G97</f>
        <v>228760</v>
      </c>
      <c r="AA15" s="637">
        <f>Z15/'Project Plan'!$E$3/1000</f>
        <v>0.54466666666666663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6"/>
      <c r="J16" s="669"/>
      <c r="K16" s="205"/>
      <c r="L16" s="202">
        <v>2</v>
      </c>
      <c r="M16" s="325" t="s">
        <v>302</v>
      </c>
      <c r="N16" s="309" t="s">
        <v>308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84"/>
      <c r="W16" s="458">
        <f>T16+30</f>
        <v>46142</v>
      </c>
      <c r="X16" s="666"/>
      <c r="Y16" s="608" t="s">
        <v>309</v>
      </c>
      <c r="Z16" s="487">
        <f>G109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666"/>
      <c r="J17" s="669"/>
      <c r="K17" s="205"/>
      <c r="L17" s="202">
        <v>2</v>
      </c>
      <c r="M17" s="325" t="s">
        <v>302</v>
      </c>
      <c r="N17" s="309" t="s">
        <v>310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84"/>
      <c r="W17" s="458">
        <f>W15</f>
        <v>46142</v>
      </c>
      <c r="X17" s="666"/>
      <c r="Y17" s="608" t="s">
        <v>311</v>
      </c>
      <c r="Z17" s="487">
        <f>G110</f>
        <v>15072.666666666666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666"/>
      <c r="J18" s="669"/>
      <c r="K18" s="205"/>
      <c r="L18" s="202">
        <v>2</v>
      </c>
      <c r="M18" s="325" t="s">
        <v>302</v>
      </c>
      <c r="N18" s="309" t="s">
        <v>312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84"/>
      <c r="W18" s="458">
        <f>T18+30</f>
        <v>46172</v>
      </c>
      <c r="X18" s="666"/>
      <c r="Y18" s="608" t="s">
        <v>313</v>
      </c>
      <c r="Z18" s="487">
        <f>G112</f>
        <v>1644.4444444444443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667"/>
      <c r="J19" s="670"/>
      <c r="K19" s="210"/>
      <c r="L19" s="296">
        <v>2</v>
      </c>
      <c r="M19" s="320" t="s">
        <v>302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85"/>
      <c r="W19" s="459"/>
      <c r="X19" s="667"/>
      <c r="Y19" s="608" t="s">
        <v>327</v>
      </c>
      <c r="Z19" s="487">
        <f>G73+G74+G75+G76+G77</f>
        <v>143073.91304347827</v>
      </c>
      <c r="AA19" s="526"/>
    </row>
    <row r="20" spans="1:32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314</v>
      </c>
      <c r="Z20" s="487">
        <v>0</v>
      </c>
      <c r="AA20" s="526"/>
    </row>
    <row r="21" spans="1:32" ht="14.25" customHeight="1">
      <c r="B21" s="185">
        <v>3</v>
      </c>
      <c r="C21" s="213" t="s">
        <v>315</v>
      </c>
      <c r="D21" s="231" t="s">
        <v>316</v>
      </c>
      <c r="E21" s="187"/>
      <c r="F21" s="336"/>
      <c r="G21" s="188">
        <f>D169</f>
        <v>188856</v>
      </c>
      <c r="H21" s="542">
        <f>'Project Plan'!E34+30</f>
        <v>46120</v>
      </c>
      <c r="I21" s="642">
        <f>SUM(G21:G26)</f>
        <v>188856</v>
      </c>
      <c r="J21" s="645">
        <f>F169</f>
        <v>230312.19512195123</v>
      </c>
      <c r="K21" s="189"/>
      <c r="L21" s="185">
        <v>3</v>
      </c>
      <c r="M21" s="321" t="s">
        <v>317</v>
      </c>
      <c r="N21" s="231" t="s">
        <v>463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4">
        <f>J21-SUM(U21:U26)</f>
        <v>0</v>
      </c>
      <c r="W21" s="460">
        <f>T21+30</f>
        <v>46142</v>
      </c>
      <c r="X21" s="642">
        <f>SUM(Q21:Q26)</f>
        <v>111074</v>
      </c>
      <c r="Y21" s="608" t="s">
        <v>318</v>
      </c>
      <c r="Z21" s="489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43"/>
      <c r="J22" s="646"/>
      <c r="K22" s="192"/>
      <c r="L22" s="215">
        <v>3</v>
      </c>
      <c r="M22" s="322" t="s">
        <v>317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5"/>
      <c r="W22" s="453"/>
      <c r="X22" s="643"/>
      <c r="Y22" s="608" t="s">
        <v>268</v>
      </c>
      <c r="Z22" s="487">
        <f>SUM(Z12:Z21)</f>
        <v>1041628.5502415459</v>
      </c>
    </row>
    <row r="23" spans="1:32" ht="14.25" customHeight="1">
      <c r="B23" s="215">
        <v>3</v>
      </c>
      <c r="C23" s="216"/>
      <c r="D23" s="232"/>
      <c r="E23" s="218"/>
      <c r="F23" s="357"/>
      <c r="G23" s="219"/>
      <c r="H23" s="541"/>
      <c r="I23" s="643"/>
      <c r="J23" s="646"/>
      <c r="K23" s="192"/>
      <c r="L23" s="215">
        <v>3</v>
      </c>
      <c r="M23" s="322" t="s">
        <v>317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5"/>
      <c r="W23" s="453"/>
      <c r="X23" s="643"/>
      <c r="Y23" s="608" t="s">
        <v>319</v>
      </c>
      <c r="Z23" s="490">
        <f>+Z22*0.85</f>
        <v>885384.26770531398</v>
      </c>
    </row>
    <row r="24" spans="1:32" ht="14.25" customHeight="1">
      <c r="B24" s="215">
        <v>3</v>
      </c>
      <c r="C24" s="285"/>
      <c r="D24" s="286"/>
      <c r="E24" s="307"/>
      <c r="F24" s="343"/>
      <c r="G24" s="287"/>
      <c r="H24" s="551"/>
      <c r="I24" s="643"/>
      <c r="J24" s="646"/>
      <c r="K24" s="192"/>
      <c r="L24" s="215">
        <v>3</v>
      </c>
      <c r="M24" s="322" t="s">
        <v>317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5"/>
      <c r="W24" s="454"/>
      <c r="X24" s="643"/>
      <c r="Y24" s="609" t="s">
        <v>320</v>
      </c>
      <c r="Z24" s="489">
        <f>Z23/'Project Plan'!$E$3/1000</f>
        <v>2.1080577802507476</v>
      </c>
    </row>
    <row r="25" spans="1:32" ht="14.25" customHeight="1">
      <c r="B25" s="215">
        <v>3</v>
      </c>
      <c r="C25" s="285"/>
      <c r="D25" s="286"/>
      <c r="E25" s="307"/>
      <c r="F25" s="343"/>
      <c r="G25" s="287"/>
      <c r="H25" s="551"/>
      <c r="I25" s="643"/>
      <c r="J25" s="646"/>
      <c r="K25" s="192"/>
      <c r="L25" s="215">
        <v>3</v>
      </c>
      <c r="M25" s="322" t="s">
        <v>317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5"/>
      <c r="W25" s="454"/>
      <c r="X25" s="643"/>
      <c r="AB25" s="627" t="s">
        <v>466</v>
      </c>
      <c r="AE25" s="627" t="s">
        <v>468</v>
      </c>
    </row>
    <row r="26" spans="1:32" ht="15" customHeight="1" thickBot="1">
      <c r="B26" s="220">
        <v>3</v>
      </c>
      <c r="C26" s="241"/>
      <c r="D26" s="233"/>
      <c r="E26" s="222"/>
      <c r="F26" s="358"/>
      <c r="G26" s="234"/>
      <c r="H26" s="552"/>
      <c r="I26" s="644"/>
      <c r="J26" s="647"/>
      <c r="K26" s="193"/>
      <c r="L26" s="220">
        <v>3</v>
      </c>
      <c r="M26" s="323" t="s">
        <v>317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56"/>
      <c r="W26" s="455"/>
      <c r="X26" s="644"/>
      <c r="Y26" s="610" t="s">
        <v>470</v>
      </c>
      <c r="Z26" s="491" t="s">
        <v>469</v>
      </c>
      <c r="AB26" s="610" t="s">
        <v>465</v>
      </c>
      <c r="AC26" s="491" t="s">
        <v>469</v>
      </c>
      <c r="AE26" s="610" t="s">
        <v>467</v>
      </c>
      <c r="AF26" s="491" t="s">
        <v>469</v>
      </c>
    </row>
    <row r="27" spans="1:32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  <c r="AB27" s="611" t="s">
        <v>300</v>
      </c>
      <c r="AC27" s="492"/>
      <c r="AE27" s="611" t="s">
        <v>300</v>
      </c>
      <c r="AF27" s="492"/>
    </row>
    <row r="28" spans="1:32" ht="14.25" customHeight="1">
      <c r="B28" s="197">
        <v>4</v>
      </c>
      <c r="C28" s="198" t="s">
        <v>303</v>
      </c>
      <c r="D28" s="198" t="s">
        <v>321</v>
      </c>
      <c r="E28" s="268">
        <v>6960</v>
      </c>
      <c r="F28" s="355"/>
      <c r="G28" s="200">
        <v>97440</v>
      </c>
      <c r="H28" s="554">
        <f>'Project Plan'!E36+60</f>
        <v>46150</v>
      </c>
      <c r="I28" s="665">
        <f>SUM(G28:G43)</f>
        <v>223700.8</v>
      </c>
      <c r="J28" s="668">
        <f>F170</f>
        <v>272805.85365853657</v>
      </c>
      <c r="K28" s="201"/>
      <c r="L28" s="197">
        <v>4</v>
      </c>
      <c r="M28" s="324" t="s">
        <v>322</v>
      </c>
      <c r="N28" s="198"/>
      <c r="O28" s="429"/>
      <c r="P28" s="355"/>
      <c r="Q28" s="200">
        <f>O28*P28</f>
        <v>0</v>
      </c>
      <c r="R28" s="473"/>
      <c r="S28" s="504"/>
      <c r="T28" s="415"/>
      <c r="U28" s="401">
        <f t="shared" ref="U28:U42" si="4">(Q28/$X$28*$J$28)</f>
        <v>0</v>
      </c>
      <c r="V28" s="683">
        <f>J28-SUM(U28:U43)</f>
        <v>0</v>
      </c>
      <c r="W28" s="457"/>
      <c r="X28" s="665">
        <f>SUM(Q28:Q43)</f>
        <v>318852.75000000006</v>
      </c>
      <c r="Y28" s="611" t="str">
        <f t="shared" ref="Y28:Y30" si="5">Y13</f>
        <v>DC Equipment</v>
      </c>
      <c r="Z28" s="492">
        <v>187552.75</v>
      </c>
      <c r="AA28" s="637"/>
      <c r="AB28" s="611" t="s">
        <v>303</v>
      </c>
      <c r="AC28" s="492"/>
      <c r="AE28" s="611" t="s">
        <v>303</v>
      </c>
      <c r="AF28" s="492"/>
    </row>
    <row r="29" spans="1:32" ht="14.25" customHeight="1">
      <c r="B29" s="224">
        <v>4</v>
      </c>
      <c r="C29" s="309"/>
      <c r="D29" s="309" t="s">
        <v>323</v>
      </c>
      <c r="E29" s="295"/>
      <c r="F29" s="351"/>
      <c r="G29" s="516">
        <f>D170-G28</f>
        <v>126260.79999999999</v>
      </c>
      <c r="H29" s="545">
        <f>'Project Plan'!G32</f>
        <v>46113</v>
      </c>
      <c r="I29" s="666"/>
      <c r="J29" s="669"/>
      <c r="K29" s="205"/>
      <c r="L29" s="202">
        <v>4</v>
      </c>
      <c r="M29" s="325" t="s">
        <v>322</v>
      </c>
      <c r="N29" s="309" t="s">
        <v>476</v>
      </c>
      <c r="O29" s="430">
        <v>4000</v>
      </c>
      <c r="P29" s="351">
        <v>13</v>
      </c>
      <c r="Q29" s="204">
        <f>O29*P29</f>
        <v>52000</v>
      </c>
      <c r="R29" s="474"/>
      <c r="S29" s="505"/>
      <c r="T29" s="416">
        <v>46112</v>
      </c>
      <c r="U29" s="401">
        <f t="shared" si="4"/>
        <v>44490.456457546308</v>
      </c>
      <c r="V29" s="684"/>
      <c r="W29" s="458">
        <v>46112</v>
      </c>
      <c r="X29" s="666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  <c r="AB29" s="611" t="s">
        <v>305</v>
      </c>
      <c r="AC29" s="492"/>
      <c r="AE29" s="611" t="s">
        <v>305</v>
      </c>
      <c r="AF29" s="492"/>
    </row>
    <row r="30" spans="1:32" ht="14.25" customHeight="1">
      <c r="B30" s="224">
        <v>4</v>
      </c>
      <c r="C30" s="309"/>
      <c r="D30" s="309"/>
      <c r="E30" s="295"/>
      <c r="F30" s="351"/>
      <c r="G30" s="204"/>
      <c r="H30" s="545"/>
      <c r="I30" s="666"/>
      <c r="J30" s="669"/>
      <c r="K30" s="205"/>
      <c r="L30" s="202">
        <v>4</v>
      </c>
      <c r="M30" s="325" t="s">
        <v>322</v>
      </c>
      <c r="N30" s="309" t="s">
        <v>477</v>
      </c>
      <c r="O30" s="430">
        <v>4000</v>
      </c>
      <c r="P30" s="351">
        <v>13</v>
      </c>
      <c r="Q30" s="204">
        <f>O30*P30</f>
        <v>52000</v>
      </c>
      <c r="R30" s="474"/>
      <c r="S30" s="505"/>
      <c r="T30" s="416">
        <v>46112</v>
      </c>
      <c r="U30" s="401">
        <f t="shared" si="4"/>
        <v>44490.456457546308</v>
      </c>
      <c r="V30" s="684"/>
      <c r="W30" s="458">
        <v>46112</v>
      </c>
      <c r="X30" s="666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  <c r="AB30" s="611" t="s">
        <v>307</v>
      </c>
      <c r="AC30" s="492"/>
      <c r="AE30" s="611" t="s">
        <v>307</v>
      </c>
      <c r="AF30" s="492"/>
    </row>
    <row r="31" spans="1:32" ht="14.25" customHeight="1">
      <c r="B31" s="224"/>
      <c r="C31" s="309"/>
      <c r="D31" s="309"/>
      <c r="E31" s="295"/>
      <c r="F31" s="351"/>
      <c r="G31" s="204"/>
      <c r="H31" s="545"/>
      <c r="I31" s="666"/>
      <c r="J31" s="669"/>
      <c r="K31" s="205"/>
      <c r="L31" s="202">
        <v>4</v>
      </c>
      <c r="M31" s="325" t="s">
        <v>322</v>
      </c>
      <c r="N31" s="309" t="s">
        <v>478</v>
      </c>
      <c r="O31" s="430">
        <v>1000</v>
      </c>
      <c r="P31" s="351">
        <v>13.65</v>
      </c>
      <c r="Q31" s="204">
        <f>O31*P31</f>
        <v>13650</v>
      </c>
      <c r="R31" s="474"/>
      <c r="S31" s="505"/>
      <c r="T31" s="416">
        <v>46112</v>
      </c>
      <c r="U31" s="401">
        <f t="shared" si="4"/>
        <v>11678.744820105907</v>
      </c>
      <c r="V31" s="684"/>
      <c r="W31" s="458">
        <v>46112</v>
      </c>
      <c r="X31" s="666"/>
      <c r="Y31" s="611"/>
      <c r="Z31" s="492"/>
      <c r="AA31" s="637"/>
      <c r="AB31" s="611"/>
      <c r="AC31" s="492"/>
      <c r="AE31" s="611"/>
      <c r="AF31" s="492"/>
    </row>
    <row r="32" spans="1:32" ht="14.25" customHeight="1">
      <c r="B32" s="224">
        <v>4</v>
      </c>
      <c r="C32" s="309"/>
      <c r="D32" s="309"/>
      <c r="E32" s="295"/>
      <c r="F32" s="351"/>
      <c r="G32" s="204"/>
      <c r="H32" s="545"/>
      <c r="I32" s="666"/>
      <c r="J32" s="669"/>
      <c r="K32" s="205"/>
      <c r="L32" s="202">
        <v>4</v>
      </c>
      <c r="M32" s="325" t="s">
        <v>322</v>
      </c>
      <c r="N32" s="309" t="s">
        <v>479</v>
      </c>
      <c r="O32" s="438">
        <v>1000</v>
      </c>
      <c r="P32" s="351">
        <v>13.65</v>
      </c>
      <c r="Q32" s="204">
        <f>O32*P32</f>
        <v>13650</v>
      </c>
      <c r="R32" s="474"/>
      <c r="S32" s="505"/>
      <c r="T32" s="416">
        <v>46112</v>
      </c>
      <c r="U32" s="401">
        <f t="shared" si="4"/>
        <v>11678.744820105907</v>
      </c>
      <c r="V32" s="684"/>
      <c r="W32" s="458">
        <v>46112</v>
      </c>
      <c r="X32" s="666"/>
      <c r="Y32" s="611" t="s">
        <v>118</v>
      </c>
      <c r="Z32" s="492">
        <v>4500</v>
      </c>
      <c r="AA32" s="637"/>
      <c r="AB32" s="611" t="s">
        <v>118</v>
      </c>
      <c r="AC32" s="492"/>
      <c r="AE32" s="611" t="s">
        <v>118</v>
      </c>
      <c r="AF32" s="492"/>
    </row>
    <row r="33" spans="1:32" ht="14.25" customHeight="1">
      <c r="B33" s="224">
        <v>4</v>
      </c>
      <c r="C33" s="309"/>
      <c r="D33" s="309"/>
      <c r="E33" s="295"/>
      <c r="F33" s="351"/>
      <c r="G33" s="204"/>
      <c r="H33" s="545"/>
      <c r="I33" s="666"/>
      <c r="J33" s="669"/>
      <c r="K33" s="205"/>
      <c r="L33" s="202">
        <v>4</v>
      </c>
      <c r="M33" s="325" t="s">
        <v>322</v>
      </c>
      <c r="N33" s="309" t="s">
        <v>324</v>
      </c>
      <c r="O33" s="446">
        <f>Z28</f>
        <v>187552.75</v>
      </c>
      <c r="P33" s="447">
        <v>0.1</v>
      </c>
      <c r="Q33" s="204">
        <f>$O$33*P33</f>
        <v>18755.275000000001</v>
      </c>
      <c r="R33" s="686"/>
      <c r="S33" s="505"/>
      <c r="T33" s="416">
        <f>T97</f>
        <v>46112</v>
      </c>
      <c r="U33" s="401">
        <f t="shared" si="4"/>
        <v>16046.745110323211</v>
      </c>
      <c r="V33" s="684"/>
      <c r="W33" s="458">
        <f>W97</f>
        <v>46097</v>
      </c>
      <c r="X33" s="666"/>
      <c r="Y33" s="611" t="s">
        <v>370</v>
      </c>
      <c r="Z33" s="492">
        <v>41250</v>
      </c>
      <c r="AA33" s="637"/>
      <c r="AB33" s="611" t="s">
        <v>370</v>
      </c>
      <c r="AC33" s="492"/>
      <c r="AE33" s="611" t="s">
        <v>370</v>
      </c>
      <c r="AF33" s="492"/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5"/>
      <c r="I34" s="666"/>
      <c r="J34" s="669"/>
      <c r="K34" s="205"/>
      <c r="L34" s="202">
        <v>4</v>
      </c>
      <c r="M34" s="325" t="s">
        <v>322</v>
      </c>
      <c r="N34" s="309" t="s">
        <v>167</v>
      </c>
      <c r="O34" s="438"/>
      <c r="P34" s="447">
        <v>0.15</v>
      </c>
      <c r="Q34" s="204">
        <f t="shared" ref="Q34:Q40" si="6">$O$33*P34</f>
        <v>28132.912499999999</v>
      </c>
      <c r="R34" s="687"/>
      <c r="S34" s="505"/>
      <c r="T34" s="416">
        <f t="shared" ref="T34:T40" si="7">T98</f>
        <v>46112</v>
      </c>
      <c r="U34" s="401">
        <f t="shared" si="4"/>
        <v>24070.11766548481</v>
      </c>
      <c r="V34" s="684"/>
      <c r="W34" s="458">
        <f t="shared" ref="W34:W40" si="8">W98</f>
        <v>46097</v>
      </c>
      <c r="X34" s="666"/>
      <c r="Y34" s="611" t="s">
        <v>325</v>
      </c>
      <c r="Z34" s="492">
        <v>0</v>
      </c>
      <c r="AA34" s="637"/>
      <c r="AB34" s="611" t="s">
        <v>325</v>
      </c>
      <c r="AC34" s="492"/>
      <c r="AE34" s="611" t="s">
        <v>325</v>
      </c>
      <c r="AF34" s="492"/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5"/>
      <c r="I35" s="666"/>
      <c r="J35" s="669"/>
      <c r="K35" s="205"/>
      <c r="L35" s="202">
        <v>4</v>
      </c>
      <c r="M35" s="325" t="s">
        <v>322</v>
      </c>
      <c r="N35" s="309" t="s">
        <v>326</v>
      </c>
      <c r="O35" s="438"/>
      <c r="P35" s="447">
        <v>0.2</v>
      </c>
      <c r="Q35" s="204">
        <f t="shared" si="6"/>
        <v>37510.550000000003</v>
      </c>
      <c r="R35" s="687"/>
      <c r="S35" s="505"/>
      <c r="T35" s="416">
        <f t="shared" si="7"/>
        <v>46142</v>
      </c>
      <c r="U35" s="401">
        <f t="shared" si="4"/>
        <v>32093.490220646421</v>
      </c>
      <c r="V35" s="684"/>
      <c r="W35" s="458">
        <f t="shared" si="8"/>
        <v>46141</v>
      </c>
      <c r="X35" s="666"/>
      <c r="Y35" s="611" t="s">
        <v>327</v>
      </c>
      <c r="Z35" s="492">
        <v>0</v>
      </c>
      <c r="AA35" s="637"/>
      <c r="AB35" s="611" t="s">
        <v>327</v>
      </c>
      <c r="AC35" s="492"/>
      <c r="AE35" s="611" t="s">
        <v>327</v>
      </c>
      <c r="AF35" s="492"/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5"/>
      <c r="I36" s="666"/>
      <c r="J36" s="669"/>
      <c r="K36" s="205"/>
      <c r="L36" s="202">
        <v>4</v>
      </c>
      <c r="M36" s="325" t="s">
        <v>322</v>
      </c>
      <c r="N36" s="309" t="s">
        <v>328</v>
      </c>
      <c r="O36" s="438"/>
      <c r="P36" s="447">
        <v>0.25</v>
      </c>
      <c r="Q36" s="204">
        <f t="shared" si="6"/>
        <v>46888.1875</v>
      </c>
      <c r="R36" s="687"/>
      <c r="S36" s="505"/>
      <c r="T36" s="416">
        <f t="shared" si="7"/>
        <v>46142</v>
      </c>
      <c r="U36" s="401">
        <f t="shared" si="4"/>
        <v>40116.862775808018</v>
      </c>
      <c r="V36" s="684"/>
      <c r="W36" s="458">
        <f t="shared" si="8"/>
        <v>46120</v>
      </c>
      <c r="X36" s="666"/>
      <c r="Y36" s="611" t="s">
        <v>314</v>
      </c>
      <c r="Z36" s="492">
        <v>0</v>
      </c>
      <c r="AB36" s="611" t="s">
        <v>314</v>
      </c>
      <c r="AC36" s="492"/>
      <c r="AE36" s="611" t="s">
        <v>314</v>
      </c>
      <c r="AF36" s="492"/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5"/>
      <c r="I37" s="666"/>
      <c r="J37" s="669"/>
      <c r="K37" s="205"/>
      <c r="L37" s="202">
        <v>4</v>
      </c>
      <c r="M37" s="325" t="s">
        <v>322</v>
      </c>
      <c r="N37" s="309" t="s">
        <v>329</v>
      </c>
      <c r="O37" s="438"/>
      <c r="P37" s="447">
        <v>0.1</v>
      </c>
      <c r="Q37" s="204">
        <f t="shared" si="6"/>
        <v>18755.275000000001</v>
      </c>
      <c r="R37" s="687"/>
      <c r="S37" s="505"/>
      <c r="T37" s="416">
        <f t="shared" si="7"/>
        <v>46173</v>
      </c>
      <c r="U37" s="401">
        <f t="shared" si="4"/>
        <v>16046.745110323211</v>
      </c>
      <c r="V37" s="684"/>
      <c r="W37" s="458">
        <f t="shared" si="8"/>
        <v>46160</v>
      </c>
      <c r="X37" s="666"/>
      <c r="Y37" s="611" t="s">
        <v>318</v>
      </c>
      <c r="Z37" s="492">
        <v>0</v>
      </c>
      <c r="AB37" s="611" t="s">
        <v>318</v>
      </c>
      <c r="AC37" s="492"/>
      <c r="AE37" s="611" t="s">
        <v>318</v>
      </c>
      <c r="AF37" s="492"/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5"/>
      <c r="I38" s="666"/>
      <c r="J38" s="669"/>
      <c r="K38" s="205"/>
      <c r="L38" s="202">
        <v>4</v>
      </c>
      <c r="M38" s="325" t="s">
        <v>322</v>
      </c>
      <c r="N38" s="309" t="s">
        <v>330</v>
      </c>
      <c r="O38" s="438"/>
      <c r="P38" s="447">
        <v>0.1</v>
      </c>
      <c r="Q38" s="204">
        <f t="shared" si="6"/>
        <v>18755.275000000001</v>
      </c>
      <c r="R38" s="687"/>
      <c r="S38" s="505"/>
      <c r="T38" s="416">
        <f t="shared" si="7"/>
        <v>46173</v>
      </c>
      <c r="U38" s="401">
        <f t="shared" si="4"/>
        <v>16046.745110323211</v>
      </c>
      <c r="V38" s="684"/>
      <c r="W38" s="458">
        <f t="shared" si="8"/>
        <v>46161</v>
      </c>
      <c r="X38" s="666"/>
      <c r="Y38" s="611" t="s">
        <v>318</v>
      </c>
      <c r="Z38" s="493">
        <v>0</v>
      </c>
      <c r="AB38" s="611" t="s">
        <v>318</v>
      </c>
      <c r="AC38" s="493"/>
      <c r="AE38" s="611" t="s">
        <v>318</v>
      </c>
      <c r="AF38" s="493"/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5"/>
      <c r="I39" s="666"/>
      <c r="J39" s="669"/>
      <c r="K39" s="205"/>
      <c r="L39" s="202">
        <v>4</v>
      </c>
      <c r="M39" s="325" t="s">
        <v>322</v>
      </c>
      <c r="N39" s="309" t="s">
        <v>331</v>
      </c>
      <c r="O39" s="438"/>
      <c r="P39" s="447">
        <v>0.05</v>
      </c>
      <c r="Q39" s="204">
        <f t="shared" si="6"/>
        <v>9377.6375000000007</v>
      </c>
      <c r="R39" s="687"/>
      <c r="S39" s="505"/>
      <c r="T39" s="416">
        <f t="shared" si="7"/>
        <v>46173</v>
      </c>
      <c r="U39" s="401">
        <f t="shared" si="4"/>
        <v>8023.3725551616053</v>
      </c>
      <c r="V39" s="684"/>
      <c r="W39" s="458">
        <f t="shared" si="8"/>
        <v>46161</v>
      </c>
      <c r="X39" s="666"/>
      <c r="Y39" s="611" t="s">
        <v>268</v>
      </c>
      <c r="Z39" s="492">
        <f>SUM(Z27:Z38)</f>
        <v>925406.55</v>
      </c>
      <c r="AA39" s="637"/>
      <c r="AB39" s="611" t="s">
        <v>268</v>
      </c>
      <c r="AC39" s="492">
        <f>SUM(AC27:AC38)</f>
        <v>0</v>
      </c>
      <c r="AE39" s="611" t="s">
        <v>268</v>
      </c>
      <c r="AF39" s="492">
        <f>SUM(AF27:AF38)</f>
        <v>0</v>
      </c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5"/>
      <c r="I40" s="666"/>
      <c r="J40" s="669"/>
      <c r="K40" s="205"/>
      <c r="L40" s="202">
        <v>4</v>
      </c>
      <c r="M40" s="325" t="s">
        <v>322</v>
      </c>
      <c r="N40" s="309" t="s">
        <v>332</v>
      </c>
      <c r="O40" s="438"/>
      <c r="P40" s="447">
        <v>0.05</v>
      </c>
      <c r="Q40" s="204">
        <f t="shared" si="6"/>
        <v>9377.6375000000007</v>
      </c>
      <c r="R40" s="688"/>
      <c r="S40" s="505"/>
      <c r="T40" s="416">
        <f t="shared" si="7"/>
        <v>46203</v>
      </c>
      <c r="U40" s="401">
        <f t="shared" si="4"/>
        <v>8023.3725551616053</v>
      </c>
      <c r="V40" s="684"/>
      <c r="W40" s="458">
        <f t="shared" si="8"/>
        <v>46184</v>
      </c>
      <c r="X40" s="666"/>
      <c r="Y40" s="612" t="s">
        <v>320</v>
      </c>
      <c r="Z40" s="493">
        <f>Z39/'Project Plan'!$E$3/1000</f>
        <v>2.2033489285714287</v>
      </c>
      <c r="AA40" s="638"/>
      <c r="AB40" s="612" t="s">
        <v>320</v>
      </c>
      <c r="AC40" s="493">
        <f>AC39/'Project Plan'!$E$3/1000</f>
        <v>0</v>
      </c>
      <c r="AE40" s="612" t="s">
        <v>320</v>
      </c>
      <c r="AF40" s="493">
        <f>AF39/'Project Plan'!$E$3/1000</f>
        <v>0</v>
      </c>
    </row>
    <row r="41" spans="1:32" ht="14.25" customHeight="1" thickBot="1">
      <c r="B41" s="224">
        <v>4</v>
      </c>
      <c r="C41" s="309"/>
      <c r="D41" s="309"/>
      <c r="E41" s="295"/>
      <c r="F41" s="351"/>
      <c r="G41" s="204"/>
      <c r="H41" s="545"/>
      <c r="I41" s="666"/>
      <c r="J41" s="669"/>
      <c r="K41" s="205"/>
      <c r="L41" s="202">
        <v>4</v>
      </c>
      <c r="M41" s="325" t="s">
        <v>322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84"/>
      <c r="W41" s="458"/>
      <c r="X41" s="666"/>
    </row>
    <row r="42" spans="1:32" ht="14.25" customHeight="1" thickBot="1">
      <c r="B42" s="224">
        <v>4</v>
      </c>
      <c r="C42" s="309"/>
      <c r="D42" s="309"/>
      <c r="E42" s="295"/>
      <c r="F42" s="351"/>
      <c r="G42" s="204"/>
      <c r="H42" s="545"/>
      <c r="I42" s="666"/>
      <c r="J42" s="669"/>
      <c r="K42" s="205"/>
      <c r="L42" s="202">
        <v>4</v>
      </c>
      <c r="M42" s="325" t="s">
        <v>322</v>
      </c>
      <c r="N42" s="309"/>
      <c r="O42" s="438"/>
      <c r="P42" s="351"/>
      <c r="Q42" s="204"/>
      <c r="R42" s="474"/>
      <c r="S42" s="505"/>
      <c r="T42" s="416" t="str">
        <f t="shared" si="1"/>
        <v/>
      </c>
      <c r="U42" s="401">
        <f t="shared" si="4"/>
        <v>0</v>
      </c>
      <c r="V42" s="684"/>
      <c r="W42" s="458"/>
      <c r="X42" s="666"/>
      <c r="Y42" s="689" t="s">
        <v>471</v>
      </c>
      <c r="Z42" s="690"/>
      <c r="AA42" s="690"/>
      <c r="AB42" s="690"/>
      <c r="AC42" s="690"/>
      <c r="AD42" s="690"/>
      <c r="AE42" s="690"/>
      <c r="AF42" s="691"/>
    </row>
    <row r="43" spans="1:32" ht="15" customHeight="1" thickBot="1">
      <c r="B43" s="206">
        <v>4</v>
      </c>
      <c r="C43" s="229"/>
      <c r="D43" s="229"/>
      <c r="E43" s="298"/>
      <c r="F43" s="353"/>
      <c r="G43" s="209"/>
      <c r="H43" s="555"/>
      <c r="I43" s="667"/>
      <c r="J43" s="670"/>
      <c r="K43" s="210"/>
      <c r="L43" s="206">
        <v>4</v>
      </c>
      <c r="M43" s="326" t="s">
        <v>322</v>
      </c>
      <c r="N43" s="229"/>
      <c r="O43" s="439"/>
      <c r="P43" s="353"/>
      <c r="Q43" s="209"/>
      <c r="R43" s="475"/>
      <c r="S43" s="506"/>
      <c r="T43" s="417" t="str">
        <f t="shared" si="1"/>
        <v/>
      </c>
      <c r="U43" s="402">
        <f>(Q43/$X$28*$J$28)</f>
        <v>0</v>
      </c>
      <c r="V43" s="685"/>
      <c r="W43" s="459"/>
      <c r="X43" s="667"/>
    </row>
    <row r="44" spans="1:32" ht="14.4" thickBot="1">
      <c r="A44" s="4"/>
      <c r="B44" s="180"/>
      <c r="C44" s="181"/>
      <c r="D44" s="212"/>
      <c r="E44" s="195"/>
      <c r="F44" s="354"/>
      <c r="G44" s="196"/>
      <c r="H44" s="556"/>
      <c r="I44" s="547"/>
      <c r="J44" s="184"/>
      <c r="K44" s="4"/>
      <c r="L44" s="180"/>
      <c r="M44" s="181"/>
      <c r="N44" s="212"/>
      <c r="O44" s="436"/>
      <c r="P44" s="354"/>
      <c r="Q44" s="196"/>
      <c r="R44" s="477"/>
      <c r="S44" s="508"/>
      <c r="T44" s="414" t="str">
        <f t="shared" si="1"/>
        <v/>
      </c>
      <c r="U44" s="405"/>
      <c r="V44" s="388"/>
      <c r="W44" s="456"/>
      <c r="X44" s="547"/>
      <c r="Y44" s="610" t="s">
        <v>470</v>
      </c>
      <c r="Z44" s="491" t="s">
        <v>469</v>
      </c>
    </row>
    <row r="45" spans="1:32" ht="14.25" customHeight="1">
      <c r="B45" s="185">
        <v>5</v>
      </c>
      <c r="C45" s="213" t="s">
        <v>333</v>
      </c>
      <c r="D45" s="231" t="s">
        <v>334</v>
      </c>
      <c r="E45" s="187"/>
      <c r="F45" s="336"/>
      <c r="G45" s="188">
        <v>26000</v>
      </c>
      <c r="H45" s="542">
        <f>H53</f>
        <v>46143</v>
      </c>
      <c r="I45" s="642">
        <f>D172</f>
        <v>174000</v>
      </c>
      <c r="J45" s="645">
        <f>F172</f>
        <v>212195.12195121951</v>
      </c>
      <c r="K45" s="189"/>
      <c r="L45" s="185">
        <v>5</v>
      </c>
      <c r="M45" s="321" t="s">
        <v>335</v>
      </c>
      <c r="N45" s="231"/>
      <c r="O45" s="432"/>
      <c r="P45" s="336"/>
      <c r="Q45" s="188"/>
      <c r="R45" s="476"/>
      <c r="S45" s="507"/>
      <c r="T45" s="411"/>
      <c r="U45" s="396">
        <f>(Q45/$X$45*$J$45)</f>
        <v>0</v>
      </c>
      <c r="V45" s="654">
        <f>J45-SUM(U45:U51)</f>
        <v>0</v>
      </c>
      <c r="W45" s="460"/>
      <c r="X45" s="642">
        <f>SUM(Q45:Q51)</f>
        <v>168000</v>
      </c>
      <c r="Y45" s="611" t="s">
        <v>300</v>
      </c>
      <c r="Z45" s="492">
        <v>154933.79999999999</v>
      </c>
    </row>
    <row r="46" spans="1:32" ht="14.25" customHeight="1">
      <c r="B46" s="190">
        <v>5</v>
      </c>
      <c r="C46" s="214"/>
      <c r="D46" s="217" t="s">
        <v>113</v>
      </c>
      <c r="E46" s="349"/>
      <c r="F46" s="350"/>
      <c r="G46" s="219">
        <v>8000</v>
      </c>
      <c r="H46" s="541">
        <f>H45</f>
        <v>46143</v>
      </c>
      <c r="I46" s="643"/>
      <c r="J46" s="646"/>
      <c r="K46" s="192"/>
      <c r="L46" s="190">
        <v>5</v>
      </c>
      <c r="M46" s="327" t="s">
        <v>335</v>
      </c>
      <c r="N46" s="191" t="s">
        <v>464</v>
      </c>
      <c r="O46" s="440"/>
      <c r="P46" s="350"/>
      <c r="Q46" s="219">
        <v>55000</v>
      </c>
      <c r="R46" s="517"/>
      <c r="S46" s="500"/>
      <c r="T46" s="411">
        <f>$T$6</f>
        <v>46112</v>
      </c>
      <c r="U46" s="396">
        <f t="shared" ref="U46:U51" si="9">(Q46/$X$45*$J$45)</f>
        <v>69468.641114982573</v>
      </c>
      <c r="V46" s="655"/>
      <c r="W46" s="453">
        <v>46142</v>
      </c>
      <c r="X46" s="643"/>
      <c r="Y46" s="611" t="s">
        <v>303</v>
      </c>
      <c r="Z46" s="492">
        <v>171052.75</v>
      </c>
    </row>
    <row r="47" spans="1:32" ht="14.25" customHeight="1">
      <c r="B47" s="190">
        <v>5</v>
      </c>
      <c r="C47" s="214"/>
      <c r="D47" s="288" t="s">
        <v>336</v>
      </c>
      <c r="E47" s="218"/>
      <c r="F47" s="357"/>
      <c r="G47" s="219">
        <v>15000</v>
      </c>
      <c r="H47" s="541">
        <f>H46</f>
        <v>46143</v>
      </c>
      <c r="I47" s="643"/>
      <c r="J47" s="646"/>
      <c r="K47" s="192"/>
      <c r="L47" s="190">
        <v>5</v>
      </c>
      <c r="M47" s="327" t="s">
        <v>335</v>
      </c>
      <c r="N47" s="217" t="s">
        <v>336</v>
      </c>
      <c r="O47" s="433"/>
      <c r="P47" s="357"/>
      <c r="Q47" s="219">
        <v>15000</v>
      </c>
      <c r="R47" s="469"/>
      <c r="S47" s="500"/>
      <c r="T47" s="411">
        <f>$T$6</f>
        <v>46112</v>
      </c>
      <c r="U47" s="396">
        <f t="shared" si="9"/>
        <v>18945.993031358885</v>
      </c>
      <c r="V47" s="655"/>
      <c r="W47" s="453">
        <f>W46</f>
        <v>46142</v>
      </c>
      <c r="X47" s="643"/>
      <c r="Y47" s="611" t="s">
        <v>305</v>
      </c>
      <c r="Z47" s="492">
        <v>176800</v>
      </c>
      <c r="AA47" s="637">
        <f>Z47/'Project Plan'!$E$3/1000</f>
        <v>0.42095238095238097</v>
      </c>
    </row>
    <row r="48" spans="1:32" ht="14.25" customHeight="1">
      <c r="B48" s="215">
        <v>5</v>
      </c>
      <c r="C48" s="216"/>
      <c r="D48" s="217" t="s">
        <v>337</v>
      </c>
      <c r="E48" s="218"/>
      <c r="F48" s="357"/>
      <c r="G48" s="219">
        <v>125000</v>
      </c>
      <c r="H48" s="541">
        <f>H47</f>
        <v>46143</v>
      </c>
      <c r="I48" s="643"/>
      <c r="J48" s="646"/>
      <c r="K48" s="192"/>
      <c r="L48" s="215">
        <v>5</v>
      </c>
      <c r="M48" s="327" t="s">
        <v>335</v>
      </c>
      <c r="N48" s="639" t="s">
        <v>472</v>
      </c>
      <c r="O48" s="433"/>
      <c r="P48" s="357"/>
      <c r="Q48" s="640">
        <v>98000</v>
      </c>
      <c r="R48" s="469"/>
      <c r="S48" s="500"/>
      <c r="T48" s="411">
        <v>46173</v>
      </c>
      <c r="U48" s="396">
        <f t="shared" si="9"/>
        <v>123780.48780487805</v>
      </c>
      <c r="V48" s="655"/>
      <c r="W48" s="453">
        <f>T48+30</f>
        <v>46203</v>
      </c>
      <c r="X48" s="643"/>
      <c r="Y48" s="611" t="s">
        <v>307</v>
      </c>
      <c r="Z48" s="492">
        <v>352400</v>
      </c>
      <c r="AA48" s="637">
        <f>Z48/'Project Plan'!$E$3/1000</f>
        <v>0.83904761904761904</v>
      </c>
    </row>
    <row r="49" spans="1:28" ht="14.25" customHeight="1">
      <c r="B49" s="284">
        <v>5</v>
      </c>
      <c r="C49" s="285"/>
      <c r="D49" s="288"/>
      <c r="E49" s="307"/>
      <c r="F49" s="343"/>
      <c r="G49" s="287"/>
      <c r="H49" s="551"/>
      <c r="I49" s="643"/>
      <c r="J49" s="646"/>
      <c r="K49" s="192"/>
      <c r="L49" s="215">
        <v>5</v>
      </c>
      <c r="M49" s="327" t="s">
        <v>335</v>
      </c>
      <c r="N49" s="288"/>
      <c r="O49" s="434"/>
      <c r="P49" s="343"/>
      <c r="Q49" s="287"/>
      <c r="R49" s="470"/>
      <c r="S49" s="501"/>
      <c r="T49" s="411"/>
      <c r="U49" s="396">
        <f t="shared" si="9"/>
        <v>0</v>
      </c>
      <c r="V49" s="655"/>
      <c r="W49" s="453"/>
      <c r="X49" s="643"/>
      <c r="Y49" s="611" t="s">
        <v>118</v>
      </c>
      <c r="Z49" s="492">
        <v>4500</v>
      </c>
    </row>
    <row r="50" spans="1:28" ht="14.25" customHeight="1">
      <c r="B50" s="284">
        <v>5</v>
      </c>
      <c r="C50" s="285"/>
      <c r="D50" s="288"/>
      <c r="E50" s="307"/>
      <c r="F50" s="343"/>
      <c r="G50" s="287"/>
      <c r="H50" s="551"/>
      <c r="I50" s="643"/>
      <c r="J50" s="646"/>
      <c r="K50" s="192"/>
      <c r="L50" s="215">
        <v>5</v>
      </c>
      <c r="M50" s="327" t="s">
        <v>335</v>
      </c>
      <c r="N50" s="288"/>
      <c r="O50" s="434"/>
      <c r="P50" s="343"/>
      <c r="Q50" s="287"/>
      <c r="R50" s="470"/>
      <c r="S50" s="501"/>
      <c r="T50" s="412" t="str">
        <f t="shared" si="1"/>
        <v/>
      </c>
      <c r="U50" s="397">
        <f t="shared" si="9"/>
        <v>0</v>
      </c>
      <c r="V50" s="655"/>
      <c r="W50" s="454"/>
      <c r="X50" s="643"/>
      <c r="Y50" s="611" t="s">
        <v>370</v>
      </c>
      <c r="Z50" s="492">
        <v>32450</v>
      </c>
    </row>
    <row r="51" spans="1:28" ht="15" customHeight="1" thickBot="1">
      <c r="B51" s="220">
        <v>5</v>
      </c>
      <c r="C51" s="241"/>
      <c r="D51" s="221"/>
      <c r="E51" s="222"/>
      <c r="F51" s="358"/>
      <c r="G51" s="234"/>
      <c r="H51" s="552"/>
      <c r="I51" s="644"/>
      <c r="J51" s="647"/>
      <c r="K51" s="193"/>
      <c r="L51" s="220">
        <v>5</v>
      </c>
      <c r="M51" s="323" t="s">
        <v>335</v>
      </c>
      <c r="N51" s="221"/>
      <c r="O51" s="435"/>
      <c r="P51" s="358"/>
      <c r="Q51" s="234"/>
      <c r="R51" s="471"/>
      <c r="S51" s="502"/>
      <c r="T51" s="413" t="str">
        <f t="shared" si="1"/>
        <v/>
      </c>
      <c r="U51" s="398">
        <f t="shared" si="9"/>
        <v>0</v>
      </c>
      <c r="V51" s="656"/>
      <c r="W51" s="455"/>
      <c r="X51" s="644"/>
      <c r="Y51" s="611" t="s">
        <v>325</v>
      </c>
      <c r="Z51" s="492">
        <v>0</v>
      </c>
    </row>
    <row r="52" spans="1:28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2"/>
      <c r="S52" s="503"/>
      <c r="T52" s="414" t="str">
        <f t="shared" si="1"/>
        <v/>
      </c>
      <c r="U52" s="403"/>
      <c r="V52" s="385"/>
      <c r="W52" s="456"/>
      <c r="X52" s="548"/>
      <c r="Y52" s="611" t="s">
        <v>327</v>
      </c>
      <c r="Z52" s="492">
        <v>0</v>
      </c>
    </row>
    <row r="53" spans="1:28" ht="14.25" customHeight="1">
      <c r="B53" s="197">
        <v>6</v>
      </c>
      <c r="C53" s="198" t="s">
        <v>300</v>
      </c>
      <c r="D53" s="199" t="s">
        <v>338</v>
      </c>
      <c r="E53" s="373"/>
      <c r="F53" s="355"/>
      <c r="G53" s="200">
        <f>D171</f>
        <v>413396.72608695651</v>
      </c>
      <c r="H53" s="554">
        <f>'Project Plan'!G25+30</f>
        <v>46143</v>
      </c>
      <c r="I53" s="665">
        <f>SUM(G53:G69)</f>
        <v>413396.72608695651</v>
      </c>
      <c r="J53" s="668">
        <f>F171</f>
        <v>504142.3488865323</v>
      </c>
      <c r="K53" s="201"/>
      <c r="L53" s="197">
        <v>6</v>
      </c>
      <c r="M53" s="330" t="s">
        <v>339</v>
      </c>
      <c r="N53" s="199"/>
      <c r="O53" s="428"/>
      <c r="P53" s="355"/>
      <c r="Q53" s="200"/>
      <c r="R53" s="473"/>
      <c r="S53" s="504"/>
      <c r="T53" s="415" t="str">
        <f t="shared" si="1"/>
        <v/>
      </c>
      <c r="U53" s="400">
        <f t="shared" ref="U53:U68" si="10">(Q53/$X$53*$J$53)</f>
        <v>0</v>
      </c>
      <c r="V53" s="683">
        <f>J53-SUM(U53:U69)</f>
        <v>0</v>
      </c>
      <c r="W53" s="457"/>
      <c r="X53" s="665">
        <f>SUM(Q53:Q69)</f>
        <v>331844.57000000007</v>
      </c>
      <c r="Y53" s="611" t="s">
        <v>314</v>
      </c>
      <c r="Z53" s="492">
        <v>0</v>
      </c>
    </row>
    <row r="54" spans="1:28" ht="14.25" customHeight="1">
      <c r="B54" s="202">
        <v>6</v>
      </c>
      <c r="C54" s="309"/>
      <c r="D54" s="342"/>
      <c r="E54" s="295"/>
      <c r="F54" s="351"/>
      <c r="G54" s="225"/>
      <c r="H54" s="545"/>
      <c r="I54" s="666"/>
      <c r="J54" s="669"/>
      <c r="K54" s="205"/>
      <c r="L54" s="202">
        <v>6</v>
      </c>
      <c r="M54" s="328" t="s">
        <v>339</v>
      </c>
      <c r="N54" s="342" t="s">
        <v>110</v>
      </c>
      <c r="O54" s="438"/>
      <c r="P54" s="351"/>
      <c r="Q54" s="225">
        <f>103032.52+24740.65+16986.65+10238.75</f>
        <v>154998.57</v>
      </c>
      <c r="R54" s="686" t="s">
        <v>474</v>
      </c>
      <c r="S54" s="505"/>
      <c r="T54" s="416">
        <f>T6</f>
        <v>46112</v>
      </c>
      <c r="U54" s="401">
        <f t="shared" si="10"/>
        <v>235475.73237028887</v>
      </c>
      <c r="V54" s="684"/>
      <c r="W54" s="458">
        <f>T54+30</f>
        <v>46142</v>
      </c>
      <c r="X54" s="666"/>
      <c r="Y54" s="611" t="s">
        <v>318</v>
      </c>
      <c r="Z54" s="492">
        <v>0</v>
      </c>
    </row>
    <row r="55" spans="1:28" ht="14.25" customHeight="1">
      <c r="B55" s="202">
        <v>6</v>
      </c>
      <c r="C55" s="309"/>
      <c r="D55" s="342"/>
      <c r="E55" s="295"/>
      <c r="F55" s="351"/>
      <c r="G55" s="225"/>
      <c r="H55" s="545"/>
      <c r="I55" s="666"/>
      <c r="J55" s="669"/>
      <c r="K55" s="205"/>
      <c r="L55" s="202">
        <v>6</v>
      </c>
      <c r="M55" s="328" t="s">
        <v>339</v>
      </c>
      <c r="N55" s="342"/>
      <c r="O55" s="438"/>
      <c r="P55" s="351"/>
      <c r="Q55" s="225"/>
      <c r="R55" s="687"/>
      <c r="S55" s="505"/>
      <c r="T55" s="416" t="str">
        <f t="shared" si="1"/>
        <v/>
      </c>
      <c r="U55" s="401">
        <f>(Q55/$X$53*$J$53)</f>
        <v>0</v>
      </c>
      <c r="V55" s="684"/>
      <c r="W55" s="458"/>
      <c r="X55" s="666"/>
      <c r="Y55" s="611" t="s">
        <v>318</v>
      </c>
      <c r="Z55" s="493">
        <v>0</v>
      </c>
    </row>
    <row r="56" spans="1:28" ht="14.25" customHeight="1">
      <c r="B56" s="202">
        <v>6</v>
      </c>
      <c r="C56" s="309"/>
      <c r="D56" s="342"/>
      <c r="E56" s="295"/>
      <c r="F56" s="351"/>
      <c r="G56" s="225"/>
      <c r="H56" s="545"/>
      <c r="I56" s="666"/>
      <c r="J56" s="669"/>
      <c r="K56" s="205"/>
      <c r="L56" s="202">
        <v>6</v>
      </c>
      <c r="M56" s="328" t="s">
        <v>339</v>
      </c>
      <c r="N56" s="342" t="s">
        <v>462</v>
      </c>
      <c r="O56" s="438"/>
      <c r="P56" s="351"/>
      <c r="Q56" s="225">
        <f>14233.68+4708.52</f>
        <v>18942.2</v>
      </c>
      <c r="R56" s="688"/>
      <c r="S56" s="505"/>
      <c r="T56" s="416">
        <f>T54</f>
        <v>46112</v>
      </c>
      <c r="U56" s="401">
        <f>(Q56/$X$53*$J$53)</f>
        <v>28777.223026667187</v>
      </c>
      <c r="V56" s="684"/>
      <c r="W56" s="458">
        <f>W54</f>
        <v>46142</v>
      </c>
      <c r="X56" s="666"/>
      <c r="Y56" s="611" t="s">
        <v>268</v>
      </c>
      <c r="Z56" s="492">
        <f>SUM(Z45:Z55)</f>
        <v>892136.55</v>
      </c>
    </row>
    <row r="57" spans="1:28" ht="14.25" customHeight="1">
      <c r="B57" s="202">
        <v>6</v>
      </c>
      <c r="C57" s="309"/>
      <c r="D57" s="342"/>
      <c r="E57" s="295"/>
      <c r="F57" s="351"/>
      <c r="G57" s="225"/>
      <c r="H57" s="545"/>
      <c r="I57" s="666"/>
      <c r="J57" s="669"/>
      <c r="K57" s="205"/>
      <c r="L57" s="202">
        <v>6</v>
      </c>
      <c r="M57" s="328" t="s">
        <v>339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0"/>
        <v>0</v>
      </c>
      <c r="V57" s="684"/>
      <c r="W57" s="458"/>
      <c r="X57" s="666"/>
      <c r="Y57" s="612" t="s">
        <v>320</v>
      </c>
      <c r="Z57" s="493">
        <f>Z56/'Project Plan'!$E$3/1000</f>
        <v>2.1241346428571428</v>
      </c>
      <c r="AA57" s="641">
        <f>2.11*'Project Plan'!E3*1000</f>
        <v>886199.99999999988</v>
      </c>
      <c r="AB57" s="26" t="s">
        <v>473</v>
      </c>
    </row>
    <row r="58" spans="1:28" ht="14.25" customHeight="1">
      <c r="B58" s="202">
        <v>6</v>
      </c>
      <c r="C58" s="309"/>
      <c r="D58" s="342"/>
      <c r="E58" s="295"/>
      <c r="F58" s="351"/>
      <c r="G58" s="225"/>
      <c r="H58" s="545"/>
      <c r="I58" s="666"/>
      <c r="J58" s="669"/>
      <c r="K58" s="205"/>
      <c r="L58" s="202">
        <v>6</v>
      </c>
      <c r="M58" s="328" t="s">
        <v>339</v>
      </c>
      <c r="N58" s="342"/>
      <c r="O58" s="438"/>
      <c r="P58" s="351"/>
      <c r="Q58" s="225"/>
      <c r="R58" s="474"/>
      <c r="S58" s="505"/>
      <c r="T58" s="416" t="str">
        <f t="shared" si="1"/>
        <v/>
      </c>
      <c r="U58" s="401">
        <f t="shared" si="10"/>
        <v>0</v>
      </c>
      <c r="V58" s="684"/>
      <c r="W58" s="458"/>
      <c r="X58" s="666"/>
    </row>
    <row r="59" spans="1:28" ht="14.25" customHeight="1">
      <c r="B59" s="202">
        <v>6</v>
      </c>
      <c r="C59" s="348"/>
      <c r="D59" s="203"/>
      <c r="E59" s="300"/>
      <c r="F59" s="352"/>
      <c r="G59" s="225"/>
      <c r="H59" s="545"/>
      <c r="I59" s="666"/>
      <c r="J59" s="669"/>
      <c r="K59" s="205"/>
      <c r="L59" s="202">
        <v>6</v>
      </c>
      <c r="M59" s="328" t="s">
        <v>339</v>
      </c>
      <c r="N59" s="309" t="s">
        <v>324</v>
      </c>
      <c r="O59" s="446">
        <f>Z27</f>
        <v>157903.79999999999</v>
      </c>
      <c r="P59" s="447">
        <v>0.1</v>
      </c>
      <c r="Q59" s="204">
        <f>$O$59*P59</f>
        <v>15790.38</v>
      </c>
      <c r="R59" s="686"/>
      <c r="S59" s="505"/>
      <c r="T59" s="419">
        <f>T97</f>
        <v>46112</v>
      </c>
      <c r="U59" s="401">
        <f t="shared" si="10"/>
        <v>23988.939348957618</v>
      </c>
      <c r="V59" s="684"/>
      <c r="W59" s="458">
        <f>W97</f>
        <v>46097</v>
      </c>
      <c r="X59" s="666"/>
    </row>
    <row r="60" spans="1:28" ht="14.25" customHeight="1">
      <c r="B60" s="202">
        <v>6</v>
      </c>
      <c r="C60" s="301"/>
      <c r="D60" s="203"/>
      <c r="E60" s="300"/>
      <c r="F60" s="352"/>
      <c r="G60" s="225"/>
      <c r="H60" s="545"/>
      <c r="I60" s="666"/>
      <c r="J60" s="669"/>
      <c r="K60" s="205"/>
      <c r="L60" s="202">
        <v>6</v>
      </c>
      <c r="M60" s="329" t="s">
        <v>339</v>
      </c>
      <c r="N60" s="309" t="s">
        <v>167</v>
      </c>
      <c r="O60" s="438"/>
      <c r="P60" s="447">
        <v>0.15</v>
      </c>
      <c r="Q60" s="204">
        <f t="shared" ref="Q60:Q66" si="11">$O$59*P60</f>
        <v>23685.569999999996</v>
      </c>
      <c r="R60" s="687"/>
      <c r="S60" s="505"/>
      <c r="T60" s="419">
        <f t="shared" si="1"/>
        <v>46112</v>
      </c>
      <c r="U60" s="401">
        <f t="shared" si="10"/>
        <v>35983.409023436419</v>
      </c>
      <c r="V60" s="684"/>
      <c r="W60" s="458">
        <f t="shared" ref="W60:W66" si="12">W98</f>
        <v>46097</v>
      </c>
      <c r="X60" s="666"/>
    </row>
    <row r="61" spans="1:28" ht="14.25" customHeight="1">
      <c r="B61" s="202">
        <v>6</v>
      </c>
      <c r="C61" s="301"/>
      <c r="D61" s="203"/>
      <c r="E61" s="300"/>
      <c r="F61" s="352"/>
      <c r="G61" s="225"/>
      <c r="H61" s="545"/>
      <c r="I61" s="666"/>
      <c r="J61" s="669"/>
      <c r="K61" s="205"/>
      <c r="L61" s="202">
        <v>6</v>
      </c>
      <c r="M61" s="329" t="s">
        <v>339</v>
      </c>
      <c r="N61" s="309" t="s">
        <v>326</v>
      </c>
      <c r="O61" s="438"/>
      <c r="P61" s="447">
        <v>0.2</v>
      </c>
      <c r="Q61" s="204">
        <f t="shared" si="11"/>
        <v>31580.76</v>
      </c>
      <c r="R61" s="687"/>
      <c r="S61" s="505"/>
      <c r="T61" s="419">
        <f t="shared" si="1"/>
        <v>46142</v>
      </c>
      <c r="U61" s="401">
        <f t="shared" si="10"/>
        <v>47977.878697915236</v>
      </c>
      <c r="V61" s="684"/>
      <c r="W61" s="458">
        <f t="shared" si="12"/>
        <v>46141</v>
      </c>
      <c r="X61" s="666"/>
    </row>
    <row r="62" spans="1:28" ht="14.25" customHeight="1">
      <c r="B62" s="202">
        <v>6</v>
      </c>
      <c r="C62" s="301"/>
      <c r="D62" s="203"/>
      <c r="E62" s="300"/>
      <c r="F62" s="352"/>
      <c r="G62" s="225"/>
      <c r="H62" s="545"/>
      <c r="I62" s="666"/>
      <c r="J62" s="669"/>
      <c r="K62" s="205"/>
      <c r="L62" s="202">
        <v>6</v>
      </c>
      <c r="M62" s="329" t="s">
        <v>339</v>
      </c>
      <c r="N62" s="309" t="s">
        <v>328</v>
      </c>
      <c r="O62" s="438"/>
      <c r="P62" s="447">
        <v>0.25</v>
      </c>
      <c r="Q62" s="204">
        <f t="shared" si="11"/>
        <v>39475.949999999997</v>
      </c>
      <c r="R62" s="687"/>
      <c r="S62" s="505"/>
      <c r="T62" s="419">
        <f t="shared" si="1"/>
        <v>46142</v>
      </c>
      <c r="U62" s="401">
        <f t="shared" si="10"/>
        <v>59972.348372394037</v>
      </c>
      <c r="V62" s="684"/>
      <c r="W62" s="458">
        <f t="shared" si="12"/>
        <v>46120</v>
      </c>
      <c r="X62" s="666"/>
    </row>
    <row r="63" spans="1:28" ht="14.25" customHeight="1">
      <c r="B63" s="202">
        <v>6</v>
      </c>
      <c r="C63" s="301"/>
      <c r="D63" s="203"/>
      <c r="E63" s="300"/>
      <c r="F63" s="352"/>
      <c r="G63" s="225"/>
      <c r="H63" s="545"/>
      <c r="I63" s="666"/>
      <c r="J63" s="669"/>
      <c r="K63" s="205"/>
      <c r="L63" s="202">
        <v>6</v>
      </c>
      <c r="M63" s="329" t="s">
        <v>339</v>
      </c>
      <c r="N63" s="309" t="s">
        <v>329</v>
      </c>
      <c r="O63" s="438"/>
      <c r="P63" s="447">
        <v>0.1</v>
      </c>
      <c r="Q63" s="204">
        <f t="shared" si="11"/>
        <v>15790.38</v>
      </c>
      <c r="R63" s="687"/>
      <c r="S63" s="505"/>
      <c r="T63" s="419">
        <f t="shared" si="1"/>
        <v>46173</v>
      </c>
      <c r="U63" s="401">
        <f t="shared" si="10"/>
        <v>23988.939348957618</v>
      </c>
      <c r="V63" s="684"/>
      <c r="W63" s="458">
        <f t="shared" si="12"/>
        <v>46160</v>
      </c>
      <c r="X63" s="666"/>
    </row>
    <row r="64" spans="1:28" ht="14.25" customHeight="1">
      <c r="B64" s="202">
        <v>6</v>
      </c>
      <c r="C64" s="392"/>
      <c r="D64" s="239"/>
      <c r="E64" s="314"/>
      <c r="F64" s="359"/>
      <c r="G64" s="225"/>
      <c r="H64" s="545"/>
      <c r="I64" s="666"/>
      <c r="J64" s="669"/>
      <c r="K64" s="205"/>
      <c r="L64" s="202">
        <v>6</v>
      </c>
      <c r="M64" s="329" t="s">
        <v>339</v>
      </c>
      <c r="N64" s="309" t="s">
        <v>330</v>
      </c>
      <c r="O64" s="438"/>
      <c r="P64" s="447">
        <v>0.1</v>
      </c>
      <c r="Q64" s="204">
        <f t="shared" si="11"/>
        <v>15790.38</v>
      </c>
      <c r="R64" s="687"/>
      <c r="S64" s="509"/>
      <c r="T64" s="419">
        <f t="shared" si="1"/>
        <v>46173</v>
      </c>
      <c r="U64" s="406">
        <f t="shared" si="10"/>
        <v>23988.939348957618</v>
      </c>
      <c r="V64" s="684"/>
      <c r="W64" s="458">
        <f t="shared" si="12"/>
        <v>46161</v>
      </c>
      <c r="X64" s="66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6"/>
      <c r="J65" s="669"/>
      <c r="K65" s="205"/>
      <c r="L65" s="202">
        <v>6</v>
      </c>
      <c r="M65" s="329" t="s">
        <v>339</v>
      </c>
      <c r="N65" s="309" t="s">
        <v>331</v>
      </c>
      <c r="O65" s="438"/>
      <c r="P65" s="447">
        <v>0.05</v>
      </c>
      <c r="Q65" s="204">
        <f t="shared" si="11"/>
        <v>7895.19</v>
      </c>
      <c r="R65" s="687"/>
      <c r="S65" s="509"/>
      <c r="T65" s="419">
        <f t="shared" si="1"/>
        <v>46173</v>
      </c>
      <c r="U65" s="406">
        <f t="shared" si="10"/>
        <v>11994.469674478809</v>
      </c>
      <c r="V65" s="684"/>
      <c r="W65" s="458">
        <f t="shared" si="12"/>
        <v>46161</v>
      </c>
      <c r="X65" s="66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6"/>
      <c r="J66" s="669"/>
      <c r="K66" s="205"/>
      <c r="L66" s="202">
        <v>6</v>
      </c>
      <c r="M66" s="329" t="s">
        <v>339</v>
      </c>
      <c r="N66" s="309" t="s">
        <v>332</v>
      </c>
      <c r="O66" s="438"/>
      <c r="P66" s="447">
        <v>0.05</v>
      </c>
      <c r="Q66" s="204">
        <f t="shared" si="11"/>
        <v>7895.19</v>
      </c>
      <c r="R66" s="688"/>
      <c r="S66" s="509"/>
      <c r="T66" s="419">
        <f t="shared" si="1"/>
        <v>46203</v>
      </c>
      <c r="U66" s="406">
        <f t="shared" si="10"/>
        <v>11994.469674478809</v>
      </c>
      <c r="V66" s="684"/>
      <c r="W66" s="458">
        <f t="shared" si="12"/>
        <v>46184</v>
      </c>
      <c r="X66" s="66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6"/>
      <c r="J67" s="669"/>
      <c r="K67" s="205"/>
      <c r="L67" s="202">
        <v>6</v>
      </c>
      <c r="M67" s="329" t="s">
        <v>339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0"/>
        <v>0</v>
      </c>
      <c r="V67" s="684"/>
      <c r="W67" s="461"/>
      <c r="X67" s="66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66"/>
      <c r="J68" s="669"/>
      <c r="K68" s="205"/>
      <c r="L68" s="202">
        <v>6</v>
      </c>
      <c r="M68" s="329" t="s">
        <v>339</v>
      </c>
      <c r="N68" s="309"/>
      <c r="O68" s="438"/>
      <c r="P68" s="447"/>
      <c r="Q68" s="204"/>
      <c r="R68" s="478"/>
      <c r="S68" s="509"/>
      <c r="T68" s="419" t="str">
        <f t="shared" si="1"/>
        <v/>
      </c>
      <c r="U68" s="406">
        <f t="shared" si="10"/>
        <v>0</v>
      </c>
      <c r="V68" s="684"/>
      <c r="W68" s="461"/>
      <c r="X68" s="666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67"/>
      <c r="J69" s="670"/>
      <c r="K69" s="210"/>
      <c r="L69" s="206">
        <v>6</v>
      </c>
      <c r="M69" s="331" t="s">
        <v>339</v>
      </c>
      <c r="N69" s="208"/>
      <c r="O69" s="441"/>
      <c r="P69" s="353"/>
      <c r="Q69" s="209"/>
      <c r="R69" s="475"/>
      <c r="S69" s="506"/>
      <c r="T69" s="417" t="str">
        <f t="shared" si="1"/>
        <v/>
      </c>
      <c r="U69" s="402">
        <f>(Q69/$X$53*$J$53)</f>
        <v>0</v>
      </c>
      <c r="V69" s="685"/>
      <c r="W69" s="459"/>
      <c r="X69" s="667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79"/>
      <c r="S70" s="510"/>
      <c r="T70" s="420" t="str">
        <f t="shared" si="1"/>
        <v/>
      </c>
      <c r="U70" s="407"/>
      <c r="V70" s="382"/>
      <c r="W70" s="462"/>
      <c r="X70" s="547"/>
    </row>
    <row r="71" spans="1:24" ht="14.25" customHeight="1">
      <c r="B71" s="281">
        <v>7</v>
      </c>
      <c r="C71" s="213" t="s">
        <v>340</v>
      </c>
      <c r="D71" s="282" t="s">
        <v>341</v>
      </c>
      <c r="E71" s="360"/>
      <c r="F71" s="366"/>
      <c r="G71" s="283">
        <v>372400</v>
      </c>
      <c r="H71" s="558">
        <v>46112</v>
      </c>
      <c r="I71" s="642">
        <f>SUM(G71:G78)</f>
        <v>531293.91304347827</v>
      </c>
      <c r="J71" s="645">
        <v>603743.08300395298</v>
      </c>
      <c r="K71" s="189"/>
      <c r="L71" s="281">
        <v>7</v>
      </c>
      <c r="M71" s="213" t="s">
        <v>342</v>
      </c>
      <c r="N71" s="282" t="s">
        <v>341</v>
      </c>
      <c r="O71" s="360"/>
      <c r="P71" s="366"/>
      <c r="Q71" s="283"/>
      <c r="R71" s="480"/>
      <c r="S71" s="511"/>
      <c r="T71" s="421"/>
      <c r="U71" s="524">
        <f>(Q71/$X$71*$J$71)</f>
        <v>0</v>
      </c>
      <c r="V71" s="680">
        <f>J71-SUM(U71:U78)</f>
        <v>0</v>
      </c>
      <c r="W71" s="463"/>
      <c r="X71" s="642">
        <f>SUM(Q71:Q78)</f>
        <v>303900</v>
      </c>
    </row>
    <row r="72" spans="1:24" ht="14.25" customHeight="1">
      <c r="B72" s="284">
        <v>7</v>
      </c>
      <c r="C72" s="285"/>
      <c r="D72" s="286" t="s">
        <v>343</v>
      </c>
      <c r="E72" s="307"/>
      <c r="F72" s="343"/>
      <c r="G72" s="287">
        <v>15820</v>
      </c>
      <c r="H72" s="541">
        <v>46112</v>
      </c>
      <c r="I72" s="643"/>
      <c r="J72" s="646"/>
      <c r="K72" s="192"/>
      <c r="L72" s="284">
        <v>7</v>
      </c>
      <c r="M72" s="285" t="s">
        <v>342</v>
      </c>
      <c r="N72" s="286" t="s">
        <v>343</v>
      </c>
      <c r="O72" s="307"/>
      <c r="P72" s="343"/>
      <c r="Q72" s="287"/>
      <c r="R72" s="470"/>
      <c r="S72" s="501"/>
      <c r="T72" s="412"/>
      <c r="U72" s="397">
        <f t="shared" ref="U72:U78" si="13">(Q72/$X$71*$J$71)</f>
        <v>0</v>
      </c>
      <c r="V72" s="681"/>
      <c r="W72" s="454"/>
      <c r="X72" s="643"/>
    </row>
    <row r="73" spans="1:24" ht="14.25" customHeight="1">
      <c r="B73" s="284">
        <v>7</v>
      </c>
      <c r="C73" s="285"/>
      <c r="D73" s="286" t="s">
        <v>344</v>
      </c>
      <c r="E73" s="307"/>
      <c r="F73" s="343"/>
      <c r="G73" s="287">
        <v>15000</v>
      </c>
      <c r="H73" s="541">
        <v>46112</v>
      </c>
      <c r="I73" s="643"/>
      <c r="J73" s="646"/>
      <c r="K73" s="192"/>
      <c r="L73" s="284">
        <v>7</v>
      </c>
      <c r="M73" s="285" t="s">
        <v>342</v>
      </c>
      <c r="N73" s="286" t="s">
        <v>345</v>
      </c>
      <c r="O73" s="307">
        <v>4</v>
      </c>
      <c r="P73" s="343">
        <v>72200</v>
      </c>
      <c r="Q73" s="287">
        <f>O73*P73</f>
        <v>288800</v>
      </c>
      <c r="R73" s="470"/>
      <c r="S73" s="501"/>
      <c r="T73" s="412">
        <v>46112</v>
      </c>
      <c r="U73" s="397">
        <f t="shared" si="13"/>
        <v>573744.66065002186</v>
      </c>
      <c r="V73" s="681"/>
      <c r="W73" s="454">
        <f>T73+30</f>
        <v>46142</v>
      </c>
      <c r="X73" s="643"/>
    </row>
    <row r="74" spans="1:24" ht="14.25" customHeight="1">
      <c r="B74" s="284">
        <v>7</v>
      </c>
      <c r="C74" s="285"/>
      <c r="D74" s="286" t="s">
        <v>346</v>
      </c>
      <c r="E74" s="307"/>
      <c r="F74" s="343"/>
      <c r="G74" s="287">
        <v>40000</v>
      </c>
      <c r="H74" s="541">
        <v>46112</v>
      </c>
      <c r="I74" s="643"/>
      <c r="J74" s="646"/>
      <c r="K74" s="192"/>
      <c r="L74" s="284">
        <v>7</v>
      </c>
      <c r="M74" s="285" t="s">
        <v>342</v>
      </c>
      <c r="N74" s="286" t="s">
        <v>347</v>
      </c>
      <c r="O74" s="307">
        <v>2</v>
      </c>
      <c r="P74" s="343">
        <v>7550</v>
      </c>
      <c r="Q74" s="287">
        <f>O74*P74</f>
        <v>15100</v>
      </c>
      <c r="R74" s="470"/>
      <c r="S74" s="501"/>
      <c r="T74" s="412">
        <v>46112</v>
      </c>
      <c r="U74" s="397">
        <f t="shared" si="13"/>
        <v>29998.422353931193</v>
      </c>
      <c r="V74" s="681"/>
      <c r="W74" s="454">
        <f>T74+30</f>
        <v>46142</v>
      </c>
      <c r="X74" s="643"/>
    </row>
    <row r="75" spans="1:24" ht="14.25" customHeight="1">
      <c r="B75" s="284">
        <v>7</v>
      </c>
      <c r="C75" s="285"/>
      <c r="D75" s="286" t="s">
        <v>348</v>
      </c>
      <c r="E75" s="307"/>
      <c r="F75" s="343"/>
      <c r="G75" s="287">
        <v>60000</v>
      </c>
      <c r="H75" s="541">
        <v>46112</v>
      </c>
      <c r="I75" s="643"/>
      <c r="J75" s="646"/>
      <c r="K75" s="192"/>
      <c r="L75" s="284">
        <v>7</v>
      </c>
      <c r="M75" s="285" t="s">
        <v>342</v>
      </c>
      <c r="N75" s="286"/>
      <c r="O75" s="307"/>
      <c r="P75" s="343"/>
      <c r="Q75" s="287"/>
      <c r="R75" s="470"/>
      <c r="S75" s="501"/>
      <c r="T75" s="412"/>
      <c r="U75" s="397">
        <f t="shared" si="13"/>
        <v>0</v>
      </c>
      <c r="V75" s="681"/>
      <c r="W75" s="454"/>
      <c r="X75" s="643"/>
    </row>
    <row r="76" spans="1:24" ht="14.25" customHeight="1">
      <c r="B76" s="284">
        <v>7</v>
      </c>
      <c r="C76" s="285"/>
      <c r="D76" s="286" t="s">
        <v>349</v>
      </c>
      <c r="E76" s="307"/>
      <c r="F76" s="343"/>
      <c r="G76" s="287">
        <v>7500</v>
      </c>
      <c r="H76" s="541">
        <v>46112</v>
      </c>
      <c r="I76" s="643"/>
      <c r="J76" s="646"/>
      <c r="K76" s="192"/>
      <c r="L76" s="284">
        <v>7</v>
      </c>
      <c r="M76" s="285" t="s">
        <v>342</v>
      </c>
      <c r="N76" s="286"/>
      <c r="O76" s="434"/>
      <c r="P76" s="343"/>
      <c r="Q76" s="287"/>
      <c r="R76" s="470"/>
      <c r="S76" s="501"/>
      <c r="T76" s="412" t="str">
        <f t="shared" ref="T76:T140" si="14">IF(W76&gt;1,EOMONTH(W76,0),"")</f>
        <v/>
      </c>
      <c r="U76" s="397">
        <f t="shared" si="13"/>
        <v>0</v>
      </c>
      <c r="V76" s="681"/>
      <c r="W76" s="454"/>
      <c r="X76" s="643"/>
    </row>
    <row r="77" spans="1:24" ht="14.25" customHeight="1">
      <c r="B77" s="284">
        <v>7</v>
      </c>
      <c r="C77" s="285"/>
      <c r="D77" s="286" t="s">
        <v>350</v>
      </c>
      <c r="E77" s="307"/>
      <c r="F77" s="343"/>
      <c r="G77" s="287">
        <v>20573.913043478264</v>
      </c>
      <c r="H77" s="541">
        <v>46142</v>
      </c>
      <c r="I77" s="643"/>
      <c r="J77" s="646"/>
      <c r="K77" s="192"/>
      <c r="L77" s="284">
        <v>7</v>
      </c>
      <c r="M77" s="285" t="s">
        <v>342</v>
      </c>
      <c r="N77" s="286"/>
      <c r="O77" s="434"/>
      <c r="P77" s="343"/>
      <c r="Q77" s="287"/>
      <c r="R77" s="470"/>
      <c r="S77" s="501"/>
      <c r="T77" s="412" t="str">
        <f t="shared" si="14"/>
        <v/>
      </c>
      <c r="U77" s="397">
        <f t="shared" si="13"/>
        <v>0</v>
      </c>
      <c r="V77" s="681"/>
      <c r="W77" s="454"/>
      <c r="X77" s="643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44"/>
      <c r="J78" s="647"/>
      <c r="K78" s="193"/>
      <c r="L78" s="220">
        <v>7</v>
      </c>
      <c r="M78" s="241" t="s">
        <v>342</v>
      </c>
      <c r="N78" s="233"/>
      <c r="O78" s="435"/>
      <c r="P78" s="358"/>
      <c r="Q78" s="234"/>
      <c r="R78" s="471"/>
      <c r="S78" s="502"/>
      <c r="T78" s="413" t="str">
        <f t="shared" si="14"/>
        <v/>
      </c>
      <c r="U78" s="398">
        <f t="shared" si="13"/>
        <v>0</v>
      </c>
      <c r="V78" s="682"/>
      <c r="W78" s="455"/>
      <c r="X78" s="644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2"/>
      <c r="S79" s="503"/>
      <c r="T79" s="414" t="str">
        <f t="shared" si="14"/>
        <v/>
      </c>
      <c r="U79" s="403"/>
      <c r="V79" s="385"/>
      <c r="W79" s="456"/>
      <c r="X79" s="547"/>
    </row>
    <row r="80" spans="1:24" ht="14.25" customHeight="1">
      <c r="B80" s="236">
        <v>8</v>
      </c>
      <c r="C80" s="198" t="s">
        <v>351</v>
      </c>
      <c r="D80" s="237" t="s">
        <v>352</v>
      </c>
      <c r="E80" s="361"/>
      <c r="F80" s="315"/>
      <c r="G80" s="238">
        <v>82500</v>
      </c>
      <c r="H80" s="554">
        <v>46081</v>
      </c>
      <c r="I80" s="665">
        <f>SUM(G80:G94)</f>
        <v>245040.6</v>
      </c>
      <c r="J80" s="668">
        <f>151829.268292683+147000.731707317</f>
        <v>298830</v>
      </c>
      <c r="K80" s="201"/>
      <c r="L80" s="236">
        <v>8</v>
      </c>
      <c r="M80" s="324" t="s">
        <v>353</v>
      </c>
      <c r="N80" s="237" t="s">
        <v>352</v>
      </c>
      <c r="O80" s="631">
        <v>82500</v>
      </c>
      <c r="P80" s="629">
        <v>1</v>
      </c>
      <c r="Q80" s="238">
        <f>O80*P80</f>
        <v>82500</v>
      </c>
      <c r="R80" s="473"/>
      <c r="S80" s="504"/>
      <c r="T80" s="415">
        <f>T6</f>
        <v>46112</v>
      </c>
      <c r="U80" s="400">
        <f>(Q80/$X$80*$J$80)</f>
        <v>120554.88997555013</v>
      </c>
      <c r="V80" s="674">
        <f>J80-SUM(U80:U94)</f>
        <v>0</v>
      </c>
      <c r="W80" s="457">
        <f>T80+30</f>
        <v>46142</v>
      </c>
      <c r="X80" s="665">
        <f>SUM(Q80:Q94)</f>
        <v>204500</v>
      </c>
    </row>
    <row r="81" spans="1:24" ht="14.25" customHeight="1">
      <c r="B81" s="226">
        <v>8</v>
      </c>
      <c r="C81" s="227"/>
      <c r="D81" s="239" t="s">
        <v>354</v>
      </c>
      <c r="E81" s="314"/>
      <c r="F81" s="359"/>
      <c r="G81" s="228">
        <v>12000</v>
      </c>
      <c r="H81" s="545">
        <v>46112</v>
      </c>
      <c r="I81" s="666"/>
      <c r="J81" s="669"/>
      <c r="K81" s="205"/>
      <c r="L81" s="226">
        <v>8</v>
      </c>
      <c r="M81" s="332" t="s">
        <v>353</v>
      </c>
      <c r="N81" s="239"/>
      <c r="O81" s="632"/>
      <c r="P81" s="533"/>
      <c r="Q81" s="228"/>
      <c r="R81" s="474"/>
      <c r="S81" s="505"/>
      <c r="T81" s="416"/>
      <c r="U81" s="400">
        <f t="shared" ref="U81:U92" si="15">(Q81/$X$80*$J$80)</f>
        <v>0</v>
      </c>
      <c r="V81" s="675"/>
      <c r="W81" s="457"/>
      <c r="X81" s="666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66"/>
      <c r="J82" s="669"/>
      <c r="K82" s="205"/>
      <c r="L82" s="226">
        <v>8</v>
      </c>
      <c r="M82" s="332" t="s">
        <v>353</v>
      </c>
      <c r="N82" s="239" t="s">
        <v>355</v>
      </c>
      <c r="O82" s="632">
        <v>12000</v>
      </c>
      <c r="P82" s="533">
        <v>0.5</v>
      </c>
      <c r="Q82" s="228">
        <f>O82*P82</f>
        <v>6000</v>
      </c>
      <c r="R82" s="474"/>
      <c r="S82" s="505"/>
      <c r="T82" s="416">
        <v>46112</v>
      </c>
      <c r="U82" s="400">
        <f t="shared" si="15"/>
        <v>8767.6283618581911</v>
      </c>
      <c r="V82" s="675"/>
      <c r="W82" s="457">
        <f>T82-14</f>
        <v>46098</v>
      </c>
      <c r="X82" s="666"/>
    </row>
    <row r="83" spans="1:24" ht="14.25" customHeight="1">
      <c r="B83" s="226"/>
      <c r="C83" s="227"/>
      <c r="D83" s="239"/>
      <c r="E83" s="314"/>
      <c r="F83" s="359"/>
      <c r="G83" s="228"/>
      <c r="H83" s="545"/>
      <c r="I83" s="666"/>
      <c r="J83" s="669"/>
      <c r="K83" s="205"/>
      <c r="L83" s="226">
        <v>8</v>
      </c>
      <c r="M83" s="332" t="s">
        <v>353</v>
      </c>
      <c r="N83" s="239" t="s">
        <v>356</v>
      </c>
      <c r="O83" s="632"/>
      <c r="P83" s="533">
        <v>0.5</v>
      </c>
      <c r="Q83" s="228">
        <f>O82*P83</f>
        <v>6000</v>
      </c>
      <c r="R83" s="474"/>
      <c r="S83" s="505"/>
      <c r="T83" s="416">
        <v>46112</v>
      </c>
      <c r="U83" s="400">
        <f t="shared" si="15"/>
        <v>8767.6283618581911</v>
      </c>
      <c r="V83" s="675"/>
      <c r="W83" s="457">
        <v>46112</v>
      </c>
      <c r="X83" s="666"/>
    </row>
    <row r="84" spans="1:24" ht="14.25" customHeight="1">
      <c r="B84" s="226">
        <v>8</v>
      </c>
      <c r="C84" s="227"/>
      <c r="D84" s="239" t="s">
        <v>357</v>
      </c>
      <c r="E84" s="314"/>
      <c r="F84" s="359"/>
      <c r="G84" s="228">
        <v>30000</v>
      </c>
      <c r="H84" s="545">
        <v>46112</v>
      </c>
      <c r="I84" s="666"/>
      <c r="J84" s="669"/>
      <c r="K84" s="205"/>
      <c r="L84" s="226">
        <v>8</v>
      </c>
      <c r="M84" s="332" t="s">
        <v>353</v>
      </c>
      <c r="N84" s="239" t="s">
        <v>358</v>
      </c>
      <c r="O84" s="632">
        <v>55000</v>
      </c>
      <c r="P84" s="533">
        <v>0.5</v>
      </c>
      <c r="Q84" s="228">
        <f>O84*P84</f>
        <v>27500</v>
      </c>
      <c r="R84" s="474"/>
      <c r="S84" s="505"/>
      <c r="T84" s="416">
        <v>46112</v>
      </c>
      <c r="U84" s="400">
        <f t="shared" si="15"/>
        <v>40184.96332518338</v>
      </c>
      <c r="V84" s="675"/>
      <c r="W84" s="457">
        <f t="shared" ref="W84" si="16">T84-14</f>
        <v>46098</v>
      </c>
      <c r="X84" s="666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666"/>
      <c r="J85" s="669"/>
      <c r="K85" s="205"/>
      <c r="L85" s="226">
        <v>8</v>
      </c>
      <c r="M85" s="332" t="s">
        <v>353</v>
      </c>
      <c r="N85" s="239" t="s">
        <v>359</v>
      </c>
      <c r="O85" s="632"/>
      <c r="P85" s="533">
        <v>0.5</v>
      </c>
      <c r="Q85" s="228">
        <f>O84*P85</f>
        <v>27500</v>
      </c>
      <c r="R85" s="474"/>
      <c r="S85" s="505"/>
      <c r="T85" s="416">
        <v>46112</v>
      </c>
      <c r="U85" s="400">
        <f t="shared" si="15"/>
        <v>40184.96332518338</v>
      </c>
      <c r="V85" s="675"/>
      <c r="W85" s="457">
        <v>46112</v>
      </c>
      <c r="X85" s="666"/>
    </row>
    <row r="86" spans="1:24" ht="14.25" customHeight="1">
      <c r="B86" s="226">
        <v>8</v>
      </c>
      <c r="C86" s="227"/>
      <c r="D86" s="239" t="s">
        <v>360</v>
      </c>
      <c r="E86" s="314"/>
      <c r="F86" s="359"/>
      <c r="G86" s="228">
        <v>35000</v>
      </c>
      <c r="H86" s="545">
        <v>46112</v>
      </c>
      <c r="I86" s="666"/>
      <c r="J86" s="669"/>
      <c r="K86" s="205"/>
      <c r="L86" s="226">
        <v>8</v>
      </c>
      <c r="M86" s="332" t="s">
        <v>353</v>
      </c>
      <c r="N86" s="239" t="s">
        <v>361</v>
      </c>
      <c r="O86" s="632">
        <v>55000</v>
      </c>
      <c r="P86" s="533">
        <v>0.5</v>
      </c>
      <c r="Q86" s="228">
        <f>O86*P86</f>
        <v>27500</v>
      </c>
      <c r="R86" s="474"/>
      <c r="S86" s="505"/>
      <c r="T86" s="416">
        <v>46112</v>
      </c>
      <c r="U86" s="400">
        <f t="shared" si="15"/>
        <v>40184.96332518338</v>
      </c>
      <c r="V86" s="675"/>
      <c r="W86" s="457">
        <f t="shared" ref="W86" si="17">T86-14</f>
        <v>46098</v>
      </c>
      <c r="X86" s="666"/>
    </row>
    <row r="87" spans="1:24" ht="14.25" customHeight="1">
      <c r="B87" s="226"/>
      <c r="C87" s="227"/>
      <c r="D87" s="239"/>
      <c r="E87" s="314"/>
      <c r="F87" s="359"/>
      <c r="G87" s="228"/>
      <c r="H87" s="545"/>
      <c r="I87" s="666"/>
      <c r="J87" s="669"/>
      <c r="K87" s="205"/>
      <c r="L87" s="226">
        <v>8</v>
      </c>
      <c r="M87" s="332" t="s">
        <v>353</v>
      </c>
      <c r="N87" s="239" t="s">
        <v>362</v>
      </c>
      <c r="O87" s="632"/>
      <c r="P87" s="533">
        <v>0.5</v>
      </c>
      <c r="Q87" s="228">
        <f>O86*P87</f>
        <v>27500</v>
      </c>
      <c r="R87" s="474"/>
      <c r="S87" s="505"/>
      <c r="T87" s="416">
        <v>46112</v>
      </c>
      <c r="U87" s="400">
        <f t="shared" si="15"/>
        <v>40184.96332518338</v>
      </c>
      <c r="V87" s="675"/>
      <c r="W87" s="457">
        <v>46112</v>
      </c>
      <c r="X87" s="666"/>
    </row>
    <row r="88" spans="1:24" ht="14.1" customHeight="1">
      <c r="B88" s="226">
        <v>8</v>
      </c>
      <c r="C88" s="227"/>
      <c r="D88" s="239" t="s">
        <v>363</v>
      </c>
      <c r="E88" s="314"/>
      <c r="F88" s="359"/>
      <c r="G88" s="228">
        <v>40000</v>
      </c>
      <c r="H88" s="545">
        <v>46112</v>
      </c>
      <c r="I88" s="666"/>
      <c r="J88" s="669"/>
      <c r="K88" s="205"/>
      <c r="L88" s="226">
        <v>8</v>
      </c>
      <c r="M88" s="332" t="s">
        <v>353</v>
      </c>
      <c r="N88" s="239"/>
      <c r="O88" s="632"/>
      <c r="P88" s="533"/>
      <c r="Q88" s="228"/>
      <c r="R88" s="474"/>
      <c r="S88" s="505"/>
      <c r="T88" s="416" t="str">
        <f t="shared" si="14"/>
        <v/>
      </c>
      <c r="U88" s="400">
        <f t="shared" si="15"/>
        <v>0</v>
      </c>
      <c r="V88" s="675"/>
      <c r="W88" s="458"/>
      <c r="X88" s="666"/>
    </row>
    <row r="89" spans="1:24" ht="14.1" customHeight="1">
      <c r="B89" s="226"/>
      <c r="C89" s="227"/>
      <c r="D89" s="239"/>
      <c r="E89" s="314"/>
      <c r="F89" s="359"/>
      <c r="G89" s="228"/>
      <c r="H89" s="545"/>
      <c r="I89" s="666"/>
      <c r="J89" s="669"/>
      <c r="K89" s="205"/>
      <c r="L89" s="226">
        <v>8</v>
      </c>
      <c r="M89" s="332" t="s">
        <v>353</v>
      </c>
      <c r="N89" s="239"/>
      <c r="O89" s="632"/>
      <c r="P89" s="533"/>
      <c r="Q89" s="228"/>
      <c r="R89" s="474"/>
      <c r="S89" s="505"/>
      <c r="T89" s="416"/>
      <c r="U89" s="400">
        <f t="shared" si="15"/>
        <v>0</v>
      </c>
      <c r="V89" s="675"/>
      <c r="W89" s="458"/>
      <c r="X89" s="666"/>
    </row>
    <row r="90" spans="1:24" ht="14.25" customHeight="1">
      <c r="B90" s="226">
        <v>8</v>
      </c>
      <c r="C90" s="227"/>
      <c r="D90" s="239" t="s">
        <v>306</v>
      </c>
      <c r="E90" s="314"/>
      <c r="F90" s="359"/>
      <c r="G90" s="228">
        <v>3900</v>
      </c>
      <c r="H90" s="545">
        <v>46112</v>
      </c>
      <c r="I90" s="666"/>
      <c r="J90" s="669"/>
      <c r="K90" s="205"/>
      <c r="L90" s="226">
        <v>8</v>
      </c>
      <c r="M90" s="332" t="s">
        <v>353</v>
      </c>
      <c r="N90" s="239"/>
      <c r="O90" s="633"/>
      <c r="P90" s="533"/>
      <c r="Q90" s="228"/>
      <c r="R90" s="474"/>
      <c r="S90" s="505"/>
      <c r="T90" s="416"/>
      <c r="U90" s="400">
        <f t="shared" si="15"/>
        <v>0</v>
      </c>
      <c r="V90" s="675"/>
      <c r="W90" s="458"/>
      <c r="X90" s="666"/>
    </row>
    <row r="91" spans="1:24" ht="14.25" customHeight="1">
      <c r="B91" s="226"/>
      <c r="C91" s="227"/>
      <c r="D91" s="239"/>
      <c r="E91" s="314"/>
      <c r="F91" s="359"/>
      <c r="G91" s="228"/>
      <c r="H91" s="545"/>
      <c r="I91" s="666"/>
      <c r="J91" s="669"/>
      <c r="K91" s="205"/>
      <c r="L91" s="226">
        <v>8</v>
      </c>
      <c r="M91" s="332" t="s">
        <v>353</v>
      </c>
      <c r="N91" s="239"/>
      <c r="O91" s="633"/>
      <c r="P91" s="533"/>
      <c r="Q91" s="228"/>
      <c r="R91" s="474"/>
      <c r="S91" s="505"/>
      <c r="T91" s="416"/>
      <c r="U91" s="400">
        <f t="shared" si="15"/>
        <v>0</v>
      </c>
      <c r="V91" s="675"/>
      <c r="W91" s="458"/>
      <c r="X91" s="666"/>
    </row>
    <row r="92" spans="1:24" ht="14.25" customHeight="1">
      <c r="B92" s="226">
        <v>8</v>
      </c>
      <c r="C92" s="227"/>
      <c r="D92" s="239" t="s">
        <v>364</v>
      </c>
      <c r="E92" s="314"/>
      <c r="F92" s="359"/>
      <c r="G92" s="228">
        <v>41640.600000000006</v>
      </c>
      <c r="H92" s="545">
        <v>46142</v>
      </c>
      <c r="I92" s="666"/>
      <c r="J92" s="669"/>
      <c r="K92" s="205"/>
      <c r="L92" s="226">
        <v>8</v>
      </c>
      <c r="M92" s="332" t="s">
        <v>353</v>
      </c>
      <c r="N92" s="239"/>
      <c r="O92" s="633"/>
      <c r="P92" s="533"/>
      <c r="Q92" s="228"/>
      <c r="R92" s="474"/>
      <c r="S92" s="505"/>
      <c r="T92" s="545" t="str">
        <f t="shared" si="14"/>
        <v/>
      </c>
      <c r="U92" s="400">
        <f t="shared" si="15"/>
        <v>0</v>
      </c>
      <c r="V92" s="675"/>
      <c r="W92" s="458"/>
      <c r="X92" s="666"/>
    </row>
    <row r="93" spans="1:24" ht="14.25" customHeight="1">
      <c r="B93" s="226">
        <v>8</v>
      </c>
      <c r="C93" s="227"/>
      <c r="D93" s="239"/>
      <c r="E93" s="314"/>
      <c r="F93" s="359"/>
      <c r="G93" s="228"/>
      <c r="H93" s="560"/>
      <c r="I93" s="666"/>
      <c r="J93" s="669"/>
      <c r="K93" s="205"/>
      <c r="L93" s="226">
        <v>8</v>
      </c>
      <c r="M93" s="332" t="s">
        <v>353</v>
      </c>
      <c r="N93" s="239"/>
      <c r="O93" s="633"/>
      <c r="P93" s="533"/>
      <c r="Q93" s="228"/>
      <c r="R93" s="478"/>
      <c r="S93" s="509"/>
      <c r="T93" s="419" t="str">
        <f t="shared" si="14"/>
        <v/>
      </c>
      <c r="U93" s="406">
        <f t="shared" ref="U93:U94" si="18">(Q93/$X$80*$J$80)</f>
        <v>0</v>
      </c>
      <c r="V93" s="675"/>
      <c r="W93" s="461"/>
      <c r="X93" s="666"/>
    </row>
    <row r="94" spans="1:24" ht="15" customHeight="1" thickBot="1">
      <c r="B94" s="226">
        <v>8</v>
      </c>
      <c r="C94" s="207"/>
      <c r="D94" s="208"/>
      <c r="E94" s="356"/>
      <c r="F94" s="353"/>
      <c r="G94" s="209"/>
      <c r="H94" s="555"/>
      <c r="I94" s="667"/>
      <c r="J94" s="670"/>
      <c r="K94" s="210"/>
      <c r="L94" s="206">
        <v>8</v>
      </c>
      <c r="M94" s="331" t="s">
        <v>353</v>
      </c>
      <c r="N94" s="208"/>
      <c r="O94" s="634"/>
      <c r="P94" s="630"/>
      <c r="Q94" s="209"/>
      <c r="R94" s="475"/>
      <c r="S94" s="506"/>
      <c r="T94" s="417" t="str">
        <f t="shared" si="14"/>
        <v/>
      </c>
      <c r="U94" s="402">
        <f t="shared" si="18"/>
        <v>0</v>
      </c>
      <c r="V94" s="676"/>
      <c r="W94" s="459"/>
      <c r="X94" s="667"/>
    </row>
    <row r="95" spans="1:24" ht="22.5" customHeight="1" thickBot="1">
      <c r="A95" s="4"/>
      <c r="B95" s="240"/>
      <c r="C95" s="76"/>
      <c r="D95" s="76"/>
      <c r="E95" s="76"/>
      <c r="F95" s="367"/>
      <c r="G95" s="76"/>
      <c r="H95" s="422"/>
      <c r="I95" s="338"/>
      <c r="J95" s="339"/>
      <c r="K95" s="76" t="s">
        <v>365</v>
      </c>
      <c r="L95" s="240"/>
      <c r="M95" s="76"/>
      <c r="N95" s="76"/>
      <c r="O95" s="442"/>
      <c r="P95" s="367"/>
      <c r="Q95" s="76"/>
      <c r="R95" s="481"/>
      <c r="S95" s="240"/>
      <c r="T95" s="422" t="str">
        <f t="shared" si="14"/>
        <v/>
      </c>
      <c r="U95" s="387"/>
      <c r="V95" s="387"/>
      <c r="W95" s="427"/>
      <c r="X95" s="614"/>
    </row>
    <row r="96" spans="1:24" ht="15" customHeight="1">
      <c r="B96" s="215">
        <v>9</v>
      </c>
      <c r="C96" s="341" t="s">
        <v>366</v>
      </c>
      <c r="D96" s="231" t="s">
        <v>367</v>
      </c>
      <c r="E96" s="218"/>
      <c r="F96" s="336"/>
      <c r="G96" s="495">
        <f>D180</f>
        <v>104920</v>
      </c>
      <c r="H96" s="542">
        <f>'Project Plan'!G22+7</f>
        <v>46141</v>
      </c>
      <c r="I96" s="671">
        <f>SUM(G96:G107)</f>
        <v>333680</v>
      </c>
      <c r="J96" s="645">
        <f>F180+F181</f>
        <v>370755.55555555556</v>
      </c>
      <c r="K96" s="192"/>
      <c r="L96" s="215">
        <v>9</v>
      </c>
      <c r="M96" s="322" t="s">
        <v>368</v>
      </c>
      <c r="N96" s="231"/>
      <c r="O96" s="433"/>
      <c r="P96" s="336"/>
      <c r="Q96" s="219"/>
      <c r="R96" s="476"/>
      <c r="S96" s="507"/>
      <c r="T96" s="418" t="str">
        <f t="shared" si="14"/>
        <v/>
      </c>
      <c r="U96" s="404">
        <f t="shared" ref="U96:U107" si="19">(Q96/$X$96*$J$96)</f>
        <v>0</v>
      </c>
      <c r="V96" s="654">
        <f>J96-SUM(U96:U107)</f>
        <v>0</v>
      </c>
      <c r="W96" s="460"/>
      <c r="X96" s="642">
        <f>SUM(Q96:Q107)</f>
        <v>534200</v>
      </c>
    </row>
    <row r="97" spans="1:24" ht="15" customHeight="1">
      <c r="B97" s="215">
        <v>9</v>
      </c>
      <c r="C97" s="341"/>
      <c r="D97" s="232" t="s">
        <v>369</v>
      </c>
      <c r="E97" s="218"/>
      <c r="F97" s="357"/>
      <c r="G97" s="495">
        <f>D181</f>
        <v>228760</v>
      </c>
      <c r="H97" s="541">
        <f>'Project Plan'!G32+7</f>
        <v>46120</v>
      </c>
      <c r="I97" s="672"/>
      <c r="J97" s="646"/>
      <c r="K97" s="192"/>
      <c r="L97" s="215">
        <v>9</v>
      </c>
      <c r="M97" s="322" t="s">
        <v>368</v>
      </c>
      <c r="N97" s="232" t="s">
        <v>324</v>
      </c>
      <c r="O97" s="449">
        <f>Z30+Z29+Z35</f>
        <v>534200</v>
      </c>
      <c r="P97" s="450">
        <v>0.1</v>
      </c>
      <c r="Q97" s="219">
        <f>$O$97*P97</f>
        <v>53420</v>
      </c>
      <c r="R97" s="660"/>
      <c r="S97" s="500"/>
      <c r="T97" s="412">
        <f t="shared" si="14"/>
        <v>46112</v>
      </c>
      <c r="U97" s="397">
        <f t="shared" si="19"/>
        <v>37075.555555555555</v>
      </c>
      <c r="V97" s="655"/>
      <c r="W97" s="453">
        <f>'Project Plan'!I20+7</f>
        <v>46097</v>
      </c>
      <c r="X97" s="64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2"/>
      <c r="J98" s="646"/>
      <c r="K98" s="192"/>
      <c r="L98" s="284">
        <v>9</v>
      </c>
      <c r="M98" s="394" t="s">
        <v>368</v>
      </c>
      <c r="N98" s="286" t="s">
        <v>167</v>
      </c>
      <c r="O98" s="434"/>
      <c r="P98" s="448">
        <v>0.15</v>
      </c>
      <c r="Q98" s="219">
        <f t="shared" ref="Q98:Q104" si="20">$O$97*P98</f>
        <v>80130</v>
      </c>
      <c r="R98" s="661"/>
      <c r="S98" s="501"/>
      <c r="T98" s="412">
        <f t="shared" si="14"/>
        <v>46112</v>
      </c>
      <c r="U98" s="397">
        <f t="shared" si="19"/>
        <v>55613.333333333336</v>
      </c>
      <c r="V98" s="655"/>
      <c r="W98" s="454">
        <f>'Project Plan'!I20+7</f>
        <v>46097</v>
      </c>
      <c r="X98" s="64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2"/>
      <c r="J99" s="646"/>
      <c r="K99" s="192"/>
      <c r="L99" s="284">
        <v>9</v>
      </c>
      <c r="M99" s="394" t="s">
        <v>368</v>
      </c>
      <c r="N99" s="286" t="s">
        <v>326</v>
      </c>
      <c r="O99" s="434"/>
      <c r="P99" s="448">
        <v>0.2</v>
      </c>
      <c r="Q99" s="219">
        <f t="shared" si="20"/>
        <v>106840</v>
      </c>
      <c r="R99" s="661"/>
      <c r="S99" s="501"/>
      <c r="T99" s="412">
        <f t="shared" si="14"/>
        <v>46142</v>
      </c>
      <c r="U99" s="397">
        <f t="shared" si="19"/>
        <v>74151.111111111109</v>
      </c>
      <c r="V99" s="655"/>
      <c r="W99" s="454">
        <f>'Project Plan'!K22+7</f>
        <v>46141</v>
      </c>
      <c r="X99" s="643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2"/>
      <c r="J100" s="646"/>
      <c r="K100" s="192"/>
      <c r="L100" s="284">
        <v>9</v>
      </c>
      <c r="M100" s="394" t="s">
        <v>368</v>
      </c>
      <c r="N100" s="286" t="s">
        <v>328</v>
      </c>
      <c r="O100" s="434"/>
      <c r="P100" s="448">
        <v>0.25</v>
      </c>
      <c r="Q100" s="219">
        <f t="shared" si="20"/>
        <v>133550</v>
      </c>
      <c r="R100" s="661"/>
      <c r="S100" s="501"/>
      <c r="T100" s="412">
        <f t="shared" si="14"/>
        <v>46142</v>
      </c>
      <c r="U100" s="397">
        <f t="shared" si="19"/>
        <v>92688.888888888891</v>
      </c>
      <c r="V100" s="655"/>
      <c r="W100" s="454">
        <f>'Project Plan'!K32+7</f>
        <v>46120</v>
      </c>
      <c r="X100" s="643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2"/>
      <c r="J101" s="646"/>
      <c r="K101" s="192"/>
      <c r="L101" s="284">
        <v>9</v>
      </c>
      <c r="M101" s="394" t="s">
        <v>368</v>
      </c>
      <c r="N101" s="286" t="s">
        <v>329</v>
      </c>
      <c r="O101" s="434"/>
      <c r="P101" s="448">
        <v>0.1</v>
      </c>
      <c r="Q101" s="219">
        <f t="shared" si="20"/>
        <v>53420</v>
      </c>
      <c r="R101" s="661"/>
      <c r="S101" s="501"/>
      <c r="T101" s="412">
        <f t="shared" si="14"/>
        <v>46173</v>
      </c>
      <c r="U101" s="397">
        <f t="shared" si="19"/>
        <v>37075.555555555555</v>
      </c>
      <c r="V101" s="655"/>
      <c r="W101" s="454">
        <f>'Project Plan'!K43+7</f>
        <v>46160</v>
      </c>
      <c r="X101" s="643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2"/>
      <c r="J102" s="646"/>
      <c r="K102" s="192"/>
      <c r="L102" s="284">
        <v>9</v>
      </c>
      <c r="M102" s="394" t="s">
        <v>368</v>
      </c>
      <c r="N102" s="286" t="s">
        <v>330</v>
      </c>
      <c r="O102" s="434"/>
      <c r="P102" s="448">
        <v>0.1</v>
      </c>
      <c r="Q102" s="219">
        <f t="shared" si="20"/>
        <v>53420</v>
      </c>
      <c r="R102" s="661"/>
      <c r="S102" s="501"/>
      <c r="T102" s="412">
        <f t="shared" si="14"/>
        <v>46173</v>
      </c>
      <c r="U102" s="397">
        <f t="shared" si="19"/>
        <v>37075.555555555555</v>
      </c>
      <c r="V102" s="655"/>
      <c r="W102" s="454">
        <f>'Project Plan'!K50+7</f>
        <v>46161</v>
      </c>
      <c r="X102" s="643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2"/>
      <c r="J103" s="646"/>
      <c r="K103" s="192"/>
      <c r="L103" s="284">
        <v>9</v>
      </c>
      <c r="M103" s="394" t="s">
        <v>368</v>
      </c>
      <c r="N103" s="286" t="s">
        <v>331</v>
      </c>
      <c r="O103" s="434"/>
      <c r="P103" s="448">
        <v>0.05</v>
      </c>
      <c r="Q103" s="219">
        <f t="shared" si="20"/>
        <v>26710</v>
      </c>
      <c r="R103" s="661"/>
      <c r="S103" s="501"/>
      <c r="T103" s="412">
        <f t="shared" si="14"/>
        <v>46173</v>
      </c>
      <c r="U103" s="397">
        <f t="shared" si="19"/>
        <v>18537.777777777777</v>
      </c>
      <c r="V103" s="655"/>
      <c r="W103" s="454">
        <f>'Project Plan'!K50+7</f>
        <v>46161</v>
      </c>
      <c r="X103" s="643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2"/>
      <c r="J104" s="646"/>
      <c r="K104" s="192"/>
      <c r="L104" s="284">
        <v>9</v>
      </c>
      <c r="M104" s="394" t="s">
        <v>368</v>
      </c>
      <c r="N104" s="286" t="s">
        <v>332</v>
      </c>
      <c r="O104" s="434"/>
      <c r="P104" s="448">
        <v>0.05</v>
      </c>
      <c r="Q104" s="219">
        <f t="shared" si="20"/>
        <v>26710</v>
      </c>
      <c r="R104" s="662"/>
      <c r="S104" s="501"/>
      <c r="T104" s="412">
        <f t="shared" si="14"/>
        <v>46203</v>
      </c>
      <c r="U104" s="397">
        <f t="shared" si="19"/>
        <v>18537.777777777777</v>
      </c>
      <c r="V104" s="655"/>
      <c r="W104" s="454">
        <f>'Project Plan'!K50+30</f>
        <v>46184</v>
      </c>
      <c r="X104" s="643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2"/>
      <c r="J105" s="646"/>
      <c r="K105" s="192"/>
      <c r="L105" s="284">
        <v>9</v>
      </c>
      <c r="M105" s="394" t="s">
        <v>368</v>
      </c>
      <c r="N105" s="286"/>
      <c r="O105" s="434"/>
      <c r="P105" s="343"/>
      <c r="Q105" s="287"/>
      <c r="R105" s="470"/>
      <c r="S105" s="501"/>
      <c r="T105" s="412" t="str">
        <f t="shared" si="14"/>
        <v/>
      </c>
      <c r="U105" s="397">
        <f t="shared" si="19"/>
        <v>0</v>
      </c>
      <c r="V105" s="655"/>
      <c r="W105" s="454"/>
      <c r="X105" s="643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1"/>
      <c r="I106" s="672"/>
      <c r="J106" s="646"/>
      <c r="K106" s="192"/>
      <c r="L106" s="284">
        <v>9</v>
      </c>
      <c r="M106" s="394" t="s">
        <v>368</v>
      </c>
      <c r="N106" s="286"/>
      <c r="O106" s="434"/>
      <c r="P106" s="343"/>
      <c r="Q106" s="287"/>
      <c r="R106" s="470"/>
      <c r="S106" s="501"/>
      <c r="T106" s="412" t="str">
        <f t="shared" si="14"/>
        <v/>
      </c>
      <c r="U106" s="397">
        <f t="shared" si="19"/>
        <v>0</v>
      </c>
      <c r="V106" s="655"/>
      <c r="W106" s="454"/>
      <c r="X106" s="643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2"/>
      <c r="I107" s="673"/>
      <c r="J107" s="647"/>
      <c r="K107" s="267"/>
      <c r="L107" s="220">
        <v>9</v>
      </c>
      <c r="M107" s="340" t="s">
        <v>368</v>
      </c>
      <c r="N107" s="233"/>
      <c r="O107" s="435"/>
      <c r="P107" s="358"/>
      <c r="Q107" s="234"/>
      <c r="R107" s="471"/>
      <c r="S107" s="502"/>
      <c r="T107" s="413" t="str">
        <f t="shared" si="14"/>
        <v/>
      </c>
      <c r="U107" s="398">
        <f t="shared" si="19"/>
        <v>0</v>
      </c>
      <c r="V107" s="656"/>
      <c r="W107" s="455"/>
      <c r="X107" s="644"/>
    </row>
    <row r="108" spans="1:24" ht="14.4" thickBot="1">
      <c r="A108" s="4"/>
      <c r="B108" s="194"/>
      <c r="C108" s="211"/>
      <c r="D108" s="212"/>
      <c r="E108" s="195"/>
      <c r="F108" s="354"/>
      <c r="G108" s="196"/>
      <c r="H108" s="553"/>
      <c r="I108" s="547"/>
      <c r="J108" s="303"/>
      <c r="K108" s="4"/>
      <c r="L108" s="194"/>
      <c r="M108" s="211"/>
      <c r="N108" s="212"/>
      <c r="O108" s="436"/>
      <c r="P108" s="354"/>
      <c r="Q108" s="196"/>
      <c r="R108" s="472"/>
      <c r="S108" s="503"/>
      <c r="T108" s="414" t="str">
        <f t="shared" si="14"/>
        <v/>
      </c>
      <c r="U108" s="403"/>
      <c r="V108" s="385"/>
      <c r="W108" s="456"/>
      <c r="X108" s="547"/>
    </row>
    <row r="109" spans="1:24" ht="14.25" customHeight="1">
      <c r="B109" s="173">
        <v>10</v>
      </c>
      <c r="C109" s="174" t="s">
        <v>370</v>
      </c>
      <c r="D109" s="174" t="s">
        <v>309</v>
      </c>
      <c r="E109" s="175"/>
      <c r="F109" s="368"/>
      <c r="G109" s="242">
        <f>D184</f>
        <v>8500</v>
      </c>
      <c r="H109" s="561">
        <f>H96</f>
        <v>46141</v>
      </c>
      <c r="I109" s="648">
        <f>SUM(G109:G123)</f>
        <v>49217.111111111109</v>
      </c>
      <c r="J109" s="651">
        <f>F184+F187+F188+F186+F185</f>
        <v>54685.679012345681</v>
      </c>
      <c r="K109" s="243"/>
      <c r="L109" s="173">
        <v>10</v>
      </c>
      <c r="M109" s="333" t="s">
        <v>371</v>
      </c>
      <c r="N109" s="174" t="s">
        <v>372</v>
      </c>
      <c r="O109" s="443"/>
      <c r="P109" s="368"/>
      <c r="Q109" s="242">
        <v>0</v>
      </c>
      <c r="R109" s="482"/>
      <c r="S109" s="512"/>
      <c r="T109" s="423"/>
      <c r="U109" s="408">
        <f t="shared" ref="U109:U122" si="21">(Q109/$X$109*$J$109)</f>
        <v>0</v>
      </c>
      <c r="V109" s="657">
        <f>J109-SUM(U109:U123)</f>
        <v>0</v>
      </c>
      <c r="W109" s="464"/>
      <c r="X109" s="648">
        <f>SUM(Q109:Q123)</f>
        <v>45750</v>
      </c>
    </row>
    <row r="110" spans="1:24" ht="14.25" customHeight="1">
      <c r="B110" s="244">
        <v>10</v>
      </c>
      <c r="C110" s="245"/>
      <c r="D110" s="245" t="s">
        <v>311</v>
      </c>
      <c r="E110" s="246"/>
      <c r="F110" s="369"/>
      <c r="G110" s="247">
        <f>D188</f>
        <v>15072.666666666666</v>
      </c>
      <c r="H110" s="562">
        <f>H96</f>
        <v>46141</v>
      </c>
      <c r="I110" s="649"/>
      <c r="J110" s="652"/>
      <c r="K110" s="176"/>
      <c r="L110" s="244">
        <v>10</v>
      </c>
      <c r="M110" s="334" t="s">
        <v>371</v>
      </c>
      <c r="N110" s="245"/>
      <c r="O110" s="444"/>
      <c r="P110" s="369"/>
      <c r="Q110" s="247"/>
      <c r="R110" s="483"/>
      <c r="S110" s="513"/>
      <c r="T110" s="424" t="str">
        <f t="shared" si="14"/>
        <v/>
      </c>
      <c r="U110" s="523">
        <f t="shared" si="21"/>
        <v>0</v>
      </c>
      <c r="V110" s="658"/>
      <c r="W110" s="465"/>
      <c r="X110" s="649"/>
    </row>
    <row r="111" spans="1:24" ht="14.25" customHeight="1">
      <c r="B111" s="244">
        <v>10</v>
      </c>
      <c r="C111" s="245"/>
      <c r="D111" s="245" t="s">
        <v>372</v>
      </c>
      <c r="E111" s="246"/>
      <c r="F111" s="369"/>
      <c r="G111" s="247">
        <f>D187</f>
        <v>24000</v>
      </c>
      <c r="H111" s="562">
        <f>H96</f>
        <v>46141</v>
      </c>
      <c r="I111" s="649"/>
      <c r="J111" s="652"/>
      <c r="K111" s="176"/>
      <c r="L111" s="244">
        <v>10</v>
      </c>
      <c r="M111" s="334" t="s">
        <v>371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409">
        <f t="shared" si="21"/>
        <v>0</v>
      </c>
      <c r="V111" s="658"/>
      <c r="W111" s="465"/>
      <c r="X111" s="649"/>
    </row>
    <row r="112" spans="1:24" ht="14.25" customHeight="1">
      <c r="B112" s="244">
        <v>10</v>
      </c>
      <c r="C112" s="245"/>
      <c r="D112" s="245" t="s">
        <v>313</v>
      </c>
      <c r="E112" s="246"/>
      <c r="F112" s="369"/>
      <c r="G112" s="247">
        <f>D186</f>
        <v>1644.4444444444443</v>
      </c>
      <c r="H112" s="562">
        <f>H96</f>
        <v>46141</v>
      </c>
      <c r="I112" s="649"/>
      <c r="J112" s="652"/>
      <c r="K112" s="176"/>
      <c r="L112" s="244">
        <v>10</v>
      </c>
      <c r="M112" s="334" t="s">
        <v>371</v>
      </c>
      <c r="N112" s="245"/>
      <c r="O112" s="444"/>
      <c r="P112" s="369"/>
      <c r="Q112" s="247"/>
      <c r="R112" s="483"/>
      <c r="S112" s="513"/>
      <c r="T112" s="424" t="str">
        <f t="shared" si="14"/>
        <v/>
      </c>
      <c r="U112" s="409">
        <f t="shared" si="21"/>
        <v>0</v>
      </c>
      <c r="V112" s="658"/>
      <c r="W112" s="465"/>
      <c r="X112" s="64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9"/>
      <c r="J113" s="652"/>
      <c r="K113" s="176"/>
      <c r="L113" s="244">
        <v>10</v>
      </c>
      <c r="M113" s="334" t="s">
        <v>371</v>
      </c>
      <c r="N113" s="245" t="s">
        <v>324</v>
      </c>
      <c r="O113" s="494">
        <f>SUM(Z32:Z34)</f>
        <v>45750</v>
      </c>
      <c r="P113" s="451">
        <v>0.1</v>
      </c>
      <c r="Q113" s="247">
        <f>$O$113*P113</f>
        <v>4575</v>
      </c>
      <c r="R113" s="677"/>
      <c r="S113" s="514"/>
      <c r="T113" s="425">
        <f>T97</f>
        <v>46112</v>
      </c>
      <c r="U113" s="409">
        <f t="shared" si="21"/>
        <v>5468.5679012345681</v>
      </c>
      <c r="V113" s="658"/>
      <c r="W113" s="466">
        <f>W97</f>
        <v>46097</v>
      </c>
      <c r="X113" s="64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9"/>
      <c r="J114" s="652"/>
      <c r="K114" s="176"/>
      <c r="L114" s="244">
        <v>10</v>
      </c>
      <c r="M114" s="334" t="s">
        <v>371</v>
      </c>
      <c r="N114" s="245" t="s">
        <v>167</v>
      </c>
      <c r="O114" s="444"/>
      <c r="P114" s="451">
        <v>0.15</v>
      </c>
      <c r="Q114" s="247">
        <f t="shared" ref="Q114:Q120" si="22">$O$113*P114</f>
        <v>6862.5</v>
      </c>
      <c r="R114" s="678"/>
      <c r="S114" s="519"/>
      <c r="T114" s="425">
        <f t="shared" ref="T114:T120" si="23">T98</f>
        <v>46112</v>
      </c>
      <c r="U114" s="409">
        <f t="shared" si="21"/>
        <v>8202.8518518518522</v>
      </c>
      <c r="V114" s="658"/>
      <c r="W114" s="466">
        <f t="shared" ref="W114:W120" si="24">W98</f>
        <v>46097</v>
      </c>
      <c r="X114" s="64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9"/>
      <c r="J115" s="652"/>
      <c r="K115" s="176"/>
      <c r="L115" s="244">
        <v>10</v>
      </c>
      <c r="M115" s="334" t="s">
        <v>371</v>
      </c>
      <c r="N115" s="245" t="s">
        <v>326</v>
      </c>
      <c r="O115" s="444"/>
      <c r="P115" s="451">
        <v>0.2</v>
      </c>
      <c r="Q115" s="247">
        <f t="shared" si="22"/>
        <v>9150</v>
      </c>
      <c r="R115" s="678"/>
      <c r="S115" s="514"/>
      <c r="T115" s="425">
        <f t="shared" si="23"/>
        <v>46142</v>
      </c>
      <c r="U115" s="409">
        <f t="shared" si="21"/>
        <v>10937.135802469136</v>
      </c>
      <c r="V115" s="658"/>
      <c r="W115" s="466">
        <f t="shared" si="24"/>
        <v>46141</v>
      </c>
      <c r="X115" s="64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49"/>
      <c r="J116" s="652"/>
      <c r="K116" s="176"/>
      <c r="L116" s="244">
        <v>10</v>
      </c>
      <c r="M116" s="334" t="s">
        <v>371</v>
      </c>
      <c r="N116" s="245" t="s">
        <v>328</v>
      </c>
      <c r="O116" s="444"/>
      <c r="P116" s="451">
        <v>0.25</v>
      </c>
      <c r="Q116" s="247">
        <f t="shared" si="22"/>
        <v>11437.5</v>
      </c>
      <c r="R116" s="678"/>
      <c r="S116" s="514"/>
      <c r="T116" s="425">
        <f t="shared" si="23"/>
        <v>46142</v>
      </c>
      <c r="U116" s="409">
        <f t="shared" si="21"/>
        <v>13671.41975308642</v>
      </c>
      <c r="V116" s="658"/>
      <c r="W116" s="466">
        <f t="shared" si="24"/>
        <v>46120</v>
      </c>
      <c r="X116" s="64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49"/>
      <c r="J117" s="652"/>
      <c r="K117" s="176"/>
      <c r="L117" s="244">
        <v>10</v>
      </c>
      <c r="M117" s="334" t="s">
        <v>371</v>
      </c>
      <c r="N117" s="245" t="s">
        <v>329</v>
      </c>
      <c r="O117" s="444"/>
      <c r="P117" s="451">
        <v>0.1</v>
      </c>
      <c r="Q117" s="247">
        <f t="shared" si="22"/>
        <v>4575</v>
      </c>
      <c r="R117" s="678"/>
      <c r="S117" s="514"/>
      <c r="T117" s="425">
        <f t="shared" si="23"/>
        <v>46173</v>
      </c>
      <c r="U117" s="409">
        <f t="shared" si="21"/>
        <v>5468.5679012345681</v>
      </c>
      <c r="V117" s="658"/>
      <c r="W117" s="466">
        <f t="shared" si="24"/>
        <v>46160</v>
      </c>
      <c r="X117" s="64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49"/>
      <c r="J118" s="652"/>
      <c r="K118" s="176"/>
      <c r="L118" s="244">
        <v>10</v>
      </c>
      <c r="M118" s="334" t="s">
        <v>371</v>
      </c>
      <c r="N118" s="245" t="s">
        <v>330</v>
      </c>
      <c r="O118" s="444"/>
      <c r="P118" s="451">
        <v>0.1</v>
      </c>
      <c r="Q118" s="247">
        <f t="shared" si="22"/>
        <v>4575</v>
      </c>
      <c r="R118" s="678"/>
      <c r="S118" s="514"/>
      <c r="T118" s="425">
        <f t="shared" si="23"/>
        <v>46173</v>
      </c>
      <c r="U118" s="409">
        <f t="shared" si="21"/>
        <v>5468.5679012345681</v>
      </c>
      <c r="V118" s="658"/>
      <c r="W118" s="466">
        <f t="shared" si="24"/>
        <v>46161</v>
      </c>
      <c r="X118" s="64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49"/>
      <c r="J119" s="652"/>
      <c r="K119" s="176"/>
      <c r="L119" s="244">
        <v>10</v>
      </c>
      <c r="M119" s="334" t="s">
        <v>371</v>
      </c>
      <c r="N119" s="245" t="s">
        <v>331</v>
      </c>
      <c r="O119" s="444"/>
      <c r="P119" s="451">
        <v>0.05</v>
      </c>
      <c r="Q119" s="247">
        <f t="shared" si="22"/>
        <v>2287.5</v>
      </c>
      <c r="R119" s="678"/>
      <c r="S119" s="514"/>
      <c r="T119" s="425">
        <f t="shared" si="23"/>
        <v>46173</v>
      </c>
      <c r="U119" s="409">
        <f t="shared" si="21"/>
        <v>2734.2839506172841</v>
      </c>
      <c r="V119" s="658"/>
      <c r="W119" s="466">
        <f t="shared" si="24"/>
        <v>46161</v>
      </c>
      <c r="X119" s="64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49"/>
      <c r="J120" s="652"/>
      <c r="K120" s="176"/>
      <c r="L120" s="244">
        <v>10</v>
      </c>
      <c r="M120" s="334" t="s">
        <v>371</v>
      </c>
      <c r="N120" s="245" t="s">
        <v>332</v>
      </c>
      <c r="O120" s="444"/>
      <c r="P120" s="451">
        <v>0.05</v>
      </c>
      <c r="Q120" s="247">
        <f t="shared" si="22"/>
        <v>2287.5</v>
      </c>
      <c r="R120" s="679"/>
      <c r="S120" s="514"/>
      <c r="T120" s="425">
        <f t="shared" si="23"/>
        <v>46203</v>
      </c>
      <c r="U120" s="409">
        <f t="shared" si="21"/>
        <v>2734.2839506172841</v>
      </c>
      <c r="V120" s="658"/>
      <c r="W120" s="466">
        <f t="shared" si="24"/>
        <v>46184</v>
      </c>
      <c r="X120" s="64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49"/>
      <c r="J121" s="652"/>
      <c r="K121" s="176"/>
      <c r="L121" s="244">
        <v>10</v>
      </c>
      <c r="M121" s="334" t="s">
        <v>371</v>
      </c>
      <c r="N121" s="245"/>
      <c r="O121" s="444"/>
      <c r="P121" s="369"/>
      <c r="Q121" s="247"/>
      <c r="R121" s="484"/>
      <c r="S121" s="514"/>
      <c r="T121" s="425" t="str">
        <f t="shared" si="14"/>
        <v/>
      </c>
      <c r="U121" s="409">
        <f t="shared" si="21"/>
        <v>0</v>
      </c>
      <c r="V121" s="658"/>
      <c r="W121" s="466"/>
      <c r="X121" s="649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649"/>
      <c r="J122" s="652"/>
      <c r="K122" s="176"/>
      <c r="L122" s="244">
        <v>10</v>
      </c>
      <c r="M122" s="334" t="s">
        <v>371</v>
      </c>
      <c r="N122" s="245"/>
      <c r="O122" s="444"/>
      <c r="P122" s="369"/>
      <c r="Q122" s="247"/>
      <c r="R122" s="484"/>
      <c r="S122" s="514"/>
      <c r="T122" s="425" t="str">
        <f t="shared" si="14"/>
        <v/>
      </c>
      <c r="U122" s="409">
        <f t="shared" si="21"/>
        <v>0</v>
      </c>
      <c r="V122" s="658"/>
      <c r="W122" s="466"/>
      <c r="X122" s="649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650"/>
      <c r="J123" s="653"/>
      <c r="K123" s="179"/>
      <c r="L123" s="177">
        <v>10</v>
      </c>
      <c r="M123" s="335" t="s">
        <v>371</v>
      </c>
      <c r="N123" s="248"/>
      <c r="O123" s="445"/>
      <c r="P123" s="370"/>
      <c r="Q123" s="178"/>
      <c r="R123" s="485"/>
      <c r="S123" s="515"/>
      <c r="T123" s="426" t="str">
        <f t="shared" si="14"/>
        <v/>
      </c>
      <c r="U123" s="410"/>
      <c r="V123" s="659"/>
      <c r="W123" s="467"/>
      <c r="X123" s="650"/>
    </row>
    <row r="124" spans="1:24" ht="14.4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4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373</v>
      </c>
      <c r="D125" s="255" t="s">
        <v>374</v>
      </c>
      <c r="E125" s="187"/>
      <c r="F125" s="336"/>
      <c r="G125" s="188">
        <v>11000</v>
      </c>
      <c r="H125" s="542">
        <f>'Project Plan'!G43</f>
        <v>46153</v>
      </c>
      <c r="I125" s="642">
        <f>SUM(G125:G129)</f>
        <v>118984</v>
      </c>
      <c r="J125" s="645">
        <f>F183</f>
        <v>132204.44444444444</v>
      </c>
      <c r="K125" s="189"/>
      <c r="L125" s="185">
        <v>11</v>
      </c>
      <c r="M125" s="255" t="s">
        <v>375</v>
      </c>
      <c r="N125" s="255" t="s">
        <v>374</v>
      </c>
      <c r="O125" s="187"/>
      <c r="P125" s="336"/>
      <c r="Q125" s="188">
        <v>21500</v>
      </c>
      <c r="R125" s="535"/>
      <c r="S125" s="507" t="s">
        <v>376</v>
      </c>
      <c r="T125" s="418">
        <f t="shared" si="14"/>
        <v>46173</v>
      </c>
      <c r="U125" s="397">
        <f>(Q125/$X$125*$J$125)</f>
        <v>23982.412719841002</v>
      </c>
      <c r="V125" s="654">
        <f>J125-SUM(U125:U129)</f>
        <v>0</v>
      </c>
      <c r="W125" s="460">
        <f>'Project Plan'!K43+14</f>
        <v>46167</v>
      </c>
      <c r="X125" s="642">
        <f>SUM(Q125:Q129)</f>
        <v>118520</v>
      </c>
    </row>
    <row r="126" spans="1:24" ht="15" customHeight="1">
      <c r="B126" s="215">
        <v>11</v>
      </c>
      <c r="C126" s="217"/>
      <c r="D126" s="217" t="s">
        <v>377</v>
      </c>
      <c r="E126" s="218"/>
      <c r="F126" s="357"/>
      <c r="G126" s="219">
        <v>20984</v>
      </c>
      <c r="H126" s="542">
        <f>H125</f>
        <v>46153</v>
      </c>
      <c r="I126" s="643"/>
      <c r="J126" s="646"/>
      <c r="K126" s="192"/>
      <c r="L126" s="215">
        <v>11</v>
      </c>
      <c r="M126" s="290" t="s">
        <v>375</v>
      </c>
      <c r="N126" s="217" t="s">
        <v>378</v>
      </c>
      <c r="O126" s="218"/>
      <c r="P126" s="357"/>
      <c r="Q126" s="219"/>
      <c r="R126" s="517"/>
      <c r="S126" s="500"/>
      <c r="T126" s="411"/>
      <c r="U126" s="397">
        <f>(Q126/$X$125*$J$125)</f>
        <v>0</v>
      </c>
      <c r="V126" s="655"/>
      <c r="W126" s="453"/>
      <c r="X126" s="643"/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2"/>
      <c r="I127" s="643"/>
      <c r="J127" s="646"/>
      <c r="K127" s="192"/>
      <c r="L127" s="215">
        <v>11</v>
      </c>
      <c r="M127" s="290" t="s">
        <v>375</v>
      </c>
      <c r="N127" s="217" t="s">
        <v>379</v>
      </c>
      <c r="O127" s="218"/>
      <c r="P127" s="357"/>
      <c r="Q127" s="219">
        <v>84020</v>
      </c>
      <c r="R127" s="469" t="s">
        <v>380</v>
      </c>
      <c r="S127" s="500"/>
      <c r="T127" s="411">
        <v>46112</v>
      </c>
      <c r="U127" s="397">
        <f>(Q127/$X$125*$J$125)</f>
        <v>93721.037987025149</v>
      </c>
      <c r="V127" s="655"/>
      <c r="W127" s="453">
        <f>T127+60</f>
        <v>46172</v>
      </c>
      <c r="X127" s="643"/>
    </row>
    <row r="128" spans="1:24" ht="15" customHeight="1">
      <c r="B128" s="215">
        <v>11</v>
      </c>
      <c r="C128" s="288"/>
      <c r="D128" s="288" t="s">
        <v>379</v>
      </c>
      <c r="E128" s="307"/>
      <c r="F128" s="343"/>
      <c r="G128" s="287">
        <v>80000</v>
      </c>
      <c r="H128" s="551">
        <v>46142</v>
      </c>
      <c r="I128" s="643"/>
      <c r="J128" s="646"/>
      <c r="K128" s="192"/>
      <c r="L128" s="215">
        <v>11</v>
      </c>
      <c r="M128" s="290" t="s">
        <v>375</v>
      </c>
      <c r="N128" s="288" t="s">
        <v>381</v>
      </c>
      <c r="O128" s="434"/>
      <c r="P128" s="343"/>
      <c r="Q128" s="287">
        <v>6000</v>
      </c>
      <c r="R128" s="470"/>
      <c r="S128" s="501"/>
      <c r="T128" s="411">
        <f t="shared" si="14"/>
        <v>46112</v>
      </c>
      <c r="U128" s="397">
        <f>(Q128/$X$125*$J$125)</f>
        <v>6692.7663404207451</v>
      </c>
      <c r="V128" s="655"/>
      <c r="W128" s="454">
        <v>46111</v>
      </c>
      <c r="X128" s="643"/>
    </row>
    <row r="129" spans="1:24" ht="15" customHeight="1" thickBot="1">
      <c r="B129" s="220">
        <v>11</v>
      </c>
      <c r="C129" s="221"/>
      <c r="D129" s="221" t="s">
        <v>382</v>
      </c>
      <c r="E129" s="222"/>
      <c r="F129" s="358"/>
      <c r="G129" s="234">
        <v>7000</v>
      </c>
      <c r="H129" s="552">
        <v>46081</v>
      </c>
      <c r="I129" s="644"/>
      <c r="J129" s="647"/>
      <c r="K129" s="193"/>
      <c r="L129" s="220">
        <v>11</v>
      </c>
      <c r="M129" s="318" t="s">
        <v>375</v>
      </c>
      <c r="N129" s="221" t="s">
        <v>382</v>
      </c>
      <c r="O129" s="222"/>
      <c r="P129" s="358"/>
      <c r="Q129" s="234">
        <v>7000</v>
      </c>
      <c r="R129" s="471"/>
      <c r="S129" s="502"/>
      <c r="T129" s="413">
        <f>T128</f>
        <v>46112</v>
      </c>
      <c r="U129" s="398">
        <f>(Q129/$X$125*$J$125)</f>
        <v>7808.2273971575351</v>
      </c>
      <c r="V129" s="656"/>
      <c r="W129" s="455">
        <v>46112</v>
      </c>
      <c r="X129" s="644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383</v>
      </c>
      <c r="D131" s="174" t="s">
        <v>384</v>
      </c>
      <c r="E131" s="175"/>
      <c r="F131" s="368"/>
      <c r="G131" s="242">
        <v>0</v>
      </c>
      <c r="H131" s="561"/>
      <c r="I131" s="648">
        <f>SUM(G131:G132)</f>
        <v>0</v>
      </c>
      <c r="J131" s="651">
        <v>0</v>
      </c>
      <c r="K131" s="663"/>
      <c r="L131" s="173">
        <v>12</v>
      </c>
      <c r="M131" s="174" t="s">
        <v>385</v>
      </c>
      <c r="N131" s="174" t="s">
        <v>384</v>
      </c>
      <c r="O131" s="443"/>
      <c r="P131" s="368"/>
      <c r="Q131" s="242">
        <f>G131</f>
        <v>0</v>
      </c>
      <c r="R131" s="482"/>
      <c r="S131" s="512"/>
      <c r="T131" s="423" t="str">
        <f t="shared" si="14"/>
        <v/>
      </c>
      <c r="U131" s="408"/>
      <c r="V131" s="384"/>
      <c r="W131" s="464"/>
      <c r="X131" s="648">
        <f>SUM(Q131:Q132)</f>
        <v>0</v>
      </c>
    </row>
    <row r="132" spans="1:24" ht="15" customHeight="1" thickBot="1">
      <c r="B132" s="177">
        <v>12</v>
      </c>
      <c r="C132" s="248" t="s">
        <v>383</v>
      </c>
      <c r="D132" s="248"/>
      <c r="E132" s="249"/>
      <c r="F132" s="370"/>
      <c r="G132" s="178"/>
      <c r="H132" s="564"/>
      <c r="I132" s="650"/>
      <c r="J132" s="653"/>
      <c r="K132" s="664"/>
      <c r="L132" s="177">
        <v>12</v>
      </c>
      <c r="M132" s="248" t="s">
        <v>385</v>
      </c>
      <c r="N132" s="248"/>
      <c r="O132" s="445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650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386</v>
      </c>
      <c r="D134" s="255" t="s">
        <v>387</v>
      </c>
      <c r="E134" s="187"/>
      <c r="F134" s="336"/>
      <c r="G134" s="188">
        <f>D182</f>
        <v>39647.830878019326</v>
      </c>
      <c r="H134" s="542">
        <f>'Project Plan'!G52</f>
        <v>46162</v>
      </c>
      <c r="I134" s="642">
        <f>SUM(G134:G138)</f>
        <v>39647.830878019326</v>
      </c>
      <c r="J134" s="645">
        <f>F182</f>
        <v>45054.353270476509</v>
      </c>
      <c r="K134" s="189"/>
      <c r="L134" s="185">
        <v>13</v>
      </c>
      <c r="M134" s="255" t="s">
        <v>388</v>
      </c>
      <c r="N134" s="255" t="s">
        <v>389</v>
      </c>
      <c r="O134" s="432"/>
      <c r="P134" s="336"/>
      <c r="Q134" s="188">
        <f>'Project Plan'!$E$6*1.25%</f>
        <v>51495.085714090455</v>
      </c>
      <c r="R134" s="476"/>
      <c r="S134" s="507"/>
      <c r="T134" s="418">
        <f t="shared" si="14"/>
        <v>46173</v>
      </c>
      <c r="U134" s="404">
        <f t="shared" ref="U134:U139" si="25">(Q134/$X$134*$J$134)</f>
        <v>45054.353270476509</v>
      </c>
      <c r="V134" s="654">
        <f>J134-SUM(U134:U139)</f>
        <v>0</v>
      </c>
      <c r="W134" s="460">
        <v>46173</v>
      </c>
      <c r="X134" s="642">
        <f>SUM(Q134:Q139)</f>
        <v>51495.085714090455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43"/>
      <c r="J135" s="646"/>
      <c r="K135" s="192"/>
      <c r="L135" s="215">
        <v>13</v>
      </c>
      <c r="M135" s="290" t="s">
        <v>388</v>
      </c>
      <c r="N135" s="217" t="s">
        <v>390</v>
      </c>
      <c r="O135" s="218"/>
      <c r="P135" s="357"/>
      <c r="Q135" s="219"/>
      <c r="R135" s="469"/>
      <c r="S135" s="500"/>
      <c r="T135" s="411">
        <f t="shared" si="14"/>
        <v>46173</v>
      </c>
      <c r="U135" s="396">
        <f t="shared" si="25"/>
        <v>0</v>
      </c>
      <c r="V135" s="655"/>
      <c r="W135" s="453">
        <f>W134</f>
        <v>46173</v>
      </c>
      <c r="X135" s="643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3"/>
      <c r="J136" s="646"/>
      <c r="K136" s="192"/>
      <c r="L136" s="215">
        <v>13</v>
      </c>
      <c r="M136" s="290" t="s">
        <v>388</v>
      </c>
      <c r="N136" s="217" t="s">
        <v>391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55"/>
      <c r="W136" s="453">
        <f t="shared" ref="W136:W138" si="26">W135</f>
        <v>46173</v>
      </c>
      <c r="X136" s="643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3"/>
      <c r="J137" s="646"/>
      <c r="K137" s="192"/>
      <c r="L137" s="215">
        <v>13</v>
      </c>
      <c r="M137" s="290" t="s">
        <v>388</v>
      </c>
      <c r="N137" s="217" t="s">
        <v>392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55"/>
      <c r="W137" s="453">
        <f t="shared" si="26"/>
        <v>46173</v>
      </c>
      <c r="X137" s="643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1"/>
      <c r="I138" s="643"/>
      <c r="J138" s="646"/>
      <c r="K138" s="192"/>
      <c r="L138" s="215">
        <v>13</v>
      </c>
      <c r="M138" s="290" t="s">
        <v>388</v>
      </c>
      <c r="N138" s="217" t="s">
        <v>393</v>
      </c>
      <c r="O138" s="218"/>
      <c r="P138" s="357"/>
      <c r="Q138" s="219"/>
      <c r="R138" s="469"/>
      <c r="S138" s="500"/>
      <c r="T138" s="411">
        <f t="shared" si="14"/>
        <v>46173</v>
      </c>
      <c r="U138" s="396">
        <f t="shared" si="25"/>
        <v>0</v>
      </c>
      <c r="V138" s="655"/>
      <c r="W138" s="453">
        <f t="shared" si="26"/>
        <v>46173</v>
      </c>
      <c r="X138" s="643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644"/>
      <c r="J139" s="647"/>
      <c r="K139" s="267"/>
      <c r="L139" s="220">
        <v>13</v>
      </c>
      <c r="M139" s="318" t="s">
        <v>388</v>
      </c>
      <c r="N139" s="221"/>
      <c r="O139" s="435"/>
      <c r="P139" s="358"/>
      <c r="Q139" s="234"/>
      <c r="R139" s="471"/>
      <c r="S139" s="502"/>
      <c r="T139" s="413" t="str">
        <f t="shared" si="14"/>
        <v/>
      </c>
      <c r="U139" s="398">
        <f t="shared" si="25"/>
        <v>0</v>
      </c>
      <c r="V139" s="656"/>
      <c r="W139" s="455"/>
      <c r="X139" s="644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394</v>
      </c>
      <c r="D141" s="174" t="s">
        <v>395</v>
      </c>
      <c r="E141" s="175"/>
      <c r="F141" s="368"/>
      <c r="G141" s="242">
        <f>D193</f>
        <v>5600</v>
      </c>
      <c r="H141" s="561">
        <f>'Project Plan'!G52</f>
        <v>46162</v>
      </c>
      <c r="I141" s="648">
        <f>SUM(G141:G152)</f>
        <v>5600</v>
      </c>
      <c r="J141" s="651">
        <f>F193</f>
        <v>6222.2222222222226</v>
      </c>
      <c r="K141" s="243"/>
      <c r="L141" s="173">
        <v>14</v>
      </c>
      <c r="M141" s="333" t="s">
        <v>396</v>
      </c>
      <c r="N141" s="174" t="s">
        <v>397</v>
      </c>
      <c r="O141" s="443"/>
      <c r="P141" s="527"/>
      <c r="Q141" s="532">
        <f>$G$141/4</f>
        <v>1400</v>
      </c>
      <c r="R141" s="529"/>
      <c r="S141" s="518"/>
      <c r="T141" s="423">
        <v>46081</v>
      </c>
      <c r="U141" s="408">
        <f t="shared" ref="U141:U152" si="27">(Q141/$X$141*$J$141)</f>
        <v>1555.5555555555557</v>
      </c>
      <c r="V141" s="657">
        <f>J141-SUM(U141:U152)</f>
        <v>0</v>
      </c>
      <c r="W141" s="466">
        <f>T141+7</f>
        <v>46088</v>
      </c>
      <c r="X141" s="648">
        <f>SUM(Q141:Q152)</f>
        <v>5600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9"/>
      <c r="J142" s="652"/>
      <c r="K142" s="176"/>
      <c r="L142" s="244">
        <v>14</v>
      </c>
      <c r="M142" s="334" t="s">
        <v>396</v>
      </c>
      <c r="N142" s="245" t="s">
        <v>397</v>
      </c>
      <c r="O142" s="444"/>
      <c r="P142" s="528"/>
      <c r="Q142" s="531">
        <f>$G$141/4</f>
        <v>1400</v>
      </c>
      <c r="R142" s="530"/>
      <c r="S142" s="518"/>
      <c r="T142" s="425">
        <v>46112</v>
      </c>
      <c r="U142" s="409">
        <f t="shared" si="27"/>
        <v>1555.5555555555557</v>
      </c>
      <c r="V142" s="658"/>
      <c r="W142" s="466">
        <f>T142+7</f>
        <v>46119</v>
      </c>
      <c r="X142" s="64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9"/>
      <c r="J143" s="652"/>
      <c r="K143" s="176"/>
      <c r="L143" s="244">
        <v>14</v>
      </c>
      <c r="M143" s="334" t="s">
        <v>396</v>
      </c>
      <c r="N143" s="245" t="s">
        <v>397</v>
      </c>
      <c r="O143" s="444"/>
      <c r="P143" s="369"/>
      <c r="Q143" s="247">
        <f>$G$141/4</f>
        <v>1400</v>
      </c>
      <c r="R143" s="484"/>
      <c r="S143" s="518"/>
      <c r="T143" s="425">
        <v>46142</v>
      </c>
      <c r="U143" s="409">
        <f t="shared" si="27"/>
        <v>1555.5555555555557</v>
      </c>
      <c r="V143" s="658"/>
      <c r="W143" s="466">
        <f>T143+7</f>
        <v>46149</v>
      </c>
      <c r="X143" s="64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9"/>
      <c r="J144" s="652"/>
      <c r="K144" s="176"/>
      <c r="L144" s="244">
        <v>14</v>
      </c>
      <c r="M144" s="334" t="s">
        <v>396</v>
      </c>
      <c r="N144" s="245" t="s">
        <v>397</v>
      </c>
      <c r="O144" s="444"/>
      <c r="P144" s="369"/>
      <c r="Q144" s="247">
        <f>$G$141/4</f>
        <v>1400</v>
      </c>
      <c r="R144" s="484"/>
      <c r="S144" s="512"/>
      <c r="T144" s="425">
        <v>46173</v>
      </c>
      <c r="U144" s="409">
        <f t="shared" si="27"/>
        <v>1555.5555555555557</v>
      </c>
      <c r="V144" s="658"/>
      <c r="W144" s="466">
        <f>T144+7</f>
        <v>46180</v>
      </c>
      <c r="X144" s="64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49"/>
      <c r="J145" s="652"/>
      <c r="K145" s="176"/>
      <c r="L145" s="244">
        <v>14</v>
      </c>
      <c r="M145" s="334" t="s">
        <v>396</v>
      </c>
      <c r="N145" s="245" t="s">
        <v>397</v>
      </c>
      <c r="O145" s="444"/>
      <c r="P145" s="369"/>
      <c r="Q145" s="247"/>
      <c r="R145" s="484"/>
      <c r="S145" s="512"/>
      <c r="T145" s="425" t="str">
        <f t="shared" ref="T145:T165" si="28">IF(W145&gt;1,EOMONTH(W145,0),"")</f>
        <v/>
      </c>
      <c r="U145" s="409">
        <f t="shared" si="27"/>
        <v>0</v>
      </c>
      <c r="V145" s="658"/>
      <c r="W145" s="466"/>
      <c r="X145" s="64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49"/>
      <c r="J146" s="652"/>
      <c r="K146" s="176"/>
      <c r="L146" s="244">
        <v>14</v>
      </c>
      <c r="M146" s="334" t="s">
        <v>396</v>
      </c>
      <c r="N146" s="245" t="s">
        <v>397</v>
      </c>
      <c r="O146" s="444"/>
      <c r="P146" s="369"/>
      <c r="Q146" s="247"/>
      <c r="R146" s="484"/>
      <c r="S146" s="512"/>
      <c r="T146" s="425" t="str">
        <f t="shared" si="28"/>
        <v/>
      </c>
      <c r="U146" s="409">
        <f t="shared" si="27"/>
        <v>0</v>
      </c>
      <c r="V146" s="658"/>
      <c r="W146" s="466"/>
      <c r="X146" s="64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49"/>
      <c r="J147" s="652"/>
      <c r="K147" s="176"/>
      <c r="L147" s="244">
        <v>14</v>
      </c>
      <c r="M147" s="334" t="s">
        <v>396</v>
      </c>
      <c r="N147" s="245" t="s">
        <v>397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58"/>
      <c r="W147" s="466"/>
      <c r="X147" s="64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49"/>
      <c r="J148" s="652"/>
      <c r="K148" s="176"/>
      <c r="L148" s="244">
        <v>14</v>
      </c>
      <c r="M148" s="334" t="s">
        <v>396</v>
      </c>
      <c r="N148" s="245" t="s">
        <v>397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58"/>
      <c r="W148" s="466"/>
      <c r="X148" s="64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49"/>
      <c r="J149" s="652"/>
      <c r="K149" s="176"/>
      <c r="L149" s="244">
        <v>14</v>
      </c>
      <c r="M149" s="334" t="s">
        <v>396</v>
      </c>
      <c r="N149" s="245" t="s">
        <v>397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58"/>
      <c r="W149" s="466"/>
      <c r="X149" s="64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49"/>
      <c r="J150" s="652"/>
      <c r="K150" s="176"/>
      <c r="L150" s="244">
        <v>14</v>
      </c>
      <c r="M150" s="334" t="s">
        <v>396</v>
      </c>
      <c r="N150" s="245" t="s">
        <v>397</v>
      </c>
      <c r="O150" s="444"/>
      <c r="P150" s="369"/>
      <c r="Q150" s="247"/>
      <c r="R150" s="484"/>
      <c r="S150" s="512"/>
      <c r="T150" s="425" t="str">
        <f t="shared" si="28"/>
        <v/>
      </c>
      <c r="U150" s="409">
        <f t="shared" si="27"/>
        <v>0</v>
      </c>
      <c r="V150" s="658"/>
      <c r="W150" s="466"/>
      <c r="X150" s="649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649"/>
      <c r="J151" s="652"/>
      <c r="K151" s="176"/>
      <c r="L151" s="244">
        <v>14</v>
      </c>
      <c r="M151" s="334" t="s">
        <v>396</v>
      </c>
      <c r="N151" s="245"/>
      <c r="O151" s="444"/>
      <c r="P151" s="369"/>
      <c r="Q151" s="247"/>
      <c r="R151" s="484"/>
      <c r="S151" s="514"/>
      <c r="T151" s="425" t="str">
        <f t="shared" si="28"/>
        <v/>
      </c>
      <c r="U151" s="409">
        <f t="shared" si="27"/>
        <v>0</v>
      </c>
      <c r="V151" s="658"/>
      <c r="W151" s="466"/>
      <c r="X151" s="649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650"/>
      <c r="J152" s="653"/>
      <c r="K152" s="179"/>
      <c r="L152" s="177">
        <v>14</v>
      </c>
      <c r="M152" s="335" t="s">
        <v>396</v>
      </c>
      <c r="N152" s="248"/>
      <c r="O152" s="445"/>
      <c r="P152" s="370"/>
      <c r="Q152" s="178"/>
      <c r="R152" s="485"/>
      <c r="S152" s="515"/>
      <c r="T152" s="426" t="str">
        <f t="shared" si="28"/>
        <v/>
      </c>
      <c r="U152" s="410">
        <f t="shared" si="27"/>
        <v>0</v>
      </c>
      <c r="V152" s="659"/>
      <c r="W152" s="467"/>
      <c r="X152" s="650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8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398</v>
      </c>
      <c r="D154" s="186"/>
      <c r="E154" s="187"/>
      <c r="F154" s="336"/>
      <c r="G154" s="188"/>
      <c r="H154" s="542"/>
      <c r="I154" s="642">
        <f>SUM(G154:G165)</f>
        <v>0</v>
      </c>
      <c r="J154" s="645">
        <v>0</v>
      </c>
      <c r="K154" s="189"/>
      <c r="L154" s="185">
        <v>15</v>
      </c>
      <c r="M154" s="255" t="s">
        <v>399</v>
      </c>
      <c r="N154" s="186"/>
      <c r="O154" s="187"/>
      <c r="P154" s="336"/>
      <c r="Q154" s="188"/>
      <c r="R154" s="476"/>
      <c r="S154" s="507"/>
      <c r="T154" s="418" t="str">
        <f t="shared" si="28"/>
        <v/>
      </c>
      <c r="U154" s="404"/>
      <c r="V154" s="654">
        <v>0</v>
      </c>
      <c r="W154" s="460"/>
      <c r="X154" s="642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43"/>
      <c r="J155" s="646"/>
      <c r="K155" s="192"/>
      <c r="L155" s="215">
        <v>15</v>
      </c>
      <c r="M155" s="290" t="s">
        <v>399</v>
      </c>
      <c r="N155" s="217"/>
      <c r="O155" s="433"/>
      <c r="P155" s="357"/>
      <c r="Q155" s="219"/>
      <c r="R155" s="469"/>
      <c r="S155" s="500"/>
      <c r="T155" s="411" t="str">
        <f t="shared" si="28"/>
        <v/>
      </c>
      <c r="U155" s="396"/>
      <c r="V155" s="655"/>
      <c r="W155" s="453"/>
      <c r="X155" s="643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3"/>
      <c r="J156" s="646"/>
      <c r="K156" s="192"/>
      <c r="L156" s="215">
        <v>15</v>
      </c>
      <c r="M156" s="290" t="s">
        <v>399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55"/>
      <c r="W156" s="453"/>
      <c r="X156" s="643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3"/>
      <c r="J157" s="646"/>
      <c r="K157" s="192"/>
      <c r="L157" s="215">
        <v>15</v>
      </c>
      <c r="M157" s="290" t="s">
        <v>399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55"/>
      <c r="W157" s="453"/>
      <c r="X157" s="643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3"/>
      <c r="J158" s="646"/>
      <c r="K158" s="192"/>
      <c r="L158" s="215">
        <v>15</v>
      </c>
      <c r="M158" s="290" t="s">
        <v>399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55"/>
      <c r="W158" s="453"/>
      <c r="X158" s="643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3"/>
      <c r="J159" s="646"/>
      <c r="K159" s="192"/>
      <c r="L159" s="215">
        <v>15</v>
      </c>
      <c r="M159" s="290" t="s">
        <v>399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55"/>
      <c r="W159" s="453"/>
      <c r="X159" s="643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3"/>
      <c r="J160" s="646"/>
      <c r="K160" s="192"/>
      <c r="L160" s="215">
        <v>15</v>
      </c>
      <c r="M160" s="290" t="s">
        <v>399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55"/>
      <c r="W160" s="453"/>
      <c r="X160" s="643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3"/>
      <c r="J161" s="646"/>
      <c r="K161" s="192"/>
      <c r="L161" s="215">
        <v>15</v>
      </c>
      <c r="M161" s="290" t="s">
        <v>399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55"/>
      <c r="W161" s="453"/>
      <c r="X161" s="643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3"/>
      <c r="J162" s="646"/>
      <c r="K162" s="192"/>
      <c r="L162" s="215">
        <v>15</v>
      </c>
      <c r="M162" s="290" t="s">
        <v>399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55"/>
      <c r="W162" s="453"/>
      <c r="X162" s="643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3"/>
      <c r="J163" s="646"/>
      <c r="K163" s="192"/>
      <c r="L163" s="215">
        <v>15</v>
      </c>
      <c r="M163" s="290" t="s">
        <v>399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55"/>
      <c r="W163" s="453"/>
      <c r="X163" s="643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43"/>
      <c r="J164" s="646"/>
      <c r="K164" s="192"/>
      <c r="L164" s="215">
        <v>15</v>
      </c>
      <c r="M164" s="290" t="s">
        <v>399</v>
      </c>
      <c r="N164" s="217"/>
      <c r="O164" s="433"/>
      <c r="P164" s="357"/>
      <c r="Q164" s="219"/>
      <c r="R164" s="469"/>
      <c r="S164" s="500"/>
      <c r="T164" s="411" t="str">
        <f t="shared" si="28"/>
        <v/>
      </c>
      <c r="U164" s="396"/>
      <c r="V164" s="655"/>
      <c r="W164" s="453"/>
      <c r="X164" s="643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44"/>
      <c r="J165" s="647"/>
      <c r="K165" s="193"/>
      <c r="L165" s="220">
        <v>15</v>
      </c>
      <c r="M165" s="318" t="s">
        <v>399</v>
      </c>
      <c r="N165" s="221"/>
      <c r="O165" s="435"/>
      <c r="P165" s="358"/>
      <c r="Q165" s="234"/>
      <c r="R165" s="471"/>
      <c r="S165" s="502"/>
      <c r="T165" s="413" t="str">
        <f t="shared" si="28"/>
        <v/>
      </c>
      <c r="U165" s="398"/>
      <c r="V165" s="656"/>
      <c r="W165" s="455"/>
      <c r="X165" s="644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400</v>
      </c>
      <c r="D167" s="4">
        <v>934547.91999999993</v>
      </c>
      <c r="E167" s="77"/>
      <c r="F167" s="431">
        <v>1139692.5853658535</v>
      </c>
      <c r="G167" s="26"/>
      <c r="H167" s="26"/>
      <c r="I167" s="160"/>
      <c r="J167" s="160"/>
    </row>
    <row r="168" spans="2:24">
      <c r="B168" s="26"/>
      <c r="C168" s="431" t="s">
        <v>401</v>
      </c>
      <c r="D168" s="4">
        <v>204150</v>
      </c>
      <c r="E168" s="77"/>
      <c r="F168" s="431">
        <v>248963.41463414632</v>
      </c>
      <c r="G168" s="26"/>
      <c r="H168" s="26"/>
      <c r="I168" s="160"/>
      <c r="J168" s="160"/>
    </row>
    <row r="169" spans="2:24">
      <c r="B169" s="26"/>
      <c r="C169" s="431" t="s">
        <v>402</v>
      </c>
      <c r="D169" s="4">
        <v>188856</v>
      </c>
      <c r="E169" s="77"/>
      <c r="F169" s="431">
        <v>230312.19512195123</v>
      </c>
      <c r="G169" s="26"/>
      <c r="H169" s="26"/>
      <c r="I169" s="253"/>
      <c r="J169" s="253"/>
    </row>
    <row r="170" spans="2:24">
      <c r="B170" s="26"/>
      <c r="C170" s="431" t="s">
        <v>323</v>
      </c>
      <c r="D170" s="4">
        <v>223700.8</v>
      </c>
      <c r="E170" s="77"/>
      <c r="F170" s="431">
        <v>272805.85365853657</v>
      </c>
      <c r="G170" s="26"/>
      <c r="H170" s="26"/>
      <c r="I170" s="160"/>
      <c r="J170" s="160"/>
    </row>
    <row r="171" spans="2:24">
      <c r="B171" s="26"/>
      <c r="C171" s="431" t="s">
        <v>338</v>
      </c>
      <c r="D171" s="4">
        <v>413396.72608695651</v>
      </c>
      <c r="E171" s="77"/>
      <c r="F171" s="431">
        <v>504142.3488865323</v>
      </c>
      <c r="G171" s="26"/>
      <c r="H171" s="26"/>
      <c r="I171" s="253"/>
      <c r="J171" s="253"/>
    </row>
    <row r="172" spans="2:24">
      <c r="B172" s="26"/>
      <c r="C172" s="431" t="s">
        <v>403</v>
      </c>
      <c r="D172" s="4">
        <v>174000</v>
      </c>
      <c r="E172" s="77"/>
      <c r="F172" s="431">
        <v>212195.12195121951</v>
      </c>
      <c r="G172" s="26"/>
      <c r="H172" s="26"/>
      <c r="I172" s="160"/>
      <c r="J172" s="160"/>
    </row>
    <row r="173" spans="2:24">
      <c r="B173" s="26"/>
      <c r="C173" s="431" t="s">
        <v>404</v>
      </c>
      <c r="D173" s="4">
        <v>124500</v>
      </c>
      <c r="E173" s="77"/>
      <c r="F173" s="431">
        <v>151829.26829268291</v>
      </c>
      <c r="G173" s="26"/>
      <c r="H173" s="26"/>
      <c r="I173" s="160"/>
      <c r="J173" s="160"/>
    </row>
    <row r="174" spans="2:24">
      <c r="B174" s="26"/>
      <c r="C174" s="431" t="s">
        <v>405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406</v>
      </c>
      <c r="D175" s="4">
        <v>120540.6</v>
      </c>
      <c r="E175" s="77"/>
      <c r="F175" s="431">
        <v>147000.73170731709</v>
      </c>
      <c r="G175" s="26"/>
      <c r="H175" s="26"/>
      <c r="I175" s="160"/>
      <c r="J175" s="160"/>
    </row>
    <row r="176" spans="2:24">
      <c r="B176" s="26"/>
      <c r="C176" s="431" t="s">
        <v>407</v>
      </c>
      <c r="D176" s="4">
        <v>531293.91304347827</v>
      </c>
      <c r="E176" s="77"/>
      <c r="F176" s="431">
        <v>603743.08300395263</v>
      </c>
      <c r="G176" s="26"/>
      <c r="H176" s="26"/>
      <c r="I176" s="160"/>
      <c r="J176" s="160"/>
    </row>
    <row r="177" spans="2:23">
      <c r="B177" s="26"/>
      <c r="C177" s="431" t="s">
        <v>408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409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410</v>
      </c>
      <c r="D180" s="26">
        <v>104920</v>
      </c>
      <c r="E180" s="77"/>
      <c r="F180" s="431">
        <v>116577.77777777778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411</v>
      </c>
      <c r="D181" s="26">
        <v>228760</v>
      </c>
      <c r="E181" s="77"/>
      <c r="F181" s="431">
        <v>254177.77777777778</v>
      </c>
      <c r="I181" s="160"/>
      <c r="J181" s="160"/>
      <c r="T181" s="431"/>
      <c r="U181" s="431"/>
      <c r="W181" s="431"/>
    </row>
    <row r="182" spans="2:23" s="26" customFormat="1">
      <c r="C182" s="431" t="s">
        <v>412</v>
      </c>
      <c r="D182" s="26">
        <v>39647.830878019326</v>
      </c>
      <c r="E182" s="77"/>
      <c r="F182" s="431">
        <v>45054.353270476509</v>
      </c>
      <c r="I182" s="160"/>
      <c r="J182" s="160"/>
      <c r="T182" s="431"/>
      <c r="U182" s="431"/>
      <c r="W182" s="431"/>
    </row>
    <row r="183" spans="2:23" s="26" customFormat="1">
      <c r="C183" s="431" t="s">
        <v>413</v>
      </c>
      <c r="D183" s="26">
        <v>118984</v>
      </c>
      <c r="E183" s="77"/>
      <c r="F183" s="431">
        <v>132204.44444444444</v>
      </c>
      <c r="I183" s="160"/>
      <c r="J183" s="160"/>
      <c r="T183" s="431"/>
      <c r="U183" s="431"/>
      <c r="W183" s="431"/>
    </row>
    <row r="184" spans="2:23" s="26" customFormat="1">
      <c r="C184" s="431" t="s">
        <v>414</v>
      </c>
      <c r="D184" s="26">
        <v>8500</v>
      </c>
      <c r="E184" s="77"/>
      <c r="F184" s="431">
        <v>9444.4444444444453</v>
      </c>
      <c r="I184" s="160"/>
      <c r="J184" s="160"/>
      <c r="T184" s="431"/>
      <c r="U184" s="431"/>
      <c r="W184" s="431"/>
    </row>
    <row r="185" spans="2:23" s="26" customFormat="1">
      <c r="C185" s="431" t="s">
        <v>415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416</v>
      </c>
      <c r="D186" s="26">
        <v>1644.4444444444443</v>
      </c>
      <c r="E186" s="77"/>
      <c r="F186" s="431">
        <v>1827.1604938271603</v>
      </c>
      <c r="I186" s="160"/>
      <c r="J186" s="160"/>
      <c r="T186" s="431"/>
      <c r="U186" s="431"/>
      <c r="W186" s="431"/>
    </row>
    <row r="187" spans="2:23" s="26" customFormat="1">
      <c r="C187" s="431" t="s">
        <v>417</v>
      </c>
      <c r="D187" s="26">
        <v>24000</v>
      </c>
      <c r="E187" s="77"/>
      <c r="F187" s="431">
        <v>26666.666666666668</v>
      </c>
      <c r="I187" s="160"/>
      <c r="J187" s="160"/>
      <c r="T187" s="431"/>
      <c r="U187" s="431"/>
      <c r="W187" s="431"/>
    </row>
    <row r="188" spans="2:23" s="26" customFormat="1">
      <c r="C188" s="431" t="s">
        <v>418</v>
      </c>
      <c r="D188" s="26">
        <v>15072.666666666666</v>
      </c>
      <c r="E188" s="77"/>
      <c r="F188" s="431">
        <v>16747.407407407409</v>
      </c>
      <c r="I188" s="160"/>
      <c r="J188" s="160"/>
      <c r="T188" s="431"/>
      <c r="U188" s="431"/>
      <c r="W188" s="431"/>
    </row>
    <row r="189" spans="2:23" s="26" customFormat="1">
      <c r="C189" s="431" t="s">
        <v>419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406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420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421</v>
      </c>
      <c r="D193" s="26">
        <v>5600</v>
      </c>
      <c r="E193" s="77"/>
      <c r="F193" s="431">
        <v>6222.2222222222226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Y42:AF42"/>
    <mergeCell ref="B2:G2"/>
    <mergeCell ref="L2:Q2"/>
    <mergeCell ref="I6:I11"/>
    <mergeCell ref="J6:J11"/>
    <mergeCell ref="R2:W2"/>
    <mergeCell ref="R33:R40"/>
    <mergeCell ref="X45:X51"/>
    <mergeCell ref="I53:I69"/>
    <mergeCell ref="J53:J69"/>
    <mergeCell ref="X53:X69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I71:I78"/>
    <mergeCell ref="J71:J78"/>
    <mergeCell ref="V71:V78"/>
    <mergeCell ref="V45:V51"/>
    <mergeCell ref="V53:V69"/>
    <mergeCell ref="R59:R66"/>
    <mergeCell ref="I45:I51"/>
    <mergeCell ref="J45:J51"/>
    <mergeCell ref="R54:R56"/>
    <mergeCell ref="X71:X78"/>
    <mergeCell ref="I21:I26"/>
    <mergeCell ref="J21:J26"/>
    <mergeCell ref="I109:I123"/>
    <mergeCell ref="J109:J123"/>
    <mergeCell ref="X109:X123"/>
    <mergeCell ref="I80:I94"/>
    <mergeCell ref="J80:J94"/>
    <mergeCell ref="X80:X94"/>
    <mergeCell ref="I96:I107"/>
    <mergeCell ref="J96:J107"/>
    <mergeCell ref="X96:X107"/>
    <mergeCell ref="V109:V123"/>
    <mergeCell ref="V80:V94"/>
    <mergeCell ref="V96:V107"/>
    <mergeCell ref="R113:R120"/>
    <mergeCell ref="R97:R104"/>
    <mergeCell ref="X125:X129"/>
    <mergeCell ref="I131:I132"/>
    <mergeCell ref="J131:J132"/>
    <mergeCell ref="K131:K132"/>
    <mergeCell ref="X131:X132"/>
    <mergeCell ref="V125:V129"/>
    <mergeCell ref="I125:I129"/>
    <mergeCell ref="J125:J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422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32" t="s">
        <v>423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33"/>
      <c r="B4" s="106" t="s">
        <v>424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33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89500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757880.8</v>
      </c>
      <c r="R5" s="112">
        <f>SUMIFS('Expenditure Breakdown'!$G$6:$G$173, 'Expenditure Breakdown'!$H$6:$H$173, "&gt;="&amp;R1,'Expenditure Breakdown'!$H$6:$H$173, "&lt;"&amp;S1)</f>
        <v>417616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883748.35024154582</v>
      </c>
      <c r="V5" s="112">
        <f>SUMIFS('Expenditure Breakdown'!$G$6:$G$173, 'Expenditure Breakdown'!$H$6:$H$173, "&gt;="&amp;V1,'Expenditure Breakdown'!$H$6:$H$173, "&lt;"&amp;W1)</f>
        <v>1236137.92</v>
      </c>
      <c r="W5" s="112">
        <f>SUMIFS('Expenditure Breakdown'!$G$6:$G$173, 'Expenditure Breakdown'!$H$6:$H$173, "&gt;="&amp;W1,'Expenditure Breakdown'!$H$6:$H$173, "&lt;"&amp;X1)</f>
        <v>31984</v>
      </c>
      <c r="X5" s="112">
        <f>SUMIFS('Expenditure Breakdown'!$G$6:$G$173, 'Expenditure Breakdown'!$H$6:$H$173, "&gt;="&amp;X1,'Expenditure Breakdown'!$H$6:$H$173, "&lt;"&amp;Y1)</f>
        <v>45247.830878019326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33"/>
      <c r="B6" s="110" t="s">
        <v>425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33"/>
      <c r="B7" s="115" t="s">
        <v>426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32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427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33"/>
      <c r="B10" s="120" t="s">
        <v>428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33"/>
      <c r="B11" s="123" t="s">
        <v>429</v>
      </c>
      <c r="C11" s="124">
        <f>'Revenue Tracking'!F5</f>
        <v>3357326.4057140909</v>
      </c>
      <c r="D11" s="124">
        <f>SUM(F11:KF11)</f>
        <v>3357326.4057140909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1400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292351.63750000001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205300</v>
      </c>
      <c r="R11" s="125">
        <f>SUMIFS('Expenditure Breakdown'!$Q$6:$Q$173, 'Expenditure Breakdown'!$W$6:$W$173, "&gt;="&amp;R1,'Expenditure Breakdown'!$W$6:$W$173, "&lt;"&amp;S1)</f>
        <v>232751.63750000001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1238086.08</v>
      </c>
      <c r="V11" s="125">
        <f>SUMIFS('Expenditure Breakdown'!$Q$6:$Q$173, 'Expenditure Breakdown'!$W$6:$W$173, "&gt;="&amp;V1,'Expenditure Breakdown'!$W$6:$W$173, "&lt;"&amp;W1)</f>
        <v>841400.00000000012</v>
      </c>
      <c r="W11" s="125">
        <f>SUMIFS('Expenditure Breakdown'!$Q$6:$Q$173, 'Expenditure Breakdown'!$W$6:$W$173, "&gt;="&amp;W1,'Expenditure Breakdown'!$W$6:$W$173, "&lt;"&amp;X1)</f>
        <v>0</v>
      </c>
      <c r="X11" s="125">
        <f>SUMIFS('Expenditure Breakdown'!$Q$6:$Q$173, 'Expenditure Breakdown'!$W$6:$W$173, "&gt;="&amp;X1,'Expenditure Breakdown'!$W$6:$W$173, "&lt;"&amp;Y1)</f>
        <v>231351.63750000001</v>
      </c>
      <c r="Y11" s="125">
        <f>SUMIFS('Expenditure Breakdown'!$Q$6:$Q$173, 'Expenditure Breakdown'!$W$6:$W$173, "&gt;="&amp;Y1,'Expenditure Breakdown'!$W$6:$W$173, "&lt;"&amp;Z1)</f>
        <v>169015.08571409044</v>
      </c>
      <c r="Z11" s="125">
        <f>SUMIFS('Expenditure Breakdown'!$Q$6:$Q$173, 'Expenditure Breakdown'!$W$6:$W$173, "&gt;="&amp;Z1,'Expenditure Breakdown'!$W$6:$W$173, "&lt;"&amp;AA1)</f>
        <v>1400</v>
      </c>
      <c r="AA11" s="125">
        <f>SUMIFS('Expenditure Breakdown'!$Q$6:$Q$173, 'Expenditure Breakdown'!$W$6:$W$173, "&gt;="&amp;AA1,'Expenditure Breakdown'!$W$6:$W$173, "&lt;"&amp;AB1)</f>
        <v>46270.327499999999</v>
      </c>
      <c r="AB11" s="125">
        <f>SUMIFS('Expenditure Breakdown'!$Q$6:$Q$173, 'Expenditure Breakdown'!$W$6:$W$173, "&gt;="&amp;AB1,'Expenditure Breakdown'!$W$6:$W$173, "&lt;"&amp;AC1)</f>
        <v>0</v>
      </c>
      <c r="AC11" s="125">
        <f>SUMIFS('Expenditure Breakdown'!$Q$6:$Q$173, 'Expenditure Breakdown'!$W$6:$W$173, "&gt;="&amp;AC1,'Expenditure Breakdown'!$W$6:$W$173, "&lt;"&amp;AD1)</f>
        <v>0</v>
      </c>
      <c r="AD11" s="125">
        <f>SUMIFS('Expenditure Breakdown'!$Q$6:$Q$173, 'Expenditure Breakdown'!$W$6:$W$173, "&gt;="&amp;AD1,'Expenditure Breakdown'!$W$6:$W$173, "&lt;"&amp;AE1)</f>
        <v>98000</v>
      </c>
      <c r="AE11" s="125">
        <f>SUMIFS('Expenditure Breakdown'!$Q$6:$Q$173, 'Expenditure Breakdown'!$W$6:$W$173, "&gt;="&amp;AE1,'Expenditure Breakdown'!$W$6:$W$173, "&lt;"&amp;AF1)</f>
        <v>0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33"/>
      <c r="B12" s="123" t="s">
        <v>430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499051.63750000001</v>
      </c>
      <c r="R12" s="125">
        <f t="shared" si="27"/>
        <v>731803.27500000002</v>
      </c>
      <c r="S12" s="125">
        <f t="shared" si="27"/>
        <v>731803.27500000002</v>
      </c>
      <c r="T12" s="125">
        <f t="shared" si="27"/>
        <v>731803.27500000002</v>
      </c>
      <c r="U12" s="125">
        <f t="shared" si="27"/>
        <v>1969889.355</v>
      </c>
      <c r="V12" s="125">
        <f t="shared" si="27"/>
        <v>2811289.355</v>
      </c>
      <c r="W12" s="125">
        <f t="shared" si="27"/>
        <v>2811289.355</v>
      </c>
      <c r="X12" s="125">
        <f t="shared" si="27"/>
        <v>3042640.9925000002</v>
      </c>
      <c r="Y12" s="125">
        <f t="shared" si="27"/>
        <v>3211656.0782140908</v>
      </c>
      <c r="Z12" s="125">
        <f t="shared" si="27"/>
        <v>3213056.0782140908</v>
      </c>
      <c r="AA12" s="125">
        <f t="shared" si="27"/>
        <v>3259326.4057140909</v>
      </c>
      <c r="AB12" s="125">
        <f t="shared" si="27"/>
        <v>3259326.4057140909</v>
      </c>
      <c r="AC12" s="125">
        <f t="shared" si="27"/>
        <v>3259326.4057140909</v>
      </c>
      <c r="AD12" s="125">
        <f>AC12+AD11</f>
        <v>3357326.4057140909</v>
      </c>
      <c r="AE12" s="125">
        <f t="shared" si="27"/>
        <v>3357326.4057140909</v>
      </c>
      <c r="AF12" s="125">
        <f t="shared" si="27"/>
        <v>3357326.4057140909</v>
      </c>
      <c r="AG12" s="125">
        <f t="shared" si="27"/>
        <v>3357326.4057140909</v>
      </c>
      <c r="AH12" s="125">
        <f t="shared" si="27"/>
        <v>3357326.4057140909</v>
      </c>
      <c r="AI12" s="125">
        <f t="shared" si="27"/>
        <v>3357326.4057140909</v>
      </c>
      <c r="AJ12" s="125">
        <f t="shared" si="27"/>
        <v>3357326.4057140909</v>
      </c>
      <c r="AK12" s="125">
        <f t="shared" si="27"/>
        <v>3357326.4057140909</v>
      </c>
      <c r="AL12" s="125">
        <f t="shared" si="27"/>
        <v>3357326.4057140909</v>
      </c>
      <c r="AM12" s="125">
        <f t="shared" si="27"/>
        <v>3357326.4057140909</v>
      </c>
      <c r="AN12" s="125">
        <f t="shared" si="27"/>
        <v>3357326.4057140909</v>
      </c>
      <c r="AO12" s="125">
        <f t="shared" si="27"/>
        <v>3357326.4057140909</v>
      </c>
      <c r="AP12" s="125">
        <f t="shared" si="27"/>
        <v>3357326.4057140909</v>
      </c>
      <c r="AQ12" s="125">
        <f t="shared" si="27"/>
        <v>3357326.4057140909</v>
      </c>
      <c r="AR12" s="125">
        <f t="shared" si="27"/>
        <v>3357326.4057140909</v>
      </c>
      <c r="AS12" s="125">
        <f t="shared" si="27"/>
        <v>3357326.4057140909</v>
      </c>
      <c r="AT12" s="125">
        <f t="shared" si="27"/>
        <v>3357326.4057140909</v>
      </c>
      <c r="AU12" s="125">
        <f t="shared" si="27"/>
        <v>3357326.4057140909</v>
      </c>
      <c r="AV12" s="125">
        <f t="shared" si="27"/>
        <v>3357326.4057140909</v>
      </c>
      <c r="AW12" s="125">
        <f t="shared" si="27"/>
        <v>3357326.4057140909</v>
      </c>
      <c r="AX12" s="125">
        <f t="shared" si="27"/>
        <v>3357326.4057140909</v>
      </c>
      <c r="AY12" s="125">
        <f t="shared" si="27"/>
        <v>3357326.4057140909</v>
      </c>
      <c r="AZ12" s="125">
        <f t="shared" si="27"/>
        <v>3357326.4057140909</v>
      </c>
      <c r="BA12" s="125">
        <f t="shared" si="27"/>
        <v>3357326.4057140909</v>
      </c>
      <c r="BB12" s="125">
        <f t="shared" si="27"/>
        <v>3357326.4057140909</v>
      </c>
      <c r="BC12" s="125">
        <f t="shared" si="27"/>
        <v>3357326.4057140909</v>
      </c>
      <c r="BD12" s="125">
        <f t="shared" si="27"/>
        <v>3357326.4057140909</v>
      </c>
      <c r="BE12" s="125">
        <f t="shared" si="27"/>
        <v>3357326.4057140909</v>
      </c>
      <c r="BF12" s="125">
        <f t="shared" si="27"/>
        <v>3357326.4057140909</v>
      </c>
      <c r="BG12" s="125">
        <f t="shared" si="27"/>
        <v>3357326.4057140909</v>
      </c>
      <c r="BH12" s="125">
        <f t="shared" si="27"/>
        <v>3357326.4057140909</v>
      </c>
      <c r="BI12" s="125">
        <f t="shared" si="27"/>
        <v>3357326.4057140909</v>
      </c>
      <c r="BJ12" s="125">
        <f t="shared" si="27"/>
        <v>3357326.4057140909</v>
      </c>
      <c r="BK12" s="125">
        <f t="shared" si="27"/>
        <v>3357326.4057140909</v>
      </c>
      <c r="BL12" s="125">
        <f t="shared" si="27"/>
        <v>3357326.4057140909</v>
      </c>
      <c r="BM12" s="125">
        <f t="shared" si="27"/>
        <v>3357326.4057140909</v>
      </c>
      <c r="BN12" s="125">
        <f t="shared" si="27"/>
        <v>3357326.4057140909</v>
      </c>
      <c r="BO12" s="125">
        <f t="shared" si="27"/>
        <v>3357326.4057140909</v>
      </c>
      <c r="BP12" s="125">
        <f t="shared" si="27"/>
        <v>3357326.4057140909</v>
      </c>
      <c r="BQ12" s="125">
        <f t="shared" si="27"/>
        <v>3357326.4057140909</v>
      </c>
      <c r="BR12" s="125">
        <f t="shared" si="27"/>
        <v>3357326.4057140909</v>
      </c>
      <c r="BS12" s="125">
        <f t="shared" si="27"/>
        <v>3357326.4057140909</v>
      </c>
      <c r="BT12" s="125">
        <f t="shared" si="27"/>
        <v>3357326.4057140909</v>
      </c>
      <c r="BU12" s="125">
        <f t="shared" ref="BU12:EF12" si="28">BT12+BU11</f>
        <v>3357326.4057140909</v>
      </c>
      <c r="BV12" s="125">
        <f t="shared" si="28"/>
        <v>3357326.4057140909</v>
      </c>
      <c r="BW12" s="125">
        <f t="shared" si="28"/>
        <v>3357326.4057140909</v>
      </c>
      <c r="BX12" s="125">
        <f t="shared" si="28"/>
        <v>3357326.4057140909</v>
      </c>
      <c r="BY12" s="125">
        <f t="shared" si="28"/>
        <v>3357326.4057140909</v>
      </c>
      <c r="BZ12" s="125">
        <f t="shared" si="28"/>
        <v>3357326.4057140909</v>
      </c>
      <c r="CA12" s="125">
        <f t="shared" si="28"/>
        <v>3357326.4057140909</v>
      </c>
      <c r="CB12" s="125">
        <f t="shared" si="28"/>
        <v>3357326.4057140909</v>
      </c>
      <c r="CC12" s="125">
        <f t="shared" si="28"/>
        <v>3357326.4057140909</v>
      </c>
      <c r="CD12" s="125">
        <f t="shared" si="28"/>
        <v>3357326.4057140909</v>
      </c>
      <c r="CE12" s="125">
        <f t="shared" si="28"/>
        <v>3357326.4057140909</v>
      </c>
      <c r="CF12" s="125">
        <f t="shared" si="28"/>
        <v>3357326.4057140909</v>
      </c>
      <c r="CG12" s="125">
        <f t="shared" si="28"/>
        <v>3357326.4057140909</v>
      </c>
      <c r="CH12" s="125">
        <f t="shared" si="28"/>
        <v>3357326.4057140909</v>
      </c>
      <c r="CI12" s="125">
        <f t="shared" si="28"/>
        <v>3357326.4057140909</v>
      </c>
      <c r="CJ12" s="125">
        <f t="shared" si="28"/>
        <v>3357326.4057140909</v>
      </c>
      <c r="CK12" s="125">
        <f t="shared" si="28"/>
        <v>3357326.4057140909</v>
      </c>
      <c r="CL12" s="125">
        <f t="shared" si="28"/>
        <v>3357326.4057140909</v>
      </c>
      <c r="CM12" s="125">
        <f t="shared" si="28"/>
        <v>3357326.4057140909</v>
      </c>
      <c r="CN12" s="125">
        <f t="shared" si="28"/>
        <v>3357326.4057140909</v>
      </c>
      <c r="CO12" s="125">
        <f t="shared" si="28"/>
        <v>3357326.4057140909</v>
      </c>
      <c r="CP12" s="125">
        <f t="shared" si="28"/>
        <v>3357326.4057140909</v>
      </c>
      <c r="CQ12" s="125">
        <f t="shared" si="28"/>
        <v>3357326.4057140909</v>
      </c>
      <c r="CR12" s="125">
        <f t="shared" si="28"/>
        <v>3357326.4057140909</v>
      </c>
      <c r="CS12" s="125">
        <f t="shared" si="28"/>
        <v>3357326.4057140909</v>
      </c>
      <c r="CT12" s="125">
        <f t="shared" si="28"/>
        <v>3357326.4057140909</v>
      </c>
      <c r="CU12" s="125">
        <f t="shared" si="28"/>
        <v>3357326.4057140909</v>
      </c>
      <c r="CV12" s="125">
        <f t="shared" si="28"/>
        <v>3357326.4057140909</v>
      </c>
      <c r="CW12" s="125">
        <f t="shared" si="28"/>
        <v>3357326.4057140909</v>
      </c>
      <c r="CX12" s="125">
        <f t="shared" si="28"/>
        <v>3357326.4057140909</v>
      </c>
      <c r="CY12" s="125">
        <f t="shared" si="28"/>
        <v>3357326.4057140909</v>
      </c>
      <c r="CZ12" s="125">
        <f t="shared" si="28"/>
        <v>3357326.4057140909</v>
      </c>
      <c r="DA12" s="125">
        <f t="shared" si="28"/>
        <v>3357326.4057140909</v>
      </c>
      <c r="DB12" s="125">
        <f t="shared" si="28"/>
        <v>3357326.4057140909</v>
      </c>
      <c r="DC12" s="125">
        <f t="shared" si="28"/>
        <v>3357326.4057140909</v>
      </c>
      <c r="DD12" s="125">
        <f t="shared" si="28"/>
        <v>3357326.4057140909</v>
      </c>
      <c r="DE12" s="125">
        <f t="shared" si="28"/>
        <v>3357326.4057140909</v>
      </c>
      <c r="DF12" s="125">
        <f t="shared" si="28"/>
        <v>3357326.4057140909</v>
      </c>
      <c r="DG12" s="125">
        <f t="shared" si="28"/>
        <v>3357326.4057140909</v>
      </c>
      <c r="DH12" s="125">
        <f t="shared" si="28"/>
        <v>3357326.4057140909</v>
      </c>
      <c r="DI12" s="125">
        <f t="shared" si="28"/>
        <v>3357326.4057140909</v>
      </c>
      <c r="DJ12" s="125">
        <f t="shared" si="28"/>
        <v>3357326.4057140909</v>
      </c>
      <c r="DK12" s="125">
        <f t="shared" si="28"/>
        <v>3357326.4057140909</v>
      </c>
      <c r="DL12" s="125">
        <f t="shared" si="28"/>
        <v>3357326.4057140909</v>
      </c>
      <c r="DM12" s="125">
        <f t="shared" si="28"/>
        <v>3357326.4057140909</v>
      </c>
      <c r="DN12" s="125">
        <f t="shared" si="28"/>
        <v>3357326.4057140909</v>
      </c>
      <c r="DO12" s="125">
        <f t="shared" si="28"/>
        <v>3357326.4057140909</v>
      </c>
      <c r="DP12" s="125">
        <f t="shared" si="28"/>
        <v>3357326.4057140909</v>
      </c>
      <c r="DQ12" s="125">
        <f t="shared" si="28"/>
        <v>3357326.4057140909</v>
      </c>
      <c r="DR12" s="125">
        <f t="shared" si="28"/>
        <v>3357326.4057140909</v>
      </c>
      <c r="DS12" s="125">
        <f t="shared" si="28"/>
        <v>3357326.4057140909</v>
      </c>
      <c r="DT12" s="125">
        <f t="shared" si="28"/>
        <v>3357326.4057140909</v>
      </c>
      <c r="DU12" s="125">
        <f t="shared" si="28"/>
        <v>3357326.4057140909</v>
      </c>
      <c r="DV12" s="125">
        <f t="shared" si="28"/>
        <v>3357326.4057140909</v>
      </c>
      <c r="DW12" s="125">
        <f t="shared" si="28"/>
        <v>3357326.4057140909</v>
      </c>
      <c r="DX12" s="125">
        <f t="shared" si="28"/>
        <v>3357326.4057140909</v>
      </c>
      <c r="DY12" s="125">
        <f t="shared" si="28"/>
        <v>3357326.4057140909</v>
      </c>
      <c r="DZ12" s="125">
        <f t="shared" si="28"/>
        <v>3357326.4057140909</v>
      </c>
      <c r="EA12" s="125">
        <f t="shared" si="28"/>
        <v>3357326.4057140909</v>
      </c>
      <c r="EB12" s="125">
        <f t="shared" si="28"/>
        <v>3357326.4057140909</v>
      </c>
      <c r="EC12" s="125">
        <f t="shared" si="28"/>
        <v>3357326.4057140909</v>
      </c>
      <c r="ED12" s="125">
        <f t="shared" si="28"/>
        <v>3357326.4057140909</v>
      </c>
      <c r="EE12" s="125">
        <f t="shared" si="28"/>
        <v>3357326.4057140909</v>
      </c>
      <c r="EF12" s="125">
        <f t="shared" si="28"/>
        <v>3357326.4057140909</v>
      </c>
      <c r="EG12" s="125">
        <f t="shared" ref="EG12:GR12" si="29">EF12+EG11</f>
        <v>3357326.4057140909</v>
      </c>
      <c r="EH12" s="125">
        <f t="shared" si="29"/>
        <v>3357326.4057140909</v>
      </c>
      <c r="EI12" s="125">
        <f t="shared" si="29"/>
        <v>3357326.4057140909</v>
      </c>
      <c r="EJ12" s="125">
        <f t="shared" si="29"/>
        <v>3357326.4057140909</v>
      </c>
      <c r="EK12" s="125">
        <f t="shared" si="29"/>
        <v>3357326.4057140909</v>
      </c>
      <c r="EL12" s="125">
        <f t="shared" si="29"/>
        <v>3357326.4057140909</v>
      </c>
      <c r="EM12" s="125">
        <f t="shared" si="29"/>
        <v>3357326.4057140909</v>
      </c>
      <c r="EN12" s="125">
        <f t="shared" si="29"/>
        <v>3357326.4057140909</v>
      </c>
      <c r="EO12" s="125">
        <f t="shared" si="29"/>
        <v>3357326.4057140909</v>
      </c>
      <c r="EP12" s="125">
        <f t="shared" si="29"/>
        <v>3357326.4057140909</v>
      </c>
      <c r="EQ12" s="125">
        <f t="shared" si="29"/>
        <v>3357326.4057140909</v>
      </c>
      <c r="ER12" s="125">
        <f t="shared" si="29"/>
        <v>3357326.4057140909</v>
      </c>
      <c r="ES12" s="125">
        <f t="shared" si="29"/>
        <v>3357326.4057140909</v>
      </c>
      <c r="ET12" s="125">
        <f t="shared" si="29"/>
        <v>3357326.4057140909</v>
      </c>
      <c r="EU12" s="125">
        <f t="shared" si="29"/>
        <v>3357326.4057140909</v>
      </c>
      <c r="EV12" s="125">
        <f t="shared" si="29"/>
        <v>3357326.4057140909</v>
      </c>
      <c r="EW12" s="125">
        <f t="shared" si="29"/>
        <v>3357326.4057140909</v>
      </c>
      <c r="EX12" s="125">
        <f t="shared" si="29"/>
        <v>3357326.4057140909</v>
      </c>
      <c r="EY12" s="125">
        <f t="shared" si="29"/>
        <v>3357326.4057140909</v>
      </c>
      <c r="EZ12" s="125">
        <f t="shared" si="29"/>
        <v>3357326.4057140909</v>
      </c>
      <c r="FA12" s="125">
        <f t="shared" si="29"/>
        <v>3357326.4057140909</v>
      </c>
      <c r="FB12" s="125">
        <f t="shared" si="29"/>
        <v>3357326.4057140909</v>
      </c>
      <c r="FC12" s="125">
        <f t="shared" si="29"/>
        <v>3357326.4057140909</v>
      </c>
      <c r="FD12" s="125">
        <f t="shared" si="29"/>
        <v>3357326.4057140909</v>
      </c>
      <c r="FE12" s="125">
        <f t="shared" si="29"/>
        <v>3357326.4057140909</v>
      </c>
      <c r="FF12" s="125">
        <f t="shared" si="29"/>
        <v>3357326.4057140909</v>
      </c>
      <c r="FG12" s="125">
        <f t="shared" si="29"/>
        <v>3357326.4057140909</v>
      </c>
      <c r="FH12" s="125">
        <f t="shared" si="29"/>
        <v>3357326.4057140909</v>
      </c>
      <c r="FI12" s="125">
        <f t="shared" si="29"/>
        <v>3357326.4057140909</v>
      </c>
      <c r="FJ12" s="125">
        <f t="shared" si="29"/>
        <v>3357326.4057140909</v>
      </c>
      <c r="FK12" s="125">
        <f t="shared" si="29"/>
        <v>3357326.4057140909</v>
      </c>
      <c r="FL12" s="125">
        <f t="shared" si="29"/>
        <v>3357326.4057140909</v>
      </c>
      <c r="FM12" s="125">
        <f t="shared" si="29"/>
        <v>3357326.4057140909</v>
      </c>
      <c r="FN12" s="125">
        <f t="shared" si="29"/>
        <v>3357326.4057140909</v>
      </c>
      <c r="FO12" s="125">
        <f t="shared" si="29"/>
        <v>3357326.4057140909</v>
      </c>
      <c r="FP12" s="125">
        <f t="shared" si="29"/>
        <v>3357326.4057140909</v>
      </c>
      <c r="FQ12" s="125">
        <f t="shared" si="29"/>
        <v>3357326.4057140909</v>
      </c>
      <c r="FR12" s="125">
        <f t="shared" si="29"/>
        <v>3357326.4057140909</v>
      </c>
      <c r="FS12" s="125">
        <f t="shared" si="29"/>
        <v>3357326.4057140909</v>
      </c>
      <c r="FT12" s="125">
        <f t="shared" si="29"/>
        <v>3357326.4057140909</v>
      </c>
      <c r="FU12" s="125">
        <f t="shared" si="29"/>
        <v>3357326.4057140909</v>
      </c>
      <c r="FV12" s="125">
        <f t="shared" si="29"/>
        <v>3357326.4057140909</v>
      </c>
      <c r="FW12" s="125">
        <f t="shared" si="29"/>
        <v>3357326.4057140909</v>
      </c>
      <c r="FX12" s="125">
        <f t="shared" si="29"/>
        <v>3357326.4057140909</v>
      </c>
      <c r="FY12" s="125">
        <f t="shared" si="29"/>
        <v>3357326.4057140909</v>
      </c>
      <c r="FZ12" s="125">
        <f t="shared" si="29"/>
        <v>3357326.4057140909</v>
      </c>
      <c r="GA12" s="125">
        <f t="shared" si="29"/>
        <v>3357326.4057140909</v>
      </c>
      <c r="GB12" s="125">
        <f t="shared" si="29"/>
        <v>3357326.4057140909</v>
      </c>
      <c r="GC12" s="125">
        <f t="shared" si="29"/>
        <v>3357326.4057140909</v>
      </c>
      <c r="GD12" s="125">
        <f t="shared" si="29"/>
        <v>3357326.4057140909</v>
      </c>
      <c r="GE12" s="125">
        <f t="shared" si="29"/>
        <v>3357326.4057140909</v>
      </c>
      <c r="GF12" s="125">
        <f t="shared" si="29"/>
        <v>3357326.4057140909</v>
      </c>
      <c r="GG12" s="125">
        <f t="shared" si="29"/>
        <v>3357326.4057140909</v>
      </c>
      <c r="GH12" s="125">
        <f t="shared" si="29"/>
        <v>3357326.4057140909</v>
      </c>
      <c r="GI12" s="125">
        <f t="shared" si="29"/>
        <v>3357326.4057140909</v>
      </c>
      <c r="GJ12" s="125">
        <f t="shared" si="29"/>
        <v>3357326.4057140909</v>
      </c>
      <c r="GK12" s="125">
        <f t="shared" si="29"/>
        <v>3357326.4057140909</v>
      </c>
      <c r="GL12" s="125">
        <f t="shared" si="29"/>
        <v>3357326.4057140909</v>
      </c>
      <c r="GM12" s="125">
        <f t="shared" si="29"/>
        <v>3357326.4057140909</v>
      </c>
      <c r="GN12" s="125">
        <f t="shared" si="29"/>
        <v>3357326.4057140909</v>
      </c>
      <c r="GO12" s="125">
        <f t="shared" si="29"/>
        <v>3357326.4057140909</v>
      </c>
      <c r="GP12" s="125">
        <f t="shared" si="29"/>
        <v>3357326.4057140909</v>
      </c>
      <c r="GQ12" s="125">
        <f t="shared" si="29"/>
        <v>3357326.4057140909</v>
      </c>
      <c r="GR12" s="125">
        <f t="shared" si="29"/>
        <v>3357326.4057140909</v>
      </c>
      <c r="GS12" s="125">
        <f t="shared" ref="GS12:JD12" si="30">GR12+GS11</f>
        <v>3357326.4057140909</v>
      </c>
      <c r="GT12" s="125">
        <f t="shared" si="30"/>
        <v>3357326.4057140909</v>
      </c>
      <c r="GU12" s="125">
        <f t="shared" si="30"/>
        <v>3357326.4057140909</v>
      </c>
      <c r="GV12" s="125">
        <f t="shared" si="30"/>
        <v>3357326.4057140909</v>
      </c>
      <c r="GW12" s="125">
        <f t="shared" si="30"/>
        <v>3357326.4057140909</v>
      </c>
      <c r="GX12" s="125">
        <f t="shared" si="30"/>
        <v>3357326.4057140909</v>
      </c>
      <c r="GY12" s="125">
        <f t="shared" si="30"/>
        <v>3357326.4057140909</v>
      </c>
      <c r="GZ12" s="125">
        <f t="shared" si="30"/>
        <v>3357326.4057140909</v>
      </c>
      <c r="HA12" s="125">
        <f t="shared" si="30"/>
        <v>3357326.4057140909</v>
      </c>
      <c r="HB12" s="125">
        <f t="shared" si="30"/>
        <v>3357326.4057140909</v>
      </c>
      <c r="HC12" s="125">
        <f t="shared" si="30"/>
        <v>3357326.4057140909</v>
      </c>
      <c r="HD12" s="125">
        <f t="shared" si="30"/>
        <v>3357326.4057140909</v>
      </c>
      <c r="HE12" s="125">
        <f t="shared" si="30"/>
        <v>3357326.4057140909</v>
      </c>
      <c r="HF12" s="125">
        <f t="shared" si="30"/>
        <v>3357326.4057140909</v>
      </c>
      <c r="HG12" s="125">
        <f t="shared" si="30"/>
        <v>3357326.4057140909</v>
      </c>
      <c r="HH12" s="125">
        <f t="shared" si="30"/>
        <v>3357326.4057140909</v>
      </c>
      <c r="HI12" s="125">
        <f t="shared" si="30"/>
        <v>3357326.4057140909</v>
      </c>
      <c r="HJ12" s="125">
        <f t="shared" si="30"/>
        <v>3357326.4057140909</v>
      </c>
      <c r="HK12" s="125">
        <f t="shared" si="30"/>
        <v>3357326.4057140909</v>
      </c>
      <c r="HL12" s="125">
        <f t="shared" si="30"/>
        <v>3357326.4057140909</v>
      </c>
      <c r="HM12" s="125">
        <f t="shared" si="30"/>
        <v>3357326.4057140909</v>
      </c>
      <c r="HN12" s="125">
        <f t="shared" si="30"/>
        <v>3357326.4057140909</v>
      </c>
      <c r="HO12" s="125">
        <f t="shared" si="30"/>
        <v>3357326.4057140909</v>
      </c>
      <c r="HP12" s="125">
        <f t="shared" si="30"/>
        <v>3357326.4057140909</v>
      </c>
      <c r="HQ12" s="125">
        <f t="shared" si="30"/>
        <v>3357326.4057140909</v>
      </c>
      <c r="HR12" s="125">
        <f t="shared" si="30"/>
        <v>3357326.4057140909</v>
      </c>
      <c r="HS12" s="125">
        <f t="shared" si="30"/>
        <v>3357326.4057140909</v>
      </c>
      <c r="HT12" s="125">
        <f t="shared" si="30"/>
        <v>3357326.4057140909</v>
      </c>
      <c r="HU12" s="125">
        <f t="shared" si="30"/>
        <v>3357326.4057140909</v>
      </c>
      <c r="HV12" s="125">
        <f t="shared" si="30"/>
        <v>3357326.4057140909</v>
      </c>
      <c r="HW12" s="125">
        <f t="shared" si="30"/>
        <v>3357326.4057140909</v>
      </c>
      <c r="HX12" s="125">
        <f t="shared" si="30"/>
        <v>3357326.4057140909</v>
      </c>
      <c r="HY12" s="125">
        <f t="shared" si="30"/>
        <v>3357326.4057140909</v>
      </c>
      <c r="HZ12" s="125">
        <f t="shared" si="30"/>
        <v>3357326.4057140909</v>
      </c>
      <c r="IA12" s="125">
        <f t="shared" si="30"/>
        <v>3357326.4057140909</v>
      </c>
      <c r="IB12" s="125">
        <f t="shared" si="30"/>
        <v>3357326.4057140909</v>
      </c>
      <c r="IC12" s="125">
        <f t="shared" si="30"/>
        <v>3357326.4057140909</v>
      </c>
      <c r="ID12" s="125">
        <f t="shared" si="30"/>
        <v>3357326.4057140909</v>
      </c>
      <c r="IE12" s="125">
        <f t="shared" si="30"/>
        <v>3357326.4057140909</v>
      </c>
      <c r="IF12" s="125">
        <f t="shared" si="30"/>
        <v>3357326.4057140909</v>
      </c>
      <c r="IG12" s="125">
        <f t="shared" si="30"/>
        <v>3357326.4057140909</v>
      </c>
      <c r="IH12" s="125">
        <f t="shared" si="30"/>
        <v>3357326.4057140909</v>
      </c>
      <c r="II12" s="125">
        <f t="shared" si="30"/>
        <v>3357326.4057140909</v>
      </c>
      <c r="IJ12" s="125">
        <f t="shared" si="30"/>
        <v>3357326.4057140909</v>
      </c>
      <c r="IK12" s="125">
        <f t="shared" si="30"/>
        <v>3357326.4057140909</v>
      </c>
      <c r="IL12" s="125">
        <f t="shared" si="30"/>
        <v>3357326.4057140909</v>
      </c>
      <c r="IM12" s="125">
        <f t="shared" si="30"/>
        <v>3357326.4057140909</v>
      </c>
      <c r="IN12" s="125">
        <f t="shared" si="30"/>
        <v>3357326.4057140909</v>
      </c>
      <c r="IO12" s="125">
        <f t="shared" si="30"/>
        <v>3357326.4057140909</v>
      </c>
      <c r="IP12" s="125">
        <f t="shared" si="30"/>
        <v>3357326.4057140909</v>
      </c>
      <c r="IQ12" s="125">
        <f t="shared" si="30"/>
        <v>3357326.4057140909</v>
      </c>
      <c r="IR12" s="125">
        <f t="shared" si="30"/>
        <v>3357326.4057140909</v>
      </c>
      <c r="IS12" s="125">
        <f t="shared" si="30"/>
        <v>3357326.4057140909</v>
      </c>
      <c r="IT12" s="125">
        <f t="shared" si="30"/>
        <v>3357326.4057140909</v>
      </c>
      <c r="IU12" s="125">
        <f t="shared" si="30"/>
        <v>3357326.4057140909</v>
      </c>
      <c r="IV12" s="125">
        <f t="shared" si="30"/>
        <v>3357326.4057140909</v>
      </c>
      <c r="IW12" s="125">
        <f t="shared" si="30"/>
        <v>3357326.4057140909</v>
      </c>
      <c r="IX12" s="125">
        <f t="shared" si="30"/>
        <v>3357326.4057140909</v>
      </c>
      <c r="IY12" s="125">
        <f t="shared" si="30"/>
        <v>3357326.4057140909</v>
      </c>
      <c r="IZ12" s="125">
        <f t="shared" si="30"/>
        <v>3357326.4057140909</v>
      </c>
      <c r="JA12" s="125">
        <f t="shared" si="30"/>
        <v>3357326.4057140909</v>
      </c>
      <c r="JB12" s="125">
        <f t="shared" si="30"/>
        <v>3357326.4057140909</v>
      </c>
      <c r="JC12" s="125">
        <f t="shared" si="30"/>
        <v>3357326.4057140909</v>
      </c>
      <c r="JD12" s="125">
        <f t="shared" si="30"/>
        <v>3357326.4057140909</v>
      </c>
      <c r="JE12" s="125">
        <f t="shared" ref="JE12:KF12" si="31">JD12+JE11</f>
        <v>3357326.4057140909</v>
      </c>
      <c r="JF12" s="125">
        <f t="shared" si="31"/>
        <v>3357326.4057140909</v>
      </c>
      <c r="JG12" s="125">
        <f t="shared" si="31"/>
        <v>3357326.4057140909</v>
      </c>
      <c r="JH12" s="125">
        <f t="shared" si="31"/>
        <v>3357326.4057140909</v>
      </c>
      <c r="JI12" s="125">
        <f t="shared" si="31"/>
        <v>3357326.4057140909</v>
      </c>
      <c r="JJ12" s="125">
        <f t="shared" si="31"/>
        <v>3357326.4057140909</v>
      </c>
      <c r="JK12" s="125">
        <f t="shared" si="31"/>
        <v>3357326.4057140909</v>
      </c>
      <c r="JL12" s="125">
        <f t="shared" si="31"/>
        <v>3357326.4057140909</v>
      </c>
      <c r="JM12" s="125">
        <f t="shared" si="31"/>
        <v>3357326.4057140909</v>
      </c>
      <c r="JN12" s="125">
        <f t="shared" si="31"/>
        <v>3357326.4057140909</v>
      </c>
      <c r="JO12" s="125">
        <f t="shared" si="31"/>
        <v>3357326.4057140909</v>
      </c>
      <c r="JP12" s="125">
        <f t="shared" si="31"/>
        <v>3357326.4057140909</v>
      </c>
      <c r="JQ12" s="125">
        <f t="shared" si="31"/>
        <v>3357326.4057140909</v>
      </c>
      <c r="JR12" s="125">
        <f t="shared" si="31"/>
        <v>3357326.4057140909</v>
      </c>
      <c r="JS12" s="125">
        <f t="shared" si="31"/>
        <v>3357326.4057140909</v>
      </c>
      <c r="JT12" s="125">
        <f t="shared" si="31"/>
        <v>3357326.4057140909</v>
      </c>
      <c r="JU12" s="125">
        <f t="shared" si="31"/>
        <v>3357326.4057140909</v>
      </c>
      <c r="JV12" s="125">
        <f t="shared" si="31"/>
        <v>3357326.4057140909</v>
      </c>
      <c r="JW12" s="125">
        <f t="shared" si="31"/>
        <v>3357326.4057140909</v>
      </c>
      <c r="JX12" s="125">
        <f t="shared" si="31"/>
        <v>3357326.4057140909</v>
      </c>
      <c r="JY12" s="125">
        <f t="shared" si="31"/>
        <v>3357326.4057140909</v>
      </c>
      <c r="JZ12" s="125">
        <f t="shared" si="31"/>
        <v>3357326.4057140909</v>
      </c>
      <c r="KA12" s="125">
        <f t="shared" si="31"/>
        <v>3357326.4057140909</v>
      </c>
      <c r="KB12" s="125">
        <f t="shared" si="31"/>
        <v>3357326.4057140909</v>
      </c>
      <c r="KC12" s="125">
        <f t="shared" si="31"/>
        <v>3357326.4057140909</v>
      </c>
      <c r="KD12" s="125">
        <f t="shared" si="31"/>
        <v>3357326.4057140909</v>
      </c>
      <c r="KE12" s="125">
        <f t="shared" si="31"/>
        <v>3357326.4057140909</v>
      </c>
      <c r="KF12" s="125">
        <f t="shared" si="31"/>
        <v>3357326.4057140909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431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3002614.1910581505</v>
      </c>
      <c r="R14" s="118">
        <f t="shared" si="33"/>
        <v>2769862.5535581508</v>
      </c>
      <c r="S14" s="118">
        <f t="shared" si="33"/>
        <v>2769862.5535581508</v>
      </c>
      <c r="T14" s="118">
        <f t="shared" si="33"/>
        <v>2769862.5535581508</v>
      </c>
      <c r="U14" s="118">
        <f t="shared" si="33"/>
        <v>1737756.8164145127</v>
      </c>
      <c r="V14" s="118">
        <f t="shared" si="33"/>
        <v>999346.98784269346</v>
      </c>
      <c r="W14" s="118">
        <f t="shared" si="33"/>
        <v>999346.98784269346</v>
      </c>
      <c r="X14" s="118">
        <f t="shared" si="33"/>
        <v>767995.35034269327</v>
      </c>
      <c r="Y14" s="118">
        <f t="shared" si="33"/>
        <v>907950.77891314542</v>
      </c>
      <c r="Z14" s="118">
        <f t="shared" si="33"/>
        <v>906550.77891314542</v>
      </c>
      <c r="AA14" s="118">
        <f t="shared" si="33"/>
        <v>860280.45141314529</v>
      </c>
      <c r="AB14" s="118">
        <f t="shared" si="33"/>
        <v>860280.45141314529</v>
      </c>
      <c r="AC14" s="118">
        <f t="shared" si="33"/>
        <v>860280.45141314529</v>
      </c>
      <c r="AD14" s="118">
        <f t="shared" si="33"/>
        <v>762280.45141314529</v>
      </c>
      <c r="AE14" s="118">
        <f t="shared" si="33"/>
        <v>762280.45141314529</v>
      </c>
      <c r="AF14" s="118">
        <f t="shared" si="33"/>
        <v>762280.45141314529</v>
      </c>
      <c r="AG14" s="118">
        <f t="shared" si="33"/>
        <v>762280.45141314529</v>
      </c>
      <c r="AH14" s="118">
        <f t="shared" si="33"/>
        <v>762280.45141314529</v>
      </c>
      <c r="AI14" s="118">
        <f t="shared" si="33"/>
        <v>762280.45141314529</v>
      </c>
      <c r="AJ14" s="118">
        <f t="shared" si="33"/>
        <v>762280.45141314529</v>
      </c>
      <c r="AK14" s="118">
        <f t="shared" si="33"/>
        <v>762280.45141314529</v>
      </c>
      <c r="AL14" s="118">
        <f t="shared" si="33"/>
        <v>762280.45141314529</v>
      </c>
      <c r="AM14" s="118">
        <f t="shared" si="33"/>
        <v>762280.45141314529</v>
      </c>
      <c r="AN14" s="118">
        <f t="shared" si="33"/>
        <v>762280.45141314529</v>
      </c>
      <c r="AO14" s="118">
        <f t="shared" si="33"/>
        <v>762280.45141314529</v>
      </c>
      <c r="AP14" s="118">
        <f t="shared" si="33"/>
        <v>762280.45141314529</v>
      </c>
      <c r="AQ14" s="118">
        <f t="shared" si="33"/>
        <v>762280.45141314529</v>
      </c>
      <c r="AR14" s="118">
        <f t="shared" si="33"/>
        <v>762280.45141314529</v>
      </c>
      <c r="AS14" s="118">
        <f t="shared" si="33"/>
        <v>762280.45141314529</v>
      </c>
      <c r="AT14" s="118">
        <f t="shared" si="33"/>
        <v>762280.45141314529</v>
      </c>
      <c r="AU14" s="118">
        <f t="shared" si="33"/>
        <v>762280.45141314529</v>
      </c>
      <c r="AV14" s="118">
        <f t="shared" si="33"/>
        <v>762280.45141314529</v>
      </c>
      <c r="AW14" s="118">
        <f t="shared" si="33"/>
        <v>762280.45141314529</v>
      </c>
      <c r="AX14" s="118">
        <f t="shared" si="33"/>
        <v>762280.45141314529</v>
      </c>
      <c r="AY14" s="118">
        <f t="shared" si="33"/>
        <v>762280.45141314529</v>
      </c>
      <c r="AZ14" s="118">
        <f t="shared" si="33"/>
        <v>762280.45141314529</v>
      </c>
      <c r="BA14" s="118">
        <f t="shared" si="33"/>
        <v>762280.45141314529</v>
      </c>
      <c r="BB14" s="118">
        <f t="shared" si="33"/>
        <v>762280.45141314529</v>
      </c>
      <c r="BC14" s="118">
        <f t="shared" si="33"/>
        <v>762280.45141314529</v>
      </c>
      <c r="BD14" s="118">
        <f t="shared" si="33"/>
        <v>762280.45141314529</v>
      </c>
      <c r="BE14" s="118">
        <f t="shared" si="33"/>
        <v>762280.45141314529</v>
      </c>
      <c r="BF14" s="118">
        <f t="shared" si="33"/>
        <v>762280.45141314529</v>
      </c>
      <c r="BG14" s="118">
        <f t="shared" si="33"/>
        <v>762280.45141314529</v>
      </c>
      <c r="BH14" s="118">
        <f t="shared" si="33"/>
        <v>762280.45141314529</v>
      </c>
      <c r="BI14" s="118">
        <f t="shared" si="33"/>
        <v>762280.45141314529</v>
      </c>
      <c r="BJ14" s="118">
        <f t="shared" si="33"/>
        <v>762280.45141314529</v>
      </c>
      <c r="BK14" s="118">
        <f t="shared" si="33"/>
        <v>762280.45141314529</v>
      </c>
      <c r="BL14" s="118">
        <f t="shared" si="33"/>
        <v>762280.45141314529</v>
      </c>
      <c r="BM14" s="118">
        <f t="shared" si="33"/>
        <v>762280.45141314529</v>
      </c>
      <c r="BN14" s="118">
        <f t="shared" si="33"/>
        <v>762280.45141314529</v>
      </c>
      <c r="BO14" s="118">
        <f t="shared" si="33"/>
        <v>762280.45141314529</v>
      </c>
      <c r="BP14" s="118">
        <f t="shared" si="33"/>
        <v>762280.45141314529</v>
      </c>
      <c r="BQ14" s="118">
        <f t="shared" si="33"/>
        <v>762280.45141314529</v>
      </c>
      <c r="BR14" s="118">
        <f t="shared" si="33"/>
        <v>762280.45141314529</v>
      </c>
      <c r="BS14" s="118">
        <f t="shared" si="33"/>
        <v>762280.45141314529</v>
      </c>
      <c r="BT14" s="118">
        <f t="shared" si="33"/>
        <v>762280.45141314529</v>
      </c>
      <c r="BU14" s="118">
        <f t="shared" ref="BU14:EF14" si="34">BU10-BU12</f>
        <v>762280.45141314529</v>
      </c>
      <c r="BV14" s="118">
        <f t="shared" si="34"/>
        <v>762280.45141314529</v>
      </c>
      <c r="BW14" s="118">
        <f t="shared" si="34"/>
        <v>762280.45141314529</v>
      </c>
      <c r="BX14" s="118">
        <f t="shared" si="34"/>
        <v>762280.45141314529</v>
      </c>
      <c r="BY14" s="118">
        <f t="shared" si="34"/>
        <v>762280.45141314529</v>
      </c>
      <c r="BZ14" s="118">
        <f t="shared" si="34"/>
        <v>762280.45141314529</v>
      </c>
      <c r="CA14" s="118">
        <f t="shared" si="34"/>
        <v>762280.45141314529</v>
      </c>
      <c r="CB14" s="118">
        <f t="shared" si="34"/>
        <v>762280.45141314529</v>
      </c>
      <c r="CC14" s="118">
        <f t="shared" si="34"/>
        <v>762280.45141314529</v>
      </c>
      <c r="CD14" s="118">
        <f t="shared" si="34"/>
        <v>762280.45141314529</v>
      </c>
      <c r="CE14" s="118">
        <f t="shared" si="34"/>
        <v>762280.45141314529</v>
      </c>
      <c r="CF14" s="118">
        <f t="shared" si="34"/>
        <v>762280.45141314529</v>
      </c>
      <c r="CG14" s="118">
        <f t="shared" si="34"/>
        <v>762280.45141314529</v>
      </c>
      <c r="CH14" s="118">
        <f t="shared" si="34"/>
        <v>762280.45141314529</v>
      </c>
      <c r="CI14" s="118">
        <f t="shared" si="34"/>
        <v>762280.45141314529</v>
      </c>
      <c r="CJ14" s="118">
        <f t="shared" si="34"/>
        <v>762280.45141314529</v>
      </c>
      <c r="CK14" s="118">
        <f t="shared" si="34"/>
        <v>762280.45141314529</v>
      </c>
      <c r="CL14" s="118">
        <f t="shared" si="34"/>
        <v>762280.45141314529</v>
      </c>
      <c r="CM14" s="118">
        <f t="shared" si="34"/>
        <v>762280.45141314529</v>
      </c>
      <c r="CN14" s="118">
        <f t="shared" si="34"/>
        <v>762280.45141314529</v>
      </c>
      <c r="CO14" s="118">
        <f t="shared" si="34"/>
        <v>762280.45141314529</v>
      </c>
      <c r="CP14" s="118">
        <f t="shared" si="34"/>
        <v>762280.45141314529</v>
      </c>
      <c r="CQ14" s="118">
        <f t="shared" si="34"/>
        <v>762280.45141314529</v>
      </c>
      <c r="CR14" s="118">
        <f t="shared" si="34"/>
        <v>762280.45141314529</v>
      </c>
      <c r="CS14" s="118">
        <f t="shared" si="34"/>
        <v>762280.45141314529</v>
      </c>
      <c r="CT14" s="118">
        <f t="shared" si="34"/>
        <v>762280.45141314529</v>
      </c>
      <c r="CU14" s="118">
        <f t="shared" si="34"/>
        <v>762280.45141314529</v>
      </c>
      <c r="CV14" s="118">
        <f t="shared" si="34"/>
        <v>762280.45141314529</v>
      </c>
      <c r="CW14" s="118">
        <f t="shared" si="34"/>
        <v>762280.45141314529</v>
      </c>
      <c r="CX14" s="118">
        <f t="shared" si="34"/>
        <v>762280.45141314529</v>
      </c>
      <c r="CY14" s="118">
        <f t="shared" si="34"/>
        <v>762280.45141314529</v>
      </c>
      <c r="CZ14" s="118">
        <f t="shared" si="34"/>
        <v>762280.45141314529</v>
      </c>
      <c r="DA14" s="118">
        <f t="shared" si="34"/>
        <v>762280.45141314529</v>
      </c>
      <c r="DB14" s="118">
        <f t="shared" si="34"/>
        <v>762280.45141314529</v>
      </c>
      <c r="DC14" s="118">
        <f t="shared" si="34"/>
        <v>762280.45141314529</v>
      </c>
      <c r="DD14" s="118">
        <f t="shared" si="34"/>
        <v>762280.45141314529</v>
      </c>
      <c r="DE14" s="118">
        <f t="shared" si="34"/>
        <v>762280.45141314529</v>
      </c>
      <c r="DF14" s="118">
        <f t="shared" si="34"/>
        <v>762280.45141314529</v>
      </c>
      <c r="DG14" s="118">
        <f t="shared" si="34"/>
        <v>762280.45141314529</v>
      </c>
      <c r="DH14" s="118">
        <f t="shared" si="34"/>
        <v>762280.45141314529</v>
      </c>
      <c r="DI14" s="118">
        <f t="shared" si="34"/>
        <v>762280.45141314529</v>
      </c>
      <c r="DJ14" s="118">
        <f t="shared" si="34"/>
        <v>762280.45141314529</v>
      </c>
      <c r="DK14" s="118">
        <f t="shared" si="34"/>
        <v>762280.45141314529</v>
      </c>
      <c r="DL14" s="118">
        <f t="shared" si="34"/>
        <v>762280.45141314529</v>
      </c>
      <c r="DM14" s="118">
        <f t="shared" si="34"/>
        <v>762280.45141314529</v>
      </c>
      <c r="DN14" s="118">
        <f t="shared" si="34"/>
        <v>762280.45141314529</v>
      </c>
      <c r="DO14" s="118">
        <f t="shared" si="34"/>
        <v>762280.45141314529</v>
      </c>
      <c r="DP14" s="118">
        <f t="shared" si="34"/>
        <v>762280.45141314529</v>
      </c>
      <c r="DQ14" s="118">
        <f t="shared" si="34"/>
        <v>762280.45141314529</v>
      </c>
      <c r="DR14" s="118">
        <f t="shared" si="34"/>
        <v>762280.45141314529</v>
      </c>
      <c r="DS14" s="118">
        <f t="shared" si="34"/>
        <v>762280.45141314529</v>
      </c>
      <c r="DT14" s="118">
        <f t="shared" si="34"/>
        <v>762280.45141314529</v>
      </c>
      <c r="DU14" s="118">
        <f t="shared" si="34"/>
        <v>762280.45141314529</v>
      </c>
      <c r="DV14" s="118">
        <f t="shared" si="34"/>
        <v>762280.45141314529</v>
      </c>
      <c r="DW14" s="118">
        <f t="shared" si="34"/>
        <v>762280.45141314529</v>
      </c>
      <c r="DX14" s="118">
        <f t="shared" si="34"/>
        <v>762280.45141314529</v>
      </c>
      <c r="DY14" s="118">
        <f t="shared" si="34"/>
        <v>762280.45141314529</v>
      </c>
      <c r="DZ14" s="118">
        <f t="shared" si="34"/>
        <v>762280.45141314529</v>
      </c>
      <c r="EA14" s="118">
        <f t="shared" si="34"/>
        <v>762280.45141314529</v>
      </c>
      <c r="EB14" s="118">
        <f t="shared" si="34"/>
        <v>762280.45141314529</v>
      </c>
      <c r="EC14" s="118">
        <f t="shared" si="34"/>
        <v>762280.45141314529</v>
      </c>
      <c r="ED14" s="118">
        <f t="shared" si="34"/>
        <v>762280.45141314529</v>
      </c>
      <c r="EE14" s="118">
        <f t="shared" si="34"/>
        <v>762280.45141314529</v>
      </c>
      <c r="EF14" s="118">
        <f t="shared" si="34"/>
        <v>762280.45141314529</v>
      </c>
      <c r="EG14" s="118">
        <f t="shared" ref="EG14:GR14" si="35">EG10-EG12</f>
        <v>762280.45141314529</v>
      </c>
      <c r="EH14" s="118">
        <f t="shared" si="35"/>
        <v>762280.45141314529</v>
      </c>
      <c r="EI14" s="118">
        <f t="shared" si="35"/>
        <v>762280.45141314529</v>
      </c>
      <c r="EJ14" s="118">
        <f t="shared" si="35"/>
        <v>762280.45141314529</v>
      </c>
      <c r="EK14" s="118">
        <f t="shared" si="35"/>
        <v>762280.45141314529</v>
      </c>
      <c r="EL14" s="118">
        <f t="shared" si="35"/>
        <v>762280.45141314529</v>
      </c>
      <c r="EM14" s="118">
        <f t="shared" si="35"/>
        <v>762280.45141314529</v>
      </c>
      <c r="EN14" s="118">
        <f t="shared" si="35"/>
        <v>762280.45141314529</v>
      </c>
      <c r="EO14" s="118">
        <f t="shared" si="35"/>
        <v>762280.45141314529</v>
      </c>
      <c r="EP14" s="118">
        <f t="shared" si="35"/>
        <v>762280.45141314529</v>
      </c>
      <c r="EQ14" s="118">
        <f t="shared" si="35"/>
        <v>762280.45141314529</v>
      </c>
      <c r="ER14" s="118">
        <f t="shared" si="35"/>
        <v>762280.45141314529</v>
      </c>
      <c r="ES14" s="118">
        <f t="shared" si="35"/>
        <v>762280.45141314529</v>
      </c>
      <c r="ET14" s="118">
        <f t="shared" si="35"/>
        <v>762280.45141314529</v>
      </c>
      <c r="EU14" s="118">
        <f t="shared" si="35"/>
        <v>762280.45141314529</v>
      </c>
      <c r="EV14" s="118">
        <f t="shared" si="35"/>
        <v>762280.45141314529</v>
      </c>
      <c r="EW14" s="118">
        <f t="shared" si="35"/>
        <v>762280.45141314529</v>
      </c>
      <c r="EX14" s="118">
        <f t="shared" si="35"/>
        <v>762280.45141314529</v>
      </c>
      <c r="EY14" s="118">
        <f t="shared" si="35"/>
        <v>762280.45141314529</v>
      </c>
      <c r="EZ14" s="118">
        <f t="shared" si="35"/>
        <v>762280.45141314529</v>
      </c>
      <c r="FA14" s="118">
        <f t="shared" si="35"/>
        <v>762280.45141314529</v>
      </c>
      <c r="FB14" s="118">
        <f t="shared" si="35"/>
        <v>762280.45141314529</v>
      </c>
      <c r="FC14" s="118">
        <f t="shared" si="35"/>
        <v>762280.45141314529</v>
      </c>
      <c r="FD14" s="118">
        <f t="shared" si="35"/>
        <v>762280.45141314529</v>
      </c>
      <c r="FE14" s="118">
        <f t="shared" si="35"/>
        <v>762280.45141314529</v>
      </c>
      <c r="FF14" s="118">
        <f t="shared" si="35"/>
        <v>762280.45141314529</v>
      </c>
      <c r="FG14" s="118">
        <f t="shared" si="35"/>
        <v>762280.45141314529</v>
      </c>
      <c r="FH14" s="118">
        <f t="shared" si="35"/>
        <v>762280.45141314529</v>
      </c>
      <c r="FI14" s="118">
        <f t="shared" si="35"/>
        <v>762280.45141314529</v>
      </c>
      <c r="FJ14" s="118">
        <f t="shared" si="35"/>
        <v>762280.45141314529</v>
      </c>
      <c r="FK14" s="118">
        <f t="shared" si="35"/>
        <v>762280.45141314529</v>
      </c>
      <c r="FL14" s="118">
        <f t="shared" si="35"/>
        <v>762280.45141314529</v>
      </c>
      <c r="FM14" s="118">
        <f t="shared" si="35"/>
        <v>762280.45141314529</v>
      </c>
      <c r="FN14" s="118">
        <f t="shared" si="35"/>
        <v>762280.45141314529</v>
      </c>
      <c r="FO14" s="118">
        <f t="shared" si="35"/>
        <v>762280.45141314529</v>
      </c>
      <c r="FP14" s="118">
        <f t="shared" si="35"/>
        <v>762280.45141314529</v>
      </c>
      <c r="FQ14" s="118">
        <f t="shared" si="35"/>
        <v>762280.45141314529</v>
      </c>
      <c r="FR14" s="118">
        <f t="shared" si="35"/>
        <v>762280.45141314529</v>
      </c>
      <c r="FS14" s="118">
        <f t="shared" si="35"/>
        <v>762280.45141314529</v>
      </c>
      <c r="FT14" s="118">
        <f t="shared" si="35"/>
        <v>762280.45141314529</v>
      </c>
      <c r="FU14" s="118">
        <f t="shared" si="35"/>
        <v>762280.45141314529</v>
      </c>
      <c r="FV14" s="118">
        <f t="shared" si="35"/>
        <v>762280.45141314529</v>
      </c>
      <c r="FW14" s="118">
        <f t="shared" si="35"/>
        <v>762280.45141314529</v>
      </c>
      <c r="FX14" s="118">
        <f t="shared" si="35"/>
        <v>762280.45141314529</v>
      </c>
      <c r="FY14" s="118">
        <f t="shared" si="35"/>
        <v>762280.45141314529</v>
      </c>
      <c r="FZ14" s="118">
        <f t="shared" si="35"/>
        <v>762280.45141314529</v>
      </c>
      <c r="GA14" s="118">
        <f t="shared" si="35"/>
        <v>762280.45141314529</v>
      </c>
      <c r="GB14" s="118">
        <f t="shared" si="35"/>
        <v>762280.45141314529</v>
      </c>
      <c r="GC14" s="118">
        <f t="shared" si="35"/>
        <v>762280.45141314529</v>
      </c>
      <c r="GD14" s="118">
        <f t="shared" si="35"/>
        <v>762280.45141314529</v>
      </c>
      <c r="GE14" s="118">
        <f t="shared" si="35"/>
        <v>762280.45141314529</v>
      </c>
      <c r="GF14" s="118">
        <f t="shared" si="35"/>
        <v>762280.45141314529</v>
      </c>
      <c r="GG14" s="118">
        <f t="shared" si="35"/>
        <v>762280.45141314529</v>
      </c>
      <c r="GH14" s="118">
        <f t="shared" si="35"/>
        <v>762280.45141314529</v>
      </c>
      <c r="GI14" s="118">
        <f t="shared" si="35"/>
        <v>762280.45141314529</v>
      </c>
      <c r="GJ14" s="118">
        <f t="shared" si="35"/>
        <v>762280.45141314529</v>
      </c>
      <c r="GK14" s="118">
        <f t="shared" si="35"/>
        <v>762280.45141314529</v>
      </c>
      <c r="GL14" s="118">
        <f t="shared" si="35"/>
        <v>762280.45141314529</v>
      </c>
      <c r="GM14" s="118">
        <f t="shared" si="35"/>
        <v>762280.45141314529</v>
      </c>
      <c r="GN14" s="118">
        <f t="shared" si="35"/>
        <v>762280.45141314529</v>
      </c>
      <c r="GO14" s="118">
        <f t="shared" si="35"/>
        <v>762280.45141314529</v>
      </c>
      <c r="GP14" s="118">
        <f t="shared" si="35"/>
        <v>762280.45141314529</v>
      </c>
      <c r="GQ14" s="118">
        <f t="shared" si="35"/>
        <v>762280.45141314529</v>
      </c>
      <c r="GR14" s="118">
        <f t="shared" si="35"/>
        <v>762280.45141314529</v>
      </c>
      <c r="GS14" s="118">
        <f t="shared" ref="GS14:JD14" si="36">GS10-GS12</f>
        <v>762280.45141314529</v>
      </c>
      <c r="GT14" s="118">
        <f t="shared" si="36"/>
        <v>762280.45141314529</v>
      </c>
      <c r="GU14" s="118">
        <f t="shared" si="36"/>
        <v>762280.45141314529</v>
      </c>
      <c r="GV14" s="118">
        <f t="shared" si="36"/>
        <v>762280.45141314529</v>
      </c>
      <c r="GW14" s="118">
        <f t="shared" si="36"/>
        <v>762280.45141314529</v>
      </c>
      <c r="GX14" s="118">
        <f t="shared" si="36"/>
        <v>762280.45141314529</v>
      </c>
      <c r="GY14" s="118">
        <f t="shared" si="36"/>
        <v>762280.45141314529</v>
      </c>
      <c r="GZ14" s="118">
        <f t="shared" si="36"/>
        <v>762280.45141314529</v>
      </c>
      <c r="HA14" s="118">
        <f t="shared" si="36"/>
        <v>762280.45141314529</v>
      </c>
      <c r="HB14" s="118">
        <f t="shared" si="36"/>
        <v>762280.45141314529</v>
      </c>
      <c r="HC14" s="118">
        <f t="shared" si="36"/>
        <v>762280.45141314529</v>
      </c>
      <c r="HD14" s="118">
        <f t="shared" si="36"/>
        <v>762280.45141314529</v>
      </c>
      <c r="HE14" s="118">
        <f t="shared" si="36"/>
        <v>762280.45141314529</v>
      </c>
      <c r="HF14" s="118">
        <f t="shared" si="36"/>
        <v>762280.45141314529</v>
      </c>
      <c r="HG14" s="118">
        <f t="shared" si="36"/>
        <v>762280.45141314529</v>
      </c>
      <c r="HH14" s="118">
        <f t="shared" si="36"/>
        <v>762280.45141314529</v>
      </c>
      <c r="HI14" s="118">
        <f t="shared" si="36"/>
        <v>762280.45141314529</v>
      </c>
      <c r="HJ14" s="118">
        <f t="shared" si="36"/>
        <v>762280.45141314529</v>
      </c>
      <c r="HK14" s="118">
        <f t="shared" si="36"/>
        <v>762280.45141314529</v>
      </c>
      <c r="HL14" s="118">
        <f t="shared" si="36"/>
        <v>762280.45141314529</v>
      </c>
      <c r="HM14" s="118">
        <f t="shared" si="36"/>
        <v>762280.45141314529</v>
      </c>
      <c r="HN14" s="118">
        <f t="shared" si="36"/>
        <v>762280.45141314529</v>
      </c>
      <c r="HO14" s="118">
        <f t="shared" si="36"/>
        <v>762280.45141314529</v>
      </c>
      <c r="HP14" s="118">
        <f t="shared" si="36"/>
        <v>762280.45141314529</v>
      </c>
      <c r="HQ14" s="118">
        <f t="shared" si="36"/>
        <v>762280.45141314529</v>
      </c>
      <c r="HR14" s="118">
        <f t="shared" si="36"/>
        <v>762280.45141314529</v>
      </c>
      <c r="HS14" s="118">
        <f t="shared" si="36"/>
        <v>762280.45141314529</v>
      </c>
      <c r="HT14" s="118">
        <f t="shared" si="36"/>
        <v>762280.45141314529</v>
      </c>
      <c r="HU14" s="118">
        <f t="shared" si="36"/>
        <v>762280.45141314529</v>
      </c>
      <c r="HV14" s="118">
        <f t="shared" si="36"/>
        <v>762280.45141314529</v>
      </c>
      <c r="HW14" s="118">
        <f t="shared" si="36"/>
        <v>762280.45141314529</v>
      </c>
      <c r="HX14" s="118">
        <f t="shared" si="36"/>
        <v>762280.45141314529</v>
      </c>
      <c r="HY14" s="118">
        <f t="shared" si="36"/>
        <v>762280.45141314529</v>
      </c>
      <c r="HZ14" s="118">
        <f t="shared" si="36"/>
        <v>762280.45141314529</v>
      </c>
      <c r="IA14" s="118">
        <f t="shared" si="36"/>
        <v>762280.45141314529</v>
      </c>
      <c r="IB14" s="118">
        <f t="shared" si="36"/>
        <v>762280.45141314529</v>
      </c>
      <c r="IC14" s="118">
        <f t="shared" si="36"/>
        <v>762280.45141314529</v>
      </c>
      <c r="ID14" s="118">
        <f t="shared" si="36"/>
        <v>762280.45141314529</v>
      </c>
      <c r="IE14" s="118">
        <f t="shared" si="36"/>
        <v>762280.45141314529</v>
      </c>
      <c r="IF14" s="118">
        <f t="shared" si="36"/>
        <v>762280.45141314529</v>
      </c>
      <c r="IG14" s="118">
        <f t="shared" si="36"/>
        <v>762280.45141314529</v>
      </c>
      <c r="IH14" s="118">
        <f t="shared" si="36"/>
        <v>762280.45141314529</v>
      </c>
      <c r="II14" s="118">
        <f t="shared" si="36"/>
        <v>762280.45141314529</v>
      </c>
      <c r="IJ14" s="118">
        <f t="shared" si="36"/>
        <v>762280.45141314529</v>
      </c>
      <c r="IK14" s="118">
        <f t="shared" si="36"/>
        <v>762280.45141314529</v>
      </c>
      <c r="IL14" s="118">
        <f t="shared" si="36"/>
        <v>762280.45141314529</v>
      </c>
      <c r="IM14" s="118">
        <f t="shared" si="36"/>
        <v>762280.45141314529</v>
      </c>
      <c r="IN14" s="118">
        <f t="shared" si="36"/>
        <v>762280.45141314529</v>
      </c>
      <c r="IO14" s="118">
        <f t="shared" si="36"/>
        <v>762280.45141314529</v>
      </c>
      <c r="IP14" s="118">
        <f t="shared" si="36"/>
        <v>762280.45141314529</v>
      </c>
      <c r="IQ14" s="118">
        <f t="shared" si="36"/>
        <v>762280.45141314529</v>
      </c>
      <c r="IR14" s="118">
        <f t="shared" si="36"/>
        <v>762280.45141314529</v>
      </c>
      <c r="IS14" s="118">
        <f t="shared" si="36"/>
        <v>762280.45141314529</v>
      </c>
      <c r="IT14" s="118">
        <f t="shared" si="36"/>
        <v>762280.45141314529</v>
      </c>
      <c r="IU14" s="118">
        <f t="shared" si="36"/>
        <v>762280.45141314529</v>
      </c>
      <c r="IV14" s="118">
        <f t="shared" si="36"/>
        <v>762280.45141314529</v>
      </c>
      <c r="IW14" s="118">
        <f t="shared" si="36"/>
        <v>762280.45141314529</v>
      </c>
      <c r="IX14" s="118">
        <f t="shared" si="36"/>
        <v>762280.45141314529</v>
      </c>
      <c r="IY14" s="118">
        <f t="shared" si="36"/>
        <v>762280.45141314529</v>
      </c>
      <c r="IZ14" s="118">
        <f t="shared" si="36"/>
        <v>762280.45141314529</v>
      </c>
      <c r="JA14" s="118">
        <f t="shared" si="36"/>
        <v>762280.45141314529</v>
      </c>
      <c r="JB14" s="118">
        <f t="shared" si="36"/>
        <v>762280.45141314529</v>
      </c>
      <c r="JC14" s="118">
        <f t="shared" si="36"/>
        <v>762280.45141314529</v>
      </c>
      <c r="JD14" s="118">
        <f t="shared" si="36"/>
        <v>762280.45141314529</v>
      </c>
      <c r="JE14" s="118">
        <f t="shared" ref="JE14:KF14" si="37">JE10-JE12</f>
        <v>762280.45141314529</v>
      </c>
      <c r="JF14" s="118">
        <f t="shared" si="37"/>
        <v>762280.45141314529</v>
      </c>
      <c r="JG14" s="118">
        <f t="shared" si="37"/>
        <v>762280.45141314529</v>
      </c>
      <c r="JH14" s="118">
        <f t="shared" si="37"/>
        <v>762280.45141314529</v>
      </c>
      <c r="JI14" s="118">
        <f t="shared" si="37"/>
        <v>762280.45141314529</v>
      </c>
      <c r="JJ14" s="118">
        <f t="shared" si="37"/>
        <v>762280.45141314529</v>
      </c>
      <c r="JK14" s="118">
        <f t="shared" si="37"/>
        <v>762280.45141314529</v>
      </c>
      <c r="JL14" s="118">
        <f t="shared" si="37"/>
        <v>762280.45141314529</v>
      </c>
      <c r="JM14" s="118">
        <f t="shared" si="37"/>
        <v>762280.45141314529</v>
      </c>
      <c r="JN14" s="118">
        <f t="shared" si="37"/>
        <v>762280.45141314529</v>
      </c>
      <c r="JO14" s="118">
        <f t="shared" si="37"/>
        <v>762280.45141314529</v>
      </c>
      <c r="JP14" s="118">
        <f t="shared" si="37"/>
        <v>762280.45141314529</v>
      </c>
      <c r="JQ14" s="118">
        <f t="shared" si="37"/>
        <v>762280.45141314529</v>
      </c>
      <c r="JR14" s="118">
        <f t="shared" si="37"/>
        <v>762280.45141314529</v>
      </c>
      <c r="JS14" s="118">
        <f t="shared" si="37"/>
        <v>762280.45141314529</v>
      </c>
      <c r="JT14" s="118">
        <f t="shared" si="37"/>
        <v>762280.45141314529</v>
      </c>
      <c r="JU14" s="118">
        <f t="shared" si="37"/>
        <v>762280.45141314529</v>
      </c>
      <c r="JV14" s="118">
        <f t="shared" si="37"/>
        <v>762280.45141314529</v>
      </c>
      <c r="JW14" s="118">
        <f t="shared" si="37"/>
        <v>762280.45141314529</v>
      </c>
      <c r="JX14" s="118">
        <f t="shared" si="37"/>
        <v>762280.45141314529</v>
      </c>
      <c r="JY14" s="118">
        <f t="shared" si="37"/>
        <v>762280.45141314529</v>
      </c>
      <c r="JZ14" s="118">
        <f t="shared" si="37"/>
        <v>762280.45141314529</v>
      </c>
      <c r="KA14" s="118">
        <f t="shared" si="37"/>
        <v>762280.45141314529</v>
      </c>
      <c r="KB14" s="118">
        <f t="shared" si="37"/>
        <v>762280.45141314529</v>
      </c>
      <c r="KC14" s="118">
        <f t="shared" si="37"/>
        <v>762280.45141314529</v>
      </c>
      <c r="KD14" s="118">
        <f t="shared" si="37"/>
        <v>762280.45141314529</v>
      </c>
      <c r="KE14" s="118">
        <f t="shared" si="37"/>
        <v>762280.45141314529</v>
      </c>
      <c r="KF14" s="118">
        <f t="shared" si="37"/>
        <v>762280.45141314529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34"/>
      <c r="B17" s="106" t="s">
        <v>432</v>
      </c>
      <c r="C17" s="275">
        <f>C3-D17</f>
        <v>0</v>
      </c>
      <c r="D17" s="107">
        <f>SUM(F17:KF17)</f>
        <v>4119606.8571272353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1555.5555555555557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3270737.4274961269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405201.64097658882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400822.32914092846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41289.903958035473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34"/>
      <c r="B18" s="106" t="s">
        <v>433</v>
      </c>
      <c r="C18" s="275">
        <f>D17-D18</f>
        <v>0</v>
      </c>
      <c r="D18" s="107">
        <f>MAX(F18:KF18)</f>
        <v>4119606.8571272353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3272292.9830516824</v>
      </c>
      <c r="R18" s="125">
        <f t="shared" si="38"/>
        <v>3272292.9830516824</v>
      </c>
      <c r="S18" s="125">
        <f t="shared" si="38"/>
        <v>3272292.9830516824</v>
      </c>
      <c r="T18" s="125">
        <f t="shared" si="38"/>
        <v>3272292.9830516824</v>
      </c>
      <c r="U18" s="125">
        <f t="shared" si="38"/>
        <v>3677494.6240282711</v>
      </c>
      <c r="V18" s="125">
        <f t="shared" si="38"/>
        <v>3677494.6240282711</v>
      </c>
      <c r="W18" s="125">
        <f t="shared" si="38"/>
        <v>3677494.6240282711</v>
      </c>
      <c r="X18" s="125">
        <f t="shared" si="38"/>
        <v>3677494.6240282711</v>
      </c>
      <c r="Y18" s="125">
        <f t="shared" si="38"/>
        <v>4078316.9531691996</v>
      </c>
      <c r="Z18" s="125">
        <f t="shared" si="38"/>
        <v>4078316.9531691996</v>
      </c>
      <c r="AA18" s="125">
        <f t="shared" si="38"/>
        <v>4078316.9531691996</v>
      </c>
      <c r="AB18" s="125">
        <f t="shared" si="38"/>
        <v>4078316.9531691996</v>
      </c>
      <c r="AC18" s="125">
        <f t="shared" si="38"/>
        <v>4078316.9531691996</v>
      </c>
      <c r="AD18" s="125">
        <f>AC18+AD17</f>
        <v>4119606.8571272353</v>
      </c>
      <c r="AE18" s="125">
        <f t="shared" si="38"/>
        <v>4119606.8571272353</v>
      </c>
      <c r="AF18" s="125">
        <f t="shared" si="38"/>
        <v>4119606.8571272353</v>
      </c>
      <c r="AG18" s="125">
        <f t="shared" si="38"/>
        <v>4119606.8571272353</v>
      </c>
      <c r="AH18" s="125">
        <f t="shared" si="38"/>
        <v>4119606.8571272353</v>
      </c>
      <c r="AI18" s="125">
        <f t="shared" si="38"/>
        <v>4119606.8571272353</v>
      </c>
      <c r="AJ18" s="125">
        <f t="shared" si="38"/>
        <v>4119606.8571272353</v>
      </c>
      <c r="AK18" s="125">
        <f t="shared" si="38"/>
        <v>4119606.8571272353</v>
      </c>
      <c r="AL18" s="125">
        <f t="shared" si="38"/>
        <v>4119606.8571272353</v>
      </c>
      <c r="AM18" s="125">
        <f t="shared" si="38"/>
        <v>4119606.8571272353</v>
      </c>
      <c r="AN18" s="125">
        <f t="shared" si="38"/>
        <v>4119606.8571272353</v>
      </c>
      <c r="AO18" s="125">
        <f t="shared" si="38"/>
        <v>4119606.8571272353</v>
      </c>
      <c r="AP18" s="125">
        <f t="shared" si="38"/>
        <v>4119606.8571272353</v>
      </c>
      <c r="AQ18" s="125">
        <f t="shared" si="38"/>
        <v>4119606.8571272353</v>
      </c>
      <c r="AR18" s="125">
        <f t="shared" si="38"/>
        <v>4119606.8571272353</v>
      </c>
      <c r="AS18" s="125">
        <f t="shared" si="38"/>
        <v>4119606.8571272353</v>
      </c>
      <c r="AT18" s="125">
        <f t="shared" si="38"/>
        <v>4119606.8571272353</v>
      </c>
      <c r="AU18" s="125">
        <f t="shared" si="38"/>
        <v>4119606.8571272353</v>
      </c>
      <c r="AV18" s="125">
        <f t="shared" si="38"/>
        <v>4119606.8571272353</v>
      </c>
      <c r="AW18" s="125">
        <f t="shared" si="38"/>
        <v>4119606.8571272353</v>
      </c>
      <c r="AX18" s="125">
        <f t="shared" si="38"/>
        <v>4119606.8571272353</v>
      </c>
      <c r="AY18" s="125">
        <f t="shared" si="38"/>
        <v>4119606.8571272353</v>
      </c>
      <c r="AZ18" s="125">
        <f t="shared" si="38"/>
        <v>4119606.8571272353</v>
      </c>
      <c r="BA18" s="125">
        <f t="shared" si="38"/>
        <v>4119606.8571272353</v>
      </c>
      <c r="BB18" s="125">
        <f t="shared" si="38"/>
        <v>4119606.8571272353</v>
      </c>
      <c r="BC18" s="125">
        <f t="shared" si="38"/>
        <v>4119606.8571272353</v>
      </c>
      <c r="BD18" s="125">
        <f t="shared" si="38"/>
        <v>4119606.8571272353</v>
      </c>
      <c r="BE18" s="125">
        <f t="shared" si="38"/>
        <v>4119606.8571272353</v>
      </c>
      <c r="BF18" s="125">
        <f t="shared" si="38"/>
        <v>4119606.8571272353</v>
      </c>
      <c r="BG18" s="125">
        <f t="shared" si="38"/>
        <v>4119606.8571272353</v>
      </c>
      <c r="BH18" s="125">
        <f t="shared" si="38"/>
        <v>4119606.8571272353</v>
      </c>
      <c r="BI18" s="125">
        <f t="shared" si="38"/>
        <v>4119606.8571272353</v>
      </c>
      <c r="BJ18" s="125">
        <f t="shared" si="38"/>
        <v>4119606.8571272353</v>
      </c>
      <c r="BK18" s="125">
        <f t="shared" si="38"/>
        <v>4119606.8571272353</v>
      </c>
      <c r="BL18" s="125">
        <f t="shared" si="38"/>
        <v>4119606.8571272353</v>
      </c>
      <c r="BM18" s="125">
        <f t="shared" si="38"/>
        <v>4119606.8571272353</v>
      </c>
      <c r="BN18" s="125">
        <f t="shared" si="38"/>
        <v>4119606.8571272353</v>
      </c>
      <c r="BO18" s="125">
        <f t="shared" si="38"/>
        <v>4119606.8571272353</v>
      </c>
      <c r="BP18" s="125">
        <f t="shared" si="38"/>
        <v>4119606.8571272353</v>
      </c>
      <c r="BQ18" s="125">
        <f t="shared" si="38"/>
        <v>4119606.8571272353</v>
      </c>
      <c r="BR18" s="125">
        <f t="shared" si="38"/>
        <v>4119606.8571272353</v>
      </c>
      <c r="BS18" s="125">
        <f t="shared" si="38"/>
        <v>4119606.8571272353</v>
      </c>
      <c r="BT18" s="125">
        <f t="shared" si="38"/>
        <v>4119606.8571272353</v>
      </c>
      <c r="BU18" s="125">
        <f t="shared" ref="BU18:EF18" si="39">BT18+BU17</f>
        <v>4119606.8571272353</v>
      </c>
      <c r="BV18" s="125">
        <f t="shared" si="39"/>
        <v>4119606.8571272353</v>
      </c>
      <c r="BW18" s="125">
        <f t="shared" si="39"/>
        <v>4119606.8571272353</v>
      </c>
      <c r="BX18" s="125">
        <f t="shared" si="39"/>
        <v>4119606.8571272353</v>
      </c>
      <c r="BY18" s="125">
        <f t="shared" si="39"/>
        <v>4119606.8571272353</v>
      </c>
      <c r="BZ18" s="125">
        <f t="shared" si="39"/>
        <v>4119606.8571272353</v>
      </c>
      <c r="CA18" s="125">
        <f t="shared" si="39"/>
        <v>4119606.8571272353</v>
      </c>
      <c r="CB18" s="125">
        <f t="shared" si="39"/>
        <v>4119606.8571272353</v>
      </c>
      <c r="CC18" s="125">
        <f t="shared" si="39"/>
        <v>4119606.8571272353</v>
      </c>
      <c r="CD18" s="125">
        <f t="shared" si="39"/>
        <v>4119606.8571272353</v>
      </c>
      <c r="CE18" s="125">
        <f t="shared" si="39"/>
        <v>4119606.8571272353</v>
      </c>
      <c r="CF18" s="125">
        <f t="shared" si="39"/>
        <v>4119606.8571272353</v>
      </c>
      <c r="CG18" s="125">
        <f t="shared" si="39"/>
        <v>4119606.8571272353</v>
      </c>
      <c r="CH18" s="125">
        <f t="shared" si="39"/>
        <v>4119606.8571272353</v>
      </c>
      <c r="CI18" s="125">
        <f t="shared" si="39"/>
        <v>4119606.8571272353</v>
      </c>
      <c r="CJ18" s="125">
        <f t="shared" si="39"/>
        <v>4119606.8571272353</v>
      </c>
      <c r="CK18" s="125">
        <f t="shared" si="39"/>
        <v>4119606.8571272353</v>
      </c>
      <c r="CL18" s="125">
        <f t="shared" si="39"/>
        <v>4119606.8571272353</v>
      </c>
      <c r="CM18" s="125">
        <f t="shared" si="39"/>
        <v>4119606.8571272353</v>
      </c>
      <c r="CN18" s="125">
        <f t="shared" si="39"/>
        <v>4119606.8571272353</v>
      </c>
      <c r="CO18" s="125">
        <f t="shared" si="39"/>
        <v>4119606.8571272353</v>
      </c>
      <c r="CP18" s="125">
        <f t="shared" si="39"/>
        <v>4119606.8571272353</v>
      </c>
      <c r="CQ18" s="125">
        <f t="shared" si="39"/>
        <v>4119606.8571272353</v>
      </c>
      <c r="CR18" s="125">
        <f t="shared" si="39"/>
        <v>4119606.8571272353</v>
      </c>
      <c r="CS18" s="125">
        <f t="shared" si="39"/>
        <v>4119606.8571272353</v>
      </c>
      <c r="CT18" s="125">
        <f t="shared" si="39"/>
        <v>4119606.8571272353</v>
      </c>
      <c r="CU18" s="125">
        <f t="shared" si="39"/>
        <v>4119606.8571272353</v>
      </c>
      <c r="CV18" s="125">
        <f t="shared" si="39"/>
        <v>4119606.8571272353</v>
      </c>
      <c r="CW18" s="125">
        <f t="shared" si="39"/>
        <v>4119606.8571272353</v>
      </c>
      <c r="CX18" s="125">
        <f t="shared" si="39"/>
        <v>4119606.8571272353</v>
      </c>
      <c r="CY18" s="125">
        <f t="shared" si="39"/>
        <v>4119606.8571272353</v>
      </c>
      <c r="CZ18" s="125">
        <f t="shared" si="39"/>
        <v>4119606.8571272353</v>
      </c>
      <c r="DA18" s="125">
        <f t="shared" si="39"/>
        <v>4119606.8571272353</v>
      </c>
      <c r="DB18" s="125">
        <f t="shared" si="39"/>
        <v>4119606.8571272353</v>
      </c>
      <c r="DC18" s="125">
        <f t="shared" si="39"/>
        <v>4119606.8571272353</v>
      </c>
      <c r="DD18" s="125">
        <f t="shared" si="39"/>
        <v>4119606.8571272353</v>
      </c>
      <c r="DE18" s="125">
        <f t="shared" si="39"/>
        <v>4119606.8571272353</v>
      </c>
      <c r="DF18" s="125">
        <f t="shared" si="39"/>
        <v>4119606.8571272353</v>
      </c>
      <c r="DG18" s="125">
        <f t="shared" si="39"/>
        <v>4119606.8571272353</v>
      </c>
      <c r="DH18" s="125">
        <f t="shared" si="39"/>
        <v>4119606.8571272353</v>
      </c>
      <c r="DI18" s="125">
        <f t="shared" si="39"/>
        <v>4119606.8571272353</v>
      </c>
      <c r="DJ18" s="125">
        <f t="shared" si="39"/>
        <v>4119606.8571272353</v>
      </c>
      <c r="DK18" s="125">
        <f t="shared" si="39"/>
        <v>4119606.8571272353</v>
      </c>
      <c r="DL18" s="125">
        <f t="shared" si="39"/>
        <v>4119606.8571272353</v>
      </c>
      <c r="DM18" s="125">
        <f t="shared" si="39"/>
        <v>4119606.8571272353</v>
      </c>
      <c r="DN18" s="125">
        <f t="shared" si="39"/>
        <v>4119606.8571272353</v>
      </c>
      <c r="DO18" s="125">
        <f t="shared" si="39"/>
        <v>4119606.8571272353</v>
      </c>
      <c r="DP18" s="125">
        <f t="shared" si="39"/>
        <v>4119606.8571272353</v>
      </c>
      <c r="DQ18" s="125">
        <f t="shared" si="39"/>
        <v>4119606.8571272353</v>
      </c>
      <c r="DR18" s="125">
        <f t="shared" si="39"/>
        <v>4119606.8571272353</v>
      </c>
      <c r="DS18" s="125">
        <f t="shared" si="39"/>
        <v>4119606.8571272353</v>
      </c>
      <c r="DT18" s="125">
        <f t="shared" si="39"/>
        <v>4119606.8571272353</v>
      </c>
      <c r="DU18" s="125">
        <f t="shared" si="39"/>
        <v>4119606.8571272353</v>
      </c>
      <c r="DV18" s="125">
        <f t="shared" si="39"/>
        <v>4119606.8571272353</v>
      </c>
      <c r="DW18" s="125">
        <f t="shared" si="39"/>
        <v>4119606.8571272353</v>
      </c>
      <c r="DX18" s="125">
        <f t="shared" si="39"/>
        <v>4119606.8571272353</v>
      </c>
      <c r="DY18" s="125">
        <f t="shared" si="39"/>
        <v>4119606.8571272353</v>
      </c>
      <c r="DZ18" s="125">
        <f t="shared" si="39"/>
        <v>4119606.8571272353</v>
      </c>
      <c r="EA18" s="125">
        <f t="shared" si="39"/>
        <v>4119606.8571272353</v>
      </c>
      <c r="EB18" s="125">
        <f t="shared" si="39"/>
        <v>4119606.8571272353</v>
      </c>
      <c r="EC18" s="125">
        <f t="shared" si="39"/>
        <v>4119606.8571272353</v>
      </c>
      <c r="ED18" s="125">
        <f t="shared" si="39"/>
        <v>4119606.8571272353</v>
      </c>
      <c r="EE18" s="125">
        <f t="shared" si="39"/>
        <v>4119606.8571272353</v>
      </c>
      <c r="EF18" s="125">
        <f t="shared" si="39"/>
        <v>4119606.8571272353</v>
      </c>
      <c r="EG18" s="125">
        <f t="shared" ref="EG18:GR18" si="40">EF18+EG17</f>
        <v>4119606.8571272353</v>
      </c>
      <c r="EH18" s="125">
        <f t="shared" si="40"/>
        <v>4119606.8571272353</v>
      </c>
      <c r="EI18" s="125">
        <f t="shared" si="40"/>
        <v>4119606.8571272353</v>
      </c>
      <c r="EJ18" s="125">
        <f t="shared" si="40"/>
        <v>4119606.8571272353</v>
      </c>
      <c r="EK18" s="125">
        <f t="shared" si="40"/>
        <v>4119606.8571272353</v>
      </c>
      <c r="EL18" s="125">
        <f t="shared" si="40"/>
        <v>4119606.8571272353</v>
      </c>
      <c r="EM18" s="125">
        <f t="shared" si="40"/>
        <v>4119606.8571272353</v>
      </c>
      <c r="EN18" s="125">
        <f t="shared" si="40"/>
        <v>4119606.8571272353</v>
      </c>
      <c r="EO18" s="125">
        <f t="shared" si="40"/>
        <v>4119606.8571272353</v>
      </c>
      <c r="EP18" s="125">
        <f t="shared" si="40"/>
        <v>4119606.8571272353</v>
      </c>
      <c r="EQ18" s="125">
        <f t="shared" si="40"/>
        <v>4119606.8571272353</v>
      </c>
      <c r="ER18" s="125">
        <f t="shared" si="40"/>
        <v>4119606.8571272353</v>
      </c>
      <c r="ES18" s="125">
        <f t="shared" si="40"/>
        <v>4119606.8571272353</v>
      </c>
      <c r="ET18" s="125">
        <f t="shared" si="40"/>
        <v>4119606.8571272353</v>
      </c>
      <c r="EU18" s="125">
        <f t="shared" si="40"/>
        <v>4119606.8571272353</v>
      </c>
      <c r="EV18" s="125">
        <f t="shared" si="40"/>
        <v>4119606.8571272353</v>
      </c>
      <c r="EW18" s="125">
        <f t="shared" si="40"/>
        <v>4119606.8571272353</v>
      </c>
      <c r="EX18" s="125">
        <f t="shared" si="40"/>
        <v>4119606.8571272353</v>
      </c>
      <c r="EY18" s="125">
        <f t="shared" si="40"/>
        <v>4119606.8571272353</v>
      </c>
      <c r="EZ18" s="125">
        <f t="shared" si="40"/>
        <v>4119606.8571272353</v>
      </c>
      <c r="FA18" s="125">
        <f t="shared" si="40"/>
        <v>4119606.8571272353</v>
      </c>
      <c r="FB18" s="125">
        <f t="shared" si="40"/>
        <v>4119606.8571272353</v>
      </c>
      <c r="FC18" s="125">
        <f t="shared" si="40"/>
        <v>4119606.8571272353</v>
      </c>
      <c r="FD18" s="125">
        <f t="shared" si="40"/>
        <v>4119606.8571272353</v>
      </c>
      <c r="FE18" s="125">
        <f t="shared" si="40"/>
        <v>4119606.8571272353</v>
      </c>
      <c r="FF18" s="125">
        <f t="shared" si="40"/>
        <v>4119606.8571272353</v>
      </c>
      <c r="FG18" s="125">
        <f t="shared" si="40"/>
        <v>4119606.8571272353</v>
      </c>
      <c r="FH18" s="125">
        <f t="shared" si="40"/>
        <v>4119606.8571272353</v>
      </c>
      <c r="FI18" s="125">
        <f t="shared" si="40"/>
        <v>4119606.8571272353</v>
      </c>
      <c r="FJ18" s="125">
        <f t="shared" si="40"/>
        <v>4119606.8571272353</v>
      </c>
      <c r="FK18" s="125">
        <f t="shared" si="40"/>
        <v>4119606.8571272353</v>
      </c>
      <c r="FL18" s="125">
        <f t="shared" si="40"/>
        <v>4119606.8571272353</v>
      </c>
      <c r="FM18" s="125">
        <f t="shared" si="40"/>
        <v>4119606.8571272353</v>
      </c>
      <c r="FN18" s="125">
        <f t="shared" si="40"/>
        <v>4119606.8571272353</v>
      </c>
      <c r="FO18" s="125">
        <f t="shared" si="40"/>
        <v>4119606.8571272353</v>
      </c>
      <c r="FP18" s="125">
        <f t="shared" si="40"/>
        <v>4119606.8571272353</v>
      </c>
      <c r="FQ18" s="125">
        <f t="shared" si="40"/>
        <v>4119606.8571272353</v>
      </c>
      <c r="FR18" s="125">
        <f t="shared" si="40"/>
        <v>4119606.8571272353</v>
      </c>
      <c r="FS18" s="125">
        <f t="shared" si="40"/>
        <v>4119606.8571272353</v>
      </c>
      <c r="FT18" s="125">
        <f t="shared" si="40"/>
        <v>4119606.8571272353</v>
      </c>
      <c r="FU18" s="125">
        <f t="shared" si="40"/>
        <v>4119606.8571272353</v>
      </c>
      <c r="FV18" s="125">
        <f t="shared" si="40"/>
        <v>4119606.8571272353</v>
      </c>
      <c r="FW18" s="125">
        <f t="shared" si="40"/>
        <v>4119606.8571272353</v>
      </c>
      <c r="FX18" s="125">
        <f t="shared" si="40"/>
        <v>4119606.8571272353</v>
      </c>
      <c r="FY18" s="125">
        <f t="shared" si="40"/>
        <v>4119606.8571272353</v>
      </c>
      <c r="FZ18" s="125">
        <f t="shared" si="40"/>
        <v>4119606.8571272353</v>
      </c>
      <c r="GA18" s="125">
        <f t="shared" si="40"/>
        <v>4119606.8571272353</v>
      </c>
      <c r="GB18" s="125">
        <f t="shared" si="40"/>
        <v>4119606.8571272353</v>
      </c>
      <c r="GC18" s="125">
        <f t="shared" si="40"/>
        <v>4119606.8571272353</v>
      </c>
      <c r="GD18" s="125">
        <f t="shared" si="40"/>
        <v>4119606.8571272353</v>
      </c>
      <c r="GE18" s="125">
        <f t="shared" si="40"/>
        <v>4119606.8571272353</v>
      </c>
      <c r="GF18" s="125">
        <f t="shared" si="40"/>
        <v>4119606.8571272353</v>
      </c>
      <c r="GG18" s="125">
        <f t="shared" si="40"/>
        <v>4119606.8571272353</v>
      </c>
      <c r="GH18" s="125">
        <f t="shared" si="40"/>
        <v>4119606.8571272353</v>
      </c>
      <c r="GI18" s="125">
        <f t="shared" si="40"/>
        <v>4119606.8571272353</v>
      </c>
      <c r="GJ18" s="125">
        <f t="shared" si="40"/>
        <v>4119606.8571272353</v>
      </c>
      <c r="GK18" s="125">
        <f t="shared" si="40"/>
        <v>4119606.8571272353</v>
      </c>
      <c r="GL18" s="125">
        <f t="shared" si="40"/>
        <v>4119606.8571272353</v>
      </c>
      <c r="GM18" s="125">
        <f t="shared" si="40"/>
        <v>4119606.8571272353</v>
      </c>
      <c r="GN18" s="125">
        <f t="shared" si="40"/>
        <v>4119606.8571272353</v>
      </c>
      <c r="GO18" s="125">
        <f t="shared" si="40"/>
        <v>4119606.8571272353</v>
      </c>
      <c r="GP18" s="125">
        <f t="shared" si="40"/>
        <v>4119606.8571272353</v>
      </c>
      <c r="GQ18" s="125">
        <f t="shared" si="40"/>
        <v>4119606.8571272353</v>
      </c>
      <c r="GR18" s="125">
        <f t="shared" si="40"/>
        <v>4119606.8571272353</v>
      </c>
      <c r="GS18" s="125">
        <f t="shared" ref="GS18:JD18" si="41">GR18+GS17</f>
        <v>4119606.8571272353</v>
      </c>
      <c r="GT18" s="125">
        <f t="shared" si="41"/>
        <v>4119606.8571272353</v>
      </c>
      <c r="GU18" s="125">
        <f t="shared" si="41"/>
        <v>4119606.8571272353</v>
      </c>
      <c r="GV18" s="125">
        <f t="shared" si="41"/>
        <v>4119606.8571272353</v>
      </c>
      <c r="GW18" s="125">
        <f t="shared" si="41"/>
        <v>4119606.8571272353</v>
      </c>
      <c r="GX18" s="125">
        <f t="shared" si="41"/>
        <v>4119606.8571272353</v>
      </c>
      <c r="GY18" s="125">
        <f t="shared" si="41"/>
        <v>4119606.8571272353</v>
      </c>
      <c r="GZ18" s="125">
        <f t="shared" si="41"/>
        <v>4119606.8571272353</v>
      </c>
      <c r="HA18" s="125">
        <f t="shared" si="41"/>
        <v>4119606.8571272353</v>
      </c>
      <c r="HB18" s="125">
        <f t="shared" si="41"/>
        <v>4119606.8571272353</v>
      </c>
      <c r="HC18" s="125">
        <f t="shared" si="41"/>
        <v>4119606.8571272353</v>
      </c>
      <c r="HD18" s="125">
        <f t="shared" si="41"/>
        <v>4119606.8571272353</v>
      </c>
      <c r="HE18" s="125">
        <f t="shared" si="41"/>
        <v>4119606.8571272353</v>
      </c>
      <c r="HF18" s="125">
        <f t="shared" si="41"/>
        <v>4119606.8571272353</v>
      </c>
      <c r="HG18" s="125">
        <f t="shared" si="41"/>
        <v>4119606.8571272353</v>
      </c>
      <c r="HH18" s="125">
        <f t="shared" si="41"/>
        <v>4119606.8571272353</v>
      </c>
      <c r="HI18" s="125">
        <f t="shared" si="41"/>
        <v>4119606.8571272353</v>
      </c>
      <c r="HJ18" s="125">
        <f t="shared" si="41"/>
        <v>4119606.8571272353</v>
      </c>
      <c r="HK18" s="125">
        <f t="shared" si="41"/>
        <v>4119606.8571272353</v>
      </c>
      <c r="HL18" s="125">
        <f t="shared" si="41"/>
        <v>4119606.8571272353</v>
      </c>
      <c r="HM18" s="125">
        <f t="shared" si="41"/>
        <v>4119606.8571272353</v>
      </c>
      <c r="HN18" s="125">
        <f t="shared" si="41"/>
        <v>4119606.8571272353</v>
      </c>
      <c r="HO18" s="125">
        <f t="shared" si="41"/>
        <v>4119606.8571272353</v>
      </c>
      <c r="HP18" s="125">
        <f t="shared" si="41"/>
        <v>4119606.8571272353</v>
      </c>
      <c r="HQ18" s="125">
        <f t="shared" si="41"/>
        <v>4119606.8571272353</v>
      </c>
      <c r="HR18" s="125">
        <f t="shared" si="41"/>
        <v>4119606.8571272353</v>
      </c>
      <c r="HS18" s="125">
        <f t="shared" si="41"/>
        <v>4119606.8571272353</v>
      </c>
      <c r="HT18" s="125">
        <f t="shared" si="41"/>
        <v>4119606.8571272353</v>
      </c>
      <c r="HU18" s="125">
        <f t="shared" si="41"/>
        <v>4119606.8571272353</v>
      </c>
      <c r="HV18" s="125">
        <f t="shared" si="41"/>
        <v>4119606.8571272353</v>
      </c>
      <c r="HW18" s="125">
        <f t="shared" si="41"/>
        <v>4119606.8571272353</v>
      </c>
      <c r="HX18" s="125">
        <f t="shared" si="41"/>
        <v>4119606.8571272353</v>
      </c>
      <c r="HY18" s="125">
        <f t="shared" si="41"/>
        <v>4119606.8571272353</v>
      </c>
      <c r="HZ18" s="125">
        <f t="shared" si="41"/>
        <v>4119606.8571272353</v>
      </c>
      <c r="IA18" s="125">
        <f t="shared" si="41"/>
        <v>4119606.8571272353</v>
      </c>
      <c r="IB18" s="125">
        <f t="shared" si="41"/>
        <v>4119606.8571272353</v>
      </c>
      <c r="IC18" s="125">
        <f t="shared" si="41"/>
        <v>4119606.8571272353</v>
      </c>
      <c r="ID18" s="125">
        <f t="shared" si="41"/>
        <v>4119606.8571272353</v>
      </c>
      <c r="IE18" s="125">
        <f t="shared" si="41"/>
        <v>4119606.8571272353</v>
      </c>
      <c r="IF18" s="125">
        <f t="shared" si="41"/>
        <v>4119606.8571272353</v>
      </c>
      <c r="IG18" s="125">
        <f t="shared" si="41"/>
        <v>4119606.8571272353</v>
      </c>
      <c r="IH18" s="125">
        <f t="shared" si="41"/>
        <v>4119606.8571272353</v>
      </c>
      <c r="II18" s="125">
        <f t="shared" si="41"/>
        <v>4119606.8571272353</v>
      </c>
      <c r="IJ18" s="125">
        <f t="shared" si="41"/>
        <v>4119606.8571272353</v>
      </c>
      <c r="IK18" s="125">
        <f t="shared" si="41"/>
        <v>4119606.8571272353</v>
      </c>
      <c r="IL18" s="125">
        <f t="shared" si="41"/>
        <v>4119606.8571272353</v>
      </c>
      <c r="IM18" s="125">
        <f t="shared" si="41"/>
        <v>4119606.8571272353</v>
      </c>
      <c r="IN18" s="125">
        <f t="shared" si="41"/>
        <v>4119606.8571272353</v>
      </c>
      <c r="IO18" s="125">
        <f t="shared" si="41"/>
        <v>4119606.8571272353</v>
      </c>
      <c r="IP18" s="125">
        <f t="shared" si="41"/>
        <v>4119606.8571272353</v>
      </c>
      <c r="IQ18" s="125">
        <f t="shared" si="41"/>
        <v>4119606.8571272353</v>
      </c>
      <c r="IR18" s="125">
        <f t="shared" si="41"/>
        <v>4119606.8571272353</v>
      </c>
      <c r="IS18" s="125">
        <f t="shared" si="41"/>
        <v>4119606.8571272353</v>
      </c>
      <c r="IT18" s="125">
        <f t="shared" si="41"/>
        <v>4119606.8571272353</v>
      </c>
      <c r="IU18" s="125">
        <f t="shared" si="41"/>
        <v>4119606.8571272353</v>
      </c>
      <c r="IV18" s="125">
        <f t="shared" si="41"/>
        <v>4119606.8571272353</v>
      </c>
      <c r="IW18" s="125">
        <f t="shared" si="41"/>
        <v>4119606.8571272353</v>
      </c>
      <c r="IX18" s="125">
        <f t="shared" si="41"/>
        <v>4119606.8571272353</v>
      </c>
      <c r="IY18" s="125">
        <f t="shared" si="41"/>
        <v>4119606.8571272353</v>
      </c>
      <c r="IZ18" s="125">
        <f t="shared" si="41"/>
        <v>4119606.8571272353</v>
      </c>
      <c r="JA18" s="125">
        <f t="shared" si="41"/>
        <v>4119606.8571272353</v>
      </c>
      <c r="JB18" s="125">
        <f t="shared" si="41"/>
        <v>4119606.8571272353</v>
      </c>
      <c r="JC18" s="125">
        <f t="shared" si="41"/>
        <v>4119606.8571272353</v>
      </c>
      <c r="JD18" s="125">
        <f t="shared" si="41"/>
        <v>4119606.8571272353</v>
      </c>
      <c r="JE18" s="125">
        <f t="shared" ref="JE18:KF18" si="42">JD18+JE17</f>
        <v>4119606.8571272353</v>
      </c>
      <c r="JF18" s="125">
        <f t="shared" si="42"/>
        <v>4119606.8571272353</v>
      </c>
      <c r="JG18" s="125">
        <f t="shared" si="42"/>
        <v>4119606.8571272353</v>
      </c>
      <c r="JH18" s="125">
        <f t="shared" si="42"/>
        <v>4119606.8571272353</v>
      </c>
      <c r="JI18" s="125">
        <f t="shared" si="42"/>
        <v>4119606.8571272353</v>
      </c>
      <c r="JJ18" s="125">
        <f t="shared" si="42"/>
        <v>4119606.8571272353</v>
      </c>
      <c r="JK18" s="125">
        <f t="shared" si="42"/>
        <v>4119606.8571272353</v>
      </c>
      <c r="JL18" s="125">
        <f t="shared" si="42"/>
        <v>4119606.8571272353</v>
      </c>
      <c r="JM18" s="125">
        <f t="shared" si="42"/>
        <v>4119606.8571272353</v>
      </c>
      <c r="JN18" s="125">
        <f t="shared" si="42"/>
        <v>4119606.8571272353</v>
      </c>
      <c r="JO18" s="125">
        <f t="shared" si="42"/>
        <v>4119606.8571272353</v>
      </c>
      <c r="JP18" s="125">
        <f t="shared" si="42"/>
        <v>4119606.8571272353</v>
      </c>
      <c r="JQ18" s="125">
        <f t="shared" si="42"/>
        <v>4119606.8571272353</v>
      </c>
      <c r="JR18" s="125">
        <f t="shared" si="42"/>
        <v>4119606.8571272353</v>
      </c>
      <c r="JS18" s="125">
        <f t="shared" si="42"/>
        <v>4119606.8571272353</v>
      </c>
      <c r="JT18" s="125">
        <f t="shared" si="42"/>
        <v>4119606.8571272353</v>
      </c>
      <c r="JU18" s="125">
        <f t="shared" si="42"/>
        <v>4119606.8571272353</v>
      </c>
      <c r="JV18" s="125">
        <f t="shared" si="42"/>
        <v>4119606.8571272353</v>
      </c>
      <c r="JW18" s="125">
        <f t="shared" si="42"/>
        <v>4119606.8571272353</v>
      </c>
      <c r="JX18" s="125">
        <f t="shared" si="42"/>
        <v>4119606.8571272353</v>
      </c>
      <c r="JY18" s="125">
        <f t="shared" si="42"/>
        <v>4119606.8571272353</v>
      </c>
      <c r="JZ18" s="125">
        <f t="shared" si="42"/>
        <v>4119606.8571272353</v>
      </c>
      <c r="KA18" s="125">
        <f t="shared" si="42"/>
        <v>4119606.8571272353</v>
      </c>
      <c r="KB18" s="125">
        <f t="shared" si="42"/>
        <v>4119606.8571272353</v>
      </c>
      <c r="KC18" s="125">
        <f t="shared" si="42"/>
        <v>4119606.8571272353</v>
      </c>
      <c r="KD18" s="125">
        <f t="shared" si="42"/>
        <v>4119606.8571272353</v>
      </c>
      <c r="KE18" s="125">
        <f t="shared" si="42"/>
        <v>4119606.8571272353</v>
      </c>
      <c r="KF18" s="125">
        <f t="shared" si="42"/>
        <v>4119606.8571272353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21875" style="269" bestFit="1" customWidth="1"/>
    <col min="5" max="5" width="14.5546875" style="269" bestFit="1" customWidth="1"/>
    <col min="6" max="7" width="12.77734375" style="269" bestFit="1" customWidth="1"/>
    <col min="8" max="8" width="11.77734375" style="269" bestFit="1" customWidth="1"/>
    <col min="9" max="9" width="14.5546875" style="269" bestFit="1" customWidth="1"/>
    <col min="10" max="10" width="14.4414062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434</v>
      </c>
      <c r="B3" s="540" t="s">
        <v>435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436</v>
      </c>
      <c r="B4" t="s">
        <v>437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317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322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353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368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371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375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388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396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438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21875" style="308" bestFit="1" customWidth="1"/>
    <col min="5" max="5" width="14.5546875" style="308" bestFit="1" customWidth="1"/>
    <col min="6" max="7" width="12.77734375" style="308" bestFit="1" customWidth="1"/>
    <col min="8" max="8" width="11.77734375" style="308" bestFit="1" customWidth="1"/>
    <col min="9" max="9" width="14.5546875" style="308" bestFit="1" customWidth="1"/>
    <col min="10" max="10" width="14.4414062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9">
      <c r="A3" s="540" t="s">
        <v>439</v>
      </c>
      <c r="B3" s="540" t="s">
        <v>435</v>
      </c>
      <c r="C3"/>
      <c r="D3"/>
      <c r="E3"/>
      <c r="F3"/>
      <c r="G3"/>
      <c r="H3"/>
      <c r="I3"/>
    </row>
    <row r="4" spans="1:9">
      <c r="A4" s="540" t="s">
        <v>436</v>
      </c>
      <c r="B4" t="s">
        <v>437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438</v>
      </c>
    </row>
    <row r="5" spans="1:9">
      <c r="A5" s="345" t="s">
        <v>437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317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322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335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339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353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368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371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375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388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396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399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342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438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440</v>
      </c>
      <c r="F2" s="19" t="s">
        <v>441</v>
      </c>
    </row>
    <row r="3" spans="3:8">
      <c r="C3" s="15">
        <v>45658</v>
      </c>
      <c r="D3" s="9" t="s">
        <v>442</v>
      </c>
      <c r="F3" s="17" t="s">
        <v>443</v>
      </c>
    </row>
    <row r="4" spans="3:8">
      <c r="C4" s="15">
        <v>45737</v>
      </c>
      <c r="D4" s="9" t="s">
        <v>444</v>
      </c>
      <c r="F4" s="17" t="s">
        <v>445</v>
      </c>
    </row>
    <row r="5" spans="3:8">
      <c r="C5" s="15">
        <v>45765</v>
      </c>
      <c r="D5" s="9" t="s">
        <v>446</v>
      </c>
      <c r="F5" s="17" t="s">
        <v>447</v>
      </c>
    </row>
    <row r="6" spans="3:8" ht="13.8" thickBot="1">
      <c r="C6" s="15">
        <v>45768</v>
      </c>
      <c r="D6" s="9" t="s">
        <v>448</v>
      </c>
      <c r="F6" s="18" t="s">
        <v>449</v>
      </c>
    </row>
    <row r="7" spans="3:8">
      <c r="C7" s="15">
        <v>45774</v>
      </c>
      <c r="D7" s="9" t="s">
        <v>450</v>
      </c>
    </row>
    <row r="8" spans="3:8">
      <c r="C8" s="15">
        <v>45765</v>
      </c>
      <c r="D8" s="9" t="s">
        <v>451</v>
      </c>
    </row>
    <row r="9" spans="3:8">
      <c r="C9" s="15">
        <v>45778</v>
      </c>
      <c r="D9" s="9" t="s">
        <v>452</v>
      </c>
    </row>
    <row r="10" spans="3:8">
      <c r="C10" s="15">
        <v>45824</v>
      </c>
      <c r="D10" s="9" t="s">
        <v>453</v>
      </c>
    </row>
    <row r="11" spans="3:8">
      <c r="C11" s="15">
        <v>45878</v>
      </c>
      <c r="D11" s="9" t="s">
        <v>454</v>
      </c>
    </row>
    <row r="12" spans="3:8">
      <c r="C12" s="15">
        <v>45924</v>
      </c>
      <c r="D12" s="9" t="s">
        <v>455</v>
      </c>
    </row>
    <row r="13" spans="3:8">
      <c r="C13" s="15">
        <v>46007</v>
      </c>
      <c r="D13" s="9" t="s">
        <v>456</v>
      </c>
      <c r="F13" s="20"/>
      <c r="H13" s="9" t="s">
        <v>457</v>
      </c>
    </row>
    <row r="14" spans="3:8">
      <c r="C14" s="15">
        <v>46016</v>
      </c>
      <c r="D14" s="9" t="s">
        <v>458</v>
      </c>
    </row>
    <row r="15" spans="3:8">
      <c r="C15" s="15">
        <v>46017</v>
      </c>
      <c r="D15" s="9" t="s">
        <v>459</v>
      </c>
    </row>
    <row r="16" spans="3:8">
      <c r="C16" s="15">
        <v>46006</v>
      </c>
      <c r="D16" s="9" t="s">
        <v>460</v>
      </c>
    </row>
    <row r="17" spans="3:4">
      <c r="C17" s="15">
        <v>46007</v>
      </c>
      <c r="D17" s="9" t="s">
        <v>460</v>
      </c>
    </row>
    <row r="18" spans="3:4">
      <c r="C18" s="15">
        <v>46008</v>
      </c>
      <c r="D18" s="9" t="s">
        <v>460</v>
      </c>
    </row>
    <row r="19" spans="3:4">
      <c r="C19" s="15">
        <v>46009</v>
      </c>
      <c r="D19" s="9" t="s">
        <v>460</v>
      </c>
    </row>
    <row r="20" spans="3:4">
      <c r="C20" s="15">
        <v>46010</v>
      </c>
      <c r="D20" s="9" t="s">
        <v>460</v>
      </c>
    </row>
    <row r="21" spans="3:4">
      <c r="C21" s="15">
        <v>46011</v>
      </c>
      <c r="D21" s="9" t="s">
        <v>460</v>
      </c>
    </row>
    <row r="22" spans="3:4">
      <c r="C22" s="15">
        <v>46012</v>
      </c>
      <c r="D22" s="9" t="s">
        <v>460</v>
      </c>
    </row>
    <row r="23" spans="3:4">
      <c r="C23" s="15">
        <v>46013</v>
      </c>
      <c r="D23" s="9" t="s">
        <v>460</v>
      </c>
    </row>
    <row r="24" spans="3:4">
      <c r="C24" s="15">
        <v>46014</v>
      </c>
      <c r="D24" s="9" t="s">
        <v>460</v>
      </c>
    </row>
    <row r="25" spans="3:4">
      <c r="C25" s="15">
        <v>46015</v>
      </c>
      <c r="D25" s="9" t="s">
        <v>460</v>
      </c>
    </row>
    <row r="26" spans="3:4">
      <c r="C26" s="15">
        <v>46016</v>
      </c>
      <c r="D26" s="9" t="s">
        <v>460</v>
      </c>
    </row>
    <row r="27" spans="3:4">
      <c r="C27" s="15">
        <v>46017</v>
      </c>
      <c r="D27" s="9" t="s">
        <v>460</v>
      </c>
    </row>
    <row r="28" spans="3:4">
      <c r="C28" s="15">
        <v>46018</v>
      </c>
      <c r="D28" s="9" t="s">
        <v>460</v>
      </c>
    </row>
    <row r="29" spans="3:4">
      <c r="C29" s="15">
        <v>46019</v>
      </c>
      <c r="D29" s="9" t="s">
        <v>460</v>
      </c>
    </row>
    <row r="30" spans="3:4">
      <c r="C30" s="15">
        <v>46020</v>
      </c>
      <c r="D30" s="9" t="s">
        <v>460</v>
      </c>
    </row>
    <row r="31" spans="3:4">
      <c r="C31" s="15">
        <v>46021</v>
      </c>
      <c r="D31" s="9" t="s">
        <v>460</v>
      </c>
    </row>
    <row r="32" spans="3:4">
      <c r="C32" s="15">
        <v>46022</v>
      </c>
      <c r="D32" s="9" t="s">
        <v>460</v>
      </c>
    </row>
    <row r="33" spans="3:4">
      <c r="C33" s="15">
        <v>46023</v>
      </c>
      <c r="D33" s="9" t="s">
        <v>460</v>
      </c>
    </row>
    <row r="34" spans="3:4">
      <c r="C34" s="15">
        <v>46024</v>
      </c>
      <c r="D34" s="9" t="s">
        <v>460</v>
      </c>
    </row>
    <row r="35" spans="3:4">
      <c r="C35" s="15">
        <v>46025</v>
      </c>
      <c r="D35" s="9" t="s">
        <v>460</v>
      </c>
    </row>
    <row r="36" spans="3:4">
      <c r="C36" s="15">
        <v>46026</v>
      </c>
      <c r="D36" s="9" t="s">
        <v>460</v>
      </c>
    </row>
    <row r="37" spans="3:4">
      <c r="C37" s="15">
        <v>46027</v>
      </c>
      <c r="D37" s="9" t="s">
        <v>460</v>
      </c>
    </row>
    <row r="38" spans="3:4">
      <c r="C38" s="15">
        <v>46028</v>
      </c>
      <c r="D38" s="9" t="s">
        <v>460</v>
      </c>
    </row>
    <row r="39" spans="3:4">
      <c r="C39" s="15">
        <v>46029</v>
      </c>
      <c r="D39" s="9" t="s">
        <v>460</v>
      </c>
    </row>
    <row r="40" spans="3:4">
      <c r="C40" s="15">
        <v>46030</v>
      </c>
      <c r="D40" s="9" t="s">
        <v>460</v>
      </c>
    </row>
    <row r="41" spans="3:4">
      <c r="C41" s="15"/>
      <c r="D41" s="9" t="s">
        <v>460</v>
      </c>
    </row>
    <row r="42" spans="3:4">
      <c r="C42" s="15"/>
      <c r="D42" s="9" t="s">
        <v>460</v>
      </c>
    </row>
    <row r="43" spans="3:4">
      <c r="C43" s="15"/>
      <c r="D43" s="9" t="s">
        <v>460</v>
      </c>
    </row>
    <row r="44" spans="3:4">
      <c r="C44" s="15"/>
      <c r="D44" s="9" t="s">
        <v>460</v>
      </c>
    </row>
    <row r="45" spans="3:4">
      <c r="C45" s="15"/>
      <c r="D45" s="9" t="s">
        <v>460</v>
      </c>
    </row>
    <row r="46" spans="3:4">
      <c r="C46" s="15"/>
      <c r="D46" s="9" t="s">
        <v>460</v>
      </c>
    </row>
    <row r="47" spans="3:4">
      <c r="C47" s="15"/>
      <c r="D47" s="9" t="s">
        <v>460</v>
      </c>
    </row>
    <row r="48" spans="3:4">
      <c r="C48" s="15"/>
      <c r="D48" s="9" t="s">
        <v>460</v>
      </c>
    </row>
    <row r="49" spans="3:4">
      <c r="C49" s="15">
        <v>46102</v>
      </c>
      <c r="D49" s="9" t="s">
        <v>444</v>
      </c>
    </row>
    <row r="50" spans="3:4">
      <c r="C50" s="15">
        <v>46115</v>
      </c>
      <c r="D50" s="9" t="s">
        <v>446</v>
      </c>
    </row>
    <row r="51" spans="3:4">
      <c r="C51" s="15">
        <v>46118</v>
      </c>
      <c r="D51" s="9" t="s">
        <v>448</v>
      </c>
    </row>
    <row r="52" spans="3:4">
      <c r="C52" s="15">
        <v>46139</v>
      </c>
      <c r="D52" s="9" t="s">
        <v>450</v>
      </c>
    </row>
    <row r="53" spans="3:4">
      <c r="C53" s="15">
        <v>46143</v>
      </c>
      <c r="D53" s="9" t="s">
        <v>452</v>
      </c>
    </row>
    <row r="54" spans="3:4">
      <c r="C54" s="15">
        <v>46189</v>
      </c>
      <c r="D54" s="9" t="s">
        <v>453</v>
      </c>
    </row>
    <row r="55" spans="3:4">
      <c r="C55" s="15">
        <v>46243</v>
      </c>
      <c r="D55" s="9" t="s">
        <v>454</v>
      </c>
    </row>
    <row r="56" spans="3:4">
      <c r="C56" s="15">
        <v>46244</v>
      </c>
      <c r="D56" s="9" t="s">
        <v>461</v>
      </c>
    </row>
    <row r="57" spans="3:4">
      <c r="C57" s="15">
        <v>46289</v>
      </c>
      <c r="D57" s="9" t="s">
        <v>455</v>
      </c>
    </row>
    <row r="58" spans="3:4">
      <c r="C58" s="15">
        <v>46372</v>
      </c>
      <c r="D58" s="9" t="s">
        <v>456</v>
      </c>
    </row>
    <row r="59" spans="3:4">
      <c r="C59" s="15">
        <v>46381</v>
      </c>
      <c r="D59" s="9" t="s">
        <v>458</v>
      </c>
    </row>
    <row r="60" spans="3:4" ht="13.8" thickBot="1">
      <c r="C60" s="16">
        <v>46382</v>
      </c>
      <c r="D60" s="9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2026-03-04T10:56:04Z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