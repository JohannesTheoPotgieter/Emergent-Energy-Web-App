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91" documentId="13_ncr:1_{5088FDBF-8B60-4138-AFBB-5A720563F8CF}" xr6:coauthVersionLast="47" xr6:coauthVersionMax="47" xr10:uidLastSave="{711697DB-8FAA-4417-B828-A284F3603CD2}"/>
  <bookViews>
    <workbookView xWindow="-108" yWindow="-108" windowWidth="23256" windowHeight="12456" tabRatio="762" firstSheet="3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4" i="18" l="1"/>
  <c r="Q302" i="18"/>
  <c r="H6" i="5"/>
  <c r="Q323" i="18"/>
  <c r="Q321" i="18"/>
  <c r="W178" i="18"/>
  <c r="K121" i="2"/>
  <c r="Q372" i="18"/>
  <c r="W355" i="18" l="1"/>
  <c r="O168" i="18"/>
  <c r="F26" i="5" l="1"/>
  <c r="P98" i="18"/>
  <c r="F18" i="5" l="1"/>
  <c r="F17" i="5"/>
  <c r="F19" i="5"/>
  <c r="Q284" i="18"/>
  <c r="W190" i="18" l="1"/>
  <c r="W370" i="18"/>
  <c r="W369" i="18"/>
  <c r="W368" i="18"/>
  <c r="Q233" i="18"/>
  <c r="W17" i="18"/>
  <c r="W19" i="18"/>
  <c r="Q16" i="18"/>
  <c r="W297" i="18" l="1"/>
  <c r="W296" i="18"/>
  <c r="O219" i="18"/>
  <c r="AE20" i="18"/>
  <c r="W367" i="18" l="1"/>
  <c r="K114" i="2"/>
  <c r="K107" i="2"/>
  <c r="K106" i="2"/>
  <c r="N106" i="2" s="1"/>
  <c r="K105" i="2"/>
  <c r="N105" i="2" s="1"/>
  <c r="W285" i="18"/>
  <c r="N114" i="2" l="1"/>
  <c r="Q221" i="18"/>
  <c r="Q222" i="18"/>
  <c r="K100" i="2"/>
  <c r="I101" i="2" s="1"/>
  <c r="K101" i="2" s="1"/>
  <c r="X74" i="18"/>
  <c r="H13" i="3" s="1"/>
  <c r="J74" i="18"/>
  <c r="W18" i="18"/>
  <c r="Q18" i="18"/>
  <c r="P136" i="18"/>
  <c r="P139" i="18"/>
  <c r="Q140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369" i="18"/>
  <c r="Q368" i="18"/>
  <c r="K52" i="2"/>
  <c r="N52" i="2" s="1"/>
  <c r="Q273" i="18"/>
  <c r="Q9" i="18"/>
  <c r="Q8" i="18"/>
  <c r="C4" i="19"/>
  <c r="W140" i="18"/>
  <c r="W137" i="18"/>
  <c r="W132" i="18"/>
  <c r="W134" i="18" s="1"/>
  <c r="T134" i="18" s="1"/>
  <c r="I123" i="18"/>
  <c r="F15" i="3" s="1"/>
  <c r="H300" i="18"/>
  <c r="H233" i="18"/>
  <c r="H228" i="18"/>
  <c r="H184" i="18"/>
  <c r="H179" i="18"/>
  <c r="H178" i="18"/>
  <c r="H177" i="18"/>
  <c r="H146" i="18"/>
  <c r="H147" i="18" s="1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 s="1"/>
  <c r="K43" i="2"/>
  <c r="W243" i="18"/>
  <c r="K24" i="2"/>
  <c r="K65" i="2"/>
  <c r="N65" i="2" s="1"/>
  <c r="H16" i="5"/>
  <c r="Q19" i="18"/>
  <c r="W340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3" i="18"/>
  <c r="Q163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8" i="18"/>
  <c r="Q167" i="18"/>
  <c r="Q176" i="18"/>
  <c r="Q175" i="18"/>
  <c r="Q327" i="18"/>
  <c r="X326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9" i="18"/>
  <c r="Q220" i="18"/>
  <c r="Q223" i="18"/>
  <c r="Q218" i="18"/>
  <c r="T113" i="18"/>
  <c r="T118" i="18" s="1"/>
  <c r="T63" i="18"/>
  <c r="T64" i="18"/>
  <c r="W67" i="18"/>
  <c r="W111" i="18" s="1"/>
  <c r="W116" i="18" s="1"/>
  <c r="O242" i="18"/>
  <c r="Q242" i="18" s="1"/>
  <c r="O236" i="18"/>
  <c r="Q237" i="18" s="1"/>
  <c r="O195" i="18"/>
  <c r="O185" i="18"/>
  <c r="O186" i="18" s="1"/>
  <c r="O207" i="18"/>
  <c r="Q207" i="18" s="1"/>
  <c r="O116" i="18"/>
  <c r="Q117" i="18" s="1"/>
  <c r="O111" i="18"/>
  <c r="Q113" i="18" s="1"/>
  <c r="O67" i="18"/>
  <c r="Q68" i="18" s="1"/>
  <c r="O62" i="18"/>
  <c r="Q63" i="18" s="1"/>
  <c r="AE27" i="18"/>
  <c r="W133" i="18"/>
  <c r="W129" i="18"/>
  <c r="T125" i="18"/>
  <c r="T130" i="18"/>
  <c r="T135" i="18"/>
  <c r="T138" i="18"/>
  <c r="T141" i="18"/>
  <c r="T144" i="18"/>
  <c r="P142" i="18"/>
  <c r="P131" i="18"/>
  <c r="Q131" i="18" s="1"/>
  <c r="P126" i="18"/>
  <c r="Q126" i="18" s="1"/>
  <c r="P133" i="18"/>
  <c r="P128" i="18"/>
  <c r="Q129" i="18" s="1"/>
  <c r="P123" i="18"/>
  <c r="Q123" i="18" s="1"/>
  <c r="P21" i="18"/>
  <c r="Q21" i="18" s="1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 s="1"/>
  <c r="Z38" i="18"/>
  <c r="Z37" i="18"/>
  <c r="T93" i="18"/>
  <c r="T92" i="18"/>
  <c r="T91" i="18"/>
  <c r="T90" i="18"/>
  <c r="T40" i="18"/>
  <c r="O34" i="18"/>
  <c r="Q34" i="18" s="1"/>
  <c r="Q29" i="18"/>
  <c r="Q30" i="18"/>
  <c r="T114" i="18"/>
  <c r="T376" i="18"/>
  <c r="T339" i="18"/>
  <c r="T338" i="18"/>
  <c r="T337" i="18"/>
  <c r="T336" i="18"/>
  <c r="T335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5" i="18"/>
  <c r="T240" i="18"/>
  <c r="J123" i="18"/>
  <c r="J162" i="18"/>
  <c r="I162" i="18"/>
  <c r="F16" i="3" s="1"/>
  <c r="I299" i="18"/>
  <c r="F20" i="3" s="1"/>
  <c r="G15" i="2"/>
  <c r="E14" i="2"/>
  <c r="G14" i="2" s="1"/>
  <c r="E13" i="2"/>
  <c r="G233" i="18"/>
  <c r="Z26" i="18" s="1"/>
  <c r="G230" i="18"/>
  <c r="G229" i="18"/>
  <c r="G228" i="18"/>
  <c r="Z24" i="18" s="1"/>
  <c r="G185" i="18"/>
  <c r="Z23" i="18" s="1"/>
  <c r="AA23" i="18" s="1"/>
  <c r="G184" i="18"/>
  <c r="F184" i="18" s="1"/>
  <c r="G97" i="18"/>
  <c r="I97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 s="1"/>
  <c r="X299" i="18"/>
  <c r="H20" i="3" s="1"/>
  <c r="I284" i="18"/>
  <c r="F19" i="3" s="1"/>
  <c r="I302" i="18"/>
  <c r="F21" i="3" s="1"/>
  <c r="I74" i="18"/>
  <c r="F13" i="3" s="1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 s="1"/>
  <c r="T70" i="18"/>
  <c r="T65" i="18"/>
  <c r="T71" i="18"/>
  <c r="L1" i="6"/>
  <c r="W112" i="18"/>
  <c r="W117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384" i="18"/>
  <c r="P385" i="18" s="1"/>
  <c r="K99" i="2"/>
  <c r="E24" i="13"/>
  <c r="F24" i="13"/>
  <c r="D24" i="13"/>
  <c r="D25" i="14"/>
  <c r="I72" i="2" l="1"/>
  <c r="N70" i="2"/>
  <c r="V302" i="18"/>
  <c r="H21" i="3"/>
  <c r="J21" i="3" s="1"/>
  <c r="Z21" i="18"/>
  <c r="E60" i="2"/>
  <c r="G60" i="2" s="1"/>
  <c r="E62" i="2" s="1"/>
  <c r="N90" i="2"/>
  <c r="I89" i="2"/>
  <c r="K89" i="2" s="1"/>
  <c r="N89" i="2" s="1"/>
  <c r="X284" i="18"/>
  <c r="U294" i="18" s="1"/>
  <c r="Q214" i="18"/>
  <c r="O35" i="18"/>
  <c r="Q35" i="18" s="1"/>
  <c r="C3" i="6"/>
  <c r="F15" i="5"/>
  <c r="Q132" i="18"/>
  <c r="Z20" i="18"/>
  <c r="Q10" i="18"/>
  <c r="X6" i="18" s="1"/>
  <c r="H9" i="3" s="1"/>
  <c r="J9" i="3" s="1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9" i="18"/>
  <c r="Q212" i="18"/>
  <c r="U95" i="18"/>
  <c r="Q67" i="18"/>
  <c r="Q69" i="18"/>
  <c r="U324" i="18"/>
  <c r="Q197" i="18"/>
  <c r="X339" i="18"/>
  <c r="H23" i="3" s="1"/>
  <c r="J23" i="3" s="1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 s="1"/>
  <c r="Q204" i="18"/>
  <c r="U91" i="18"/>
  <c r="Q203" i="18"/>
  <c r="U93" i="18"/>
  <c r="Q118" i="18"/>
  <c r="Q211" i="18"/>
  <c r="U90" i="18"/>
  <c r="I184" i="18"/>
  <c r="F17" i="3" s="1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 s="1"/>
  <c r="U327" i="18"/>
  <c r="U333" i="18"/>
  <c r="U334" i="18"/>
  <c r="U337" i="18"/>
  <c r="U296" i="18"/>
  <c r="JE5" i="6"/>
  <c r="I228" i="18"/>
  <c r="F18" i="3" s="1"/>
  <c r="Z25" i="18"/>
  <c r="X21" i="18"/>
  <c r="Q136" i="18"/>
  <c r="Q137" i="18"/>
  <c r="J2" i="18"/>
  <c r="J4" i="18" s="1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Z4" i="5" s="1"/>
  <c r="Q111" i="18"/>
  <c r="Q202" i="18"/>
  <c r="Q200" i="18"/>
  <c r="AA4" i="5" l="1"/>
  <c r="W4" i="5"/>
  <c r="X4" i="5"/>
  <c r="N72" i="2"/>
  <c r="N67" i="2" s="1"/>
  <c r="AB4" i="5"/>
  <c r="U285" i="18"/>
  <c r="U295" i="18"/>
  <c r="H19" i="3"/>
  <c r="J19" i="3" s="1"/>
  <c r="U284" i="18"/>
  <c r="Y4" i="5" s="1"/>
  <c r="U297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8" i="18"/>
  <c r="Z30" i="18"/>
  <c r="Z31" i="18" s="1"/>
  <c r="Z32" i="18" s="1"/>
  <c r="F5" i="3"/>
  <c r="D5" i="5" s="1"/>
  <c r="C5" i="6" s="1"/>
  <c r="X49" i="18"/>
  <c r="U49" i="18" s="1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4" i="18"/>
  <c r="I2" i="18"/>
  <c r="H16" i="3"/>
  <c r="J16" i="3" s="1"/>
  <c r="U181" i="18"/>
  <c r="U162" i="18"/>
  <c r="U177" i="18"/>
  <c r="X123" i="18"/>
  <c r="U27" i="18"/>
  <c r="U23" i="18"/>
  <c r="H10" i="3"/>
  <c r="J10" i="3" s="1"/>
  <c r="F6" i="6"/>
  <c r="D5" i="6"/>
  <c r="X97" i="18"/>
  <c r="V326" i="18"/>
  <c r="T4" i="5" l="1"/>
  <c r="V284" i="18"/>
  <c r="U65" i="18"/>
  <c r="U54" i="18"/>
  <c r="D6" i="5"/>
  <c r="J42" i="2"/>
  <c r="U20" i="2" s="1"/>
  <c r="G81" i="2"/>
  <c r="E81" i="2"/>
  <c r="V162" i="18"/>
  <c r="F25" i="3"/>
  <c r="U279" i="18"/>
  <c r="U240" i="18"/>
  <c r="H18" i="3"/>
  <c r="J18" i="3" s="1"/>
  <c r="U241" i="18"/>
  <c r="U228" i="18"/>
  <c r="U282" i="18"/>
  <c r="U281" i="18"/>
  <c r="U245" i="18"/>
  <c r="U280" i="18"/>
  <c r="U239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 s="1"/>
  <c r="U141" i="18"/>
  <c r="U155" i="18"/>
  <c r="V21" i="18"/>
  <c r="G6" i="6"/>
  <c r="U109" i="18"/>
  <c r="U115" i="18"/>
  <c r="U120" i="18"/>
  <c r="U108" i="18"/>
  <c r="U121" i="18"/>
  <c r="U114" i="18"/>
  <c r="U119" i="18"/>
  <c r="U110" i="18"/>
  <c r="H14" i="3"/>
  <c r="J14" i="3" s="1"/>
  <c r="U97" i="18"/>
  <c r="H17" i="3"/>
  <c r="U224" i="18"/>
  <c r="U193" i="18"/>
  <c r="U217" i="18"/>
  <c r="U225" i="18"/>
  <c r="U194" i="18"/>
  <c r="U216" i="18"/>
  <c r="U184" i="18"/>
  <c r="U226" i="18"/>
  <c r="X2" i="18"/>
  <c r="I104" i="2" l="1"/>
  <c r="N103" i="2"/>
  <c r="D7" i="5"/>
  <c r="G6" i="5"/>
  <c r="V228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W191" i="18" s="1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03" i="18" l="1"/>
  <c r="W204" i="18" s="1"/>
  <c r="W64" i="18" s="1"/>
  <c r="W214" i="18"/>
  <c r="W215" i="18" s="1"/>
  <c r="W192" i="18"/>
  <c r="G110" i="2"/>
  <c r="E120" i="2"/>
  <c r="F9" i="2"/>
  <c r="G98" i="2"/>
  <c r="H20" i="5"/>
  <c r="G123" i="2"/>
  <c r="K122" i="2"/>
  <c r="I124" i="2" s="1"/>
  <c r="Q6" i="6"/>
  <c r="W69" i="18" l="1"/>
  <c r="W113" i="18"/>
  <c r="W118" i="18" s="1"/>
  <c r="W238" i="18"/>
  <c r="W244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182" i="18" l="1"/>
  <c r="BI9" i="6"/>
  <c r="AW11" i="6"/>
  <c r="BQ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FT11" i="6" l="1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11" i="6" s="1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G12" i="6" s="1"/>
  <c r="H12" i="6" s="1"/>
  <c r="I12" i="6" s="1"/>
  <c r="J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K12" i="6" l="1"/>
  <c r="L12" i="6" s="1"/>
  <c r="M12" i="6" s="1"/>
  <c r="N12" i="6" s="1"/>
  <c r="O12" i="6" s="1"/>
  <c r="P12" i="6" s="1"/>
  <c r="Q12" i="6" s="1"/>
  <c r="R12" i="6" s="1"/>
  <c r="S12" i="6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284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<sst xmlns="http://schemas.openxmlformats.org/spreadsheetml/2006/main" count="1561" uniqueCount="842">
  <si>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</si>
  <si>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</si>
  <si>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</si>
  <si>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</si>
  <si>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</si>
  <si>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</si>
  <si>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</si>
  <si>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</si>
  <si>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</si>
  <si>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</si>
  <si>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</si>
  <si>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</si>
  <si>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</si>
  <si>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</si>
  <si>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</si>
  <si>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</si>
  <si>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</si>
  <si>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</si>
  <si>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</si>
  <si>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</si>
  <si>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</si>
  <si>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</si>
  <si>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</si>
  <si>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</si>
  <si>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</si>
  <si>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</si>
  <si>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</si>
  <si>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</si>
  <si>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</si>
  <si>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</si>
  <si>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</si>
  <si>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</si>
  <si>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</si>
  <si>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</si>
  <si>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</si>
  <si>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</si>
  <si>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</si>
  <si>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</si>
  <si>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</si>
  <si>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</si>
  <si>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</si>
  <si>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</si>
  <si>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</si>
  <si>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</si>
  <si>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</si>
  <si>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</si>
  <si>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</si>
  <si>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</si>
  <si>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</si>
  <si>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</si>
  <si>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</si>
  <si>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</si>
  <si>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</si>
  <si>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</si>
  <si>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</si>
  <si>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</si>
  <si>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</si>
  <si>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</si>
  <si>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</si>
  <si>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</si>
  <si>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</si>
  <si>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</si>
  <si>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</si>
  <si>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</si>
  <si>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</si>
  <si>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</si>
  <si>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</si>
  <si>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</si>
  <si>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</si>
  <si>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</si>
  <si>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</si>
  <si>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</si>
  <si>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</si>
  <si>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</si>
  <si>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</si>
  <si>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</si>
  <si>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</si>
  <si>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</si>
  <si>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</si>
  <si>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</si>
  <si>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</si>
  <si>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</si>
  <si>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</si>
  <si>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</si>
  <si>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</si>
  <si>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</si>
  <si>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</si>
  <si>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</si>
  <si>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</si>
  <si>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</si>
  <si>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</si>
  <si>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</si>
  <si>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</si>
  <si>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</si>
  <si>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</si>
  <si>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</si>
  <si>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</si>
  <si>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</si>
  <si>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</si>
  <si>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</si>
  <si>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</si>
  <si>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</si>
  <si>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</si>
  <si>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</si>
  <si>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</si>
  <si>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</si>
  <si>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</si>
  <si>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</si>
  <si>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</si>
  <si>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</si>
  <si>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</si>
  <si>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</si>
  <si>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</si>
  <si>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</si>
  <si>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</si>
  <si>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</si>
  <si>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</si>
  <si>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</si>
  <si>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</si>
  <si>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</si>
  <si>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</si>
  <si>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</si>
  <si>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</si>
  <si>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</si>
  <si>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</si>
  <si>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</si>
  <si>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</si>
  <si>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</si>
  <si>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</si>
  <si>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</si>
  <si>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</si>
  <si>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</si>
  <si>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</si>
  <si>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</si>
  <si>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</si>
  <si>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</si>
  <si>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</si>
  <si>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</si>
  <si>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</si>
  <si>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</si>
  <si>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</si>
  <si>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</si>
  <si>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</si>
  <si>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</si>
  <si>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</si>
  <si>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</si>
  <si>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</si>
  <si>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</si>
  <si>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</si>
  <si>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</si>
  <si>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</si>
  <si>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</si>
  <si>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</si>
  <si>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</si>
  <si>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</si>
  <si>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</si>
  <si>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</si>
  <si>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</si>
  <si>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</si>
  <si>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</si>
  <si>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</si>
  <si>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</si>
  <si>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</si>
  <si>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</si>
  <si>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</si>
  <si>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</si>
  <si>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</si>
  <si>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</si>
  <si>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</si>
  <si>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</si>
  <si>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</si>
  <si>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</si>
  <si>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</si>
  <si>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</si>
  <si>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</si>
  <si>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</si>
  <si>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</si>
  <si>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</si>
  <si>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</si>
  <si>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</si>
  <si>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</si>
  <si>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</si>
  <si>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</si>
  <si>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</si>
  <si>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</si>
  <si>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</si>
  <si>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</si>
  <si>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</si>
  <si>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</si>
  <si>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</si>
  <si>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</si>
  <si>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</si>
  <si>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</si>
  <si>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</si>
  <si>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</si>
  <si>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</si>
  <si>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</si>
  <si>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</si>
  <si>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</si>
  <si>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</si>
  <si>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</si>
  <si>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</si>
  <si>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</si>
  <si>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</si>
  <si>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</si>
  <si>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</si>
  <si>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</si>
  <si>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</si>
  <si>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</si>
  <si>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</si>
  <si>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</si>
  <si>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</si>
  <si>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</si>
  <si>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</si>
  <si>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</si>
  <si>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</si>
  <si>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</si>
  <si>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</si>
  <si>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</si>
  <si>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</si>
  <si>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</si>
  <si>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</si>
  <si>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</si>
  <si>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</si>
  <si>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</si>
  <si>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</si>
  <si>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</si>
  <si>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</si>
  <si>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</si>
  <si>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</si>
  <si>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</si>
  <si>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</si>
  <si>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</si>
  <si>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</si>
  <si>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</si>
  <si>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</si>
  <si>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</si>
  <si>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</si>
  <si>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</si>
  <si>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</si>
  <si>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</si>
  <si>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</si>
  <si>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</si>
  <si>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</si>
  <si>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</si>
  <si>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</si>
  <si>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</si>
  <si>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</si>
  <si>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</si>
  <si>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</si>
  <si>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</si>
  <si>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</si>
  <si>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</si>
  <si>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</si>
  <si>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</si>
  <si>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</si>
  <si>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</si>
  <si>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</si>
  <si>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</si>
  <si>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</si>
  <si>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</si>
  <si>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</si>
  <si>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</si>
  <si>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</si>
  <si>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</si>
  <si>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</si>
  <si>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</si>
  <si>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</si>
  <si>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</si>
  <si>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</si>
  <si>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</si>
  <si>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</si>
  <si>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</si>
  <si>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</si>
  <si>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</si>
  <si>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</si>
  <si>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</si>
  <si>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</si>
  <si>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</si>
  <si>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</si>
  <si>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</si>
  <si>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</si>
  <si>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</si>
  <si>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</si>
  <si>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</si>
  <si>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</si>
  <si>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</si>
  <si>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</si>
  <si>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</si>
  <si>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</si>
  <si>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</si>
  <si>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</si>
  <si>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</si>
  <si>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</si>
  <si>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</si>
  <si>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</si>
  <si>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</si>
  <si>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</si>
  <si>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</si>
  <si>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</si>
  <si>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</si>
  <si>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</si>
  <si>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</si>
  <si>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</si>
  <si>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</si>
  <si>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</si>
  <si>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</si>
  <si>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</si>
  <si>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</si>
  <si>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</si>
  <si>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</si>
  <si>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</si>
  <si>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</si>
  <si>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</si>
  <si>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</si>
  <si>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</si>
  <si>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</si>
  <si>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</si>
  <si>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</si>
  <si>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</si>
  <si>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</si>
  <si>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</si>
  <si>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</si>
  <si>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</si>
  <si>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</si>
  <si>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</si>
  <si>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</si>
  <si>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</si>
  <si>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</si>
  <si>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</si>
  <si>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</si>
  <si>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</si>
  <si>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</si>
  <si>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</si>
  <si>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</si>
  <si>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</si>
  <si>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</si>
  <si>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</si>
  <si>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</si>
  <si>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</si>
  <si>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</si>
  <si>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</si>
  <si>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</si>
  <si>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</si>
  <si>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</si>
  <si>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</si>
  <si>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</si>
  <si>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</si>
  <si>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</si>
  <si>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</si>
  <si>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</si>
  <si>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</si>
  <si>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</si>
  <si>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</si>
  <si>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</si>
  <si>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</si>
  <si>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</si>
  <si>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</si>
  <si>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</si>
  <si>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</si>
  <si>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</si>
  <si>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</si>
  <si>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</si>
  <si>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</si>
  <si>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</si>
  <si>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</si>
  <si>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</si>
  <si>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</si>
  <si>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</si>
  <si>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</si>
  <si>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</si>
  <si>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</si>
  <si>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</si>
  <si>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</si>
  <si>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</si>
  <si>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</si>
  <si>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</si>
  <si>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</si>
  <si>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</si>
  <si>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</si>
  <si>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</si>
  <si>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</si>
  <si>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</si>
  <si>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</si>
  <si>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</si>
  <si>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</si>
  <si>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</si>
  <si>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</si>
  <si>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</si>
  <si>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</si>
  <si>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</si>
  <si>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</si>
  <si>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</si>
  <si>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</si>
  <si>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</si>
  <si>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</si>
  <si>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</si>
  <si>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</si>
  <si>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</si>
  <si>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</si>
  <si>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</si>
  <si>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</si>
  <si>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</si>
  <si>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</si>
  <si>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</si>
  <si>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</si>
  <si>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</si>
  <si>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</si>
  <si>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</si>
  <si>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</si>
  <si>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</si>
  <si>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</si>
  <si>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</si>
  <si>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</si>
  <si>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</si>
  <si>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</si>
  <si>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</si>
  <si>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</si>
  <si>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</si>
  <si>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</si>
  <si>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</si>
  <si>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</si>
  <si>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</si>
  <si>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</si>
  <si>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</si>
  <si>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</si>
  <si>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</si>
  <si>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</si>
  <si>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</si>
  <si>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</si>
  <si>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</si>
  <si>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</si>
  <si>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</si>
  <si>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</si>
  <si>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</si>
  <si>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</si>
  <si>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</si>
  <si>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</si>
  <si>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</si>
  <si>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</si>
  <si>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</si>
  <si>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</si>
  <si>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</si>
  <si>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</si>
  <si>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</si>
  <si>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</si>
  <si>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</si>
  <si>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</si>
  <si>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</si>
  <si>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</si>
  <si>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</si>
  <si>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</si>
  <si>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</si>
  <si>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</si>
  <si>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</si>
  <si>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</si>
  <si>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</si>
  <si>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</si>
  <si>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</si>
  <si>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</si>
  <si>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</si>
  <si>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</si>
  <si>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</si>
  <si>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</si>
  <si>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</si>
  <si>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</si>
  <si>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</si>
  <si>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</si>
  <si>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</si>
  <si>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</si>
  <si>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</si>
  <si>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</si>
  <si>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</si>
  <si>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</si>
  <si>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</si>
  <si>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</si>
  <si>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</si>
  <si>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</si>
  <si>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</si>
  <si>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</si>
  <si>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</si>
  <si>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</si>
  <si>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</si>
  <si>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</si>
  <si>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</si>
  <si>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</si>
  <si>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</si>
  <si>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</si>
  <si>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</si>
  <si>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</si>
  <si>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</si>
  <si>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</si>
  <si>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</si>
  <si>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</si>
  <si>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</si>
  <si>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</si>
  <si>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</si>
  <si>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</si>
  <si>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</si>
  <si>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</si>
  <si>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</si>
  <si>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</si>
  <si>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</si>
  <si>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</si>
  <si>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</si>
  <si>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</si>
  <si>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</si>
  <si>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</si>
  <si>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</si>
  <si>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</si>
  <si>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</si>
  <si>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</si>
  <si>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</si>
  <si>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</si>
  <si>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</si>
  <si>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</si>
  <si>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</si>
  <si>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</si>
  <si>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</si>
  <si>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</si>
  <si>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</si>
  <si>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</si>
  <si>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</si>
  <si>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</si>
  <si>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</si>
  <si>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</si>
  <si>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</si>
  <si>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</si>
  <si>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</si>
  <si>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</si>
  <si>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</si>
  <si>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</si>
  <si>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</si>
  <si>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</si>
  <si>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</si>
  <si>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</si>
  <si>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</si>
  <si>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</si>
  <si>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</si>
  <si>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</si>
  <si>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</si>
  <si>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</si>
  <si>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</si>
  <si>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</si>
  <si>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</si>
  <si>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</si>
  <si>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</si>
  <si>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</si>
  <si>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</si>
  <si>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</si>
  <si>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</si>
  <si>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</si>
  <si>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</si>
  <si>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</si>
  <si>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</si>
  <si>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</si>
  <si>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</si>
  <si>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</si>
  <si>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</si>
  <si>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</si>
  <si>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</si>
  <si>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</si>
  <si>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</si>
  <si>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</si>
  <si>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</si>
  <si>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</si>
  <si>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</si>
  <si>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</si>
  <si>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</si>
  <si>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</si>
  <si>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</si>
  <si>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</si>
  <si>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</si>
  <si>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</si>
  <si>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</si>
  <si>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</si>
  <si>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</si>
  <si>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</si>
  <si>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</si>
  <si>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</si>
  <si>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</si>
  <si>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</si>
  <si>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</si>
  <si>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</si>
  <si>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</si>
  <si>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</si>
  <si>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</si>
  <si>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</si>
  <si>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</si>
  <si>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</si>
  <si>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</si>
  <si>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</si>
  <si>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</si>
  <si>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</si>
  <si>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</si>
  <si>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</si>
  <si>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</si>
  <si>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</si>
  <si>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</si>
  <si>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</si>
  <si>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</si>
  <si>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</si>
  <si>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</si>
  <si>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</si>
  <si>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</si>
  <si>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</si>
  <si>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</si>
  <si>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</si>
  <si>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</si>
  <si>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</si>
  <si>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</si>
  <si>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</si>
  <si>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</si>
  <si>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</si>
  <si>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</si>
  <si>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</si>
  <si>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</si>
  <si>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</si>
  <si>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</si>
  <si>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</si>
  <si>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</si>
  <si>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</si>
  <si>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</si>
  <si>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</si>
  <si>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</si>
  <si>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</si>
  <si>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</si>
  <si>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</si>
  <si>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</si>
  <si>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</si>
  <si>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</si>
  <si>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</si>
  <si>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</si>
  <si>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</si>
  <si>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</si>
  <si>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</si>
  <si>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</si>
  <si>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</si>
  <si>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</si>
  <si>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</si>
  <si>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</si>
  <si>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</si>
  <si>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</si>
  <si>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</si>
  <si>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</si>
  <si>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</si>
  <si>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</si>
  <si>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</si>
  <si>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</si>
  <si>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</si>
  <si>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</si>
  <si>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</si>
  <si>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</si>
  <si>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</si>
  <si>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</si>
  <si>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</si>
  <si>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</si>
  <si>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</si>
  <si>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</si>
  <si>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</si>
  <si>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</si>
  <si>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</si>
  <si>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</si>
  <si>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</si>
  <si>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</si>
  <si>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</si>
  <si>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</si>
  <si>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</si>
  <si>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</si>
  <si>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</si>
  <si>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</si>
  <si>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</si>
  <si>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</si>
  <si>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</si>
  <si>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</si>
  <si>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</si>
  <si>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</si>
  <si>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</si>
  <si>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</si>
  <si>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</si>
  <si>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</si>
  <si>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</si>
  <si>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</si>
  <si>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</si>
  <si>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</si>
  <si>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</si>
  <si>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</si>
  <si>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</si>
  <si>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</si>
  <si>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</si>
  <si>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</si>
  <si>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</si>
  <si>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</si>
  <si>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</si>
  <si>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</si>
  <si>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</si>
  <si>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</si>
  <si>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</si>
  <si>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</si>
  <si>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</si>
  <si>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</si>
  <si>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</si>
  <si>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</si>
  <si>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</si>
  <si>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</si>
  <si>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</si>
  <si>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</si>
  <si>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</si>
  <si>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</si>
  <si>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</si>
  <si>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</si>
  <si>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</si>
  <si>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</si>
  <si>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</si>
  <si>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</si>
  <si>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</si>
  <si>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</si>
  <si>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</si>
  <si>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</si>
  <si>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</si>
  <si>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</si>
  <si>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</si>
  <si>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</si>
  <si>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</si>
  <si>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</si>
  <si>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</si>
  <si>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</si>
  <si>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</si>
  <si>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</si>
  <si>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</si>
  <si>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</si>
  <si>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</si>
  <si>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</si>
  <si>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</si>
  <si>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</si>
  <si>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</si>
  <si>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</si>
  <si>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</si>
  <si>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</si>
  <si>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</si>
  <si>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</si>
  <si>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</si>
  <si>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</si>
  <si>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</si>
  <si>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</si>
  <si>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</si>
  <si>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</si>
  <si>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</si>
  <si>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</si>
  <si>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</si>
  <si>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</si>
  <si>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</si>
  <si>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</si>
  <si>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</si>
  <si>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</si>
  <si>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</si>
  <si>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</si>
  <si>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</si>
  <si>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</si>
  <si>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</si>
  <si>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</si>
  <si>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</si>
  <si>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</si>
  <si>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</si>
  <si>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</si>
  <si>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</si>
  <si>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</si>
  <si>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</si>
  <si>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</si>
  <si>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</si>
  <si>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</si>
  <si>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</si>
  <si>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</si>
  <si>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</si>
  <si>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</si>
  <si>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</si>
  <si>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</si>
  <si>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</si>
  <si>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</si>
  <si>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</si>
  <si>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</si>
  <si>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</si>
  <si>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</si>
  <si>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</si>
  <si>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</si>
  <si>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</si>
  <si>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</si>
  <si>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</si>
  <si>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</si>
  <si>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</si>
  <si>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</si>
  <si>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</si>
  <si>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</si>
  <si>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</si>
  <si>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</si>
  <si>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</si>
  <si>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</si>
  <si>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</si>
  <si>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</si>
  <si>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</si>
  <si>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</si>
  <si>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</si>
  <si>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</si>
  <si>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</si>
  <si>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</si>
  <si>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</si>
  <si>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</si>
  <si>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</si>
  <si>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</si>
  <si>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</si>
  <si>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</si>
  <si>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</si>
  <si>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</si>
  <si>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</si>
  <si>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</si>
  <si>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</si>
  <si>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</si>
  <si>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</si>
  <si>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</si>
  <si>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</si>
  <si>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</si>
  <si>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</si>
  <si>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</si>
  <si>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</si>
  <si>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</si>
  <si>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</si>
  <si>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</si>
  <si>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</si>
  <si>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</si>
  <si>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2XTwo - EME-262</t>
  </si>
  <si>
    <t>Coega Development Corporation - 06-02-26</t>
  </si>
  <si>
    <t>Matriarch O &amp; M Fee - Phase 1 - Feb</t>
  </si>
  <si>
    <t>Coega Steel PH2 - Jan 2026 Interest</t>
  </si>
  <si>
    <t>Site De-establishment Signoff</t>
  </si>
  <si>
    <t>First revision of documents ready by 23 Feb</t>
  </si>
  <si>
    <t>PO4631-CSPH2-20260219 - RV Approved</t>
  </si>
  <si>
    <t>Matriarch - INV-6363</t>
  </si>
  <si>
    <t>Details for Sum of Actual Total  - Product/ Service: 13. Engineering, INVOICE RAISED DATE: 1/31/2026</t>
  </si>
  <si>
    <t>Matriarch - INV-6572</t>
  </si>
  <si>
    <t>Matriarch - INV-6568</t>
  </si>
  <si>
    <t>Matriarch - INV-6571</t>
  </si>
  <si>
    <t>Luken Solar INV-0714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</si>
</sst>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Border="1" applyProtection="1">
      <protection locked="0"/>
    </xf>
    <xf numFmtId="168" fontId="7" fillId="11" borderId="0" xfId="0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73" formatCode="m/d/yyyy"/>
    </dxf>
    <dxf>
      <numFmt numFmtId="173" formatCode="m/d/yyyy"/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43887268.41644609</c:v>
                </c:pt>
                <c:pt idx="58">
                  <c:v>44189300.016446091</c:v>
                </c:pt>
                <c:pt idx="59">
                  <c:v>44226100.016446091</c:v>
                </c:pt>
                <c:pt idx="60">
                  <c:v>44226100.016446091</c:v>
                </c:pt>
                <c:pt idx="61">
                  <c:v>44226100.016446091</c:v>
                </c:pt>
                <c:pt idx="62">
                  <c:v>45951481.37311276</c:v>
                </c:pt>
                <c:pt idx="63">
                  <c:v>46000231.37311276</c:v>
                </c:pt>
                <c:pt idx="64">
                  <c:v>46000231.37311276</c:v>
                </c:pt>
                <c:pt idx="65">
                  <c:v>46000231.37311276</c:v>
                </c:pt>
                <c:pt idx="66">
                  <c:v>46691270.829779424</c:v>
                </c:pt>
                <c:pt idx="67">
                  <c:v>46691270.829779424</c:v>
                </c:pt>
                <c:pt idx="68">
                  <c:v>47291270.829779424</c:v>
                </c:pt>
                <c:pt idx="69">
                  <c:v>47291270.829779424</c:v>
                </c:pt>
                <c:pt idx="70">
                  <c:v>47373411.496446088</c:v>
                </c:pt>
                <c:pt idx="71">
                  <c:v>47373411.496446088</c:v>
                </c:pt>
                <c:pt idx="72">
                  <c:v>47373411.496446088</c:v>
                </c:pt>
                <c:pt idx="73">
                  <c:v>47373411.496446088</c:v>
                </c:pt>
                <c:pt idx="74">
                  <c:v>47373411.496446088</c:v>
                </c:pt>
                <c:pt idx="75">
                  <c:v>47455552.163112752</c:v>
                </c:pt>
                <c:pt idx="76">
                  <c:v>47455552.163112752</c:v>
                </c:pt>
                <c:pt idx="77">
                  <c:v>47455552.163112752</c:v>
                </c:pt>
                <c:pt idx="78">
                  <c:v>47455552.163112752</c:v>
                </c:pt>
                <c:pt idx="79">
                  <c:v>47537692.829779416</c:v>
                </c:pt>
                <c:pt idx="80">
                  <c:v>47537692.829779416</c:v>
                </c:pt>
                <c:pt idx="81">
                  <c:v>47537692.829779416</c:v>
                </c:pt>
                <c:pt idx="82">
                  <c:v>47537692.829779416</c:v>
                </c:pt>
                <c:pt idx="83">
                  <c:v>47537692.829779416</c:v>
                </c:pt>
                <c:pt idx="84">
                  <c:v>47619833.496446081</c:v>
                </c:pt>
                <c:pt idx="85">
                  <c:v>47619833.496446081</c:v>
                </c:pt>
                <c:pt idx="86">
                  <c:v>47619833.496446081</c:v>
                </c:pt>
                <c:pt idx="87">
                  <c:v>47619833.496446081</c:v>
                </c:pt>
                <c:pt idx="88">
                  <c:v>47701974.163112745</c:v>
                </c:pt>
                <c:pt idx="89">
                  <c:v>47701974.163112745</c:v>
                </c:pt>
                <c:pt idx="90">
                  <c:v>47701974.163112745</c:v>
                </c:pt>
                <c:pt idx="91">
                  <c:v>47701974.163112745</c:v>
                </c:pt>
                <c:pt idx="92">
                  <c:v>47784114.829779409</c:v>
                </c:pt>
                <c:pt idx="93">
                  <c:v>47784114.829779409</c:v>
                </c:pt>
                <c:pt idx="94">
                  <c:v>47784114.829779409</c:v>
                </c:pt>
                <c:pt idx="95">
                  <c:v>47784114.829779409</c:v>
                </c:pt>
                <c:pt idx="96">
                  <c:v>47784114.829779409</c:v>
                </c:pt>
                <c:pt idx="97">
                  <c:v>48166255.496446073</c:v>
                </c:pt>
                <c:pt idx="98">
                  <c:v>48166255.496446073</c:v>
                </c:pt>
                <c:pt idx="99">
                  <c:v>48166255.496446073</c:v>
                </c:pt>
                <c:pt idx="100">
                  <c:v>48166255.496446073</c:v>
                </c:pt>
                <c:pt idx="101">
                  <c:v>48248396.163112737</c:v>
                </c:pt>
                <c:pt idx="102">
                  <c:v>48248396.163112737</c:v>
                </c:pt>
                <c:pt idx="103">
                  <c:v>48248396.163112737</c:v>
                </c:pt>
                <c:pt idx="104">
                  <c:v>48248396.163112737</c:v>
                </c:pt>
                <c:pt idx="105">
                  <c:v>48330536.829779401</c:v>
                </c:pt>
                <c:pt idx="106">
                  <c:v>48330536.829779401</c:v>
                </c:pt>
                <c:pt idx="107">
                  <c:v>48330536.829779401</c:v>
                </c:pt>
                <c:pt idx="108">
                  <c:v>48330536.829779401</c:v>
                </c:pt>
                <c:pt idx="109">
                  <c:v>48412677.496446066</c:v>
                </c:pt>
                <c:pt idx="110">
                  <c:v>48412677.496446066</c:v>
                </c:pt>
                <c:pt idx="111">
                  <c:v>48412677.496446066</c:v>
                </c:pt>
                <c:pt idx="112">
                  <c:v>48412677.496446066</c:v>
                </c:pt>
                <c:pt idx="113">
                  <c:v>48412677.496446066</c:v>
                </c:pt>
                <c:pt idx="114">
                  <c:v>48412677.496446066</c:v>
                </c:pt>
                <c:pt idx="115">
                  <c:v>48412677.496446066</c:v>
                </c:pt>
                <c:pt idx="116">
                  <c:v>48412677.496446066</c:v>
                </c:pt>
                <c:pt idx="117">
                  <c:v>48412677.496446066</c:v>
                </c:pt>
                <c:pt idx="118">
                  <c:v>48412677.496446066</c:v>
                </c:pt>
                <c:pt idx="119">
                  <c:v>48412677.496446066</c:v>
                </c:pt>
                <c:pt idx="120">
                  <c:v>48412677.496446066</c:v>
                </c:pt>
                <c:pt idx="121">
                  <c:v>48412677.496446066</c:v>
                </c:pt>
                <c:pt idx="122">
                  <c:v>48412677.496446066</c:v>
                </c:pt>
                <c:pt idx="123">
                  <c:v>48412677.496446066</c:v>
                </c:pt>
                <c:pt idx="124">
                  <c:v>48412677.496446066</c:v>
                </c:pt>
                <c:pt idx="125">
                  <c:v>48412677.496446066</c:v>
                </c:pt>
                <c:pt idx="126">
                  <c:v>48412677.496446066</c:v>
                </c:pt>
                <c:pt idx="127">
                  <c:v>48412677.496446066</c:v>
                </c:pt>
                <c:pt idx="128">
                  <c:v>48412677.496446066</c:v>
                </c:pt>
                <c:pt idx="129">
                  <c:v>48412677.496446066</c:v>
                </c:pt>
                <c:pt idx="130">
                  <c:v>48412677.496446066</c:v>
                </c:pt>
                <c:pt idx="131">
                  <c:v>48412677.496446066</c:v>
                </c:pt>
                <c:pt idx="132">
                  <c:v>48412677.496446066</c:v>
                </c:pt>
                <c:pt idx="133">
                  <c:v>48412677.496446066</c:v>
                </c:pt>
                <c:pt idx="134">
                  <c:v>48412677.496446066</c:v>
                </c:pt>
                <c:pt idx="135">
                  <c:v>48412677.496446066</c:v>
                </c:pt>
                <c:pt idx="136">
                  <c:v>48412677.496446066</c:v>
                </c:pt>
                <c:pt idx="137">
                  <c:v>48412677.496446066</c:v>
                </c:pt>
                <c:pt idx="138">
                  <c:v>48412677.496446066</c:v>
                </c:pt>
                <c:pt idx="139">
                  <c:v>48412677.496446066</c:v>
                </c:pt>
                <c:pt idx="140">
                  <c:v>48412677.496446066</c:v>
                </c:pt>
                <c:pt idx="141">
                  <c:v>48412677.496446066</c:v>
                </c:pt>
                <c:pt idx="142">
                  <c:v>48412677.496446066</c:v>
                </c:pt>
                <c:pt idx="143">
                  <c:v>48412677.496446066</c:v>
                </c:pt>
                <c:pt idx="144">
                  <c:v>48412677.496446066</c:v>
                </c:pt>
                <c:pt idx="145">
                  <c:v>48412677.496446066</c:v>
                </c:pt>
                <c:pt idx="146">
                  <c:v>48412677.496446066</c:v>
                </c:pt>
                <c:pt idx="147">
                  <c:v>48412677.496446066</c:v>
                </c:pt>
                <c:pt idx="148">
                  <c:v>48412677.496446066</c:v>
                </c:pt>
                <c:pt idx="149">
                  <c:v>48412677.496446066</c:v>
                </c:pt>
                <c:pt idx="150">
                  <c:v>48412677.496446066</c:v>
                </c:pt>
                <c:pt idx="151">
                  <c:v>48412677.496446066</c:v>
                </c:pt>
                <c:pt idx="152">
                  <c:v>48412677.496446066</c:v>
                </c:pt>
                <c:pt idx="153">
                  <c:v>48412677.496446066</c:v>
                </c:pt>
                <c:pt idx="154">
                  <c:v>48412677.496446066</c:v>
                </c:pt>
                <c:pt idx="155">
                  <c:v>48412677.496446066</c:v>
                </c:pt>
                <c:pt idx="156">
                  <c:v>48412677.496446066</c:v>
                </c:pt>
                <c:pt idx="157">
                  <c:v>48412677.496446066</c:v>
                </c:pt>
                <c:pt idx="158">
                  <c:v>48412677.496446066</c:v>
                </c:pt>
                <c:pt idx="159">
                  <c:v>48412677.496446066</c:v>
                </c:pt>
                <c:pt idx="160">
                  <c:v>48412677.496446066</c:v>
                </c:pt>
                <c:pt idx="161">
                  <c:v>48412677.496446066</c:v>
                </c:pt>
                <c:pt idx="162">
                  <c:v>48412677.496446066</c:v>
                </c:pt>
                <c:pt idx="163">
                  <c:v>48412677.496446066</c:v>
                </c:pt>
                <c:pt idx="164">
                  <c:v>48412677.496446066</c:v>
                </c:pt>
                <c:pt idx="165">
                  <c:v>48412677.496446066</c:v>
                </c:pt>
                <c:pt idx="166">
                  <c:v>48412677.496446066</c:v>
                </c:pt>
                <c:pt idx="167">
                  <c:v>48412677.496446066</c:v>
                </c:pt>
                <c:pt idx="168">
                  <c:v>48412677.496446066</c:v>
                </c:pt>
                <c:pt idx="169">
                  <c:v>48412677.496446066</c:v>
                </c:pt>
                <c:pt idx="170">
                  <c:v>48412677.496446066</c:v>
                </c:pt>
                <c:pt idx="171">
                  <c:v>48412677.496446066</c:v>
                </c:pt>
                <c:pt idx="172">
                  <c:v>48412677.496446066</c:v>
                </c:pt>
                <c:pt idx="173">
                  <c:v>48412677.496446066</c:v>
                </c:pt>
                <c:pt idx="174">
                  <c:v>48412677.496446066</c:v>
                </c:pt>
                <c:pt idx="175">
                  <c:v>48412677.496446066</c:v>
                </c:pt>
                <c:pt idx="176">
                  <c:v>48412677.496446066</c:v>
                </c:pt>
                <c:pt idx="177">
                  <c:v>48412677.496446066</c:v>
                </c:pt>
                <c:pt idx="178">
                  <c:v>48412677.496446066</c:v>
                </c:pt>
                <c:pt idx="179">
                  <c:v>48412677.496446066</c:v>
                </c:pt>
                <c:pt idx="180">
                  <c:v>48412677.496446066</c:v>
                </c:pt>
                <c:pt idx="181">
                  <c:v>48412677.496446066</c:v>
                </c:pt>
                <c:pt idx="182">
                  <c:v>48412677.496446066</c:v>
                </c:pt>
                <c:pt idx="183">
                  <c:v>48412677.496446066</c:v>
                </c:pt>
                <c:pt idx="184">
                  <c:v>48412677.496446066</c:v>
                </c:pt>
                <c:pt idx="185">
                  <c:v>48412677.496446066</c:v>
                </c:pt>
                <c:pt idx="186">
                  <c:v>48412677.496446066</c:v>
                </c:pt>
                <c:pt idx="187">
                  <c:v>48412677.496446066</c:v>
                </c:pt>
                <c:pt idx="188">
                  <c:v>48412677.496446066</c:v>
                </c:pt>
                <c:pt idx="189">
                  <c:v>48412677.496446066</c:v>
                </c:pt>
                <c:pt idx="190">
                  <c:v>48412677.496446066</c:v>
                </c:pt>
                <c:pt idx="191">
                  <c:v>48412677.496446066</c:v>
                </c:pt>
                <c:pt idx="192">
                  <c:v>48412677.496446066</c:v>
                </c:pt>
                <c:pt idx="193">
                  <c:v>48412677.496446066</c:v>
                </c:pt>
                <c:pt idx="194">
                  <c:v>48412677.496446066</c:v>
                </c:pt>
                <c:pt idx="195">
                  <c:v>48412677.496446066</c:v>
                </c:pt>
                <c:pt idx="196">
                  <c:v>48412677.496446066</c:v>
                </c:pt>
                <c:pt idx="197">
                  <c:v>48412677.496446066</c:v>
                </c:pt>
                <c:pt idx="198">
                  <c:v>48412677.496446066</c:v>
                </c:pt>
                <c:pt idx="199">
                  <c:v>48412677.496446066</c:v>
                </c:pt>
                <c:pt idx="200">
                  <c:v>48412677.496446066</c:v>
                </c:pt>
                <c:pt idx="201">
                  <c:v>48412677.496446066</c:v>
                </c:pt>
                <c:pt idx="202">
                  <c:v>48412677.496446066</c:v>
                </c:pt>
                <c:pt idx="203">
                  <c:v>48412677.496446066</c:v>
                </c:pt>
                <c:pt idx="204">
                  <c:v>48412677.496446066</c:v>
                </c:pt>
                <c:pt idx="205">
                  <c:v>48412677.496446066</c:v>
                </c:pt>
                <c:pt idx="206">
                  <c:v>48412677.496446066</c:v>
                </c:pt>
                <c:pt idx="207">
                  <c:v>48412677.496446066</c:v>
                </c:pt>
                <c:pt idx="208">
                  <c:v>48412677.496446066</c:v>
                </c:pt>
                <c:pt idx="209">
                  <c:v>48412677.496446066</c:v>
                </c:pt>
                <c:pt idx="210">
                  <c:v>48412677.496446066</c:v>
                </c:pt>
                <c:pt idx="211">
                  <c:v>48412677.496446066</c:v>
                </c:pt>
                <c:pt idx="212">
                  <c:v>48412677.496446066</c:v>
                </c:pt>
                <c:pt idx="213">
                  <c:v>48412677.496446066</c:v>
                </c:pt>
                <c:pt idx="214">
                  <c:v>48412677.496446066</c:v>
                </c:pt>
                <c:pt idx="215">
                  <c:v>48412677.496446066</c:v>
                </c:pt>
                <c:pt idx="216">
                  <c:v>48412677.496446066</c:v>
                </c:pt>
                <c:pt idx="217">
                  <c:v>48412677.496446066</c:v>
                </c:pt>
                <c:pt idx="218">
                  <c:v>48412677.496446066</c:v>
                </c:pt>
                <c:pt idx="219">
                  <c:v>48412677.496446066</c:v>
                </c:pt>
                <c:pt idx="220">
                  <c:v>48412677.496446066</c:v>
                </c:pt>
                <c:pt idx="221">
                  <c:v>48412677.496446066</c:v>
                </c:pt>
                <c:pt idx="222">
                  <c:v>48412677.496446066</c:v>
                </c:pt>
                <c:pt idx="223">
                  <c:v>48412677.496446066</c:v>
                </c:pt>
                <c:pt idx="224">
                  <c:v>48412677.496446066</c:v>
                </c:pt>
                <c:pt idx="225">
                  <c:v>48412677.496446066</c:v>
                </c:pt>
                <c:pt idx="226">
                  <c:v>48412677.496446066</c:v>
                </c:pt>
                <c:pt idx="227">
                  <c:v>48412677.496446066</c:v>
                </c:pt>
                <c:pt idx="228">
                  <c:v>48412677.496446066</c:v>
                </c:pt>
                <c:pt idx="229">
                  <c:v>48412677.496446066</c:v>
                </c:pt>
                <c:pt idx="230">
                  <c:v>48412677.496446066</c:v>
                </c:pt>
                <c:pt idx="231">
                  <c:v>48412677.496446066</c:v>
                </c:pt>
                <c:pt idx="232">
                  <c:v>48412677.496446066</c:v>
                </c:pt>
                <c:pt idx="233">
                  <c:v>48412677.496446066</c:v>
                </c:pt>
                <c:pt idx="234">
                  <c:v>48412677.496446066</c:v>
                </c:pt>
                <c:pt idx="235">
                  <c:v>48412677.496446066</c:v>
                </c:pt>
                <c:pt idx="236">
                  <c:v>48412677.496446066</c:v>
                </c:pt>
                <c:pt idx="237">
                  <c:v>48412677.496446066</c:v>
                </c:pt>
                <c:pt idx="238">
                  <c:v>48412677.496446066</c:v>
                </c:pt>
                <c:pt idx="239">
                  <c:v>48412677.496446066</c:v>
                </c:pt>
                <c:pt idx="240">
                  <c:v>48412677.496446066</c:v>
                </c:pt>
                <c:pt idx="241">
                  <c:v>48412677.496446066</c:v>
                </c:pt>
                <c:pt idx="242">
                  <c:v>48412677.496446066</c:v>
                </c:pt>
                <c:pt idx="243">
                  <c:v>48412677.496446066</c:v>
                </c:pt>
                <c:pt idx="244">
                  <c:v>48412677.496446066</c:v>
                </c:pt>
                <c:pt idx="245">
                  <c:v>48412677.496446066</c:v>
                </c:pt>
                <c:pt idx="246">
                  <c:v>48412677.496446066</c:v>
                </c:pt>
                <c:pt idx="247">
                  <c:v>48412677.496446066</c:v>
                </c:pt>
                <c:pt idx="248">
                  <c:v>48412677.496446066</c:v>
                </c:pt>
                <c:pt idx="249">
                  <c:v>48412677.496446066</c:v>
                </c:pt>
                <c:pt idx="250">
                  <c:v>48412677.496446066</c:v>
                </c:pt>
                <c:pt idx="251">
                  <c:v>48412677.496446066</c:v>
                </c:pt>
                <c:pt idx="252">
                  <c:v>48412677.496446066</c:v>
                </c:pt>
                <c:pt idx="253">
                  <c:v>48412677.496446066</c:v>
                </c:pt>
                <c:pt idx="254">
                  <c:v>48412677.496446066</c:v>
                </c:pt>
                <c:pt idx="255">
                  <c:v>48412677.496446066</c:v>
                </c:pt>
                <c:pt idx="256">
                  <c:v>48412677.496446066</c:v>
                </c:pt>
                <c:pt idx="257">
                  <c:v>48412677.496446066</c:v>
                </c:pt>
                <c:pt idx="258">
                  <c:v>48412677.496446066</c:v>
                </c:pt>
                <c:pt idx="259">
                  <c:v>48412677.496446066</c:v>
                </c:pt>
                <c:pt idx="260">
                  <c:v>48412677.496446066</c:v>
                </c:pt>
                <c:pt idx="261">
                  <c:v>48412677.496446066</c:v>
                </c:pt>
                <c:pt idx="262">
                  <c:v>48412677.496446066</c:v>
                </c:pt>
                <c:pt idx="263">
                  <c:v>48412677.496446066</c:v>
                </c:pt>
                <c:pt idx="264">
                  <c:v>48412677.496446066</c:v>
                </c:pt>
                <c:pt idx="265">
                  <c:v>48412677.496446066</c:v>
                </c:pt>
                <c:pt idx="266">
                  <c:v>48412677.496446066</c:v>
                </c:pt>
                <c:pt idx="267">
                  <c:v>48412677.496446066</c:v>
                </c:pt>
                <c:pt idx="268">
                  <c:v>48412677.496446066</c:v>
                </c:pt>
                <c:pt idx="269">
                  <c:v>48412677.496446066</c:v>
                </c:pt>
                <c:pt idx="270">
                  <c:v>48412677.496446066</c:v>
                </c:pt>
                <c:pt idx="271">
                  <c:v>48412677.496446066</c:v>
                </c:pt>
                <c:pt idx="272">
                  <c:v>48412677.496446066</c:v>
                </c:pt>
                <c:pt idx="273">
                  <c:v>48412677.496446066</c:v>
                </c:pt>
                <c:pt idx="274">
                  <c:v>48412677.496446066</c:v>
                </c:pt>
                <c:pt idx="275">
                  <c:v>48412677.496446066</c:v>
                </c:pt>
                <c:pt idx="276">
                  <c:v>48412677.496446066</c:v>
                </c:pt>
                <c:pt idx="277">
                  <c:v>48412677.496446066</c:v>
                </c:pt>
                <c:pt idx="278">
                  <c:v>48412677.496446066</c:v>
                </c:pt>
                <c:pt idx="279">
                  <c:v>48412677.496446066</c:v>
                </c:pt>
                <c:pt idx="280">
                  <c:v>48412677.496446066</c:v>
                </c:pt>
                <c:pt idx="281">
                  <c:v>48412677.496446066</c:v>
                </c:pt>
                <c:pt idx="282">
                  <c:v>48412677.496446066</c:v>
                </c:pt>
                <c:pt idx="283">
                  <c:v>48412677.496446066</c:v>
                </c:pt>
                <c:pt idx="284">
                  <c:v>48412677.496446066</c:v>
                </c:pt>
                <c:pt idx="285">
                  <c:v>48412677.496446066</c:v>
                </c:pt>
                <c:pt idx="286">
                  <c:v>48412677.496446066</c:v>
                </c:pt>
                <c:pt idx="287">
                  <c:v>48412677.496446066</c:v>
                </c:pt>
                <c:pt idx="288">
                  <c:v>48412677.496446066</c:v>
                </c:pt>
                <c:pt idx="289">
                  <c:v>48412677.496446066</c:v>
                </c:pt>
                <c:pt idx="290">
                  <c:v>48412677.496446066</c:v>
                </c:pt>
                <c:pt idx="291">
                  <c:v>48412677.496446066</c:v>
                </c:pt>
                <c:pt idx="292">
                  <c:v>48412677.496446066</c:v>
                </c:pt>
                <c:pt idx="293">
                  <c:v>48412677.496446066</c:v>
                </c:pt>
                <c:pt idx="294">
                  <c:v>48412677.496446066</c:v>
                </c:pt>
                <c:pt idx="295">
                  <c:v>48412677.496446066</c:v>
                </c:pt>
                <c:pt idx="296">
                  <c:v>48412677.496446066</c:v>
                </c:pt>
                <c:pt idx="297">
                  <c:v>48412677.496446066</c:v>
                </c:pt>
                <c:pt idx="298">
                  <c:v>48412677.496446066</c:v>
                </c:pt>
                <c:pt idx="299">
                  <c:v>48412677.496446066</c:v>
                </c:pt>
                <c:pt idx="300">
                  <c:v>48412677.496446066</c:v>
                </c:pt>
                <c:pt idx="301">
                  <c:v>48412677.496446066</c:v>
                </c:pt>
                <c:pt idx="302">
                  <c:v>48412677.496446066</c:v>
                </c:pt>
                <c:pt idx="303">
                  <c:v>48412677.496446066</c:v>
                </c:pt>
                <c:pt idx="304">
                  <c:v>48412677.496446066</c:v>
                </c:pt>
                <c:pt idx="305">
                  <c:v>48412677.496446066</c:v>
                </c:pt>
                <c:pt idx="306">
                  <c:v>48412677.496446066</c:v>
                </c:pt>
                <c:pt idx="307">
                  <c:v>48412677.496446066</c:v>
                </c:pt>
                <c:pt idx="308">
                  <c:v>48412677.496446066</c:v>
                </c:pt>
                <c:pt idx="309">
                  <c:v>48412677.496446066</c:v>
                </c:pt>
                <c:pt idx="310">
                  <c:v>48412677.496446066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13107981.58355391</c:v>
                </c:pt>
                <c:pt idx="58">
                  <c:v>12805949.983553909</c:v>
                </c:pt>
                <c:pt idx="59">
                  <c:v>12769149.983553909</c:v>
                </c:pt>
                <c:pt idx="60">
                  <c:v>12769149.983553909</c:v>
                </c:pt>
                <c:pt idx="61">
                  <c:v>12769149.983553909</c:v>
                </c:pt>
                <c:pt idx="62">
                  <c:v>11043768.62688724</c:v>
                </c:pt>
                <c:pt idx="63">
                  <c:v>10995018.62688724</c:v>
                </c:pt>
                <c:pt idx="64">
                  <c:v>10995018.62688724</c:v>
                </c:pt>
                <c:pt idx="65">
                  <c:v>10995018.62688724</c:v>
                </c:pt>
                <c:pt idx="66">
                  <c:v>10303979.170220576</c:v>
                </c:pt>
                <c:pt idx="67">
                  <c:v>13303729.170220576</c:v>
                </c:pt>
                <c:pt idx="68">
                  <c:v>12703729.170220576</c:v>
                </c:pt>
                <c:pt idx="69">
                  <c:v>12703729.170220576</c:v>
                </c:pt>
                <c:pt idx="70">
                  <c:v>12621588.503553912</c:v>
                </c:pt>
                <c:pt idx="71">
                  <c:v>12621588.503553912</c:v>
                </c:pt>
                <c:pt idx="72">
                  <c:v>12621588.503553912</c:v>
                </c:pt>
                <c:pt idx="73">
                  <c:v>12621588.503553912</c:v>
                </c:pt>
                <c:pt idx="74">
                  <c:v>12621588.503553912</c:v>
                </c:pt>
                <c:pt idx="75">
                  <c:v>12539447.836887248</c:v>
                </c:pt>
                <c:pt idx="76">
                  <c:v>12539447.836887248</c:v>
                </c:pt>
                <c:pt idx="77">
                  <c:v>12539447.836887248</c:v>
                </c:pt>
                <c:pt idx="78">
                  <c:v>12539447.836887248</c:v>
                </c:pt>
                <c:pt idx="79">
                  <c:v>12457307.170220584</c:v>
                </c:pt>
                <c:pt idx="80">
                  <c:v>12457307.170220584</c:v>
                </c:pt>
                <c:pt idx="81">
                  <c:v>12457307.170220584</c:v>
                </c:pt>
                <c:pt idx="82">
                  <c:v>12457307.170220584</c:v>
                </c:pt>
                <c:pt idx="83">
                  <c:v>12457307.170220584</c:v>
                </c:pt>
                <c:pt idx="84">
                  <c:v>12375166.503553919</c:v>
                </c:pt>
                <c:pt idx="85">
                  <c:v>12375166.503553919</c:v>
                </c:pt>
                <c:pt idx="86">
                  <c:v>12375166.503553919</c:v>
                </c:pt>
                <c:pt idx="87">
                  <c:v>12375166.503553919</c:v>
                </c:pt>
                <c:pt idx="88">
                  <c:v>12293025.836887255</c:v>
                </c:pt>
                <c:pt idx="89">
                  <c:v>12293025.836887255</c:v>
                </c:pt>
                <c:pt idx="90">
                  <c:v>12293025.836887255</c:v>
                </c:pt>
                <c:pt idx="91">
                  <c:v>12293025.836887255</c:v>
                </c:pt>
                <c:pt idx="92">
                  <c:v>12210885.170220591</c:v>
                </c:pt>
                <c:pt idx="93">
                  <c:v>12210885.170220591</c:v>
                </c:pt>
                <c:pt idx="94">
                  <c:v>12210885.170220591</c:v>
                </c:pt>
                <c:pt idx="95">
                  <c:v>12210885.170220591</c:v>
                </c:pt>
                <c:pt idx="96">
                  <c:v>12210885.170220591</c:v>
                </c:pt>
                <c:pt idx="97">
                  <c:v>11828744.503553927</c:v>
                </c:pt>
                <c:pt idx="98">
                  <c:v>11828744.503553927</c:v>
                </c:pt>
                <c:pt idx="99">
                  <c:v>11828744.503553927</c:v>
                </c:pt>
                <c:pt idx="100">
                  <c:v>11828744.503553927</c:v>
                </c:pt>
                <c:pt idx="101">
                  <c:v>11746603.836887263</c:v>
                </c:pt>
                <c:pt idx="102">
                  <c:v>11746603.836887263</c:v>
                </c:pt>
                <c:pt idx="103">
                  <c:v>11746603.836887263</c:v>
                </c:pt>
                <c:pt idx="104">
                  <c:v>11746603.836887263</c:v>
                </c:pt>
                <c:pt idx="105">
                  <c:v>11664463.170220599</c:v>
                </c:pt>
                <c:pt idx="106">
                  <c:v>11664463.170220599</c:v>
                </c:pt>
                <c:pt idx="107">
                  <c:v>11664463.170220599</c:v>
                </c:pt>
                <c:pt idx="108">
                  <c:v>11664463.170220599</c:v>
                </c:pt>
                <c:pt idx="109">
                  <c:v>11582322.503553934</c:v>
                </c:pt>
                <c:pt idx="110">
                  <c:v>11582322.503553934</c:v>
                </c:pt>
                <c:pt idx="111">
                  <c:v>11582322.503553934</c:v>
                </c:pt>
                <c:pt idx="112">
                  <c:v>11582322.503553934</c:v>
                </c:pt>
                <c:pt idx="113">
                  <c:v>11582322.503553934</c:v>
                </c:pt>
                <c:pt idx="114">
                  <c:v>11582322.503553934</c:v>
                </c:pt>
                <c:pt idx="115">
                  <c:v>11582322.503553934</c:v>
                </c:pt>
                <c:pt idx="116">
                  <c:v>11582322.503553934</c:v>
                </c:pt>
                <c:pt idx="117">
                  <c:v>11582322.503553934</c:v>
                </c:pt>
                <c:pt idx="118">
                  <c:v>11582322.503553934</c:v>
                </c:pt>
                <c:pt idx="119">
                  <c:v>11582322.503553934</c:v>
                </c:pt>
                <c:pt idx="120">
                  <c:v>11582322.503553934</c:v>
                </c:pt>
                <c:pt idx="121">
                  <c:v>11582322.503553934</c:v>
                </c:pt>
                <c:pt idx="122">
                  <c:v>11582322.503553934</c:v>
                </c:pt>
                <c:pt idx="123">
                  <c:v>11582322.503553934</c:v>
                </c:pt>
                <c:pt idx="124">
                  <c:v>11582322.503553934</c:v>
                </c:pt>
                <c:pt idx="125">
                  <c:v>11582322.503553934</c:v>
                </c:pt>
                <c:pt idx="126">
                  <c:v>11582322.503553934</c:v>
                </c:pt>
                <c:pt idx="127">
                  <c:v>11582322.503553934</c:v>
                </c:pt>
                <c:pt idx="128">
                  <c:v>11582322.503553934</c:v>
                </c:pt>
                <c:pt idx="129">
                  <c:v>11582322.503553934</c:v>
                </c:pt>
                <c:pt idx="130">
                  <c:v>11582322.503553934</c:v>
                </c:pt>
                <c:pt idx="131">
                  <c:v>11582322.503553934</c:v>
                </c:pt>
                <c:pt idx="132">
                  <c:v>11582322.503553934</c:v>
                </c:pt>
                <c:pt idx="133">
                  <c:v>11582322.503553934</c:v>
                </c:pt>
                <c:pt idx="134">
                  <c:v>11582322.503553934</c:v>
                </c:pt>
                <c:pt idx="135">
                  <c:v>11582322.503553934</c:v>
                </c:pt>
                <c:pt idx="136">
                  <c:v>11582322.503553934</c:v>
                </c:pt>
                <c:pt idx="137">
                  <c:v>11582322.503553934</c:v>
                </c:pt>
                <c:pt idx="138">
                  <c:v>11582322.503553934</c:v>
                </c:pt>
                <c:pt idx="139">
                  <c:v>11582322.503553934</c:v>
                </c:pt>
                <c:pt idx="140">
                  <c:v>11582322.503553934</c:v>
                </c:pt>
                <c:pt idx="141">
                  <c:v>11582322.503553934</c:v>
                </c:pt>
                <c:pt idx="142">
                  <c:v>11582322.503553934</c:v>
                </c:pt>
                <c:pt idx="143">
                  <c:v>11582322.503553934</c:v>
                </c:pt>
                <c:pt idx="144">
                  <c:v>11582322.503553934</c:v>
                </c:pt>
                <c:pt idx="145">
                  <c:v>11582322.503553934</c:v>
                </c:pt>
                <c:pt idx="146">
                  <c:v>11582322.503553934</c:v>
                </c:pt>
                <c:pt idx="147">
                  <c:v>11582322.503553934</c:v>
                </c:pt>
                <c:pt idx="148">
                  <c:v>11582322.503553934</c:v>
                </c:pt>
                <c:pt idx="149">
                  <c:v>11582322.503553934</c:v>
                </c:pt>
                <c:pt idx="150">
                  <c:v>11582322.503553934</c:v>
                </c:pt>
                <c:pt idx="151">
                  <c:v>11582322.503553934</c:v>
                </c:pt>
                <c:pt idx="152">
                  <c:v>11582322.503553934</c:v>
                </c:pt>
                <c:pt idx="153">
                  <c:v>11582322.503553934</c:v>
                </c:pt>
                <c:pt idx="154">
                  <c:v>11582322.503553934</c:v>
                </c:pt>
                <c:pt idx="155">
                  <c:v>11582322.503553934</c:v>
                </c:pt>
                <c:pt idx="156">
                  <c:v>11582322.503553934</c:v>
                </c:pt>
                <c:pt idx="157">
                  <c:v>11582322.503553934</c:v>
                </c:pt>
                <c:pt idx="158">
                  <c:v>11582322.503553934</c:v>
                </c:pt>
                <c:pt idx="159">
                  <c:v>11582322.503553934</c:v>
                </c:pt>
                <c:pt idx="160">
                  <c:v>11582322.503553934</c:v>
                </c:pt>
                <c:pt idx="161">
                  <c:v>11582322.503553934</c:v>
                </c:pt>
                <c:pt idx="162">
                  <c:v>11582322.503553934</c:v>
                </c:pt>
                <c:pt idx="163">
                  <c:v>11582322.503553934</c:v>
                </c:pt>
                <c:pt idx="164">
                  <c:v>11582322.503553934</c:v>
                </c:pt>
                <c:pt idx="165">
                  <c:v>11582322.503553934</c:v>
                </c:pt>
                <c:pt idx="166">
                  <c:v>11582322.503553934</c:v>
                </c:pt>
                <c:pt idx="167">
                  <c:v>11582322.503553934</c:v>
                </c:pt>
                <c:pt idx="168">
                  <c:v>11582322.503553934</c:v>
                </c:pt>
                <c:pt idx="169">
                  <c:v>11582322.503553934</c:v>
                </c:pt>
                <c:pt idx="170">
                  <c:v>11582322.503553934</c:v>
                </c:pt>
                <c:pt idx="171">
                  <c:v>11582322.503553934</c:v>
                </c:pt>
                <c:pt idx="172">
                  <c:v>11582322.503553934</c:v>
                </c:pt>
                <c:pt idx="173">
                  <c:v>11582322.503553934</c:v>
                </c:pt>
                <c:pt idx="174">
                  <c:v>11582322.503553934</c:v>
                </c:pt>
                <c:pt idx="175">
                  <c:v>11582322.503553934</c:v>
                </c:pt>
                <c:pt idx="176">
                  <c:v>11582322.503553934</c:v>
                </c:pt>
                <c:pt idx="177">
                  <c:v>11582322.503553934</c:v>
                </c:pt>
                <c:pt idx="178">
                  <c:v>11582322.503553934</c:v>
                </c:pt>
                <c:pt idx="179">
                  <c:v>11582322.503553934</c:v>
                </c:pt>
                <c:pt idx="180">
                  <c:v>11582322.503553934</c:v>
                </c:pt>
                <c:pt idx="181">
                  <c:v>11582322.503553934</c:v>
                </c:pt>
                <c:pt idx="182">
                  <c:v>11582322.503553934</c:v>
                </c:pt>
                <c:pt idx="183">
                  <c:v>11582322.503553934</c:v>
                </c:pt>
                <c:pt idx="184">
                  <c:v>11582322.503553934</c:v>
                </c:pt>
                <c:pt idx="185">
                  <c:v>11582322.503553934</c:v>
                </c:pt>
                <c:pt idx="186">
                  <c:v>11582322.503553934</c:v>
                </c:pt>
                <c:pt idx="187">
                  <c:v>11582322.503553934</c:v>
                </c:pt>
                <c:pt idx="188">
                  <c:v>11582322.503553934</c:v>
                </c:pt>
                <c:pt idx="189">
                  <c:v>11582322.503553934</c:v>
                </c:pt>
                <c:pt idx="190">
                  <c:v>11582322.503553934</c:v>
                </c:pt>
                <c:pt idx="191">
                  <c:v>11582322.503553934</c:v>
                </c:pt>
                <c:pt idx="192">
                  <c:v>11582322.503553934</c:v>
                </c:pt>
                <c:pt idx="193">
                  <c:v>11582322.503553934</c:v>
                </c:pt>
                <c:pt idx="194">
                  <c:v>11582322.503553934</c:v>
                </c:pt>
                <c:pt idx="195">
                  <c:v>11582322.503553934</c:v>
                </c:pt>
                <c:pt idx="196">
                  <c:v>11582322.503553934</c:v>
                </c:pt>
                <c:pt idx="197">
                  <c:v>11582322.503553934</c:v>
                </c:pt>
                <c:pt idx="198">
                  <c:v>11582322.503553934</c:v>
                </c:pt>
                <c:pt idx="199">
                  <c:v>11582322.503553934</c:v>
                </c:pt>
                <c:pt idx="200">
                  <c:v>11582322.503553934</c:v>
                </c:pt>
                <c:pt idx="201">
                  <c:v>11582322.503553934</c:v>
                </c:pt>
                <c:pt idx="202">
                  <c:v>11582322.503553934</c:v>
                </c:pt>
                <c:pt idx="203">
                  <c:v>11582322.503553934</c:v>
                </c:pt>
                <c:pt idx="204">
                  <c:v>11582322.503553934</c:v>
                </c:pt>
                <c:pt idx="205">
                  <c:v>11582322.503553934</c:v>
                </c:pt>
                <c:pt idx="206">
                  <c:v>11582322.503553934</c:v>
                </c:pt>
                <c:pt idx="207">
                  <c:v>11582322.503553934</c:v>
                </c:pt>
                <c:pt idx="208">
                  <c:v>11582322.503553934</c:v>
                </c:pt>
                <c:pt idx="209">
                  <c:v>11582322.503553934</c:v>
                </c:pt>
                <c:pt idx="210">
                  <c:v>11582322.503553934</c:v>
                </c:pt>
                <c:pt idx="211">
                  <c:v>11582322.503553934</c:v>
                </c:pt>
                <c:pt idx="212">
                  <c:v>11582322.503553934</c:v>
                </c:pt>
                <c:pt idx="213">
                  <c:v>11582322.503553934</c:v>
                </c:pt>
                <c:pt idx="214">
                  <c:v>11582322.503553934</c:v>
                </c:pt>
                <c:pt idx="215">
                  <c:v>11582322.503553934</c:v>
                </c:pt>
                <c:pt idx="216">
                  <c:v>11582322.503553934</c:v>
                </c:pt>
                <c:pt idx="217">
                  <c:v>11582322.503553934</c:v>
                </c:pt>
                <c:pt idx="218">
                  <c:v>11582322.503553934</c:v>
                </c:pt>
                <c:pt idx="219">
                  <c:v>11582322.503553934</c:v>
                </c:pt>
                <c:pt idx="220">
                  <c:v>11582322.503553934</c:v>
                </c:pt>
                <c:pt idx="221">
                  <c:v>11582322.503553934</c:v>
                </c:pt>
                <c:pt idx="222">
                  <c:v>11582322.503553934</c:v>
                </c:pt>
                <c:pt idx="223">
                  <c:v>11582322.503553934</c:v>
                </c:pt>
                <c:pt idx="224">
                  <c:v>11582322.503553934</c:v>
                </c:pt>
                <c:pt idx="225">
                  <c:v>11582322.503553934</c:v>
                </c:pt>
                <c:pt idx="226">
                  <c:v>11582322.503553934</c:v>
                </c:pt>
                <c:pt idx="227">
                  <c:v>11582322.503553934</c:v>
                </c:pt>
                <c:pt idx="228">
                  <c:v>11582322.503553934</c:v>
                </c:pt>
                <c:pt idx="229">
                  <c:v>11582322.503553934</c:v>
                </c:pt>
                <c:pt idx="230">
                  <c:v>11582322.503553934</c:v>
                </c:pt>
                <c:pt idx="231">
                  <c:v>11582322.503553934</c:v>
                </c:pt>
                <c:pt idx="232">
                  <c:v>11582322.503553934</c:v>
                </c:pt>
                <c:pt idx="233">
                  <c:v>11582322.503553934</c:v>
                </c:pt>
                <c:pt idx="234">
                  <c:v>11582322.503553934</c:v>
                </c:pt>
                <c:pt idx="235">
                  <c:v>11582322.503553934</c:v>
                </c:pt>
                <c:pt idx="236">
                  <c:v>11582322.503553934</c:v>
                </c:pt>
                <c:pt idx="237">
                  <c:v>11582322.503553934</c:v>
                </c:pt>
                <c:pt idx="238">
                  <c:v>11582322.503553934</c:v>
                </c:pt>
                <c:pt idx="239">
                  <c:v>11582322.503553934</c:v>
                </c:pt>
                <c:pt idx="240">
                  <c:v>11582322.503553934</c:v>
                </c:pt>
                <c:pt idx="241">
                  <c:v>11582322.503553934</c:v>
                </c:pt>
                <c:pt idx="242">
                  <c:v>11582322.503553934</c:v>
                </c:pt>
                <c:pt idx="243">
                  <c:v>11582322.503553934</c:v>
                </c:pt>
                <c:pt idx="244">
                  <c:v>11582322.503553934</c:v>
                </c:pt>
                <c:pt idx="245">
                  <c:v>11582322.503553934</c:v>
                </c:pt>
                <c:pt idx="246">
                  <c:v>11582322.503553934</c:v>
                </c:pt>
                <c:pt idx="247">
                  <c:v>11582322.503553934</c:v>
                </c:pt>
                <c:pt idx="248">
                  <c:v>11582322.503553934</c:v>
                </c:pt>
                <c:pt idx="249">
                  <c:v>11582322.503553934</c:v>
                </c:pt>
                <c:pt idx="250">
                  <c:v>11582322.503553934</c:v>
                </c:pt>
                <c:pt idx="251">
                  <c:v>11582322.503553934</c:v>
                </c:pt>
                <c:pt idx="252">
                  <c:v>11582322.503553934</c:v>
                </c:pt>
                <c:pt idx="253">
                  <c:v>11582322.503553934</c:v>
                </c:pt>
                <c:pt idx="254">
                  <c:v>11582322.503553934</c:v>
                </c:pt>
                <c:pt idx="255">
                  <c:v>11582322.503553934</c:v>
                </c:pt>
                <c:pt idx="256">
                  <c:v>11582322.503553934</c:v>
                </c:pt>
                <c:pt idx="257">
                  <c:v>11582322.503553934</c:v>
                </c:pt>
                <c:pt idx="258">
                  <c:v>11582322.503553934</c:v>
                </c:pt>
                <c:pt idx="259">
                  <c:v>11582322.503553934</c:v>
                </c:pt>
                <c:pt idx="260">
                  <c:v>11582322.503553934</c:v>
                </c:pt>
                <c:pt idx="261">
                  <c:v>11582322.503553934</c:v>
                </c:pt>
                <c:pt idx="262">
                  <c:v>11582322.503553934</c:v>
                </c:pt>
                <c:pt idx="263">
                  <c:v>11582322.503553934</c:v>
                </c:pt>
                <c:pt idx="264">
                  <c:v>11582322.503553934</c:v>
                </c:pt>
                <c:pt idx="265">
                  <c:v>11582322.503553934</c:v>
                </c:pt>
                <c:pt idx="266">
                  <c:v>11582322.503553934</c:v>
                </c:pt>
                <c:pt idx="267">
                  <c:v>11582322.503553934</c:v>
                </c:pt>
                <c:pt idx="268">
                  <c:v>11582322.503553934</c:v>
                </c:pt>
                <c:pt idx="269">
                  <c:v>11582322.503553934</c:v>
                </c:pt>
                <c:pt idx="270">
                  <c:v>11582322.503553934</c:v>
                </c:pt>
                <c:pt idx="271">
                  <c:v>11582322.503553934</c:v>
                </c:pt>
                <c:pt idx="272">
                  <c:v>11582322.503553934</c:v>
                </c:pt>
                <c:pt idx="273">
                  <c:v>11582322.503553934</c:v>
                </c:pt>
                <c:pt idx="274">
                  <c:v>11582322.503553934</c:v>
                </c:pt>
                <c:pt idx="275">
                  <c:v>11582322.503553934</c:v>
                </c:pt>
                <c:pt idx="276">
                  <c:v>11582322.503553934</c:v>
                </c:pt>
                <c:pt idx="277">
                  <c:v>11582322.503553934</c:v>
                </c:pt>
                <c:pt idx="278">
                  <c:v>11582322.503553934</c:v>
                </c:pt>
                <c:pt idx="279">
                  <c:v>11582322.503553934</c:v>
                </c:pt>
                <c:pt idx="280">
                  <c:v>11582322.503553934</c:v>
                </c:pt>
                <c:pt idx="281">
                  <c:v>11582322.503553934</c:v>
                </c:pt>
                <c:pt idx="282">
                  <c:v>11582322.503553934</c:v>
                </c:pt>
                <c:pt idx="283">
                  <c:v>11582322.503553934</c:v>
                </c:pt>
                <c:pt idx="284">
                  <c:v>11582322.503553934</c:v>
                </c:pt>
                <c:pt idx="285">
                  <c:v>11582322.503553934</c:v>
                </c:pt>
                <c:pt idx="286">
                  <c:v>11582322.503553934</c:v>
                </c:pt>
                <c:pt idx="287">
                  <c:v>11582322.503553934</c:v>
                </c:pt>
                <c:pt idx="288">
                  <c:v>11582322.503553934</c:v>
                </c:pt>
                <c:pt idx="289">
                  <c:v>11582322.503553934</c:v>
                </c:pt>
                <c:pt idx="290">
                  <c:v>11582322.503553934</c:v>
                </c:pt>
                <c:pt idx="291">
                  <c:v>11582322.503553934</c:v>
                </c:pt>
                <c:pt idx="292">
                  <c:v>11582322.503553934</c:v>
                </c:pt>
                <c:pt idx="293">
                  <c:v>11582322.503553934</c:v>
                </c:pt>
                <c:pt idx="294">
                  <c:v>11582322.503553934</c:v>
                </c:pt>
                <c:pt idx="295">
                  <c:v>11582322.503553934</c:v>
                </c:pt>
                <c:pt idx="296">
                  <c:v>11582322.503553934</c:v>
                </c:pt>
                <c:pt idx="297">
                  <c:v>11582322.503553934</c:v>
                </c:pt>
                <c:pt idx="298">
                  <c:v>11582322.503553934</c:v>
                </c:pt>
                <c:pt idx="299">
                  <c:v>11582322.503553934</c:v>
                </c:pt>
                <c:pt idx="300">
                  <c:v>11582322.503553934</c:v>
                </c:pt>
                <c:pt idx="301">
                  <c:v>11582322.503553934</c:v>
                </c:pt>
                <c:pt idx="302">
                  <c:v>11582322.503553934</c:v>
                </c:pt>
                <c:pt idx="303">
                  <c:v>11582322.503553934</c:v>
                </c:pt>
                <c:pt idx="304">
                  <c:v>11582322.503553934</c:v>
                </c:pt>
                <c:pt idx="305">
                  <c:v>11582322.503553934</c:v>
                </c:pt>
                <c:pt idx="306">
                  <c:v>11582322.503553934</c:v>
                </c:pt>
                <c:pt idx="307">
                  <c:v>11582322.503553934</c:v>
                </c:pt>
                <c:pt idx="308">
                  <c:v>11582322.503553934</c:v>
                </c:pt>
                <c:pt idx="309">
                  <c:v>11582322.503553934</c:v>
                </c:pt>
                <c:pt idx="310">
                  <c:v>11582322.503553934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59953875.105956517</c:v>
                </c:pt>
                <c:pt idx="58">
                  <c:v>59953875.105956517</c:v>
                </c:pt>
                <c:pt idx="59">
                  <c:v>59953875.105956517</c:v>
                </c:pt>
                <c:pt idx="60">
                  <c:v>59953875.105956517</c:v>
                </c:pt>
                <c:pt idx="61">
                  <c:v>59953875.105956517</c:v>
                </c:pt>
                <c:pt idx="62">
                  <c:v>59953875.105956517</c:v>
                </c:pt>
                <c:pt idx="63">
                  <c:v>59953875.105956517</c:v>
                </c:pt>
                <c:pt idx="64">
                  <c:v>59953875.105956517</c:v>
                </c:pt>
                <c:pt idx="65">
                  <c:v>59953875.105956517</c:v>
                </c:pt>
                <c:pt idx="66">
                  <c:v>59953875.105956517</c:v>
                </c:pt>
                <c:pt idx="67">
                  <c:v>59953875.105956517</c:v>
                </c:pt>
                <c:pt idx="68">
                  <c:v>59953875.105956517</c:v>
                </c:pt>
                <c:pt idx="69">
                  <c:v>59953875.105956517</c:v>
                </c:pt>
                <c:pt idx="70">
                  <c:v>59953875.105956517</c:v>
                </c:pt>
                <c:pt idx="71">
                  <c:v>59953875.105956517</c:v>
                </c:pt>
                <c:pt idx="72">
                  <c:v>59953875.105956517</c:v>
                </c:pt>
                <c:pt idx="73">
                  <c:v>59953875.105956517</c:v>
                </c:pt>
                <c:pt idx="74">
                  <c:v>59953875.105956517</c:v>
                </c:pt>
                <c:pt idx="75">
                  <c:v>59953875.105956517</c:v>
                </c:pt>
                <c:pt idx="76">
                  <c:v>59953875.105956517</c:v>
                </c:pt>
                <c:pt idx="77">
                  <c:v>59953875.105956517</c:v>
                </c:pt>
                <c:pt idx="78">
                  <c:v>59953875.105956517</c:v>
                </c:pt>
                <c:pt idx="79">
                  <c:v>59953875.105956517</c:v>
                </c:pt>
                <c:pt idx="80">
                  <c:v>59953875.105956517</c:v>
                </c:pt>
                <c:pt idx="81">
                  <c:v>59953875.105956517</c:v>
                </c:pt>
                <c:pt idx="82">
                  <c:v>59953875.105956517</c:v>
                </c:pt>
                <c:pt idx="83">
                  <c:v>59953875.105956517</c:v>
                </c:pt>
                <c:pt idx="84">
                  <c:v>59953875.105956517</c:v>
                </c:pt>
                <c:pt idx="85">
                  <c:v>59953875.105956517</c:v>
                </c:pt>
                <c:pt idx="86">
                  <c:v>59953875.105956517</c:v>
                </c:pt>
                <c:pt idx="87">
                  <c:v>59953875.105956517</c:v>
                </c:pt>
                <c:pt idx="88">
                  <c:v>59953875.105956517</c:v>
                </c:pt>
                <c:pt idx="89">
                  <c:v>59953875.105956517</c:v>
                </c:pt>
                <c:pt idx="90">
                  <c:v>59953875.105956517</c:v>
                </c:pt>
                <c:pt idx="91">
                  <c:v>59953875.105956517</c:v>
                </c:pt>
                <c:pt idx="92">
                  <c:v>59953875.105956517</c:v>
                </c:pt>
                <c:pt idx="93">
                  <c:v>59953875.105956517</c:v>
                </c:pt>
                <c:pt idx="94">
                  <c:v>59953875.105956517</c:v>
                </c:pt>
                <c:pt idx="95">
                  <c:v>59953875.105956517</c:v>
                </c:pt>
                <c:pt idx="96">
                  <c:v>59953875.105956517</c:v>
                </c:pt>
                <c:pt idx="97">
                  <c:v>59953875.105956517</c:v>
                </c:pt>
                <c:pt idx="98">
                  <c:v>59953875.105956517</c:v>
                </c:pt>
                <c:pt idx="99">
                  <c:v>59953875.105956517</c:v>
                </c:pt>
                <c:pt idx="100">
                  <c:v>59953875.105956517</c:v>
                </c:pt>
                <c:pt idx="101">
                  <c:v>59953875.105956517</c:v>
                </c:pt>
                <c:pt idx="102">
                  <c:v>59953875.105956517</c:v>
                </c:pt>
                <c:pt idx="103">
                  <c:v>59953875.105956517</c:v>
                </c:pt>
                <c:pt idx="104">
                  <c:v>59953875.105956517</c:v>
                </c:pt>
                <c:pt idx="105">
                  <c:v>59953875.105956517</c:v>
                </c:pt>
                <c:pt idx="106">
                  <c:v>59953875.105956517</c:v>
                </c:pt>
                <c:pt idx="107">
                  <c:v>59953875.105956517</c:v>
                </c:pt>
                <c:pt idx="108">
                  <c:v>59953875.105956517</c:v>
                </c:pt>
                <c:pt idx="109">
                  <c:v>59953875.105956517</c:v>
                </c:pt>
                <c:pt idx="110">
                  <c:v>59953875.105956517</c:v>
                </c:pt>
                <c:pt idx="111">
                  <c:v>59953875.105956517</c:v>
                </c:pt>
                <c:pt idx="112">
                  <c:v>59953875.105956517</c:v>
                </c:pt>
                <c:pt idx="113">
                  <c:v>59953875.105956517</c:v>
                </c:pt>
                <c:pt idx="114">
                  <c:v>59953875.105956517</c:v>
                </c:pt>
                <c:pt idx="115">
                  <c:v>59953875.105956517</c:v>
                </c:pt>
                <c:pt idx="116">
                  <c:v>59953875.105956517</c:v>
                </c:pt>
                <c:pt idx="117">
                  <c:v>59953875.105956517</c:v>
                </c:pt>
                <c:pt idx="118">
                  <c:v>59953875.105956517</c:v>
                </c:pt>
                <c:pt idx="119">
                  <c:v>59953875.105956517</c:v>
                </c:pt>
                <c:pt idx="120">
                  <c:v>59953875.105956517</c:v>
                </c:pt>
                <c:pt idx="121">
                  <c:v>59953875.105956517</c:v>
                </c:pt>
                <c:pt idx="122">
                  <c:v>59953875.105956517</c:v>
                </c:pt>
                <c:pt idx="123">
                  <c:v>59953875.105956517</c:v>
                </c:pt>
                <c:pt idx="124">
                  <c:v>59953875.105956517</c:v>
                </c:pt>
                <c:pt idx="125">
                  <c:v>59953875.105956517</c:v>
                </c:pt>
                <c:pt idx="126">
                  <c:v>59953875.105956517</c:v>
                </c:pt>
                <c:pt idx="127">
                  <c:v>59953875.105956517</c:v>
                </c:pt>
                <c:pt idx="128">
                  <c:v>59953875.105956517</c:v>
                </c:pt>
                <c:pt idx="129">
                  <c:v>59953875.105956517</c:v>
                </c:pt>
                <c:pt idx="130">
                  <c:v>59953875.105956517</c:v>
                </c:pt>
                <c:pt idx="131">
                  <c:v>59953875.105956517</c:v>
                </c:pt>
                <c:pt idx="132">
                  <c:v>59953875.105956517</c:v>
                </c:pt>
                <c:pt idx="133">
                  <c:v>59953875.105956517</c:v>
                </c:pt>
                <c:pt idx="134">
                  <c:v>59953875.105956517</c:v>
                </c:pt>
                <c:pt idx="135">
                  <c:v>59953875.105956517</c:v>
                </c:pt>
                <c:pt idx="136">
                  <c:v>59953875.105956517</c:v>
                </c:pt>
                <c:pt idx="137">
                  <c:v>59953875.105956517</c:v>
                </c:pt>
                <c:pt idx="138">
                  <c:v>59953875.105956517</c:v>
                </c:pt>
                <c:pt idx="139">
                  <c:v>59953875.105956517</c:v>
                </c:pt>
                <c:pt idx="140">
                  <c:v>59953875.105956517</c:v>
                </c:pt>
                <c:pt idx="141">
                  <c:v>59953875.105956517</c:v>
                </c:pt>
                <c:pt idx="142">
                  <c:v>59953875.105956517</c:v>
                </c:pt>
                <c:pt idx="143">
                  <c:v>59953875.105956517</c:v>
                </c:pt>
                <c:pt idx="144">
                  <c:v>59953875.105956517</c:v>
                </c:pt>
                <c:pt idx="145">
                  <c:v>59953875.105956517</c:v>
                </c:pt>
                <c:pt idx="146">
                  <c:v>59953875.105956517</c:v>
                </c:pt>
                <c:pt idx="147">
                  <c:v>59953875.105956517</c:v>
                </c:pt>
                <c:pt idx="148">
                  <c:v>59953875.105956517</c:v>
                </c:pt>
                <c:pt idx="149">
                  <c:v>59953875.105956517</c:v>
                </c:pt>
                <c:pt idx="150">
                  <c:v>59953875.105956517</c:v>
                </c:pt>
                <c:pt idx="151">
                  <c:v>59953875.105956517</c:v>
                </c:pt>
                <c:pt idx="152">
                  <c:v>59953875.105956517</c:v>
                </c:pt>
                <c:pt idx="153">
                  <c:v>59953875.105956517</c:v>
                </c:pt>
                <c:pt idx="154">
                  <c:v>59953875.105956517</c:v>
                </c:pt>
                <c:pt idx="155">
                  <c:v>59953875.105956517</c:v>
                </c:pt>
                <c:pt idx="156">
                  <c:v>59953875.105956517</c:v>
                </c:pt>
                <c:pt idx="157">
                  <c:v>59953875.105956517</c:v>
                </c:pt>
                <c:pt idx="158">
                  <c:v>59953875.105956517</c:v>
                </c:pt>
                <c:pt idx="159">
                  <c:v>59953875.105956517</c:v>
                </c:pt>
                <c:pt idx="160">
                  <c:v>59953875.105956517</c:v>
                </c:pt>
                <c:pt idx="161">
                  <c:v>59953875.105956517</c:v>
                </c:pt>
                <c:pt idx="162">
                  <c:v>59953875.105956517</c:v>
                </c:pt>
                <c:pt idx="163">
                  <c:v>59953875.105956517</c:v>
                </c:pt>
                <c:pt idx="164">
                  <c:v>59953875.105956517</c:v>
                </c:pt>
                <c:pt idx="165">
                  <c:v>59953875.105956517</c:v>
                </c:pt>
                <c:pt idx="166">
                  <c:v>59953875.105956517</c:v>
                </c:pt>
                <c:pt idx="167">
                  <c:v>59953875.105956517</c:v>
                </c:pt>
                <c:pt idx="168">
                  <c:v>59953875.105956517</c:v>
                </c:pt>
                <c:pt idx="169">
                  <c:v>59953875.105956517</c:v>
                </c:pt>
                <c:pt idx="170">
                  <c:v>59953875.105956517</c:v>
                </c:pt>
                <c:pt idx="171">
                  <c:v>59953875.105956517</c:v>
                </c:pt>
                <c:pt idx="172">
                  <c:v>59953875.105956517</c:v>
                </c:pt>
                <c:pt idx="173">
                  <c:v>59953875.105956517</c:v>
                </c:pt>
                <c:pt idx="174">
                  <c:v>59953875.105956517</c:v>
                </c:pt>
                <c:pt idx="175">
                  <c:v>59953875.105956517</c:v>
                </c:pt>
                <c:pt idx="176">
                  <c:v>59953875.105956517</c:v>
                </c:pt>
                <c:pt idx="177">
                  <c:v>59953875.105956517</c:v>
                </c:pt>
                <c:pt idx="178">
                  <c:v>59953875.105956517</c:v>
                </c:pt>
                <c:pt idx="179">
                  <c:v>59953875.105956517</c:v>
                </c:pt>
                <c:pt idx="180">
                  <c:v>59953875.105956517</c:v>
                </c:pt>
                <c:pt idx="181">
                  <c:v>59953875.105956517</c:v>
                </c:pt>
                <c:pt idx="182">
                  <c:v>59953875.105956517</c:v>
                </c:pt>
                <c:pt idx="183">
                  <c:v>59953875.105956517</c:v>
                </c:pt>
                <c:pt idx="184">
                  <c:v>59953875.105956517</c:v>
                </c:pt>
                <c:pt idx="185">
                  <c:v>59953875.105956517</c:v>
                </c:pt>
                <c:pt idx="186">
                  <c:v>59953875.105956517</c:v>
                </c:pt>
                <c:pt idx="187">
                  <c:v>59953875.105956517</c:v>
                </c:pt>
                <c:pt idx="188">
                  <c:v>59953875.105956517</c:v>
                </c:pt>
                <c:pt idx="189">
                  <c:v>59953875.105956517</c:v>
                </c:pt>
                <c:pt idx="190">
                  <c:v>59953875.105956517</c:v>
                </c:pt>
                <c:pt idx="191">
                  <c:v>59953875.105956517</c:v>
                </c:pt>
                <c:pt idx="192">
                  <c:v>59953875.105956517</c:v>
                </c:pt>
                <c:pt idx="193">
                  <c:v>59953875.105956517</c:v>
                </c:pt>
                <c:pt idx="194">
                  <c:v>59953875.105956517</c:v>
                </c:pt>
                <c:pt idx="195">
                  <c:v>59953875.105956517</c:v>
                </c:pt>
                <c:pt idx="196">
                  <c:v>59953875.105956517</c:v>
                </c:pt>
                <c:pt idx="197">
                  <c:v>59953875.105956517</c:v>
                </c:pt>
                <c:pt idx="198">
                  <c:v>59953875.105956517</c:v>
                </c:pt>
                <c:pt idx="199">
                  <c:v>59953875.105956517</c:v>
                </c:pt>
                <c:pt idx="200">
                  <c:v>59953875.105956517</c:v>
                </c:pt>
                <c:pt idx="201">
                  <c:v>59953875.105956517</c:v>
                </c:pt>
                <c:pt idx="202">
                  <c:v>59953875.105956517</c:v>
                </c:pt>
                <c:pt idx="203">
                  <c:v>59953875.105956517</c:v>
                </c:pt>
                <c:pt idx="204">
                  <c:v>59953875.105956517</c:v>
                </c:pt>
                <c:pt idx="205">
                  <c:v>59953875.105956517</c:v>
                </c:pt>
                <c:pt idx="206">
                  <c:v>59953875.105956517</c:v>
                </c:pt>
                <c:pt idx="207">
                  <c:v>59953875.105956517</c:v>
                </c:pt>
                <c:pt idx="208">
                  <c:v>59953875.105956517</c:v>
                </c:pt>
                <c:pt idx="209">
                  <c:v>59953875.105956517</c:v>
                </c:pt>
                <c:pt idx="210">
                  <c:v>59953875.105956517</c:v>
                </c:pt>
                <c:pt idx="211">
                  <c:v>59953875.105956517</c:v>
                </c:pt>
                <c:pt idx="212">
                  <c:v>59953875.105956517</c:v>
                </c:pt>
                <c:pt idx="213">
                  <c:v>59953875.105956517</c:v>
                </c:pt>
                <c:pt idx="214">
                  <c:v>59953875.105956517</c:v>
                </c:pt>
                <c:pt idx="215">
                  <c:v>59953875.105956517</c:v>
                </c:pt>
                <c:pt idx="216">
                  <c:v>59953875.105956517</c:v>
                </c:pt>
                <c:pt idx="217">
                  <c:v>59953875.105956517</c:v>
                </c:pt>
                <c:pt idx="218">
                  <c:v>59953875.105956517</c:v>
                </c:pt>
                <c:pt idx="219">
                  <c:v>59953875.105956517</c:v>
                </c:pt>
                <c:pt idx="220">
                  <c:v>59953875.105956517</c:v>
                </c:pt>
                <c:pt idx="221">
                  <c:v>59953875.105956517</c:v>
                </c:pt>
                <c:pt idx="222">
                  <c:v>59953875.105956517</c:v>
                </c:pt>
                <c:pt idx="223">
                  <c:v>59953875.105956517</c:v>
                </c:pt>
                <c:pt idx="224">
                  <c:v>59953875.105956517</c:v>
                </c:pt>
                <c:pt idx="225">
                  <c:v>59953875.105956517</c:v>
                </c:pt>
                <c:pt idx="226">
                  <c:v>59953875.105956517</c:v>
                </c:pt>
                <c:pt idx="227">
                  <c:v>59953875.105956517</c:v>
                </c:pt>
                <c:pt idx="228">
                  <c:v>59953875.105956517</c:v>
                </c:pt>
                <c:pt idx="229">
                  <c:v>59953875.105956517</c:v>
                </c:pt>
                <c:pt idx="230">
                  <c:v>59953875.105956517</c:v>
                </c:pt>
                <c:pt idx="231">
                  <c:v>59953875.105956517</c:v>
                </c:pt>
                <c:pt idx="232">
                  <c:v>59953875.105956517</c:v>
                </c:pt>
                <c:pt idx="233">
                  <c:v>59953875.105956517</c:v>
                </c:pt>
                <c:pt idx="234">
                  <c:v>59953875.105956517</c:v>
                </c:pt>
                <c:pt idx="235">
                  <c:v>59953875.105956517</c:v>
                </c:pt>
                <c:pt idx="236">
                  <c:v>59953875.105956517</c:v>
                </c:pt>
                <c:pt idx="237">
                  <c:v>59953875.105956517</c:v>
                </c:pt>
                <c:pt idx="238">
                  <c:v>59953875.105956517</c:v>
                </c:pt>
                <c:pt idx="239">
                  <c:v>59953875.105956517</c:v>
                </c:pt>
                <c:pt idx="240">
                  <c:v>59953875.105956517</c:v>
                </c:pt>
                <c:pt idx="241">
                  <c:v>59953875.105956517</c:v>
                </c:pt>
                <c:pt idx="242">
                  <c:v>59953875.105956517</c:v>
                </c:pt>
                <c:pt idx="243">
                  <c:v>59953875.105956517</c:v>
                </c:pt>
                <c:pt idx="244">
                  <c:v>59953875.105956517</c:v>
                </c:pt>
                <c:pt idx="245">
                  <c:v>59953875.105956517</c:v>
                </c:pt>
                <c:pt idx="246">
                  <c:v>59953875.105956517</c:v>
                </c:pt>
                <c:pt idx="247">
                  <c:v>59953875.105956517</c:v>
                </c:pt>
                <c:pt idx="248">
                  <c:v>59953875.105956517</c:v>
                </c:pt>
                <c:pt idx="249">
                  <c:v>59953875.105956517</c:v>
                </c:pt>
                <c:pt idx="250">
                  <c:v>59953875.105956517</c:v>
                </c:pt>
                <c:pt idx="251">
                  <c:v>59953875.105956517</c:v>
                </c:pt>
                <c:pt idx="252">
                  <c:v>59953875.105956517</c:v>
                </c:pt>
                <c:pt idx="253">
                  <c:v>59953875.105956517</c:v>
                </c:pt>
                <c:pt idx="254">
                  <c:v>59953875.105956517</c:v>
                </c:pt>
                <c:pt idx="255">
                  <c:v>59953875.105956517</c:v>
                </c:pt>
                <c:pt idx="256">
                  <c:v>59953875.105956517</c:v>
                </c:pt>
                <c:pt idx="257">
                  <c:v>59953875.105956517</c:v>
                </c:pt>
                <c:pt idx="258">
                  <c:v>59953875.105956517</c:v>
                </c:pt>
                <c:pt idx="259">
                  <c:v>59953875.105956517</c:v>
                </c:pt>
                <c:pt idx="260">
                  <c:v>59953875.105956517</c:v>
                </c:pt>
                <c:pt idx="261">
                  <c:v>59953875.105956517</c:v>
                </c:pt>
                <c:pt idx="262">
                  <c:v>59953875.105956517</c:v>
                </c:pt>
                <c:pt idx="263">
                  <c:v>59953875.105956517</c:v>
                </c:pt>
                <c:pt idx="264">
                  <c:v>59953875.105956517</c:v>
                </c:pt>
                <c:pt idx="265">
                  <c:v>59953875.105956517</c:v>
                </c:pt>
                <c:pt idx="266">
                  <c:v>59953875.105956517</c:v>
                </c:pt>
                <c:pt idx="267">
                  <c:v>59953875.105956517</c:v>
                </c:pt>
                <c:pt idx="268">
                  <c:v>59953875.105956517</c:v>
                </c:pt>
                <c:pt idx="269">
                  <c:v>59953875.105956517</c:v>
                </c:pt>
                <c:pt idx="270">
                  <c:v>59953875.105956517</c:v>
                </c:pt>
                <c:pt idx="271">
                  <c:v>59953875.105956517</c:v>
                </c:pt>
                <c:pt idx="272">
                  <c:v>59953875.105956517</c:v>
                </c:pt>
                <c:pt idx="273">
                  <c:v>59953875.105956517</c:v>
                </c:pt>
                <c:pt idx="274">
                  <c:v>59953875.105956517</c:v>
                </c:pt>
                <c:pt idx="275">
                  <c:v>59953875.105956517</c:v>
                </c:pt>
                <c:pt idx="276">
                  <c:v>59953875.105956517</c:v>
                </c:pt>
                <c:pt idx="277">
                  <c:v>59953875.105956517</c:v>
                </c:pt>
                <c:pt idx="278">
                  <c:v>59953875.105956517</c:v>
                </c:pt>
                <c:pt idx="279">
                  <c:v>59953875.105956517</c:v>
                </c:pt>
                <c:pt idx="280">
                  <c:v>59953875.105956517</c:v>
                </c:pt>
                <c:pt idx="281">
                  <c:v>59953875.105956517</c:v>
                </c:pt>
                <c:pt idx="282">
                  <c:v>59953875.105956517</c:v>
                </c:pt>
                <c:pt idx="283">
                  <c:v>59953875.105956517</c:v>
                </c:pt>
                <c:pt idx="284">
                  <c:v>59953875.105956517</c:v>
                </c:pt>
                <c:pt idx="285">
                  <c:v>59953875.105956517</c:v>
                </c:pt>
                <c:pt idx="286">
                  <c:v>59953875.105956517</c:v>
                </c:pt>
                <c:pt idx="287">
                  <c:v>59953875.105956517</c:v>
                </c:pt>
                <c:pt idx="288">
                  <c:v>59953875.105956517</c:v>
                </c:pt>
                <c:pt idx="289">
                  <c:v>59953875.105956517</c:v>
                </c:pt>
                <c:pt idx="290">
                  <c:v>59953875.105956517</c:v>
                </c:pt>
                <c:pt idx="291">
                  <c:v>59953875.105956517</c:v>
                </c:pt>
                <c:pt idx="292">
                  <c:v>59953875.105956517</c:v>
                </c:pt>
                <c:pt idx="293">
                  <c:v>59953875.105956517</c:v>
                </c:pt>
                <c:pt idx="294">
                  <c:v>59953875.105956517</c:v>
                </c:pt>
                <c:pt idx="295">
                  <c:v>59953875.105956517</c:v>
                </c:pt>
                <c:pt idx="296">
                  <c:v>59953875.105956517</c:v>
                </c:pt>
                <c:pt idx="297">
                  <c:v>59953875.105956517</c:v>
                </c:pt>
                <c:pt idx="298">
                  <c:v>59953875.105956517</c:v>
                </c:pt>
                <c:pt idx="299">
                  <c:v>59953875.105956517</c:v>
                </c:pt>
                <c:pt idx="300">
                  <c:v>59953875.105956517</c:v>
                </c:pt>
                <c:pt idx="301">
                  <c:v>59953875.105956517</c:v>
                </c:pt>
                <c:pt idx="302">
                  <c:v>59953875.105956517</c:v>
                </c:pt>
                <c:pt idx="303">
                  <c:v>59953875.105956517</c:v>
                </c:pt>
                <c:pt idx="304">
                  <c:v>59953875.105956517</c:v>
                </c:pt>
                <c:pt idx="305">
                  <c:v>59953875.105956517</c:v>
                </c:pt>
                <c:pt idx="306">
                  <c:v>59953875.105956517</c:v>
                </c:pt>
                <c:pt idx="307">
                  <c:v>59953875.105956517</c:v>
                </c:pt>
                <c:pt idx="308">
                  <c:v>59953875.105956517</c:v>
                </c:pt>
                <c:pt idx="309">
                  <c:v>59953875.105956517</c:v>
                </c:pt>
                <c:pt idx="310">
                  <c:v>59953875.105956517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30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29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284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8" t="s">
        <v>57</v>
      </c>
      <c r="E47" s="858"/>
      <c r="F47" s="859"/>
      <c r="G47" s="67"/>
      <c r="I47" s="68"/>
      <c r="J47" s="68"/>
    </row>
    <row r="48" spans="1:49" ht="14.4" thickBot="1">
      <c r="C48" s="69">
        <v>44014</v>
      </c>
      <c r="D48" s="860"/>
      <c r="E48" s="860"/>
      <c r="F48" s="86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32" sqref="P32"/>
    </sheetView>
  </sheetViews>
  <sheetFormatPr defaultColWidth="8.44140625" defaultRowHeight="14.4"/>
  <cols>
    <col min="1" max="1" width="5.5546875" style="93" customWidth="1"/>
    <col min="2" max="2" width="7.109375" style="129" customWidth="1"/>
    <col min="3" max="3" width="21.88671875" style="128" customWidth="1"/>
    <col min="4" max="4" width="19.5546875" style="128" bestFit="1" customWidth="1"/>
    <col min="5" max="5" width="6.44140625" style="128" customWidth="1"/>
    <col min="6" max="6" width="19.5546875" style="128" bestFit="1" customWidth="1"/>
    <col min="7" max="7" width="12.88671875" style="128" bestFit="1" customWidth="1"/>
    <col min="8" max="8" width="16.5546875" style="128" bestFit="1" customWidth="1"/>
    <col min="9" max="9" width="1.44140625" style="128" customWidth="1"/>
    <col min="10" max="10" width="3.109375" style="93" customWidth="1"/>
    <col min="11" max="11" width="1.44140625" style="165" customWidth="1"/>
    <col min="12" max="12" width="23.88671875" style="93" bestFit="1" customWidth="1"/>
    <col min="13" max="13" width="1.44140625" style="128" customWidth="1"/>
    <col min="14" max="14" width="27.109375" style="128" bestFit="1" customWidth="1"/>
    <col min="15" max="15" width="1.44140625" style="93" customWidth="1"/>
    <col min="16" max="16" width="15.88671875" style="128" bestFit="1" customWidth="1"/>
    <col min="17" max="17" width="5.5546875" style="128" customWidth="1"/>
    <col min="18" max="18" width="33.109375" style="128" bestFit="1" customWidth="1"/>
    <col min="19" max="20" width="13.88671875" style="128" bestFit="1" customWidth="1"/>
    <col min="21" max="21" width="39.44140625" style="128" customWidth="1"/>
    <col min="22" max="22" width="4.44140625" style="128" customWidth="1"/>
    <col min="23" max="23" width="19.5546875" style="128" bestFit="1" customWidth="1"/>
    <col min="24" max="24" width="15.44140625" style="93" bestFit="1" customWidth="1"/>
    <col min="25" max="25" width="19.5546875" style="93" bestFit="1" customWidth="1"/>
    <col min="26" max="26" width="16.109375" style="93" bestFit="1" customWidth="1"/>
    <col min="27" max="27" width="19.5546875" style="93" bestFit="1" customWidth="1"/>
    <col min="28" max="28" width="15.44140625" style="93" bestFit="1" customWidth="1"/>
    <col min="29" max="29" width="8.44140625" style="93"/>
    <col min="30" max="30" width="14.109375" style="93" bestFit="1" customWidth="1"/>
    <col min="31" max="31" width="8.44140625" style="128"/>
    <col min="32" max="32" width="12.5546875" style="128" bestFit="1" customWidth="1"/>
    <col min="33" max="16384" width="8.441406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13684851.755602453</v>
      </c>
      <c r="Z4" s="766">
        <f>SUMIFS('Expenditure Breakdown'!$Q:$Q,
        'Expenditure Breakdown'!$T:$T, "&gt;"&amp;DATE(2025,8,31),
        'Expenditure Breakdown'!$T:$T, "&lt;="&amp;DATE(2026,8,31))</f>
        <v>11382642.064387692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13508368.354998879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9629339.0843876954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48412677.496446103</v>
      </c>
      <c r="G5" s="834" t="s">
        <v>76</v>
      </c>
      <c r="H5" s="834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48412677.496446103</v>
      </c>
      <c r="T5" s="730">
        <f>F5-R5</f>
        <v>48412677.496446103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11582322.503553897</v>
      </c>
      <c r="G6" s="835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11582322.503553897</v>
      </c>
      <c r="T6" s="734">
        <f>T4-T5</f>
        <v>11582322.503553897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0.19305479629225597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35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2">
      <c r="B13" s="341">
        <v>1</v>
      </c>
      <c r="C13" s="862" t="s">
        <v>93</v>
      </c>
      <c r="D13" s="863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3.2">
      <c r="B14" s="153">
        <v>2</v>
      </c>
      <c r="C14" s="862" t="s">
        <v>95</v>
      </c>
      <c r="D14" s="863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3.2">
      <c r="B15" s="341">
        <v>3</v>
      </c>
      <c r="C15" s="862" t="s">
        <v>97</v>
      </c>
      <c r="D15" s="863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3.2">
      <c r="B16" s="341">
        <v>4</v>
      </c>
      <c r="C16" s="862" t="s">
        <v>99</v>
      </c>
      <c r="D16" s="863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3.2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6">
        <v>46002</v>
      </c>
      <c r="R17" s="368"/>
      <c r="S17" s="740"/>
      <c r="T17" s="740"/>
      <c r="U17" s="740"/>
      <c r="V17" s="140"/>
    </row>
    <row r="18" spans="2:22" s="93" customFormat="1" ht="13.2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6">
        <v>46002</v>
      </c>
      <c r="R18" s="368"/>
      <c r="S18" s="740"/>
      <c r="T18" s="740"/>
      <c r="U18" s="740"/>
      <c r="V18" s="140"/>
    </row>
    <row r="19" spans="2:22" s="93" customFormat="1" ht="13.2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6">
        <v>46066</v>
      </c>
      <c r="R19" s="368" t="s">
        <v>103</v>
      </c>
      <c r="S19" s="740"/>
      <c r="T19" s="740"/>
      <c r="U19" s="740"/>
      <c r="V19" s="140"/>
    </row>
    <row r="20" spans="2:22" s="93" customFormat="1" ht="13.2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3.2">
      <c r="B21" s="341">
        <v>7</v>
      </c>
      <c r="C21" s="862" t="s">
        <v>104</v>
      </c>
      <c r="D21" s="863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2">
      <c r="C26" s="146" t="s">
        <v>107</v>
      </c>
      <c r="D26" s="147"/>
      <c r="F26" s="148">
        <f>F17+F18+F19</f>
        <v>5999500</v>
      </c>
      <c r="H26" s="116"/>
    </row>
    <row r="27" spans="2:22" s="93" customFormat="1" ht="13.2">
      <c r="C27" s="146" t="s">
        <v>108</v>
      </c>
      <c r="D27" s="147"/>
      <c r="H27" s="741"/>
      <c r="L27" s="835"/>
    </row>
    <row r="28" spans="2:22" s="93" customFormat="1" ht="13.2">
      <c r="C28" s="149" t="s">
        <v>109</v>
      </c>
      <c r="D28" s="150"/>
      <c r="H28" s="116"/>
    </row>
    <row r="29" spans="2:22" s="93" customFormat="1" ht="13.2">
      <c r="C29" s="151" t="s">
        <v>110</v>
      </c>
      <c r="D29" s="147"/>
    </row>
    <row r="30" spans="2:22" s="93" customFormat="1" ht="13.2">
      <c r="B30" s="117"/>
      <c r="C30" s="151" t="s">
        <v>111</v>
      </c>
      <c r="D30" s="147"/>
    </row>
    <row r="31" spans="2:22" s="93" customFormat="1" ht="13.2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8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8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A84" zoomScale="85" zoomScaleNormal="85" workbookViewId="0">
      <selection activeCell="S105" sqref="S105"/>
    </sheetView>
  </sheetViews>
  <sheetFormatPr defaultColWidth="8.44140625" defaultRowHeight="13.8"/>
  <cols>
    <col min="1" max="1" width="1.44140625" style="112" customWidth="1"/>
    <col min="2" max="2" width="8.44140625" style="161" bestFit="1" customWidth="1"/>
    <col min="3" max="3" width="51.5546875" style="24" customWidth="1"/>
    <col min="4" max="4" width="3.109375" style="112" customWidth="1"/>
    <col min="5" max="5" width="14.109375" style="24" customWidth="1"/>
    <col min="6" max="6" width="11.88671875" style="158" customWidth="1"/>
    <col min="7" max="7" width="13.44140625" style="64" customWidth="1"/>
    <col min="8" max="8" width="5" style="112" customWidth="1"/>
    <col min="9" max="9" width="13.44140625" style="112" customWidth="1"/>
    <col min="10" max="10" width="13.88671875" style="113" bestFit="1" customWidth="1"/>
    <col min="11" max="11" width="14.109375" style="112" customWidth="1"/>
    <col min="12" max="12" width="2.44140625" style="112" customWidth="1"/>
    <col min="13" max="13" width="12.5546875" style="112" customWidth="1"/>
    <col min="14" max="14" width="19.5546875" style="112" customWidth="1"/>
    <col min="15" max="15" width="49.5546875" style="112" customWidth="1"/>
    <col min="16" max="16" width="1.44140625" style="112" customWidth="1"/>
    <col min="17" max="17" width="5.5546875" style="3" customWidth="1"/>
    <col min="18" max="18" width="8.44140625" style="112"/>
    <col min="19" max="19" width="33.109375" style="112" bestFit="1" customWidth="1"/>
    <col min="20" max="20" width="12.88671875" style="112" customWidth="1"/>
    <col min="21" max="21" width="15.44140625" style="112" bestFit="1" customWidth="1"/>
    <col min="22" max="22" width="15.88671875" style="112" hidden="1" customWidth="1"/>
    <col min="23" max="23" width="13" style="112" customWidth="1"/>
    <col min="24" max="24" width="20.88671875" style="112" bestFit="1" customWidth="1"/>
    <col min="25" max="28" width="9.109375" style="24" customWidth="1"/>
    <col min="29" max="30" width="8.44140625" style="24"/>
    <col min="31" max="32" width="9.88671875" style="24" bestFit="1" customWidth="1"/>
    <col min="33" max="16384" width="8.441406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46078</v>
      </c>
      <c r="O1" s="393">
        <f ca="1">TODAY()</f>
        <v>46078</v>
      </c>
      <c r="Q1" s="3"/>
    </row>
    <row r="2" spans="2:198">
      <c r="B2" s="166"/>
      <c r="C2" s="167" t="s">
        <v>0</v>
      </c>
      <c r="D2" s="168"/>
      <c r="E2" s="847" t="s">
        <v>134</v>
      </c>
      <c r="F2" s="848"/>
      <c r="G2" s="848"/>
      <c r="H2" s="849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0" t="s">
        <v>137</v>
      </c>
      <c r="F4" s="851"/>
      <c r="G4" s="851"/>
      <c r="H4" s="852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138</v>
      </c>
      <c r="D5" s="168"/>
      <c r="E5" s="850" t="s">
        <v>139</v>
      </c>
      <c r="F5" s="851"/>
      <c r="G5" s="851"/>
      <c r="H5" s="852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140</v>
      </c>
      <c r="D6" s="168"/>
      <c r="E6" s="853">
        <v>59995000</v>
      </c>
      <c r="F6" s="854"/>
      <c r="G6" s="854"/>
      <c r="H6" s="855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3" t="s">
        <v>141</v>
      </c>
      <c r="D7" s="824"/>
      <c r="E7" s="825" t="s">
        <v>142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840" t="s">
        <v>84</v>
      </c>
      <c r="C8" s="841" t="s">
        <v>143</v>
      </c>
      <c r="D8" s="205"/>
      <c r="E8" s="842" t="s">
        <v>144</v>
      </c>
      <c r="F8" s="227" t="s">
        <v>145</v>
      </c>
      <c r="G8" s="842" t="s">
        <v>146</v>
      </c>
      <c r="H8" s="228"/>
      <c r="I8" s="842" t="s">
        <v>147</v>
      </c>
      <c r="J8" s="227" t="s">
        <v>145</v>
      </c>
      <c r="K8" s="842" t="s">
        <v>148</v>
      </c>
      <c r="M8" s="400" t="s">
        <v>149</v>
      </c>
      <c r="N8" s="400" t="s">
        <v>150</v>
      </c>
      <c r="O8" s="856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0"/>
      <c r="C9" s="841"/>
      <c r="D9" s="205"/>
      <c r="E9" s="842"/>
      <c r="F9" s="126">
        <f>G108-E19</f>
        <v>160</v>
      </c>
      <c r="G9" s="842"/>
      <c r="H9" s="228"/>
      <c r="I9" s="842"/>
      <c r="J9" s="126">
        <f>K108-I19</f>
        <v>240</v>
      </c>
      <c r="K9" s="842"/>
      <c r="M9" s="351">
        <f>AVERAGE(M11,M18,M32,M42,M58,M67,M74,M81,M88,M98,M110,M117)</f>
        <v>0.95500000000000007</v>
      </c>
      <c r="N9" s="351">
        <f ca="1">AVERAGE(N11,N18,N32,N42,N58,N67,N74,N81,N88,N98,N110,N117)</f>
        <v>0.9659863945578232</v>
      </c>
      <c r="O9" s="857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7" t="s">
        <v>73</v>
      </c>
      <c r="U18" s="697" t="s">
        <v>160</v>
      </c>
      <c r="V18" s="697" t="s">
        <v>161</v>
      </c>
      <c r="W18" s="697" t="s">
        <v>162</v>
      </c>
      <c r="X18" s="697" t="s">
        <v>163</v>
      </c>
      <c r="Y18" s="844" t="s">
        <v>164</v>
      </c>
      <c r="Z18" s="845"/>
      <c r="AA18" s="845"/>
      <c r="AB18" s="846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43">
        <f>M9</f>
        <v>0.95500000000000007</v>
      </c>
      <c r="Z19" s="843"/>
      <c r="AA19" s="843"/>
      <c r="AB19" s="843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43"/>
      <c r="Z20" s="843"/>
      <c r="AA20" s="843"/>
      <c r="AB20" s="843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43"/>
      <c r="Z21" s="843"/>
      <c r="AA21" s="843"/>
      <c r="AB21" s="843"/>
      <c r="AC21" s="121"/>
      <c r="AD21" s="121"/>
      <c r="AE21" s="744">
        <f ca="1">TODAY()</f>
        <v>46078</v>
      </c>
      <c r="AF21" s="744">
        <f ca="1">TODAY()</f>
        <v>46078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43"/>
      <c r="Z22" s="843"/>
      <c r="AA22" s="843"/>
      <c r="AB22" s="843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43"/>
      <c r="Z23" s="843"/>
      <c r="AA23" s="843"/>
      <c r="AB23" s="843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43"/>
      <c r="Z24" s="843"/>
      <c r="AA24" s="843"/>
      <c r="AB24" s="843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43"/>
      <c r="Z25" s="843"/>
      <c r="AA25" s="843"/>
      <c r="AB25" s="843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43"/>
      <c r="Z26" s="843"/>
      <c r="AA26" s="843"/>
      <c r="AB26" s="843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0.96</v>
      </c>
      <c r="Y27" s="843"/>
      <c r="Z27" s="843"/>
      <c r="AA27" s="843"/>
      <c r="AB27" s="843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84</v>
      </c>
      <c r="V28" s="691">
        <f>F117</f>
        <v>70</v>
      </c>
      <c r="W28" s="692">
        <f>K117</f>
        <v>46090</v>
      </c>
      <c r="X28" s="698">
        <f>M117</f>
        <v>0.5</v>
      </c>
      <c r="Y28" s="843"/>
      <c r="Z28" s="843"/>
      <c r="AA28" s="843"/>
      <c r="AB28" s="843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183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5">
        <f t="shared" ref="B44:B51" si="6">B43+0.1</f>
        <v>4.1999999999999993</v>
      </c>
      <c r="C44" s="695" t="s">
        <v>195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3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208</v>
      </c>
      <c r="C54" s="748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8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5" t="s">
        <v>212</v>
      </c>
      <c r="C56" s="748" t="s">
        <v>213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8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5">
        <v>5.6</v>
      </c>
      <c r="C64" s="748" t="s">
        <v>223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3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09">
        <v>6.1</v>
      </c>
      <c r="C68" s="810" t="s">
        <v>226</v>
      </c>
      <c r="D68" s="811"/>
      <c r="E68" s="812">
        <v>45894</v>
      </c>
      <c r="F68" s="813">
        <v>7</v>
      </c>
      <c r="G68" s="812">
        <f>WORKDAY.INTL(E68,F68,1,Data!$C$3:$C$41)</f>
        <v>45903</v>
      </c>
      <c r="H68" s="814"/>
      <c r="I68" s="812">
        <v>45938</v>
      </c>
      <c r="J68" s="813">
        <v>34</v>
      </c>
      <c r="K68" s="812">
        <f>WORKDAY.INTL(I68,J68,1,Data!$C$3:$C$41)</f>
        <v>45986</v>
      </c>
      <c r="M68" s="815">
        <v>1</v>
      </c>
      <c r="N68" s="815">
        <f ca="1">_xlfn.LET(
  _xlpm.s,VALUE(I68),
  _xlpm.e,VALUE(K68),
  IF(OR(_xlpm.s="",_xlpm.e=""),"", IF(_xlpm.e&lt;=_xlpm.s, IF(TODAY()&gt;=_xlpm.e,1,0), MAX(0,MIN(1,(TODAY()-_xlpm.s)/(_xlpm.e-_xlpm.s)))))
)</f>
        <v>1</v>
      </c>
      <c r="O68" s="816" t="s">
        <v>227</v>
      </c>
      <c r="Q68" s="817"/>
      <c r="R68" s="818"/>
      <c r="S68" s="818"/>
      <c r="T68" s="818"/>
      <c r="U68" s="818"/>
      <c r="V68" s="818"/>
      <c r="W68" s="818"/>
      <c r="X68" s="818"/>
      <c r="Y68" s="818"/>
      <c r="Z68" s="818"/>
      <c r="AA68" s="818"/>
      <c r="AB68" s="818"/>
      <c r="AC68" s="818"/>
      <c r="AD68" s="818"/>
      <c r="AE68" s="818"/>
      <c r="AF68" s="818"/>
      <c r="AG68" s="818"/>
      <c r="AH68" s="818"/>
      <c r="AI68" s="818"/>
      <c r="AJ68" s="818"/>
      <c r="AK68" s="818"/>
      <c r="AL68" s="818"/>
      <c r="AM68" s="818"/>
      <c r="AN68" s="818"/>
      <c r="AO68" s="818"/>
      <c r="AP68" s="818"/>
      <c r="AQ68" s="818"/>
      <c r="AR68" s="818"/>
      <c r="AS68" s="818"/>
      <c r="AT68" s="818"/>
      <c r="AU68" s="818"/>
      <c r="AV68" s="818"/>
      <c r="AW68" s="818"/>
      <c r="AX68" s="818"/>
      <c r="AY68" s="818"/>
      <c r="AZ68" s="818"/>
      <c r="BA68" s="818"/>
      <c r="BB68" s="818"/>
      <c r="BC68" s="818"/>
      <c r="BD68" s="818"/>
      <c r="BE68" s="818"/>
      <c r="BF68" s="818"/>
      <c r="BG68" s="818"/>
      <c r="BH68" s="818"/>
      <c r="BI68" s="818"/>
      <c r="BJ68" s="818"/>
      <c r="BK68" s="818"/>
      <c r="BL68" s="818"/>
      <c r="BM68" s="818"/>
      <c r="BN68" s="818"/>
      <c r="BO68" s="818"/>
      <c r="BP68" s="818"/>
      <c r="BQ68" s="818"/>
      <c r="BR68" s="818"/>
      <c r="BS68" s="818"/>
      <c r="BT68" s="818"/>
      <c r="BU68" s="818"/>
      <c r="BV68" s="818"/>
      <c r="BW68" s="818"/>
      <c r="BX68" s="818"/>
      <c r="BY68" s="818"/>
      <c r="BZ68" s="818"/>
      <c r="CA68" s="818"/>
      <c r="CB68" s="818"/>
      <c r="CC68" s="818"/>
      <c r="CD68" s="818"/>
      <c r="CE68" s="818"/>
      <c r="CF68" s="818"/>
      <c r="CG68" s="818"/>
      <c r="CH68" s="818"/>
      <c r="CI68" s="818"/>
      <c r="CJ68" s="818"/>
      <c r="CK68" s="818"/>
      <c r="CL68" s="818"/>
      <c r="CM68" s="818"/>
      <c r="CN68" s="818"/>
      <c r="CO68" s="818"/>
      <c r="CP68" s="818"/>
      <c r="CQ68" s="818"/>
      <c r="CR68" s="818"/>
      <c r="CS68" s="818"/>
      <c r="CT68" s="818"/>
      <c r="CU68" s="818"/>
      <c r="CV68" s="818"/>
      <c r="CW68" s="818"/>
      <c r="CX68" s="818"/>
      <c r="CY68" s="818"/>
      <c r="CZ68" s="818"/>
      <c r="DA68" s="818"/>
      <c r="DB68" s="818"/>
      <c r="DC68" s="818"/>
      <c r="DD68" s="818"/>
      <c r="DE68" s="818"/>
      <c r="DF68" s="818"/>
      <c r="DG68" s="818"/>
      <c r="DH68" s="818"/>
      <c r="DI68" s="818"/>
      <c r="DJ68" s="818"/>
      <c r="DK68" s="818"/>
      <c r="DL68" s="818"/>
      <c r="DM68" s="818"/>
      <c r="DN68" s="818"/>
      <c r="DO68" s="818"/>
      <c r="DP68" s="818"/>
      <c r="DQ68" s="818"/>
      <c r="DR68" s="818"/>
      <c r="DS68" s="818"/>
      <c r="DT68" s="818"/>
      <c r="DU68" s="818"/>
      <c r="DV68" s="818"/>
      <c r="DW68" s="818"/>
      <c r="DX68" s="818"/>
      <c r="DY68" s="818"/>
      <c r="DZ68" s="818"/>
      <c r="EA68" s="818"/>
      <c r="EB68" s="818"/>
      <c r="EC68" s="818"/>
      <c r="ED68" s="818"/>
      <c r="EE68" s="818"/>
      <c r="EF68" s="818"/>
      <c r="EG68" s="818"/>
      <c r="EH68" s="818"/>
      <c r="EI68" s="818"/>
      <c r="EJ68" s="818"/>
      <c r="EK68" s="818"/>
      <c r="EL68" s="818"/>
      <c r="EM68" s="818"/>
      <c r="EN68" s="818"/>
      <c r="EO68" s="818"/>
      <c r="EP68" s="818"/>
      <c r="EQ68" s="818"/>
      <c r="ER68" s="818"/>
      <c r="ES68" s="818"/>
      <c r="ET68" s="818"/>
      <c r="EU68" s="818"/>
      <c r="EV68" s="818"/>
      <c r="EW68" s="818"/>
      <c r="EX68" s="818"/>
      <c r="EY68" s="818"/>
      <c r="EZ68" s="818"/>
      <c r="FA68" s="818"/>
      <c r="FB68" s="818"/>
      <c r="FC68" s="818"/>
      <c r="FD68" s="818"/>
      <c r="FE68" s="818"/>
      <c r="FF68" s="818"/>
      <c r="FG68" s="818"/>
      <c r="FH68" s="818"/>
      <c r="FI68" s="818"/>
      <c r="FJ68" s="818"/>
      <c r="FK68" s="818"/>
      <c r="FL68" s="818"/>
      <c r="FM68" s="818"/>
      <c r="FN68" s="818"/>
      <c r="FO68" s="818"/>
      <c r="FP68" s="818"/>
      <c r="FQ68" s="818"/>
      <c r="FR68" s="818"/>
      <c r="FS68" s="818"/>
      <c r="FT68" s="818"/>
      <c r="FU68" s="818"/>
      <c r="FV68" s="818"/>
      <c r="FW68" s="818"/>
      <c r="FX68" s="818"/>
      <c r="FY68" s="818"/>
      <c r="FZ68" s="818"/>
      <c r="GA68" s="818"/>
      <c r="GB68" s="818"/>
      <c r="GC68" s="818"/>
      <c r="GD68" s="818"/>
      <c r="GE68" s="818"/>
      <c r="GF68" s="818"/>
      <c r="GG68" s="818"/>
      <c r="GH68" s="818"/>
      <c r="GI68" s="818"/>
      <c r="GJ68" s="818"/>
      <c r="GK68" s="818"/>
      <c r="GL68" s="818"/>
      <c r="GM68" s="818"/>
      <c r="GN68" s="818"/>
      <c r="GO68" s="818"/>
      <c r="GP68" s="818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7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0.96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0.8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 t="s">
        <v>266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267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84</v>
      </c>
      <c r="K117" s="688">
        <f>MAX(K118:K125)</f>
        <v>46090</v>
      </c>
      <c r="L117" s="114"/>
      <c r="M117" s="350">
        <f>AVERAGE(M118:M124)</f>
        <v>0.5</v>
      </c>
      <c r="N117" s="350">
        <f ca="1">AVERAGE(N118:N124)</f>
        <v>0.59183673469387765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268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269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>B119+0.1</f>
        <v>12.299999999999999</v>
      </c>
      <c r="C120" s="233" t="s">
        <v>270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>B120+0.1</f>
        <v>12.399999999999999</v>
      </c>
      <c r="C121" s="233" t="s">
        <v>833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>B121+0.1</f>
        <v>12.499999999999998</v>
      </c>
      <c r="C122" s="233" t="s">
        <v>271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0.6</v>
      </c>
      <c r="N122" s="243">
        <f t="shared" ca="1" si="13"/>
        <v>0.8571428571428571</v>
      </c>
      <c r="O122" s="122" t="s">
        <v>834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>B123+0.1</f>
        <v>12.699999999999998</v>
      </c>
      <c r="C124" s="233" t="s">
        <v>273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0.2857142857142857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1093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274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864"/>
      <c r="C4" s="864"/>
      <c r="D4" s="864"/>
      <c r="E4" s="402"/>
      <c r="F4" s="210" t="s">
        <v>59</v>
      </c>
      <c r="G4" s="205"/>
      <c r="H4" s="210" t="s">
        <v>60</v>
      </c>
      <c r="I4" s="205"/>
      <c r="J4" s="211" t="s">
        <v>275</v>
      </c>
      <c r="K4" s="112"/>
      <c r="L4" s="112"/>
    </row>
    <row r="5" spans="1:12" ht="14.4" thickBot="1">
      <c r="A5" s="205"/>
      <c r="B5" s="865" t="s">
        <v>276</v>
      </c>
      <c r="C5" s="865"/>
      <c r="D5" s="865"/>
      <c r="E5" s="402"/>
      <c r="F5" s="212">
        <f>SUM(F9:F23)</f>
        <v>56096452.079139791</v>
      </c>
      <c r="G5" s="207"/>
      <c r="H5" s="212">
        <f>SUM(H9:H23)</f>
        <v>48412677.496446103</v>
      </c>
      <c r="I5" s="205"/>
      <c r="J5" s="213">
        <f>SUM(J9:J23)</f>
        <v>7683774.5826936942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277</v>
      </c>
      <c r="E7" s="216"/>
      <c r="F7" s="217" t="s">
        <v>278</v>
      </c>
      <c r="G7" s="218"/>
      <c r="H7" s="217" t="s">
        <v>279</v>
      </c>
      <c r="I7" s="218"/>
      <c r="J7" s="217" t="s">
        <v>280</v>
      </c>
      <c r="K7" s="162"/>
      <c r="L7" s="115" t="s">
        <v>281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662656</v>
      </c>
      <c r="I19" s="89"/>
      <c r="J19" s="222">
        <f t="shared" si="0"/>
        <v>-242656</v>
      </c>
      <c r="K19" s="163"/>
      <c r="L19" s="244"/>
    </row>
    <row r="20" spans="1:12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282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abSelected="1" topLeftCell="M1" zoomScale="85" zoomScaleNormal="85" workbookViewId="0">
      <pane ySplit="4" topLeftCell="A274" activePane="bottomLeft" state="frozen"/>
      <selection activeCell="K24" sqref="K24"/>
      <selection pane="bottomLeft" activeCell="W285" sqref="W285"/>
    </sheetView>
  </sheetViews>
  <sheetFormatPr defaultColWidth="9.44140625" defaultRowHeight="13.8"/>
  <cols>
    <col min="1" max="1" width="2.44140625" style="112" hidden="1" customWidth="1"/>
    <col min="2" max="2" width="5.88671875" style="24" hidden="1" customWidth="1"/>
    <col min="3" max="3" width="35.5546875" style="24" hidden="1" customWidth="1"/>
    <col min="4" max="4" width="54.109375" style="24" hidden="1" customWidth="1"/>
    <col min="5" max="5" width="7.5546875" style="70" hidden="1" customWidth="1"/>
    <col min="6" max="6" width="14.88671875" style="461" hidden="1" customWidth="1"/>
    <col min="7" max="7" width="16.5546875" style="24" hidden="1" customWidth="1"/>
    <col min="8" max="8" width="16.88671875" style="112" hidden="1" customWidth="1"/>
    <col min="9" max="9" width="20.109375" style="339" hidden="1" customWidth="1"/>
    <col min="10" max="10" width="20.109375" style="339" bestFit="1" customWidth="1"/>
    <col min="11" max="11" width="5.5546875" style="112" customWidth="1"/>
    <col min="12" max="12" width="5.88671875" style="112" bestFit="1" customWidth="1"/>
    <col min="13" max="13" width="23.88671875" style="112" bestFit="1" customWidth="1"/>
    <col min="14" max="14" width="60.6640625" style="112" customWidth="1"/>
    <col min="15" max="15" width="20.88671875" style="112" bestFit="1" customWidth="1"/>
    <col min="16" max="16" width="16.5546875" style="112" bestFit="1" customWidth="1"/>
    <col min="17" max="17" width="16.88671875" style="112" bestFit="1" customWidth="1"/>
    <col min="18" max="18" width="43.88671875" style="112" bestFit="1" customWidth="1"/>
    <col min="19" max="19" width="31.88671875" style="112" customWidth="1"/>
    <col min="20" max="20" width="14.109375" style="112" bestFit="1" customWidth="1"/>
    <col min="21" max="21" width="22.44140625" style="112" customWidth="1"/>
    <col min="22" max="22" width="18.109375" style="112" customWidth="1"/>
    <col min="23" max="23" width="16.88671875" style="112" bestFit="1" customWidth="1"/>
    <col min="24" max="24" width="19.5546875" style="112" bestFit="1" customWidth="1"/>
    <col min="25" max="25" width="27.44140625" style="112" bestFit="1" customWidth="1"/>
    <col min="26" max="26" width="22.88671875" style="112" bestFit="1" customWidth="1"/>
    <col min="27" max="27" width="7.88671875" style="112" bestFit="1" customWidth="1"/>
    <col min="28" max="28" width="88.109375" style="112" bestFit="1" customWidth="1"/>
    <col min="29" max="75" width="17.44140625" style="112" customWidth="1"/>
    <col min="76" max="16384" width="9.441406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89" t="s">
        <v>283</v>
      </c>
      <c r="C2" s="890"/>
      <c r="D2" s="890"/>
      <c r="E2" s="890"/>
      <c r="F2" s="890"/>
      <c r="G2" s="890"/>
      <c r="H2" s="752"/>
      <c r="I2" s="247">
        <f>SUM(I6:I377)</f>
        <v>56096452.079139791</v>
      </c>
      <c r="J2" s="247">
        <f>SUM(J6:J377)-5000</f>
        <v>59994999.999999985</v>
      </c>
      <c r="L2" s="891" t="s">
        <v>284</v>
      </c>
      <c r="M2" s="892"/>
      <c r="N2" s="892"/>
      <c r="O2" s="892"/>
      <c r="P2" s="892"/>
      <c r="Q2" s="892"/>
      <c r="R2" s="893" t="s">
        <v>285</v>
      </c>
      <c r="S2" s="894"/>
      <c r="T2" s="894"/>
      <c r="U2" s="894"/>
      <c r="V2" s="894"/>
      <c r="W2" s="895"/>
      <c r="X2" s="468">
        <f>SUM(X6:X377)</f>
        <v>48412677.496446103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286</v>
      </c>
      <c r="C4" s="249" t="s">
        <v>287</v>
      </c>
      <c r="D4" s="249" t="s">
        <v>288</v>
      </c>
      <c r="E4" s="249" t="s">
        <v>289</v>
      </c>
      <c r="F4" s="452" t="s">
        <v>290</v>
      </c>
      <c r="G4" s="250" t="s">
        <v>291</v>
      </c>
      <c r="H4" s="360" t="s">
        <v>292</v>
      </c>
      <c r="I4" s="251" t="s">
        <v>293</v>
      </c>
      <c r="J4" s="251" t="str">
        <f>IF(J2-'Revenue Tracking'!D4&gt;=0, "Total Revenue", "ERROR on REV" )</f>
        <v>ERROR on REV</v>
      </c>
      <c r="K4" s="155"/>
      <c r="L4" s="248" t="s">
        <v>286</v>
      </c>
      <c r="M4" s="249" t="s">
        <v>294</v>
      </c>
      <c r="N4" s="249" t="s">
        <v>288</v>
      </c>
      <c r="O4" s="249" t="s">
        <v>289</v>
      </c>
      <c r="P4" s="452" t="s">
        <v>290</v>
      </c>
      <c r="Q4" s="362" t="s">
        <v>295</v>
      </c>
      <c r="R4" s="605" t="s">
        <v>296</v>
      </c>
      <c r="S4" s="606" t="s">
        <v>89</v>
      </c>
      <c r="T4" s="360" t="s">
        <v>90</v>
      </c>
      <c r="U4" s="361" t="s">
        <v>297</v>
      </c>
      <c r="V4" s="362" t="s">
        <v>298</v>
      </c>
      <c r="W4" s="360" t="s">
        <v>292</v>
      </c>
      <c r="X4" s="470" t="s">
        <v>293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299</v>
      </c>
      <c r="D6" s="271" t="s">
        <v>300</v>
      </c>
      <c r="E6" s="272"/>
      <c r="F6" s="424"/>
      <c r="G6" s="380">
        <f>D378</f>
        <v>14537831.300000001</v>
      </c>
      <c r="H6" s="523">
        <v>45827</v>
      </c>
      <c r="I6" s="883">
        <f>SUM(G6:G19)</f>
        <v>14537831.300000001</v>
      </c>
      <c r="J6" s="883">
        <f>F378</f>
        <v>15101045.605359133</v>
      </c>
      <c r="K6" s="377"/>
      <c r="L6" s="270">
        <v>1</v>
      </c>
      <c r="M6" s="405" t="s">
        <v>301</v>
      </c>
      <c r="N6" s="271" t="s">
        <v>302</v>
      </c>
      <c r="O6" s="539">
        <v>11420</v>
      </c>
      <c r="P6" s="630">
        <v>0.1</v>
      </c>
      <c r="Q6" s="380">
        <f>13735976*0.1</f>
        <v>1373597.6</v>
      </c>
      <c r="R6" s="896" t="s">
        <v>303</v>
      </c>
      <c r="S6" s="608" t="s">
        <v>304</v>
      </c>
      <c r="T6" s="703">
        <v>45869</v>
      </c>
      <c r="U6" s="705">
        <v>1510104.5605359133</v>
      </c>
      <c r="V6" s="886">
        <f>J6-SUM(U6:U19)</f>
        <v>0</v>
      </c>
      <c r="W6" s="523">
        <v>45827</v>
      </c>
      <c r="X6" s="873">
        <f>SUM(Q6:Q19)</f>
        <v>13735976</v>
      </c>
      <c r="Y6" s="472"/>
    </row>
    <row r="7" spans="1:75" ht="15" customHeight="1">
      <c r="B7" s="300">
        <v>1</v>
      </c>
      <c r="C7" s="406"/>
      <c r="D7" s="378" t="s">
        <v>305</v>
      </c>
      <c r="E7" s="379"/>
      <c r="F7" s="446"/>
      <c r="G7" s="304"/>
      <c r="H7" s="560"/>
      <c r="I7" s="884"/>
      <c r="J7" s="884"/>
      <c r="K7" s="277"/>
      <c r="L7" s="300">
        <v>1</v>
      </c>
      <c r="M7" s="302" t="s">
        <v>301</v>
      </c>
      <c r="N7" s="378"/>
      <c r="O7" s="540"/>
      <c r="P7" s="431"/>
      <c r="Q7" s="304"/>
      <c r="R7" s="897"/>
      <c r="S7" s="609"/>
      <c r="T7" s="674" t="s">
        <v>306</v>
      </c>
      <c r="U7" s="679">
        <v>0</v>
      </c>
      <c r="V7" s="887"/>
      <c r="W7" s="560"/>
      <c r="X7" s="874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4"/>
      <c r="J8" s="884"/>
      <c r="K8" s="277"/>
      <c r="L8" s="300">
        <v>1</v>
      </c>
      <c r="M8" s="302" t="s">
        <v>301</v>
      </c>
      <c r="N8" s="476" t="s">
        <v>307</v>
      </c>
      <c r="O8" s="541">
        <v>5112</v>
      </c>
      <c r="P8" s="431">
        <v>1202.8</v>
      </c>
      <c r="Q8" s="304">
        <f>1675740.96/1.15</f>
        <v>1457166.0521739132</v>
      </c>
      <c r="R8" s="897"/>
      <c r="S8" s="608" t="s">
        <v>308</v>
      </c>
      <c r="T8" s="674">
        <v>45869</v>
      </c>
      <c r="U8" s="679">
        <v>6083790.7724287482</v>
      </c>
      <c r="V8" s="887"/>
      <c r="W8" s="756">
        <v>45925</v>
      </c>
      <c r="X8" s="874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4"/>
      <c r="J9" s="884"/>
      <c r="K9" s="277"/>
      <c r="L9" s="300">
        <v>1</v>
      </c>
      <c r="M9" s="302" t="s">
        <v>301</v>
      </c>
      <c r="N9" s="476"/>
      <c r="O9" s="775"/>
      <c r="P9" s="431"/>
      <c r="Q9" s="304">
        <f>(2000000+237905.06+2243727.74)/1.15</f>
        <v>3897072.0000000009</v>
      </c>
      <c r="R9" s="897"/>
      <c r="S9" s="608" t="s">
        <v>308</v>
      </c>
      <c r="T9" s="674">
        <v>45869</v>
      </c>
      <c r="U9" s="680">
        <v>0</v>
      </c>
      <c r="V9" s="887"/>
      <c r="W9" s="774">
        <v>45946</v>
      </c>
      <c r="X9" s="874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4"/>
      <c r="J10" s="884"/>
      <c r="K10" s="277"/>
      <c r="L10" s="300">
        <v>1</v>
      </c>
      <c r="M10" s="302" t="s">
        <v>301</v>
      </c>
      <c r="N10" s="476"/>
      <c r="O10" s="775"/>
      <c r="P10" s="431"/>
      <c r="Q10" s="304">
        <f>6148713.6-Q8-Q9-614871.36</f>
        <v>179604.18782608525</v>
      </c>
      <c r="R10" s="897"/>
      <c r="S10" s="608" t="s">
        <v>308</v>
      </c>
      <c r="T10" s="674">
        <v>45869</v>
      </c>
      <c r="U10" s="680">
        <v>0</v>
      </c>
      <c r="V10" s="887"/>
      <c r="W10" s="774">
        <v>46031</v>
      </c>
      <c r="X10" s="874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4"/>
      <c r="J11" s="884"/>
      <c r="K11" s="277"/>
      <c r="L11" s="300">
        <v>1</v>
      </c>
      <c r="M11" s="302" t="s">
        <v>301</v>
      </c>
      <c r="N11" s="476" t="s">
        <v>309</v>
      </c>
      <c r="O11" s="541">
        <f>4032+2268</f>
        <v>6300</v>
      </c>
      <c r="P11" s="431">
        <v>1202.8</v>
      </c>
      <c r="Q11" s="304">
        <v>869565.22</v>
      </c>
      <c r="R11" s="897"/>
      <c r="S11" s="608" t="s">
        <v>308</v>
      </c>
      <c r="T11" s="674">
        <v>45869</v>
      </c>
      <c r="U11" s="680">
        <v>7497629.4730635975</v>
      </c>
      <c r="V11" s="887"/>
      <c r="W11" s="774">
        <v>46031</v>
      </c>
      <c r="X11" s="874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4"/>
      <c r="J12" s="884"/>
      <c r="K12" s="277"/>
      <c r="L12" s="300">
        <v>1</v>
      </c>
      <c r="M12" s="302" t="s">
        <v>301</v>
      </c>
      <c r="N12" s="476"/>
      <c r="O12" s="541"/>
      <c r="P12" s="431"/>
      <c r="Q12" s="304">
        <v>637461.31000000006</v>
      </c>
      <c r="R12" s="897"/>
      <c r="S12" s="608" t="s">
        <v>308</v>
      </c>
      <c r="T12" s="674">
        <v>45869</v>
      </c>
      <c r="U12" s="680">
        <v>0</v>
      </c>
      <c r="V12" s="887"/>
      <c r="W12" s="774">
        <v>46031</v>
      </c>
      <c r="X12" s="874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4"/>
      <c r="J13" s="884"/>
      <c r="K13" s="277"/>
      <c r="L13" s="300">
        <v>1</v>
      </c>
      <c r="M13" s="302" t="s">
        <v>301</v>
      </c>
      <c r="N13" s="476"/>
      <c r="O13" s="541"/>
      <c r="P13" s="431"/>
      <c r="Q13" s="304">
        <v>1006679.1304347827</v>
      </c>
      <c r="R13" s="897"/>
      <c r="S13" s="608" t="s">
        <v>308</v>
      </c>
      <c r="T13" s="674">
        <v>45869</v>
      </c>
      <c r="U13" s="680">
        <v>0</v>
      </c>
      <c r="V13" s="887"/>
      <c r="W13" s="774">
        <v>46037</v>
      </c>
      <c r="X13" s="874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4"/>
      <c r="J14" s="884"/>
      <c r="K14" s="277"/>
      <c r="L14" s="300">
        <v>1</v>
      </c>
      <c r="M14" s="302" t="s">
        <v>301</v>
      </c>
      <c r="N14" s="476"/>
      <c r="O14" s="541"/>
      <c r="P14" s="431"/>
      <c r="Q14" s="304">
        <v>1277597.209</v>
      </c>
      <c r="R14" s="897"/>
      <c r="S14" s="608" t="s">
        <v>308</v>
      </c>
      <c r="T14" s="674">
        <v>45869</v>
      </c>
      <c r="U14" s="680">
        <v>0</v>
      </c>
      <c r="V14" s="887"/>
      <c r="W14" s="525">
        <v>46045</v>
      </c>
      <c r="X14" s="874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4"/>
      <c r="J15" s="884"/>
      <c r="K15" s="277"/>
      <c r="L15" s="300">
        <v>1</v>
      </c>
      <c r="M15" s="302" t="s">
        <v>301</v>
      </c>
      <c r="N15" s="476"/>
      <c r="O15" s="541"/>
      <c r="P15" s="431"/>
      <c r="Q15" s="304">
        <v>1304347.8259999999</v>
      </c>
      <c r="R15" s="897"/>
      <c r="S15" s="608" t="s">
        <v>308</v>
      </c>
      <c r="T15" s="674">
        <v>45869</v>
      </c>
      <c r="U15" s="680">
        <v>0</v>
      </c>
      <c r="V15" s="887"/>
      <c r="W15" s="525">
        <v>46051</v>
      </c>
      <c r="X15" s="874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4"/>
      <c r="J16" s="884"/>
      <c r="K16" s="277"/>
      <c r="L16" s="300">
        <v>1</v>
      </c>
      <c r="M16" s="302" t="s">
        <v>301</v>
      </c>
      <c r="N16" s="476"/>
      <c r="O16" s="541"/>
      <c r="P16" s="431"/>
      <c r="Q16" s="304">
        <f>6819876-Q11-Q12-Q13-Q14-Q15</f>
        <v>1724225.3045652178</v>
      </c>
      <c r="R16" s="897"/>
      <c r="S16" s="608" t="s">
        <v>308</v>
      </c>
      <c r="T16" s="674">
        <v>45869</v>
      </c>
      <c r="U16" s="680">
        <v>0</v>
      </c>
      <c r="V16" s="887"/>
      <c r="W16" s="525">
        <v>46051</v>
      </c>
      <c r="X16" s="874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4"/>
      <c r="J17" s="884"/>
      <c r="K17" s="277"/>
      <c r="L17" s="300">
        <v>1</v>
      </c>
      <c r="M17" s="302" t="s">
        <v>301</v>
      </c>
      <c r="N17" s="476" t="s">
        <v>310</v>
      </c>
      <c r="O17" s="541">
        <v>8</v>
      </c>
      <c r="P17" s="431">
        <v>1202.8</v>
      </c>
      <c r="Q17" s="304">
        <f t="shared" ref="Q17" si="0">13735976*0.9*(O17/$O$6)</f>
        <v>8660.16</v>
      </c>
      <c r="R17" s="898"/>
      <c r="S17" s="608" t="s">
        <v>308</v>
      </c>
      <c r="T17" s="674">
        <v>45869</v>
      </c>
      <c r="U17" s="680">
        <v>9520.7993308744099</v>
      </c>
      <c r="V17" s="887"/>
      <c r="W17" s="525">
        <f>W16</f>
        <v>46051</v>
      </c>
      <c r="X17" s="874"/>
      <c r="Y17" s="472"/>
      <c r="AB17" s="866" t="s">
        <v>311</v>
      </c>
      <c r="AC17" s="866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4"/>
      <c r="J18" s="884"/>
      <c r="K18" s="787"/>
      <c r="L18" s="788">
        <v>1</v>
      </c>
      <c r="M18" s="789" t="s">
        <v>301</v>
      </c>
      <c r="N18" s="789" t="s">
        <v>312</v>
      </c>
      <c r="O18" s="790">
        <v>1</v>
      </c>
      <c r="P18" s="791">
        <v>43292.88</v>
      </c>
      <c r="Q18" s="792">
        <f>P18</f>
        <v>43292.88</v>
      </c>
      <c r="R18" s="798"/>
      <c r="S18" s="799" t="s">
        <v>313</v>
      </c>
      <c r="T18" s="800">
        <v>45900</v>
      </c>
      <c r="U18" s="804">
        <v>0</v>
      </c>
      <c r="V18" s="887"/>
      <c r="W18" s="774">
        <f>W9</f>
        <v>45946</v>
      </c>
      <c r="X18" s="874"/>
      <c r="Y18" s="590" t="s">
        <v>314</v>
      </c>
      <c r="Z18" s="591" t="s">
        <v>315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5"/>
      <c r="J19" s="885"/>
      <c r="K19" s="278"/>
      <c r="L19" s="793">
        <v>1</v>
      </c>
      <c r="M19" s="794" t="s">
        <v>301</v>
      </c>
      <c r="N19" s="794" t="s">
        <v>312</v>
      </c>
      <c r="O19" s="795">
        <v>1</v>
      </c>
      <c r="P19" s="796">
        <v>-43292.88</v>
      </c>
      <c r="Q19" s="797">
        <f>P19</f>
        <v>-43292.88</v>
      </c>
      <c r="R19" s="801"/>
      <c r="S19" s="802" t="s">
        <v>316</v>
      </c>
      <c r="T19" s="803">
        <v>45991</v>
      </c>
      <c r="U19" s="805">
        <v>0</v>
      </c>
      <c r="V19" s="888"/>
      <c r="W19" s="525">
        <f>W16</f>
        <v>46051</v>
      </c>
      <c r="X19" s="875"/>
      <c r="Y19" s="590" t="s">
        <v>314</v>
      </c>
      <c r="Z19" s="591" t="s">
        <v>315</v>
      </c>
    </row>
    <row r="20" spans="1:31" ht="14.4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317</v>
      </c>
      <c r="Z20" s="593">
        <f>G97</f>
        <v>2941866.9</v>
      </c>
      <c r="AB20" s="656" t="s">
        <v>318</v>
      </c>
      <c r="AC20" s="657">
        <v>4000000</v>
      </c>
      <c r="AD20" s="658" t="s">
        <v>319</v>
      </c>
      <c r="AE20" s="659">
        <f>AC20/4000000</f>
        <v>1</v>
      </c>
    </row>
    <row r="21" spans="1:31" ht="14.25" customHeight="1">
      <c r="B21" s="282">
        <v>2</v>
      </c>
      <c r="C21" s="308" t="s">
        <v>320</v>
      </c>
      <c r="D21" s="308" t="s">
        <v>321</v>
      </c>
      <c r="E21" s="353"/>
      <c r="F21" s="444"/>
      <c r="G21" s="285">
        <f>D379</f>
        <v>2760000</v>
      </c>
      <c r="H21" s="527">
        <v>45820</v>
      </c>
      <c r="I21" s="867">
        <f>SUM(G21:G27)</f>
        <v>2760000</v>
      </c>
      <c r="J21" s="867">
        <f>F379</f>
        <v>2982470.7100577182</v>
      </c>
      <c r="K21" s="286"/>
      <c r="L21" s="282">
        <v>2</v>
      </c>
      <c r="M21" s="408" t="s">
        <v>322</v>
      </c>
      <c r="N21" s="308" t="s">
        <v>323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1" t="s">
        <v>324</v>
      </c>
      <c r="S21" s="613" t="s">
        <v>325</v>
      </c>
      <c r="T21" s="704">
        <v>45869</v>
      </c>
      <c r="U21" s="706">
        <v>886426.77283851232</v>
      </c>
      <c r="V21" s="876">
        <f>J21-SUM(U21:U27)</f>
        <v>-2.8844410553574562E-4</v>
      </c>
      <c r="W21" s="527">
        <v>45820</v>
      </c>
      <c r="X21" s="870">
        <f>SUM(Q21:Q27)</f>
        <v>2495176.22371</v>
      </c>
      <c r="Y21" s="592" t="s">
        <v>326</v>
      </c>
      <c r="Z21" s="594">
        <f>G50</f>
        <v>4558110</v>
      </c>
      <c r="AB21" s="660"/>
      <c r="AE21" s="661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68"/>
      <c r="J22" s="868"/>
      <c r="K22" s="290"/>
      <c r="L22" s="287">
        <v>2</v>
      </c>
      <c r="M22" s="414" t="s">
        <v>322</v>
      </c>
      <c r="N22" s="397" t="s">
        <v>327</v>
      </c>
      <c r="O22" s="545"/>
      <c r="P22" s="440"/>
      <c r="Q22" s="467">
        <v>1749851.5</v>
      </c>
      <c r="R22" s="882"/>
      <c r="S22" s="614" t="s">
        <v>328</v>
      </c>
      <c r="T22" s="684">
        <v>45869</v>
      </c>
      <c r="U22" s="681">
        <v>2081126.7475076499</v>
      </c>
      <c r="V22" s="877"/>
      <c r="W22" s="528">
        <v>45855</v>
      </c>
      <c r="X22" s="871"/>
      <c r="Y22" s="592" t="s">
        <v>329</v>
      </c>
      <c r="Z22" s="593">
        <f>G184</f>
        <v>1062060</v>
      </c>
      <c r="AA22" s="629">
        <f>Z22/7080000</f>
        <v>0.1500084745762712</v>
      </c>
      <c r="AB22" s="660" t="s">
        <v>330</v>
      </c>
      <c r="AE22" s="661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68"/>
      <c r="J23" s="868"/>
      <c r="K23" s="290"/>
      <c r="L23" s="287">
        <v>2</v>
      </c>
      <c r="M23" s="414" t="s">
        <v>322</v>
      </c>
      <c r="N23" s="397"/>
      <c r="O23" s="545"/>
      <c r="P23" s="440"/>
      <c r="Q23" s="467"/>
      <c r="R23" s="882"/>
      <c r="S23" s="614"/>
      <c r="T23" s="514" t="str">
        <f t="shared" si="1"/>
        <v/>
      </c>
      <c r="U23" s="498">
        <f>(Q23/$X$21*$J$21)</f>
        <v>0</v>
      </c>
      <c r="V23" s="877"/>
      <c r="W23" s="565"/>
      <c r="X23" s="871"/>
      <c r="Y23" s="592" t="s">
        <v>331</v>
      </c>
      <c r="Z23" s="593">
        <f>G185</f>
        <v>3298351.2369999997</v>
      </c>
      <c r="AA23" s="629">
        <f>Z23/7080000</f>
        <v>0.46586881878531072</v>
      </c>
      <c r="AB23" s="662" t="s">
        <v>332</v>
      </c>
      <c r="AC23" s="663">
        <v>550000</v>
      </c>
      <c r="AD23" s="664"/>
      <c r="AE23" s="665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8"/>
      <c r="J24" s="868"/>
      <c r="K24" s="290"/>
      <c r="L24" s="287">
        <v>2</v>
      </c>
      <c r="M24" s="414" t="s">
        <v>322</v>
      </c>
      <c r="N24" s="397"/>
      <c r="O24" s="652"/>
      <c r="P24" s="440"/>
      <c r="Q24" s="467"/>
      <c r="R24" s="880"/>
      <c r="S24" s="614"/>
      <c r="T24" s="672">
        <v>45900</v>
      </c>
      <c r="U24" s="681">
        <v>14917.189999999999</v>
      </c>
      <c r="V24" s="877"/>
      <c r="W24" s="528">
        <v>45820</v>
      </c>
      <c r="X24" s="871"/>
      <c r="Y24" s="592" t="s">
        <v>333</v>
      </c>
      <c r="Z24" s="593">
        <f>G228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8"/>
      <c r="J25" s="868"/>
      <c r="K25" s="290"/>
      <c r="L25" s="287">
        <v>2</v>
      </c>
      <c r="M25" s="414" t="s">
        <v>322</v>
      </c>
      <c r="N25" s="820" t="s">
        <v>334</v>
      </c>
      <c r="O25" s="652"/>
      <c r="P25" s="440"/>
      <c r="Q25" s="467">
        <v>899.72</v>
      </c>
      <c r="R25" s="579"/>
      <c r="S25" s="614" t="s">
        <v>335</v>
      </c>
      <c r="T25" s="672">
        <v>46022</v>
      </c>
      <c r="U25" s="780">
        <v>0</v>
      </c>
      <c r="V25" s="877"/>
      <c r="W25" s="767">
        <v>46053</v>
      </c>
      <c r="X25" s="871"/>
      <c r="Y25" s="592" t="s">
        <v>336</v>
      </c>
      <c r="Z25" s="593">
        <f>G229</f>
        <v>133245.9</v>
      </c>
      <c r="AB25" s="656" t="s">
        <v>337</v>
      </c>
      <c r="AC25" s="658"/>
      <c r="AD25" s="658"/>
      <c r="AE25" s="666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68"/>
      <c r="J26" s="868"/>
      <c r="K26" s="290"/>
      <c r="L26" s="287">
        <v>2</v>
      </c>
      <c r="M26" s="414" t="s">
        <v>322</v>
      </c>
      <c r="N26" s="397"/>
      <c r="O26" s="545"/>
      <c r="P26" s="440"/>
      <c r="Q26" s="467">
        <v>-899.72</v>
      </c>
      <c r="R26" s="579"/>
      <c r="S26" s="614" t="s">
        <v>335</v>
      </c>
      <c r="T26" s="779">
        <v>46053</v>
      </c>
      <c r="U26" s="780">
        <v>0</v>
      </c>
      <c r="V26" s="877"/>
      <c r="W26" s="767">
        <v>46053</v>
      </c>
      <c r="X26" s="871"/>
      <c r="Y26" s="592" t="s">
        <v>338</v>
      </c>
      <c r="Z26" s="593">
        <f>G233</f>
        <v>176058.33333333331</v>
      </c>
      <c r="AB26" s="660"/>
      <c r="AE26" s="661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69"/>
      <c r="J27" s="869"/>
      <c r="K27" s="295"/>
      <c r="L27" s="384">
        <v>2</v>
      </c>
      <c r="M27" s="409" t="s">
        <v>322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78"/>
      <c r="W27" s="566"/>
      <c r="X27" s="872"/>
      <c r="Y27" s="592" t="s">
        <v>339</v>
      </c>
      <c r="Z27" s="593">
        <v>0</v>
      </c>
      <c r="AB27" s="660" t="s">
        <v>340</v>
      </c>
      <c r="AC27" s="667">
        <v>2500000</v>
      </c>
      <c r="AD27" s="112" t="s">
        <v>341</v>
      </c>
      <c r="AE27" s="668">
        <f>AC27/3000000</f>
        <v>0.83333333333333337</v>
      </c>
    </row>
    <row r="28" spans="1:31" ht="14.4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>
      <c r="B29" s="270">
        <v>3</v>
      </c>
      <c r="C29" s="298" t="s">
        <v>342</v>
      </c>
      <c r="D29" s="316" t="s">
        <v>343</v>
      </c>
      <c r="E29" s="272"/>
      <c r="F29" s="424"/>
      <c r="G29" s="273">
        <f>D380</f>
        <v>7358785.9097348731</v>
      </c>
      <c r="H29" s="700">
        <v>45867</v>
      </c>
      <c r="I29" s="883">
        <f>SUM(G29:G47)</f>
        <v>7358785.9097348731</v>
      </c>
      <c r="J29" s="883">
        <f>F380</f>
        <v>7951943.2744093109</v>
      </c>
      <c r="K29" s="274"/>
      <c r="L29" s="270">
        <v>3</v>
      </c>
      <c r="M29" s="410" t="s">
        <v>344</v>
      </c>
      <c r="N29" s="316" t="s">
        <v>345</v>
      </c>
      <c r="O29" s="539">
        <v>19830</v>
      </c>
      <c r="P29" s="424">
        <v>22.88</v>
      </c>
      <c r="Q29" s="273">
        <f>O29*P29</f>
        <v>453710.39999999997</v>
      </c>
      <c r="R29" s="896" t="s">
        <v>346</v>
      </c>
      <c r="S29" s="616" t="s">
        <v>347</v>
      </c>
      <c r="T29" s="673">
        <v>45838</v>
      </c>
      <c r="U29" s="678">
        <v>870407.92269117013</v>
      </c>
      <c r="V29" s="886">
        <f>J29-SUM(U29:U47)</f>
        <v>0</v>
      </c>
      <c r="W29" s="700">
        <v>45867</v>
      </c>
      <c r="X29" s="873">
        <f>SUM(Q29:Q47)</f>
        <v>4071044.26</v>
      </c>
      <c r="Y29" s="592" t="s">
        <v>348</v>
      </c>
      <c r="Z29" s="595">
        <v>0</v>
      </c>
      <c r="AB29" s="660" t="s">
        <v>349</v>
      </c>
      <c r="AE29" s="661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1"/>
      <c r="I30" s="884"/>
      <c r="J30" s="884"/>
      <c r="K30" s="277"/>
      <c r="L30" s="300">
        <v>3</v>
      </c>
      <c r="M30" s="411" t="s">
        <v>344</v>
      </c>
      <c r="N30" s="317" t="s">
        <v>350</v>
      </c>
      <c r="O30" s="540">
        <v>39660</v>
      </c>
      <c r="P30" s="446">
        <v>5.87</v>
      </c>
      <c r="Q30" s="304">
        <f t="shared" ref="Q30:Q35" si="2">O30*P30</f>
        <v>232804.2</v>
      </c>
      <c r="R30" s="897"/>
      <c r="S30" s="609" t="s">
        <v>347</v>
      </c>
      <c r="T30" s="674">
        <v>45838</v>
      </c>
      <c r="U30" s="679">
        <v>446616.65263961267</v>
      </c>
      <c r="V30" s="887"/>
      <c r="W30" s="701">
        <v>45867</v>
      </c>
      <c r="X30" s="874"/>
      <c r="Y30" s="592" t="s">
        <v>351</v>
      </c>
      <c r="Z30" s="593">
        <f>SUM(Z20:Z29)</f>
        <v>12254692.370333334</v>
      </c>
      <c r="AB30" s="662" t="s">
        <v>332</v>
      </c>
      <c r="AC30" s="663">
        <v>590000</v>
      </c>
      <c r="AD30" s="664"/>
      <c r="AE30" s="665"/>
    </row>
    <row r="31" spans="1:31" ht="14.25" customHeight="1">
      <c r="B31" s="300"/>
      <c r="C31" s="301"/>
      <c r="D31" s="317"/>
      <c r="E31" s="303"/>
      <c r="F31" s="446"/>
      <c r="G31" s="304"/>
      <c r="H31" s="701"/>
      <c r="I31" s="884"/>
      <c r="J31" s="884"/>
      <c r="K31" s="277"/>
      <c r="L31" s="300">
        <v>3</v>
      </c>
      <c r="M31" s="411" t="s">
        <v>344</v>
      </c>
      <c r="N31" s="317" t="s">
        <v>352</v>
      </c>
      <c r="O31" s="540">
        <v>18030</v>
      </c>
      <c r="P31" s="446">
        <v>10.64</v>
      </c>
      <c r="Q31" s="304">
        <v>197183</v>
      </c>
      <c r="R31" s="897"/>
      <c r="S31" s="609" t="s">
        <v>347</v>
      </c>
      <c r="T31" s="674">
        <v>45838</v>
      </c>
      <c r="U31" s="679">
        <v>378280.16598255851</v>
      </c>
      <c r="V31" s="887"/>
      <c r="W31" s="701">
        <v>45867</v>
      </c>
      <c r="X31" s="874"/>
      <c r="Y31" s="592" t="s">
        <v>353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1"/>
      <c r="I32" s="884"/>
      <c r="J32" s="884"/>
      <c r="K32" s="277"/>
      <c r="L32" s="300">
        <v>3</v>
      </c>
      <c r="M32" s="411" t="s">
        <v>344</v>
      </c>
      <c r="N32" s="317" t="s">
        <v>354</v>
      </c>
      <c r="O32" s="540">
        <v>1820</v>
      </c>
      <c r="P32" s="446">
        <v>10.96</v>
      </c>
      <c r="Q32" s="304">
        <v>20391.2</v>
      </c>
      <c r="R32" s="897"/>
      <c r="S32" s="609" t="s">
        <v>347</v>
      </c>
      <c r="T32" s="674">
        <v>45838</v>
      </c>
      <c r="U32" s="679">
        <v>39118.922628135013</v>
      </c>
      <c r="V32" s="887"/>
      <c r="W32" s="701">
        <v>45867</v>
      </c>
      <c r="X32" s="874"/>
      <c r="Y32" s="597" t="s">
        <v>355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4"/>
      <c r="J33" s="884"/>
      <c r="K33" s="277"/>
      <c r="L33" s="300">
        <v>3</v>
      </c>
      <c r="M33" s="411" t="s">
        <v>344</v>
      </c>
      <c r="N33" s="317"/>
      <c r="O33" s="540"/>
      <c r="P33" s="446"/>
      <c r="Q33" s="304"/>
      <c r="R33" s="897"/>
      <c r="S33" s="609"/>
      <c r="T33" s="509"/>
      <c r="U33" s="679">
        <v>0</v>
      </c>
      <c r="V33" s="887"/>
      <c r="W33" s="560"/>
      <c r="X33" s="874"/>
    </row>
    <row r="34" spans="1:27" ht="14.25" customHeight="1">
      <c r="B34" s="300"/>
      <c r="C34" s="301"/>
      <c r="D34" s="317"/>
      <c r="E34" s="303"/>
      <c r="F34" s="446"/>
      <c r="G34" s="304"/>
      <c r="H34" s="701"/>
      <c r="I34" s="884"/>
      <c r="J34" s="884"/>
      <c r="K34" s="277"/>
      <c r="L34" s="300">
        <v>3</v>
      </c>
      <c r="M34" s="411" t="s">
        <v>344</v>
      </c>
      <c r="N34" s="317" t="s">
        <v>356</v>
      </c>
      <c r="O34" s="540">
        <f>O29*0.1</f>
        <v>1983</v>
      </c>
      <c r="P34" s="446">
        <v>22.88</v>
      </c>
      <c r="Q34" s="304">
        <f t="shared" si="2"/>
        <v>45371.040000000001</v>
      </c>
      <c r="R34" s="897"/>
      <c r="S34" s="609" t="s">
        <v>347</v>
      </c>
      <c r="T34" s="674">
        <v>45838</v>
      </c>
      <c r="U34" s="679">
        <v>87040.79226911701</v>
      </c>
      <c r="V34" s="887"/>
      <c r="W34" s="701">
        <v>45867</v>
      </c>
      <c r="X34" s="874"/>
      <c r="Y34" s="598" t="s">
        <v>60</v>
      </c>
      <c r="Z34" s="599" t="s">
        <v>357</v>
      </c>
    </row>
    <row r="35" spans="1:27" ht="14.25" customHeight="1">
      <c r="B35" s="300"/>
      <c r="C35" s="301"/>
      <c r="D35" s="317"/>
      <c r="E35" s="303"/>
      <c r="F35" s="446"/>
      <c r="G35" s="304"/>
      <c r="H35" s="701"/>
      <c r="I35" s="884"/>
      <c r="J35" s="884"/>
      <c r="K35" s="277"/>
      <c r="L35" s="300">
        <v>3</v>
      </c>
      <c r="M35" s="411" t="s">
        <v>344</v>
      </c>
      <c r="N35" s="317" t="s">
        <v>358</v>
      </c>
      <c r="O35" s="540">
        <f>O34*2</f>
        <v>3966</v>
      </c>
      <c r="P35" s="446">
        <v>5.87</v>
      </c>
      <c r="Q35" s="304">
        <f t="shared" si="2"/>
        <v>23280.420000000002</v>
      </c>
      <c r="R35" s="897"/>
      <c r="S35" s="609" t="s">
        <v>347</v>
      </c>
      <c r="T35" s="674">
        <v>45838</v>
      </c>
      <c r="U35" s="679">
        <v>44661.665263961266</v>
      </c>
      <c r="V35" s="887"/>
      <c r="W35" s="701">
        <v>45867</v>
      </c>
      <c r="X35" s="874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4"/>
      <c r="J36" s="884"/>
      <c r="K36" s="277"/>
      <c r="L36" s="300">
        <v>3</v>
      </c>
      <c r="M36" s="411" t="s">
        <v>344</v>
      </c>
      <c r="N36" s="317"/>
      <c r="O36" s="540"/>
      <c r="P36" s="446"/>
      <c r="Q36" s="304"/>
      <c r="R36" s="897"/>
      <c r="S36" s="609"/>
      <c r="T36" s="509"/>
      <c r="U36" s="679">
        <v>0</v>
      </c>
      <c r="V36" s="887"/>
      <c r="W36" s="560"/>
      <c r="X36" s="874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1"/>
      <c r="I37" s="884"/>
      <c r="J37" s="884"/>
      <c r="K37" s="277"/>
      <c r="L37" s="300">
        <v>3</v>
      </c>
      <c r="M37" s="411" t="s">
        <v>344</v>
      </c>
      <c r="N37" s="317" t="s">
        <v>359</v>
      </c>
      <c r="O37" s="540"/>
      <c r="P37" s="446"/>
      <c r="Q37" s="304">
        <v>17564</v>
      </c>
      <c r="R37" s="898"/>
      <c r="S37" s="609" t="s">
        <v>347</v>
      </c>
      <c r="T37" s="674">
        <v>45838</v>
      </c>
      <c r="U37" s="679">
        <v>33695.16051240552</v>
      </c>
      <c r="V37" s="887"/>
      <c r="W37" s="701">
        <v>45867</v>
      </c>
      <c r="X37" s="874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4"/>
      <c r="J38" s="884"/>
      <c r="K38" s="277"/>
      <c r="L38" s="300">
        <v>3</v>
      </c>
      <c r="M38" s="411" t="s">
        <v>344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87"/>
      <c r="W38" s="756">
        <v>45930</v>
      </c>
      <c r="X38" s="874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4"/>
      <c r="J39" s="884"/>
      <c r="K39" s="277"/>
      <c r="L39" s="300">
        <v>3</v>
      </c>
      <c r="M39" s="411" t="s">
        <v>344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87"/>
      <c r="W39" s="756">
        <v>45930</v>
      </c>
      <c r="X39" s="874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4"/>
      <c r="J40" s="884"/>
      <c r="K40" s="277"/>
      <c r="L40" s="300">
        <v>3</v>
      </c>
      <c r="M40" s="411" t="s">
        <v>344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7"/>
      <c r="W40" s="560"/>
      <c r="X40" s="874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4"/>
      <c r="J41" s="884"/>
      <c r="K41" s="277"/>
      <c r="L41" s="300">
        <v>3</v>
      </c>
      <c r="M41" s="411" t="s">
        <v>344</v>
      </c>
      <c r="N41" s="317" t="s">
        <v>360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99" t="s">
        <v>361</v>
      </c>
      <c r="S41" s="609" t="s">
        <v>362</v>
      </c>
      <c r="T41" s="674">
        <v>45900</v>
      </c>
      <c r="U41" s="679">
        <v>2955079.389574931</v>
      </c>
      <c r="V41" s="887"/>
      <c r="W41" s="524">
        <v>45827</v>
      </c>
      <c r="X41" s="874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4"/>
      <c r="J42" s="884"/>
      <c r="K42" s="277"/>
      <c r="L42" s="300">
        <v>3</v>
      </c>
      <c r="M42" s="411" t="s">
        <v>344</v>
      </c>
      <c r="N42" s="317" t="s">
        <v>363</v>
      </c>
      <c r="O42" s="541"/>
      <c r="P42" s="431"/>
      <c r="Q42" s="375">
        <f>O41*P41*1000*0.5</f>
        <v>1540370</v>
      </c>
      <c r="R42" s="897"/>
      <c r="S42" s="610" t="s">
        <v>364</v>
      </c>
      <c r="T42" s="670">
        <v>45900</v>
      </c>
      <c r="U42" s="680">
        <v>2955079.389574931</v>
      </c>
      <c r="V42" s="887"/>
      <c r="W42" s="525">
        <v>45930</v>
      </c>
      <c r="X42" s="874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4"/>
      <c r="J43" s="884"/>
      <c r="K43" s="277"/>
      <c r="L43" s="300">
        <v>3</v>
      </c>
      <c r="M43" s="411" t="s">
        <v>344</v>
      </c>
      <c r="N43" s="374"/>
      <c r="O43" s="541"/>
      <c r="P43" s="431"/>
      <c r="Q43" s="375">
        <v>-1540370</v>
      </c>
      <c r="R43" s="897"/>
      <c r="S43" s="609" t="s">
        <v>365</v>
      </c>
      <c r="T43" s="751">
        <v>45930</v>
      </c>
      <c r="U43" s="680">
        <v>0</v>
      </c>
      <c r="V43" s="887"/>
      <c r="W43" s="756">
        <v>45930</v>
      </c>
      <c r="X43" s="874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4"/>
      <c r="J44" s="884"/>
      <c r="K44" s="277"/>
      <c r="L44" s="300">
        <v>3</v>
      </c>
      <c r="M44" s="411" t="s">
        <v>344</v>
      </c>
      <c r="N44" s="374"/>
      <c r="O44" s="541"/>
      <c r="P44" s="431"/>
      <c r="Q44" s="375">
        <v>-1540370</v>
      </c>
      <c r="R44" s="897"/>
      <c r="S44" s="609" t="s">
        <v>366</v>
      </c>
      <c r="T44" s="751">
        <v>45930</v>
      </c>
      <c r="U44" s="680">
        <v>0</v>
      </c>
      <c r="V44" s="887"/>
      <c r="W44" s="756">
        <v>45930</v>
      </c>
      <c r="X44" s="874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4"/>
      <c r="J45" s="884"/>
      <c r="K45" s="277"/>
      <c r="L45" s="300">
        <v>3</v>
      </c>
      <c r="M45" s="411" t="s">
        <v>344</v>
      </c>
      <c r="N45" s="374"/>
      <c r="O45" s="541"/>
      <c r="P45" s="431"/>
      <c r="Q45" s="375">
        <v>3006740</v>
      </c>
      <c r="R45" s="897"/>
      <c r="S45" s="609" t="s">
        <v>367</v>
      </c>
      <c r="T45" s="670">
        <v>45930</v>
      </c>
      <c r="U45" s="680">
        <v>0</v>
      </c>
      <c r="V45" s="887"/>
      <c r="W45" s="525">
        <v>45930</v>
      </c>
      <c r="X45" s="874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4"/>
      <c r="J46" s="884"/>
      <c r="K46" s="277"/>
      <c r="L46" s="300">
        <v>3</v>
      </c>
      <c r="M46" s="411" t="s">
        <v>344</v>
      </c>
      <c r="N46" s="374" t="s">
        <v>368</v>
      </c>
      <c r="O46" s="541"/>
      <c r="P46" s="431"/>
      <c r="Q46" s="375">
        <f>74000*50%</f>
        <v>37000</v>
      </c>
      <c r="R46" s="897"/>
      <c r="S46" s="609" t="s">
        <v>362</v>
      </c>
      <c r="T46" s="670">
        <v>45838</v>
      </c>
      <c r="U46" s="680">
        <v>70981.606636244833</v>
      </c>
      <c r="V46" s="887"/>
      <c r="W46" s="525">
        <v>45827</v>
      </c>
      <c r="X46" s="874"/>
      <c r="Y46" s="600" t="s">
        <v>369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5"/>
      <c r="J47" s="885"/>
      <c r="K47" s="278"/>
      <c r="L47" s="305">
        <v>3</v>
      </c>
      <c r="M47" s="412" t="s">
        <v>344</v>
      </c>
      <c r="N47" s="318" t="s">
        <v>370</v>
      </c>
      <c r="O47" s="542"/>
      <c r="P47" s="447"/>
      <c r="Q47" s="319">
        <f>74000*50%</f>
        <v>37000</v>
      </c>
      <c r="R47" s="900"/>
      <c r="S47" s="611" t="s">
        <v>364</v>
      </c>
      <c r="T47" s="707">
        <v>45900</v>
      </c>
      <c r="U47" s="714">
        <v>70981.606636244833</v>
      </c>
      <c r="V47" s="888"/>
      <c r="W47" s="526">
        <f>W42</f>
        <v>45930</v>
      </c>
      <c r="X47" s="875"/>
      <c r="Y47" s="600" t="s">
        <v>348</v>
      </c>
      <c r="Z47" s="601">
        <v>0</v>
      </c>
    </row>
    <row r="48" spans="1:27" ht="14.4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348</v>
      </c>
      <c r="Z48" s="602">
        <v>0</v>
      </c>
    </row>
    <row r="49" spans="2:26" ht="14.25" customHeight="1">
      <c r="B49" s="282">
        <v>4</v>
      </c>
      <c r="C49" s="283" t="s">
        <v>326</v>
      </c>
      <c r="D49" s="283" t="s">
        <v>371</v>
      </c>
      <c r="E49" s="353">
        <v>249988</v>
      </c>
      <c r="F49" s="444"/>
      <c r="G49" s="285">
        <v>3499832</v>
      </c>
      <c r="H49" s="564">
        <f>H50</f>
        <v>45901</v>
      </c>
      <c r="I49" s="867">
        <f>SUM(G49:G72)</f>
        <v>8057942</v>
      </c>
      <c r="J49" s="867">
        <f>F381</f>
        <v>8707455.0718637351</v>
      </c>
      <c r="K49" s="286"/>
      <c r="L49" s="282">
        <v>4</v>
      </c>
      <c r="M49" s="413" t="s">
        <v>372</v>
      </c>
      <c r="N49" s="283" t="s">
        <v>371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6">
        <f>J49-SUM(U49:U72)</f>
        <v>-4.7537833452224731E-3</v>
      </c>
      <c r="W49" s="564"/>
      <c r="X49" s="870">
        <f>SUM(Q49:Q72)</f>
        <v>3329187</v>
      </c>
      <c r="Y49" s="600" t="s">
        <v>351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373</v>
      </c>
      <c r="E50" s="383"/>
      <c r="F50" s="440"/>
      <c r="G50" s="625">
        <f>D381-G49</f>
        <v>4558110</v>
      </c>
      <c r="H50" s="528">
        <v>45901</v>
      </c>
      <c r="I50" s="868"/>
      <c r="J50" s="868"/>
      <c r="K50" s="290"/>
      <c r="L50" s="287">
        <v>4</v>
      </c>
      <c r="M50" s="414" t="s">
        <v>372</v>
      </c>
      <c r="N50" s="397" t="s">
        <v>374</v>
      </c>
      <c r="O50" s="651">
        <v>0.1</v>
      </c>
      <c r="P50" s="440">
        <v>2376000</v>
      </c>
      <c r="Q50" s="289">
        <f>O50*P50</f>
        <v>237600</v>
      </c>
      <c r="R50" s="879" t="s">
        <v>303</v>
      </c>
      <c r="S50" s="614" t="s">
        <v>304</v>
      </c>
      <c r="T50" s="672">
        <v>45838</v>
      </c>
      <c r="U50" s="681">
        <v>465334.01673059782</v>
      </c>
      <c r="V50" s="877"/>
      <c r="W50" s="528">
        <v>45901</v>
      </c>
      <c r="X50" s="871"/>
      <c r="Y50" s="603" t="s">
        <v>355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68"/>
      <c r="J51" s="868"/>
      <c r="K51" s="290"/>
      <c r="L51" s="287">
        <v>4</v>
      </c>
      <c r="M51" s="414" t="s">
        <v>372</v>
      </c>
      <c r="N51" s="397" t="s">
        <v>187</v>
      </c>
      <c r="O51" s="651">
        <v>0.9</v>
      </c>
      <c r="P51" s="440"/>
      <c r="Q51" s="289">
        <f>O51*P50</f>
        <v>2138400</v>
      </c>
      <c r="R51" s="882"/>
      <c r="S51" s="614" t="s">
        <v>375</v>
      </c>
      <c r="T51" s="672">
        <v>45838</v>
      </c>
      <c r="U51" s="681">
        <v>4188006.1505753803</v>
      </c>
      <c r="V51" s="877"/>
      <c r="W51" s="528">
        <v>45901</v>
      </c>
      <c r="X51" s="871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68"/>
      <c r="J52" s="868"/>
      <c r="K52" s="290"/>
      <c r="L52" s="287">
        <v>4</v>
      </c>
      <c r="M52" s="414" t="s">
        <v>372</v>
      </c>
      <c r="N52" s="397" t="s">
        <v>376</v>
      </c>
      <c r="O52" s="537">
        <v>500</v>
      </c>
      <c r="P52" s="440">
        <v>13</v>
      </c>
      <c r="Q52" s="289">
        <f>O52*P52</f>
        <v>6500</v>
      </c>
      <c r="R52" s="879" t="s">
        <v>377</v>
      </c>
      <c r="S52" s="614" t="s">
        <v>378</v>
      </c>
      <c r="T52" s="672">
        <v>45869</v>
      </c>
      <c r="U52" s="681">
        <v>13627.717212616306</v>
      </c>
      <c r="V52" s="877"/>
      <c r="W52" s="528">
        <v>45925</v>
      </c>
      <c r="X52" s="871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68"/>
      <c r="J53" s="868"/>
      <c r="K53" s="290"/>
      <c r="L53" s="287">
        <v>4</v>
      </c>
      <c r="M53" s="414" t="s">
        <v>372</v>
      </c>
      <c r="N53" s="397" t="s">
        <v>379</v>
      </c>
      <c r="O53" s="545">
        <v>500</v>
      </c>
      <c r="P53" s="440">
        <v>13</v>
      </c>
      <c r="Q53" s="289">
        <f>O53*P53</f>
        <v>6500</v>
      </c>
      <c r="R53" s="880"/>
      <c r="S53" s="614" t="s">
        <v>378</v>
      </c>
      <c r="T53" s="672">
        <v>45869</v>
      </c>
      <c r="U53" s="681">
        <v>13627.717212616306</v>
      </c>
      <c r="V53" s="877"/>
      <c r="W53" s="528">
        <f>W52</f>
        <v>45925</v>
      </c>
      <c r="X53" s="871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68"/>
      <c r="J54" s="868"/>
      <c r="K54" s="290"/>
      <c r="L54" s="287">
        <v>4</v>
      </c>
      <c r="M54" s="414" t="s">
        <v>372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877"/>
      <c r="W54" s="565"/>
      <c r="X54" s="871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68"/>
      <c r="J55" s="868"/>
      <c r="K55" s="290"/>
      <c r="L55" s="287">
        <v>4</v>
      </c>
      <c r="M55" s="414" t="s">
        <v>372</v>
      </c>
      <c r="N55" s="397" t="s">
        <v>380</v>
      </c>
      <c r="O55" s="545"/>
      <c r="P55" s="440"/>
      <c r="Q55" s="289">
        <v>370187</v>
      </c>
      <c r="R55" s="583" t="s">
        <v>381</v>
      </c>
      <c r="S55" s="614" t="s">
        <v>382</v>
      </c>
      <c r="T55" s="672">
        <v>45869</v>
      </c>
      <c r="U55" s="681">
        <v>1724074.1776282564</v>
      </c>
      <c r="V55" s="877"/>
      <c r="W55" s="528">
        <v>45904</v>
      </c>
      <c r="X55" s="871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68"/>
      <c r="J56" s="868"/>
      <c r="K56" s="290"/>
      <c r="L56" s="287">
        <v>4</v>
      </c>
      <c r="M56" s="414" t="s">
        <v>372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7"/>
      <c r="W56" s="565"/>
      <c r="X56" s="871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2"/>
      <c r="I57" s="868"/>
      <c r="J57" s="868"/>
      <c r="K57" s="290"/>
      <c r="L57" s="287">
        <v>4</v>
      </c>
      <c r="M57" s="414" t="s">
        <v>372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877"/>
      <c r="W57" s="672">
        <v>45900</v>
      </c>
      <c r="X57" s="871"/>
      <c r="Y57" s="472"/>
      <c r="Z57" s="750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68"/>
      <c r="J58" s="868"/>
      <c r="K58" s="290"/>
      <c r="L58" s="287">
        <v>4</v>
      </c>
      <c r="M58" s="414" t="s">
        <v>372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7"/>
      <c r="W58" s="565"/>
      <c r="X58" s="871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68"/>
      <c r="J59" s="868"/>
      <c r="K59" s="290"/>
      <c r="L59" s="287">
        <v>4</v>
      </c>
      <c r="M59" s="414" t="s">
        <v>372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7"/>
      <c r="W59" s="565"/>
      <c r="X59" s="871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68"/>
      <c r="J60" s="868"/>
      <c r="K60" s="290"/>
      <c r="L60" s="287">
        <v>4</v>
      </c>
      <c r="M60" s="414" t="s">
        <v>372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7"/>
      <c r="W60" s="565"/>
      <c r="X60" s="871"/>
      <c r="Y60" s="472"/>
      <c r="Z60" s="750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68"/>
      <c r="J61" s="868"/>
      <c r="K61" s="290"/>
      <c r="L61" s="287">
        <v>4</v>
      </c>
      <c r="M61" s="414" t="s">
        <v>372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7"/>
      <c r="W61" s="565"/>
      <c r="X61" s="871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68"/>
      <c r="J62" s="868"/>
      <c r="K62" s="290"/>
      <c r="L62" s="287">
        <v>4</v>
      </c>
      <c r="M62" s="414" t="s">
        <v>372</v>
      </c>
      <c r="N62" s="397" t="s">
        <v>383</v>
      </c>
      <c r="O62" s="555">
        <f>AC23/2</f>
        <v>275000</v>
      </c>
      <c r="P62" s="556">
        <v>0.5</v>
      </c>
      <c r="Q62" s="289">
        <f>$O$62*P62</f>
        <v>137500</v>
      </c>
      <c r="R62" s="879" t="s">
        <v>384</v>
      </c>
      <c r="S62" s="614" t="s">
        <v>385</v>
      </c>
      <c r="T62" s="672">
        <v>45838</v>
      </c>
      <c r="U62" s="681">
        <v>269290.51894131815</v>
      </c>
      <c r="V62" s="877"/>
      <c r="W62" s="528">
        <f>W67</f>
        <v>45834</v>
      </c>
      <c r="X62" s="871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68"/>
      <c r="J63" s="868"/>
      <c r="K63" s="290"/>
      <c r="L63" s="287">
        <v>4</v>
      </c>
      <c r="M63" s="414" t="s">
        <v>372</v>
      </c>
      <c r="N63" s="397" t="s">
        <v>386</v>
      </c>
      <c r="O63" s="545"/>
      <c r="P63" s="556">
        <v>0.4</v>
      </c>
      <c r="Q63" s="289">
        <f t="shared" ref="Q63:Q64" si="6">$O$62*P63</f>
        <v>110000</v>
      </c>
      <c r="R63" s="882"/>
      <c r="S63" s="614" t="s">
        <v>387</v>
      </c>
      <c r="T63" s="672">
        <f t="shared" ref="T63:T64" si="7">T68</f>
        <v>45869</v>
      </c>
      <c r="U63" s="681">
        <v>230622.90667504517</v>
      </c>
      <c r="V63" s="877"/>
      <c r="W63" s="528">
        <f t="shared" ref="W63" si="8">W68</f>
        <v>45904</v>
      </c>
      <c r="X63" s="871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68"/>
      <c r="J64" s="868"/>
      <c r="K64" s="290"/>
      <c r="L64" s="287">
        <v>4</v>
      </c>
      <c r="M64" s="414" t="s">
        <v>372</v>
      </c>
      <c r="N64" s="397" t="s">
        <v>388</v>
      </c>
      <c r="O64" s="545"/>
      <c r="P64" s="556">
        <v>0.1</v>
      </c>
      <c r="Q64" s="289">
        <f t="shared" si="6"/>
        <v>27500</v>
      </c>
      <c r="R64" s="882"/>
      <c r="S64" s="614" t="s">
        <v>389</v>
      </c>
      <c r="T64" s="672">
        <f t="shared" si="7"/>
        <v>45900</v>
      </c>
      <c r="U64" s="681">
        <v>71925.973060766104</v>
      </c>
      <c r="V64" s="877"/>
      <c r="W64" s="565">
        <f>W204</f>
        <v>46114</v>
      </c>
      <c r="X64" s="871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68"/>
      <c r="J65" s="868"/>
      <c r="K65" s="290"/>
      <c r="L65" s="287">
        <v>4</v>
      </c>
      <c r="M65" s="414" t="s">
        <v>372</v>
      </c>
      <c r="N65" s="397"/>
      <c r="O65" s="545"/>
      <c r="P65" s="556"/>
      <c r="Q65" s="289"/>
      <c r="R65" s="882"/>
      <c r="S65" s="614"/>
      <c r="T65" s="514" t="str">
        <f t="shared" si="5"/>
        <v/>
      </c>
      <c r="U65" s="498">
        <f>(Q65/$X$49*$J$49)</f>
        <v>0</v>
      </c>
      <c r="V65" s="877"/>
      <c r="W65" s="565"/>
      <c r="X65" s="871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68"/>
      <c r="J66" s="868"/>
      <c r="K66" s="290"/>
      <c r="L66" s="287">
        <v>4</v>
      </c>
      <c r="M66" s="414" t="s">
        <v>372</v>
      </c>
      <c r="N66" s="397"/>
      <c r="O66" s="545"/>
      <c r="P66" s="556"/>
      <c r="Q66" s="289"/>
      <c r="R66" s="882"/>
      <c r="S66" s="614"/>
      <c r="T66" s="514" t="str">
        <f t="shared" si="5"/>
        <v/>
      </c>
      <c r="U66" s="498">
        <f>(Q66/$X$49*$J$49)</f>
        <v>0</v>
      </c>
      <c r="V66" s="877"/>
      <c r="W66" s="565"/>
      <c r="X66" s="871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68"/>
      <c r="J67" s="868"/>
      <c r="K67" s="290"/>
      <c r="L67" s="287">
        <v>4</v>
      </c>
      <c r="M67" s="414" t="s">
        <v>372</v>
      </c>
      <c r="N67" s="397" t="s">
        <v>390</v>
      </c>
      <c r="O67" s="555">
        <f>AC30/2</f>
        <v>295000</v>
      </c>
      <c r="P67" s="556">
        <v>0.5</v>
      </c>
      <c r="Q67" s="289">
        <f>$O$67*P67</f>
        <v>147500</v>
      </c>
      <c r="R67" s="882"/>
      <c r="S67" s="614" t="s">
        <v>385</v>
      </c>
      <c r="T67" s="672">
        <v>45838</v>
      </c>
      <c r="U67" s="681">
        <v>288875.28395523224</v>
      </c>
      <c r="V67" s="877"/>
      <c r="W67" s="528">
        <f>W185</f>
        <v>45834</v>
      </c>
      <c r="X67" s="871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68"/>
      <c r="J68" s="868"/>
      <c r="K68" s="290"/>
      <c r="L68" s="287">
        <v>4</v>
      </c>
      <c r="M68" s="414" t="s">
        <v>372</v>
      </c>
      <c r="N68" s="397" t="s">
        <v>391</v>
      </c>
      <c r="O68" s="545"/>
      <c r="P68" s="556">
        <v>0.4</v>
      </c>
      <c r="Q68" s="289">
        <f t="shared" ref="Q68:Q69" si="9">$O$67*P68</f>
        <v>118000</v>
      </c>
      <c r="R68" s="882"/>
      <c r="S68" s="614" t="s">
        <v>387</v>
      </c>
      <c r="T68" s="672">
        <v>45869</v>
      </c>
      <c r="U68" s="681">
        <v>247395.48170595756</v>
      </c>
      <c r="V68" s="877"/>
      <c r="W68" s="528">
        <v>45904</v>
      </c>
      <c r="X68" s="871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68"/>
      <c r="J69" s="868"/>
      <c r="K69" s="290"/>
      <c r="L69" s="287">
        <v>4</v>
      </c>
      <c r="M69" s="414" t="s">
        <v>372</v>
      </c>
      <c r="N69" s="397" t="s">
        <v>392</v>
      </c>
      <c r="O69" s="545"/>
      <c r="P69" s="556">
        <v>0.1</v>
      </c>
      <c r="Q69" s="289">
        <f t="shared" si="9"/>
        <v>29500</v>
      </c>
      <c r="R69" s="880"/>
      <c r="S69" s="614" t="s">
        <v>389</v>
      </c>
      <c r="T69" s="672">
        <v>45900</v>
      </c>
      <c r="U69" s="681">
        <v>77156.952919730917</v>
      </c>
      <c r="V69" s="877"/>
      <c r="W69" s="565">
        <f>W192</f>
        <v>46114</v>
      </c>
      <c r="X69" s="871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68"/>
      <c r="J70" s="868"/>
      <c r="K70" s="290"/>
      <c r="L70" s="287">
        <v>4</v>
      </c>
      <c r="M70" s="414" t="s">
        <v>372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7"/>
      <c r="W70" s="565"/>
      <c r="X70" s="871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68"/>
      <c r="J71" s="868"/>
      <c r="K71" s="290"/>
      <c r="L71" s="287">
        <v>4</v>
      </c>
      <c r="M71" s="414" t="s">
        <v>372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7"/>
      <c r="W71" s="565"/>
      <c r="X71" s="871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69"/>
      <c r="J72" s="869"/>
      <c r="K72" s="295"/>
      <c r="L72" s="291">
        <v>4</v>
      </c>
      <c r="M72" s="415" t="s">
        <v>372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78"/>
      <c r="W72" s="566"/>
      <c r="X72" s="872"/>
      <c r="Y72" s="472"/>
    </row>
    <row r="73" spans="1:25" ht="14.4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393</v>
      </c>
      <c r="D74" s="316" t="s">
        <v>394</v>
      </c>
      <c r="E74" s="272"/>
      <c r="F74" s="424"/>
      <c r="G74" s="273">
        <v>26000</v>
      </c>
      <c r="H74" s="567">
        <f>H75</f>
        <v>45862</v>
      </c>
      <c r="I74" s="883">
        <f>SUM(G74:G95)</f>
        <v>64000</v>
      </c>
      <c r="J74" s="883">
        <f>F383</f>
        <v>69158.741102787666</v>
      </c>
      <c r="K74" s="274"/>
      <c r="L74" s="270">
        <v>5</v>
      </c>
      <c r="M74" s="410" t="s">
        <v>395</v>
      </c>
      <c r="N74" s="316" t="s">
        <v>396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6">
        <f>J74-SUM(U74:U95)</f>
        <v>5.4426000860985368E-4</v>
      </c>
      <c r="W74" s="567"/>
      <c r="X74" s="873">
        <f>SUM(Q74:Q95)</f>
        <v>241577.30000000002</v>
      </c>
      <c r="Y74" s="472"/>
    </row>
    <row r="75" spans="1:25" ht="14.25" customHeight="1">
      <c r="B75" s="275">
        <v>5</v>
      </c>
      <c r="C75" s="299"/>
      <c r="D75" s="302" t="s">
        <v>397</v>
      </c>
      <c r="E75" s="438"/>
      <c r="F75" s="439"/>
      <c r="G75" s="304">
        <v>8000</v>
      </c>
      <c r="H75" s="524">
        <v>45862</v>
      </c>
      <c r="I75" s="884"/>
      <c r="J75" s="884"/>
      <c r="K75" s="277"/>
      <c r="L75" s="275">
        <v>5</v>
      </c>
      <c r="M75" s="687" t="s">
        <v>395</v>
      </c>
      <c r="N75" s="276" t="s">
        <v>398</v>
      </c>
      <c r="O75" s="547">
        <v>1</v>
      </c>
      <c r="P75" s="439"/>
      <c r="Q75" s="304">
        <v>19205.5</v>
      </c>
      <c r="R75" s="627" t="s">
        <v>399</v>
      </c>
      <c r="S75" s="609" t="s">
        <v>400</v>
      </c>
      <c r="T75" s="674">
        <v>45869</v>
      </c>
      <c r="U75" s="679">
        <v>3006.8451525953706</v>
      </c>
      <c r="V75" s="887"/>
      <c r="W75" s="524">
        <v>45862</v>
      </c>
      <c r="X75" s="874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4"/>
      <c r="J76" s="884"/>
      <c r="K76" s="277"/>
      <c r="L76" s="275">
        <v>5</v>
      </c>
      <c r="M76" s="687" t="s">
        <v>395</v>
      </c>
      <c r="N76" s="276" t="s">
        <v>401</v>
      </c>
      <c r="O76" s="547"/>
      <c r="P76" s="439"/>
      <c r="Q76" s="304">
        <v>264.26</v>
      </c>
      <c r="R76" s="627"/>
      <c r="S76" s="574" t="s">
        <v>402</v>
      </c>
      <c r="T76" s="674">
        <v>45869</v>
      </c>
      <c r="U76" s="679">
        <v>41.372986906086929</v>
      </c>
      <c r="V76" s="887"/>
      <c r="W76" s="524">
        <v>45900</v>
      </c>
      <c r="X76" s="874"/>
      <c r="Y76" s="472"/>
    </row>
    <row r="77" spans="1:25" ht="14.25" customHeight="1">
      <c r="B77" s="275">
        <v>5</v>
      </c>
      <c r="C77" s="299"/>
      <c r="D77" s="302" t="s">
        <v>403</v>
      </c>
      <c r="E77" s="303"/>
      <c r="F77" s="446"/>
      <c r="G77" s="304">
        <v>30000</v>
      </c>
      <c r="H77" s="524">
        <v>45900</v>
      </c>
      <c r="I77" s="884"/>
      <c r="J77" s="884"/>
      <c r="K77" s="277"/>
      <c r="L77" s="275">
        <v>5</v>
      </c>
      <c r="M77" s="687" t="s">
        <v>395</v>
      </c>
      <c r="N77" s="302" t="s">
        <v>404</v>
      </c>
      <c r="O77" s="540">
        <v>1</v>
      </c>
      <c r="P77" s="446"/>
      <c r="Q77" s="304">
        <v>11169</v>
      </c>
      <c r="R77" s="574"/>
      <c r="S77" s="609" t="s">
        <v>405</v>
      </c>
      <c r="T77" s="674">
        <v>45900</v>
      </c>
      <c r="U77" s="679">
        <v>26948.87</v>
      </c>
      <c r="V77" s="887"/>
      <c r="W77" s="524">
        <v>45900</v>
      </c>
      <c r="X77" s="874"/>
      <c r="Y77" s="472" t="s">
        <v>406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4"/>
      <c r="J78" s="884"/>
      <c r="K78" s="277"/>
      <c r="L78" s="275">
        <v>5</v>
      </c>
      <c r="M78" s="687" t="s">
        <v>395</v>
      </c>
      <c r="N78" s="302" t="s">
        <v>407</v>
      </c>
      <c r="O78" s="540"/>
      <c r="P78" s="446"/>
      <c r="Q78" s="304">
        <v>175.56</v>
      </c>
      <c r="R78" s="574"/>
      <c r="S78" s="609" t="s">
        <v>402</v>
      </c>
      <c r="T78" s="674">
        <v>45869</v>
      </c>
      <c r="U78" s="679">
        <v>27.48596677981012</v>
      </c>
      <c r="V78" s="887"/>
      <c r="W78" s="524">
        <v>45900</v>
      </c>
      <c r="X78" s="874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4"/>
      <c r="J79" s="884"/>
      <c r="K79" s="277"/>
      <c r="L79" s="275">
        <v>5</v>
      </c>
      <c r="M79" s="687" t="s">
        <v>395</v>
      </c>
      <c r="N79" s="302" t="s">
        <v>408</v>
      </c>
      <c r="O79" s="540">
        <v>1</v>
      </c>
      <c r="P79" s="446"/>
      <c r="Q79" s="304">
        <v>95374</v>
      </c>
      <c r="R79" s="574" t="s">
        <v>409</v>
      </c>
      <c r="S79" s="609" t="s">
        <v>410</v>
      </c>
      <c r="T79" s="674">
        <v>45869</v>
      </c>
      <c r="U79" s="679">
        <v>14931.912711651916</v>
      </c>
      <c r="V79" s="887"/>
      <c r="W79" s="524">
        <v>45930</v>
      </c>
      <c r="X79" s="874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4"/>
      <c r="J80" s="884"/>
      <c r="K80" s="277"/>
      <c r="L80" s="275">
        <v>5</v>
      </c>
      <c r="M80" s="687" t="s">
        <v>395</v>
      </c>
      <c r="N80" s="302" t="s">
        <v>411</v>
      </c>
      <c r="O80" s="540"/>
      <c r="P80" s="446"/>
      <c r="Q80" s="304">
        <v>15921</v>
      </c>
      <c r="R80" s="574" t="s">
        <v>412</v>
      </c>
      <c r="S80" s="609" t="s">
        <v>413</v>
      </c>
      <c r="T80" s="674">
        <v>45869</v>
      </c>
      <c r="U80" s="679">
        <v>2492.6183475812081</v>
      </c>
      <c r="V80" s="887"/>
      <c r="W80" s="524">
        <f>T80+30</f>
        <v>45899</v>
      </c>
      <c r="X80" s="874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4"/>
      <c r="J81" s="884"/>
      <c r="K81" s="277"/>
      <c r="L81" s="275">
        <v>5</v>
      </c>
      <c r="M81" s="687" t="s">
        <v>395</v>
      </c>
      <c r="N81" s="302" t="s">
        <v>206</v>
      </c>
      <c r="O81" s="540"/>
      <c r="P81" s="446"/>
      <c r="Q81" s="304">
        <v>83760</v>
      </c>
      <c r="R81" s="574" t="s">
        <v>414</v>
      </c>
      <c r="S81" s="609" t="s">
        <v>415</v>
      </c>
      <c r="T81" s="751">
        <v>46022</v>
      </c>
      <c r="U81" s="757">
        <v>17237.103282812757</v>
      </c>
      <c r="V81" s="887"/>
      <c r="W81" s="756">
        <v>46037</v>
      </c>
      <c r="X81" s="874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4"/>
      <c r="J82" s="884"/>
      <c r="K82" s="277"/>
      <c r="L82" s="275">
        <v>5</v>
      </c>
      <c r="M82" s="687" t="s">
        <v>395</v>
      </c>
      <c r="N82" s="302" t="s">
        <v>423</v>
      </c>
      <c r="O82" s="540"/>
      <c r="P82" s="446"/>
      <c r="Q82" s="304">
        <v>1980</v>
      </c>
      <c r="R82" s="574"/>
      <c r="S82" s="609" t="s">
        <v>424</v>
      </c>
      <c r="T82" s="674">
        <v>46053</v>
      </c>
      <c r="U82" s="757">
        <v>562.22433163430321</v>
      </c>
      <c r="V82" s="887"/>
      <c r="W82" s="756">
        <v>46053</v>
      </c>
      <c r="X82" s="874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4"/>
      <c r="J83" s="884"/>
      <c r="K83" s="277"/>
      <c r="L83" s="275">
        <v>5</v>
      </c>
      <c r="M83" s="687" t="s">
        <v>395</v>
      </c>
      <c r="N83" s="302"/>
      <c r="O83" s="540"/>
      <c r="P83" s="446"/>
      <c r="Q83" s="304">
        <v>-1980</v>
      </c>
      <c r="R83" s="574"/>
      <c r="S83" s="609" t="s">
        <v>416</v>
      </c>
      <c r="T83" s="751">
        <v>46053</v>
      </c>
      <c r="U83" s="757"/>
      <c r="V83" s="887"/>
      <c r="W83" s="756">
        <v>46053</v>
      </c>
      <c r="X83" s="874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24"/>
      <c r="I84" s="884"/>
      <c r="J84" s="884"/>
      <c r="K84" s="277"/>
      <c r="L84" s="275">
        <v>5</v>
      </c>
      <c r="M84" s="687" t="s">
        <v>395</v>
      </c>
      <c r="N84" s="302" t="s">
        <v>417</v>
      </c>
      <c r="O84" s="540">
        <v>1</v>
      </c>
      <c r="P84" s="446"/>
      <c r="Q84" s="304">
        <v>1060</v>
      </c>
      <c r="R84" s="574" t="s">
        <v>418</v>
      </c>
      <c r="S84" s="609" t="s">
        <v>419</v>
      </c>
      <c r="T84" s="674">
        <v>45930</v>
      </c>
      <c r="U84" s="757">
        <v>335.81690215918718</v>
      </c>
      <c r="V84" s="887"/>
      <c r="W84" s="524">
        <v>45904</v>
      </c>
      <c r="X84" s="874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4"/>
      <c r="J85" s="884"/>
      <c r="K85" s="277"/>
      <c r="L85" s="275">
        <v>5</v>
      </c>
      <c r="M85" s="687" t="s">
        <v>395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87"/>
      <c r="W85" s="560"/>
      <c r="X85" s="874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4"/>
      <c r="J86" s="884"/>
      <c r="K86" s="277"/>
      <c r="L86" s="275">
        <v>5</v>
      </c>
      <c r="M86" s="687" t="s">
        <v>395</v>
      </c>
      <c r="N86" s="302" t="s">
        <v>420</v>
      </c>
      <c r="O86" s="540"/>
      <c r="P86" s="446"/>
      <c r="Q86" s="304">
        <v>11169</v>
      </c>
      <c r="R86" s="574"/>
      <c r="S86" s="609" t="s">
        <v>421</v>
      </c>
      <c r="T86" s="751">
        <v>45961</v>
      </c>
      <c r="U86" s="757">
        <v>3469.3217718440114</v>
      </c>
      <c r="V86" s="887"/>
      <c r="W86" s="524">
        <v>45974</v>
      </c>
      <c r="X86" s="874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4"/>
      <c r="J87" s="884"/>
      <c r="K87" s="277"/>
      <c r="L87" s="275">
        <v>5</v>
      </c>
      <c r="M87" s="687" t="s">
        <v>395</v>
      </c>
      <c r="N87" s="302" t="s">
        <v>407</v>
      </c>
      <c r="O87" s="540"/>
      <c r="P87" s="446"/>
      <c r="Q87" s="304">
        <v>308.98</v>
      </c>
      <c r="R87" s="574"/>
      <c r="S87" s="574" t="s">
        <v>422</v>
      </c>
      <c r="T87" s="751">
        <v>45961</v>
      </c>
      <c r="U87" s="757">
        <v>97.749104563019316</v>
      </c>
      <c r="V87" s="887"/>
      <c r="W87" s="524">
        <v>45991</v>
      </c>
      <c r="X87" s="874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4"/>
      <c r="J88" s="884"/>
      <c r="K88" s="277"/>
      <c r="L88" s="275">
        <v>5</v>
      </c>
      <c r="M88" s="687" t="s">
        <v>395</v>
      </c>
      <c r="N88" s="302"/>
      <c r="O88" s="540"/>
      <c r="P88" s="446"/>
      <c r="Q88" s="304"/>
      <c r="R88" s="574"/>
      <c r="S88" s="609"/>
      <c r="T88" s="674"/>
      <c r="U88" s="757"/>
      <c r="V88" s="887"/>
      <c r="W88" s="560"/>
      <c r="X88" s="874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4"/>
      <c r="J89" s="884"/>
      <c r="K89" s="277"/>
      <c r="L89" s="275">
        <v>5</v>
      </c>
      <c r="M89" s="687" t="s">
        <v>395</v>
      </c>
      <c r="N89" s="302" t="s">
        <v>425</v>
      </c>
      <c r="O89" s="540"/>
      <c r="P89" s="446"/>
      <c r="Q89" s="304">
        <v>3170</v>
      </c>
      <c r="R89" s="574"/>
      <c r="S89" s="609" t="s">
        <v>426</v>
      </c>
      <c r="T89" s="674">
        <v>46053</v>
      </c>
      <c r="U89" s="757">
        <v>7.42</v>
      </c>
      <c r="V89" s="887"/>
      <c r="W89" s="560">
        <v>46081</v>
      </c>
      <c r="X89" s="874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4"/>
      <c r="J90" s="884"/>
      <c r="K90" s="277"/>
      <c r="L90" s="275">
        <v>5</v>
      </c>
      <c r="M90" s="687" t="s">
        <v>395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87"/>
      <c r="W90" s="560"/>
      <c r="X90" s="874"/>
      <c r="Y90" s="472"/>
    </row>
    <row r="91" spans="1:25" ht="14.25" customHeight="1">
      <c r="B91" s="275"/>
      <c r="C91" s="299"/>
      <c r="D91" s="302"/>
      <c r="E91" s="303"/>
      <c r="F91" s="446"/>
      <c r="G91" s="304"/>
      <c r="H91" s="560"/>
      <c r="I91" s="884"/>
      <c r="J91" s="884"/>
      <c r="K91" s="277"/>
      <c r="L91" s="275">
        <v>5</v>
      </c>
      <c r="M91" s="687" t="s">
        <v>395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87"/>
      <c r="W91" s="560"/>
      <c r="X91" s="874"/>
      <c r="Y91" s="472"/>
    </row>
    <row r="92" spans="1:25" ht="14.25" customHeight="1">
      <c r="B92" s="300">
        <v>5</v>
      </c>
      <c r="C92" s="301"/>
      <c r="D92" s="302"/>
      <c r="E92" s="303"/>
      <c r="F92" s="446"/>
      <c r="G92" s="304"/>
      <c r="H92" s="560"/>
      <c r="I92" s="884"/>
      <c r="J92" s="884"/>
      <c r="K92" s="277"/>
      <c r="L92" s="300">
        <v>5</v>
      </c>
      <c r="M92" s="687" t="s">
        <v>395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87"/>
      <c r="W92" s="560"/>
      <c r="X92" s="874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4"/>
      <c r="J93" s="884"/>
      <c r="K93" s="277"/>
      <c r="L93" s="300">
        <v>5</v>
      </c>
      <c r="M93" s="687" t="s">
        <v>395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87"/>
      <c r="W93" s="561"/>
      <c r="X93" s="874"/>
      <c r="Y93" s="472"/>
    </row>
    <row r="94" spans="1:25" ht="14.25" customHeight="1">
      <c r="B94" s="372">
        <v>5</v>
      </c>
      <c r="C94" s="373"/>
      <c r="D94" s="376"/>
      <c r="E94" s="395"/>
      <c r="F94" s="431"/>
      <c r="G94" s="375"/>
      <c r="H94" s="561"/>
      <c r="I94" s="884"/>
      <c r="J94" s="884"/>
      <c r="K94" s="277"/>
      <c r="L94" s="300">
        <v>5</v>
      </c>
      <c r="M94" s="687" t="s">
        <v>395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87"/>
      <c r="W94" s="561"/>
      <c r="X94" s="874"/>
      <c r="Y94" s="472"/>
    </row>
    <row r="95" spans="1:25" ht="15" customHeight="1" thickBot="1">
      <c r="B95" s="305">
        <v>5</v>
      </c>
      <c r="C95" s="326"/>
      <c r="D95" s="306"/>
      <c r="E95" s="307"/>
      <c r="F95" s="447"/>
      <c r="G95" s="319"/>
      <c r="H95" s="562"/>
      <c r="I95" s="885"/>
      <c r="J95" s="885"/>
      <c r="K95" s="278"/>
      <c r="L95" s="305">
        <v>5</v>
      </c>
      <c r="M95" s="412" t="s">
        <v>395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88"/>
      <c r="W95" s="562"/>
      <c r="X95" s="875"/>
      <c r="Y95" s="472"/>
    </row>
    <row r="96" spans="1:25" ht="14.4" thickBot="1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>
      <c r="B97" s="282">
        <v>6</v>
      </c>
      <c r="C97" s="283" t="s">
        <v>317</v>
      </c>
      <c r="D97" s="284" t="s">
        <v>427</v>
      </c>
      <c r="E97" s="465"/>
      <c r="F97" s="444"/>
      <c r="G97" s="285">
        <f>D382</f>
        <v>2941866.9</v>
      </c>
      <c r="H97" s="564">
        <f>H98</f>
        <v>45901</v>
      </c>
      <c r="I97" s="867">
        <f>SUM(G97:G121)</f>
        <v>2941866.9</v>
      </c>
      <c r="J97" s="867">
        <f>F382</f>
        <v>3178997.0514993835</v>
      </c>
      <c r="K97" s="286"/>
      <c r="L97" s="282">
        <v>6</v>
      </c>
      <c r="M97" s="418" t="s">
        <v>428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876">
        <f>J97-SUM(U97:U121)</f>
        <v>2.9870779253542423E-3</v>
      </c>
      <c r="W97" s="564"/>
      <c r="X97" s="870">
        <f>SUM(Q97:Q121)</f>
        <v>2401487</v>
      </c>
      <c r="Y97" s="472"/>
    </row>
    <row r="98" spans="2:25" ht="14.25" customHeight="1">
      <c r="B98" s="287">
        <v>6</v>
      </c>
      <c r="C98" s="397"/>
      <c r="D98" s="430"/>
      <c r="E98" s="383"/>
      <c r="F98" s="440"/>
      <c r="G98" s="310"/>
      <c r="H98" s="528">
        <v>45901</v>
      </c>
      <c r="I98" s="868"/>
      <c r="J98" s="868"/>
      <c r="K98" s="290"/>
      <c r="L98" s="287">
        <v>6</v>
      </c>
      <c r="M98" s="416" t="s">
        <v>428</v>
      </c>
      <c r="N98" s="430" t="s">
        <v>429</v>
      </c>
      <c r="O98" s="545"/>
      <c r="P98" s="440">
        <f>Q98/20</f>
        <v>27122.75</v>
      </c>
      <c r="Q98" s="310">
        <v>542455</v>
      </c>
      <c r="R98" s="579" t="s">
        <v>430</v>
      </c>
      <c r="S98" s="614" t="s">
        <v>431</v>
      </c>
      <c r="T98" s="672">
        <v>45869</v>
      </c>
      <c r="U98" s="681">
        <v>819376.53083841596</v>
      </c>
      <c r="V98" s="877"/>
      <c r="W98" s="528">
        <v>45901</v>
      </c>
      <c r="X98" s="871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68"/>
      <c r="J99" s="868"/>
      <c r="K99" s="290"/>
      <c r="L99" s="287">
        <v>6</v>
      </c>
      <c r="M99" s="416" t="s">
        <v>428</v>
      </c>
      <c r="N99" s="430"/>
      <c r="O99" s="545"/>
      <c r="P99" s="440"/>
      <c r="Q99" s="310"/>
      <c r="R99" s="579"/>
      <c r="S99" s="614"/>
      <c r="T99" s="514"/>
      <c r="U99" s="498"/>
      <c r="V99" s="877"/>
      <c r="W99" s="565"/>
      <c r="X99" s="871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68"/>
      <c r="J100" s="868"/>
      <c r="K100" s="290"/>
      <c r="L100" s="287">
        <v>6</v>
      </c>
      <c r="M100" s="416" t="s">
        <v>428</v>
      </c>
      <c r="N100" s="430" t="s">
        <v>432</v>
      </c>
      <c r="O100" s="545"/>
      <c r="P100" s="440"/>
      <c r="Q100" s="310">
        <v>111600</v>
      </c>
      <c r="R100" s="579"/>
      <c r="S100" s="614" t="s">
        <v>433</v>
      </c>
      <c r="T100" s="672">
        <v>46022</v>
      </c>
      <c r="U100" s="498"/>
      <c r="V100" s="877"/>
      <c r="W100" s="528">
        <v>46051</v>
      </c>
      <c r="X100" s="871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68"/>
      <c r="J101" s="868"/>
      <c r="K101" s="290"/>
      <c r="L101" s="287">
        <v>6</v>
      </c>
      <c r="M101" s="416" t="s">
        <v>428</v>
      </c>
      <c r="N101" s="430" t="s">
        <v>434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877"/>
      <c r="W101" s="565"/>
      <c r="X101" s="871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65"/>
      <c r="I102" s="868"/>
      <c r="J102" s="868"/>
      <c r="K102" s="290"/>
      <c r="L102" s="287">
        <v>6</v>
      </c>
      <c r="M102" s="416" t="s">
        <v>428</v>
      </c>
      <c r="N102" s="430"/>
      <c r="O102" s="545"/>
      <c r="P102" s="440"/>
      <c r="Q102" s="310"/>
      <c r="R102" s="579"/>
      <c r="S102" s="614"/>
      <c r="T102" s="514"/>
      <c r="U102" s="498"/>
      <c r="V102" s="877"/>
      <c r="W102" s="565"/>
      <c r="X102" s="871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68"/>
      <c r="J103" s="868"/>
      <c r="K103" s="290"/>
      <c r="L103" s="287">
        <v>6</v>
      </c>
      <c r="M103" s="416" t="s">
        <v>428</v>
      </c>
      <c r="N103" s="430" t="s">
        <v>435</v>
      </c>
      <c r="O103" s="545"/>
      <c r="P103" s="440">
        <f>Q103+Q104+Q105</f>
        <v>1126388</v>
      </c>
      <c r="Q103" s="310">
        <v>602839</v>
      </c>
      <c r="R103" s="879" t="s">
        <v>436</v>
      </c>
      <c r="S103" s="614" t="s">
        <v>437</v>
      </c>
      <c r="T103" s="672">
        <v>45869</v>
      </c>
      <c r="U103" s="681">
        <v>586595.33735154092</v>
      </c>
      <c r="V103" s="877"/>
      <c r="W103" s="528">
        <v>45900</v>
      </c>
      <c r="X103" s="871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68"/>
      <c r="J104" s="868"/>
      <c r="K104" s="290"/>
      <c r="L104" s="287">
        <v>6</v>
      </c>
      <c r="M104" s="416" t="s">
        <v>428</v>
      </c>
      <c r="N104" s="430" t="s">
        <v>438</v>
      </c>
      <c r="O104" s="545"/>
      <c r="P104" s="440"/>
      <c r="Q104" s="310">
        <v>517469.18</v>
      </c>
      <c r="R104" s="882"/>
      <c r="S104" s="614" t="s">
        <v>439</v>
      </c>
      <c r="T104" s="672">
        <v>45869</v>
      </c>
      <c r="U104" s="681">
        <v>460970.25062994479</v>
      </c>
      <c r="V104" s="877"/>
      <c r="W104" s="528">
        <v>45900</v>
      </c>
      <c r="X104" s="871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28"/>
      <c r="I105" s="868"/>
      <c r="J105" s="868"/>
      <c r="K105" s="290"/>
      <c r="L105" s="287">
        <v>6</v>
      </c>
      <c r="M105" s="416" t="s">
        <v>428</v>
      </c>
      <c r="N105" s="430" t="s">
        <v>440</v>
      </c>
      <c r="O105" s="545"/>
      <c r="P105" s="440"/>
      <c r="Q105" s="310">
        <v>6079.82</v>
      </c>
      <c r="R105" s="880"/>
      <c r="S105" s="614" t="s">
        <v>441</v>
      </c>
      <c r="T105" s="672">
        <v>45869</v>
      </c>
      <c r="U105" s="681">
        <v>5915.9975780210725</v>
      </c>
      <c r="V105" s="877"/>
      <c r="W105" s="528">
        <v>45900</v>
      </c>
      <c r="X105" s="871"/>
      <c r="Y105" s="472"/>
    </row>
    <row r="106" spans="2:25" ht="14.25" customHeight="1">
      <c r="B106" s="287"/>
      <c r="C106" s="397"/>
      <c r="D106" s="430"/>
      <c r="E106" s="383"/>
      <c r="F106" s="440"/>
      <c r="G106" s="310"/>
      <c r="H106" s="565"/>
      <c r="I106" s="868"/>
      <c r="J106" s="868"/>
      <c r="K106" s="290"/>
      <c r="L106" s="287">
        <v>6</v>
      </c>
      <c r="M106" s="416" t="s">
        <v>428</v>
      </c>
      <c r="N106" s="430"/>
      <c r="O106" s="545"/>
      <c r="P106" s="440"/>
      <c r="Q106" s="310"/>
      <c r="R106" s="579"/>
      <c r="S106" s="614"/>
      <c r="T106" s="514"/>
      <c r="U106" s="498"/>
      <c r="V106" s="877"/>
      <c r="W106" s="565"/>
      <c r="X106" s="871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68"/>
      <c r="J107" s="868"/>
      <c r="K107" s="290"/>
      <c r="L107" s="287">
        <v>6</v>
      </c>
      <c r="M107" s="416" t="s">
        <v>428</v>
      </c>
      <c r="N107" s="430" t="s">
        <v>442</v>
      </c>
      <c r="O107" s="545"/>
      <c r="P107" s="440"/>
      <c r="Q107" s="310">
        <v>51044</v>
      </c>
      <c r="R107" s="579"/>
      <c r="S107" s="614" t="s">
        <v>443</v>
      </c>
      <c r="T107" s="672">
        <v>45991</v>
      </c>
      <c r="U107" s="498" t="s">
        <v>104</v>
      </c>
      <c r="V107" s="877"/>
      <c r="W107" s="528">
        <v>46029</v>
      </c>
      <c r="X107" s="871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68"/>
      <c r="J108" s="868"/>
      <c r="K108" s="290"/>
      <c r="L108" s="287">
        <v>6</v>
      </c>
      <c r="M108" s="416" t="s">
        <v>428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877"/>
      <c r="W108" s="565"/>
      <c r="X108" s="871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68"/>
      <c r="J109" s="868"/>
      <c r="K109" s="290"/>
      <c r="L109" s="287">
        <v>6</v>
      </c>
      <c r="M109" s="416" t="s">
        <v>428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877"/>
      <c r="W109" s="565"/>
      <c r="X109" s="871"/>
      <c r="Y109" s="472"/>
    </row>
    <row r="110" spans="2:25" ht="14.25" customHeight="1">
      <c r="B110" s="287">
        <v>6</v>
      </c>
      <c r="C110" s="397"/>
      <c r="D110" s="430"/>
      <c r="E110" s="383"/>
      <c r="F110" s="440"/>
      <c r="G110" s="310"/>
      <c r="H110" s="565"/>
      <c r="I110" s="868"/>
      <c r="J110" s="868"/>
      <c r="K110" s="290"/>
      <c r="L110" s="287">
        <v>6</v>
      </c>
      <c r="M110" s="416" t="s">
        <v>428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877"/>
      <c r="W110" s="565"/>
      <c r="X110" s="871"/>
      <c r="Y110" s="472"/>
    </row>
    <row r="111" spans="2:25" ht="14.25" customHeight="1">
      <c r="B111" s="287">
        <v>6</v>
      </c>
      <c r="C111" s="437"/>
      <c r="D111" s="288"/>
      <c r="E111" s="388"/>
      <c r="F111" s="441"/>
      <c r="G111" s="310"/>
      <c r="H111" s="528"/>
      <c r="I111" s="868"/>
      <c r="J111" s="868"/>
      <c r="K111" s="290"/>
      <c r="L111" s="287">
        <v>6</v>
      </c>
      <c r="M111" s="416" t="s">
        <v>428</v>
      </c>
      <c r="N111" s="397" t="s">
        <v>383</v>
      </c>
      <c r="O111" s="555">
        <f>AC23/2</f>
        <v>275000</v>
      </c>
      <c r="P111" s="556">
        <v>0.5</v>
      </c>
      <c r="Q111" s="289">
        <f>$O$111*P111</f>
        <v>137500</v>
      </c>
      <c r="R111" s="879" t="s">
        <v>384</v>
      </c>
      <c r="S111" s="614" t="s">
        <v>385</v>
      </c>
      <c r="T111" s="672">
        <v>45838</v>
      </c>
      <c r="U111" s="681">
        <v>136570.21466011828</v>
      </c>
      <c r="V111" s="877"/>
      <c r="W111" s="528">
        <f>W67</f>
        <v>45834</v>
      </c>
      <c r="X111" s="871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28"/>
      <c r="I112" s="868"/>
      <c r="J112" s="868"/>
      <c r="K112" s="290"/>
      <c r="L112" s="287">
        <v>6</v>
      </c>
      <c r="M112" s="417" t="s">
        <v>428</v>
      </c>
      <c r="N112" s="397" t="s">
        <v>444</v>
      </c>
      <c r="O112" s="545"/>
      <c r="P112" s="556">
        <v>0.4</v>
      </c>
      <c r="Q112" s="289">
        <f t="shared" ref="Q112:Q113" si="12">$O$111*P112</f>
        <v>110000</v>
      </c>
      <c r="R112" s="882"/>
      <c r="S112" s="614" t="s">
        <v>387</v>
      </c>
      <c r="T112" s="672">
        <v>45869</v>
      </c>
      <c r="U112" s="681">
        <v>107036.01974767643</v>
      </c>
      <c r="V112" s="877"/>
      <c r="W112" s="528">
        <f>W68</f>
        <v>45904</v>
      </c>
      <c r="X112" s="871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68"/>
      <c r="J113" s="868"/>
      <c r="K113" s="290"/>
      <c r="L113" s="287">
        <v>6</v>
      </c>
      <c r="M113" s="417" t="s">
        <v>428</v>
      </c>
      <c r="N113" s="397" t="s">
        <v>388</v>
      </c>
      <c r="O113" s="545"/>
      <c r="P113" s="556">
        <v>0.1</v>
      </c>
      <c r="Q113" s="289">
        <f t="shared" si="12"/>
        <v>27500</v>
      </c>
      <c r="R113" s="882"/>
      <c r="S113" s="614" t="s">
        <v>389</v>
      </c>
      <c r="T113" s="672">
        <f>T69</f>
        <v>45900</v>
      </c>
      <c r="U113" s="715">
        <v>39048.034594758567</v>
      </c>
      <c r="V113" s="877"/>
      <c r="W113" s="565">
        <f>W192</f>
        <v>46114</v>
      </c>
      <c r="X113" s="871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68"/>
      <c r="J114" s="868"/>
      <c r="K114" s="290"/>
      <c r="L114" s="287">
        <v>6</v>
      </c>
      <c r="M114" s="417" t="s">
        <v>428</v>
      </c>
      <c r="N114" s="397"/>
      <c r="O114" s="545"/>
      <c r="P114" s="556"/>
      <c r="Q114" s="289"/>
      <c r="R114" s="882"/>
      <c r="S114" s="614"/>
      <c r="T114" s="514" t="str">
        <f t="shared" si="5"/>
        <v/>
      </c>
      <c r="U114" s="498">
        <f>(Q114/$X$97*$J$97)</f>
        <v>0</v>
      </c>
      <c r="V114" s="877"/>
      <c r="W114" s="565"/>
      <c r="X114" s="871"/>
      <c r="Y114" s="472"/>
    </row>
    <row r="115" spans="1:25" ht="14.25" customHeight="1">
      <c r="B115" s="287">
        <v>6</v>
      </c>
      <c r="C115" s="389"/>
      <c r="D115" s="288"/>
      <c r="E115" s="388"/>
      <c r="F115" s="441"/>
      <c r="G115" s="310"/>
      <c r="H115" s="565"/>
      <c r="I115" s="868"/>
      <c r="J115" s="868"/>
      <c r="K115" s="290"/>
      <c r="L115" s="287">
        <v>6</v>
      </c>
      <c r="M115" s="417" t="s">
        <v>428</v>
      </c>
      <c r="N115" s="397"/>
      <c r="O115" s="545"/>
      <c r="P115" s="556"/>
      <c r="Q115" s="289"/>
      <c r="R115" s="882"/>
      <c r="S115" s="614"/>
      <c r="T115" s="514" t="str">
        <f t="shared" si="5"/>
        <v/>
      </c>
      <c r="U115" s="498">
        <f>(Q115/$X$97*$J$97)</f>
        <v>0</v>
      </c>
      <c r="V115" s="877"/>
      <c r="W115" s="565"/>
      <c r="X115" s="871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68"/>
      <c r="J116" s="868"/>
      <c r="K116" s="290"/>
      <c r="L116" s="287">
        <v>6</v>
      </c>
      <c r="M116" s="417" t="s">
        <v>428</v>
      </c>
      <c r="N116" s="397" t="s">
        <v>390</v>
      </c>
      <c r="O116" s="555">
        <f>AC30/2</f>
        <v>295000</v>
      </c>
      <c r="P116" s="556">
        <v>0.5</v>
      </c>
      <c r="Q116" s="289">
        <f>$O$116*P116</f>
        <v>147500</v>
      </c>
      <c r="R116" s="882"/>
      <c r="S116" s="618" t="s">
        <v>385</v>
      </c>
      <c r="T116" s="675">
        <v>45838</v>
      </c>
      <c r="U116" s="682">
        <v>146502.59390812687</v>
      </c>
      <c r="V116" s="877"/>
      <c r="W116" s="528">
        <f>W111</f>
        <v>45834</v>
      </c>
      <c r="X116" s="871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28"/>
      <c r="I117" s="868"/>
      <c r="J117" s="868"/>
      <c r="K117" s="290"/>
      <c r="L117" s="287">
        <v>6</v>
      </c>
      <c r="M117" s="417" t="s">
        <v>428</v>
      </c>
      <c r="N117" s="397" t="s">
        <v>445</v>
      </c>
      <c r="O117" s="545"/>
      <c r="P117" s="556">
        <v>0.4</v>
      </c>
      <c r="Q117" s="289">
        <f t="shared" ref="Q117:Q118" si="13">$O$116*P117</f>
        <v>118000</v>
      </c>
      <c r="R117" s="882"/>
      <c r="S117" s="618" t="s">
        <v>387</v>
      </c>
      <c r="T117" s="675">
        <v>45869</v>
      </c>
      <c r="U117" s="682">
        <v>114820.45754750744</v>
      </c>
      <c r="V117" s="877"/>
      <c r="W117" s="528">
        <f t="shared" ref="W117:W118" si="14">W112</f>
        <v>45904</v>
      </c>
      <c r="X117" s="871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5"/>
      <c r="I118" s="868"/>
      <c r="J118" s="868"/>
      <c r="K118" s="290"/>
      <c r="L118" s="287">
        <v>6</v>
      </c>
      <c r="M118" s="417" t="s">
        <v>428</v>
      </c>
      <c r="N118" s="397" t="s">
        <v>392</v>
      </c>
      <c r="O118" s="545"/>
      <c r="P118" s="556">
        <v>0.1</v>
      </c>
      <c r="Q118" s="289">
        <f t="shared" si="13"/>
        <v>29500</v>
      </c>
      <c r="R118" s="880"/>
      <c r="S118" s="618" t="s">
        <v>389</v>
      </c>
      <c r="T118" s="675">
        <f t="shared" ref="T118" si="15">T113</f>
        <v>45900</v>
      </c>
      <c r="U118" s="716">
        <v>41887.891656195548</v>
      </c>
      <c r="V118" s="877"/>
      <c r="W118" s="565">
        <f t="shared" si="14"/>
        <v>46114</v>
      </c>
      <c r="X118" s="871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68"/>
      <c r="J119" s="868"/>
      <c r="K119" s="290"/>
      <c r="L119" s="287">
        <v>6</v>
      </c>
      <c r="M119" s="417" t="s">
        <v>428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877"/>
      <c r="W119" s="568"/>
      <c r="X119" s="871"/>
      <c r="Y119" s="472"/>
    </row>
    <row r="120" spans="1:25" ht="14.25" customHeight="1">
      <c r="B120" s="287">
        <v>6</v>
      </c>
      <c r="C120" s="490"/>
      <c r="D120" s="324"/>
      <c r="E120" s="403"/>
      <c r="F120" s="448"/>
      <c r="G120" s="310"/>
      <c r="H120" s="568"/>
      <c r="I120" s="868"/>
      <c r="J120" s="868"/>
      <c r="K120" s="290"/>
      <c r="L120" s="287">
        <v>6</v>
      </c>
      <c r="M120" s="417" t="s">
        <v>428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877"/>
      <c r="W120" s="568"/>
      <c r="X120" s="871"/>
      <c r="Y120" s="472"/>
    </row>
    <row r="121" spans="1:25" ht="15" customHeight="1" thickBot="1">
      <c r="B121" s="291">
        <v>6</v>
      </c>
      <c r="C121" s="390"/>
      <c r="D121" s="293"/>
      <c r="E121" s="445"/>
      <c r="F121" s="442"/>
      <c r="G121" s="294"/>
      <c r="H121" s="566"/>
      <c r="I121" s="869"/>
      <c r="J121" s="869"/>
      <c r="K121" s="295"/>
      <c r="L121" s="291">
        <v>6</v>
      </c>
      <c r="M121" s="419" t="s">
        <v>428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878"/>
      <c r="W121" s="566"/>
      <c r="X121" s="872"/>
      <c r="Y121" s="472"/>
    </row>
    <row r="122" spans="1:25" ht="14.4" thickBot="1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>
      <c r="B123" s="369">
        <v>7</v>
      </c>
      <c r="C123" s="298" t="s">
        <v>446</v>
      </c>
      <c r="D123" s="370"/>
      <c r="E123" s="449"/>
      <c r="F123" s="455"/>
      <c r="G123" s="371"/>
      <c r="H123" s="529"/>
      <c r="I123" s="883">
        <f>D401</f>
        <v>12030860.6085</v>
      </c>
      <c r="J123" s="883">
        <f>F401</f>
        <v>12664063.798421053</v>
      </c>
      <c r="K123" s="274"/>
      <c r="L123" s="369">
        <v>7</v>
      </c>
      <c r="M123" s="649" t="s">
        <v>447</v>
      </c>
      <c r="N123" s="370" t="s">
        <v>448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896" t="s">
        <v>324</v>
      </c>
      <c r="S123" s="620" t="s">
        <v>325</v>
      </c>
      <c r="T123" s="713">
        <v>45900</v>
      </c>
      <c r="U123" s="717">
        <v>312323.78861163039</v>
      </c>
      <c r="V123" s="901">
        <f>J123-SUM(U123:U160)</f>
        <v>7.3705613613128662E-4</v>
      </c>
      <c r="W123" s="529">
        <v>45820</v>
      </c>
      <c r="X123" s="873">
        <f>SUM(Q123:Q160)</f>
        <v>7046627.6127361013</v>
      </c>
      <c r="Y123" s="472"/>
    </row>
    <row r="124" spans="1:25" ht="14.25" customHeight="1">
      <c r="B124" s="642"/>
      <c r="C124" s="643"/>
      <c r="D124" s="644"/>
      <c r="E124" s="645"/>
      <c r="F124" s="646"/>
      <c r="G124" s="647"/>
      <c r="H124" s="561"/>
      <c r="I124" s="884"/>
      <c r="J124" s="884"/>
      <c r="K124" s="277"/>
      <c r="L124" s="372">
        <v>7</v>
      </c>
      <c r="M124" s="373" t="s">
        <v>447</v>
      </c>
      <c r="N124" s="317" t="s">
        <v>448</v>
      </c>
      <c r="O124" s="650">
        <v>0.7</v>
      </c>
      <c r="P124" s="446"/>
      <c r="Q124" s="304">
        <v>408046.32</v>
      </c>
      <c r="R124" s="897"/>
      <c r="S124" s="609" t="s">
        <v>449</v>
      </c>
      <c r="T124" s="670">
        <v>45900</v>
      </c>
      <c r="U124" s="718">
        <v>731174.32693068369</v>
      </c>
      <c r="V124" s="902"/>
      <c r="W124" s="762">
        <v>45960</v>
      </c>
      <c r="X124" s="874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4"/>
      <c r="J125" s="884"/>
      <c r="K125" s="277"/>
      <c r="L125" s="372">
        <v>7</v>
      </c>
      <c r="M125" s="373" t="s">
        <v>447</v>
      </c>
      <c r="N125" s="374"/>
      <c r="O125" s="395"/>
      <c r="P125" s="431"/>
      <c r="Q125" s="375"/>
      <c r="R125" s="897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902"/>
      <c r="W125" s="561"/>
      <c r="X125" s="874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4"/>
      <c r="J126" s="884"/>
      <c r="K126" s="277"/>
      <c r="L126" s="372">
        <v>7</v>
      </c>
      <c r="M126" s="373" t="s">
        <v>447</v>
      </c>
      <c r="N126" s="374" t="s">
        <v>450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897"/>
      <c r="S126" s="610" t="s">
        <v>325</v>
      </c>
      <c r="T126" s="670">
        <v>45991</v>
      </c>
      <c r="U126" s="806">
        <v>1549556.8624156141</v>
      </c>
      <c r="V126" s="902"/>
      <c r="W126" s="525">
        <v>45820</v>
      </c>
      <c r="X126" s="874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4"/>
      <c r="J127" s="884"/>
      <c r="K127" s="277"/>
      <c r="L127" s="372">
        <v>7</v>
      </c>
      <c r="M127" s="373" t="s">
        <v>447</v>
      </c>
      <c r="N127" s="374" t="s">
        <v>451</v>
      </c>
      <c r="O127" s="632">
        <v>0.7</v>
      </c>
      <c r="P127" s="431"/>
      <c r="Q127" s="375">
        <f>P126*O127</f>
        <v>2011835.8118438995</v>
      </c>
      <c r="R127" s="897"/>
      <c r="S127" s="610" t="s">
        <v>452</v>
      </c>
      <c r="T127" s="782">
        <v>45991</v>
      </c>
      <c r="U127" s="806">
        <v>3615632.678969766</v>
      </c>
      <c r="V127" s="902"/>
      <c r="W127" s="525">
        <v>45988</v>
      </c>
      <c r="X127" s="874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25"/>
      <c r="I128" s="884"/>
      <c r="J128" s="884"/>
      <c r="K128" s="277"/>
      <c r="L128" s="372">
        <v>7</v>
      </c>
      <c r="M128" s="373" t="s">
        <v>447</v>
      </c>
      <c r="N128" s="374" t="s">
        <v>453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897"/>
      <c r="S128" s="610" t="s">
        <v>325</v>
      </c>
      <c r="T128" s="670">
        <v>45991</v>
      </c>
      <c r="U128" s="806">
        <v>133635.84769112332</v>
      </c>
      <c r="V128" s="902"/>
      <c r="W128" s="525">
        <v>45820</v>
      </c>
      <c r="X128" s="874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4"/>
      <c r="J129" s="884"/>
      <c r="K129" s="277"/>
      <c r="L129" s="372">
        <v>7</v>
      </c>
      <c r="M129" s="373" t="s">
        <v>447</v>
      </c>
      <c r="N129" s="374" t="s">
        <v>454</v>
      </c>
      <c r="O129" s="632">
        <v>0.7</v>
      </c>
      <c r="P129" s="431"/>
      <c r="Q129" s="375">
        <f>P128*O129</f>
        <v>173503.40000559998</v>
      </c>
      <c r="R129" s="897"/>
      <c r="S129" s="610" t="s">
        <v>452</v>
      </c>
      <c r="T129" s="782">
        <v>45991</v>
      </c>
      <c r="U129" s="806">
        <v>311816.97794595436</v>
      </c>
      <c r="V129" s="902"/>
      <c r="W129" s="525">
        <f>W127</f>
        <v>45988</v>
      </c>
      <c r="X129" s="874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61"/>
      <c r="I130" s="884"/>
      <c r="J130" s="884"/>
      <c r="K130" s="277"/>
      <c r="L130" s="372">
        <v>7</v>
      </c>
      <c r="M130" s="373" t="s">
        <v>447</v>
      </c>
      <c r="N130" s="374"/>
      <c r="O130" s="395"/>
      <c r="P130" s="431"/>
      <c r="Q130" s="375"/>
      <c r="R130" s="897"/>
      <c r="S130" s="610"/>
      <c r="T130" s="510" t="str">
        <f t="shared" si="16"/>
        <v/>
      </c>
      <c r="U130" s="494">
        <f t="shared" si="17"/>
        <v>0</v>
      </c>
      <c r="V130" s="902"/>
      <c r="W130" s="561"/>
      <c r="X130" s="874"/>
      <c r="Y130" s="472"/>
    </row>
    <row r="131" spans="2:25" ht="14.25" customHeight="1">
      <c r="B131" s="372"/>
      <c r="C131" s="373"/>
      <c r="D131" s="374"/>
      <c r="E131" s="395"/>
      <c r="F131" s="431"/>
      <c r="G131" s="375"/>
      <c r="H131" s="525"/>
      <c r="I131" s="884"/>
      <c r="J131" s="884"/>
      <c r="K131" s="277"/>
      <c r="L131" s="372">
        <v>7</v>
      </c>
      <c r="M131" s="373" t="s">
        <v>447</v>
      </c>
      <c r="N131" s="374" t="s">
        <v>455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897"/>
      <c r="S131" s="610" t="s">
        <v>325</v>
      </c>
      <c r="T131" s="670">
        <v>45991</v>
      </c>
      <c r="U131" s="806">
        <v>1252691.1980570836</v>
      </c>
      <c r="V131" s="902"/>
      <c r="W131" s="525">
        <v>45820</v>
      </c>
      <c r="X131" s="874"/>
      <c r="Y131" s="472"/>
    </row>
    <row r="132" spans="2:25" ht="14.25" customHeight="1">
      <c r="B132" s="372">
        <v>7</v>
      </c>
      <c r="C132" s="373"/>
      <c r="D132" s="374" t="s">
        <v>456</v>
      </c>
      <c r="E132" s="395"/>
      <c r="F132" s="431"/>
      <c r="G132" s="375">
        <v>12030860.6085</v>
      </c>
      <c r="H132" s="561">
        <v>45946</v>
      </c>
      <c r="I132" s="884"/>
      <c r="J132" s="884"/>
      <c r="K132" s="277"/>
      <c r="L132" s="372">
        <v>7</v>
      </c>
      <c r="M132" s="373" t="s">
        <v>447</v>
      </c>
      <c r="N132" s="374" t="s">
        <v>457</v>
      </c>
      <c r="O132" s="632">
        <v>0.7</v>
      </c>
      <c r="P132" s="431"/>
      <c r="Q132" s="375">
        <f>P131*O132</f>
        <v>1622406.4253438998</v>
      </c>
      <c r="R132" s="897"/>
      <c r="S132" s="610" t="s">
        <v>452</v>
      </c>
      <c r="T132" s="782">
        <f t="shared" si="16"/>
        <v>45991</v>
      </c>
      <c r="U132" s="806">
        <v>2915757.6654665284</v>
      </c>
      <c r="V132" s="902"/>
      <c r="W132" s="525">
        <f>W127</f>
        <v>45988</v>
      </c>
      <c r="X132" s="874"/>
      <c r="Y132" s="472"/>
    </row>
    <row r="133" spans="2:25" ht="14.25" customHeight="1">
      <c r="B133" s="372">
        <v>7</v>
      </c>
      <c r="C133" s="373"/>
      <c r="D133" s="374" t="s">
        <v>458</v>
      </c>
      <c r="E133" s="395"/>
      <c r="F133" s="431"/>
      <c r="G133" s="375"/>
      <c r="H133" s="561">
        <v>45946</v>
      </c>
      <c r="I133" s="884"/>
      <c r="J133" s="884"/>
      <c r="K133" s="277"/>
      <c r="L133" s="372">
        <v>7</v>
      </c>
      <c r="M133" s="373" t="s">
        <v>447</v>
      </c>
      <c r="N133" s="374" t="s">
        <v>459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897"/>
      <c r="S133" s="610" t="s">
        <v>325</v>
      </c>
      <c r="T133" s="670">
        <v>45991</v>
      </c>
      <c r="U133" s="806">
        <v>103833.41873266298</v>
      </c>
      <c r="V133" s="902"/>
      <c r="W133" s="525">
        <f>W131</f>
        <v>45820</v>
      </c>
      <c r="X133" s="874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4"/>
      <c r="J134" s="884"/>
      <c r="K134" s="277"/>
      <c r="L134" s="372">
        <v>7</v>
      </c>
      <c r="M134" s="373" t="s">
        <v>447</v>
      </c>
      <c r="N134" s="374" t="s">
        <v>460</v>
      </c>
      <c r="O134" s="632">
        <v>0.7</v>
      </c>
      <c r="P134" s="431"/>
      <c r="Q134" s="375">
        <f>P133*O134</f>
        <v>134810.01913469998</v>
      </c>
      <c r="R134" s="897"/>
      <c r="S134" s="610" t="s">
        <v>452</v>
      </c>
      <c r="T134" s="782">
        <f t="shared" si="16"/>
        <v>45991</v>
      </c>
      <c r="U134" s="806">
        <v>242277.97704288029</v>
      </c>
      <c r="V134" s="902"/>
      <c r="W134" s="525">
        <f>W132</f>
        <v>45988</v>
      </c>
      <c r="X134" s="874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4"/>
      <c r="J135" s="884"/>
      <c r="K135" s="277"/>
      <c r="L135" s="372">
        <v>7</v>
      </c>
      <c r="M135" s="373" t="s">
        <v>447</v>
      </c>
      <c r="N135" s="374"/>
      <c r="O135" s="395"/>
      <c r="P135" s="431"/>
      <c r="Q135" s="375"/>
      <c r="R135" s="897"/>
      <c r="S135" s="610"/>
      <c r="T135" s="510" t="str">
        <f t="shared" si="16"/>
        <v/>
      </c>
      <c r="U135" s="494">
        <f t="shared" si="17"/>
        <v>0</v>
      </c>
      <c r="V135" s="902"/>
      <c r="W135" s="561"/>
      <c r="X135" s="874"/>
      <c r="Y135" s="472"/>
    </row>
    <row r="136" spans="2:25" ht="14.25" customHeight="1">
      <c r="B136" s="372">
        <v>7</v>
      </c>
      <c r="C136" s="373"/>
      <c r="D136" s="374" t="s">
        <v>448</v>
      </c>
      <c r="E136" s="395"/>
      <c r="F136" s="431"/>
      <c r="G136" s="375"/>
      <c r="H136" s="525">
        <v>45820</v>
      </c>
      <c r="I136" s="884"/>
      <c r="J136" s="884"/>
      <c r="K136" s="277"/>
      <c r="L136" s="372">
        <v>7</v>
      </c>
      <c r="M136" s="373" t="s">
        <v>447</v>
      </c>
      <c r="N136" s="376" t="s">
        <v>461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897"/>
      <c r="S136" s="610" t="s">
        <v>325</v>
      </c>
      <c r="T136" s="670">
        <v>45991</v>
      </c>
      <c r="U136" s="806">
        <v>130642.50665592682</v>
      </c>
      <c r="V136" s="902"/>
      <c r="W136" s="525">
        <v>45820</v>
      </c>
      <c r="X136" s="874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4"/>
      <c r="J137" s="884"/>
      <c r="K137" s="277"/>
      <c r="L137" s="372">
        <v>7</v>
      </c>
      <c r="M137" s="373" t="s">
        <v>447</v>
      </c>
      <c r="N137" s="376" t="s">
        <v>462</v>
      </c>
      <c r="O137" s="632">
        <v>0.7</v>
      </c>
      <c r="P137" s="431"/>
      <c r="Q137" s="375">
        <f>O137*$P$136</f>
        <v>169617.05621420001</v>
      </c>
      <c r="R137" s="897"/>
      <c r="S137" s="610" t="s">
        <v>452</v>
      </c>
      <c r="T137" s="782">
        <v>45991</v>
      </c>
      <c r="U137" s="806">
        <v>304832.51553049596</v>
      </c>
      <c r="V137" s="902"/>
      <c r="W137" s="525">
        <f>W127</f>
        <v>45988</v>
      </c>
      <c r="X137" s="874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4"/>
      <c r="J138" s="884"/>
      <c r="K138" s="277"/>
      <c r="L138" s="372">
        <v>7</v>
      </c>
      <c r="M138" s="373" t="s">
        <v>447</v>
      </c>
      <c r="N138" s="376"/>
      <c r="O138" s="395"/>
      <c r="P138" s="431"/>
      <c r="Q138" s="375"/>
      <c r="R138" s="897"/>
      <c r="S138" s="610"/>
      <c r="T138" s="510" t="str">
        <f t="shared" si="16"/>
        <v/>
      </c>
      <c r="U138" s="494">
        <f t="shared" si="17"/>
        <v>0</v>
      </c>
      <c r="V138" s="902"/>
      <c r="W138" s="561"/>
      <c r="X138" s="874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25"/>
      <c r="I139" s="884"/>
      <c r="J139" s="884"/>
      <c r="K139" s="277"/>
      <c r="L139" s="372">
        <v>7</v>
      </c>
      <c r="M139" s="373" t="s">
        <v>447</v>
      </c>
      <c r="N139" s="376" t="s">
        <v>463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897"/>
      <c r="S139" s="610" t="s">
        <v>325</v>
      </c>
      <c r="T139" s="670">
        <v>45991</v>
      </c>
      <c r="U139" s="806">
        <v>49281.151326759806</v>
      </c>
      <c r="V139" s="902"/>
      <c r="W139" s="525">
        <v>45820</v>
      </c>
      <c r="X139" s="874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4"/>
      <c r="J140" s="884"/>
      <c r="K140" s="277"/>
      <c r="L140" s="372">
        <v>7</v>
      </c>
      <c r="M140" s="373" t="s">
        <v>447</v>
      </c>
      <c r="N140" s="376" t="s">
        <v>464</v>
      </c>
      <c r="O140" s="632">
        <v>0.7</v>
      </c>
      <c r="P140" s="431"/>
      <c r="Q140" s="375">
        <f>O140*$P$139</f>
        <v>63983.186092000004</v>
      </c>
      <c r="R140" s="897"/>
      <c r="S140" s="610" t="s">
        <v>452</v>
      </c>
      <c r="T140" s="782">
        <v>45991</v>
      </c>
      <c r="U140" s="806">
        <v>114989.35309577289</v>
      </c>
      <c r="V140" s="902"/>
      <c r="W140" s="525">
        <f>W127</f>
        <v>45988</v>
      </c>
      <c r="X140" s="874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4"/>
      <c r="J141" s="884"/>
      <c r="K141" s="277"/>
      <c r="L141" s="372">
        <v>7</v>
      </c>
      <c r="M141" s="373" t="s">
        <v>447</v>
      </c>
      <c r="N141" s="376"/>
      <c r="O141" s="395"/>
      <c r="P141" s="431"/>
      <c r="Q141" s="375"/>
      <c r="R141" s="897"/>
      <c r="S141" s="610"/>
      <c r="T141" s="510" t="str">
        <f t="shared" si="16"/>
        <v/>
      </c>
      <c r="U141" s="494">
        <f t="shared" si="17"/>
        <v>0</v>
      </c>
      <c r="V141" s="902"/>
      <c r="W141" s="561"/>
      <c r="X141" s="874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25"/>
      <c r="I142" s="884"/>
      <c r="J142" s="884"/>
      <c r="K142" s="277"/>
      <c r="L142" s="372">
        <v>7</v>
      </c>
      <c r="M142" s="373" t="s">
        <v>447</v>
      </c>
      <c r="N142" s="374" t="s">
        <v>465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897"/>
      <c r="S142" s="610" t="s">
        <v>325</v>
      </c>
      <c r="T142" s="670">
        <v>45991</v>
      </c>
      <c r="U142" s="806">
        <v>286664.29393912485</v>
      </c>
      <c r="V142" s="902"/>
      <c r="W142" s="525">
        <v>45820</v>
      </c>
      <c r="X142" s="874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4"/>
      <c r="J143" s="884"/>
      <c r="K143" s="277"/>
      <c r="L143" s="372">
        <v>7</v>
      </c>
      <c r="M143" s="373" t="s">
        <v>447</v>
      </c>
      <c r="N143" s="374" t="s">
        <v>466</v>
      </c>
      <c r="O143" s="632">
        <v>0.7</v>
      </c>
      <c r="P143" s="431"/>
      <c r="Q143" s="375">
        <v>338838.05</v>
      </c>
      <c r="R143" s="898"/>
      <c r="S143" s="610" t="s">
        <v>452</v>
      </c>
      <c r="T143" s="782">
        <v>45991</v>
      </c>
      <c r="U143" s="806">
        <v>608953.23527198925</v>
      </c>
      <c r="V143" s="902"/>
      <c r="W143" s="525">
        <v>45988</v>
      </c>
      <c r="X143" s="874"/>
      <c r="Y143" s="472"/>
    </row>
    <row r="144" spans="2:25" ht="14.25" customHeight="1">
      <c r="B144" s="372"/>
      <c r="C144" s="373"/>
      <c r="D144" s="374"/>
      <c r="E144" s="395"/>
      <c r="F144" s="431"/>
      <c r="G144" s="375"/>
      <c r="H144" s="561"/>
      <c r="I144" s="884"/>
      <c r="J144" s="884"/>
      <c r="K144" s="277"/>
      <c r="L144" s="372">
        <v>7</v>
      </c>
      <c r="M144" s="373" t="s">
        <v>447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902"/>
      <c r="W144" s="561"/>
      <c r="X144" s="874"/>
      <c r="Y144" s="472"/>
    </row>
    <row r="145" spans="2:25" ht="14.25" customHeight="1">
      <c r="B145" s="372">
        <v>7</v>
      </c>
      <c r="C145" s="373"/>
      <c r="D145" s="374" t="s">
        <v>467</v>
      </c>
      <c r="E145" s="395"/>
      <c r="F145" s="431"/>
      <c r="G145" s="375"/>
      <c r="H145" s="561">
        <f>H132</f>
        <v>45946</v>
      </c>
      <c r="I145" s="884"/>
      <c r="J145" s="884"/>
      <c r="K145" s="277"/>
      <c r="L145" s="372">
        <v>7</v>
      </c>
      <c r="M145" s="373" t="s">
        <v>447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902"/>
      <c r="W145" s="561"/>
      <c r="X145" s="874"/>
      <c r="Y145" s="472"/>
    </row>
    <row r="146" spans="2:25" ht="14.25" customHeight="1">
      <c r="B146" s="372">
        <v>7</v>
      </c>
      <c r="C146" s="373"/>
      <c r="D146" s="374" t="s">
        <v>468</v>
      </c>
      <c r="E146" s="395"/>
      <c r="F146" s="431"/>
      <c r="G146" s="375"/>
      <c r="H146" s="561">
        <f>H133</f>
        <v>45946</v>
      </c>
      <c r="I146" s="884"/>
      <c r="J146" s="884"/>
      <c r="K146" s="277"/>
      <c r="L146" s="372">
        <v>7</v>
      </c>
      <c r="M146" s="373" t="s">
        <v>447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902"/>
      <c r="W146" s="561"/>
      <c r="X146" s="874"/>
      <c r="Y146" s="472"/>
    </row>
    <row r="147" spans="2:25" ht="14.25" customHeight="1">
      <c r="B147" s="372">
        <v>7</v>
      </c>
      <c r="C147" s="373"/>
      <c r="D147" s="374" t="s">
        <v>469</v>
      </c>
      <c r="E147" s="395"/>
      <c r="F147" s="431"/>
      <c r="G147" s="375"/>
      <c r="H147" s="561">
        <f>H146</f>
        <v>45946</v>
      </c>
      <c r="I147" s="884"/>
      <c r="J147" s="884"/>
      <c r="K147" s="277"/>
      <c r="L147" s="372">
        <v>7</v>
      </c>
      <c r="M147" s="373" t="s">
        <v>447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902"/>
      <c r="W147" s="561"/>
      <c r="X147" s="874"/>
      <c r="Y147" s="472"/>
    </row>
    <row r="148" spans="2:25" ht="14.25" customHeight="1">
      <c r="B148" s="372"/>
      <c r="C148" s="373"/>
      <c r="D148" s="374"/>
      <c r="E148" s="395"/>
      <c r="F148" s="431"/>
      <c r="G148" s="375"/>
      <c r="H148" s="561"/>
      <c r="I148" s="884"/>
      <c r="J148" s="884"/>
      <c r="K148" s="277"/>
      <c r="L148" s="372">
        <v>7</v>
      </c>
      <c r="M148" s="373" t="s">
        <v>447</v>
      </c>
      <c r="N148" s="374"/>
      <c r="O148" s="786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902"/>
      <c r="W148" s="561"/>
      <c r="X148" s="874"/>
      <c r="Y148" s="472"/>
    </row>
    <row r="149" spans="2:25" ht="14.25" customHeight="1">
      <c r="B149" s="372"/>
      <c r="C149" s="373"/>
      <c r="D149" s="374"/>
      <c r="E149" s="395"/>
      <c r="F149" s="431"/>
      <c r="G149" s="375"/>
      <c r="H149" s="561"/>
      <c r="I149" s="884"/>
      <c r="J149" s="884"/>
      <c r="K149" s="277"/>
      <c r="L149" s="372">
        <v>7</v>
      </c>
      <c r="M149" s="373" t="s">
        <v>447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902"/>
      <c r="W149" s="561"/>
      <c r="X149" s="874"/>
      <c r="Y149" s="472"/>
    </row>
    <row r="150" spans="2:25" ht="14.25" customHeight="1">
      <c r="B150" s="372"/>
      <c r="C150" s="373"/>
      <c r="D150" s="374"/>
      <c r="E150" s="395"/>
      <c r="F150" s="431"/>
      <c r="G150" s="375"/>
      <c r="H150" s="561"/>
      <c r="I150" s="884"/>
      <c r="J150" s="884"/>
      <c r="K150" s="277"/>
      <c r="L150" s="372">
        <v>7</v>
      </c>
      <c r="M150" s="373" t="s">
        <v>447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902"/>
      <c r="W150" s="561"/>
      <c r="X150" s="874"/>
      <c r="Y150" s="472"/>
    </row>
    <row r="151" spans="2:25" ht="14.25" customHeight="1">
      <c r="B151" s="372"/>
      <c r="C151" s="373"/>
      <c r="D151" s="374"/>
      <c r="E151" s="395"/>
      <c r="F151" s="431"/>
      <c r="G151" s="375"/>
      <c r="H151" s="561"/>
      <c r="I151" s="884"/>
      <c r="J151" s="884"/>
      <c r="K151" s="277"/>
      <c r="L151" s="372">
        <v>7</v>
      </c>
      <c r="M151" s="373" t="s">
        <v>447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902"/>
      <c r="W151" s="561"/>
      <c r="X151" s="874"/>
      <c r="Y151" s="472"/>
    </row>
    <row r="152" spans="2:25" ht="14.25" customHeight="1">
      <c r="B152" s="372"/>
      <c r="C152" s="373"/>
      <c r="D152" s="374"/>
      <c r="E152" s="395"/>
      <c r="F152" s="431"/>
      <c r="G152" s="375"/>
      <c r="H152" s="561"/>
      <c r="I152" s="884"/>
      <c r="J152" s="884"/>
      <c r="K152" s="277"/>
      <c r="L152" s="372">
        <v>7</v>
      </c>
      <c r="M152" s="373" t="s">
        <v>447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2"/>
      <c r="W152" s="561"/>
      <c r="X152" s="874"/>
      <c r="Y152" s="472"/>
    </row>
    <row r="153" spans="2:25" ht="14.25" customHeight="1">
      <c r="B153" s="372"/>
      <c r="C153" s="373"/>
      <c r="D153" s="374"/>
      <c r="E153" s="395"/>
      <c r="F153" s="431"/>
      <c r="G153" s="375"/>
      <c r="H153" s="561"/>
      <c r="I153" s="884"/>
      <c r="J153" s="884"/>
      <c r="K153" s="277"/>
      <c r="L153" s="372">
        <v>7</v>
      </c>
      <c r="M153" s="373" t="s">
        <v>447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2"/>
      <c r="W153" s="561"/>
      <c r="X153" s="874"/>
      <c r="Y153" s="472"/>
    </row>
    <row r="154" spans="2:25" ht="14.25" customHeight="1">
      <c r="B154" s="372"/>
      <c r="C154" s="373"/>
      <c r="D154" s="374"/>
      <c r="E154" s="395"/>
      <c r="F154" s="431"/>
      <c r="G154" s="375"/>
      <c r="H154" s="561"/>
      <c r="I154" s="884"/>
      <c r="J154" s="884"/>
      <c r="K154" s="277"/>
      <c r="L154" s="372">
        <v>7</v>
      </c>
      <c r="M154" s="373" t="s">
        <v>447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902"/>
      <c r="W154" s="561"/>
      <c r="X154" s="874"/>
      <c r="Y154" s="472"/>
    </row>
    <row r="155" spans="2:25" ht="14.25" customHeight="1">
      <c r="B155" s="372"/>
      <c r="C155" s="373"/>
      <c r="D155" s="374"/>
      <c r="E155" s="395"/>
      <c r="F155" s="431"/>
      <c r="G155" s="375"/>
      <c r="H155" s="561"/>
      <c r="I155" s="884"/>
      <c r="J155" s="884"/>
      <c r="K155" s="277"/>
      <c r="L155" s="372">
        <v>7</v>
      </c>
      <c r="M155" s="373" t="s">
        <v>447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2"/>
      <c r="W155" s="561"/>
      <c r="X155" s="874"/>
      <c r="Y155" s="472"/>
    </row>
    <row r="156" spans="2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4"/>
      <c r="J156" s="884"/>
      <c r="K156" s="277"/>
      <c r="L156" s="372">
        <v>7</v>
      </c>
      <c r="M156" s="373" t="s">
        <v>447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902"/>
      <c r="W156" s="561"/>
      <c r="X156" s="874"/>
      <c r="Y156" s="472"/>
    </row>
    <row r="157" spans="2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4"/>
      <c r="J157" s="884"/>
      <c r="K157" s="277"/>
      <c r="L157" s="372">
        <v>7</v>
      </c>
      <c r="M157" s="373" t="s">
        <v>447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902"/>
      <c r="W157" s="561"/>
      <c r="X157" s="874"/>
      <c r="Y157" s="472"/>
    </row>
    <row r="158" spans="2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4"/>
      <c r="J158" s="884"/>
      <c r="K158" s="277"/>
      <c r="L158" s="372">
        <v>7</v>
      </c>
      <c r="M158" s="373" t="s">
        <v>447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2"/>
      <c r="W158" s="561"/>
      <c r="X158" s="874"/>
      <c r="Y158" s="472"/>
    </row>
    <row r="159" spans="2:25" ht="14.25" customHeight="1">
      <c r="B159" s="372">
        <v>7</v>
      </c>
      <c r="C159" s="373"/>
      <c r="D159" s="374"/>
      <c r="E159" s="395"/>
      <c r="F159" s="431"/>
      <c r="G159" s="375"/>
      <c r="H159" s="561"/>
      <c r="I159" s="884"/>
      <c r="J159" s="884"/>
      <c r="K159" s="277"/>
      <c r="L159" s="372">
        <v>7</v>
      </c>
      <c r="M159" s="373" t="s">
        <v>447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902"/>
      <c r="W159" s="561"/>
      <c r="X159" s="874"/>
      <c r="Y159" s="472"/>
    </row>
    <row r="160" spans="2:25" ht="15" customHeight="1" thickBot="1">
      <c r="B160" s="305">
        <v>7</v>
      </c>
      <c r="C160" s="326"/>
      <c r="D160" s="318"/>
      <c r="E160" s="307"/>
      <c r="F160" s="447"/>
      <c r="G160" s="319"/>
      <c r="H160" s="562"/>
      <c r="I160" s="885"/>
      <c r="J160" s="885"/>
      <c r="K160" s="278"/>
      <c r="L160" s="305">
        <v>7</v>
      </c>
      <c r="M160" s="326" t="s">
        <v>447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903"/>
      <c r="W160" s="562"/>
      <c r="X160" s="875"/>
      <c r="Y160" s="472"/>
    </row>
    <row r="161" spans="1:25" ht="14.4" thickBot="1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>
      <c r="B162" s="321">
        <v>8</v>
      </c>
      <c r="C162" s="283" t="s">
        <v>470</v>
      </c>
      <c r="D162" s="322"/>
      <c r="E162" s="450"/>
      <c r="F162" s="404"/>
      <c r="G162" s="323"/>
      <c r="H162" s="564"/>
      <c r="I162" s="867">
        <f>D384+D385+D386</f>
        <v>2015000</v>
      </c>
      <c r="J162" s="867">
        <f>F384+F385+F386</f>
        <v>2177419.7394080805</v>
      </c>
      <c r="K162" s="286"/>
      <c r="L162" s="321">
        <v>8</v>
      </c>
      <c r="M162" s="413" t="s">
        <v>471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910">
        <f>J162-SUM(U162:U182)</f>
        <v>47805.181889298838</v>
      </c>
      <c r="W162" s="564"/>
      <c r="X162" s="870">
        <f>SUM(Q162:Q182)</f>
        <v>2175649.81</v>
      </c>
      <c r="Y162" s="472"/>
    </row>
    <row r="163" spans="1:25" ht="14.25" customHeight="1">
      <c r="B163" s="311">
        <v>8</v>
      </c>
      <c r="C163" s="312"/>
      <c r="D163" s="324" t="s">
        <v>472</v>
      </c>
      <c r="E163" s="403"/>
      <c r="F163" s="448"/>
      <c r="G163" s="313">
        <v>25000</v>
      </c>
      <c r="H163" s="528">
        <v>45899</v>
      </c>
      <c r="I163" s="868"/>
      <c r="J163" s="868"/>
      <c r="K163" s="290"/>
      <c r="L163" s="311">
        <v>8</v>
      </c>
      <c r="M163" s="420" t="s">
        <v>471</v>
      </c>
      <c r="N163" s="324" t="s">
        <v>473</v>
      </c>
      <c r="O163" s="313">
        <v>78963</v>
      </c>
      <c r="P163" s="702">
        <v>2</v>
      </c>
      <c r="Q163" s="313">
        <f>O163*P163</f>
        <v>157926</v>
      </c>
      <c r="R163" s="579" t="s">
        <v>474</v>
      </c>
      <c r="S163" s="614" t="s">
        <v>475</v>
      </c>
      <c r="T163" s="672">
        <v>45869</v>
      </c>
      <c r="U163" s="681">
        <v>159363.64106558694</v>
      </c>
      <c r="V163" s="911"/>
      <c r="W163" s="528">
        <v>45899</v>
      </c>
      <c r="X163" s="871"/>
      <c r="Y163" s="472"/>
    </row>
    <row r="164" spans="1:25" ht="14.25" customHeight="1">
      <c r="B164" s="311">
        <v>8</v>
      </c>
      <c r="C164" s="312"/>
      <c r="D164" s="324" t="s">
        <v>476</v>
      </c>
      <c r="E164" s="403"/>
      <c r="F164" s="448"/>
      <c r="G164" s="313">
        <v>540000</v>
      </c>
      <c r="H164" s="528">
        <v>45899</v>
      </c>
      <c r="I164" s="868"/>
      <c r="J164" s="868"/>
      <c r="K164" s="290"/>
      <c r="L164" s="311">
        <v>8</v>
      </c>
      <c r="M164" s="420" t="s">
        <v>471</v>
      </c>
      <c r="N164" s="324" t="s">
        <v>477</v>
      </c>
      <c r="O164" s="403"/>
      <c r="P164" s="448"/>
      <c r="Q164" s="313">
        <v>416290</v>
      </c>
      <c r="R164" s="579" t="s">
        <v>478</v>
      </c>
      <c r="S164" s="614" t="s">
        <v>479</v>
      </c>
      <c r="T164" s="672">
        <v>45869</v>
      </c>
      <c r="U164" s="681">
        <v>373906.90512172278</v>
      </c>
      <c r="V164" s="911"/>
      <c r="W164" s="528">
        <v>45899</v>
      </c>
      <c r="X164" s="871"/>
      <c r="Y164" s="472"/>
    </row>
    <row r="165" spans="1:25" ht="14.25" customHeight="1">
      <c r="B165" s="311"/>
      <c r="C165" s="312"/>
      <c r="D165" s="324"/>
      <c r="E165" s="403"/>
      <c r="F165" s="448"/>
      <c r="G165" s="313"/>
      <c r="H165" s="528"/>
      <c r="I165" s="868"/>
      <c r="J165" s="868"/>
      <c r="K165" s="290"/>
      <c r="L165" s="311">
        <v>8</v>
      </c>
      <c r="M165" s="420" t="s">
        <v>471</v>
      </c>
      <c r="N165" s="324" t="s">
        <v>480</v>
      </c>
      <c r="O165" s="403"/>
      <c r="P165" s="448"/>
      <c r="Q165" s="313">
        <v>49639</v>
      </c>
      <c r="R165" s="579"/>
      <c r="S165" s="614" t="s">
        <v>481</v>
      </c>
      <c r="T165" s="672">
        <v>45869</v>
      </c>
      <c r="U165" s="681">
        <v>50090.876605844955</v>
      </c>
      <c r="V165" s="911"/>
      <c r="W165" s="528">
        <v>45899</v>
      </c>
      <c r="X165" s="871"/>
      <c r="Y165" s="472"/>
    </row>
    <row r="166" spans="1:25" ht="14.25" customHeight="1">
      <c r="B166" s="311"/>
      <c r="C166" s="312"/>
      <c r="D166" s="324"/>
      <c r="E166" s="403"/>
      <c r="F166" s="448"/>
      <c r="G166" s="313"/>
      <c r="H166" s="528"/>
      <c r="I166" s="868"/>
      <c r="J166" s="868"/>
      <c r="K166" s="290"/>
      <c r="L166" s="311">
        <v>8</v>
      </c>
      <c r="M166" s="420" t="s">
        <v>471</v>
      </c>
      <c r="N166" s="324" t="s">
        <v>480</v>
      </c>
      <c r="O166" s="403"/>
      <c r="P166" s="448"/>
      <c r="Q166" s="313">
        <f>-Q165</f>
        <v>-49639</v>
      </c>
      <c r="R166" s="579"/>
      <c r="S166" s="614" t="s">
        <v>481</v>
      </c>
      <c r="T166" s="672">
        <v>45900</v>
      </c>
      <c r="U166" s="498">
        <v>0</v>
      </c>
      <c r="V166" s="911"/>
      <c r="W166" s="528">
        <v>45900</v>
      </c>
      <c r="X166" s="871"/>
      <c r="Y166" s="472"/>
    </row>
    <row r="167" spans="1:25" ht="14.25" customHeight="1">
      <c r="B167" s="311"/>
      <c r="C167" s="312"/>
      <c r="D167" s="324"/>
      <c r="E167" s="403"/>
      <c r="F167" s="448"/>
      <c r="G167" s="313"/>
      <c r="H167" s="565"/>
      <c r="I167" s="868"/>
      <c r="J167" s="868"/>
      <c r="K167" s="290"/>
      <c r="L167" s="311">
        <v>8</v>
      </c>
      <c r="M167" s="420" t="s">
        <v>471</v>
      </c>
      <c r="N167" s="324" t="s">
        <v>482</v>
      </c>
      <c r="O167" s="686">
        <v>376996</v>
      </c>
      <c r="P167" s="685">
        <v>0.5</v>
      </c>
      <c r="Q167" s="313">
        <f>$O$167*P167</f>
        <v>188498</v>
      </c>
      <c r="R167" s="879" t="s">
        <v>483</v>
      </c>
      <c r="S167" s="614" t="s">
        <v>484</v>
      </c>
      <c r="T167" s="672">
        <v>45869</v>
      </c>
      <c r="U167" s="681">
        <v>190213.94585806647</v>
      </c>
      <c r="V167" s="911"/>
      <c r="W167" s="528">
        <v>45989</v>
      </c>
      <c r="X167" s="871"/>
      <c r="Y167" s="472"/>
    </row>
    <row r="168" spans="1:25" ht="14.25" customHeight="1">
      <c r="B168" s="311"/>
      <c r="C168" s="312"/>
      <c r="D168" s="324"/>
      <c r="E168" s="403"/>
      <c r="F168" s="448"/>
      <c r="G168" s="313"/>
      <c r="H168" s="565"/>
      <c r="I168" s="868"/>
      <c r="J168" s="868"/>
      <c r="K168" s="290"/>
      <c r="L168" s="311">
        <v>8</v>
      </c>
      <c r="M168" s="420" t="s">
        <v>471</v>
      </c>
      <c r="N168" s="324" t="s">
        <v>485</v>
      </c>
      <c r="O168" s="839">
        <f>O167/2</f>
        <v>188498</v>
      </c>
      <c r="P168" s="685">
        <v>0.5</v>
      </c>
      <c r="Q168" s="313">
        <f>$O$167*P168</f>
        <v>188498</v>
      </c>
      <c r="R168" s="880"/>
      <c r="S168" s="614" t="s">
        <v>484</v>
      </c>
      <c r="T168" s="672">
        <v>45869</v>
      </c>
      <c r="U168" s="681">
        <v>190213.94585806647</v>
      </c>
      <c r="V168" s="911"/>
      <c r="W168" s="528">
        <v>45989</v>
      </c>
      <c r="X168" s="871"/>
      <c r="Y168" s="472"/>
    </row>
    <row r="169" spans="1:25" ht="14.25" customHeight="1">
      <c r="B169" s="311"/>
      <c r="C169" s="312"/>
      <c r="D169" s="324"/>
      <c r="E169" s="403"/>
      <c r="F169" s="448"/>
      <c r="G169" s="313"/>
      <c r="H169" s="528"/>
      <c r="I169" s="868"/>
      <c r="J169" s="868"/>
      <c r="K169" s="290"/>
      <c r="L169" s="311">
        <v>8</v>
      </c>
      <c r="M169" s="420" t="s">
        <v>471</v>
      </c>
      <c r="N169" s="324" t="s">
        <v>476</v>
      </c>
      <c r="O169" s="403"/>
      <c r="P169" s="448"/>
      <c r="Q169" s="313">
        <v>264744.74</v>
      </c>
      <c r="R169" s="879" t="s">
        <v>486</v>
      </c>
      <c r="S169" s="614" t="s">
        <v>487</v>
      </c>
      <c r="T169" s="672">
        <v>45838</v>
      </c>
      <c r="U169" s="681">
        <v>311742.46060635644</v>
      </c>
      <c r="V169" s="911"/>
      <c r="W169" s="528">
        <v>45834</v>
      </c>
      <c r="X169" s="871"/>
      <c r="Y169" s="472"/>
    </row>
    <row r="170" spans="1:25" ht="14.25" customHeight="1">
      <c r="B170" s="311"/>
      <c r="C170" s="312"/>
      <c r="D170" s="324"/>
      <c r="E170" s="403"/>
      <c r="F170" s="448"/>
      <c r="G170" s="313"/>
      <c r="H170" s="528"/>
      <c r="I170" s="868"/>
      <c r="J170" s="868"/>
      <c r="K170" s="290"/>
      <c r="L170" s="311">
        <v>8</v>
      </c>
      <c r="M170" s="420" t="s">
        <v>471</v>
      </c>
      <c r="N170" s="324" t="s">
        <v>488</v>
      </c>
      <c r="O170" s="403"/>
      <c r="P170" s="448"/>
      <c r="Q170" s="313">
        <v>8911.2000000000007</v>
      </c>
      <c r="R170" s="882"/>
      <c r="S170" s="614" t="s">
        <v>487</v>
      </c>
      <c r="T170" s="672">
        <v>45838</v>
      </c>
      <c r="U170" s="681">
        <v>10493.124112514432</v>
      </c>
      <c r="V170" s="911"/>
      <c r="W170" s="528">
        <v>45834</v>
      </c>
      <c r="X170" s="871"/>
      <c r="Y170" s="472"/>
    </row>
    <row r="171" spans="1:25" ht="14.25" customHeight="1">
      <c r="B171" s="311"/>
      <c r="C171" s="312"/>
      <c r="D171" s="324"/>
      <c r="E171" s="403"/>
      <c r="F171" s="448"/>
      <c r="G171" s="313"/>
      <c r="H171" s="528"/>
      <c r="I171" s="868"/>
      <c r="J171" s="868"/>
      <c r="K171" s="290"/>
      <c r="L171" s="311">
        <v>8</v>
      </c>
      <c r="M171" s="420" t="s">
        <v>471</v>
      </c>
      <c r="N171" s="324" t="s">
        <v>489</v>
      </c>
      <c r="O171" s="403"/>
      <c r="P171" s="448"/>
      <c r="Q171" s="313">
        <v>500</v>
      </c>
      <c r="R171" s="880"/>
      <c r="S171" s="614" t="s">
        <v>487</v>
      </c>
      <c r="T171" s="672">
        <v>45838</v>
      </c>
      <c r="U171" s="681">
        <v>588.76044261796551</v>
      </c>
      <c r="V171" s="911"/>
      <c r="W171" s="528">
        <v>45834</v>
      </c>
      <c r="X171" s="871"/>
      <c r="Y171" s="472"/>
    </row>
    <row r="172" spans="1:25" ht="14.25" customHeight="1">
      <c r="B172" s="311"/>
      <c r="C172" s="312"/>
      <c r="D172" s="324"/>
      <c r="E172" s="403"/>
      <c r="F172" s="448"/>
      <c r="G172" s="313"/>
      <c r="H172" s="528"/>
      <c r="I172" s="868"/>
      <c r="J172" s="868"/>
      <c r="K172" s="290"/>
      <c r="L172" s="311">
        <v>8</v>
      </c>
      <c r="M172" s="420" t="s">
        <v>471</v>
      </c>
      <c r="N172" s="324" t="s">
        <v>490</v>
      </c>
      <c r="O172" s="403">
        <v>5</v>
      </c>
      <c r="P172" s="448">
        <v>2900</v>
      </c>
      <c r="Q172" s="313">
        <v>56604</v>
      </c>
      <c r="R172" s="579" t="s">
        <v>491</v>
      </c>
      <c r="S172" s="614" t="s">
        <v>492</v>
      </c>
      <c r="T172" s="672">
        <v>45900</v>
      </c>
      <c r="U172" s="715">
        <v>37374.055508281563</v>
      </c>
      <c r="V172" s="911"/>
      <c r="W172" s="528">
        <v>45897</v>
      </c>
      <c r="X172" s="871"/>
      <c r="Y172" s="472"/>
    </row>
    <row r="173" spans="1:25" ht="14.25" customHeight="1">
      <c r="B173" s="311"/>
      <c r="C173" s="312"/>
      <c r="D173" s="324"/>
      <c r="E173" s="403"/>
      <c r="F173" s="448"/>
      <c r="G173" s="313"/>
      <c r="H173" s="565"/>
      <c r="I173" s="868"/>
      <c r="J173" s="868"/>
      <c r="K173" s="290"/>
      <c r="L173" s="311">
        <v>8</v>
      </c>
      <c r="M173" s="420" t="s">
        <v>471</v>
      </c>
      <c r="N173" s="324"/>
      <c r="O173" s="403"/>
      <c r="P173" s="448"/>
      <c r="Q173" s="313"/>
      <c r="R173" s="583"/>
      <c r="S173" s="614"/>
      <c r="T173" s="514"/>
      <c r="U173" s="498"/>
      <c r="V173" s="911"/>
      <c r="W173" s="565"/>
      <c r="X173" s="871"/>
      <c r="Y173" s="472"/>
    </row>
    <row r="174" spans="1:25" ht="14.25" customHeight="1">
      <c r="B174" s="311"/>
      <c r="C174" s="312"/>
      <c r="D174" s="324"/>
      <c r="E174" s="403"/>
      <c r="F174" s="448"/>
      <c r="G174" s="313"/>
      <c r="H174" s="565"/>
      <c r="I174" s="868"/>
      <c r="J174" s="868"/>
      <c r="K174" s="290"/>
      <c r="L174" s="311">
        <v>8</v>
      </c>
      <c r="M174" s="420" t="s">
        <v>471</v>
      </c>
      <c r="N174" s="324"/>
      <c r="O174" s="403"/>
      <c r="P174" s="448"/>
      <c r="Q174" s="313"/>
      <c r="R174" s="583"/>
      <c r="S174" s="614"/>
      <c r="T174" s="514"/>
      <c r="U174" s="498"/>
      <c r="V174" s="911"/>
      <c r="W174" s="565"/>
      <c r="X174" s="871"/>
      <c r="Y174" s="472"/>
    </row>
    <row r="175" spans="1:25" ht="14.25" customHeight="1">
      <c r="B175" s="311"/>
      <c r="C175" s="312"/>
      <c r="D175" s="324"/>
      <c r="E175" s="403"/>
      <c r="F175" s="448"/>
      <c r="G175" s="313"/>
      <c r="H175" s="528"/>
      <c r="I175" s="868"/>
      <c r="J175" s="868"/>
      <c r="K175" s="290"/>
      <c r="L175" s="311">
        <v>8</v>
      </c>
      <c r="M175" s="420" t="s">
        <v>471</v>
      </c>
      <c r="N175" s="324" t="s">
        <v>493</v>
      </c>
      <c r="O175" s="686">
        <v>282770</v>
      </c>
      <c r="P175" s="685">
        <v>0.5</v>
      </c>
      <c r="Q175" s="313">
        <f>O175*P175</f>
        <v>141385</v>
      </c>
      <c r="R175" s="879" t="s">
        <v>494</v>
      </c>
      <c r="S175" s="614" t="s">
        <v>495</v>
      </c>
      <c r="T175" s="672">
        <v>45869</v>
      </c>
      <c r="U175" s="681">
        <v>142672.06408101268</v>
      </c>
      <c r="V175" s="911"/>
      <c r="W175" s="528">
        <v>45855</v>
      </c>
      <c r="X175" s="871"/>
      <c r="Y175" s="472"/>
    </row>
    <row r="176" spans="1:25" ht="14.25" customHeight="1">
      <c r="B176" s="311"/>
      <c r="C176" s="312"/>
      <c r="D176" s="324"/>
      <c r="E176" s="403"/>
      <c r="F176" s="448"/>
      <c r="G176" s="313"/>
      <c r="H176" s="528"/>
      <c r="I176" s="868"/>
      <c r="J176" s="868"/>
      <c r="K176" s="290"/>
      <c r="L176" s="311">
        <v>8</v>
      </c>
      <c r="M176" s="420" t="s">
        <v>471</v>
      </c>
      <c r="N176" s="324" t="s">
        <v>496</v>
      </c>
      <c r="O176" s="403"/>
      <c r="P176" s="685">
        <v>0.5</v>
      </c>
      <c r="Q176" s="313">
        <f>O175*P176</f>
        <v>141385</v>
      </c>
      <c r="R176" s="880"/>
      <c r="S176" s="614" t="s">
        <v>497</v>
      </c>
      <c r="T176" s="672">
        <v>45900</v>
      </c>
      <c r="U176" s="715">
        <v>139002.42023511391</v>
      </c>
      <c r="V176" s="911"/>
      <c r="W176" s="528">
        <v>45910</v>
      </c>
      <c r="X176" s="871"/>
      <c r="Y176" s="472"/>
    </row>
    <row r="177" spans="1:25" ht="14.25" customHeight="1">
      <c r="B177" s="311">
        <v>8</v>
      </c>
      <c r="C177" s="312"/>
      <c r="D177" s="324" t="s">
        <v>498</v>
      </c>
      <c r="E177" s="403"/>
      <c r="F177" s="448"/>
      <c r="G177" s="313">
        <v>250000</v>
      </c>
      <c r="H177" s="565">
        <f>H163</f>
        <v>45899</v>
      </c>
      <c r="I177" s="868"/>
      <c r="J177" s="868"/>
      <c r="K177" s="290"/>
      <c r="L177" s="311">
        <v>8</v>
      </c>
      <c r="M177" s="420" t="s">
        <v>471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911"/>
      <c r="W177" s="565"/>
      <c r="X177" s="871"/>
      <c r="Y177" s="472"/>
    </row>
    <row r="178" spans="1:25" ht="14.25" customHeight="1">
      <c r="B178" s="311">
        <v>8</v>
      </c>
      <c r="C178" s="312"/>
      <c r="D178" s="324" t="s">
        <v>499</v>
      </c>
      <c r="E178" s="403"/>
      <c r="F178" s="448"/>
      <c r="G178" s="313">
        <v>600000</v>
      </c>
      <c r="H178" s="565">
        <f>H163</f>
        <v>45899</v>
      </c>
      <c r="I178" s="868"/>
      <c r="J178" s="868"/>
      <c r="K178" s="290"/>
      <c r="L178" s="311">
        <v>8</v>
      </c>
      <c r="M178" s="420" t="s">
        <v>471</v>
      </c>
      <c r="N178" s="324" t="s">
        <v>500</v>
      </c>
      <c r="O178" s="403"/>
      <c r="P178" s="448"/>
      <c r="Q178" s="313">
        <v>9531.6</v>
      </c>
      <c r="R178" s="579" t="s">
        <v>835</v>
      </c>
      <c r="S178" s="614" t="s">
        <v>841</v>
      </c>
      <c r="T178" s="672">
        <v>46081</v>
      </c>
      <c r="U178" s="498"/>
      <c r="V178" s="911"/>
      <c r="W178" s="565">
        <f>T178+7</f>
        <v>46088</v>
      </c>
      <c r="X178" s="871"/>
      <c r="Y178" s="472"/>
    </row>
    <row r="179" spans="1:25" ht="14.25" customHeight="1">
      <c r="B179" s="311">
        <v>8</v>
      </c>
      <c r="C179" s="312"/>
      <c r="D179" s="324" t="s">
        <v>501</v>
      </c>
      <c r="E179" s="403"/>
      <c r="F179" s="448"/>
      <c r="G179" s="313">
        <v>600000</v>
      </c>
      <c r="H179" s="565">
        <f>H164</f>
        <v>45899</v>
      </c>
      <c r="I179" s="868"/>
      <c r="J179" s="868"/>
      <c r="K179" s="290"/>
      <c r="L179" s="311">
        <v>8</v>
      </c>
      <c r="M179" s="420" t="s">
        <v>471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911"/>
      <c r="W179" s="565"/>
      <c r="X179" s="871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5"/>
      <c r="I180" s="868"/>
      <c r="J180" s="868"/>
      <c r="K180" s="290"/>
      <c r="L180" s="311">
        <v>8</v>
      </c>
      <c r="M180" s="420" t="s">
        <v>471</v>
      </c>
      <c r="N180" s="324" t="s">
        <v>502</v>
      </c>
      <c r="O180" s="548"/>
      <c r="P180" s="448"/>
      <c r="Q180" s="313">
        <v>1376.27</v>
      </c>
      <c r="R180" s="579"/>
      <c r="S180" s="778" t="s">
        <v>503</v>
      </c>
      <c r="T180" s="779">
        <v>45961</v>
      </c>
      <c r="U180" s="780">
        <v>1352.2371916952748</v>
      </c>
      <c r="V180" s="911"/>
      <c r="W180" s="767">
        <v>45940</v>
      </c>
      <c r="X180" s="871"/>
      <c r="Y180" s="472"/>
    </row>
    <row r="181" spans="1:25" ht="14.25" customHeight="1">
      <c r="B181" s="311">
        <v>8</v>
      </c>
      <c r="C181" s="312"/>
      <c r="D181" s="324"/>
      <c r="E181" s="403"/>
      <c r="F181" s="448"/>
      <c r="G181" s="313"/>
      <c r="H181" s="568"/>
      <c r="I181" s="868"/>
      <c r="J181" s="868"/>
      <c r="K181" s="290"/>
      <c r="L181" s="311">
        <v>8</v>
      </c>
      <c r="M181" s="420" t="s">
        <v>471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911"/>
      <c r="W181" s="568"/>
      <c r="X181" s="871"/>
      <c r="Y181" s="472"/>
    </row>
    <row r="182" spans="1:25" ht="15" customHeight="1" thickBot="1">
      <c r="B182" s="311">
        <v>8</v>
      </c>
      <c r="C182" s="292"/>
      <c r="D182" s="293"/>
      <c r="E182" s="445"/>
      <c r="F182" s="442"/>
      <c r="G182" s="294"/>
      <c r="H182" s="566"/>
      <c r="I182" s="869"/>
      <c r="J182" s="869"/>
      <c r="K182" s="295"/>
      <c r="L182" s="291">
        <v>8</v>
      </c>
      <c r="M182" s="419" t="s">
        <v>471</v>
      </c>
      <c r="N182" s="293" t="s">
        <v>501</v>
      </c>
      <c r="O182" s="549"/>
      <c r="P182" s="442"/>
      <c r="Q182" s="294">
        <v>600000</v>
      </c>
      <c r="R182" s="696"/>
      <c r="S182" s="615" t="s">
        <v>504</v>
      </c>
      <c r="T182" s="712">
        <v>45900</v>
      </c>
      <c r="U182" s="719">
        <v>522600.12083190132</v>
      </c>
      <c r="V182" s="912"/>
      <c r="W182" s="566">
        <f>'Revenue Tracking'!P20+7</f>
        <v>46154</v>
      </c>
      <c r="X182" s="872"/>
      <c r="Y182" s="472"/>
    </row>
    <row r="183" spans="1:25" ht="22.5" customHeight="1" thickBot="1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>
      <c r="B184" s="300">
        <v>9</v>
      </c>
      <c r="C184" s="429" t="s">
        <v>505</v>
      </c>
      <c r="D184" s="316" t="s">
        <v>506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904">
        <f>SUM(G184:G226)</f>
        <v>4360411.2369999997</v>
      </c>
      <c r="J184" s="883">
        <f>F391+F392</f>
        <v>5129895.5729411766</v>
      </c>
      <c r="K184" s="277"/>
      <c r="L184" s="300">
        <v>9</v>
      </c>
      <c r="M184" s="411" t="s">
        <v>507</v>
      </c>
      <c r="N184" s="635" t="s">
        <v>508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86">
        <f>J184-SUM(U184:U226)</f>
        <v>2.478407695889473E-3</v>
      </c>
      <c r="W184" s="567"/>
      <c r="X184" s="907">
        <f>SUM(Q184:Q226)</f>
        <v>8055680</v>
      </c>
      <c r="Y184" s="472"/>
    </row>
    <row r="185" spans="1:25" ht="15" customHeight="1">
      <c r="B185" s="300">
        <v>9</v>
      </c>
      <c r="C185" s="429"/>
      <c r="D185" s="317" t="s">
        <v>509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905"/>
      <c r="J185" s="884"/>
      <c r="K185" s="277"/>
      <c r="L185" s="300">
        <v>9</v>
      </c>
      <c r="M185" s="411" t="s">
        <v>507</v>
      </c>
      <c r="N185" s="317" t="s">
        <v>510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899" t="s">
        <v>384</v>
      </c>
      <c r="S185" s="609" t="s">
        <v>385</v>
      </c>
      <c r="T185" s="670">
        <v>45838</v>
      </c>
      <c r="U185" s="679">
        <v>326447.90009625664</v>
      </c>
      <c r="V185" s="887"/>
      <c r="W185" s="524">
        <v>45834</v>
      </c>
      <c r="X185" s="908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25"/>
      <c r="I186" s="905"/>
      <c r="J186" s="884"/>
      <c r="K186" s="277"/>
      <c r="L186" s="372">
        <v>9</v>
      </c>
      <c r="M186" s="492" t="s">
        <v>507</v>
      </c>
      <c r="N186" s="374" t="s">
        <v>511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897"/>
      <c r="S186" s="610" t="s">
        <v>387</v>
      </c>
      <c r="T186" s="670">
        <v>45869</v>
      </c>
      <c r="U186" s="680">
        <v>242313.05694970069</v>
      </c>
      <c r="V186" s="887"/>
      <c r="W186" s="525">
        <v>45904</v>
      </c>
      <c r="X186" s="908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5"/>
      <c r="J187" s="884"/>
      <c r="K187" s="277"/>
      <c r="L187" s="372">
        <v>9</v>
      </c>
      <c r="M187" s="492" t="s">
        <v>507</v>
      </c>
      <c r="N187" s="374" t="s">
        <v>512</v>
      </c>
      <c r="O187" s="541"/>
      <c r="P187" s="639">
        <v>0.2</v>
      </c>
      <c r="Q187" s="776">
        <f t="shared" si="20"/>
        <v>480000</v>
      </c>
      <c r="R187" s="897"/>
      <c r="S187" s="610" t="s">
        <v>389</v>
      </c>
      <c r="T187" s="670">
        <v>45900</v>
      </c>
      <c r="U187" s="718">
        <v>242313.04694970069</v>
      </c>
      <c r="V187" s="887"/>
      <c r="W187" s="762">
        <v>45932</v>
      </c>
      <c r="X187" s="908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5"/>
      <c r="J188" s="884"/>
      <c r="K188" s="277"/>
      <c r="L188" s="372">
        <v>9</v>
      </c>
      <c r="M188" s="492" t="s">
        <v>507</v>
      </c>
      <c r="N188" s="374" t="s">
        <v>513</v>
      </c>
      <c r="O188" s="541"/>
      <c r="P188" s="639">
        <v>0.1</v>
      </c>
      <c r="Q188" s="776">
        <f t="shared" si="20"/>
        <v>240000</v>
      </c>
      <c r="R188" s="897"/>
      <c r="S188" s="610" t="s">
        <v>389</v>
      </c>
      <c r="T188" s="670">
        <v>45900</v>
      </c>
      <c r="U188" s="718">
        <v>152833.14847485034</v>
      </c>
      <c r="V188" s="887"/>
      <c r="W188" s="762">
        <v>45932</v>
      </c>
      <c r="X188" s="908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5"/>
      <c r="J189" s="884"/>
      <c r="K189" s="277"/>
      <c r="L189" s="372">
        <v>9</v>
      </c>
      <c r="M189" s="492" t="s">
        <v>507</v>
      </c>
      <c r="N189" s="829" t="s">
        <v>514</v>
      </c>
      <c r="O189" s="830"/>
      <c r="P189" s="831">
        <v>0.2</v>
      </c>
      <c r="Q189" s="832">
        <f t="shared" si="20"/>
        <v>480000</v>
      </c>
      <c r="R189" s="897"/>
      <c r="S189" s="610" t="s">
        <v>515</v>
      </c>
      <c r="T189" s="670">
        <v>46053</v>
      </c>
      <c r="U189" s="806">
        <v>305666.29694970069</v>
      </c>
      <c r="V189" s="887"/>
      <c r="W189" s="525">
        <v>46045</v>
      </c>
      <c r="X189" s="908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5"/>
      <c r="J190" s="884"/>
      <c r="K190" s="277"/>
      <c r="L190" s="372">
        <v>9</v>
      </c>
      <c r="M190" s="492" t="s">
        <v>507</v>
      </c>
      <c r="N190" s="829" t="s">
        <v>516</v>
      </c>
      <c r="O190" s="830"/>
      <c r="P190" s="831">
        <v>0.05</v>
      </c>
      <c r="Q190" s="832">
        <f t="shared" si="20"/>
        <v>120000</v>
      </c>
      <c r="R190" s="897"/>
      <c r="S190" s="610" t="s">
        <v>515</v>
      </c>
      <c r="T190" s="670">
        <v>46053</v>
      </c>
      <c r="U190" s="806">
        <v>76416.574237425171</v>
      </c>
      <c r="V190" s="887"/>
      <c r="W190" s="525">
        <f>W189</f>
        <v>46045</v>
      </c>
      <c r="X190" s="908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5"/>
      <c r="J191" s="884"/>
      <c r="K191" s="277"/>
      <c r="L191" s="372">
        <v>9</v>
      </c>
      <c r="M191" s="492" t="s">
        <v>507</v>
      </c>
      <c r="N191" s="374" t="s">
        <v>517</v>
      </c>
      <c r="O191" s="541"/>
      <c r="P191" s="639">
        <v>0.05</v>
      </c>
      <c r="Q191" s="304">
        <f t="shared" si="20"/>
        <v>120000</v>
      </c>
      <c r="R191" s="897"/>
      <c r="S191" s="610" t="s">
        <v>515</v>
      </c>
      <c r="T191" s="670">
        <v>46053</v>
      </c>
      <c r="U191" s="806">
        <v>76416.574237425171</v>
      </c>
      <c r="V191" s="887"/>
      <c r="W191" s="561">
        <f>'Project Plan'!K110+7</f>
        <v>46084</v>
      </c>
      <c r="X191" s="908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5"/>
      <c r="J192" s="884"/>
      <c r="K192" s="277"/>
      <c r="L192" s="372">
        <v>9</v>
      </c>
      <c r="M192" s="492" t="s">
        <v>507</v>
      </c>
      <c r="N192" s="374" t="s">
        <v>518</v>
      </c>
      <c r="O192" s="541"/>
      <c r="P192" s="639">
        <v>2.5000000000000001E-2</v>
      </c>
      <c r="Q192" s="304">
        <f t="shared" si="20"/>
        <v>60000</v>
      </c>
      <c r="R192" s="897"/>
      <c r="S192" s="610" t="s">
        <v>515</v>
      </c>
      <c r="T192" s="670">
        <v>46053</v>
      </c>
      <c r="U192" s="806">
        <v>38208.287118712586</v>
      </c>
      <c r="V192" s="887"/>
      <c r="W192" s="561">
        <f>W191+30</f>
        <v>46114</v>
      </c>
      <c r="X192" s="908"/>
      <c r="Y192" s="472"/>
    </row>
    <row r="193" spans="2:25" ht="15" customHeight="1">
      <c r="B193" s="372">
        <v>9</v>
      </c>
      <c r="C193" s="491"/>
      <c r="D193" s="374"/>
      <c r="E193" s="395"/>
      <c r="F193" s="431"/>
      <c r="G193" s="375"/>
      <c r="H193" s="561"/>
      <c r="I193" s="905"/>
      <c r="J193" s="884"/>
      <c r="K193" s="277"/>
      <c r="L193" s="372">
        <v>9</v>
      </c>
      <c r="M193" s="492" t="s">
        <v>507</v>
      </c>
      <c r="N193" s="374"/>
      <c r="O193" s="541"/>
      <c r="P193" s="640"/>
      <c r="Q193" s="375"/>
      <c r="R193" s="897"/>
      <c r="S193" s="610"/>
      <c r="T193" s="510"/>
      <c r="U193" s="494">
        <f t="shared" ref="U193:U194" si="21">(Q193/$X$184*$J$184)</f>
        <v>0</v>
      </c>
      <c r="V193" s="887"/>
      <c r="W193" s="561"/>
      <c r="X193" s="908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61"/>
      <c r="I194" s="905"/>
      <c r="J194" s="884"/>
      <c r="K194" s="277"/>
      <c r="L194" s="372">
        <v>9</v>
      </c>
      <c r="M194" s="492" t="s">
        <v>507</v>
      </c>
      <c r="N194" s="636" t="s">
        <v>519</v>
      </c>
      <c r="O194" s="541"/>
      <c r="P194" s="640"/>
      <c r="Q194" s="375"/>
      <c r="R194" s="897"/>
      <c r="S194" s="610"/>
      <c r="T194" s="510"/>
      <c r="U194" s="494">
        <f t="shared" si="21"/>
        <v>0</v>
      </c>
      <c r="V194" s="887"/>
      <c r="W194" s="561"/>
      <c r="X194" s="908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5"/>
      <c r="J195" s="884"/>
      <c r="K195" s="277"/>
      <c r="L195" s="372">
        <v>9</v>
      </c>
      <c r="M195" s="492" t="s">
        <v>507</v>
      </c>
      <c r="N195" s="317" t="s">
        <v>510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897"/>
      <c r="S195" s="610" t="s">
        <v>385</v>
      </c>
      <c r="T195" s="670">
        <v>45838</v>
      </c>
      <c r="U195" s="680">
        <v>204029.93756016044</v>
      </c>
      <c r="V195" s="887"/>
      <c r="W195" s="525">
        <f>W185</f>
        <v>45834</v>
      </c>
      <c r="X195" s="908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25"/>
      <c r="I196" s="905"/>
      <c r="J196" s="884"/>
      <c r="K196" s="277"/>
      <c r="L196" s="372">
        <v>9</v>
      </c>
      <c r="M196" s="492" t="s">
        <v>507</v>
      </c>
      <c r="N196" s="374" t="s">
        <v>511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897"/>
      <c r="S196" s="610" t="s">
        <v>387</v>
      </c>
      <c r="T196" s="670">
        <v>45869</v>
      </c>
      <c r="U196" s="680">
        <v>191041.43559356293</v>
      </c>
      <c r="V196" s="887"/>
      <c r="W196" s="525">
        <f>W186</f>
        <v>45904</v>
      </c>
      <c r="X196" s="908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5"/>
      <c r="J197" s="884"/>
      <c r="K197" s="277"/>
      <c r="L197" s="372">
        <v>9</v>
      </c>
      <c r="M197" s="492" t="s">
        <v>507</v>
      </c>
      <c r="N197" s="374" t="s">
        <v>512</v>
      </c>
      <c r="O197" s="541"/>
      <c r="P197" s="638">
        <f t="shared" si="22"/>
        <v>0.2</v>
      </c>
      <c r="Q197" s="720">
        <f t="shared" si="23"/>
        <v>300000</v>
      </c>
      <c r="R197" s="897"/>
      <c r="S197" s="610" t="s">
        <v>389</v>
      </c>
      <c r="T197" s="670">
        <v>45900</v>
      </c>
      <c r="U197" s="718">
        <v>191041.43559356293</v>
      </c>
      <c r="V197" s="887"/>
      <c r="W197" s="525">
        <v>46360</v>
      </c>
      <c r="X197" s="908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5"/>
      <c r="J198" s="884"/>
      <c r="K198" s="277"/>
      <c r="L198" s="372">
        <v>9</v>
      </c>
      <c r="M198" s="492" t="s">
        <v>507</v>
      </c>
      <c r="N198" s="374" t="s">
        <v>513</v>
      </c>
      <c r="O198" s="541"/>
      <c r="P198" s="638">
        <f t="shared" si="22"/>
        <v>0.1</v>
      </c>
      <c r="Q198" s="720">
        <f t="shared" si="23"/>
        <v>150000</v>
      </c>
      <c r="R198" s="897"/>
      <c r="S198" s="610" t="s">
        <v>389</v>
      </c>
      <c r="T198" s="670">
        <v>45900</v>
      </c>
      <c r="U198" s="718">
        <v>95520.717796781464</v>
      </c>
      <c r="V198" s="887"/>
      <c r="W198" s="561">
        <v>46081</v>
      </c>
      <c r="X198" s="908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5"/>
      <c r="J199" s="884"/>
      <c r="K199" s="277"/>
      <c r="L199" s="372">
        <v>9</v>
      </c>
      <c r="M199" s="492" t="s">
        <v>507</v>
      </c>
      <c r="N199" s="374" t="s">
        <v>520</v>
      </c>
      <c r="O199" s="541"/>
      <c r="P199" s="638">
        <v>0.15</v>
      </c>
      <c r="Q199" s="720">
        <f t="shared" si="23"/>
        <v>225000</v>
      </c>
      <c r="R199" s="897"/>
      <c r="S199" s="610" t="s">
        <v>389</v>
      </c>
      <c r="T199" s="670">
        <v>45900</v>
      </c>
      <c r="U199" s="718">
        <v>191041.43559356293</v>
      </c>
      <c r="V199" s="887"/>
      <c r="W199" s="525">
        <v>46009</v>
      </c>
      <c r="X199" s="908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5"/>
      <c r="J200" s="884"/>
      <c r="K200" s="277"/>
      <c r="L200" s="372"/>
      <c r="M200" s="492" t="s">
        <v>507</v>
      </c>
      <c r="N200" s="374" t="s">
        <v>521</v>
      </c>
      <c r="O200" s="541"/>
      <c r="P200" s="638">
        <v>0.05</v>
      </c>
      <c r="Q200" s="720">
        <f>O195*P200</f>
        <v>75000</v>
      </c>
      <c r="R200" s="897"/>
      <c r="S200" s="610" t="s">
        <v>389</v>
      </c>
      <c r="T200" s="670">
        <v>45900</v>
      </c>
      <c r="U200" s="718" t="s">
        <v>104</v>
      </c>
      <c r="V200" s="887"/>
      <c r="W200" s="525">
        <v>46015</v>
      </c>
      <c r="X200" s="908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5"/>
      <c r="J201" s="884"/>
      <c r="K201" s="277"/>
      <c r="L201" s="372">
        <v>9</v>
      </c>
      <c r="M201" s="492" t="s">
        <v>507</v>
      </c>
      <c r="N201" s="374" t="s">
        <v>522</v>
      </c>
      <c r="O201" s="541"/>
      <c r="P201" s="819">
        <v>3.7499999999999999E-2</v>
      </c>
      <c r="Q201" s="720">
        <f t="shared" si="23"/>
        <v>56250</v>
      </c>
      <c r="R201" s="897"/>
      <c r="S201" s="610" t="s">
        <v>389</v>
      </c>
      <c r="T201" s="670">
        <v>45900</v>
      </c>
      <c r="U201" s="718">
        <v>47760.358898390732</v>
      </c>
      <c r="V201" s="887"/>
      <c r="W201" s="525">
        <v>46009</v>
      </c>
      <c r="X201" s="908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5"/>
      <c r="J202" s="884"/>
      <c r="K202" s="277"/>
      <c r="L202" s="372"/>
      <c r="M202" s="492" t="s">
        <v>507</v>
      </c>
      <c r="N202" s="374" t="s">
        <v>523</v>
      </c>
      <c r="O202" s="541"/>
      <c r="P202" s="819">
        <v>1.2500000000000001E-2</v>
      </c>
      <c r="Q202" s="720">
        <f>O195*P202</f>
        <v>18750</v>
      </c>
      <c r="R202" s="897"/>
      <c r="S202" s="610" t="s">
        <v>389</v>
      </c>
      <c r="T202" s="670">
        <v>45900</v>
      </c>
      <c r="U202" s="718">
        <v>0</v>
      </c>
      <c r="V202" s="887"/>
      <c r="W202" s="774">
        <v>46015</v>
      </c>
      <c r="X202" s="908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5"/>
      <c r="J203" s="884"/>
      <c r="K203" s="277"/>
      <c r="L203" s="372">
        <v>9</v>
      </c>
      <c r="M203" s="492" t="s">
        <v>507</v>
      </c>
      <c r="N203" s="374" t="s">
        <v>517</v>
      </c>
      <c r="O203" s="541"/>
      <c r="P203" s="638">
        <f>P191</f>
        <v>0.05</v>
      </c>
      <c r="Q203" s="304">
        <f t="shared" si="23"/>
        <v>75000</v>
      </c>
      <c r="R203" s="897"/>
      <c r="S203" s="610" t="s">
        <v>515</v>
      </c>
      <c r="T203" s="670">
        <v>46053</v>
      </c>
      <c r="U203" s="806">
        <v>47760.358898390732</v>
      </c>
      <c r="V203" s="887"/>
      <c r="W203" s="561">
        <f>W191</f>
        <v>46084</v>
      </c>
      <c r="X203" s="908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5"/>
      <c r="J204" s="884"/>
      <c r="K204" s="277"/>
      <c r="L204" s="372">
        <v>9</v>
      </c>
      <c r="M204" s="492" t="s">
        <v>507</v>
      </c>
      <c r="N204" s="374" t="s">
        <v>518</v>
      </c>
      <c r="O204" s="541"/>
      <c r="P204" s="638">
        <f>P192</f>
        <v>2.5000000000000001E-2</v>
      </c>
      <c r="Q204" s="304">
        <f t="shared" si="23"/>
        <v>37500</v>
      </c>
      <c r="R204" s="897"/>
      <c r="S204" s="610" t="s">
        <v>515</v>
      </c>
      <c r="T204" s="670">
        <v>46053</v>
      </c>
      <c r="U204" s="806">
        <v>23880.179449195366</v>
      </c>
      <c r="V204" s="887"/>
      <c r="W204" s="561">
        <f>W203+30</f>
        <v>46114</v>
      </c>
      <c r="X204" s="908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5"/>
      <c r="J205" s="884"/>
      <c r="K205" s="277"/>
      <c r="L205" s="372">
        <v>9</v>
      </c>
      <c r="M205" s="492" t="s">
        <v>507</v>
      </c>
      <c r="N205" s="374"/>
      <c r="O205" s="541"/>
      <c r="P205" s="557"/>
      <c r="Q205" s="375"/>
      <c r="R205" s="897"/>
      <c r="S205" s="610"/>
      <c r="T205" s="510"/>
      <c r="U205" s="494"/>
      <c r="V205" s="887"/>
      <c r="W205" s="561"/>
      <c r="X205" s="908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61"/>
      <c r="I206" s="905"/>
      <c r="J206" s="884"/>
      <c r="K206" s="277"/>
      <c r="L206" s="372">
        <v>9</v>
      </c>
      <c r="M206" s="492" t="s">
        <v>507</v>
      </c>
      <c r="N206" s="636" t="s">
        <v>524</v>
      </c>
      <c r="O206" s="637"/>
      <c r="P206" s="557"/>
      <c r="Q206" s="375"/>
      <c r="R206" s="897"/>
      <c r="S206" s="610"/>
      <c r="T206" s="510"/>
      <c r="U206" s="494"/>
      <c r="V206" s="887"/>
      <c r="W206" s="561"/>
      <c r="X206" s="908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5"/>
      <c r="J207" s="884"/>
      <c r="K207" s="277"/>
      <c r="L207" s="372">
        <v>9</v>
      </c>
      <c r="M207" s="492" t="s">
        <v>507</v>
      </c>
      <c r="N207" s="317" t="s">
        <v>510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897"/>
      <c r="S207" s="610" t="s">
        <v>385</v>
      </c>
      <c r="T207" s="670">
        <v>45838</v>
      </c>
      <c r="U207" s="680">
        <v>265238.91882820858</v>
      </c>
      <c r="V207" s="887"/>
      <c r="W207" s="525">
        <f>W195</f>
        <v>45834</v>
      </c>
      <c r="X207" s="908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25"/>
      <c r="I208" s="905"/>
      <c r="J208" s="884"/>
      <c r="K208" s="277"/>
      <c r="L208" s="372">
        <v>9</v>
      </c>
      <c r="M208" s="492" t="s">
        <v>507</v>
      </c>
      <c r="N208" s="374" t="s">
        <v>511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897"/>
      <c r="S208" s="610" t="s">
        <v>387</v>
      </c>
      <c r="T208" s="670">
        <v>45869</v>
      </c>
      <c r="U208" s="680">
        <v>248353.86627163179</v>
      </c>
      <c r="V208" s="887"/>
      <c r="W208" s="525">
        <f>W196</f>
        <v>45904</v>
      </c>
      <c r="X208" s="908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5"/>
      <c r="J209" s="884"/>
      <c r="K209" s="277"/>
      <c r="L209" s="372">
        <v>9</v>
      </c>
      <c r="M209" s="492" t="s">
        <v>507</v>
      </c>
      <c r="N209" s="374" t="s">
        <v>525</v>
      </c>
      <c r="O209" s="541"/>
      <c r="P209" s="639">
        <v>0.2</v>
      </c>
      <c r="Q209" s="720">
        <f t="shared" si="24"/>
        <v>390000</v>
      </c>
      <c r="R209" s="897"/>
      <c r="S209" s="610" t="s">
        <v>389</v>
      </c>
      <c r="T209" s="670">
        <v>45900</v>
      </c>
      <c r="U209" s="718">
        <v>248353.86627163179</v>
      </c>
      <c r="V209" s="887"/>
      <c r="W209" s="774">
        <v>45995</v>
      </c>
      <c r="X209" s="908"/>
      <c r="Y209" s="472"/>
    </row>
    <row r="210" spans="2:25" ht="15" customHeight="1">
      <c r="B210" s="372"/>
      <c r="C210" s="491"/>
      <c r="D210" s="374"/>
      <c r="E210" s="395"/>
      <c r="F210" s="431"/>
      <c r="G210" s="375"/>
      <c r="H210" s="561"/>
      <c r="I210" s="905"/>
      <c r="J210" s="884"/>
      <c r="K210" s="277"/>
      <c r="L210" s="372">
        <v>9</v>
      </c>
      <c r="M210" s="492" t="s">
        <v>507</v>
      </c>
      <c r="N210" s="374" t="s">
        <v>526</v>
      </c>
      <c r="O210" s="541"/>
      <c r="P210" s="639">
        <v>0.1</v>
      </c>
      <c r="Q210" s="720">
        <f t="shared" si="24"/>
        <v>195000</v>
      </c>
      <c r="R210" s="897"/>
      <c r="S210" s="610" t="s">
        <v>389</v>
      </c>
      <c r="T210" s="670">
        <v>45900</v>
      </c>
      <c r="U210" s="718">
        <v>124176.9331358159</v>
      </c>
      <c r="V210" s="887"/>
      <c r="W210" s="525">
        <v>46009</v>
      </c>
      <c r="X210" s="908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5"/>
      <c r="J211" s="884"/>
      <c r="K211" s="277"/>
      <c r="L211" s="372">
        <v>9</v>
      </c>
      <c r="M211" s="492" t="s">
        <v>507</v>
      </c>
      <c r="N211" s="374" t="s">
        <v>527</v>
      </c>
      <c r="O211" s="541"/>
      <c r="P211" s="639">
        <v>0.1</v>
      </c>
      <c r="Q211" s="720">
        <f t="shared" si="24"/>
        <v>195000</v>
      </c>
      <c r="R211" s="897"/>
      <c r="S211" s="610" t="s">
        <v>389</v>
      </c>
      <c r="T211" s="670">
        <v>45900</v>
      </c>
      <c r="U211" s="718">
        <v>248353.86627163179</v>
      </c>
      <c r="V211" s="887"/>
      <c r="W211" s="774">
        <v>46015</v>
      </c>
      <c r="X211" s="908"/>
      <c r="Y211" s="472"/>
    </row>
    <row r="212" spans="2:25">
      <c r="B212" s="372"/>
      <c r="C212" s="491"/>
      <c r="D212" s="374"/>
      <c r="E212" s="395"/>
      <c r="F212" s="431"/>
      <c r="G212" s="375"/>
      <c r="H212" s="561"/>
      <c r="I212" s="905"/>
      <c r="J212" s="884"/>
      <c r="K212" s="277"/>
      <c r="L212" s="372">
        <v>9</v>
      </c>
      <c r="M212" s="492" t="s">
        <v>507</v>
      </c>
      <c r="N212" s="374" t="s">
        <v>527</v>
      </c>
      <c r="O212" s="541"/>
      <c r="P212" s="639">
        <v>0.1</v>
      </c>
      <c r="Q212" s="720">
        <f t="shared" si="24"/>
        <v>195000</v>
      </c>
      <c r="R212" s="897"/>
      <c r="S212" s="610" t="s">
        <v>389</v>
      </c>
      <c r="T212" s="670">
        <v>45900</v>
      </c>
      <c r="U212" s="718"/>
      <c r="V212" s="887"/>
      <c r="W212" s="525">
        <v>46051</v>
      </c>
      <c r="X212" s="908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5"/>
      <c r="J213" s="884"/>
      <c r="K213" s="277"/>
      <c r="L213" s="372">
        <v>9</v>
      </c>
      <c r="M213" s="492" t="s">
        <v>507</v>
      </c>
      <c r="N213" s="374" t="s">
        <v>528</v>
      </c>
      <c r="O213" s="541"/>
      <c r="P213" s="639">
        <v>0.05</v>
      </c>
      <c r="Q213" s="720">
        <f t="shared" si="24"/>
        <v>97500</v>
      </c>
      <c r="R213" s="897"/>
      <c r="S213" s="610" t="s">
        <v>389</v>
      </c>
      <c r="T213" s="670">
        <v>45900</v>
      </c>
      <c r="U213" s="718">
        <v>62088.466567907948</v>
      </c>
      <c r="V213" s="887"/>
      <c r="W213" s="525">
        <v>46052</v>
      </c>
      <c r="X213" s="908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5"/>
      <c r="J214" s="884"/>
      <c r="K214" s="277"/>
      <c r="L214" s="372">
        <v>9</v>
      </c>
      <c r="M214" s="492" t="s">
        <v>507</v>
      </c>
      <c r="N214" s="374" t="s">
        <v>517</v>
      </c>
      <c r="O214" s="541"/>
      <c r="P214" s="639">
        <v>0.05</v>
      </c>
      <c r="Q214" s="304">
        <f t="shared" si="24"/>
        <v>97500</v>
      </c>
      <c r="R214" s="897"/>
      <c r="S214" s="610" t="s">
        <v>515</v>
      </c>
      <c r="T214" s="670">
        <v>46053</v>
      </c>
      <c r="U214" s="806">
        <v>62088.466567907948</v>
      </c>
      <c r="V214" s="887"/>
      <c r="W214" s="561">
        <f>W191</f>
        <v>46084</v>
      </c>
      <c r="X214" s="908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5"/>
      <c r="J215" s="884"/>
      <c r="K215" s="277"/>
      <c r="L215" s="372">
        <v>9</v>
      </c>
      <c r="M215" s="492" t="s">
        <v>507</v>
      </c>
      <c r="N215" s="374" t="s">
        <v>518</v>
      </c>
      <c r="O215" s="541"/>
      <c r="P215" s="639">
        <v>2.5000000000000001E-2</v>
      </c>
      <c r="Q215" s="304">
        <f t="shared" si="24"/>
        <v>48750</v>
      </c>
      <c r="R215" s="898"/>
      <c r="S215" s="610" t="s">
        <v>515</v>
      </c>
      <c r="T215" s="670">
        <v>46053</v>
      </c>
      <c r="U215" s="806">
        <v>31044.233283953974</v>
      </c>
      <c r="V215" s="887"/>
      <c r="W215" s="561">
        <f>W214+39</f>
        <v>46123</v>
      </c>
      <c r="X215" s="908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5"/>
      <c r="J216" s="884"/>
      <c r="K216" s="277"/>
      <c r="L216" s="372">
        <v>9</v>
      </c>
      <c r="M216" s="492" t="s">
        <v>507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87"/>
      <c r="W216" s="561"/>
      <c r="X216" s="908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5"/>
      <c r="J217" s="884"/>
      <c r="K217" s="277"/>
      <c r="L217" s="372">
        <v>9</v>
      </c>
      <c r="M217" s="492" t="s">
        <v>507</v>
      </c>
      <c r="N217" s="636" t="s">
        <v>529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87"/>
      <c r="W217" s="561"/>
      <c r="X217" s="908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5"/>
      <c r="J218" s="884"/>
      <c r="K218" s="277"/>
      <c r="L218" s="372">
        <v>9</v>
      </c>
      <c r="M218" s="492" t="s">
        <v>507</v>
      </c>
      <c r="N218" s="374" t="s">
        <v>510</v>
      </c>
      <c r="O218" s="671">
        <v>2205680</v>
      </c>
      <c r="P218" s="557">
        <v>0.25</v>
      </c>
      <c r="Q218" s="375">
        <f>$O$218*P218</f>
        <v>551420</v>
      </c>
      <c r="R218" s="899" t="s">
        <v>530</v>
      </c>
      <c r="S218" s="610" t="s">
        <v>531</v>
      </c>
      <c r="T218" s="670">
        <v>45869</v>
      </c>
      <c r="U218" s="680">
        <v>351146.89471667493</v>
      </c>
      <c r="V218" s="887"/>
      <c r="W218" s="762">
        <v>45932</v>
      </c>
      <c r="X218" s="908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5"/>
      <c r="J219" s="884"/>
      <c r="K219" s="277"/>
      <c r="L219" s="372">
        <v>9</v>
      </c>
      <c r="M219" s="492" t="s">
        <v>507</v>
      </c>
      <c r="N219" s="374" t="s">
        <v>511</v>
      </c>
      <c r="O219" s="826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897"/>
      <c r="S219" s="610" t="s">
        <v>531</v>
      </c>
      <c r="T219" s="670">
        <v>45869</v>
      </c>
      <c r="U219" s="680">
        <v>351146.89471667493</v>
      </c>
      <c r="V219" s="887"/>
      <c r="W219" s="762">
        <v>45932</v>
      </c>
      <c r="X219" s="908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5"/>
      <c r="J220" s="884"/>
      <c r="K220" s="277"/>
      <c r="L220" s="372">
        <v>9</v>
      </c>
      <c r="M220" s="492" t="s">
        <v>507</v>
      </c>
      <c r="N220" s="374" t="s">
        <v>532</v>
      </c>
      <c r="O220" s="541"/>
      <c r="P220" s="557">
        <v>0.2</v>
      </c>
      <c r="Q220" s="375">
        <f t="shared" si="25"/>
        <v>441136</v>
      </c>
      <c r="R220" s="897"/>
      <c r="S220" s="610" t="s">
        <v>531</v>
      </c>
      <c r="T220" s="670">
        <v>45900</v>
      </c>
      <c r="U220" s="718">
        <v>561835.03154667979</v>
      </c>
      <c r="V220" s="887"/>
      <c r="W220" s="525">
        <v>46009</v>
      </c>
      <c r="X220" s="908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5"/>
      <c r="J221" s="884"/>
      <c r="K221" s="277"/>
      <c r="L221" s="372">
        <v>9</v>
      </c>
      <c r="M221" s="492" t="s">
        <v>507</v>
      </c>
      <c r="N221" s="374"/>
      <c r="O221" s="541"/>
      <c r="P221" s="557">
        <v>0.1</v>
      </c>
      <c r="Q221" s="375">
        <f t="shared" si="25"/>
        <v>220568</v>
      </c>
      <c r="R221" s="897"/>
      <c r="S221" s="610" t="s">
        <v>531</v>
      </c>
      <c r="T221" s="670">
        <v>45900</v>
      </c>
      <c r="U221" s="718"/>
      <c r="V221" s="887"/>
      <c r="W221" s="525">
        <v>46015</v>
      </c>
      <c r="X221" s="908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5"/>
      <c r="J222" s="884"/>
      <c r="K222" s="277"/>
      <c r="L222" s="372">
        <v>9</v>
      </c>
      <c r="M222" s="492" t="s">
        <v>507</v>
      </c>
      <c r="N222" s="374"/>
      <c r="O222" s="541"/>
      <c r="P222" s="557">
        <v>0.1</v>
      </c>
      <c r="Q222" s="375">
        <f t="shared" si="25"/>
        <v>220568</v>
      </c>
      <c r="R222" s="897"/>
      <c r="S222" s="610" t="s">
        <v>531</v>
      </c>
      <c r="T222" s="670">
        <v>45900</v>
      </c>
      <c r="U222" s="718"/>
      <c r="V222" s="887"/>
      <c r="W222" s="525">
        <v>46022</v>
      </c>
      <c r="X222" s="908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5"/>
      <c r="J223" s="884"/>
      <c r="K223" s="277"/>
      <c r="L223" s="372">
        <v>9</v>
      </c>
      <c r="M223" s="492" t="s">
        <v>507</v>
      </c>
      <c r="N223" s="374" t="s">
        <v>518</v>
      </c>
      <c r="O223" s="541"/>
      <c r="P223" s="557">
        <v>0.1</v>
      </c>
      <c r="Q223" s="375">
        <f t="shared" si="25"/>
        <v>220568</v>
      </c>
      <c r="R223" s="898"/>
      <c r="S223" s="610" t="s">
        <v>531</v>
      </c>
      <c r="T223" s="670">
        <v>45900</v>
      </c>
      <c r="U223" s="718">
        <v>123377.38788666995</v>
      </c>
      <c r="V223" s="887"/>
      <c r="W223" s="525">
        <v>46029</v>
      </c>
      <c r="X223" s="908"/>
      <c r="Y223" s="472"/>
    </row>
    <row r="224" spans="2:25" ht="15" customHeight="1">
      <c r="B224" s="372"/>
      <c r="C224" s="491"/>
      <c r="D224" s="374"/>
      <c r="E224" s="395"/>
      <c r="F224" s="431"/>
      <c r="G224" s="375"/>
      <c r="H224" s="561"/>
      <c r="I224" s="905"/>
      <c r="J224" s="884"/>
      <c r="K224" s="277"/>
      <c r="L224" s="372">
        <v>9</v>
      </c>
      <c r="M224" s="492" t="s">
        <v>507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87"/>
      <c r="W224" s="561"/>
      <c r="X224" s="908"/>
      <c r="Y224" s="472"/>
    </row>
    <row r="225" spans="1:25" ht="15" customHeight="1">
      <c r="B225" s="372">
        <v>9</v>
      </c>
      <c r="C225" s="491"/>
      <c r="D225" s="374"/>
      <c r="E225" s="395"/>
      <c r="F225" s="431"/>
      <c r="G225" s="375"/>
      <c r="H225" s="561"/>
      <c r="I225" s="905"/>
      <c r="J225" s="884"/>
      <c r="K225" s="277"/>
      <c r="L225" s="372">
        <v>9</v>
      </c>
      <c r="M225" s="492" t="s">
        <v>507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87"/>
      <c r="W225" s="561"/>
      <c r="X225" s="908"/>
      <c r="Y225" s="472"/>
    </row>
    <row r="226" spans="1:25" ht="15" customHeight="1" thickBot="1">
      <c r="B226" s="305">
        <v>9</v>
      </c>
      <c r="C226" s="425"/>
      <c r="D226" s="318"/>
      <c r="E226" s="307"/>
      <c r="F226" s="447"/>
      <c r="G226" s="319"/>
      <c r="H226" s="562"/>
      <c r="I226" s="906"/>
      <c r="J226" s="885"/>
      <c r="K226" s="278"/>
      <c r="L226" s="305">
        <v>9</v>
      </c>
      <c r="M226" s="428" t="s">
        <v>507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88"/>
      <c r="W226" s="562"/>
      <c r="X226" s="909"/>
      <c r="Y226" s="472"/>
    </row>
    <row r="227" spans="1:25" ht="14.4" thickBot="1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>
      <c r="B228" s="258">
        <v>10</v>
      </c>
      <c r="C228" s="259" t="s">
        <v>533</v>
      </c>
      <c r="D228" s="259" t="s">
        <v>333</v>
      </c>
      <c r="E228" s="260"/>
      <c r="F228" s="457"/>
      <c r="G228" s="327">
        <f>D395</f>
        <v>85000</v>
      </c>
      <c r="H228" s="570">
        <f>H229</f>
        <v>45925</v>
      </c>
      <c r="I228" s="913">
        <f>SUM(G228:G282)</f>
        <v>394304.23333333328</v>
      </c>
      <c r="J228" s="913">
        <f>F395+F398+F399+F397</f>
        <v>463887.33333333331</v>
      </c>
      <c r="K228" s="328"/>
      <c r="L228" s="258">
        <v>10</v>
      </c>
      <c r="M228" s="421" t="s">
        <v>534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919">
        <f>J228-SUM(U228:U282)</f>
        <v>5.9088593116030097E-4</v>
      </c>
      <c r="W228" s="570"/>
      <c r="X228" s="916">
        <f>SUM(Q228:Q282)</f>
        <v>936113.1100000001</v>
      </c>
      <c r="Y228" s="472"/>
    </row>
    <row r="229" spans="1:25" ht="14.25" customHeight="1">
      <c r="B229" s="329">
        <v>10</v>
      </c>
      <c r="C229" s="330"/>
      <c r="D229" s="330" t="s">
        <v>336</v>
      </c>
      <c r="E229" s="331"/>
      <c r="F229" s="458"/>
      <c r="G229" s="332">
        <f>D399</f>
        <v>133245.9</v>
      </c>
      <c r="H229" s="532">
        <v>45925</v>
      </c>
      <c r="I229" s="914"/>
      <c r="J229" s="914"/>
      <c r="K229" s="261"/>
      <c r="L229" s="329">
        <v>10</v>
      </c>
      <c r="M229" s="422" t="s">
        <v>534</v>
      </c>
      <c r="N229" s="330" t="s">
        <v>535</v>
      </c>
      <c r="O229" s="743">
        <v>82020</v>
      </c>
      <c r="P229" s="742">
        <v>0.5</v>
      </c>
      <c r="Q229" s="332">
        <f>O229*P229</f>
        <v>41010</v>
      </c>
      <c r="R229" s="587" t="s">
        <v>536</v>
      </c>
      <c r="S229" s="622" t="s">
        <v>537</v>
      </c>
      <c r="T229" s="711">
        <v>45900</v>
      </c>
      <c r="U229" s="506">
        <v>0</v>
      </c>
      <c r="V229" s="920"/>
      <c r="W229" s="532">
        <v>45925</v>
      </c>
      <c r="X229" s="917"/>
      <c r="Y229" s="472"/>
    </row>
    <row r="230" spans="1:25" ht="14.25" customHeight="1">
      <c r="B230" s="329">
        <v>10</v>
      </c>
      <c r="C230" s="330"/>
      <c r="D230" s="330" t="s">
        <v>538</v>
      </c>
      <c r="E230" s="331"/>
      <c r="F230" s="458"/>
      <c r="G230" s="332">
        <f>D398</f>
        <v>0</v>
      </c>
      <c r="H230" s="571"/>
      <c r="I230" s="914"/>
      <c r="J230" s="914"/>
      <c r="K230" s="261"/>
      <c r="L230" s="329">
        <v>10</v>
      </c>
      <c r="M230" s="422" t="s">
        <v>534</v>
      </c>
      <c r="N230" s="330"/>
      <c r="O230" s="553"/>
      <c r="P230" s="458"/>
      <c r="Q230" s="332">
        <f>O229*P229</f>
        <v>41010</v>
      </c>
      <c r="R230" s="587"/>
      <c r="S230" s="622" t="s">
        <v>537</v>
      </c>
      <c r="T230" s="676">
        <v>45900</v>
      </c>
      <c r="U230" s="506">
        <v>0</v>
      </c>
      <c r="V230" s="920"/>
      <c r="W230" s="532">
        <v>45967</v>
      </c>
      <c r="X230" s="917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4"/>
      <c r="J231" s="914"/>
      <c r="K231" s="261"/>
      <c r="L231" s="329">
        <v>10</v>
      </c>
      <c r="M231" s="422" t="s">
        <v>534</v>
      </c>
      <c r="N231" s="330"/>
      <c r="O231" s="553"/>
      <c r="P231" s="458"/>
      <c r="Q231" s="332">
        <v>41010</v>
      </c>
      <c r="R231" s="587"/>
      <c r="S231" s="622" t="s">
        <v>539</v>
      </c>
      <c r="T231" s="676">
        <v>45991</v>
      </c>
      <c r="U231" s="506">
        <v>0</v>
      </c>
      <c r="V231" s="920"/>
      <c r="W231" s="532">
        <v>46037</v>
      </c>
      <c r="X231" s="917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1"/>
      <c r="I232" s="914"/>
      <c r="J232" s="914"/>
      <c r="K232" s="261"/>
      <c r="L232" s="329">
        <v>10</v>
      </c>
      <c r="M232" s="422" t="s">
        <v>534</v>
      </c>
      <c r="N232" s="330"/>
      <c r="O232" s="553"/>
      <c r="P232" s="458"/>
      <c r="Q232" s="332">
        <v>41010</v>
      </c>
      <c r="R232" s="587"/>
      <c r="S232" s="622" t="s">
        <v>540</v>
      </c>
      <c r="T232" s="676">
        <v>46022</v>
      </c>
      <c r="U232" s="506">
        <v>0</v>
      </c>
      <c r="V232" s="920"/>
      <c r="W232" s="822">
        <v>46031</v>
      </c>
      <c r="X232" s="917"/>
      <c r="Y232" s="472"/>
    </row>
    <row r="233" spans="1:25" ht="14.25" customHeight="1">
      <c r="B233" s="329">
        <v>10</v>
      </c>
      <c r="C233" s="330"/>
      <c r="D233" s="330" t="s">
        <v>338</v>
      </c>
      <c r="E233" s="331"/>
      <c r="F233" s="458"/>
      <c r="G233" s="332">
        <f>D397</f>
        <v>176058.33333333331</v>
      </c>
      <c r="H233" s="571">
        <f>H229</f>
        <v>45925</v>
      </c>
      <c r="I233" s="914"/>
      <c r="J233" s="914"/>
      <c r="K233" s="261"/>
      <c r="L233" s="329">
        <v>10</v>
      </c>
      <c r="M233" s="422" t="s">
        <v>534</v>
      </c>
      <c r="N233" s="330" t="s">
        <v>541</v>
      </c>
      <c r="O233" s="553"/>
      <c r="P233" s="458"/>
      <c r="Q233" s="332">
        <f>41010+460</f>
        <v>41470</v>
      </c>
      <c r="R233" s="587"/>
      <c r="S233" s="622" t="s">
        <v>542</v>
      </c>
      <c r="T233" s="676">
        <v>46022</v>
      </c>
      <c r="U233" s="828">
        <v>790.55</v>
      </c>
      <c r="V233" s="920"/>
      <c r="W233" s="532">
        <v>46053</v>
      </c>
      <c r="X233" s="917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4"/>
      <c r="J234" s="914"/>
      <c r="K234" s="261"/>
      <c r="L234" s="329">
        <v>10</v>
      </c>
      <c r="M234" s="422" t="s">
        <v>534</v>
      </c>
      <c r="N234" s="330" t="s">
        <v>543</v>
      </c>
      <c r="O234" s="553"/>
      <c r="P234" s="458"/>
      <c r="Q234" s="332">
        <v>460</v>
      </c>
      <c r="R234" s="588"/>
      <c r="S234" s="622" t="s">
        <v>544</v>
      </c>
      <c r="T234" s="676">
        <v>46022</v>
      </c>
      <c r="U234" s="507">
        <v>0</v>
      </c>
      <c r="V234" s="920"/>
      <c r="W234" s="755">
        <v>46031</v>
      </c>
      <c r="X234" s="917"/>
      <c r="Y234" s="472"/>
    </row>
    <row r="235" spans="1:25" ht="14.25" customHeight="1">
      <c r="B235" s="329"/>
      <c r="C235" s="330"/>
      <c r="D235" s="330"/>
      <c r="E235" s="331"/>
      <c r="F235" s="458"/>
      <c r="G235" s="332"/>
      <c r="H235" s="572"/>
      <c r="I235" s="914"/>
      <c r="J235" s="914"/>
      <c r="K235" s="261"/>
      <c r="L235" s="329">
        <v>10</v>
      </c>
      <c r="M235" s="422" t="s">
        <v>534</v>
      </c>
      <c r="N235" s="330" t="s">
        <v>545</v>
      </c>
      <c r="O235" s="553"/>
      <c r="P235" s="458"/>
      <c r="Q235" s="332"/>
      <c r="R235" s="588"/>
      <c r="S235" s="827"/>
      <c r="T235" s="676"/>
      <c r="U235" s="507"/>
      <c r="V235" s="920"/>
      <c r="W235" s="755"/>
      <c r="X235" s="917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4"/>
      <c r="J236" s="914"/>
      <c r="K236" s="261"/>
      <c r="L236" s="329">
        <v>10</v>
      </c>
      <c r="M236" s="422" t="s">
        <v>534</v>
      </c>
      <c r="N236" s="330" t="s">
        <v>383</v>
      </c>
      <c r="O236" s="669">
        <f>AC20*0.1</f>
        <v>400000</v>
      </c>
      <c r="P236" s="559">
        <v>0.5</v>
      </c>
      <c r="Q236" s="332">
        <f>$O$236*P236</f>
        <v>200000</v>
      </c>
      <c r="R236" s="922" t="s">
        <v>384</v>
      </c>
      <c r="S236" s="623" t="s">
        <v>385</v>
      </c>
      <c r="T236" s="676">
        <v>45838</v>
      </c>
      <c r="U236" s="683">
        <v>130552.96794014869</v>
      </c>
      <c r="V236" s="920"/>
      <c r="W236" s="533">
        <v>45834</v>
      </c>
      <c r="X236" s="917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33"/>
      <c r="I237" s="914"/>
      <c r="J237" s="914"/>
      <c r="K237" s="261"/>
      <c r="L237" s="329">
        <v>10</v>
      </c>
      <c r="M237" s="422" t="s">
        <v>534</v>
      </c>
      <c r="N237" s="330" t="s">
        <v>546</v>
      </c>
      <c r="O237" s="553"/>
      <c r="P237" s="559">
        <v>0.4</v>
      </c>
      <c r="Q237" s="332">
        <f>$O$236*P237</f>
        <v>160000</v>
      </c>
      <c r="R237" s="923"/>
      <c r="S237" s="623" t="s">
        <v>387</v>
      </c>
      <c r="T237" s="676">
        <v>45869</v>
      </c>
      <c r="U237" s="683">
        <v>105639.01698453363</v>
      </c>
      <c r="V237" s="920"/>
      <c r="W237" s="533">
        <v>45904</v>
      </c>
      <c r="X237" s="917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4"/>
      <c r="J238" s="914"/>
      <c r="K238" s="261"/>
      <c r="L238" s="329">
        <v>10</v>
      </c>
      <c r="M238" s="422" t="s">
        <v>534</v>
      </c>
      <c r="N238" s="330" t="s">
        <v>547</v>
      </c>
      <c r="O238" s="553"/>
      <c r="P238" s="559">
        <v>0.1</v>
      </c>
      <c r="Q238" s="777">
        <f>$O$236*P238</f>
        <v>40000</v>
      </c>
      <c r="R238" s="923"/>
      <c r="S238" s="623" t="s">
        <v>389</v>
      </c>
      <c r="T238" s="676">
        <v>45900</v>
      </c>
      <c r="U238" s="721">
        <v>16629.772302381578</v>
      </c>
      <c r="V238" s="920"/>
      <c r="W238" s="572">
        <f>W192</f>
        <v>46114</v>
      </c>
      <c r="X238" s="917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4"/>
      <c r="J239" s="914"/>
      <c r="K239" s="261"/>
      <c r="L239" s="329">
        <v>10</v>
      </c>
      <c r="M239" s="422" t="s">
        <v>534</v>
      </c>
      <c r="N239" s="330"/>
      <c r="O239" s="553"/>
      <c r="P239" s="559"/>
      <c r="Q239" s="332"/>
      <c r="R239" s="923"/>
      <c r="S239" s="623"/>
      <c r="T239" s="521"/>
      <c r="U239" s="507">
        <f>(Q239/$X$228*$J$228)</f>
        <v>0</v>
      </c>
      <c r="V239" s="920"/>
      <c r="W239" s="572"/>
      <c r="X239" s="917"/>
      <c r="Y239" s="472"/>
    </row>
    <row r="240" spans="1:25" ht="14.25" customHeight="1">
      <c r="B240" s="329">
        <v>10</v>
      </c>
      <c r="C240" s="330"/>
      <c r="D240" s="330"/>
      <c r="E240" s="331"/>
      <c r="F240" s="458"/>
      <c r="G240" s="332"/>
      <c r="H240" s="572"/>
      <c r="I240" s="914"/>
      <c r="J240" s="914"/>
      <c r="K240" s="261"/>
      <c r="L240" s="329">
        <v>10</v>
      </c>
      <c r="M240" s="422" t="s">
        <v>534</v>
      </c>
      <c r="N240" s="330"/>
      <c r="O240" s="553"/>
      <c r="P240" s="559"/>
      <c r="Q240" s="332"/>
      <c r="R240" s="923"/>
      <c r="S240" s="623"/>
      <c r="T240" s="521" t="str">
        <f t="shared" si="19"/>
        <v/>
      </c>
      <c r="U240" s="507">
        <f>(Q240/$X$228*$J$228)</f>
        <v>0</v>
      </c>
      <c r="V240" s="920"/>
      <c r="W240" s="572"/>
      <c r="X240" s="917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72"/>
      <c r="I241" s="914"/>
      <c r="J241" s="914"/>
      <c r="K241" s="261"/>
      <c r="L241" s="329">
        <v>10</v>
      </c>
      <c r="M241" s="422" t="s">
        <v>534</v>
      </c>
      <c r="N241" s="330"/>
      <c r="O241" s="553"/>
      <c r="P241" s="559"/>
      <c r="Q241" s="332"/>
      <c r="R241" s="923"/>
      <c r="S241" s="623"/>
      <c r="T241" s="521"/>
      <c r="U241" s="507">
        <f>(Q241/$X$228*$J$228)</f>
        <v>0</v>
      </c>
      <c r="V241" s="920"/>
      <c r="W241" s="572"/>
      <c r="X241" s="917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4"/>
      <c r="J242" s="914"/>
      <c r="K242" s="261"/>
      <c r="L242" s="329">
        <v>10</v>
      </c>
      <c r="M242" s="422" t="s">
        <v>534</v>
      </c>
      <c r="N242" s="330" t="s">
        <v>390</v>
      </c>
      <c r="O242" s="669">
        <f>AC27*0.1</f>
        <v>250000</v>
      </c>
      <c r="P242" s="559">
        <v>0.5</v>
      </c>
      <c r="Q242" s="332">
        <f>$O$242*P242</f>
        <v>125000</v>
      </c>
      <c r="R242" s="923"/>
      <c r="S242" s="623" t="s">
        <v>385</v>
      </c>
      <c r="T242" s="676">
        <v>45838</v>
      </c>
      <c r="U242" s="683">
        <v>81595.60496259293</v>
      </c>
      <c r="V242" s="920"/>
      <c r="W242" s="533">
        <v>45834</v>
      </c>
      <c r="X242" s="917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33"/>
      <c r="I243" s="914"/>
      <c r="J243" s="914"/>
      <c r="K243" s="261"/>
      <c r="L243" s="329">
        <v>10</v>
      </c>
      <c r="M243" s="422" t="s">
        <v>534</v>
      </c>
      <c r="N243" s="330" t="s">
        <v>548</v>
      </c>
      <c r="O243" s="553"/>
      <c r="P243" s="559">
        <v>0.4</v>
      </c>
      <c r="Q243" s="332">
        <f t="shared" ref="Q243:Q244" si="26">$O$242*P243</f>
        <v>100000</v>
      </c>
      <c r="R243" s="923"/>
      <c r="S243" s="623" t="s">
        <v>387</v>
      </c>
      <c r="T243" s="676">
        <v>45869</v>
      </c>
      <c r="U243" s="683">
        <v>68657.965615333524</v>
      </c>
      <c r="V243" s="920"/>
      <c r="W243" s="533">
        <f>W237</f>
        <v>45904</v>
      </c>
      <c r="X243" s="917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21"/>
      <c r="I244" s="914"/>
      <c r="J244" s="914"/>
      <c r="K244" s="261"/>
      <c r="L244" s="329">
        <v>10</v>
      </c>
      <c r="M244" s="422" t="s">
        <v>534</v>
      </c>
      <c r="N244" s="330" t="s">
        <v>549</v>
      </c>
      <c r="O244" s="553"/>
      <c r="P244" s="559">
        <v>0.1</v>
      </c>
      <c r="Q244" s="332">
        <f t="shared" si="26"/>
        <v>25000</v>
      </c>
      <c r="R244" s="924"/>
      <c r="S244" s="623" t="s">
        <v>389</v>
      </c>
      <c r="T244" s="676">
        <v>45900</v>
      </c>
      <c r="U244" s="721">
        <v>22162.210188988483</v>
      </c>
      <c r="V244" s="920"/>
      <c r="W244" s="521">
        <f>W192</f>
        <v>46114</v>
      </c>
      <c r="X244" s="917"/>
      <c r="Y244" s="472"/>
    </row>
    <row r="245" spans="2:25" ht="14.25" customHeight="1">
      <c r="B245" s="329"/>
      <c r="C245" s="330"/>
      <c r="D245" s="330"/>
      <c r="E245" s="331"/>
      <c r="F245" s="458"/>
      <c r="G245" s="332"/>
      <c r="H245" s="572"/>
      <c r="I245" s="914"/>
      <c r="J245" s="914"/>
      <c r="K245" s="261"/>
      <c r="L245" s="329">
        <v>10</v>
      </c>
      <c r="M245" s="422" t="s">
        <v>534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920"/>
      <c r="W245" s="572"/>
      <c r="X245" s="917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4"/>
      <c r="J246" s="914"/>
      <c r="K246" s="261"/>
      <c r="L246" s="329">
        <v>10</v>
      </c>
      <c r="M246" s="422" t="s">
        <v>534</v>
      </c>
      <c r="N246" s="330" t="s">
        <v>550</v>
      </c>
      <c r="O246" s="553"/>
      <c r="P246" s="559"/>
      <c r="Q246" s="332">
        <v>10400</v>
      </c>
      <c r="R246" s="588"/>
      <c r="S246" s="623" t="s">
        <v>551</v>
      </c>
      <c r="T246" s="676">
        <v>45838</v>
      </c>
      <c r="U246" s="683">
        <v>6788.7543328877318</v>
      </c>
      <c r="V246" s="920"/>
      <c r="W246" s="533">
        <v>45835</v>
      </c>
      <c r="X246" s="917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33"/>
      <c r="I247" s="914"/>
      <c r="J247" s="914"/>
      <c r="K247" s="261"/>
      <c r="L247" s="329">
        <v>10</v>
      </c>
      <c r="M247" s="422" t="s">
        <v>534</v>
      </c>
      <c r="N247" s="330" t="s">
        <v>552</v>
      </c>
      <c r="O247" s="553"/>
      <c r="P247" s="559"/>
      <c r="Q247" s="332">
        <v>10400</v>
      </c>
      <c r="R247" s="588"/>
      <c r="S247" s="623" t="s">
        <v>553</v>
      </c>
      <c r="T247" s="676">
        <v>45869</v>
      </c>
      <c r="U247" s="683">
        <v>6743.2861039946856</v>
      </c>
      <c r="V247" s="920"/>
      <c r="W247" s="533">
        <v>45845</v>
      </c>
      <c r="X247" s="917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914"/>
      <c r="J248" s="914"/>
      <c r="K248" s="261"/>
      <c r="L248" s="329">
        <v>10</v>
      </c>
      <c r="M248" s="422" t="s">
        <v>534</v>
      </c>
      <c r="N248" s="330" t="s">
        <v>554</v>
      </c>
      <c r="O248" s="553"/>
      <c r="P248" s="559"/>
      <c r="Q248" s="332">
        <v>1550</v>
      </c>
      <c r="R248" s="588"/>
      <c r="S248" s="623" t="s">
        <v>555</v>
      </c>
      <c r="T248" s="676">
        <v>45869</v>
      </c>
      <c r="U248" s="683">
        <v>1023.3779770376696</v>
      </c>
      <c r="V248" s="920"/>
      <c r="W248" s="755">
        <v>45901</v>
      </c>
      <c r="X248" s="917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33"/>
      <c r="I249" s="914"/>
      <c r="J249" s="914"/>
      <c r="K249" s="261"/>
      <c r="L249" s="329">
        <v>10</v>
      </c>
      <c r="M249" s="422" t="s">
        <v>534</v>
      </c>
      <c r="N249" s="330" t="s">
        <v>554</v>
      </c>
      <c r="O249" s="553"/>
      <c r="P249" s="559"/>
      <c r="Q249" s="332">
        <v>11850</v>
      </c>
      <c r="R249" s="588"/>
      <c r="S249" s="623" t="s">
        <v>556</v>
      </c>
      <c r="T249" s="676">
        <v>45900</v>
      </c>
      <c r="U249" s="721">
        <v>6908.749169580542</v>
      </c>
      <c r="V249" s="920"/>
      <c r="W249" s="533">
        <v>45890</v>
      </c>
      <c r="X249" s="917"/>
      <c r="Y249" s="472"/>
    </row>
    <row r="250" spans="2:25" ht="14.25" customHeight="1">
      <c r="B250" s="329">
        <v>10</v>
      </c>
      <c r="C250" s="330"/>
      <c r="D250" s="330"/>
      <c r="E250" s="331"/>
      <c r="F250" s="458"/>
      <c r="G250" s="332"/>
      <c r="H250" s="572"/>
      <c r="I250" s="914"/>
      <c r="J250" s="914"/>
      <c r="K250" s="261"/>
      <c r="L250" s="329">
        <v>10</v>
      </c>
      <c r="M250" s="422" t="s">
        <v>534</v>
      </c>
      <c r="N250" s="330" t="s">
        <v>557</v>
      </c>
      <c r="O250" s="553"/>
      <c r="P250" s="458"/>
      <c r="Q250" s="332">
        <v>1500</v>
      </c>
      <c r="R250" s="588"/>
      <c r="S250" s="623" t="s">
        <v>558</v>
      </c>
      <c r="T250" s="676">
        <v>45900</v>
      </c>
      <c r="U250" s="721">
        <v>874.52521133930907</v>
      </c>
      <c r="V250" s="920"/>
      <c r="W250" s="755">
        <v>45930</v>
      </c>
      <c r="X250" s="917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914"/>
      <c r="J251" s="914"/>
      <c r="K251" s="261"/>
      <c r="L251" s="329">
        <v>10</v>
      </c>
      <c r="M251" s="422" t="s">
        <v>534</v>
      </c>
      <c r="N251" s="330" t="s">
        <v>559</v>
      </c>
      <c r="O251" s="553"/>
      <c r="P251" s="458"/>
      <c r="Q251" s="332">
        <v>1500</v>
      </c>
      <c r="R251" s="588"/>
      <c r="S251" s="623" t="s">
        <v>560</v>
      </c>
      <c r="T251" s="676">
        <v>45900</v>
      </c>
      <c r="U251" s="721">
        <v>874.52521133930907</v>
      </c>
      <c r="V251" s="920"/>
      <c r="W251" s="755">
        <v>45930</v>
      </c>
      <c r="X251" s="917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33"/>
      <c r="I252" s="914"/>
      <c r="J252" s="914"/>
      <c r="K252" s="261"/>
      <c r="L252" s="329">
        <v>10</v>
      </c>
      <c r="M252" s="422" t="s">
        <v>534</v>
      </c>
      <c r="N252" s="330" t="s">
        <v>561</v>
      </c>
      <c r="O252" s="553"/>
      <c r="P252" s="458"/>
      <c r="Q252" s="332">
        <v>250</v>
      </c>
      <c r="R252" s="588"/>
      <c r="S252" s="623" t="s">
        <v>562</v>
      </c>
      <c r="T252" s="676">
        <v>45838</v>
      </c>
      <c r="U252" s="683">
        <v>163.19120992518586</v>
      </c>
      <c r="V252" s="920"/>
      <c r="W252" s="533">
        <v>45876</v>
      </c>
      <c r="X252" s="917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4"/>
      <c r="J253" s="914"/>
      <c r="K253" s="261"/>
      <c r="L253" s="329">
        <v>10</v>
      </c>
      <c r="M253" s="422" t="s">
        <v>534</v>
      </c>
      <c r="N253" s="330" t="s">
        <v>561</v>
      </c>
      <c r="O253" s="553"/>
      <c r="P253" s="458"/>
      <c r="Q253" s="332">
        <v>2635</v>
      </c>
      <c r="R253" s="588"/>
      <c r="S253" s="623" t="s">
        <v>563</v>
      </c>
      <c r="T253" s="676">
        <v>45930</v>
      </c>
      <c r="U253" s="683">
        <v>0</v>
      </c>
      <c r="V253" s="920"/>
      <c r="W253" s="755">
        <v>45930</v>
      </c>
      <c r="X253" s="917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4"/>
      <c r="J254" s="914"/>
      <c r="K254" s="261"/>
      <c r="L254" s="329">
        <v>10</v>
      </c>
      <c r="M254" s="422" t="s">
        <v>534</v>
      </c>
      <c r="N254" s="330" t="s">
        <v>561</v>
      </c>
      <c r="O254" s="553"/>
      <c r="P254" s="458"/>
      <c r="Q254" s="332">
        <v>1550</v>
      </c>
      <c r="R254" s="588"/>
      <c r="S254" s="623" t="s">
        <v>564</v>
      </c>
      <c r="T254" s="676">
        <v>45930</v>
      </c>
      <c r="U254" s="683">
        <v>0</v>
      </c>
      <c r="V254" s="920"/>
      <c r="W254" s="755">
        <v>45930</v>
      </c>
      <c r="X254" s="917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4"/>
      <c r="J255" s="914"/>
      <c r="K255" s="261"/>
      <c r="L255" s="329">
        <v>10</v>
      </c>
      <c r="M255" s="422" t="s">
        <v>534</v>
      </c>
      <c r="N255" s="330" t="s">
        <v>561</v>
      </c>
      <c r="O255" s="553"/>
      <c r="P255" s="458"/>
      <c r="Q255" s="332">
        <v>1550</v>
      </c>
      <c r="R255" s="588"/>
      <c r="S255" s="623" t="s">
        <v>565</v>
      </c>
      <c r="T255" s="676">
        <v>45930</v>
      </c>
      <c r="U255" s="683">
        <v>0</v>
      </c>
      <c r="V255" s="920"/>
      <c r="W255" s="755">
        <v>45930</v>
      </c>
      <c r="X255" s="917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4"/>
      <c r="J256" s="914"/>
      <c r="K256" s="261"/>
      <c r="L256" s="329">
        <v>10</v>
      </c>
      <c r="M256" s="422" t="s">
        <v>534</v>
      </c>
      <c r="N256" s="330" t="s">
        <v>566</v>
      </c>
      <c r="O256" s="553"/>
      <c r="P256" s="458"/>
      <c r="Q256" s="332">
        <v>595</v>
      </c>
      <c r="R256" s="588"/>
      <c r="S256" s="623" t="s">
        <v>567</v>
      </c>
      <c r="T256" s="676">
        <v>45900</v>
      </c>
      <c r="U256" s="683">
        <v>346.89500049792593</v>
      </c>
      <c r="V256" s="920"/>
      <c r="W256" s="533">
        <v>45901</v>
      </c>
      <c r="X256" s="917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4"/>
      <c r="J257" s="914"/>
      <c r="K257" s="261"/>
      <c r="L257" s="329">
        <v>10</v>
      </c>
      <c r="M257" s="422" t="s">
        <v>534</v>
      </c>
      <c r="N257" s="330" t="s">
        <v>566</v>
      </c>
      <c r="O257" s="553"/>
      <c r="P257" s="458"/>
      <c r="Q257" s="332">
        <v>1250</v>
      </c>
      <c r="R257" s="588"/>
      <c r="S257" s="623" t="s">
        <v>568</v>
      </c>
      <c r="T257" s="676">
        <v>45900</v>
      </c>
      <c r="U257" s="683">
        <v>728.77100944942424</v>
      </c>
      <c r="V257" s="920"/>
      <c r="W257" s="533">
        <v>45901</v>
      </c>
      <c r="X257" s="917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4"/>
      <c r="J258" s="914"/>
      <c r="K258" s="261"/>
      <c r="L258" s="329">
        <v>10</v>
      </c>
      <c r="M258" s="422" t="s">
        <v>534</v>
      </c>
      <c r="N258" s="330" t="s">
        <v>569</v>
      </c>
      <c r="O258" s="553"/>
      <c r="P258" s="458"/>
      <c r="Q258" s="332">
        <v>1500</v>
      </c>
      <c r="R258" s="588"/>
      <c r="S258" s="623" t="s">
        <v>570</v>
      </c>
      <c r="T258" s="754">
        <v>45961</v>
      </c>
      <c r="U258" s="758">
        <v>865.42161616940507</v>
      </c>
      <c r="V258" s="920"/>
      <c r="W258" s="533">
        <v>45974</v>
      </c>
      <c r="X258" s="917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4"/>
      <c r="J259" s="914"/>
      <c r="K259" s="261"/>
      <c r="L259" s="329">
        <v>10</v>
      </c>
      <c r="M259" s="422" t="s">
        <v>534</v>
      </c>
      <c r="N259" s="330" t="s">
        <v>569</v>
      </c>
      <c r="O259" s="553"/>
      <c r="P259" s="458"/>
      <c r="Q259" s="332">
        <v>1500</v>
      </c>
      <c r="R259" s="588"/>
      <c r="S259" s="623" t="s">
        <v>571</v>
      </c>
      <c r="T259" s="754">
        <v>45961</v>
      </c>
      <c r="U259" s="758">
        <v>865.42161616940507</v>
      </c>
      <c r="V259" s="920"/>
      <c r="W259" s="533">
        <v>45974</v>
      </c>
      <c r="X259" s="917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4"/>
      <c r="J260" s="914"/>
      <c r="K260" s="261"/>
      <c r="L260" s="329">
        <v>10</v>
      </c>
      <c r="M260" s="422" t="s">
        <v>534</v>
      </c>
      <c r="N260" s="330" t="s">
        <v>569</v>
      </c>
      <c r="O260" s="553"/>
      <c r="P260" s="458"/>
      <c r="Q260" s="332">
        <v>2550</v>
      </c>
      <c r="R260" s="588"/>
      <c r="S260" s="623" t="s">
        <v>572</v>
      </c>
      <c r="T260" s="754">
        <v>45961</v>
      </c>
      <c r="U260" s="758">
        <v>1471.2167474879886</v>
      </c>
      <c r="V260" s="920"/>
      <c r="W260" s="533">
        <v>45974</v>
      </c>
      <c r="X260" s="917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4"/>
      <c r="J261" s="914"/>
      <c r="K261" s="261"/>
      <c r="L261" s="329">
        <v>10</v>
      </c>
      <c r="M261" s="422" t="s">
        <v>534</v>
      </c>
      <c r="N261" s="330" t="s">
        <v>573</v>
      </c>
      <c r="O261" s="553"/>
      <c r="P261" s="458"/>
      <c r="Q261" s="332">
        <v>1550</v>
      </c>
      <c r="R261" s="784"/>
      <c r="S261" s="623" t="s">
        <v>574</v>
      </c>
      <c r="T261" s="676">
        <v>45991</v>
      </c>
      <c r="U261" s="758">
        <v>1770.4386486937569</v>
      </c>
      <c r="V261" s="920"/>
      <c r="W261" s="533">
        <v>45995</v>
      </c>
      <c r="X261" s="917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4"/>
      <c r="J262" s="914"/>
      <c r="K262" s="261"/>
      <c r="L262" s="329">
        <v>10</v>
      </c>
      <c r="M262" s="422" t="s">
        <v>534</v>
      </c>
      <c r="N262" s="330" t="s">
        <v>575</v>
      </c>
      <c r="O262" s="553"/>
      <c r="P262" s="458"/>
      <c r="Q262" s="332">
        <v>1550</v>
      </c>
      <c r="R262" s="588"/>
      <c r="S262" s="623" t="s">
        <v>576</v>
      </c>
      <c r="T262" s="676">
        <v>45991</v>
      </c>
      <c r="U262" s="758">
        <v>1770.4386486937569</v>
      </c>
      <c r="V262" s="920"/>
      <c r="W262" s="533">
        <v>45995</v>
      </c>
      <c r="X262" s="917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4"/>
      <c r="J263" s="914"/>
      <c r="K263" s="261"/>
      <c r="L263" s="329">
        <v>10</v>
      </c>
      <c r="M263" s="422" t="s">
        <v>534</v>
      </c>
      <c r="N263" s="330" t="s">
        <v>577</v>
      </c>
      <c r="O263" s="553"/>
      <c r="P263" s="458"/>
      <c r="Q263" s="332">
        <v>2635</v>
      </c>
      <c r="R263" s="588"/>
      <c r="S263" s="623" t="s">
        <v>578</v>
      </c>
      <c r="T263" s="676">
        <v>45991</v>
      </c>
      <c r="U263" s="758">
        <v>988.11070277938666</v>
      </c>
      <c r="V263" s="920"/>
      <c r="W263" s="533">
        <v>45995</v>
      </c>
      <c r="X263" s="917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4"/>
      <c r="J264" s="914"/>
      <c r="K264" s="261"/>
      <c r="L264" s="329">
        <v>10</v>
      </c>
      <c r="M264" s="422" t="s">
        <v>534</v>
      </c>
      <c r="N264" s="330" t="s">
        <v>579</v>
      </c>
      <c r="O264" s="553"/>
      <c r="P264" s="458"/>
      <c r="Q264" s="332">
        <v>1550</v>
      </c>
      <c r="R264" s="588"/>
      <c r="S264" s="623" t="s">
        <v>580</v>
      </c>
      <c r="T264" s="676">
        <v>46022</v>
      </c>
      <c r="U264" s="758">
        <v>0</v>
      </c>
      <c r="V264" s="920"/>
      <c r="W264" s="755">
        <v>46031</v>
      </c>
      <c r="X264" s="917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4"/>
      <c r="J265" s="914"/>
      <c r="K265" s="261"/>
      <c r="L265" s="329">
        <v>10</v>
      </c>
      <c r="M265" s="422" t="s">
        <v>534</v>
      </c>
      <c r="N265" s="330" t="s">
        <v>581</v>
      </c>
      <c r="O265" s="553"/>
      <c r="P265" s="458"/>
      <c r="Q265" s="332">
        <v>1550</v>
      </c>
      <c r="R265" s="588"/>
      <c r="S265" s="623" t="s">
        <v>582</v>
      </c>
      <c r="T265" s="676">
        <v>46022</v>
      </c>
      <c r="U265" s="758">
        <v>0</v>
      </c>
      <c r="V265" s="920"/>
      <c r="W265" s="755">
        <v>46031</v>
      </c>
      <c r="X265" s="917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4"/>
      <c r="J266" s="914"/>
      <c r="K266" s="261"/>
      <c r="L266" s="329">
        <v>10</v>
      </c>
      <c r="M266" s="422" t="s">
        <v>534</v>
      </c>
      <c r="N266" s="330" t="s">
        <v>583</v>
      </c>
      <c r="O266" s="553"/>
      <c r="P266" s="458"/>
      <c r="Q266" s="332">
        <v>2635</v>
      </c>
      <c r="R266" s="588"/>
      <c r="S266" s="623" t="s">
        <v>584</v>
      </c>
      <c r="T266" s="676">
        <v>46022</v>
      </c>
      <c r="U266" s="758">
        <v>0</v>
      </c>
      <c r="V266" s="920"/>
      <c r="W266" s="755">
        <v>46031</v>
      </c>
      <c r="X266" s="917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4"/>
      <c r="J267" s="914"/>
      <c r="K267" s="261"/>
      <c r="L267" s="329">
        <v>10</v>
      </c>
      <c r="M267" s="422" t="s">
        <v>534</v>
      </c>
      <c r="N267" s="330" t="s">
        <v>585</v>
      </c>
      <c r="O267" s="553"/>
      <c r="P267" s="458"/>
      <c r="Q267" s="332">
        <v>1400</v>
      </c>
      <c r="R267" s="588"/>
      <c r="S267" s="623" t="s">
        <v>586</v>
      </c>
      <c r="T267" s="676">
        <v>46053</v>
      </c>
      <c r="U267" s="758">
        <v>0</v>
      </c>
      <c r="V267" s="920"/>
      <c r="W267" s="533">
        <v>46058</v>
      </c>
      <c r="X267" s="917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4"/>
      <c r="J268" s="914"/>
      <c r="K268" s="261"/>
      <c r="L268" s="329">
        <v>10</v>
      </c>
      <c r="M268" s="422" t="s">
        <v>534</v>
      </c>
      <c r="N268" s="330" t="s">
        <v>585</v>
      </c>
      <c r="O268" s="553"/>
      <c r="P268" s="458"/>
      <c r="Q268" s="332">
        <v>1400</v>
      </c>
      <c r="R268" s="588"/>
      <c r="S268" s="623" t="s">
        <v>587</v>
      </c>
      <c r="T268" s="676">
        <v>46053</v>
      </c>
      <c r="U268" s="758">
        <v>0</v>
      </c>
      <c r="V268" s="920"/>
      <c r="W268" s="533">
        <v>46058</v>
      </c>
      <c r="X268" s="917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4"/>
      <c r="J269" s="914"/>
      <c r="K269" s="261"/>
      <c r="L269" s="329">
        <v>10</v>
      </c>
      <c r="M269" s="422" t="s">
        <v>534</v>
      </c>
      <c r="N269" s="330" t="s">
        <v>585</v>
      </c>
      <c r="O269" s="553"/>
      <c r="P269" s="458"/>
      <c r="Q269" s="332">
        <v>2380</v>
      </c>
      <c r="R269" s="588"/>
      <c r="S269" s="623" t="s">
        <v>588</v>
      </c>
      <c r="T269" s="676">
        <v>46053</v>
      </c>
      <c r="U269" s="758">
        <v>0</v>
      </c>
      <c r="V269" s="920"/>
      <c r="W269" s="533">
        <v>46058</v>
      </c>
      <c r="X269" s="917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914"/>
      <c r="J270" s="914"/>
      <c r="K270" s="261"/>
      <c r="L270" s="329">
        <v>10</v>
      </c>
      <c r="M270" s="422" t="s">
        <v>534</v>
      </c>
      <c r="N270" s="330"/>
      <c r="O270" s="553"/>
      <c r="P270" s="458"/>
      <c r="Q270" s="332"/>
      <c r="R270" s="588"/>
      <c r="S270" s="623"/>
      <c r="T270" s="754"/>
      <c r="U270" s="507"/>
      <c r="V270" s="920"/>
      <c r="W270" s="572"/>
      <c r="X270" s="917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914"/>
      <c r="J271" s="914"/>
      <c r="K271" s="261"/>
      <c r="L271" s="329">
        <v>10</v>
      </c>
      <c r="M271" s="422" t="s">
        <v>534</v>
      </c>
      <c r="N271" s="330" t="s">
        <v>589</v>
      </c>
      <c r="O271" s="553"/>
      <c r="P271" s="458"/>
      <c r="Q271" s="332">
        <v>652.16999999999996</v>
      </c>
      <c r="R271" s="588"/>
      <c r="S271" s="623" t="s">
        <v>590</v>
      </c>
      <c r="T271" s="676">
        <v>45900</v>
      </c>
      <c r="U271" s="683">
        <v>380.22607138610476</v>
      </c>
      <c r="V271" s="920"/>
      <c r="W271" s="533">
        <v>45932</v>
      </c>
      <c r="X271" s="917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4"/>
      <c r="J272" s="914"/>
      <c r="K272" s="261"/>
      <c r="L272" s="329">
        <v>10</v>
      </c>
      <c r="M272" s="422" t="s">
        <v>534</v>
      </c>
      <c r="N272" s="330" t="s">
        <v>591</v>
      </c>
      <c r="O272" s="553"/>
      <c r="P272" s="458"/>
      <c r="Q272" s="332">
        <v>2173.92</v>
      </c>
      <c r="R272" s="588"/>
      <c r="S272" s="623" t="s">
        <v>592</v>
      </c>
      <c r="T272" s="676">
        <v>45930</v>
      </c>
      <c r="U272" s="758">
        <v>1258.8741122956246</v>
      </c>
      <c r="V272" s="920"/>
      <c r="W272" s="533">
        <v>45939</v>
      </c>
      <c r="X272" s="917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4"/>
      <c r="J273" s="914"/>
      <c r="K273" s="261"/>
      <c r="L273" s="329">
        <v>10</v>
      </c>
      <c r="M273" s="422" t="s">
        <v>534</v>
      </c>
      <c r="N273" s="330" t="s">
        <v>593</v>
      </c>
      <c r="O273" s="553"/>
      <c r="P273" s="458"/>
      <c r="Q273" s="332">
        <f>2434.8+652.17</f>
        <v>3086.9700000000003</v>
      </c>
      <c r="R273" s="588"/>
      <c r="S273" s="623" t="s">
        <v>594</v>
      </c>
      <c r="T273" s="754">
        <v>45961</v>
      </c>
      <c r="U273" s="758">
        <v>1781.0203776443125</v>
      </c>
      <c r="V273" s="920"/>
      <c r="W273" s="533">
        <v>45967</v>
      </c>
      <c r="X273" s="917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914"/>
      <c r="J274" s="914"/>
      <c r="K274" s="261"/>
      <c r="L274" s="329">
        <v>10</v>
      </c>
      <c r="M274" s="422" t="s">
        <v>534</v>
      </c>
      <c r="N274" s="330" t="s">
        <v>595</v>
      </c>
      <c r="O274" s="553"/>
      <c r="P274" s="458"/>
      <c r="Q274" s="332">
        <v>2434.8000000000002</v>
      </c>
      <c r="R274" s="588"/>
      <c r="S274" s="623" t="s">
        <v>596</v>
      </c>
      <c r="T274" s="676">
        <v>45991</v>
      </c>
      <c r="U274" s="758">
        <v>1343.363433444877</v>
      </c>
      <c r="V274" s="920"/>
      <c r="W274" s="533">
        <v>45995</v>
      </c>
      <c r="X274" s="917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4"/>
      <c r="J275" s="914"/>
      <c r="K275" s="261"/>
      <c r="L275" s="329">
        <v>10</v>
      </c>
      <c r="M275" s="422" t="s">
        <v>534</v>
      </c>
      <c r="N275" s="330" t="s">
        <v>597</v>
      </c>
      <c r="O275" s="553"/>
      <c r="P275" s="458"/>
      <c r="Q275" s="332">
        <v>1217.4000000000001</v>
      </c>
      <c r="R275" s="588"/>
      <c r="S275" s="623" t="s">
        <v>598</v>
      </c>
      <c r="T275" s="676">
        <v>46022</v>
      </c>
      <c r="U275" s="758">
        <v>608.42503176814455</v>
      </c>
      <c r="V275" s="920"/>
      <c r="W275" s="755">
        <v>46029</v>
      </c>
      <c r="X275" s="917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33"/>
      <c r="I276" s="914"/>
      <c r="J276" s="914"/>
      <c r="K276" s="261"/>
      <c r="L276" s="329">
        <v>10</v>
      </c>
      <c r="M276" s="422" t="s">
        <v>534</v>
      </c>
      <c r="N276" s="330" t="s">
        <v>597</v>
      </c>
      <c r="O276" s="553"/>
      <c r="P276" s="458"/>
      <c r="Q276" s="332">
        <v>608.70000000000005</v>
      </c>
      <c r="R276" s="588"/>
      <c r="S276" s="623" t="s">
        <v>599</v>
      </c>
      <c r="T276" s="676">
        <v>46022</v>
      </c>
      <c r="U276" s="758">
        <v>304.21251588407227</v>
      </c>
      <c r="V276" s="920"/>
      <c r="W276" s="755">
        <v>46029</v>
      </c>
      <c r="X276" s="917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4"/>
      <c r="J277" s="914"/>
      <c r="K277" s="261"/>
      <c r="L277" s="329">
        <v>10</v>
      </c>
      <c r="M277" s="422" t="s">
        <v>534</v>
      </c>
      <c r="N277" s="838" t="s">
        <v>600</v>
      </c>
      <c r="O277" s="553"/>
      <c r="P277" s="458"/>
      <c r="Q277" s="332">
        <v>1826.1</v>
      </c>
      <c r="R277" s="588"/>
      <c r="S277" s="623" t="s">
        <v>601</v>
      </c>
      <c r="T277" s="754">
        <v>46053</v>
      </c>
      <c r="U277" s="507">
        <v>0</v>
      </c>
      <c r="V277" s="920"/>
      <c r="W277" s="533">
        <v>46058</v>
      </c>
      <c r="X277" s="917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4"/>
      <c r="J278" s="914"/>
      <c r="K278" s="261"/>
      <c r="L278" s="329">
        <v>10</v>
      </c>
      <c r="M278" s="422" t="s">
        <v>534</v>
      </c>
      <c r="N278" s="330" t="s">
        <v>600</v>
      </c>
      <c r="O278" s="553"/>
      <c r="P278" s="458"/>
      <c r="Q278" s="332">
        <v>913.05</v>
      </c>
      <c r="R278" s="588"/>
      <c r="S278" s="623" t="s">
        <v>602</v>
      </c>
      <c r="T278" s="754">
        <v>46053</v>
      </c>
      <c r="U278" s="507">
        <v>0</v>
      </c>
      <c r="V278" s="920"/>
      <c r="W278" s="533">
        <v>46058</v>
      </c>
      <c r="X278" s="917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4"/>
      <c r="J279" s="914"/>
      <c r="K279" s="261"/>
      <c r="L279" s="329">
        <v>10</v>
      </c>
      <c r="M279" s="422" t="s">
        <v>534</v>
      </c>
      <c r="N279" s="330"/>
      <c r="O279" s="553"/>
      <c r="P279" s="458"/>
      <c r="Q279" s="332"/>
      <c r="R279" s="588"/>
      <c r="S279" s="623"/>
      <c r="T279" s="521"/>
      <c r="U279" s="507">
        <f t="shared" ref="U279:U282" si="27">(Q279/$X$228*$J$228)</f>
        <v>0</v>
      </c>
      <c r="V279" s="920"/>
      <c r="W279" s="572"/>
      <c r="X279" s="917"/>
      <c r="Y279" s="472"/>
    </row>
    <row r="280" spans="1:25" ht="14.25" customHeight="1">
      <c r="B280" s="329"/>
      <c r="C280" s="330"/>
      <c r="D280" s="330"/>
      <c r="E280" s="331"/>
      <c r="F280" s="458"/>
      <c r="G280" s="332"/>
      <c r="H280" s="572"/>
      <c r="I280" s="914"/>
      <c r="J280" s="914"/>
      <c r="K280" s="261"/>
      <c r="L280" s="329">
        <v>10</v>
      </c>
      <c r="M280" s="422" t="s">
        <v>534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0"/>
      <c r="W280" s="572"/>
      <c r="X280" s="917"/>
      <c r="Y280" s="472"/>
    </row>
    <row r="281" spans="1:25" ht="14.25" customHeight="1">
      <c r="B281" s="329">
        <v>10</v>
      </c>
      <c r="C281" s="330"/>
      <c r="D281" s="330"/>
      <c r="E281" s="331"/>
      <c r="F281" s="458"/>
      <c r="G281" s="332"/>
      <c r="H281" s="572"/>
      <c r="I281" s="914"/>
      <c r="J281" s="914"/>
      <c r="K281" s="261"/>
      <c r="L281" s="329">
        <v>10</v>
      </c>
      <c r="M281" s="422" t="s">
        <v>534</v>
      </c>
      <c r="N281" s="330"/>
      <c r="O281" s="553"/>
      <c r="P281" s="458"/>
      <c r="Q281" s="332"/>
      <c r="R281" s="588"/>
      <c r="S281" s="623"/>
      <c r="T281" s="521"/>
      <c r="U281" s="507">
        <f t="shared" si="27"/>
        <v>0</v>
      </c>
      <c r="V281" s="920"/>
      <c r="W281" s="572"/>
      <c r="X281" s="917"/>
      <c r="Y281" s="472"/>
    </row>
    <row r="282" spans="1:25" ht="15" customHeight="1" thickBot="1">
      <c r="B282" s="262">
        <v>10</v>
      </c>
      <c r="C282" s="333"/>
      <c r="D282" s="333"/>
      <c r="E282" s="334"/>
      <c r="F282" s="459"/>
      <c r="G282" s="263"/>
      <c r="H282" s="573"/>
      <c r="I282" s="915"/>
      <c r="J282" s="915"/>
      <c r="K282" s="264"/>
      <c r="L282" s="329">
        <v>10</v>
      </c>
      <c r="M282" s="423" t="s">
        <v>534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921"/>
      <c r="W282" s="573"/>
      <c r="X282" s="918"/>
      <c r="Y282" s="472"/>
    </row>
    <row r="283" spans="1:25" ht="14.4" thickBot="1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>
      <c r="B284" s="270">
        <v>11</v>
      </c>
      <c r="C284" s="271" t="s">
        <v>603</v>
      </c>
      <c r="D284" s="340" t="s">
        <v>604</v>
      </c>
      <c r="E284" s="272"/>
      <c r="F284" s="424"/>
      <c r="G284" s="273">
        <v>300000</v>
      </c>
      <c r="H284" s="567">
        <v>45991</v>
      </c>
      <c r="I284" s="883">
        <f>SUM(G284:G297)</f>
        <v>420000</v>
      </c>
      <c r="J284" s="883">
        <f>F394</f>
        <v>494117.64705882355</v>
      </c>
      <c r="K284" s="274"/>
      <c r="L284" s="270">
        <v>11</v>
      </c>
      <c r="M284" s="340" t="s">
        <v>605</v>
      </c>
      <c r="N284" s="340" t="s">
        <v>604</v>
      </c>
      <c r="O284" s="272"/>
      <c r="P284" s="424"/>
      <c r="Q284" s="273">
        <f>300000-SUM(Q285:Q286)</f>
        <v>236000</v>
      </c>
      <c r="R284" s="581"/>
      <c r="S284" s="616"/>
      <c r="T284" s="516">
        <v>46081</v>
      </c>
      <c r="U284" s="501">
        <f>(Q284/$X$284*$J$284)-4171.27+2311.1+2367.25</f>
        <v>176483.40060357467</v>
      </c>
      <c r="V284" s="886">
        <f>J284-SUM(U284:U297)</f>
        <v>-1680.2869975098292</v>
      </c>
      <c r="W284" s="567">
        <v>46112</v>
      </c>
      <c r="X284" s="873">
        <f>SUM(Q284:Q297)</f>
        <v>662656</v>
      </c>
      <c r="Y284" s="472"/>
    </row>
    <row r="285" spans="1:25" ht="14.25" customHeight="1">
      <c r="B285" s="275"/>
      <c r="C285" s="276"/>
      <c r="D285" s="763"/>
      <c r="E285" s="438"/>
      <c r="F285" s="439"/>
      <c r="G285" s="764"/>
      <c r="H285" s="567"/>
      <c r="I285" s="884"/>
      <c r="J285" s="884"/>
      <c r="K285" s="277"/>
      <c r="L285" s="300">
        <v>11</v>
      </c>
      <c r="M285" s="378" t="s">
        <v>605</v>
      </c>
      <c r="N285" s="833" t="s">
        <v>606</v>
      </c>
      <c r="O285" s="438"/>
      <c r="P285" s="439"/>
      <c r="Q285" s="764">
        <v>35600</v>
      </c>
      <c r="R285" s="581" t="s">
        <v>607</v>
      </c>
      <c r="S285" s="616" t="s">
        <v>829</v>
      </c>
      <c r="T285" s="673">
        <v>46081</v>
      </c>
      <c r="U285" s="501">
        <f t="shared" ref="U285" si="28">(Q285/$X$284*$J$284)-4171.27+2311.1+2367.25</f>
        <v>27052.66056562397</v>
      </c>
      <c r="V285" s="887"/>
      <c r="W285" s="567">
        <f>T285+14</f>
        <v>46095</v>
      </c>
      <c r="X285" s="874"/>
      <c r="Y285" s="472"/>
    </row>
    <row r="286" spans="1:25" ht="14.25" customHeight="1">
      <c r="B286" s="275"/>
      <c r="C286" s="276"/>
      <c r="D286" s="763"/>
      <c r="E286" s="438"/>
      <c r="F286" s="439"/>
      <c r="G286" s="764"/>
      <c r="H286" s="567"/>
      <c r="I286" s="884"/>
      <c r="J286" s="884"/>
      <c r="K286" s="277"/>
      <c r="L286" s="300">
        <v>11</v>
      </c>
      <c r="M286" s="378" t="s">
        <v>605</v>
      </c>
      <c r="N286" s="763" t="s">
        <v>608</v>
      </c>
      <c r="O286" s="438"/>
      <c r="P286" s="439"/>
      <c r="Q286" s="764">
        <v>28400</v>
      </c>
      <c r="R286" s="581" t="s">
        <v>609</v>
      </c>
      <c r="S286" s="616" t="s">
        <v>610</v>
      </c>
      <c r="T286" s="781">
        <v>45991</v>
      </c>
      <c r="U286" s="807">
        <v>21812.49766334868</v>
      </c>
      <c r="V286" s="887"/>
      <c r="W286" s="821">
        <v>45995</v>
      </c>
      <c r="X286" s="874"/>
      <c r="Y286" s="472"/>
    </row>
    <row r="287" spans="1:25" ht="14.25" customHeight="1">
      <c r="B287" s="275"/>
      <c r="C287" s="276"/>
      <c r="D287" s="763"/>
      <c r="E287" s="438"/>
      <c r="F287" s="439"/>
      <c r="G287" s="764"/>
      <c r="H287" s="567"/>
      <c r="I287" s="884"/>
      <c r="J287" s="884"/>
      <c r="K287" s="277"/>
      <c r="L287" s="300">
        <v>11</v>
      </c>
      <c r="M287" s="378" t="s">
        <v>605</v>
      </c>
      <c r="N287" s="763"/>
      <c r="O287" s="438"/>
      <c r="P287" s="439"/>
      <c r="Q287" s="764"/>
      <c r="R287" s="581"/>
      <c r="S287" s="616"/>
      <c r="T287" s="516"/>
      <c r="U287" s="501"/>
      <c r="V287" s="887"/>
      <c r="W287" s="567"/>
      <c r="X287" s="874"/>
      <c r="Y287" s="472"/>
    </row>
    <row r="288" spans="1:25" ht="14.25" customHeight="1">
      <c r="B288" s="275"/>
      <c r="C288" s="276"/>
      <c r="D288" s="763"/>
      <c r="E288" s="438"/>
      <c r="F288" s="439"/>
      <c r="G288" s="764"/>
      <c r="H288" s="567"/>
      <c r="I288" s="884"/>
      <c r="J288" s="884"/>
      <c r="K288" s="277"/>
      <c r="L288" s="300">
        <v>11</v>
      </c>
      <c r="M288" s="378" t="s">
        <v>605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87"/>
      <c r="W288" s="946">
        <v>46053</v>
      </c>
      <c r="X288" s="874"/>
      <c r="Y288" s="472"/>
    </row>
    <row r="289" spans="1:25" ht="14.25" customHeight="1">
      <c r="B289" s="275"/>
      <c r="C289" s="276"/>
      <c r="D289" s="763"/>
      <c r="E289" s="438"/>
      <c r="F289" s="439"/>
      <c r="G289" s="764"/>
      <c r="H289" s="567"/>
      <c r="I289" s="884"/>
      <c r="J289" s="884"/>
      <c r="K289" s="277"/>
      <c r="L289" s="300">
        <v>11</v>
      </c>
      <c r="M289" s="378" t="s">
        <v>605</v>
      </c>
      <c r="N289" s="763"/>
      <c r="O289" s="438"/>
      <c r="P289" s="439"/>
      <c r="Q289" s="764"/>
      <c r="R289" s="581"/>
      <c r="S289" s="616"/>
      <c r="T289" s="516"/>
      <c r="U289" s="501"/>
      <c r="V289" s="887"/>
      <c r="W289" s="567"/>
      <c r="X289" s="874"/>
      <c r="Y289" s="472"/>
    </row>
    <row r="290" spans="1:25" ht="14.25" customHeight="1">
      <c r="B290" s="275"/>
      <c r="C290" s="276"/>
      <c r="D290" s="763"/>
      <c r="E290" s="438"/>
      <c r="F290" s="439"/>
      <c r="G290" s="764"/>
      <c r="H290" s="567"/>
      <c r="I290" s="884"/>
      <c r="J290" s="884"/>
      <c r="K290" s="277"/>
      <c r="L290" s="300">
        <v>11</v>
      </c>
      <c r="M290" s="378" t="s">
        <v>605</v>
      </c>
      <c r="N290" s="763"/>
      <c r="O290" s="438"/>
      <c r="P290" s="439"/>
      <c r="Q290" s="764"/>
      <c r="R290" s="581"/>
      <c r="S290" s="616"/>
      <c r="T290" s="516"/>
      <c r="U290" s="501"/>
      <c r="V290" s="887"/>
      <c r="W290" s="567"/>
      <c r="X290" s="874"/>
      <c r="Y290" s="472"/>
    </row>
    <row r="291" spans="1:25" ht="15" customHeight="1">
      <c r="B291" s="300">
        <v>11</v>
      </c>
      <c r="C291" s="302"/>
      <c r="D291" s="302" t="s">
        <v>611</v>
      </c>
      <c r="E291" s="303"/>
      <c r="F291" s="446"/>
      <c r="G291" s="304">
        <v>40000</v>
      </c>
      <c r="H291" s="524">
        <v>45841</v>
      </c>
      <c r="I291" s="884"/>
      <c r="J291" s="884"/>
      <c r="K291" s="277"/>
      <c r="L291" s="300">
        <v>11</v>
      </c>
      <c r="M291" s="378" t="s">
        <v>605</v>
      </c>
      <c r="N291" s="302" t="s">
        <v>611</v>
      </c>
      <c r="O291" s="303"/>
      <c r="P291" s="446"/>
      <c r="Q291" s="304">
        <v>10400</v>
      </c>
      <c r="R291" s="574" t="s">
        <v>612</v>
      </c>
      <c r="S291" s="609" t="s">
        <v>613</v>
      </c>
      <c r="T291" s="677">
        <v>45838</v>
      </c>
      <c r="U291" s="679">
        <v>12174.422007609013</v>
      </c>
      <c r="V291" s="887"/>
      <c r="W291" s="524">
        <v>45841</v>
      </c>
      <c r="X291" s="874"/>
      <c r="Y291" s="472"/>
    </row>
    <row r="292" spans="1:25" ht="15" customHeight="1">
      <c r="B292" s="300">
        <v>11</v>
      </c>
      <c r="C292" s="302"/>
      <c r="D292" s="302" t="s">
        <v>614</v>
      </c>
      <c r="E292" s="303"/>
      <c r="F292" s="446"/>
      <c r="G292" s="304">
        <v>80000</v>
      </c>
      <c r="H292" s="524">
        <v>45841</v>
      </c>
      <c r="I292" s="884"/>
      <c r="J292" s="884"/>
      <c r="K292" s="277"/>
      <c r="L292" s="300">
        <v>11</v>
      </c>
      <c r="M292" s="378" t="s">
        <v>605</v>
      </c>
      <c r="N292" s="302" t="s">
        <v>614</v>
      </c>
      <c r="O292" s="303"/>
      <c r="P292" s="446"/>
      <c r="Q292" s="304">
        <v>79700</v>
      </c>
      <c r="R292" s="574" t="s">
        <v>615</v>
      </c>
      <c r="S292" s="609" t="s">
        <v>616</v>
      </c>
      <c r="T292" s="674">
        <v>45961</v>
      </c>
      <c r="U292" s="757">
        <v>58776.043794679215</v>
      </c>
      <c r="V292" s="887"/>
      <c r="W292" s="756">
        <v>46031</v>
      </c>
      <c r="X292" s="874"/>
      <c r="Y292" s="472"/>
    </row>
    <row r="293" spans="1:25" ht="15" customHeight="1">
      <c r="B293" s="300">
        <v>11</v>
      </c>
      <c r="C293" s="376"/>
      <c r="D293" s="376"/>
      <c r="E293" s="395"/>
      <c r="F293" s="431"/>
      <c r="G293" s="375"/>
      <c r="H293" s="561"/>
      <c r="I293" s="884"/>
      <c r="J293" s="884"/>
      <c r="K293" s="277"/>
      <c r="L293" s="300">
        <v>11</v>
      </c>
      <c r="M293" s="378" t="s">
        <v>605</v>
      </c>
      <c r="N293" s="376" t="s">
        <v>617</v>
      </c>
      <c r="O293" s="395"/>
      <c r="P293" s="431"/>
      <c r="Q293" s="375">
        <v>252556</v>
      </c>
      <c r="R293" s="628" t="s">
        <v>618</v>
      </c>
      <c r="S293" s="610" t="s">
        <v>619</v>
      </c>
      <c r="T293" s="674">
        <v>45869</v>
      </c>
      <c r="U293" s="679">
        <v>184585.6619127203</v>
      </c>
      <c r="V293" s="887"/>
      <c r="W293" s="561">
        <v>46112</v>
      </c>
      <c r="X293" s="874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4"/>
      <c r="J294" s="884"/>
      <c r="K294" s="277"/>
      <c r="L294" s="300">
        <v>11</v>
      </c>
      <c r="M294" s="378" t="s">
        <v>605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87"/>
      <c r="W294" s="561"/>
      <c r="X294" s="874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4"/>
      <c r="J295" s="884"/>
      <c r="K295" s="277"/>
      <c r="L295" s="300">
        <v>11</v>
      </c>
      <c r="M295" s="378" t="s">
        <v>605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87"/>
      <c r="W295" s="561"/>
      <c r="X295" s="874"/>
      <c r="Y295" s="472"/>
    </row>
    <row r="296" spans="1:25" ht="15" customHeight="1">
      <c r="B296" s="372"/>
      <c r="C296" s="376"/>
      <c r="D296" s="376"/>
      <c r="E296" s="395"/>
      <c r="F296" s="431"/>
      <c r="G296" s="375"/>
      <c r="H296" s="561"/>
      <c r="I296" s="884"/>
      <c r="J296" s="884"/>
      <c r="K296" s="277"/>
      <c r="L296" s="300">
        <v>11</v>
      </c>
      <c r="M296" s="378" t="s">
        <v>605</v>
      </c>
      <c r="N296" s="376" t="s">
        <v>620</v>
      </c>
      <c r="O296" s="395"/>
      <c r="P296" s="431"/>
      <c r="Q296" s="375">
        <v>10000</v>
      </c>
      <c r="R296" s="628"/>
      <c r="S296" s="610" t="s">
        <v>840</v>
      </c>
      <c r="T296" s="670">
        <v>46081</v>
      </c>
      <c r="U296" s="493">
        <f>(Q296/$X$284*$J$284)</f>
        <v>7456.6237543887564</v>
      </c>
      <c r="V296" s="887"/>
      <c r="W296" s="561">
        <f>T296</f>
        <v>46081</v>
      </c>
      <c r="X296" s="874"/>
      <c r="Y296" s="472"/>
    </row>
    <row r="297" spans="1:25" ht="15" customHeight="1" thickBot="1">
      <c r="B297" s="305">
        <v>11</v>
      </c>
      <c r="C297" s="306"/>
      <c r="D297" s="306"/>
      <c r="E297" s="307"/>
      <c r="F297" s="447"/>
      <c r="G297" s="319"/>
      <c r="H297" s="562"/>
      <c r="I297" s="885"/>
      <c r="J297" s="885"/>
      <c r="K297" s="278"/>
      <c r="L297" s="305">
        <v>11</v>
      </c>
      <c r="M297" s="407" t="s">
        <v>605</v>
      </c>
      <c r="N297" s="306" t="s">
        <v>621</v>
      </c>
      <c r="O297" s="542"/>
      <c r="P297" s="447"/>
      <c r="Q297" s="319">
        <v>10000</v>
      </c>
      <c r="R297" s="576"/>
      <c r="S297" s="611" t="s">
        <v>840</v>
      </c>
      <c r="T297" s="707">
        <v>46081</v>
      </c>
      <c r="U297" s="495">
        <f>(Q297/$X$284*$J$284)</f>
        <v>7456.6237543887564</v>
      </c>
      <c r="V297" s="888"/>
      <c r="W297" s="562">
        <f>T297</f>
        <v>46081</v>
      </c>
      <c r="X297" s="875"/>
      <c r="Y297" s="472"/>
    </row>
    <row r="298" spans="1:25" ht="15" customHeight="1" thickBot="1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>
      <c r="B299" s="258">
        <v>12</v>
      </c>
      <c r="C299" s="259" t="s">
        <v>622</v>
      </c>
      <c r="D299" s="259"/>
      <c r="E299" s="260"/>
      <c r="F299" s="457"/>
      <c r="G299" s="327"/>
      <c r="H299" s="570"/>
      <c r="I299" s="913">
        <f>SUM(G299:G300)</f>
        <v>205449.89057158865</v>
      </c>
      <c r="J299" s="913">
        <v>0</v>
      </c>
      <c r="K299" s="462"/>
      <c r="L299" s="258">
        <v>12</v>
      </c>
      <c r="M299" s="259" t="s">
        <v>623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916">
        <f>SUM(Q299:Q300)</f>
        <v>0</v>
      </c>
      <c r="Y299" s="472"/>
    </row>
    <row r="300" spans="1:25" ht="15" customHeight="1" thickBot="1">
      <c r="B300" s="262">
        <v>12</v>
      </c>
      <c r="C300" s="333" t="s">
        <v>622</v>
      </c>
      <c r="D300" s="333" t="s">
        <v>624</v>
      </c>
      <c r="E300" s="334"/>
      <c r="F300" s="459"/>
      <c r="G300" s="263">
        <v>205449.89057158865</v>
      </c>
      <c r="H300" s="573">
        <f>H284</f>
        <v>45991</v>
      </c>
      <c r="I300" s="915"/>
      <c r="J300" s="915"/>
      <c r="K300" s="463"/>
      <c r="L300" s="262">
        <v>12</v>
      </c>
      <c r="M300" s="333" t="s">
        <v>623</v>
      </c>
      <c r="N300" s="333" t="s">
        <v>624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918"/>
      <c r="Y300" s="472"/>
    </row>
    <row r="301" spans="1:25" ht="14.4" thickBot="1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>
      <c r="B302" s="270">
        <v>13</v>
      </c>
      <c r="C302" s="271" t="s">
        <v>625</v>
      </c>
      <c r="D302" s="340" t="s">
        <v>626</v>
      </c>
      <c r="E302" s="272"/>
      <c r="F302" s="424"/>
      <c r="G302" s="273">
        <v>950000</v>
      </c>
      <c r="H302" s="567">
        <v>46022</v>
      </c>
      <c r="I302" s="883">
        <f>SUM(G302:G317)</f>
        <v>950000</v>
      </c>
      <c r="J302" s="883">
        <f>F393</f>
        <v>1079545.4545454546</v>
      </c>
      <c r="K302" s="274"/>
      <c r="L302" s="270">
        <v>13</v>
      </c>
      <c r="M302" s="340" t="s">
        <v>627</v>
      </c>
      <c r="N302" s="340" t="s">
        <v>628</v>
      </c>
      <c r="O302" s="539"/>
      <c r="P302" s="424"/>
      <c r="Q302" s="273">
        <f>985688/12</f>
        <v>82140.666666666672</v>
      </c>
      <c r="R302" s="948"/>
      <c r="S302" s="616" t="s">
        <v>838</v>
      </c>
      <c r="T302" s="673">
        <v>46081</v>
      </c>
      <c r="U302" s="501">
        <v>86896.76</v>
      </c>
      <c r="V302" s="886">
        <f>J302-SUM(U302:U324)</f>
        <v>-3.1437885481864214E-3</v>
      </c>
      <c r="W302" s="567">
        <v>46112</v>
      </c>
      <c r="X302" s="873">
        <f>SUM(Q302:Q324)</f>
        <v>1011274.9999999999</v>
      </c>
      <c r="Y302" s="472"/>
    </row>
    <row r="303" spans="1:25" ht="15.75" customHeight="1">
      <c r="B303" s="275"/>
      <c r="C303" s="276"/>
      <c r="D303" s="763"/>
      <c r="E303" s="438"/>
      <c r="F303" s="439"/>
      <c r="G303" s="764"/>
      <c r="H303" s="567"/>
      <c r="I303" s="884"/>
      <c r="J303" s="884"/>
      <c r="K303" s="949"/>
      <c r="L303" s="275">
        <v>13</v>
      </c>
      <c r="M303" s="763" t="s">
        <v>627</v>
      </c>
      <c r="N303" s="763" t="s">
        <v>628</v>
      </c>
      <c r="O303" s="547"/>
      <c r="P303" s="439"/>
      <c r="Q303" s="764">
        <v>82140.666666666672</v>
      </c>
      <c r="R303" s="948"/>
      <c r="S303" s="616" t="s">
        <v>838</v>
      </c>
      <c r="T303" s="673">
        <v>46081</v>
      </c>
      <c r="U303" s="501">
        <v>86896.76</v>
      </c>
      <c r="V303" s="887"/>
      <c r="W303" s="567">
        <v>46142</v>
      </c>
      <c r="X303" s="950"/>
      <c r="Y303" s="472"/>
    </row>
    <row r="304" spans="1:25" ht="15.75" customHeight="1">
      <c r="B304" s="275"/>
      <c r="C304" s="276"/>
      <c r="D304" s="763"/>
      <c r="E304" s="438"/>
      <c r="F304" s="439"/>
      <c r="G304" s="764"/>
      <c r="H304" s="567"/>
      <c r="I304" s="884"/>
      <c r="J304" s="884"/>
      <c r="K304" s="949"/>
      <c r="L304" s="275">
        <v>13</v>
      </c>
      <c r="M304" s="763" t="s">
        <v>627</v>
      </c>
      <c r="N304" s="763" t="s">
        <v>628</v>
      </c>
      <c r="O304" s="547"/>
      <c r="P304" s="439"/>
      <c r="Q304" s="764">
        <v>82140.666666666672</v>
      </c>
      <c r="R304" s="948"/>
      <c r="S304" s="616" t="s">
        <v>838</v>
      </c>
      <c r="T304" s="673">
        <v>46081</v>
      </c>
      <c r="U304" s="501">
        <v>86896.76</v>
      </c>
      <c r="V304" s="887"/>
      <c r="W304" s="567">
        <v>46173</v>
      </c>
      <c r="X304" s="950"/>
      <c r="Y304" s="472"/>
    </row>
    <row r="305" spans="2:25" ht="15.75" customHeight="1">
      <c r="B305" s="275"/>
      <c r="C305" s="276"/>
      <c r="D305" s="763"/>
      <c r="E305" s="438"/>
      <c r="F305" s="439"/>
      <c r="G305" s="764"/>
      <c r="H305" s="567"/>
      <c r="I305" s="884"/>
      <c r="J305" s="884"/>
      <c r="K305" s="949"/>
      <c r="L305" s="275">
        <v>13</v>
      </c>
      <c r="M305" s="763" t="s">
        <v>627</v>
      </c>
      <c r="N305" s="763" t="s">
        <v>628</v>
      </c>
      <c r="O305" s="547"/>
      <c r="P305" s="439"/>
      <c r="Q305" s="764">
        <v>82140.666666666672</v>
      </c>
      <c r="R305" s="948"/>
      <c r="S305" s="616" t="s">
        <v>838</v>
      </c>
      <c r="T305" s="673">
        <v>46081</v>
      </c>
      <c r="U305" s="501">
        <v>86896.76</v>
      </c>
      <c r="V305" s="887"/>
      <c r="W305" s="567">
        <v>46203</v>
      </c>
      <c r="X305" s="950"/>
      <c r="Y305" s="472"/>
    </row>
    <row r="306" spans="2:25" ht="15.75" customHeight="1">
      <c r="B306" s="275"/>
      <c r="C306" s="276"/>
      <c r="D306" s="763"/>
      <c r="E306" s="438"/>
      <c r="F306" s="439"/>
      <c r="G306" s="764"/>
      <c r="H306" s="567"/>
      <c r="I306" s="884"/>
      <c r="J306" s="884"/>
      <c r="K306" s="949"/>
      <c r="L306" s="275">
        <v>13</v>
      </c>
      <c r="M306" s="763" t="s">
        <v>627</v>
      </c>
      <c r="N306" s="763" t="s">
        <v>628</v>
      </c>
      <c r="O306" s="547"/>
      <c r="P306" s="439"/>
      <c r="Q306" s="764">
        <v>82140.666666666672</v>
      </c>
      <c r="R306" s="948"/>
      <c r="S306" s="616" t="s">
        <v>838</v>
      </c>
      <c r="T306" s="673">
        <v>46081</v>
      </c>
      <c r="U306" s="501">
        <v>86896.76</v>
      </c>
      <c r="V306" s="887"/>
      <c r="W306" s="567">
        <v>46234</v>
      </c>
      <c r="X306" s="950"/>
      <c r="Y306" s="472"/>
    </row>
    <row r="307" spans="2:25" ht="15.75" customHeight="1">
      <c r="B307" s="275"/>
      <c r="C307" s="276"/>
      <c r="D307" s="763"/>
      <c r="E307" s="438"/>
      <c r="F307" s="439"/>
      <c r="G307" s="764"/>
      <c r="H307" s="567"/>
      <c r="I307" s="884"/>
      <c r="J307" s="884"/>
      <c r="K307" s="949"/>
      <c r="L307" s="275">
        <v>13</v>
      </c>
      <c r="M307" s="763" t="s">
        <v>627</v>
      </c>
      <c r="N307" s="763" t="s">
        <v>628</v>
      </c>
      <c r="O307" s="547"/>
      <c r="P307" s="439"/>
      <c r="Q307" s="764">
        <v>82140.666666666672</v>
      </c>
      <c r="R307" s="948"/>
      <c r="S307" s="616" t="s">
        <v>838</v>
      </c>
      <c r="T307" s="673">
        <v>46081</v>
      </c>
      <c r="U307" s="501">
        <v>86896.76</v>
      </c>
      <c r="V307" s="887"/>
      <c r="W307" s="567">
        <v>46265</v>
      </c>
      <c r="X307" s="950"/>
      <c r="Y307" s="472"/>
    </row>
    <row r="308" spans="2:25" ht="15.75" customHeight="1">
      <c r="B308" s="275"/>
      <c r="C308" s="276"/>
      <c r="D308" s="763"/>
      <c r="E308" s="438"/>
      <c r="F308" s="439"/>
      <c r="G308" s="764"/>
      <c r="H308" s="567"/>
      <c r="I308" s="884"/>
      <c r="J308" s="884"/>
      <c r="K308" s="949"/>
      <c r="L308" s="275">
        <v>13</v>
      </c>
      <c r="M308" s="763" t="s">
        <v>627</v>
      </c>
      <c r="N308" s="763" t="s">
        <v>628</v>
      </c>
      <c r="O308" s="547"/>
      <c r="P308" s="439"/>
      <c r="Q308" s="764">
        <v>82140.666666666672</v>
      </c>
      <c r="R308" s="948"/>
      <c r="S308" s="616" t="s">
        <v>838</v>
      </c>
      <c r="T308" s="673">
        <v>46081</v>
      </c>
      <c r="U308" s="501">
        <v>86896.76</v>
      </c>
      <c r="V308" s="887"/>
      <c r="W308" s="567">
        <v>46295</v>
      </c>
      <c r="X308" s="950"/>
      <c r="Y308" s="472"/>
    </row>
    <row r="309" spans="2:25" ht="15.75" customHeight="1">
      <c r="B309" s="275"/>
      <c r="C309" s="276"/>
      <c r="D309" s="763"/>
      <c r="E309" s="438"/>
      <c r="F309" s="439"/>
      <c r="G309" s="764"/>
      <c r="H309" s="567"/>
      <c r="I309" s="884"/>
      <c r="J309" s="884"/>
      <c r="K309" s="949"/>
      <c r="L309" s="275">
        <v>13</v>
      </c>
      <c r="M309" s="763" t="s">
        <v>627</v>
      </c>
      <c r="N309" s="763" t="s">
        <v>628</v>
      </c>
      <c r="O309" s="547"/>
      <c r="P309" s="439"/>
      <c r="Q309" s="764">
        <v>82140.666666666672</v>
      </c>
      <c r="R309" s="948"/>
      <c r="S309" s="616" t="s">
        <v>838</v>
      </c>
      <c r="T309" s="673">
        <v>46081</v>
      </c>
      <c r="U309" s="501">
        <v>86896.76</v>
      </c>
      <c r="V309" s="887"/>
      <c r="W309" s="567">
        <v>46326</v>
      </c>
      <c r="X309" s="950"/>
      <c r="Y309" s="472"/>
    </row>
    <row r="310" spans="2:25" ht="15.75" customHeight="1">
      <c r="B310" s="275"/>
      <c r="C310" s="276"/>
      <c r="D310" s="763"/>
      <c r="E310" s="438"/>
      <c r="F310" s="439"/>
      <c r="G310" s="764"/>
      <c r="H310" s="567"/>
      <c r="I310" s="884"/>
      <c r="J310" s="884"/>
      <c r="K310" s="949"/>
      <c r="L310" s="275">
        <v>13</v>
      </c>
      <c r="M310" s="763" t="s">
        <v>627</v>
      </c>
      <c r="N310" s="763" t="s">
        <v>628</v>
      </c>
      <c r="O310" s="547"/>
      <c r="P310" s="439"/>
      <c r="Q310" s="764">
        <v>82140.666666666672</v>
      </c>
      <c r="R310" s="948"/>
      <c r="S310" s="616" t="s">
        <v>838</v>
      </c>
      <c r="T310" s="673">
        <v>46081</v>
      </c>
      <c r="U310" s="501">
        <v>86896.76</v>
      </c>
      <c r="V310" s="887"/>
      <c r="W310" s="567">
        <v>46356</v>
      </c>
      <c r="X310" s="950"/>
      <c r="Y310" s="472"/>
    </row>
    <row r="311" spans="2:25" ht="15.75" customHeight="1">
      <c r="B311" s="275"/>
      <c r="C311" s="276"/>
      <c r="D311" s="763"/>
      <c r="E311" s="438"/>
      <c r="F311" s="439"/>
      <c r="G311" s="764"/>
      <c r="H311" s="567"/>
      <c r="I311" s="884"/>
      <c r="J311" s="884"/>
      <c r="K311" s="949"/>
      <c r="L311" s="275">
        <v>13</v>
      </c>
      <c r="M311" s="763" t="s">
        <v>627</v>
      </c>
      <c r="N311" s="763" t="s">
        <v>628</v>
      </c>
      <c r="O311" s="547"/>
      <c r="P311" s="439"/>
      <c r="Q311" s="764">
        <v>82140.666666666672</v>
      </c>
      <c r="R311" s="948"/>
      <c r="S311" s="616" t="s">
        <v>838</v>
      </c>
      <c r="T311" s="673">
        <v>46081</v>
      </c>
      <c r="U311" s="501">
        <v>86896.76</v>
      </c>
      <c r="V311" s="887"/>
      <c r="W311" s="567">
        <v>46387</v>
      </c>
      <c r="X311" s="950"/>
      <c r="Y311" s="472"/>
    </row>
    <row r="312" spans="2:25" ht="15.75" customHeight="1">
      <c r="B312" s="275"/>
      <c r="C312" s="276"/>
      <c r="D312" s="763"/>
      <c r="E312" s="438"/>
      <c r="F312" s="439"/>
      <c r="G312" s="764"/>
      <c r="H312" s="567"/>
      <c r="I312" s="884"/>
      <c r="J312" s="884"/>
      <c r="K312" s="949"/>
      <c r="L312" s="275">
        <v>13</v>
      </c>
      <c r="M312" s="763" t="s">
        <v>627</v>
      </c>
      <c r="N312" s="763" t="s">
        <v>628</v>
      </c>
      <c r="O312" s="547"/>
      <c r="P312" s="439"/>
      <c r="Q312" s="764">
        <v>82140.666666666672</v>
      </c>
      <c r="R312" s="948"/>
      <c r="S312" s="616" t="s">
        <v>838</v>
      </c>
      <c r="T312" s="673">
        <v>46081</v>
      </c>
      <c r="U312" s="501">
        <v>86896.76</v>
      </c>
      <c r="V312" s="887"/>
      <c r="W312" s="567">
        <v>46418</v>
      </c>
      <c r="X312" s="950"/>
      <c r="Y312" s="472"/>
    </row>
    <row r="313" spans="2:25" ht="15.75" customHeight="1">
      <c r="B313" s="275"/>
      <c r="C313" s="276"/>
      <c r="D313" s="763"/>
      <c r="E313" s="438"/>
      <c r="F313" s="439"/>
      <c r="G313" s="764"/>
      <c r="H313" s="567"/>
      <c r="I313" s="884"/>
      <c r="J313" s="884"/>
      <c r="K313" s="949"/>
      <c r="L313" s="275">
        <v>13</v>
      </c>
      <c r="M313" s="763" t="s">
        <v>627</v>
      </c>
      <c r="N313" s="763" t="s">
        <v>628</v>
      </c>
      <c r="O313" s="547"/>
      <c r="P313" s="439"/>
      <c r="Q313" s="764">
        <v>82140.666666666672</v>
      </c>
      <c r="R313" s="948"/>
      <c r="S313" s="616" t="s">
        <v>838</v>
      </c>
      <c r="T313" s="673">
        <v>46081</v>
      </c>
      <c r="U313" s="501">
        <v>86896.8</v>
      </c>
      <c r="V313" s="887"/>
      <c r="W313" s="567">
        <v>46443</v>
      </c>
      <c r="X313" s="950"/>
      <c r="Y313" s="472"/>
    </row>
    <row r="314" spans="2:25" ht="15.75" customHeight="1">
      <c r="B314" s="300">
        <v>13</v>
      </c>
      <c r="C314" s="302"/>
      <c r="D314" s="302"/>
      <c r="E314" s="303"/>
      <c r="F314" s="446"/>
      <c r="G314" s="304"/>
      <c r="H314" s="524"/>
      <c r="I314" s="884"/>
      <c r="J314" s="884"/>
      <c r="K314" s="277"/>
      <c r="L314" s="300">
        <v>13</v>
      </c>
      <c r="M314" s="378" t="s">
        <v>627</v>
      </c>
      <c r="N314" s="302" t="s">
        <v>629</v>
      </c>
      <c r="O314" s="540"/>
      <c r="P314" s="446"/>
      <c r="Q314" s="304">
        <v>11372</v>
      </c>
      <c r="R314" s="574"/>
      <c r="S314" s="609" t="s">
        <v>630</v>
      </c>
      <c r="T314" s="674">
        <v>45900</v>
      </c>
      <c r="U314" s="679">
        <v>12657.57114292171</v>
      </c>
      <c r="V314" s="887"/>
      <c r="W314" s="524">
        <v>45900</v>
      </c>
      <c r="X314" s="874"/>
      <c r="Y314" s="472"/>
    </row>
    <row r="315" spans="2:25" ht="15.75" customHeight="1">
      <c r="B315" s="300">
        <v>13</v>
      </c>
      <c r="C315" s="302"/>
      <c r="D315" s="302"/>
      <c r="E315" s="303"/>
      <c r="F315" s="446"/>
      <c r="G315" s="304"/>
      <c r="H315" s="560"/>
      <c r="I315" s="884"/>
      <c r="J315" s="884"/>
      <c r="K315" s="277"/>
      <c r="L315" s="300">
        <v>13</v>
      </c>
      <c r="M315" s="378" t="s">
        <v>627</v>
      </c>
      <c r="N315" s="302" t="s">
        <v>631</v>
      </c>
      <c r="O315" s="540"/>
      <c r="P315" s="446"/>
      <c r="Q315" s="304">
        <v>2843</v>
      </c>
      <c r="R315" s="574"/>
      <c r="S315" s="609" t="s">
        <v>632</v>
      </c>
      <c r="T315" s="674">
        <v>45930</v>
      </c>
      <c r="U315" s="757">
        <v>3164.3927857304275</v>
      </c>
      <c r="V315" s="887"/>
      <c r="W315" s="524">
        <v>45900</v>
      </c>
      <c r="X315" s="874"/>
      <c r="Y315" s="472"/>
    </row>
    <row r="316" spans="2:25" ht="15.75" customHeight="1">
      <c r="B316" s="300">
        <v>13</v>
      </c>
      <c r="C316" s="302"/>
      <c r="D316" s="302"/>
      <c r="E316" s="303"/>
      <c r="F316" s="446"/>
      <c r="G316" s="304"/>
      <c r="H316" s="560"/>
      <c r="I316" s="884"/>
      <c r="J316" s="884"/>
      <c r="K316" s="277"/>
      <c r="L316" s="300">
        <v>13</v>
      </c>
      <c r="M316" s="378" t="s">
        <v>627</v>
      </c>
      <c r="N316" s="302" t="s">
        <v>633</v>
      </c>
      <c r="O316" s="540"/>
      <c r="P316" s="446"/>
      <c r="Q316" s="304">
        <v>2843</v>
      </c>
      <c r="R316" s="574"/>
      <c r="S316" s="609" t="s">
        <v>634</v>
      </c>
      <c r="T316" s="751">
        <v>45961</v>
      </c>
      <c r="U316" s="757">
        <v>3108.9043414431007</v>
      </c>
      <c r="V316" s="887"/>
      <c r="W316" s="524">
        <v>45989</v>
      </c>
      <c r="X316" s="874"/>
      <c r="Y316" s="472"/>
    </row>
    <row r="317" spans="2:25" ht="15.75" customHeight="1">
      <c r="B317" s="300">
        <v>13</v>
      </c>
      <c r="C317" s="302"/>
      <c r="D317" s="302"/>
      <c r="E317" s="303"/>
      <c r="F317" s="446"/>
      <c r="G317" s="304"/>
      <c r="H317" s="560"/>
      <c r="I317" s="884"/>
      <c r="J317" s="884"/>
      <c r="K317" s="277"/>
      <c r="L317" s="300">
        <v>13</v>
      </c>
      <c r="M317" s="378" t="s">
        <v>627</v>
      </c>
      <c r="N317" s="302" t="s">
        <v>635</v>
      </c>
      <c r="O317" s="540"/>
      <c r="P317" s="446"/>
      <c r="Q317" s="304">
        <v>2843</v>
      </c>
      <c r="R317" s="574"/>
      <c r="S317" s="609" t="s">
        <v>636</v>
      </c>
      <c r="T317" s="674">
        <v>45991</v>
      </c>
      <c r="U317" s="757">
        <v>3155.1443414431005</v>
      </c>
      <c r="V317" s="887"/>
      <c r="W317" s="756">
        <v>46021</v>
      </c>
      <c r="X317" s="874"/>
      <c r="Y317" s="472"/>
    </row>
    <row r="318" spans="2:25" ht="15.75" customHeight="1">
      <c r="B318" s="372"/>
      <c r="C318" s="376"/>
      <c r="D318" s="376"/>
      <c r="E318" s="395"/>
      <c r="F318" s="431"/>
      <c r="G318" s="375"/>
      <c r="H318" s="561"/>
      <c r="I318" s="884"/>
      <c r="J318" s="884"/>
      <c r="K318" s="277"/>
      <c r="L318" s="300">
        <v>13</v>
      </c>
      <c r="M318" s="378" t="s">
        <v>627</v>
      </c>
      <c r="N318" s="302" t="s">
        <v>637</v>
      </c>
      <c r="O318" s="541"/>
      <c r="P318" s="431"/>
      <c r="Q318" s="304">
        <v>2843</v>
      </c>
      <c r="R318" s="575"/>
      <c r="S318" s="609" t="s">
        <v>638</v>
      </c>
      <c r="T318" s="782">
        <v>46022</v>
      </c>
      <c r="U318" s="757">
        <v>3118.0250777042997</v>
      </c>
      <c r="V318" s="887"/>
      <c r="W318" s="525">
        <v>46051</v>
      </c>
      <c r="X318" s="874"/>
      <c r="Y318" s="472"/>
    </row>
    <row r="319" spans="2:25" ht="15.75" customHeight="1">
      <c r="B319" s="372"/>
      <c r="C319" s="376"/>
      <c r="D319" s="376"/>
      <c r="E319" s="395"/>
      <c r="F319" s="431"/>
      <c r="G319" s="375"/>
      <c r="H319" s="561"/>
      <c r="I319" s="884"/>
      <c r="J319" s="884"/>
      <c r="K319" s="277"/>
      <c r="L319" s="300">
        <v>13</v>
      </c>
      <c r="M319" s="378" t="s">
        <v>627</v>
      </c>
      <c r="N319" s="302" t="s">
        <v>639</v>
      </c>
      <c r="O319" s="541"/>
      <c r="P319" s="431"/>
      <c r="Q319" s="304">
        <v>2843</v>
      </c>
      <c r="R319" s="575"/>
      <c r="S319" s="609" t="s">
        <v>640</v>
      </c>
      <c r="T319" s="782">
        <v>46053</v>
      </c>
      <c r="U319" s="757">
        <v>2843</v>
      </c>
      <c r="V319" s="887"/>
      <c r="W319" s="561">
        <v>46081</v>
      </c>
      <c r="X319" s="874"/>
      <c r="Y319" s="472"/>
    </row>
    <row r="320" spans="2:25" ht="15.75" customHeight="1">
      <c r="B320" s="372"/>
      <c r="C320" s="376"/>
      <c r="D320" s="376"/>
      <c r="E320" s="395"/>
      <c r="F320" s="431"/>
      <c r="G320" s="375"/>
      <c r="H320" s="561"/>
      <c r="I320" s="884"/>
      <c r="J320" s="884"/>
      <c r="K320" s="277"/>
      <c r="L320" s="300">
        <v>13</v>
      </c>
      <c r="M320" s="378" t="s">
        <v>627</v>
      </c>
      <c r="N320" s="376" t="s">
        <v>641</v>
      </c>
      <c r="O320" s="541"/>
      <c r="P320" s="431"/>
      <c r="Q320" s="375">
        <v>8737.26</v>
      </c>
      <c r="R320" s="575"/>
      <c r="S320" s="609" t="s">
        <v>642</v>
      </c>
      <c r="T320" s="782">
        <v>46053</v>
      </c>
      <c r="U320" s="757">
        <v>8737.26</v>
      </c>
      <c r="V320" s="887"/>
      <c r="W320" s="774">
        <v>46081</v>
      </c>
      <c r="X320" s="874"/>
      <c r="Y320" s="472"/>
    </row>
    <row r="321" spans="1:25" ht="15.75" customHeight="1">
      <c r="B321" s="372"/>
      <c r="C321" s="376"/>
      <c r="D321" s="376"/>
      <c r="E321" s="395"/>
      <c r="F321" s="431"/>
      <c r="G321" s="375"/>
      <c r="H321" s="561"/>
      <c r="I321" s="884"/>
      <c r="J321" s="884"/>
      <c r="K321" s="277"/>
      <c r="L321" s="300">
        <v>13</v>
      </c>
      <c r="M321" s="378" t="s">
        <v>627</v>
      </c>
      <c r="N321" s="376" t="s">
        <v>641</v>
      </c>
      <c r="O321" s="541"/>
      <c r="P321" s="431"/>
      <c r="Q321" s="375">
        <f>-Q320</f>
        <v>-8737.26</v>
      </c>
      <c r="R321" s="575"/>
      <c r="S321" s="609" t="s">
        <v>839</v>
      </c>
      <c r="T321" s="782">
        <v>46081</v>
      </c>
      <c r="U321" s="757">
        <v>0</v>
      </c>
      <c r="V321" s="887"/>
      <c r="W321" s="774">
        <v>46081</v>
      </c>
      <c r="X321" s="874"/>
      <c r="Y321" s="472"/>
    </row>
    <row r="322" spans="1:25" ht="15.75" customHeight="1">
      <c r="B322" s="372"/>
      <c r="C322" s="376"/>
      <c r="D322" s="376"/>
      <c r="E322" s="395"/>
      <c r="F322" s="431"/>
      <c r="G322" s="375"/>
      <c r="H322" s="561"/>
      <c r="I322" s="884"/>
      <c r="J322" s="884"/>
      <c r="K322" s="277"/>
      <c r="L322" s="300">
        <v>13</v>
      </c>
      <c r="M322" s="378" t="s">
        <v>627</v>
      </c>
      <c r="N322" s="376" t="s">
        <v>831</v>
      </c>
      <c r="O322" s="541"/>
      <c r="P322" s="431"/>
      <c r="Q322" s="375">
        <v>2843</v>
      </c>
      <c r="R322" s="575"/>
      <c r="S322" s="610" t="s">
        <v>836</v>
      </c>
      <c r="T322" s="782">
        <v>46081</v>
      </c>
      <c r="U322" s="757">
        <v>0</v>
      </c>
      <c r="V322" s="887"/>
      <c r="W322" s="561">
        <v>46081</v>
      </c>
      <c r="X322" s="874"/>
      <c r="Y322" s="472"/>
    </row>
    <row r="323" spans="1:25" ht="15.75" customHeight="1">
      <c r="B323" s="372"/>
      <c r="C323" s="376"/>
      <c r="D323" s="376"/>
      <c r="E323" s="395"/>
      <c r="F323" s="431"/>
      <c r="G323" s="375"/>
      <c r="H323" s="561"/>
      <c r="I323" s="884"/>
      <c r="J323" s="884"/>
      <c r="K323" s="277"/>
      <c r="L323" s="300">
        <v>13</v>
      </c>
      <c r="M323" s="378" t="s">
        <v>627</v>
      </c>
      <c r="N323" s="376" t="s">
        <v>831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806">
        <v>0</v>
      </c>
      <c r="V323" s="887"/>
      <c r="W323" s="561">
        <v>46081</v>
      </c>
      <c r="X323" s="874"/>
      <c r="Y323" s="472"/>
    </row>
    <row r="324" spans="1:25" ht="15.75" customHeight="1" thickBot="1">
      <c r="B324" s="305">
        <v>13</v>
      </c>
      <c r="C324" s="306"/>
      <c r="D324" s="306"/>
      <c r="E324" s="307"/>
      <c r="F324" s="447"/>
      <c r="G324" s="319"/>
      <c r="H324" s="562"/>
      <c r="I324" s="885"/>
      <c r="J324" s="885"/>
      <c r="K324" s="464"/>
      <c r="L324" s="305">
        <v>13</v>
      </c>
      <c r="M324" s="407" t="s">
        <v>627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88"/>
      <c r="W324" s="562"/>
      <c r="X324" s="875"/>
      <c r="Y324" s="472"/>
    </row>
    <row r="325" spans="1:25" ht="14.4" thickBot="1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>
      <c r="B326" s="258">
        <v>14</v>
      </c>
      <c r="C326" s="259" t="s">
        <v>643</v>
      </c>
      <c r="D326" s="259" t="s">
        <v>644</v>
      </c>
      <c r="E326" s="260"/>
      <c r="F326" s="457"/>
      <c r="G326" s="327">
        <v>0</v>
      </c>
      <c r="H326" s="531">
        <v>45817</v>
      </c>
      <c r="I326" s="913">
        <f>SUM(G326:G337)</f>
        <v>0</v>
      </c>
      <c r="J326" s="913">
        <f>F404</f>
        <v>0</v>
      </c>
      <c r="K326" s="328"/>
      <c r="L326" s="258">
        <v>14</v>
      </c>
      <c r="M326" s="421" t="s">
        <v>645</v>
      </c>
      <c r="N326" s="259" t="s">
        <v>646</v>
      </c>
      <c r="O326" s="552"/>
      <c r="P326" s="457"/>
      <c r="Q326" s="327">
        <v>6509.8599999999988</v>
      </c>
      <c r="R326" s="588"/>
      <c r="S326" s="586" t="s">
        <v>647</v>
      </c>
      <c r="T326" s="641">
        <v>45808</v>
      </c>
      <c r="U326" s="507">
        <f t="shared" ref="U326:U337" si="29">(Q326/$X$326*$J$326)</f>
        <v>0</v>
      </c>
      <c r="V326" s="919">
        <f>J326-SUM(U326:U337)</f>
        <v>0</v>
      </c>
      <c r="W326" s="531">
        <v>45817</v>
      </c>
      <c r="X326" s="916">
        <f>SUM(Q326:Q337)</f>
        <v>271181.58</v>
      </c>
      <c r="Y326" s="472"/>
    </row>
    <row r="327" spans="1:25" ht="14.25" customHeight="1">
      <c r="B327" s="329">
        <v>14</v>
      </c>
      <c r="C327" s="330"/>
      <c r="D327" s="330"/>
      <c r="E327" s="331"/>
      <c r="F327" s="458"/>
      <c r="G327" s="332"/>
      <c r="H327" s="533">
        <v>45842</v>
      </c>
      <c r="I327" s="914"/>
      <c r="J327" s="914"/>
      <c r="K327" s="261"/>
      <c r="L327" s="329">
        <v>14</v>
      </c>
      <c r="M327" s="422" t="s">
        <v>645</v>
      </c>
      <c r="N327" s="330" t="s">
        <v>646</v>
      </c>
      <c r="O327" s="553"/>
      <c r="P327" s="458"/>
      <c r="Q327" s="332">
        <f>5408.52+362.32</f>
        <v>5770.84</v>
      </c>
      <c r="R327" s="588"/>
      <c r="S327" s="586" t="s">
        <v>647</v>
      </c>
      <c r="T327" s="676">
        <v>45838</v>
      </c>
      <c r="U327" s="507">
        <f t="shared" si="29"/>
        <v>0</v>
      </c>
      <c r="V327" s="920"/>
      <c r="W327" s="533">
        <v>45842</v>
      </c>
      <c r="X327" s="917"/>
      <c r="Y327" s="472"/>
    </row>
    <row r="328" spans="1:25" ht="14.25" customHeight="1">
      <c r="B328" s="329">
        <v>14</v>
      </c>
      <c r="C328" s="330"/>
      <c r="D328" s="330"/>
      <c r="E328" s="331"/>
      <c r="F328" s="458"/>
      <c r="G328" s="332"/>
      <c r="H328" s="533">
        <v>45876</v>
      </c>
      <c r="I328" s="914"/>
      <c r="J328" s="914"/>
      <c r="K328" s="261"/>
      <c r="L328" s="329">
        <v>14</v>
      </c>
      <c r="M328" s="422" t="s">
        <v>645</v>
      </c>
      <c r="N328" s="330" t="s">
        <v>646</v>
      </c>
      <c r="O328" s="553"/>
      <c r="P328" s="458"/>
      <c r="Q328" s="332">
        <v>21295.980000000003</v>
      </c>
      <c r="R328" s="588"/>
      <c r="S328" s="623" t="s">
        <v>647</v>
      </c>
      <c r="T328" s="676">
        <v>45869</v>
      </c>
      <c r="U328" s="507">
        <f t="shared" si="29"/>
        <v>0</v>
      </c>
      <c r="V328" s="920"/>
      <c r="W328" s="533">
        <v>45876</v>
      </c>
      <c r="X328" s="917"/>
      <c r="Y328" s="472"/>
    </row>
    <row r="329" spans="1:25" ht="14.25" customHeight="1">
      <c r="B329" s="329">
        <v>14</v>
      </c>
      <c r="C329" s="330"/>
      <c r="D329" s="330"/>
      <c r="E329" s="331"/>
      <c r="F329" s="458"/>
      <c r="G329" s="332"/>
      <c r="H329" s="533">
        <v>45905</v>
      </c>
      <c r="I329" s="914"/>
      <c r="J329" s="914"/>
      <c r="K329" s="261"/>
      <c r="L329" s="329">
        <v>14</v>
      </c>
      <c r="M329" s="422" t="s">
        <v>645</v>
      </c>
      <c r="N329" s="330" t="s">
        <v>646</v>
      </c>
      <c r="O329" s="553"/>
      <c r="P329" s="458"/>
      <c r="Q329" s="332">
        <v>50534.6</v>
      </c>
      <c r="R329" s="588"/>
      <c r="S329" s="623" t="s">
        <v>647</v>
      </c>
      <c r="T329" s="676">
        <v>45900</v>
      </c>
      <c r="U329" s="507">
        <f t="shared" si="29"/>
        <v>0</v>
      </c>
      <c r="V329" s="920"/>
      <c r="W329" s="533">
        <v>45905</v>
      </c>
      <c r="X329" s="917"/>
      <c r="Y329" s="472"/>
    </row>
    <row r="330" spans="1:25" ht="14.25" customHeight="1">
      <c r="B330" s="329">
        <v>14</v>
      </c>
      <c r="C330" s="330"/>
      <c r="D330" s="330"/>
      <c r="E330" s="331"/>
      <c r="F330" s="458"/>
      <c r="G330" s="332"/>
      <c r="H330" s="572">
        <v>45930</v>
      </c>
      <c r="I330" s="914"/>
      <c r="J330" s="914"/>
      <c r="K330" s="261"/>
      <c r="L330" s="329">
        <v>14</v>
      </c>
      <c r="M330" s="422" t="s">
        <v>645</v>
      </c>
      <c r="N330" s="330" t="s">
        <v>646</v>
      </c>
      <c r="O330" s="553"/>
      <c r="P330" s="458"/>
      <c r="Q330" s="332">
        <v>32154.959999999999</v>
      </c>
      <c r="R330" s="588"/>
      <c r="S330" s="623" t="s">
        <v>647</v>
      </c>
      <c r="T330" s="754">
        <v>45930</v>
      </c>
      <c r="U330" s="507">
        <f t="shared" si="29"/>
        <v>0</v>
      </c>
      <c r="V330" s="920"/>
      <c r="W330" s="755">
        <v>45940</v>
      </c>
      <c r="X330" s="917"/>
      <c r="Y330" s="472"/>
    </row>
    <row r="331" spans="1:25" ht="14.25" customHeight="1">
      <c r="B331" s="329">
        <v>14</v>
      </c>
      <c r="C331" s="330"/>
      <c r="D331" s="330"/>
      <c r="E331" s="331"/>
      <c r="F331" s="458"/>
      <c r="G331" s="332"/>
      <c r="H331" s="572">
        <v>45961</v>
      </c>
      <c r="I331" s="914"/>
      <c r="J331" s="914"/>
      <c r="K331" s="261"/>
      <c r="L331" s="329">
        <v>14</v>
      </c>
      <c r="M331" s="422" t="s">
        <v>645</v>
      </c>
      <c r="N331" s="330" t="s">
        <v>646</v>
      </c>
      <c r="O331" s="553"/>
      <c r="P331" s="458"/>
      <c r="Q331" s="332">
        <v>20629.91</v>
      </c>
      <c r="R331" s="588"/>
      <c r="S331" s="623" t="s">
        <v>647</v>
      </c>
      <c r="T331" s="754">
        <v>45961</v>
      </c>
      <c r="U331" s="507">
        <f t="shared" si="29"/>
        <v>0</v>
      </c>
      <c r="V331" s="920"/>
      <c r="W331" s="755">
        <v>45967</v>
      </c>
      <c r="X331" s="917"/>
      <c r="Y331" s="472"/>
    </row>
    <row r="332" spans="1:25" ht="14.25" customHeight="1">
      <c r="B332" s="329">
        <v>14</v>
      </c>
      <c r="C332" s="330"/>
      <c r="D332" s="330"/>
      <c r="E332" s="331"/>
      <c r="F332" s="458"/>
      <c r="G332" s="332"/>
      <c r="H332" s="572">
        <v>45991</v>
      </c>
      <c r="I332" s="914"/>
      <c r="J332" s="914"/>
      <c r="K332" s="261"/>
      <c r="L332" s="329">
        <v>14</v>
      </c>
      <c r="M332" s="422" t="s">
        <v>645</v>
      </c>
      <c r="N332" s="330" t="s">
        <v>646</v>
      </c>
      <c r="O332" s="553"/>
      <c r="P332" s="458"/>
      <c r="Q332" s="332">
        <v>15266.94</v>
      </c>
      <c r="R332" s="588"/>
      <c r="S332" s="623" t="s">
        <v>647</v>
      </c>
      <c r="T332" s="754">
        <v>45991</v>
      </c>
      <c r="U332" s="507">
        <f t="shared" si="29"/>
        <v>0</v>
      </c>
      <c r="V332" s="920"/>
      <c r="W332" s="755">
        <v>45996</v>
      </c>
      <c r="X332" s="917"/>
      <c r="Y332" s="472"/>
    </row>
    <row r="333" spans="1:25" ht="14.25" customHeight="1">
      <c r="B333" s="329">
        <v>14</v>
      </c>
      <c r="C333" s="330"/>
      <c r="D333" s="330"/>
      <c r="E333" s="331"/>
      <c r="F333" s="458"/>
      <c r="G333" s="332"/>
      <c r="H333" s="572">
        <v>46022</v>
      </c>
      <c r="I333" s="914"/>
      <c r="J333" s="914"/>
      <c r="K333" s="261"/>
      <c r="L333" s="329">
        <v>14</v>
      </c>
      <c r="M333" s="422" t="s">
        <v>645</v>
      </c>
      <c r="N333" s="330" t="s">
        <v>646</v>
      </c>
      <c r="O333" s="553"/>
      <c r="P333" s="458"/>
      <c r="Q333" s="332">
        <v>59700.29</v>
      </c>
      <c r="R333" s="588"/>
      <c r="S333" s="623" t="s">
        <v>647</v>
      </c>
      <c r="T333" s="754">
        <v>46022</v>
      </c>
      <c r="U333" s="507">
        <f t="shared" si="29"/>
        <v>0</v>
      </c>
      <c r="V333" s="920"/>
      <c r="W333" s="755">
        <v>46030</v>
      </c>
      <c r="X333" s="917"/>
      <c r="Y333" s="472"/>
    </row>
    <row r="334" spans="1:25" ht="14.25" customHeight="1">
      <c r="B334" s="329">
        <v>14</v>
      </c>
      <c r="C334" s="330"/>
      <c r="D334" s="330"/>
      <c r="E334" s="331"/>
      <c r="F334" s="458"/>
      <c r="G334" s="332"/>
      <c r="H334" s="572">
        <v>46053</v>
      </c>
      <c r="I334" s="914"/>
      <c r="J334" s="914"/>
      <c r="K334" s="261"/>
      <c r="L334" s="329">
        <v>14</v>
      </c>
      <c r="M334" s="422" t="s">
        <v>645</v>
      </c>
      <c r="N334" s="330" t="s">
        <v>646</v>
      </c>
      <c r="O334" s="553"/>
      <c r="P334" s="458"/>
      <c r="Q334" s="332">
        <v>28655.7</v>
      </c>
      <c r="R334" s="588"/>
      <c r="S334" s="623" t="s">
        <v>647</v>
      </c>
      <c r="T334" s="754">
        <v>46053</v>
      </c>
      <c r="U334" s="507">
        <f t="shared" si="29"/>
        <v>0</v>
      </c>
      <c r="V334" s="920"/>
      <c r="W334" s="755">
        <v>46058</v>
      </c>
      <c r="X334" s="917"/>
      <c r="Y334" s="472"/>
    </row>
    <row r="335" spans="1:25" ht="14.25" customHeight="1">
      <c r="B335" s="329">
        <v>14</v>
      </c>
      <c r="C335" s="330"/>
      <c r="D335" s="330"/>
      <c r="E335" s="331"/>
      <c r="F335" s="458"/>
      <c r="G335" s="332"/>
      <c r="H335" s="572">
        <v>46081</v>
      </c>
      <c r="I335" s="914"/>
      <c r="J335" s="914"/>
      <c r="K335" s="261"/>
      <c r="L335" s="329">
        <v>14</v>
      </c>
      <c r="M335" s="422" t="s">
        <v>645</v>
      </c>
      <c r="N335" s="330" t="s">
        <v>646</v>
      </c>
      <c r="O335" s="553"/>
      <c r="P335" s="458"/>
      <c r="Q335" s="332">
        <v>30662.5</v>
      </c>
      <c r="R335" s="588"/>
      <c r="S335" s="623"/>
      <c r="T335" s="521">
        <f t="shared" ref="T335:T376" si="30">IF(W335&gt;1,EOMONTH(W335,0),"")</f>
        <v>46081</v>
      </c>
      <c r="U335" s="507">
        <f t="shared" si="29"/>
        <v>0</v>
      </c>
      <c r="V335" s="920"/>
      <c r="W335" s="572">
        <v>46081</v>
      </c>
      <c r="X335" s="917"/>
      <c r="Y335" s="472"/>
    </row>
    <row r="336" spans="1:25" ht="14.25" customHeight="1">
      <c r="B336" s="329">
        <v>14</v>
      </c>
      <c r="C336" s="330"/>
      <c r="D336" s="330"/>
      <c r="E336" s="331"/>
      <c r="F336" s="458"/>
      <c r="G336" s="332"/>
      <c r="H336" s="572"/>
      <c r="I336" s="914"/>
      <c r="J336" s="914"/>
      <c r="K336" s="261"/>
      <c r="L336" s="329">
        <v>14</v>
      </c>
      <c r="M336" s="422" t="s">
        <v>645</v>
      </c>
      <c r="N336" s="330"/>
      <c r="O336" s="553"/>
      <c r="P336" s="458"/>
      <c r="Q336" s="332"/>
      <c r="R336" s="588"/>
      <c r="S336" s="623"/>
      <c r="T336" s="521" t="str">
        <f t="shared" si="30"/>
        <v/>
      </c>
      <c r="U336" s="507">
        <f t="shared" si="29"/>
        <v>0</v>
      </c>
      <c r="V336" s="920"/>
      <c r="W336" s="572"/>
      <c r="X336" s="917"/>
      <c r="Y336" s="472"/>
    </row>
    <row r="337" spans="1:25" ht="15" customHeight="1" thickBot="1">
      <c r="B337" s="262">
        <v>14</v>
      </c>
      <c r="C337" s="333"/>
      <c r="D337" s="333"/>
      <c r="E337" s="334"/>
      <c r="F337" s="459"/>
      <c r="G337" s="263"/>
      <c r="H337" s="573"/>
      <c r="I337" s="915"/>
      <c r="J337" s="915"/>
      <c r="K337" s="264"/>
      <c r="L337" s="262">
        <v>14</v>
      </c>
      <c r="M337" s="423" t="s">
        <v>645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921"/>
      <c r="W337" s="573"/>
      <c r="X337" s="918"/>
      <c r="Y337" s="472"/>
    </row>
    <row r="338" spans="1:25" ht="14.4" thickBot="1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>
      <c r="B339" s="270">
        <v>15</v>
      </c>
      <c r="C339" s="271" t="s">
        <v>648</v>
      </c>
      <c r="D339" s="271"/>
      <c r="E339" s="272"/>
      <c r="F339" s="424"/>
      <c r="G339" s="273"/>
      <c r="H339" s="567"/>
      <c r="I339" s="883">
        <v>0</v>
      </c>
      <c r="J339" s="883">
        <v>0</v>
      </c>
      <c r="K339" s="274"/>
      <c r="L339" s="270">
        <v>15</v>
      </c>
      <c r="M339" s="340" t="s">
        <v>649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86">
        <v>0</v>
      </c>
      <c r="W339" s="567"/>
      <c r="X339" s="873">
        <f>SUM(Q339:Q376)</f>
        <v>1979046.5999999999</v>
      </c>
      <c r="Y339" s="472"/>
    </row>
    <row r="340" spans="1:25">
      <c r="B340" s="300">
        <v>15</v>
      </c>
      <c r="C340" s="302"/>
      <c r="D340" s="302"/>
      <c r="E340" s="303"/>
      <c r="F340" s="446"/>
      <c r="G340" s="304"/>
      <c r="H340" s="560"/>
      <c r="I340" s="884"/>
      <c r="J340" s="884"/>
      <c r="K340" s="277"/>
      <c r="L340" s="300">
        <v>15</v>
      </c>
      <c r="M340" s="378" t="s">
        <v>649</v>
      </c>
      <c r="N340" s="302" t="s">
        <v>650</v>
      </c>
      <c r="O340" s="540"/>
      <c r="P340" s="446"/>
      <c r="Q340" s="304"/>
      <c r="R340" s="574"/>
      <c r="S340" s="609"/>
      <c r="T340" s="509">
        <v>46022</v>
      </c>
      <c r="U340" s="493"/>
      <c r="V340" s="887"/>
      <c r="W340" s="560">
        <f>T340</f>
        <v>46022</v>
      </c>
      <c r="X340" s="874"/>
      <c r="Y340" s="472"/>
    </row>
    <row r="341" spans="1:25">
      <c r="B341" s="300">
        <v>15</v>
      </c>
      <c r="C341" s="302"/>
      <c r="D341" s="302"/>
      <c r="E341" s="303"/>
      <c r="F341" s="446"/>
      <c r="G341" s="304"/>
      <c r="H341" s="560"/>
      <c r="I341" s="884"/>
      <c r="J341" s="884"/>
      <c r="K341" s="277"/>
      <c r="L341" s="300">
        <v>15</v>
      </c>
      <c r="M341" s="378" t="s">
        <v>649</v>
      </c>
      <c r="N341" s="302" t="s">
        <v>651</v>
      </c>
      <c r="O341" s="540"/>
      <c r="P341" s="446"/>
      <c r="Q341" s="304">
        <v>140.75</v>
      </c>
      <c r="R341" s="574" t="s">
        <v>652</v>
      </c>
      <c r="S341" s="609" t="s">
        <v>653</v>
      </c>
      <c r="T341" s="674">
        <v>46053</v>
      </c>
      <c r="U341" s="493"/>
      <c r="V341" s="887"/>
      <c r="W341" s="524">
        <v>46041</v>
      </c>
      <c r="X341" s="874"/>
      <c r="Y341" s="472"/>
    </row>
    <row r="342" spans="1:25">
      <c r="B342" s="300">
        <v>15</v>
      </c>
      <c r="C342" s="302"/>
      <c r="D342" s="302"/>
      <c r="E342" s="303"/>
      <c r="F342" s="446"/>
      <c r="G342" s="304"/>
      <c r="H342" s="524"/>
      <c r="I342" s="884"/>
      <c r="J342" s="884"/>
      <c r="K342" s="277"/>
      <c r="L342" s="300">
        <v>15</v>
      </c>
      <c r="M342" s="378" t="s">
        <v>649</v>
      </c>
      <c r="N342" s="302" t="s">
        <v>651</v>
      </c>
      <c r="O342" s="540"/>
      <c r="P342" s="446"/>
      <c r="Q342" s="304">
        <v>3127.77</v>
      </c>
      <c r="R342" s="574" t="s">
        <v>654</v>
      </c>
      <c r="S342" s="609" t="s">
        <v>655</v>
      </c>
      <c r="T342" s="674">
        <v>45900</v>
      </c>
      <c r="U342" s="493"/>
      <c r="V342" s="887"/>
      <c r="W342" s="524">
        <v>45883</v>
      </c>
      <c r="X342" s="874"/>
      <c r="Y342" s="472"/>
    </row>
    <row r="343" spans="1:25">
      <c r="B343" s="300">
        <v>15</v>
      </c>
      <c r="C343" s="302"/>
      <c r="D343" s="302"/>
      <c r="E343" s="303"/>
      <c r="F343" s="446"/>
      <c r="G343" s="304"/>
      <c r="H343" s="701"/>
      <c r="I343" s="884"/>
      <c r="J343" s="884"/>
      <c r="K343" s="277"/>
      <c r="L343" s="300">
        <v>15</v>
      </c>
      <c r="M343" s="378" t="s">
        <v>649</v>
      </c>
      <c r="N343" s="302" t="s">
        <v>651</v>
      </c>
      <c r="O343" s="540"/>
      <c r="P343" s="446"/>
      <c r="Q343" s="304">
        <v>1495.89</v>
      </c>
      <c r="R343" s="574" t="s">
        <v>656</v>
      </c>
      <c r="S343" s="609" t="s">
        <v>657</v>
      </c>
      <c r="T343" s="674">
        <v>45900</v>
      </c>
      <c r="U343" s="493"/>
      <c r="V343" s="887"/>
      <c r="W343" s="701">
        <v>45888</v>
      </c>
      <c r="X343" s="874"/>
      <c r="Y343" s="472"/>
    </row>
    <row r="344" spans="1:25">
      <c r="B344" s="300">
        <v>15</v>
      </c>
      <c r="C344" s="302"/>
      <c r="D344" s="302"/>
      <c r="E344" s="303"/>
      <c r="F344" s="446"/>
      <c r="G344" s="304"/>
      <c r="H344" s="524"/>
      <c r="I344" s="884"/>
      <c r="J344" s="884"/>
      <c r="K344" s="277"/>
      <c r="L344" s="300">
        <v>15</v>
      </c>
      <c r="M344" s="378" t="s">
        <v>649</v>
      </c>
      <c r="N344" s="302" t="s">
        <v>651</v>
      </c>
      <c r="O344" s="540"/>
      <c r="P344" s="446"/>
      <c r="Q344" s="304">
        <v>407.97</v>
      </c>
      <c r="R344" s="574" t="s">
        <v>658</v>
      </c>
      <c r="S344" s="609" t="s">
        <v>659</v>
      </c>
      <c r="T344" s="677">
        <v>45900</v>
      </c>
      <c r="U344" s="493"/>
      <c r="V344" s="887"/>
      <c r="W344" s="524">
        <v>45890</v>
      </c>
      <c r="X344" s="874"/>
      <c r="Y344" s="472"/>
    </row>
    <row r="345" spans="1:25">
      <c r="B345" s="300">
        <v>15</v>
      </c>
      <c r="C345" s="302"/>
      <c r="D345" s="302"/>
      <c r="E345" s="303"/>
      <c r="F345" s="446"/>
      <c r="G345" s="304"/>
      <c r="H345" s="524"/>
      <c r="I345" s="884"/>
      <c r="J345" s="884"/>
      <c r="K345" s="277"/>
      <c r="L345" s="300">
        <v>15</v>
      </c>
      <c r="M345" s="378" t="s">
        <v>649</v>
      </c>
      <c r="N345" s="302" t="s">
        <v>651</v>
      </c>
      <c r="O345" s="540"/>
      <c r="P345" s="446"/>
      <c r="Q345" s="304">
        <v>951.93</v>
      </c>
      <c r="R345" s="574" t="s">
        <v>660</v>
      </c>
      <c r="S345" s="609" t="s">
        <v>661</v>
      </c>
      <c r="T345" s="674">
        <v>45900</v>
      </c>
      <c r="U345" s="493"/>
      <c r="V345" s="887"/>
      <c r="W345" s="524">
        <v>45901</v>
      </c>
      <c r="X345" s="874"/>
      <c r="Y345" s="472"/>
    </row>
    <row r="346" spans="1:25">
      <c r="B346" s="300">
        <v>15</v>
      </c>
      <c r="C346" s="302"/>
      <c r="D346" s="302"/>
      <c r="E346" s="303"/>
      <c r="F346" s="446"/>
      <c r="G346" s="304"/>
      <c r="H346" s="524"/>
      <c r="I346" s="884"/>
      <c r="J346" s="884"/>
      <c r="K346" s="277"/>
      <c r="L346" s="300">
        <v>15</v>
      </c>
      <c r="M346" s="378" t="s">
        <v>649</v>
      </c>
      <c r="N346" s="302" t="s">
        <v>651</v>
      </c>
      <c r="O346" s="540"/>
      <c r="P346" s="446"/>
      <c r="Q346" s="304">
        <v>135.99</v>
      </c>
      <c r="R346" s="574" t="s">
        <v>662</v>
      </c>
      <c r="S346" s="609" t="s">
        <v>663</v>
      </c>
      <c r="T346" s="674">
        <v>45930</v>
      </c>
      <c r="U346" s="493"/>
      <c r="V346" s="887"/>
      <c r="W346" s="524">
        <v>45910</v>
      </c>
      <c r="X346" s="874"/>
      <c r="Y346" s="472"/>
    </row>
    <row r="347" spans="1:25">
      <c r="B347" s="300">
        <v>15</v>
      </c>
      <c r="C347" s="302"/>
      <c r="D347" s="302"/>
      <c r="E347" s="303"/>
      <c r="F347" s="446"/>
      <c r="G347" s="304"/>
      <c r="H347" s="524"/>
      <c r="I347" s="884"/>
      <c r="J347" s="884"/>
      <c r="K347" s="277"/>
      <c r="L347" s="300">
        <v>15</v>
      </c>
      <c r="M347" s="378" t="s">
        <v>649</v>
      </c>
      <c r="N347" s="302" t="s">
        <v>651</v>
      </c>
      <c r="O347" s="540"/>
      <c r="P347" s="446"/>
      <c r="Q347" s="304">
        <v>2719.8</v>
      </c>
      <c r="R347" s="574" t="s">
        <v>664</v>
      </c>
      <c r="S347" s="609" t="s">
        <v>665</v>
      </c>
      <c r="T347" s="674">
        <v>45930</v>
      </c>
      <c r="U347" s="493"/>
      <c r="V347" s="887"/>
      <c r="W347" s="524">
        <v>45923</v>
      </c>
      <c r="X347" s="874"/>
      <c r="Y347" s="472"/>
    </row>
    <row r="348" spans="1:25">
      <c r="B348" s="300">
        <v>15</v>
      </c>
      <c r="C348" s="302"/>
      <c r="D348" s="302"/>
      <c r="E348" s="303"/>
      <c r="F348" s="446"/>
      <c r="G348" s="304"/>
      <c r="H348" s="524"/>
      <c r="I348" s="884"/>
      <c r="J348" s="884"/>
      <c r="K348" s="277"/>
      <c r="L348" s="300">
        <v>15</v>
      </c>
      <c r="M348" s="378" t="s">
        <v>649</v>
      </c>
      <c r="N348" s="302" t="s">
        <v>651</v>
      </c>
      <c r="O348" s="540"/>
      <c r="P348" s="446"/>
      <c r="Q348" s="304">
        <v>271.98</v>
      </c>
      <c r="R348" s="574" t="s">
        <v>666</v>
      </c>
      <c r="S348" s="609" t="s">
        <v>667</v>
      </c>
      <c r="T348" s="674">
        <v>45930</v>
      </c>
      <c r="U348" s="493"/>
      <c r="V348" s="887"/>
      <c r="W348" s="524">
        <v>45930</v>
      </c>
      <c r="X348" s="874"/>
      <c r="Y348" s="472"/>
    </row>
    <row r="349" spans="1:25">
      <c r="B349" s="300">
        <v>15</v>
      </c>
      <c r="C349" s="302"/>
      <c r="D349" s="302"/>
      <c r="E349" s="303"/>
      <c r="F349" s="446"/>
      <c r="G349" s="304"/>
      <c r="H349" s="524"/>
      <c r="I349" s="884"/>
      <c r="J349" s="884"/>
      <c r="K349" s="277"/>
      <c r="L349" s="300">
        <v>15</v>
      </c>
      <c r="M349" s="378" t="s">
        <v>649</v>
      </c>
      <c r="N349" s="302" t="s">
        <v>651</v>
      </c>
      <c r="O349" s="540"/>
      <c r="P349" s="446"/>
      <c r="Q349" s="304">
        <v>271.98</v>
      </c>
      <c r="R349" s="574" t="s">
        <v>668</v>
      </c>
      <c r="S349" s="609" t="s">
        <v>669</v>
      </c>
      <c r="T349" s="674">
        <v>45930</v>
      </c>
      <c r="U349" s="493"/>
      <c r="V349" s="887"/>
      <c r="W349" s="524">
        <v>45930</v>
      </c>
      <c r="X349" s="874"/>
      <c r="Y349" s="472"/>
    </row>
    <row r="350" spans="1:25">
      <c r="B350" s="300">
        <v>15</v>
      </c>
      <c r="C350" s="302"/>
      <c r="D350" s="302"/>
      <c r="E350" s="303"/>
      <c r="F350" s="446"/>
      <c r="G350" s="304"/>
      <c r="H350" s="524"/>
      <c r="I350" s="884"/>
      <c r="J350" s="884"/>
      <c r="K350" s="277"/>
      <c r="L350" s="300">
        <v>15</v>
      </c>
      <c r="M350" s="378" t="s">
        <v>649</v>
      </c>
      <c r="N350" s="302" t="s">
        <v>651</v>
      </c>
      <c r="O350" s="540"/>
      <c r="P350" s="446"/>
      <c r="Q350" s="304">
        <v>271.98</v>
      </c>
      <c r="R350" s="574" t="s">
        <v>670</v>
      </c>
      <c r="S350" s="609" t="s">
        <v>671</v>
      </c>
      <c r="T350" s="674">
        <v>45961</v>
      </c>
      <c r="U350" s="493"/>
      <c r="V350" s="887"/>
      <c r="W350" s="524">
        <v>45932</v>
      </c>
      <c r="X350" s="874"/>
      <c r="Y350" s="472"/>
    </row>
    <row r="351" spans="1:25">
      <c r="B351" s="300">
        <v>15</v>
      </c>
      <c r="C351" s="302"/>
      <c r="D351" s="302"/>
      <c r="E351" s="303"/>
      <c r="F351" s="446"/>
      <c r="G351" s="304"/>
      <c r="H351" s="560"/>
      <c r="I351" s="884"/>
      <c r="J351" s="884"/>
      <c r="K351" s="277"/>
      <c r="L351" s="300">
        <v>15</v>
      </c>
      <c r="M351" s="378" t="s">
        <v>649</v>
      </c>
      <c r="N351" s="302" t="s">
        <v>672</v>
      </c>
      <c r="O351" s="540"/>
      <c r="P351" s="446"/>
      <c r="Q351" s="304">
        <v>12722.45</v>
      </c>
      <c r="R351" s="574" t="s">
        <v>673</v>
      </c>
      <c r="S351" s="609" t="s">
        <v>674</v>
      </c>
      <c r="T351" s="677">
        <v>45961</v>
      </c>
      <c r="U351" s="493"/>
      <c r="V351" s="887"/>
      <c r="W351" s="756">
        <v>45960</v>
      </c>
      <c r="X351" s="874"/>
      <c r="Y351" s="472"/>
    </row>
    <row r="352" spans="1:25">
      <c r="B352" s="300">
        <v>15</v>
      </c>
      <c r="C352" s="302"/>
      <c r="D352" s="302"/>
      <c r="E352" s="303"/>
      <c r="F352" s="446"/>
      <c r="G352" s="304"/>
      <c r="H352" s="560"/>
      <c r="I352" s="884"/>
      <c r="J352" s="884"/>
      <c r="K352" s="277"/>
      <c r="L352" s="300">
        <v>15</v>
      </c>
      <c r="M352" s="378" t="s">
        <v>649</v>
      </c>
      <c r="N352" s="302" t="s">
        <v>672</v>
      </c>
      <c r="O352" s="540"/>
      <c r="P352" s="446"/>
      <c r="Q352" s="304">
        <v>14381.9</v>
      </c>
      <c r="R352" s="574" t="s">
        <v>675</v>
      </c>
      <c r="S352" s="609" t="s">
        <v>676</v>
      </c>
      <c r="T352" s="751">
        <v>45991</v>
      </c>
      <c r="U352" s="493"/>
      <c r="V352" s="887"/>
      <c r="W352" s="756">
        <v>46009</v>
      </c>
      <c r="X352" s="874"/>
      <c r="Y352" s="472"/>
    </row>
    <row r="353" spans="2:25">
      <c r="B353" s="300"/>
      <c r="C353" s="302"/>
      <c r="D353" s="302"/>
      <c r="E353" s="303"/>
      <c r="F353" s="446"/>
      <c r="G353" s="304"/>
      <c r="H353" s="560"/>
      <c r="I353" s="884"/>
      <c r="J353" s="884"/>
      <c r="K353" s="277"/>
      <c r="L353" s="300">
        <v>15</v>
      </c>
      <c r="M353" s="378" t="s">
        <v>649</v>
      </c>
      <c r="N353" s="302" t="s">
        <v>672</v>
      </c>
      <c r="O353" s="540"/>
      <c r="P353" s="446"/>
      <c r="Q353" s="304">
        <v>9126.98</v>
      </c>
      <c r="R353" s="574"/>
      <c r="S353" s="609" t="s">
        <v>677</v>
      </c>
      <c r="T353" s="751">
        <v>45991</v>
      </c>
      <c r="U353" s="493"/>
      <c r="V353" s="887"/>
      <c r="W353" s="756">
        <v>45995</v>
      </c>
      <c r="X353" s="874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4"/>
      <c r="J354" s="884"/>
      <c r="K354" s="277"/>
      <c r="L354" s="300">
        <v>15</v>
      </c>
      <c r="M354" s="378" t="s">
        <v>649</v>
      </c>
      <c r="N354" s="302" t="s">
        <v>672</v>
      </c>
      <c r="O354" s="540"/>
      <c r="P354" s="446"/>
      <c r="Q354" s="304">
        <v>1936.03</v>
      </c>
      <c r="R354" s="574" t="s">
        <v>678</v>
      </c>
      <c r="S354" s="609" t="s">
        <v>679</v>
      </c>
      <c r="T354" s="674">
        <v>46053</v>
      </c>
      <c r="U354" s="493"/>
      <c r="V354" s="887"/>
      <c r="W354" s="524">
        <v>46051</v>
      </c>
      <c r="X354" s="874"/>
      <c r="Y354" s="472"/>
    </row>
    <row r="355" spans="2:25">
      <c r="B355" s="300"/>
      <c r="C355" s="302"/>
      <c r="D355" s="302"/>
      <c r="E355" s="303"/>
      <c r="F355" s="446"/>
      <c r="G355" s="304"/>
      <c r="H355" s="560"/>
      <c r="I355" s="884"/>
      <c r="J355" s="884"/>
      <c r="K355" s="277"/>
      <c r="L355" s="300">
        <v>15</v>
      </c>
      <c r="M355" s="378" t="s">
        <v>649</v>
      </c>
      <c r="N355" s="302" t="s">
        <v>672</v>
      </c>
      <c r="O355" s="540"/>
      <c r="P355" s="446"/>
      <c r="Q355" s="304">
        <v>5215.6099999999997</v>
      </c>
      <c r="R355" s="574" t="s">
        <v>680</v>
      </c>
      <c r="S355" s="609" t="s">
        <v>830</v>
      </c>
      <c r="T355" s="674">
        <v>46081</v>
      </c>
      <c r="U355" s="493"/>
      <c r="V355" s="887"/>
      <c r="W355" s="560">
        <f>T355</f>
        <v>46081</v>
      </c>
      <c r="X355" s="874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4"/>
      <c r="J356" s="884"/>
      <c r="K356" s="277"/>
      <c r="L356" s="300">
        <v>15</v>
      </c>
      <c r="M356" s="378" t="s">
        <v>649</v>
      </c>
      <c r="N356" s="763"/>
      <c r="O356" s="438"/>
      <c r="P356" s="439"/>
      <c r="Q356" s="764"/>
      <c r="R356" s="574"/>
      <c r="S356" s="609"/>
      <c r="T356" s="751"/>
      <c r="U356" s="493"/>
      <c r="V356" s="887"/>
      <c r="W356" s="560"/>
      <c r="X356" s="874"/>
      <c r="Y356" s="472"/>
    </row>
    <row r="357" spans="2:25">
      <c r="B357" s="300"/>
      <c r="C357" s="302"/>
      <c r="D357" s="302"/>
      <c r="E357" s="303"/>
      <c r="F357" s="446"/>
      <c r="G357" s="304"/>
      <c r="H357" s="560"/>
      <c r="I357" s="884"/>
      <c r="J357" s="884"/>
      <c r="K357" s="277"/>
      <c r="L357" s="300">
        <v>15</v>
      </c>
      <c r="M357" s="378" t="s">
        <v>649</v>
      </c>
      <c r="N357" s="302"/>
      <c r="O357" s="540"/>
      <c r="P357" s="446"/>
      <c r="Q357" s="304"/>
      <c r="R357" s="574"/>
      <c r="S357" s="609"/>
      <c r="T357" s="751"/>
      <c r="U357" s="493"/>
      <c r="V357" s="887"/>
      <c r="W357" s="756"/>
      <c r="X357" s="874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4"/>
      <c r="J358" s="884"/>
      <c r="K358" s="277"/>
      <c r="L358" s="300">
        <v>15</v>
      </c>
      <c r="M358" s="378" t="s">
        <v>649</v>
      </c>
      <c r="N358" s="302" t="s">
        <v>681</v>
      </c>
      <c r="O358" s="540"/>
      <c r="P358" s="446"/>
      <c r="Q358" s="304">
        <v>319.08999999999997</v>
      </c>
      <c r="R358" s="574"/>
      <c r="S358" s="609" t="s">
        <v>682</v>
      </c>
      <c r="T358" s="751">
        <v>46022</v>
      </c>
      <c r="U358" s="493"/>
      <c r="V358" s="887"/>
      <c r="W358" s="756">
        <v>46051</v>
      </c>
      <c r="X358" s="874"/>
      <c r="Y358" s="472"/>
    </row>
    <row r="359" spans="2:25">
      <c r="B359" s="300"/>
      <c r="C359" s="302"/>
      <c r="D359" s="302"/>
      <c r="E359" s="303"/>
      <c r="F359" s="446"/>
      <c r="G359" s="304"/>
      <c r="H359" s="560"/>
      <c r="I359" s="884"/>
      <c r="J359" s="884"/>
      <c r="K359" s="277"/>
      <c r="L359" s="300">
        <v>15</v>
      </c>
      <c r="M359" s="378" t="s">
        <v>649</v>
      </c>
      <c r="N359" s="302"/>
      <c r="O359" s="540"/>
      <c r="P359" s="446"/>
      <c r="Q359" s="304"/>
      <c r="R359" s="574"/>
      <c r="S359" s="609"/>
      <c r="T359" s="751"/>
      <c r="U359" s="493"/>
      <c r="V359" s="887"/>
      <c r="W359" s="756"/>
      <c r="X359" s="874"/>
      <c r="Y359" s="472"/>
    </row>
    <row r="360" spans="2:25">
      <c r="B360" s="300"/>
      <c r="C360" s="302"/>
      <c r="D360" s="302"/>
      <c r="E360" s="303"/>
      <c r="F360" s="446"/>
      <c r="G360" s="304"/>
      <c r="H360" s="560"/>
      <c r="I360" s="884"/>
      <c r="J360" s="884"/>
      <c r="K360" s="277"/>
      <c r="L360" s="300">
        <v>15</v>
      </c>
      <c r="M360" s="378" t="s">
        <v>649</v>
      </c>
      <c r="N360" s="302"/>
      <c r="O360" s="540"/>
      <c r="P360" s="446"/>
      <c r="Q360" s="304"/>
      <c r="R360" s="574"/>
      <c r="S360" s="609"/>
      <c r="T360" s="751"/>
      <c r="U360" s="493"/>
      <c r="V360" s="887"/>
      <c r="W360" s="756"/>
      <c r="X360" s="874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84"/>
      <c r="J361" s="884"/>
      <c r="K361" s="277"/>
      <c r="L361" s="300">
        <v>15</v>
      </c>
      <c r="M361" s="378" t="s">
        <v>649</v>
      </c>
      <c r="N361" s="302"/>
      <c r="O361" s="540"/>
      <c r="P361" s="446"/>
      <c r="Q361" s="304"/>
      <c r="R361" s="574"/>
      <c r="S361" s="609"/>
      <c r="T361" s="509"/>
      <c r="U361" s="493"/>
      <c r="V361" s="887"/>
      <c r="W361" s="560"/>
      <c r="X361" s="874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84"/>
      <c r="J362" s="884"/>
      <c r="K362" s="277"/>
      <c r="L362" s="300">
        <v>15</v>
      </c>
      <c r="M362" s="378" t="s">
        <v>649</v>
      </c>
      <c r="N362" s="302" t="s">
        <v>209</v>
      </c>
      <c r="O362" s="540"/>
      <c r="P362" s="446"/>
      <c r="Q362" s="304">
        <v>160210.04999999999</v>
      </c>
      <c r="R362" s="574" t="s">
        <v>683</v>
      </c>
      <c r="S362" s="609" t="s">
        <v>684</v>
      </c>
      <c r="T362" s="674">
        <v>45991</v>
      </c>
      <c r="U362" s="493"/>
      <c r="V362" s="887"/>
      <c r="W362" s="524">
        <v>46003</v>
      </c>
      <c r="X362" s="874"/>
      <c r="Y362" s="472"/>
    </row>
    <row r="363" spans="2:25">
      <c r="B363" s="300">
        <v>15</v>
      </c>
      <c r="C363" s="302"/>
      <c r="D363" s="302"/>
      <c r="E363" s="303"/>
      <c r="F363" s="446"/>
      <c r="G363" s="304"/>
      <c r="H363" s="560"/>
      <c r="I363" s="884"/>
      <c r="J363" s="884"/>
      <c r="K363" s="277"/>
      <c r="L363" s="300">
        <v>15</v>
      </c>
      <c r="M363" s="378" t="s">
        <v>649</v>
      </c>
      <c r="N363" s="302" t="s">
        <v>685</v>
      </c>
      <c r="O363" s="540"/>
      <c r="P363" s="446"/>
      <c r="Q363" s="304">
        <v>1200</v>
      </c>
      <c r="R363" s="574" t="s">
        <v>686</v>
      </c>
      <c r="S363" s="609" t="s">
        <v>687</v>
      </c>
      <c r="T363" s="751">
        <v>45961</v>
      </c>
      <c r="U363" s="493"/>
      <c r="V363" s="887"/>
      <c r="W363" s="756">
        <v>45946</v>
      </c>
      <c r="X363" s="874"/>
      <c r="Y363" s="472"/>
    </row>
    <row r="364" spans="2:25">
      <c r="B364" s="300">
        <v>15</v>
      </c>
      <c r="C364" s="302"/>
      <c r="D364" s="302"/>
      <c r="E364" s="303"/>
      <c r="F364" s="446"/>
      <c r="G364" s="304"/>
      <c r="H364" s="560"/>
      <c r="I364" s="884"/>
      <c r="J364" s="884"/>
      <c r="K364" s="277"/>
      <c r="L364" s="300">
        <v>15</v>
      </c>
      <c r="M364" s="378" t="s">
        <v>649</v>
      </c>
      <c r="N364" s="302" t="s">
        <v>685</v>
      </c>
      <c r="O364" s="540"/>
      <c r="P364" s="446"/>
      <c r="Q364" s="304">
        <v>1200</v>
      </c>
      <c r="R364" s="574" t="s">
        <v>688</v>
      </c>
      <c r="S364" s="609" t="s">
        <v>689</v>
      </c>
      <c r="T364" s="674">
        <v>46022</v>
      </c>
      <c r="U364" s="493"/>
      <c r="V364" s="887"/>
      <c r="W364" s="524">
        <v>46003</v>
      </c>
      <c r="X364" s="874"/>
      <c r="Y364" s="472"/>
    </row>
    <row r="365" spans="2:25">
      <c r="B365" s="300">
        <v>15</v>
      </c>
      <c r="C365" s="302"/>
      <c r="D365" s="302"/>
      <c r="E365" s="303"/>
      <c r="F365" s="446"/>
      <c r="G365" s="304"/>
      <c r="H365" s="560"/>
      <c r="I365" s="884"/>
      <c r="J365" s="884"/>
      <c r="K365" s="277"/>
      <c r="L365" s="300">
        <v>15</v>
      </c>
      <c r="M365" s="378" t="s">
        <v>649</v>
      </c>
      <c r="N365" s="302" t="s">
        <v>685</v>
      </c>
      <c r="O365" s="540"/>
      <c r="P365" s="446"/>
      <c r="Q365" s="304">
        <v>1200</v>
      </c>
      <c r="R365" s="574" t="s">
        <v>690</v>
      </c>
      <c r="S365" s="609" t="s">
        <v>691</v>
      </c>
      <c r="T365" s="674">
        <v>46053</v>
      </c>
      <c r="U365" s="493"/>
      <c r="V365" s="887"/>
      <c r="W365" s="560">
        <v>46079</v>
      </c>
      <c r="X365" s="874"/>
      <c r="Y365" s="472"/>
    </row>
    <row r="366" spans="2:25">
      <c r="B366" s="300">
        <v>15</v>
      </c>
      <c r="C366" s="302"/>
      <c r="D366" s="302"/>
      <c r="E366" s="303"/>
      <c r="F366" s="446"/>
      <c r="G366" s="304"/>
      <c r="H366" s="560"/>
      <c r="I366" s="884"/>
      <c r="J366" s="884"/>
      <c r="K366" s="277"/>
      <c r="L366" s="300">
        <v>15</v>
      </c>
      <c r="M366" s="378" t="s">
        <v>649</v>
      </c>
      <c r="N366" s="302" t="s">
        <v>685</v>
      </c>
      <c r="O366" s="540"/>
      <c r="P366" s="446"/>
      <c r="Q366" s="304">
        <v>1200</v>
      </c>
      <c r="R366" s="574" t="s">
        <v>692</v>
      </c>
      <c r="S366" s="609"/>
      <c r="T366" s="509">
        <v>46081</v>
      </c>
      <c r="U366" s="493"/>
      <c r="V366" s="887"/>
      <c r="W366" s="560">
        <v>46079</v>
      </c>
      <c r="X366" s="874"/>
      <c r="Y366" s="472"/>
    </row>
    <row r="367" spans="2:25">
      <c r="B367" s="300"/>
      <c r="C367" s="302"/>
      <c r="D367" s="302"/>
      <c r="E367" s="303"/>
      <c r="F367" s="446"/>
      <c r="G367" s="304"/>
      <c r="H367" s="560"/>
      <c r="I367" s="884"/>
      <c r="J367" s="884"/>
      <c r="K367" s="277"/>
      <c r="L367" s="300">
        <v>15</v>
      </c>
      <c r="M367" s="378" t="s">
        <v>649</v>
      </c>
      <c r="N367" s="302" t="s">
        <v>685</v>
      </c>
      <c r="O367" s="540"/>
      <c r="P367" s="446"/>
      <c r="Q367" s="304">
        <v>1200</v>
      </c>
      <c r="R367" s="574" t="s">
        <v>693</v>
      </c>
      <c r="S367" s="609"/>
      <c r="T367" s="509">
        <v>46081</v>
      </c>
      <c r="U367" s="493"/>
      <c r="V367" s="887"/>
      <c r="W367" s="560">
        <f>W366+14</f>
        <v>46093</v>
      </c>
      <c r="X367" s="874"/>
      <c r="Y367" s="472"/>
    </row>
    <row r="368" spans="2:25">
      <c r="B368" s="300">
        <v>15</v>
      </c>
      <c r="C368" s="302"/>
      <c r="D368" s="302"/>
      <c r="E368" s="303"/>
      <c r="F368" s="446"/>
      <c r="G368" s="304"/>
      <c r="H368" s="560"/>
      <c r="I368" s="884"/>
      <c r="J368" s="884"/>
      <c r="K368" s="277"/>
      <c r="L368" s="300">
        <v>15</v>
      </c>
      <c r="M368" s="378" t="s">
        <v>649</v>
      </c>
      <c r="N368" s="302" t="s">
        <v>694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46112</v>
      </c>
      <c r="U368" s="493"/>
      <c r="V368" s="887"/>
      <c r="W368" s="560">
        <f>T368</f>
        <v>46112</v>
      </c>
      <c r="X368" s="874"/>
      <c r="Y368" s="472"/>
    </row>
    <row r="369" spans="2:25">
      <c r="B369" s="300">
        <v>15</v>
      </c>
      <c r="C369" s="302"/>
      <c r="D369" s="302"/>
      <c r="E369" s="303"/>
      <c r="F369" s="446"/>
      <c r="G369" s="304"/>
      <c r="H369" s="560"/>
      <c r="I369" s="884"/>
      <c r="J369" s="884"/>
      <c r="K369" s="277"/>
      <c r="L369" s="300">
        <v>15</v>
      </c>
      <c r="M369" s="378" t="s">
        <v>649</v>
      </c>
      <c r="N369" s="302" t="s">
        <v>695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46112</v>
      </c>
      <c r="U369" s="493"/>
      <c r="V369" s="887"/>
      <c r="W369" s="560">
        <f>T369</f>
        <v>46112</v>
      </c>
      <c r="X369" s="874"/>
      <c r="Y369" s="472"/>
    </row>
    <row r="370" spans="2:25">
      <c r="B370" s="300">
        <v>15</v>
      </c>
      <c r="C370" s="302"/>
      <c r="D370" s="302"/>
      <c r="E370" s="303"/>
      <c r="F370" s="446"/>
      <c r="G370" s="304"/>
      <c r="H370" s="560"/>
      <c r="I370" s="884"/>
      <c r="J370" s="884"/>
      <c r="K370" s="277"/>
      <c r="L370" s="300">
        <v>15</v>
      </c>
      <c r="M370" s="378" t="s">
        <v>649</v>
      </c>
      <c r="N370" s="302" t="s">
        <v>696</v>
      </c>
      <c r="O370" s="540"/>
      <c r="P370" s="446"/>
      <c r="Q370" s="304">
        <v>250000</v>
      </c>
      <c r="R370" s="574"/>
      <c r="S370" s="609"/>
      <c r="T370" s="509">
        <v>46112</v>
      </c>
      <c r="U370" s="493"/>
      <c r="V370" s="887"/>
      <c r="W370" s="560">
        <f>T370</f>
        <v>46112</v>
      </c>
      <c r="X370" s="874"/>
      <c r="Y370" s="472"/>
    </row>
    <row r="371" spans="2:25">
      <c r="B371" s="300"/>
      <c r="C371" s="302"/>
      <c r="D371" s="302"/>
      <c r="E371" s="303"/>
      <c r="F371" s="446"/>
      <c r="G371" s="304"/>
      <c r="H371" s="560"/>
      <c r="I371" s="884"/>
      <c r="J371" s="884"/>
      <c r="K371" s="277"/>
      <c r="L371" s="300">
        <v>15</v>
      </c>
      <c r="M371" s="378" t="s">
        <v>649</v>
      </c>
      <c r="N371" s="302"/>
      <c r="O371" s="540"/>
      <c r="P371" s="446"/>
      <c r="Q371" s="304"/>
      <c r="R371" s="574"/>
      <c r="S371" s="609"/>
      <c r="T371" s="509"/>
      <c r="U371" s="493"/>
      <c r="V371" s="887"/>
      <c r="W371" s="560"/>
      <c r="X371" s="874"/>
      <c r="Y371" s="472"/>
    </row>
    <row r="372" spans="2:25">
      <c r="B372" s="300">
        <v>15</v>
      </c>
      <c r="C372" s="302"/>
      <c r="D372" s="302"/>
      <c r="E372" s="303"/>
      <c r="F372" s="446"/>
      <c r="G372" s="304"/>
      <c r="H372" s="560"/>
      <c r="I372" s="884"/>
      <c r="J372" s="884"/>
      <c r="K372" s="277"/>
      <c r="L372" s="300">
        <v>15</v>
      </c>
      <c r="M372" s="378" t="s">
        <v>649</v>
      </c>
      <c r="N372" s="302" t="s">
        <v>697</v>
      </c>
      <c r="O372" s="540"/>
      <c r="P372" s="446"/>
      <c r="Q372" s="604">
        <f>1151150.17-Q373-Q374</f>
        <v>608898.79</v>
      </c>
      <c r="R372" s="574"/>
      <c r="S372" s="609"/>
      <c r="T372" s="509">
        <v>46112</v>
      </c>
      <c r="U372" s="493"/>
      <c r="V372" s="887"/>
      <c r="W372" s="560">
        <v>46142</v>
      </c>
      <c r="X372" s="874"/>
      <c r="Y372" s="472"/>
    </row>
    <row r="373" spans="2:25">
      <c r="B373" s="300">
        <v>15</v>
      </c>
      <c r="C373" s="302"/>
      <c r="D373" s="302"/>
      <c r="E373" s="303"/>
      <c r="F373" s="446"/>
      <c r="G373" s="304"/>
      <c r="H373" s="560"/>
      <c r="I373" s="884"/>
      <c r="J373" s="884"/>
      <c r="K373" s="277"/>
      <c r="L373" s="300">
        <v>15</v>
      </c>
      <c r="M373" s="378" t="s">
        <v>649</v>
      </c>
      <c r="N373" s="302" t="s">
        <v>698</v>
      </c>
      <c r="O373" s="540"/>
      <c r="P373" s="446"/>
      <c r="Q373" s="304">
        <v>271125.69</v>
      </c>
      <c r="R373" s="574"/>
      <c r="S373" s="609" t="s">
        <v>699</v>
      </c>
      <c r="T373" s="751">
        <v>46053</v>
      </c>
      <c r="U373" s="493"/>
      <c r="V373" s="887"/>
      <c r="W373" s="524">
        <v>46051</v>
      </c>
      <c r="X373" s="874"/>
      <c r="Y373" s="472"/>
    </row>
    <row r="374" spans="2:25">
      <c r="B374" s="300"/>
      <c r="C374" s="302"/>
      <c r="D374" s="302"/>
      <c r="E374" s="303"/>
      <c r="F374" s="446"/>
      <c r="G374" s="304"/>
      <c r="H374" s="560"/>
      <c r="I374" s="884"/>
      <c r="J374" s="884"/>
      <c r="K374" s="277"/>
      <c r="L374" s="300">
        <v>15</v>
      </c>
      <c r="M374" s="378" t="s">
        <v>649</v>
      </c>
      <c r="N374" s="302" t="s">
        <v>832</v>
      </c>
      <c r="O374" s="540"/>
      <c r="P374" s="446"/>
      <c r="Q374" s="304">
        <f>271125.69</f>
        <v>271125.69</v>
      </c>
      <c r="R374" s="574"/>
      <c r="S374" s="609"/>
      <c r="T374" s="509">
        <v>46081</v>
      </c>
      <c r="U374" s="493"/>
      <c r="V374" s="887"/>
      <c r="W374" s="560">
        <v>46112</v>
      </c>
      <c r="X374" s="874"/>
      <c r="Y374" s="472"/>
    </row>
    <row r="375" spans="2:25">
      <c r="B375" s="300">
        <v>15</v>
      </c>
      <c r="C375" s="302"/>
      <c r="D375" s="302"/>
      <c r="E375" s="303"/>
      <c r="F375" s="446"/>
      <c r="G375" s="304"/>
      <c r="H375" s="560"/>
      <c r="I375" s="884"/>
      <c r="J375" s="884"/>
      <c r="K375" s="277"/>
      <c r="L375" s="300">
        <v>15</v>
      </c>
      <c r="M375" s="378" t="s">
        <v>649</v>
      </c>
      <c r="N375" s="302" t="s">
        <v>700</v>
      </c>
      <c r="O375" s="540"/>
      <c r="P375" s="446"/>
      <c r="Q375" s="304">
        <v>1129.28</v>
      </c>
      <c r="R375" s="574"/>
      <c r="S375" s="609" t="s">
        <v>701</v>
      </c>
      <c r="T375" s="674">
        <v>46081</v>
      </c>
      <c r="U375" s="493"/>
      <c r="V375" s="887"/>
      <c r="W375" s="524">
        <v>46066</v>
      </c>
      <c r="X375" s="874"/>
      <c r="Y375" s="472"/>
    </row>
    <row r="376" spans="2:25" ht="15" customHeight="1" thickBot="1">
      <c r="B376" s="305">
        <v>15</v>
      </c>
      <c r="C376" s="306"/>
      <c r="D376" s="306"/>
      <c r="E376" s="307"/>
      <c r="F376" s="447"/>
      <c r="G376" s="319"/>
      <c r="H376" s="562"/>
      <c r="I376" s="885"/>
      <c r="J376" s="885"/>
      <c r="K376" s="278"/>
      <c r="L376" s="305">
        <v>15</v>
      </c>
      <c r="M376" s="407" t="s">
        <v>649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88"/>
      <c r="W376" s="562"/>
      <c r="X376" s="875"/>
      <c r="Y376" s="472"/>
    </row>
    <row r="377" spans="2:25" s="3" customFormat="1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>
      <c r="B378" s="112"/>
      <c r="C378" s="626" t="s">
        <v>702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>
      <c r="B379" s="112"/>
      <c r="C379" s="626" t="s">
        <v>703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>
      <c r="B380" s="112"/>
      <c r="C380" s="626" t="s">
        <v>704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>
      <c r="B381" s="112"/>
      <c r="C381" s="626" t="s">
        <v>373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>
      <c r="B382" s="112"/>
      <c r="C382" s="626" t="s">
        <v>427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>
      <c r="B383" s="112"/>
      <c r="C383" s="626" t="s">
        <v>394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705</v>
      </c>
      <c r="P383" s="761">
        <v>45982</v>
      </c>
    </row>
    <row r="384" spans="2:25">
      <c r="B384" s="112"/>
      <c r="C384" s="626" t="s">
        <v>706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707</v>
      </c>
      <c r="P384" s="761">
        <f>'Project Plan'!I99</f>
        <v>46006</v>
      </c>
    </row>
    <row r="385" spans="2:75">
      <c r="B385" s="112"/>
      <c r="C385" s="626" t="s">
        <v>708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709</v>
      </c>
      <c r="P385" s="474">
        <f>P384-P383</f>
        <v>24</v>
      </c>
      <c r="BV385" s="24"/>
      <c r="BW385" s="24"/>
    </row>
    <row r="386" spans="2:75">
      <c r="B386" s="112"/>
      <c r="C386" s="626" t="s">
        <v>710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>
      <c r="B387" s="112"/>
      <c r="C387" s="626" t="s">
        <v>711</v>
      </c>
      <c r="D387" s="65">
        <v>0</v>
      </c>
      <c r="E387" s="534"/>
      <c r="F387" s="626">
        <v>0</v>
      </c>
      <c r="G387" s="112"/>
      <c r="I387" s="245"/>
      <c r="J387" s="245"/>
    </row>
    <row r="388" spans="2:75">
      <c r="B388" s="112"/>
      <c r="C388" s="626" t="s">
        <v>712</v>
      </c>
      <c r="D388" s="65">
        <v>0</v>
      </c>
      <c r="E388" s="534"/>
      <c r="F388" s="626">
        <v>0</v>
      </c>
      <c r="G388" s="112"/>
      <c r="I388" s="245"/>
      <c r="J388" s="245"/>
    </row>
    <row r="389" spans="2:75">
      <c r="B389" s="112"/>
      <c r="C389" s="626" t="s">
        <v>713</v>
      </c>
      <c r="D389" s="65"/>
      <c r="E389" s="534"/>
      <c r="F389" s="626"/>
      <c r="G389" s="112"/>
      <c r="I389" s="245"/>
      <c r="J389" s="245"/>
    </row>
    <row r="390" spans="2:7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>
      <c r="C391" s="626" t="s">
        <v>714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>
      <c r="C392" s="626" t="s">
        <v>715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>
      <c r="C393" s="626" t="s">
        <v>716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>
      <c r="C394" s="626" t="s">
        <v>717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>
      <c r="C395" s="626" t="s">
        <v>718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>
      <c r="C396" s="626" t="s">
        <v>719</v>
      </c>
      <c r="D396" s="626">
        <v>0</v>
      </c>
      <c r="E396" s="534"/>
      <c r="F396" s="626">
        <v>0</v>
      </c>
      <c r="I396" s="245"/>
      <c r="J396" s="245"/>
    </row>
    <row r="397" spans="2:75" s="112" customFormat="1">
      <c r="C397" s="626" t="s">
        <v>720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>
      <c r="C398" s="626" t="s">
        <v>721</v>
      </c>
      <c r="D398" s="626">
        <v>0</v>
      </c>
      <c r="E398" s="534"/>
      <c r="F398" s="626">
        <v>0</v>
      </c>
      <c r="I398" s="245"/>
      <c r="J398" s="245"/>
    </row>
    <row r="399" spans="2:75" s="112" customFormat="1">
      <c r="C399" s="626" t="s">
        <v>722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>
      <c r="C400" s="626" t="s">
        <v>723</v>
      </c>
      <c r="D400" s="626">
        <v>0</v>
      </c>
      <c r="E400" s="534"/>
      <c r="F400" s="626">
        <v>0</v>
      </c>
      <c r="I400" s="245"/>
      <c r="J400" s="245"/>
    </row>
    <row r="401" spans="3:10" s="112" customFormat="1">
      <c r="C401" s="626" t="s">
        <v>724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>
      <c r="C402" s="626"/>
      <c r="D402" s="626"/>
      <c r="E402" s="534"/>
      <c r="F402" s="626"/>
      <c r="I402" s="245"/>
      <c r="J402" s="245"/>
    </row>
    <row r="403" spans="3:10" s="112" customFormat="1">
      <c r="C403" s="626" t="s">
        <v>725</v>
      </c>
      <c r="D403" s="626"/>
      <c r="E403" s="534"/>
      <c r="F403" s="626"/>
      <c r="I403" s="245"/>
      <c r="J403" s="245"/>
    </row>
    <row r="404" spans="3:10" s="112" customFormat="1">
      <c r="C404" s="626" t="s">
        <v>726</v>
      </c>
      <c r="D404" s="626">
        <v>0</v>
      </c>
      <c r="E404" s="534"/>
      <c r="F404" s="626">
        <v>0</v>
      </c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C412" s="538"/>
      <c r="D412" s="538"/>
      <c r="E412" s="155"/>
      <c r="F412" s="451"/>
      <c r="I412" s="245"/>
      <c r="J412" s="245"/>
    </row>
    <row r="413" spans="3:10" s="112" customFormat="1">
      <c r="C413" s="538"/>
      <c r="D413" s="538"/>
      <c r="E413" s="155"/>
      <c r="F413" s="451"/>
      <c r="I413" s="245"/>
      <c r="J413" s="245"/>
    </row>
    <row r="414" spans="3:10" s="112" customFormat="1">
      <c r="C414" s="538"/>
      <c r="D414" s="538"/>
      <c r="E414" s="155"/>
      <c r="F414" s="451"/>
      <c r="I414" s="245"/>
      <c r="J414" s="245"/>
    </row>
    <row r="415" spans="3:10" s="112" customFormat="1">
      <c r="C415" s="538"/>
      <c r="D415" s="538"/>
      <c r="E415" s="155"/>
      <c r="F415" s="451"/>
      <c r="I415" s="245"/>
      <c r="J415" s="245"/>
    </row>
    <row r="416" spans="3:10" s="112" customFormat="1">
      <c r="C416" s="538"/>
      <c r="D416" s="538"/>
      <c r="E416" s="155"/>
      <c r="F416" s="451"/>
      <c r="I416" s="245"/>
      <c r="J416" s="245"/>
    </row>
    <row r="417" spans="3:10" s="112" customFormat="1">
      <c r="C417" s="538"/>
      <c r="D417" s="538"/>
      <c r="E417" s="155"/>
      <c r="F417" s="451"/>
      <c r="I417" s="245"/>
      <c r="J417" s="245"/>
    </row>
    <row r="418" spans="3:10" s="112" customFormat="1">
      <c r="C418" s="538"/>
      <c r="D418" s="538"/>
      <c r="E418" s="155"/>
      <c r="F418" s="451"/>
      <c r="I418" s="245"/>
      <c r="J418" s="245"/>
    </row>
    <row r="419" spans="3:10" s="112" customFormat="1">
      <c r="C419" s="538"/>
      <c r="D419" s="538"/>
      <c r="E419" s="155"/>
      <c r="F419" s="451"/>
      <c r="I419" s="245"/>
      <c r="J419" s="245"/>
    </row>
    <row r="420" spans="3:10" s="112" customFormat="1">
      <c r="C420" s="538"/>
      <c r="D420" s="538"/>
      <c r="E420" s="155"/>
      <c r="F420" s="451"/>
      <c r="I420" s="245"/>
      <c r="J420" s="245"/>
    </row>
    <row r="421" spans="3:10" s="112" customFormat="1">
      <c r="C421" s="538"/>
      <c r="D421" s="538"/>
      <c r="E421" s="155"/>
      <c r="F421" s="451"/>
      <c r="I421" s="245"/>
      <c r="J421" s="245"/>
    </row>
    <row r="422" spans="3:10" s="112" customFormat="1">
      <c r="C422" s="538"/>
      <c r="D422" s="538"/>
      <c r="E422" s="155"/>
      <c r="F422" s="451"/>
      <c r="I422" s="245"/>
      <c r="J422" s="245"/>
    </row>
    <row r="423" spans="3:10" s="112" customFormat="1">
      <c r="C423" s="538"/>
      <c r="D423" s="538"/>
      <c r="E423" s="155"/>
      <c r="F423" s="451"/>
      <c r="I423" s="245"/>
      <c r="J423" s="245"/>
    </row>
    <row r="424" spans="3:10" s="112" customFormat="1">
      <c r="C424" s="538"/>
      <c r="D424" s="538"/>
      <c r="E424" s="155"/>
      <c r="F424" s="451"/>
      <c r="I424" s="245"/>
      <c r="J424" s="245"/>
    </row>
    <row r="425" spans="3:10" s="112" customFormat="1">
      <c r="E425" s="155"/>
      <c r="F425" s="451"/>
      <c r="I425" s="245"/>
      <c r="J425" s="245"/>
    </row>
    <row r="426" spans="3:10" s="112" customFormat="1">
      <c r="E426" s="155"/>
      <c r="F426" s="451"/>
      <c r="I426" s="245"/>
      <c r="J426" s="245"/>
    </row>
    <row r="427" spans="3:10" s="112" customFormat="1">
      <c r="E427" s="155"/>
      <c r="F427" s="451"/>
      <c r="I427" s="245"/>
      <c r="J427" s="245"/>
    </row>
    <row r="428" spans="3:10" s="112" customFormat="1">
      <c r="E428" s="155"/>
      <c r="F428" s="451"/>
      <c r="I428" s="245"/>
      <c r="J428" s="245"/>
    </row>
    <row r="429" spans="3:10" s="112" customFormat="1">
      <c r="E429" s="155"/>
      <c r="F429" s="451"/>
      <c r="I429" s="245"/>
      <c r="J429" s="245"/>
    </row>
    <row r="430" spans="3:10" s="112" customFormat="1">
      <c r="E430" s="155"/>
      <c r="F430" s="451"/>
      <c r="I430" s="245"/>
      <c r="J430" s="245"/>
    </row>
    <row r="431" spans="3:10" s="112" customFormat="1">
      <c r="E431" s="155"/>
      <c r="F431" s="451"/>
      <c r="I431" s="245"/>
      <c r="J431" s="245"/>
    </row>
    <row r="432" spans="3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  <mergeCell ref="J302:J324"/>
    <mergeCell ref="X302:X324"/>
    <mergeCell ref="I326:I337"/>
    <mergeCell ref="J326:J337"/>
    <mergeCell ref="X326:X337"/>
    <mergeCell ref="V302:V324"/>
    <mergeCell ref="V326:V337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I184:I226"/>
    <mergeCell ref="J184:J226"/>
    <mergeCell ref="X184:X226"/>
    <mergeCell ref="V162:V182"/>
    <mergeCell ref="V184:V226"/>
    <mergeCell ref="R175:R176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74:I95"/>
    <mergeCell ref="J74:J95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81"/>
  </cols>
  <sheetData>
    <row r="1" spans="1:794">
      <c r="D1" s="177" t="s">
        <v>727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5" t="s">
        <v>728</v>
      </c>
      <c r="B2" s="182"/>
      <c r="C2" s="183" t="s">
        <v>298</v>
      </c>
      <c r="D2" s="183" t="s">
        <v>298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6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6"/>
      <c r="B4" s="185" t="s">
        <v>729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6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>
      <c r="A6" s="926"/>
      <c r="B6" s="189" t="s">
        <v>730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6"/>
      <c r="B7" s="194" t="s">
        <v>731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5" t="s">
        <v>60</v>
      </c>
      <c r="B8" s="182"/>
      <c r="C8" s="183" t="s">
        <v>298</v>
      </c>
      <c r="D8" s="183" t="s">
        <v>298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6"/>
      <c r="B9" s="199" t="s">
        <v>732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6"/>
      <c r="B10" s="199" t="s">
        <v>733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6"/>
      <c r="B11" s="202" t="s">
        <v>734</v>
      </c>
      <c r="C11" s="203">
        <f>'Revenue Tracking'!F5</f>
        <v>48412677.496446103</v>
      </c>
      <c r="D11" s="203">
        <f>SUM(F11:LD11)</f>
        <v>48412677.496446066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214291.11</v>
      </c>
      <c r="BL11" s="204">
        <f>SUMIFS('Expenditure Breakdown'!$Q$6:$Q$384, 'Expenditure Breakdown'!$W$6:$W$384, "&gt;="&amp;BL1,'Expenditure Breakdown'!$W$6:$W$384, "&lt;"&amp;BM1)</f>
        <v>302031.59999999998</v>
      </c>
      <c r="BM11" s="204">
        <f>SUMIFS('Expenditure Breakdown'!$Q$6:$Q$384, 'Expenditure Breakdown'!$W$6:$W$384, "&gt;="&amp;BM1,'Expenditure Breakdown'!$W$6:$W$384, "&lt;"&amp;BN1)</f>
        <v>36800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0</v>
      </c>
      <c r="BP11" s="204">
        <f>SUMIFS('Expenditure Breakdown'!$Q$6:$Q$384, 'Expenditure Breakdown'!$W$6:$W$384, "&gt;="&amp;BP1,'Expenditure Breakdown'!$W$6:$W$384, "&lt;"&amp;BQ1)</f>
        <v>1725381.3566666665</v>
      </c>
      <c r="BQ11" s="204">
        <f>SUMIFS('Expenditure Breakdown'!$Q$6:$Q$384, 'Expenditure Breakdown'!$W$6:$W$384, "&gt;="&amp;BQ1,'Expenditure Breakdown'!$W$6:$W$384, "&lt;"&amp;BR1)</f>
        <v>48750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691039.45666666667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600000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82140.666666666672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>
      <c r="A12" s="926"/>
      <c r="B12" s="202" t="s">
        <v>735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43887268.41644609</v>
      </c>
      <c r="BL12" s="204">
        <f t="shared" si="26"/>
        <v>44189300.016446091</v>
      </c>
      <c r="BM12" s="204">
        <f t="shared" si="26"/>
        <v>44226100.016446091</v>
      </c>
      <c r="BN12" s="204">
        <f t="shared" si="26"/>
        <v>44226100.016446091</v>
      </c>
      <c r="BO12" s="204">
        <f t="shared" si="26"/>
        <v>44226100.016446091</v>
      </c>
      <c r="BP12" s="204">
        <f t="shared" si="26"/>
        <v>45951481.37311276</v>
      </c>
      <c r="BQ12" s="204">
        <f t="shared" si="26"/>
        <v>46000231.37311276</v>
      </c>
      <c r="BR12" s="204">
        <f t="shared" si="26"/>
        <v>46000231.37311276</v>
      </c>
      <c r="BS12" s="204">
        <f t="shared" si="26"/>
        <v>46000231.37311276</v>
      </c>
      <c r="BT12" s="204">
        <f t="shared" si="26"/>
        <v>46691270.829779424</v>
      </c>
      <c r="BU12" s="204">
        <f t="shared" ref="BU12:EF12" si="27">BT12+BU11</f>
        <v>46691270.829779424</v>
      </c>
      <c r="BV12" s="204">
        <f t="shared" si="27"/>
        <v>47291270.829779424</v>
      </c>
      <c r="BW12" s="204">
        <f t="shared" si="27"/>
        <v>47291270.829779424</v>
      </c>
      <c r="BX12" s="204">
        <f t="shared" si="27"/>
        <v>47373411.496446088</v>
      </c>
      <c r="BY12" s="204">
        <f t="shared" si="27"/>
        <v>47373411.496446088</v>
      </c>
      <c r="BZ12" s="204">
        <f t="shared" si="27"/>
        <v>47373411.496446088</v>
      </c>
      <c r="CA12" s="204">
        <f t="shared" si="27"/>
        <v>47373411.496446088</v>
      </c>
      <c r="CB12" s="204">
        <f t="shared" si="27"/>
        <v>47373411.496446088</v>
      </c>
      <c r="CC12" s="204">
        <f t="shared" si="27"/>
        <v>47455552.163112752</v>
      </c>
      <c r="CD12" s="204">
        <f t="shared" si="27"/>
        <v>47455552.163112752</v>
      </c>
      <c r="CE12" s="204">
        <f t="shared" si="27"/>
        <v>47455552.163112752</v>
      </c>
      <c r="CF12" s="204">
        <f t="shared" si="27"/>
        <v>47455552.163112752</v>
      </c>
      <c r="CG12" s="204">
        <f t="shared" si="27"/>
        <v>47537692.829779416</v>
      </c>
      <c r="CH12" s="204">
        <f t="shared" si="27"/>
        <v>47537692.829779416</v>
      </c>
      <c r="CI12" s="204">
        <f t="shared" si="27"/>
        <v>47537692.829779416</v>
      </c>
      <c r="CJ12" s="204">
        <f t="shared" si="27"/>
        <v>47537692.829779416</v>
      </c>
      <c r="CK12" s="204">
        <f t="shared" si="27"/>
        <v>47537692.829779416</v>
      </c>
      <c r="CL12" s="204">
        <f t="shared" si="27"/>
        <v>47619833.496446081</v>
      </c>
      <c r="CM12" s="204">
        <f t="shared" si="27"/>
        <v>47619833.496446081</v>
      </c>
      <c r="CN12" s="204">
        <f t="shared" si="27"/>
        <v>47619833.496446081</v>
      </c>
      <c r="CO12" s="204">
        <f t="shared" si="27"/>
        <v>47619833.496446081</v>
      </c>
      <c r="CP12" s="204">
        <f t="shared" si="27"/>
        <v>47701974.163112745</v>
      </c>
      <c r="CQ12" s="204">
        <f t="shared" si="27"/>
        <v>47701974.163112745</v>
      </c>
      <c r="CR12" s="204">
        <f t="shared" si="27"/>
        <v>47701974.163112745</v>
      </c>
      <c r="CS12" s="204">
        <f t="shared" si="27"/>
        <v>47701974.163112745</v>
      </c>
      <c r="CT12" s="204">
        <f t="shared" si="27"/>
        <v>47784114.829779409</v>
      </c>
      <c r="CU12" s="204">
        <f t="shared" si="27"/>
        <v>47784114.829779409</v>
      </c>
      <c r="CV12" s="204">
        <f t="shared" si="27"/>
        <v>47784114.829779409</v>
      </c>
      <c r="CW12" s="204">
        <f t="shared" si="27"/>
        <v>47784114.829779409</v>
      </c>
      <c r="CX12" s="204">
        <f t="shared" si="27"/>
        <v>47784114.829779409</v>
      </c>
      <c r="CY12" s="204">
        <f t="shared" si="27"/>
        <v>48166255.496446073</v>
      </c>
      <c r="CZ12" s="204">
        <f t="shared" si="27"/>
        <v>48166255.496446073</v>
      </c>
      <c r="DA12" s="204">
        <f t="shared" si="27"/>
        <v>48166255.496446073</v>
      </c>
      <c r="DB12" s="204">
        <f t="shared" si="27"/>
        <v>48166255.496446073</v>
      </c>
      <c r="DC12" s="204">
        <f t="shared" si="27"/>
        <v>48248396.163112737</v>
      </c>
      <c r="DD12" s="204">
        <f t="shared" si="27"/>
        <v>48248396.163112737</v>
      </c>
      <c r="DE12" s="204">
        <f t="shared" si="27"/>
        <v>48248396.163112737</v>
      </c>
      <c r="DF12" s="204">
        <f t="shared" si="27"/>
        <v>48248396.163112737</v>
      </c>
      <c r="DG12" s="204">
        <f t="shared" si="27"/>
        <v>48330536.829779401</v>
      </c>
      <c r="DH12" s="204">
        <f t="shared" si="27"/>
        <v>48330536.829779401</v>
      </c>
      <c r="DI12" s="204">
        <f t="shared" si="27"/>
        <v>48330536.829779401</v>
      </c>
      <c r="DJ12" s="204">
        <f t="shared" si="27"/>
        <v>48330536.829779401</v>
      </c>
      <c r="DK12" s="204">
        <f t="shared" si="27"/>
        <v>48412677.496446066</v>
      </c>
      <c r="DL12" s="204">
        <f t="shared" si="27"/>
        <v>48412677.496446066</v>
      </c>
      <c r="DM12" s="204">
        <f t="shared" si="27"/>
        <v>48412677.496446066</v>
      </c>
      <c r="DN12" s="204">
        <f t="shared" si="27"/>
        <v>48412677.496446066</v>
      </c>
      <c r="DO12" s="204">
        <f t="shared" si="27"/>
        <v>48412677.496446066</v>
      </c>
      <c r="DP12" s="204">
        <f t="shared" si="27"/>
        <v>48412677.496446066</v>
      </c>
      <c r="DQ12" s="204">
        <f t="shared" si="27"/>
        <v>48412677.496446066</v>
      </c>
      <c r="DR12" s="204">
        <f t="shared" si="27"/>
        <v>48412677.496446066</v>
      </c>
      <c r="DS12" s="204">
        <f t="shared" si="27"/>
        <v>48412677.496446066</v>
      </c>
      <c r="DT12" s="204">
        <f t="shared" si="27"/>
        <v>48412677.496446066</v>
      </c>
      <c r="DU12" s="204">
        <f t="shared" si="27"/>
        <v>48412677.496446066</v>
      </c>
      <c r="DV12" s="204">
        <f t="shared" si="27"/>
        <v>48412677.496446066</v>
      </c>
      <c r="DW12" s="204">
        <f t="shared" si="27"/>
        <v>48412677.496446066</v>
      </c>
      <c r="DX12" s="204">
        <f t="shared" si="27"/>
        <v>48412677.496446066</v>
      </c>
      <c r="DY12" s="204">
        <f t="shared" si="27"/>
        <v>48412677.496446066</v>
      </c>
      <c r="DZ12" s="204">
        <f t="shared" si="27"/>
        <v>48412677.496446066</v>
      </c>
      <c r="EA12" s="204">
        <f t="shared" si="27"/>
        <v>48412677.496446066</v>
      </c>
      <c r="EB12" s="204">
        <f t="shared" si="27"/>
        <v>48412677.496446066</v>
      </c>
      <c r="EC12" s="204">
        <f t="shared" si="27"/>
        <v>48412677.496446066</v>
      </c>
      <c r="ED12" s="204">
        <f t="shared" si="27"/>
        <v>48412677.496446066</v>
      </c>
      <c r="EE12" s="204">
        <f t="shared" si="27"/>
        <v>48412677.496446066</v>
      </c>
      <c r="EF12" s="204">
        <f t="shared" si="27"/>
        <v>48412677.496446066</v>
      </c>
      <c r="EG12" s="204">
        <f t="shared" ref="EG12:GR12" si="28">EF12+EG11</f>
        <v>48412677.496446066</v>
      </c>
      <c r="EH12" s="204">
        <f t="shared" si="28"/>
        <v>48412677.496446066</v>
      </c>
      <c r="EI12" s="204">
        <f t="shared" si="28"/>
        <v>48412677.496446066</v>
      </c>
      <c r="EJ12" s="204">
        <f t="shared" si="28"/>
        <v>48412677.496446066</v>
      </c>
      <c r="EK12" s="204">
        <f t="shared" si="28"/>
        <v>48412677.496446066</v>
      </c>
      <c r="EL12" s="204">
        <f t="shared" si="28"/>
        <v>48412677.496446066</v>
      </c>
      <c r="EM12" s="204">
        <f t="shared" si="28"/>
        <v>48412677.496446066</v>
      </c>
      <c r="EN12" s="204">
        <f t="shared" si="28"/>
        <v>48412677.496446066</v>
      </c>
      <c r="EO12" s="204">
        <f t="shared" si="28"/>
        <v>48412677.496446066</v>
      </c>
      <c r="EP12" s="204">
        <f t="shared" si="28"/>
        <v>48412677.496446066</v>
      </c>
      <c r="EQ12" s="204">
        <f t="shared" si="28"/>
        <v>48412677.496446066</v>
      </c>
      <c r="ER12" s="204">
        <f t="shared" si="28"/>
        <v>48412677.496446066</v>
      </c>
      <c r="ES12" s="204">
        <f t="shared" si="28"/>
        <v>48412677.496446066</v>
      </c>
      <c r="ET12" s="204">
        <f t="shared" si="28"/>
        <v>48412677.496446066</v>
      </c>
      <c r="EU12" s="204">
        <f t="shared" si="28"/>
        <v>48412677.496446066</v>
      </c>
      <c r="EV12" s="204">
        <f t="shared" si="28"/>
        <v>48412677.496446066</v>
      </c>
      <c r="EW12" s="204">
        <f t="shared" si="28"/>
        <v>48412677.496446066</v>
      </c>
      <c r="EX12" s="204">
        <f t="shared" si="28"/>
        <v>48412677.496446066</v>
      </c>
      <c r="EY12" s="204">
        <f t="shared" si="28"/>
        <v>48412677.496446066</v>
      </c>
      <c r="EZ12" s="204">
        <f t="shared" si="28"/>
        <v>48412677.496446066</v>
      </c>
      <c r="FA12" s="204">
        <f t="shared" si="28"/>
        <v>48412677.496446066</v>
      </c>
      <c r="FB12" s="204">
        <f t="shared" si="28"/>
        <v>48412677.496446066</v>
      </c>
      <c r="FC12" s="204">
        <f t="shared" si="28"/>
        <v>48412677.496446066</v>
      </c>
      <c r="FD12" s="204">
        <f t="shared" si="28"/>
        <v>48412677.496446066</v>
      </c>
      <c r="FE12" s="204">
        <f t="shared" si="28"/>
        <v>48412677.496446066</v>
      </c>
      <c r="FF12" s="204">
        <f t="shared" si="28"/>
        <v>48412677.496446066</v>
      </c>
      <c r="FG12" s="204">
        <f t="shared" si="28"/>
        <v>48412677.496446066</v>
      </c>
      <c r="FH12" s="204">
        <f t="shared" si="28"/>
        <v>48412677.496446066</v>
      </c>
      <c r="FI12" s="204">
        <f t="shared" si="28"/>
        <v>48412677.496446066</v>
      </c>
      <c r="FJ12" s="204">
        <f t="shared" si="28"/>
        <v>48412677.496446066</v>
      </c>
      <c r="FK12" s="204">
        <f t="shared" si="28"/>
        <v>48412677.496446066</v>
      </c>
      <c r="FL12" s="204">
        <f t="shared" si="28"/>
        <v>48412677.496446066</v>
      </c>
      <c r="FM12" s="204">
        <f t="shared" si="28"/>
        <v>48412677.496446066</v>
      </c>
      <c r="FN12" s="204">
        <f t="shared" si="28"/>
        <v>48412677.496446066</v>
      </c>
      <c r="FO12" s="204">
        <f t="shared" si="28"/>
        <v>48412677.496446066</v>
      </c>
      <c r="FP12" s="204">
        <f t="shared" si="28"/>
        <v>48412677.496446066</v>
      </c>
      <c r="FQ12" s="204">
        <f t="shared" si="28"/>
        <v>48412677.496446066</v>
      </c>
      <c r="FR12" s="204">
        <f t="shared" si="28"/>
        <v>48412677.496446066</v>
      </c>
      <c r="FS12" s="204">
        <f t="shared" si="28"/>
        <v>48412677.496446066</v>
      </c>
      <c r="FT12" s="204">
        <f t="shared" si="28"/>
        <v>48412677.496446066</v>
      </c>
      <c r="FU12" s="204">
        <f t="shared" si="28"/>
        <v>48412677.496446066</v>
      </c>
      <c r="FV12" s="204">
        <f t="shared" si="28"/>
        <v>48412677.496446066</v>
      </c>
      <c r="FW12" s="204">
        <f t="shared" si="28"/>
        <v>48412677.496446066</v>
      </c>
      <c r="FX12" s="204">
        <f t="shared" si="28"/>
        <v>48412677.496446066</v>
      </c>
      <c r="FY12" s="204">
        <f t="shared" si="28"/>
        <v>48412677.496446066</v>
      </c>
      <c r="FZ12" s="204">
        <f t="shared" si="28"/>
        <v>48412677.496446066</v>
      </c>
      <c r="GA12" s="204">
        <f t="shared" si="28"/>
        <v>48412677.496446066</v>
      </c>
      <c r="GB12" s="204">
        <f t="shared" si="28"/>
        <v>48412677.496446066</v>
      </c>
      <c r="GC12" s="204">
        <f t="shared" si="28"/>
        <v>48412677.496446066</v>
      </c>
      <c r="GD12" s="204">
        <f t="shared" si="28"/>
        <v>48412677.496446066</v>
      </c>
      <c r="GE12" s="204">
        <f t="shared" si="28"/>
        <v>48412677.496446066</v>
      </c>
      <c r="GF12" s="204">
        <f t="shared" si="28"/>
        <v>48412677.496446066</v>
      </c>
      <c r="GG12" s="204">
        <f t="shared" si="28"/>
        <v>48412677.496446066</v>
      </c>
      <c r="GH12" s="204">
        <f t="shared" si="28"/>
        <v>48412677.496446066</v>
      </c>
      <c r="GI12" s="204">
        <f t="shared" si="28"/>
        <v>48412677.496446066</v>
      </c>
      <c r="GJ12" s="204">
        <f t="shared" si="28"/>
        <v>48412677.496446066</v>
      </c>
      <c r="GK12" s="204">
        <f t="shared" si="28"/>
        <v>48412677.496446066</v>
      </c>
      <c r="GL12" s="204">
        <f t="shared" si="28"/>
        <v>48412677.496446066</v>
      </c>
      <c r="GM12" s="204">
        <f t="shared" si="28"/>
        <v>48412677.496446066</v>
      </c>
      <c r="GN12" s="204">
        <f t="shared" si="28"/>
        <v>48412677.496446066</v>
      </c>
      <c r="GO12" s="204">
        <f t="shared" si="28"/>
        <v>48412677.496446066</v>
      </c>
      <c r="GP12" s="204">
        <f t="shared" si="28"/>
        <v>48412677.496446066</v>
      </c>
      <c r="GQ12" s="204">
        <f t="shared" si="28"/>
        <v>48412677.496446066</v>
      </c>
      <c r="GR12" s="204">
        <f t="shared" si="28"/>
        <v>48412677.496446066</v>
      </c>
      <c r="GS12" s="204">
        <f t="shared" ref="GS12:JD12" si="29">GR12+GS11</f>
        <v>48412677.496446066</v>
      </c>
      <c r="GT12" s="204">
        <f t="shared" si="29"/>
        <v>48412677.496446066</v>
      </c>
      <c r="GU12" s="204">
        <f t="shared" si="29"/>
        <v>48412677.496446066</v>
      </c>
      <c r="GV12" s="204">
        <f t="shared" si="29"/>
        <v>48412677.496446066</v>
      </c>
      <c r="GW12" s="204">
        <f t="shared" si="29"/>
        <v>48412677.496446066</v>
      </c>
      <c r="GX12" s="204">
        <f t="shared" si="29"/>
        <v>48412677.496446066</v>
      </c>
      <c r="GY12" s="204">
        <f t="shared" si="29"/>
        <v>48412677.496446066</v>
      </c>
      <c r="GZ12" s="204">
        <f t="shared" si="29"/>
        <v>48412677.496446066</v>
      </c>
      <c r="HA12" s="204">
        <f t="shared" si="29"/>
        <v>48412677.496446066</v>
      </c>
      <c r="HB12" s="204">
        <f t="shared" si="29"/>
        <v>48412677.496446066</v>
      </c>
      <c r="HC12" s="204">
        <f t="shared" si="29"/>
        <v>48412677.496446066</v>
      </c>
      <c r="HD12" s="204">
        <f t="shared" si="29"/>
        <v>48412677.496446066</v>
      </c>
      <c r="HE12" s="204">
        <f t="shared" si="29"/>
        <v>48412677.496446066</v>
      </c>
      <c r="HF12" s="204">
        <f t="shared" si="29"/>
        <v>48412677.496446066</v>
      </c>
      <c r="HG12" s="204">
        <f t="shared" si="29"/>
        <v>48412677.496446066</v>
      </c>
      <c r="HH12" s="204">
        <f t="shared" si="29"/>
        <v>48412677.496446066</v>
      </c>
      <c r="HI12" s="204">
        <f t="shared" si="29"/>
        <v>48412677.496446066</v>
      </c>
      <c r="HJ12" s="204">
        <f t="shared" si="29"/>
        <v>48412677.496446066</v>
      </c>
      <c r="HK12" s="204">
        <f t="shared" si="29"/>
        <v>48412677.496446066</v>
      </c>
      <c r="HL12" s="204">
        <f t="shared" si="29"/>
        <v>48412677.496446066</v>
      </c>
      <c r="HM12" s="204">
        <f t="shared" si="29"/>
        <v>48412677.496446066</v>
      </c>
      <c r="HN12" s="204">
        <f t="shared" si="29"/>
        <v>48412677.496446066</v>
      </c>
      <c r="HO12" s="204">
        <f t="shared" si="29"/>
        <v>48412677.496446066</v>
      </c>
      <c r="HP12" s="204">
        <f t="shared" si="29"/>
        <v>48412677.496446066</v>
      </c>
      <c r="HQ12" s="204">
        <f t="shared" si="29"/>
        <v>48412677.496446066</v>
      </c>
      <c r="HR12" s="204">
        <f t="shared" si="29"/>
        <v>48412677.496446066</v>
      </c>
      <c r="HS12" s="204">
        <f t="shared" si="29"/>
        <v>48412677.496446066</v>
      </c>
      <c r="HT12" s="204">
        <f t="shared" si="29"/>
        <v>48412677.496446066</v>
      </c>
      <c r="HU12" s="204">
        <f t="shared" si="29"/>
        <v>48412677.496446066</v>
      </c>
      <c r="HV12" s="204">
        <f t="shared" si="29"/>
        <v>48412677.496446066</v>
      </c>
      <c r="HW12" s="204">
        <f t="shared" si="29"/>
        <v>48412677.496446066</v>
      </c>
      <c r="HX12" s="204">
        <f t="shared" si="29"/>
        <v>48412677.496446066</v>
      </c>
      <c r="HY12" s="204">
        <f t="shared" si="29"/>
        <v>48412677.496446066</v>
      </c>
      <c r="HZ12" s="204">
        <f t="shared" si="29"/>
        <v>48412677.496446066</v>
      </c>
      <c r="IA12" s="204">
        <f t="shared" si="29"/>
        <v>48412677.496446066</v>
      </c>
      <c r="IB12" s="204">
        <f t="shared" si="29"/>
        <v>48412677.496446066</v>
      </c>
      <c r="IC12" s="204">
        <f t="shared" si="29"/>
        <v>48412677.496446066</v>
      </c>
      <c r="ID12" s="204">
        <f t="shared" si="29"/>
        <v>48412677.496446066</v>
      </c>
      <c r="IE12" s="204">
        <f t="shared" si="29"/>
        <v>48412677.496446066</v>
      </c>
      <c r="IF12" s="204">
        <f t="shared" si="29"/>
        <v>48412677.496446066</v>
      </c>
      <c r="IG12" s="204">
        <f t="shared" si="29"/>
        <v>48412677.496446066</v>
      </c>
      <c r="IH12" s="204">
        <f t="shared" si="29"/>
        <v>48412677.496446066</v>
      </c>
      <c r="II12" s="204">
        <f t="shared" si="29"/>
        <v>48412677.496446066</v>
      </c>
      <c r="IJ12" s="204">
        <f t="shared" si="29"/>
        <v>48412677.496446066</v>
      </c>
      <c r="IK12" s="204">
        <f t="shared" si="29"/>
        <v>48412677.496446066</v>
      </c>
      <c r="IL12" s="204">
        <f t="shared" si="29"/>
        <v>48412677.496446066</v>
      </c>
      <c r="IM12" s="204">
        <f t="shared" si="29"/>
        <v>48412677.496446066</v>
      </c>
      <c r="IN12" s="204">
        <f t="shared" si="29"/>
        <v>48412677.496446066</v>
      </c>
      <c r="IO12" s="204">
        <f t="shared" si="29"/>
        <v>48412677.496446066</v>
      </c>
      <c r="IP12" s="204">
        <f t="shared" si="29"/>
        <v>48412677.496446066</v>
      </c>
      <c r="IQ12" s="204">
        <f t="shared" si="29"/>
        <v>48412677.496446066</v>
      </c>
      <c r="IR12" s="204">
        <f t="shared" si="29"/>
        <v>48412677.496446066</v>
      </c>
      <c r="IS12" s="204">
        <f t="shared" si="29"/>
        <v>48412677.496446066</v>
      </c>
      <c r="IT12" s="204">
        <f t="shared" si="29"/>
        <v>48412677.496446066</v>
      </c>
      <c r="IU12" s="204">
        <f t="shared" si="29"/>
        <v>48412677.496446066</v>
      </c>
      <c r="IV12" s="204">
        <f t="shared" si="29"/>
        <v>48412677.496446066</v>
      </c>
      <c r="IW12" s="204">
        <f t="shared" si="29"/>
        <v>48412677.496446066</v>
      </c>
      <c r="IX12" s="204">
        <f t="shared" si="29"/>
        <v>48412677.496446066</v>
      </c>
      <c r="IY12" s="204">
        <f t="shared" si="29"/>
        <v>48412677.496446066</v>
      </c>
      <c r="IZ12" s="204">
        <f t="shared" si="29"/>
        <v>48412677.496446066</v>
      </c>
      <c r="JA12" s="204">
        <f t="shared" si="29"/>
        <v>48412677.496446066</v>
      </c>
      <c r="JB12" s="204">
        <f t="shared" si="29"/>
        <v>48412677.496446066</v>
      </c>
      <c r="JC12" s="204">
        <f t="shared" si="29"/>
        <v>48412677.496446066</v>
      </c>
      <c r="JD12" s="204">
        <f t="shared" si="29"/>
        <v>48412677.496446066</v>
      </c>
      <c r="JE12" s="204">
        <f t="shared" ref="JE12:LD12" si="30">JD12+JE11</f>
        <v>48412677.496446066</v>
      </c>
      <c r="JF12" s="204">
        <f t="shared" si="30"/>
        <v>48412677.496446066</v>
      </c>
      <c r="JG12" s="204">
        <f t="shared" si="30"/>
        <v>48412677.496446066</v>
      </c>
      <c r="JH12" s="204">
        <f t="shared" si="30"/>
        <v>48412677.496446066</v>
      </c>
      <c r="JI12" s="204">
        <f t="shared" si="30"/>
        <v>48412677.496446066</v>
      </c>
      <c r="JJ12" s="204">
        <f t="shared" si="30"/>
        <v>48412677.496446066</v>
      </c>
      <c r="JK12" s="204">
        <f t="shared" si="30"/>
        <v>48412677.496446066</v>
      </c>
      <c r="JL12" s="204">
        <f t="shared" si="30"/>
        <v>48412677.496446066</v>
      </c>
      <c r="JM12" s="204">
        <f t="shared" si="30"/>
        <v>48412677.496446066</v>
      </c>
      <c r="JN12" s="204">
        <f t="shared" si="30"/>
        <v>48412677.496446066</v>
      </c>
      <c r="JO12" s="204">
        <f t="shared" si="30"/>
        <v>48412677.496446066</v>
      </c>
      <c r="JP12" s="204">
        <f t="shared" si="30"/>
        <v>48412677.496446066</v>
      </c>
      <c r="JQ12" s="204">
        <f t="shared" si="30"/>
        <v>48412677.496446066</v>
      </c>
      <c r="JR12" s="204">
        <f t="shared" si="30"/>
        <v>48412677.496446066</v>
      </c>
      <c r="JS12" s="204">
        <f t="shared" si="30"/>
        <v>48412677.496446066</v>
      </c>
      <c r="JT12" s="204">
        <f t="shared" si="30"/>
        <v>48412677.496446066</v>
      </c>
      <c r="JU12" s="204">
        <f t="shared" si="30"/>
        <v>48412677.496446066</v>
      </c>
      <c r="JV12" s="204">
        <f t="shared" si="30"/>
        <v>48412677.496446066</v>
      </c>
      <c r="JW12" s="204">
        <f t="shared" si="30"/>
        <v>48412677.496446066</v>
      </c>
      <c r="JX12" s="204">
        <f t="shared" si="30"/>
        <v>48412677.496446066</v>
      </c>
      <c r="JY12" s="204">
        <f t="shared" si="30"/>
        <v>48412677.496446066</v>
      </c>
      <c r="JZ12" s="204">
        <f t="shared" si="30"/>
        <v>48412677.496446066</v>
      </c>
      <c r="KA12" s="204">
        <f t="shared" si="30"/>
        <v>48412677.496446066</v>
      </c>
      <c r="KB12" s="204">
        <f t="shared" si="30"/>
        <v>48412677.496446066</v>
      </c>
      <c r="KC12" s="204">
        <f t="shared" si="30"/>
        <v>48412677.496446066</v>
      </c>
      <c r="KD12" s="204">
        <f t="shared" si="30"/>
        <v>48412677.496446066</v>
      </c>
      <c r="KE12" s="204">
        <f t="shared" si="30"/>
        <v>48412677.496446066</v>
      </c>
      <c r="KF12" s="204">
        <f t="shared" si="30"/>
        <v>48412677.496446066</v>
      </c>
      <c r="KG12" s="204">
        <f t="shared" si="30"/>
        <v>48412677.496446066</v>
      </c>
      <c r="KH12" s="204">
        <f t="shared" si="30"/>
        <v>48412677.496446066</v>
      </c>
      <c r="KI12" s="204">
        <f t="shared" si="30"/>
        <v>48412677.496446066</v>
      </c>
      <c r="KJ12" s="204">
        <f t="shared" si="30"/>
        <v>48412677.496446066</v>
      </c>
      <c r="KK12" s="204">
        <f t="shared" si="30"/>
        <v>48412677.496446066</v>
      </c>
      <c r="KL12" s="204">
        <f t="shared" si="30"/>
        <v>48412677.496446066</v>
      </c>
      <c r="KM12" s="204">
        <f t="shared" si="30"/>
        <v>48412677.496446066</v>
      </c>
      <c r="KN12" s="204">
        <f t="shared" si="30"/>
        <v>48412677.496446066</v>
      </c>
      <c r="KO12" s="204">
        <f t="shared" si="30"/>
        <v>48412677.496446066</v>
      </c>
      <c r="KP12" s="204">
        <f t="shared" si="30"/>
        <v>48412677.496446066</v>
      </c>
      <c r="KQ12" s="204">
        <f t="shared" si="30"/>
        <v>48412677.496446066</v>
      </c>
      <c r="KR12" s="204">
        <f t="shared" si="30"/>
        <v>48412677.496446066</v>
      </c>
      <c r="KS12" s="204">
        <f t="shared" si="30"/>
        <v>48412677.496446066</v>
      </c>
      <c r="KT12" s="204">
        <f t="shared" si="30"/>
        <v>48412677.496446066</v>
      </c>
      <c r="KU12" s="204">
        <f t="shared" si="30"/>
        <v>48412677.496446066</v>
      </c>
      <c r="KV12" s="204">
        <f t="shared" si="30"/>
        <v>48412677.496446066</v>
      </c>
      <c r="KW12" s="204">
        <f t="shared" si="30"/>
        <v>48412677.496446066</v>
      </c>
      <c r="KX12" s="204">
        <f t="shared" si="30"/>
        <v>48412677.496446066</v>
      </c>
      <c r="KY12" s="204">
        <f t="shared" si="30"/>
        <v>48412677.496446066</v>
      </c>
      <c r="KZ12" s="204">
        <f t="shared" si="30"/>
        <v>48412677.496446066</v>
      </c>
      <c r="LA12" s="204">
        <f t="shared" si="30"/>
        <v>48412677.496446066</v>
      </c>
      <c r="LB12" s="204">
        <f t="shared" si="30"/>
        <v>48412677.496446066</v>
      </c>
      <c r="LC12" s="204">
        <f t="shared" si="30"/>
        <v>48412677.496446066</v>
      </c>
      <c r="LD12" s="204">
        <f t="shared" si="30"/>
        <v>48412677.496446066</v>
      </c>
      <c r="LE12" s="181"/>
      <c r="LF12" s="192"/>
    </row>
    <row r="13" spans="1:794" s="181" customFormat="1">
      <c r="A13" s="926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6"/>
      <c r="B14" s="194" t="s">
        <v>736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13107981.58355391</v>
      </c>
      <c r="BL14" s="197">
        <f t="shared" si="32"/>
        <v>12805949.983553909</v>
      </c>
      <c r="BM14" s="197">
        <f t="shared" si="32"/>
        <v>12769149.983553909</v>
      </c>
      <c r="BN14" s="197">
        <f t="shared" si="32"/>
        <v>12769149.983553909</v>
      </c>
      <c r="BO14" s="197">
        <f t="shared" si="32"/>
        <v>12769149.983553909</v>
      </c>
      <c r="BP14" s="197">
        <f t="shared" si="32"/>
        <v>11043768.62688724</v>
      </c>
      <c r="BQ14" s="197">
        <f t="shared" si="32"/>
        <v>10995018.62688724</v>
      </c>
      <c r="BR14" s="197">
        <f t="shared" si="32"/>
        <v>10995018.62688724</v>
      </c>
      <c r="BS14" s="197">
        <f t="shared" si="32"/>
        <v>10995018.62688724</v>
      </c>
      <c r="BT14" s="197">
        <f t="shared" si="32"/>
        <v>10303979.170220576</v>
      </c>
      <c r="BU14" s="197">
        <f t="shared" ref="BU14:EF14" si="33">BU10-BU12</f>
        <v>13303729.170220576</v>
      </c>
      <c r="BV14" s="197">
        <f t="shared" si="33"/>
        <v>12703729.170220576</v>
      </c>
      <c r="BW14" s="197">
        <f t="shared" si="33"/>
        <v>12703729.170220576</v>
      </c>
      <c r="BX14" s="197">
        <f t="shared" si="33"/>
        <v>12621588.503553912</v>
      </c>
      <c r="BY14" s="197">
        <f t="shared" si="33"/>
        <v>12621588.503553912</v>
      </c>
      <c r="BZ14" s="197">
        <f t="shared" si="33"/>
        <v>12621588.503553912</v>
      </c>
      <c r="CA14" s="197">
        <f t="shared" si="33"/>
        <v>12621588.503553912</v>
      </c>
      <c r="CB14" s="197">
        <f t="shared" si="33"/>
        <v>12621588.503553912</v>
      </c>
      <c r="CC14" s="197">
        <f t="shared" si="33"/>
        <v>12539447.836887248</v>
      </c>
      <c r="CD14" s="197">
        <f t="shared" si="33"/>
        <v>12539447.836887248</v>
      </c>
      <c r="CE14" s="197">
        <f t="shared" si="33"/>
        <v>12539447.836887248</v>
      </c>
      <c r="CF14" s="197">
        <f t="shared" si="33"/>
        <v>12539447.836887248</v>
      </c>
      <c r="CG14" s="197">
        <f t="shared" si="33"/>
        <v>12457307.170220584</v>
      </c>
      <c r="CH14" s="197">
        <f t="shared" si="33"/>
        <v>12457307.170220584</v>
      </c>
      <c r="CI14" s="197">
        <f t="shared" si="33"/>
        <v>12457307.170220584</v>
      </c>
      <c r="CJ14" s="197">
        <f t="shared" si="33"/>
        <v>12457307.170220584</v>
      </c>
      <c r="CK14" s="197">
        <f t="shared" si="33"/>
        <v>12457307.170220584</v>
      </c>
      <c r="CL14" s="197">
        <f t="shared" si="33"/>
        <v>12375166.503553919</v>
      </c>
      <c r="CM14" s="197">
        <f t="shared" si="33"/>
        <v>12375166.503553919</v>
      </c>
      <c r="CN14" s="197">
        <f t="shared" si="33"/>
        <v>12375166.503553919</v>
      </c>
      <c r="CO14" s="197">
        <f t="shared" si="33"/>
        <v>12375166.503553919</v>
      </c>
      <c r="CP14" s="197">
        <f t="shared" si="33"/>
        <v>12293025.836887255</v>
      </c>
      <c r="CQ14" s="197">
        <f t="shared" si="33"/>
        <v>12293025.836887255</v>
      </c>
      <c r="CR14" s="197">
        <f t="shared" si="33"/>
        <v>12293025.836887255</v>
      </c>
      <c r="CS14" s="197">
        <f t="shared" si="33"/>
        <v>12293025.836887255</v>
      </c>
      <c r="CT14" s="197">
        <f t="shared" si="33"/>
        <v>12210885.170220591</v>
      </c>
      <c r="CU14" s="197">
        <f t="shared" si="33"/>
        <v>12210885.170220591</v>
      </c>
      <c r="CV14" s="197">
        <f t="shared" si="33"/>
        <v>12210885.170220591</v>
      </c>
      <c r="CW14" s="197">
        <f t="shared" si="33"/>
        <v>12210885.170220591</v>
      </c>
      <c r="CX14" s="197">
        <f t="shared" si="33"/>
        <v>12210885.170220591</v>
      </c>
      <c r="CY14" s="197">
        <f t="shared" si="33"/>
        <v>11828744.503553927</v>
      </c>
      <c r="CZ14" s="197">
        <f t="shared" si="33"/>
        <v>11828744.503553927</v>
      </c>
      <c r="DA14" s="197">
        <f t="shared" si="33"/>
        <v>11828744.503553927</v>
      </c>
      <c r="DB14" s="197">
        <f t="shared" si="33"/>
        <v>11828744.503553927</v>
      </c>
      <c r="DC14" s="197">
        <f t="shared" si="33"/>
        <v>11746603.836887263</v>
      </c>
      <c r="DD14" s="197">
        <f t="shared" si="33"/>
        <v>11746603.836887263</v>
      </c>
      <c r="DE14" s="197">
        <f t="shared" si="33"/>
        <v>11746603.836887263</v>
      </c>
      <c r="DF14" s="197">
        <f t="shared" si="33"/>
        <v>11746603.836887263</v>
      </c>
      <c r="DG14" s="197">
        <f t="shared" si="33"/>
        <v>11664463.170220599</v>
      </c>
      <c r="DH14" s="197">
        <f t="shared" si="33"/>
        <v>11664463.170220599</v>
      </c>
      <c r="DI14" s="197">
        <f t="shared" si="33"/>
        <v>11664463.170220599</v>
      </c>
      <c r="DJ14" s="197">
        <f t="shared" si="33"/>
        <v>11664463.170220599</v>
      </c>
      <c r="DK14" s="197">
        <f t="shared" si="33"/>
        <v>11582322.503553934</v>
      </c>
      <c r="DL14" s="197">
        <f t="shared" si="33"/>
        <v>11582322.503553934</v>
      </c>
      <c r="DM14" s="197">
        <f t="shared" si="33"/>
        <v>11582322.503553934</v>
      </c>
      <c r="DN14" s="197">
        <f t="shared" si="33"/>
        <v>11582322.503553934</v>
      </c>
      <c r="DO14" s="197">
        <f t="shared" si="33"/>
        <v>11582322.503553934</v>
      </c>
      <c r="DP14" s="197">
        <f t="shared" si="33"/>
        <v>11582322.503553934</v>
      </c>
      <c r="DQ14" s="197">
        <f t="shared" si="33"/>
        <v>11582322.503553934</v>
      </c>
      <c r="DR14" s="197">
        <f t="shared" si="33"/>
        <v>11582322.503553934</v>
      </c>
      <c r="DS14" s="197">
        <f t="shared" si="33"/>
        <v>11582322.503553934</v>
      </c>
      <c r="DT14" s="197">
        <f t="shared" si="33"/>
        <v>11582322.503553934</v>
      </c>
      <c r="DU14" s="197">
        <f t="shared" si="33"/>
        <v>11582322.503553934</v>
      </c>
      <c r="DV14" s="197">
        <f t="shared" si="33"/>
        <v>11582322.503553934</v>
      </c>
      <c r="DW14" s="197">
        <f t="shared" si="33"/>
        <v>11582322.503553934</v>
      </c>
      <c r="DX14" s="197">
        <f t="shared" si="33"/>
        <v>11582322.503553934</v>
      </c>
      <c r="DY14" s="197">
        <f t="shared" si="33"/>
        <v>11582322.503553934</v>
      </c>
      <c r="DZ14" s="197">
        <f t="shared" si="33"/>
        <v>11582322.503553934</v>
      </c>
      <c r="EA14" s="197">
        <f t="shared" si="33"/>
        <v>11582322.503553934</v>
      </c>
      <c r="EB14" s="197">
        <f t="shared" si="33"/>
        <v>11582322.503553934</v>
      </c>
      <c r="EC14" s="197">
        <f t="shared" si="33"/>
        <v>11582322.503553934</v>
      </c>
      <c r="ED14" s="197">
        <f t="shared" si="33"/>
        <v>11582322.503553934</v>
      </c>
      <c r="EE14" s="197">
        <f t="shared" si="33"/>
        <v>11582322.503553934</v>
      </c>
      <c r="EF14" s="197">
        <f t="shared" si="33"/>
        <v>11582322.503553934</v>
      </c>
      <c r="EG14" s="197">
        <f t="shared" ref="EG14:GR14" si="34">EG10-EG12</f>
        <v>11582322.503553934</v>
      </c>
      <c r="EH14" s="197">
        <f t="shared" si="34"/>
        <v>11582322.503553934</v>
      </c>
      <c r="EI14" s="197">
        <f t="shared" si="34"/>
        <v>11582322.503553934</v>
      </c>
      <c r="EJ14" s="197">
        <f t="shared" si="34"/>
        <v>11582322.503553934</v>
      </c>
      <c r="EK14" s="197">
        <f t="shared" si="34"/>
        <v>11582322.503553934</v>
      </c>
      <c r="EL14" s="197">
        <f t="shared" si="34"/>
        <v>11582322.503553934</v>
      </c>
      <c r="EM14" s="197">
        <f t="shared" si="34"/>
        <v>11582322.503553934</v>
      </c>
      <c r="EN14" s="197">
        <f t="shared" si="34"/>
        <v>11582322.503553934</v>
      </c>
      <c r="EO14" s="197">
        <f t="shared" si="34"/>
        <v>11582322.503553934</v>
      </c>
      <c r="EP14" s="197">
        <f t="shared" si="34"/>
        <v>11582322.503553934</v>
      </c>
      <c r="EQ14" s="197">
        <f t="shared" si="34"/>
        <v>11582322.503553934</v>
      </c>
      <c r="ER14" s="197">
        <f t="shared" si="34"/>
        <v>11582322.503553934</v>
      </c>
      <c r="ES14" s="197">
        <f t="shared" si="34"/>
        <v>11582322.503553934</v>
      </c>
      <c r="ET14" s="197">
        <f t="shared" si="34"/>
        <v>11582322.503553934</v>
      </c>
      <c r="EU14" s="197">
        <f t="shared" si="34"/>
        <v>11582322.503553934</v>
      </c>
      <c r="EV14" s="197">
        <f t="shared" si="34"/>
        <v>11582322.503553934</v>
      </c>
      <c r="EW14" s="197">
        <f t="shared" si="34"/>
        <v>11582322.503553934</v>
      </c>
      <c r="EX14" s="197">
        <f t="shared" si="34"/>
        <v>11582322.503553934</v>
      </c>
      <c r="EY14" s="197">
        <f t="shared" si="34"/>
        <v>11582322.503553934</v>
      </c>
      <c r="EZ14" s="197">
        <f t="shared" si="34"/>
        <v>11582322.503553934</v>
      </c>
      <c r="FA14" s="197">
        <f t="shared" si="34"/>
        <v>11582322.503553934</v>
      </c>
      <c r="FB14" s="197">
        <f t="shared" si="34"/>
        <v>11582322.503553934</v>
      </c>
      <c r="FC14" s="197">
        <f t="shared" si="34"/>
        <v>11582322.503553934</v>
      </c>
      <c r="FD14" s="197">
        <f t="shared" si="34"/>
        <v>11582322.503553934</v>
      </c>
      <c r="FE14" s="197">
        <f t="shared" si="34"/>
        <v>11582322.503553934</v>
      </c>
      <c r="FF14" s="197">
        <f t="shared" si="34"/>
        <v>11582322.503553934</v>
      </c>
      <c r="FG14" s="197">
        <f t="shared" si="34"/>
        <v>11582322.503553934</v>
      </c>
      <c r="FH14" s="197">
        <f t="shared" si="34"/>
        <v>11582322.503553934</v>
      </c>
      <c r="FI14" s="197">
        <f t="shared" si="34"/>
        <v>11582322.503553934</v>
      </c>
      <c r="FJ14" s="197">
        <f t="shared" si="34"/>
        <v>11582322.503553934</v>
      </c>
      <c r="FK14" s="197">
        <f t="shared" si="34"/>
        <v>11582322.503553934</v>
      </c>
      <c r="FL14" s="197">
        <f t="shared" si="34"/>
        <v>11582322.503553934</v>
      </c>
      <c r="FM14" s="197">
        <f t="shared" si="34"/>
        <v>11582322.503553934</v>
      </c>
      <c r="FN14" s="197">
        <f t="shared" si="34"/>
        <v>11582322.503553934</v>
      </c>
      <c r="FO14" s="197">
        <f t="shared" si="34"/>
        <v>11582322.503553934</v>
      </c>
      <c r="FP14" s="197">
        <f t="shared" si="34"/>
        <v>11582322.503553934</v>
      </c>
      <c r="FQ14" s="197">
        <f t="shared" si="34"/>
        <v>11582322.503553934</v>
      </c>
      <c r="FR14" s="197">
        <f t="shared" si="34"/>
        <v>11582322.503553934</v>
      </c>
      <c r="FS14" s="197">
        <f t="shared" si="34"/>
        <v>11582322.503553934</v>
      </c>
      <c r="FT14" s="197">
        <f t="shared" si="34"/>
        <v>11582322.503553934</v>
      </c>
      <c r="FU14" s="197">
        <f t="shared" si="34"/>
        <v>11582322.503553934</v>
      </c>
      <c r="FV14" s="197">
        <f t="shared" si="34"/>
        <v>11582322.503553934</v>
      </c>
      <c r="FW14" s="197">
        <f t="shared" si="34"/>
        <v>11582322.503553934</v>
      </c>
      <c r="FX14" s="197">
        <f t="shared" si="34"/>
        <v>11582322.503553934</v>
      </c>
      <c r="FY14" s="197">
        <f t="shared" si="34"/>
        <v>11582322.503553934</v>
      </c>
      <c r="FZ14" s="197">
        <f t="shared" si="34"/>
        <v>11582322.503553934</v>
      </c>
      <c r="GA14" s="197">
        <f t="shared" si="34"/>
        <v>11582322.503553934</v>
      </c>
      <c r="GB14" s="197">
        <f t="shared" si="34"/>
        <v>11582322.503553934</v>
      </c>
      <c r="GC14" s="197">
        <f t="shared" si="34"/>
        <v>11582322.503553934</v>
      </c>
      <c r="GD14" s="197">
        <f t="shared" si="34"/>
        <v>11582322.503553934</v>
      </c>
      <c r="GE14" s="197">
        <f t="shared" si="34"/>
        <v>11582322.503553934</v>
      </c>
      <c r="GF14" s="197">
        <f t="shared" si="34"/>
        <v>11582322.503553934</v>
      </c>
      <c r="GG14" s="197">
        <f t="shared" si="34"/>
        <v>11582322.503553934</v>
      </c>
      <c r="GH14" s="197">
        <f t="shared" si="34"/>
        <v>11582322.503553934</v>
      </c>
      <c r="GI14" s="197">
        <f t="shared" si="34"/>
        <v>11582322.503553934</v>
      </c>
      <c r="GJ14" s="197">
        <f t="shared" si="34"/>
        <v>11582322.503553934</v>
      </c>
      <c r="GK14" s="197">
        <f t="shared" si="34"/>
        <v>11582322.503553934</v>
      </c>
      <c r="GL14" s="197">
        <f t="shared" si="34"/>
        <v>11582322.503553934</v>
      </c>
      <c r="GM14" s="197">
        <f t="shared" si="34"/>
        <v>11582322.503553934</v>
      </c>
      <c r="GN14" s="197">
        <f t="shared" si="34"/>
        <v>11582322.503553934</v>
      </c>
      <c r="GO14" s="197">
        <f t="shared" si="34"/>
        <v>11582322.503553934</v>
      </c>
      <c r="GP14" s="197">
        <f t="shared" si="34"/>
        <v>11582322.503553934</v>
      </c>
      <c r="GQ14" s="197">
        <f t="shared" si="34"/>
        <v>11582322.503553934</v>
      </c>
      <c r="GR14" s="197">
        <f t="shared" si="34"/>
        <v>11582322.503553934</v>
      </c>
      <c r="GS14" s="197">
        <f t="shared" ref="GS14:JD14" si="35">GS10-GS12</f>
        <v>11582322.503553934</v>
      </c>
      <c r="GT14" s="197">
        <f t="shared" si="35"/>
        <v>11582322.503553934</v>
      </c>
      <c r="GU14" s="197">
        <f t="shared" si="35"/>
        <v>11582322.503553934</v>
      </c>
      <c r="GV14" s="197">
        <f t="shared" si="35"/>
        <v>11582322.503553934</v>
      </c>
      <c r="GW14" s="197">
        <f t="shared" si="35"/>
        <v>11582322.503553934</v>
      </c>
      <c r="GX14" s="197">
        <f t="shared" si="35"/>
        <v>11582322.503553934</v>
      </c>
      <c r="GY14" s="197">
        <f t="shared" si="35"/>
        <v>11582322.503553934</v>
      </c>
      <c r="GZ14" s="197">
        <f t="shared" si="35"/>
        <v>11582322.503553934</v>
      </c>
      <c r="HA14" s="197">
        <f t="shared" si="35"/>
        <v>11582322.503553934</v>
      </c>
      <c r="HB14" s="197">
        <f t="shared" si="35"/>
        <v>11582322.503553934</v>
      </c>
      <c r="HC14" s="197">
        <f t="shared" si="35"/>
        <v>11582322.503553934</v>
      </c>
      <c r="HD14" s="197">
        <f t="shared" si="35"/>
        <v>11582322.503553934</v>
      </c>
      <c r="HE14" s="197">
        <f t="shared" si="35"/>
        <v>11582322.503553934</v>
      </c>
      <c r="HF14" s="197">
        <f t="shared" si="35"/>
        <v>11582322.503553934</v>
      </c>
      <c r="HG14" s="197">
        <f t="shared" si="35"/>
        <v>11582322.503553934</v>
      </c>
      <c r="HH14" s="197">
        <f t="shared" si="35"/>
        <v>11582322.503553934</v>
      </c>
      <c r="HI14" s="197">
        <f t="shared" si="35"/>
        <v>11582322.503553934</v>
      </c>
      <c r="HJ14" s="197">
        <f t="shared" si="35"/>
        <v>11582322.503553934</v>
      </c>
      <c r="HK14" s="197">
        <f t="shared" si="35"/>
        <v>11582322.503553934</v>
      </c>
      <c r="HL14" s="197">
        <f t="shared" si="35"/>
        <v>11582322.503553934</v>
      </c>
      <c r="HM14" s="197">
        <f t="shared" si="35"/>
        <v>11582322.503553934</v>
      </c>
      <c r="HN14" s="197">
        <f t="shared" si="35"/>
        <v>11582322.503553934</v>
      </c>
      <c r="HO14" s="197">
        <f t="shared" si="35"/>
        <v>11582322.503553934</v>
      </c>
      <c r="HP14" s="197">
        <f t="shared" si="35"/>
        <v>11582322.503553934</v>
      </c>
      <c r="HQ14" s="197">
        <f t="shared" si="35"/>
        <v>11582322.503553934</v>
      </c>
      <c r="HR14" s="197">
        <f t="shared" si="35"/>
        <v>11582322.503553934</v>
      </c>
      <c r="HS14" s="197">
        <f t="shared" si="35"/>
        <v>11582322.503553934</v>
      </c>
      <c r="HT14" s="197">
        <f t="shared" si="35"/>
        <v>11582322.503553934</v>
      </c>
      <c r="HU14" s="197">
        <f t="shared" si="35"/>
        <v>11582322.503553934</v>
      </c>
      <c r="HV14" s="197">
        <f t="shared" si="35"/>
        <v>11582322.503553934</v>
      </c>
      <c r="HW14" s="197">
        <f t="shared" si="35"/>
        <v>11582322.503553934</v>
      </c>
      <c r="HX14" s="197">
        <f t="shared" si="35"/>
        <v>11582322.503553934</v>
      </c>
      <c r="HY14" s="197">
        <f t="shared" si="35"/>
        <v>11582322.503553934</v>
      </c>
      <c r="HZ14" s="197">
        <f t="shared" si="35"/>
        <v>11582322.503553934</v>
      </c>
      <c r="IA14" s="197">
        <f t="shared" si="35"/>
        <v>11582322.503553934</v>
      </c>
      <c r="IB14" s="197">
        <f t="shared" si="35"/>
        <v>11582322.503553934</v>
      </c>
      <c r="IC14" s="197">
        <f t="shared" si="35"/>
        <v>11582322.503553934</v>
      </c>
      <c r="ID14" s="197">
        <f t="shared" si="35"/>
        <v>11582322.503553934</v>
      </c>
      <c r="IE14" s="197">
        <f t="shared" si="35"/>
        <v>11582322.503553934</v>
      </c>
      <c r="IF14" s="197">
        <f t="shared" si="35"/>
        <v>11582322.503553934</v>
      </c>
      <c r="IG14" s="197">
        <f t="shared" si="35"/>
        <v>11582322.503553934</v>
      </c>
      <c r="IH14" s="197">
        <f t="shared" si="35"/>
        <v>11582322.503553934</v>
      </c>
      <c r="II14" s="197">
        <f t="shared" si="35"/>
        <v>11582322.503553934</v>
      </c>
      <c r="IJ14" s="197">
        <f t="shared" si="35"/>
        <v>11582322.503553934</v>
      </c>
      <c r="IK14" s="197">
        <f t="shared" si="35"/>
        <v>11582322.503553934</v>
      </c>
      <c r="IL14" s="197">
        <f t="shared" si="35"/>
        <v>11582322.503553934</v>
      </c>
      <c r="IM14" s="197">
        <f t="shared" si="35"/>
        <v>11582322.503553934</v>
      </c>
      <c r="IN14" s="197">
        <f t="shared" si="35"/>
        <v>11582322.503553934</v>
      </c>
      <c r="IO14" s="197">
        <f t="shared" si="35"/>
        <v>11582322.503553934</v>
      </c>
      <c r="IP14" s="197">
        <f t="shared" si="35"/>
        <v>11582322.503553934</v>
      </c>
      <c r="IQ14" s="197">
        <f t="shared" si="35"/>
        <v>11582322.503553934</v>
      </c>
      <c r="IR14" s="197">
        <f t="shared" si="35"/>
        <v>11582322.503553934</v>
      </c>
      <c r="IS14" s="197">
        <f t="shared" si="35"/>
        <v>11582322.503553934</v>
      </c>
      <c r="IT14" s="197">
        <f t="shared" si="35"/>
        <v>11582322.503553934</v>
      </c>
      <c r="IU14" s="197">
        <f t="shared" si="35"/>
        <v>11582322.503553934</v>
      </c>
      <c r="IV14" s="197">
        <f t="shared" si="35"/>
        <v>11582322.503553934</v>
      </c>
      <c r="IW14" s="197">
        <f t="shared" si="35"/>
        <v>11582322.503553934</v>
      </c>
      <c r="IX14" s="197">
        <f t="shared" si="35"/>
        <v>11582322.503553934</v>
      </c>
      <c r="IY14" s="197">
        <f t="shared" si="35"/>
        <v>11582322.503553934</v>
      </c>
      <c r="IZ14" s="197">
        <f t="shared" si="35"/>
        <v>11582322.503553934</v>
      </c>
      <c r="JA14" s="197">
        <f t="shared" si="35"/>
        <v>11582322.503553934</v>
      </c>
      <c r="JB14" s="197">
        <f t="shared" si="35"/>
        <v>11582322.503553934</v>
      </c>
      <c r="JC14" s="197">
        <f t="shared" si="35"/>
        <v>11582322.503553934</v>
      </c>
      <c r="JD14" s="197">
        <f t="shared" si="35"/>
        <v>11582322.503553934</v>
      </c>
      <c r="JE14" s="197">
        <f t="shared" ref="JE14:LD14" si="36">JE10-JE12</f>
        <v>11582322.503553934</v>
      </c>
      <c r="JF14" s="197">
        <f t="shared" si="36"/>
        <v>11582322.503553934</v>
      </c>
      <c r="JG14" s="197">
        <f t="shared" si="36"/>
        <v>11582322.503553934</v>
      </c>
      <c r="JH14" s="197">
        <f t="shared" si="36"/>
        <v>11582322.503553934</v>
      </c>
      <c r="JI14" s="197">
        <f t="shared" si="36"/>
        <v>11582322.503553934</v>
      </c>
      <c r="JJ14" s="197">
        <f t="shared" si="36"/>
        <v>11582322.503553934</v>
      </c>
      <c r="JK14" s="197">
        <f t="shared" si="36"/>
        <v>11582322.503553934</v>
      </c>
      <c r="JL14" s="197">
        <f t="shared" si="36"/>
        <v>11582322.503553934</v>
      </c>
      <c r="JM14" s="197">
        <f t="shared" si="36"/>
        <v>11582322.503553934</v>
      </c>
      <c r="JN14" s="197">
        <f t="shared" si="36"/>
        <v>11582322.503553934</v>
      </c>
      <c r="JO14" s="197">
        <f t="shared" si="36"/>
        <v>11582322.503553934</v>
      </c>
      <c r="JP14" s="197">
        <f t="shared" si="36"/>
        <v>11582322.503553934</v>
      </c>
      <c r="JQ14" s="197">
        <f t="shared" si="36"/>
        <v>11582322.503553934</v>
      </c>
      <c r="JR14" s="197">
        <f t="shared" si="36"/>
        <v>11582322.503553934</v>
      </c>
      <c r="JS14" s="197">
        <f t="shared" si="36"/>
        <v>11582322.503553934</v>
      </c>
      <c r="JT14" s="197">
        <f t="shared" si="36"/>
        <v>11582322.503553934</v>
      </c>
      <c r="JU14" s="197">
        <f t="shared" si="36"/>
        <v>11582322.503553934</v>
      </c>
      <c r="JV14" s="197">
        <f t="shared" si="36"/>
        <v>11582322.503553934</v>
      </c>
      <c r="JW14" s="197">
        <f t="shared" si="36"/>
        <v>11582322.503553934</v>
      </c>
      <c r="JX14" s="197">
        <f t="shared" si="36"/>
        <v>11582322.503553934</v>
      </c>
      <c r="JY14" s="197">
        <f t="shared" si="36"/>
        <v>11582322.503553934</v>
      </c>
      <c r="JZ14" s="197">
        <f t="shared" si="36"/>
        <v>11582322.503553934</v>
      </c>
      <c r="KA14" s="197">
        <f t="shared" si="36"/>
        <v>11582322.503553934</v>
      </c>
      <c r="KB14" s="197">
        <f t="shared" si="36"/>
        <v>11582322.503553934</v>
      </c>
      <c r="KC14" s="197">
        <f t="shared" si="36"/>
        <v>11582322.503553934</v>
      </c>
      <c r="KD14" s="197">
        <f t="shared" si="36"/>
        <v>11582322.503553934</v>
      </c>
      <c r="KE14" s="197">
        <f t="shared" si="36"/>
        <v>11582322.503553934</v>
      </c>
      <c r="KF14" s="197">
        <f t="shared" si="36"/>
        <v>11582322.503553934</v>
      </c>
      <c r="KG14" s="197">
        <f t="shared" si="36"/>
        <v>11582322.503553934</v>
      </c>
      <c r="KH14" s="197">
        <f t="shared" si="36"/>
        <v>11582322.503553934</v>
      </c>
      <c r="KI14" s="197">
        <f t="shared" si="36"/>
        <v>11582322.503553934</v>
      </c>
      <c r="KJ14" s="197">
        <f t="shared" si="36"/>
        <v>11582322.503553934</v>
      </c>
      <c r="KK14" s="197">
        <f t="shared" si="36"/>
        <v>11582322.503553934</v>
      </c>
      <c r="KL14" s="197">
        <f t="shared" si="36"/>
        <v>11582322.503553934</v>
      </c>
      <c r="KM14" s="197">
        <f t="shared" si="36"/>
        <v>11582322.503553934</v>
      </c>
      <c r="KN14" s="197">
        <f t="shared" si="36"/>
        <v>11582322.503553934</v>
      </c>
      <c r="KO14" s="197">
        <f t="shared" si="36"/>
        <v>11582322.503553934</v>
      </c>
      <c r="KP14" s="197">
        <f t="shared" si="36"/>
        <v>11582322.503553934</v>
      </c>
      <c r="KQ14" s="197">
        <f t="shared" si="36"/>
        <v>11582322.503553934</v>
      </c>
      <c r="KR14" s="197">
        <f t="shared" si="36"/>
        <v>11582322.503553934</v>
      </c>
      <c r="KS14" s="197">
        <f t="shared" si="36"/>
        <v>11582322.503553934</v>
      </c>
      <c r="KT14" s="197">
        <f t="shared" si="36"/>
        <v>11582322.503553934</v>
      </c>
      <c r="KU14" s="197">
        <f t="shared" si="36"/>
        <v>11582322.503553934</v>
      </c>
      <c r="KV14" s="197">
        <f t="shared" si="36"/>
        <v>11582322.503553934</v>
      </c>
      <c r="KW14" s="197">
        <f t="shared" si="36"/>
        <v>11582322.503553934</v>
      </c>
      <c r="KX14" s="197">
        <f t="shared" si="36"/>
        <v>11582322.503553934</v>
      </c>
      <c r="KY14" s="197">
        <f t="shared" si="36"/>
        <v>11582322.503553934</v>
      </c>
      <c r="KZ14" s="197">
        <f t="shared" si="36"/>
        <v>11582322.503553934</v>
      </c>
      <c r="LA14" s="197">
        <f t="shared" si="36"/>
        <v>11582322.503553934</v>
      </c>
      <c r="LB14" s="197">
        <f t="shared" si="36"/>
        <v>11582322.503553934</v>
      </c>
      <c r="LC14" s="197">
        <f t="shared" si="36"/>
        <v>11582322.503553934</v>
      </c>
      <c r="LD14" s="197">
        <f t="shared" si="36"/>
        <v>11582322.503553934</v>
      </c>
    </row>
    <row r="15" spans="1:794" s="181" customFormat="1"/>
    <row r="16" spans="1:794" s="181" customFormat="1">
      <c r="C16" s="183" t="s">
        <v>298</v>
      </c>
      <c r="D16" s="183" t="s">
        <v>298</v>
      </c>
    </row>
    <row r="17" spans="1:316">
      <c r="A17" s="927"/>
      <c r="B17" s="185" t="s">
        <v>737</v>
      </c>
      <c r="C17" s="363">
        <f>C3-D17</f>
        <v>41124.89404348284</v>
      </c>
      <c r="D17" s="186">
        <f>SUM(F17:LD17)</f>
        <v>59953875.105956517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1261210.4686779762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>
      <c r="A18" s="927"/>
      <c r="B18" s="185" t="s">
        <v>738</v>
      </c>
      <c r="C18" s="363">
        <f>D17-D18</f>
        <v>0</v>
      </c>
      <c r="D18" s="186">
        <f>MAX(F18:LD18)</f>
        <v>59953875.105956517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59953875.105956517</v>
      </c>
      <c r="BL18" s="204">
        <f t="shared" si="37"/>
        <v>59953875.105956517</v>
      </c>
      <c r="BM18" s="204">
        <f t="shared" si="37"/>
        <v>59953875.105956517</v>
      </c>
      <c r="BN18" s="204">
        <f t="shared" si="37"/>
        <v>59953875.105956517</v>
      </c>
      <c r="BO18" s="204">
        <f t="shared" si="37"/>
        <v>59953875.105956517</v>
      </c>
      <c r="BP18" s="204">
        <f t="shared" si="37"/>
        <v>59953875.105956517</v>
      </c>
      <c r="BQ18" s="204">
        <f t="shared" si="37"/>
        <v>59953875.105956517</v>
      </c>
      <c r="BR18" s="204">
        <f t="shared" si="37"/>
        <v>59953875.105956517</v>
      </c>
      <c r="BS18" s="204">
        <f t="shared" si="37"/>
        <v>59953875.105956517</v>
      </c>
      <c r="BT18" s="204">
        <f t="shared" si="37"/>
        <v>59953875.105956517</v>
      </c>
      <c r="BU18" s="204">
        <f t="shared" ref="BU18:EF18" si="38">BT18+BU17</f>
        <v>59953875.105956517</v>
      </c>
      <c r="BV18" s="204">
        <f t="shared" si="38"/>
        <v>59953875.105956517</v>
      </c>
      <c r="BW18" s="204">
        <f t="shared" si="38"/>
        <v>59953875.105956517</v>
      </c>
      <c r="BX18" s="204">
        <f t="shared" si="38"/>
        <v>59953875.105956517</v>
      </c>
      <c r="BY18" s="204">
        <f t="shared" si="38"/>
        <v>59953875.105956517</v>
      </c>
      <c r="BZ18" s="204">
        <f t="shared" si="38"/>
        <v>59953875.105956517</v>
      </c>
      <c r="CA18" s="204">
        <f t="shared" si="38"/>
        <v>59953875.105956517</v>
      </c>
      <c r="CB18" s="204">
        <f t="shared" si="38"/>
        <v>59953875.105956517</v>
      </c>
      <c r="CC18" s="204">
        <f t="shared" si="38"/>
        <v>59953875.105956517</v>
      </c>
      <c r="CD18" s="204">
        <f t="shared" si="38"/>
        <v>59953875.105956517</v>
      </c>
      <c r="CE18" s="204">
        <f t="shared" si="38"/>
        <v>59953875.105956517</v>
      </c>
      <c r="CF18" s="204">
        <f t="shared" si="38"/>
        <v>59953875.105956517</v>
      </c>
      <c r="CG18" s="204">
        <f t="shared" si="38"/>
        <v>59953875.105956517</v>
      </c>
      <c r="CH18" s="204">
        <f t="shared" si="38"/>
        <v>59953875.105956517</v>
      </c>
      <c r="CI18" s="204">
        <f t="shared" si="38"/>
        <v>59953875.105956517</v>
      </c>
      <c r="CJ18" s="204">
        <f t="shared" si="38"/>
        <v>59953875.105956517</v>
      </c>
      <c r="CK18" s="204">
        <f t="shared" si="38"/>
        <v>59953875.105956517</v>
      </c>
      <c r="CL18" s="204">
        <f t="shared" si="38"/>
        <v>59953875.105956517</v>
      </c>
      <c r="CM18" s="204">
        <f t="shared" si="38"/>
        <v>59953875.105956517</v>
      </c>
      <c r="CN18" s="204">
        <f t="shared" si="38"/>
        <v>59953875.105956517</v>
      </c>
      <c r="CO18" s="204">
        <f t="shared" si="38"/>
        <v>59953875.105956517</v>
      </c>
      <c r="CP18" s="204">
        <f t="shared" si="38"/>
        <v>59953875.105956517</v>
      </c>
      <c r="CQ18" s="204">
        <f t="shared" si="38"/>
        <v>59953875.105956517</v>
      </c>
      <c r="CR18" s="204">
        <f t="shared" si="38"/>
        <v>59953875.105956517</v>
      </c>
      <c r="CS18" s="204">
        <f t="shared" si="38"/>
        <v>59953875.105956517</v>
      </c>
      <c r="CT18" s="204">
        <f t="shared" si="38"/>
        <v>59953875.105956517</v>
      </c>
      <c r="CU18" s="204">
        <f t="shared" si="38"/>
        <v>59953875.105956517</v>
      </c>
      <c r="CV18" s="204">
        <f t="shared" si="38"/>
        <v>59953875.105956517</v>
      </c>
      <c r="CW18" s="204">
        <f t="shared" si="38"/>
        <v>59953875.105956517</v>
      </c>
      <c r="CX18" s="204">
        <f t="shared" si="38"/>
        <v>59953875.105956517</v>
      </c>
      <c r="CY18" s="204">
        <f t="shared" si="38"/>
        <v>59953875.105956517</v>
      </c>
      <c r="CZ18" s="204">
        <f t="shared" si="38"/>
        <v>59953875.105956517</v>
      </c>
      <c r="DA18" s="204">
        <f t="shared" si="38"/>
        <v>59953875.105956517</v>
      </c>
      <c r="DB18" s="204">
        <f t="shared" si="38"/>
        <v>59953875.105956517</v>
      </c>
      <c r="DC18" s="204">
        <f t="shared" si="38"/>
        <v>59953875.105956517</v>
      </c>
      <c r="DD18" s="204">
        <f t="shared" si="38"/>
        <v>59953875.105956517</v>
      </c>
      <c r="DE18" s="204">
        <f t="shared" si="38"/>
        <v>59953875.105956517</v>
      </c>
      <c r="DF18" s="204">
        <f t="shared" si="38"/>
        <v>59953875.105956517</v>
      </c>
      <c r="DG18" s="204">
        <f t="shared" si="38"/>
        <v>59953875.105956517</v>
      </c>
      <c r="DH18" s="204">
        <f t="shared" si="38"/>
        <v>59953875.105956517</v>
      </c>
      <c r="DI18" s="204">
        <f t="shared" si="38"/>
        <v>59953875.105956517</v>
      </c>
      <c r="DJ18" s="204">
        <f t="shared" si="38"/>
        <v>59953875.105956517</v>
      </c>
      <c r="DK18" s="204">
        <f t="shared" si="38"/>
        <v>59953875.105956517</v>
      </c>
      <c r="DL18" s="204">
        <f t="shared" si="38"/>
        <v>59953875.105956517</v>
      </c>
      <c r="DM18" s="204">
        <f t="shared" si="38"/>
        <v>59953875.105956517</v>
      </c>
      <c r="DN18" s="204">
        <f t="shared" si="38"/>
        <v>59953875.105956517</v>
      </c>
      <c r="DO18" s="204">
        <f t="shared" si="38"/>
        <v>59953875.105956517</v>
      </c>
      <c r="DP18" s="204">
        <f t="shared" si="38"/>
        <v>59953875.105956517</v>
      </c>
      <c r="DQ18" s="204">
        <f t="shared" si="38"/>
        <v>59953875.105956517</v>
      </c>
      <c r="DR18" s="204">
        <f t="shared" si="38"/>
        <v>59953875.105956517</v>
      </c>
      <c r="DS18" s="204">
        <f t="shared" si="38"/>
        <v>59953875.105956517</v>
      </c>
      <c r="DT18" s="204">
        <f t="shared" si="38"/>
        <v>59953875.105956517</v>
      </c>
      <c r="DU18" s="204">
        <f t="shared" si="38"/>
        <v>59953875.105956517</v>
      </c>
      <c r="DV18" s="204">
        <f t="shared" si="38"/>
        <v>59953875.105956517</v>
      </c>
      <c r="DW18" s="204">
        <f t="shared" si="38"/>
        <v>59953875.105956517</v>
      </c>
      <c r="DX18" s="204">
        <f t="shared" si="38"/>
        <v>59953875.105956517</v>
      </c>
      <c r="DY18" s="204">
        <f t="shared" si="38"/>
        <v>59953875.105956517</v>
      </c>
      <c r="DZ18" s="204">
        <f t="shared" si="38"/>
        <v>59953875.105956517</v>
      </c>
      <c r="EA18" s="204">
        <f t="shared" si="38"/>
        <v>59953875.105956517</v>
      </c>
      <c r="EB18" s="204">
        <f t="shared" si="38"/>
        <v>59953875.105956517</v>
      </c>
      <c r="EC18" s="204">
        <f t="shared" si="38"/>
        <v>59953875.105956517</v>
      </c>
      <c r="ED18" s="204">
        <f t="shared" si="38"/>
        <v>59953875.105956517</v>
      </c>
      <c r="EE18" s="204">
        <f t="shared" si="38"/>
        <v>59953875.105956517</v>
      </c>
      <c r="EF18" s="204">
        <f t="shared" si="38"/>
        <v>59953875.105956517</v>
      </c>
      <c r="EG18" s="204">
        <f t="shared" ref="EG18:GR18" si="39">EF18+EG17</f>
        <v>59953875.105956517</v>
      </c>
      <c r="EH18" s="204">
        <f t="shared" si="39"/>
        <v>59953875.105956517</v>
      </c>
      <c r="EI18" s="204">
        <f t="shared" si="39"/>
        <v>59953875.105956517</v>
      </c>
      <c r="EJ18" s="204">
        <f t="shared" si="39"/>
        <v>59953875.105956517</v>
      </c>
      <c r="EK18" s="204">
        <f t="shared" si="39"/>
        <v>59953875.105956517</v>
      </c>
      <c r="EL18" s="204">
        <f t="shared" si="39"/>
        <v>59953875.105956517</v>
      </c>
      <c r="EM18" s="204">
        <f t="shared" si="39"/>
        <v>59953875.105956517</v>
      </c>
      <c r="EN18" s="204">
        <f t="shared" si="39"/>
        <v>59953875.105956517</v>
      </c>
      <c r="EO18" s="204">
        <f t="shared" si="39"/>
        <v>59953875.105956517</v>
      </c>
      <c r="EP18" s="204">
        <f t="shared" si="39"/>
        <v>59953875.105956517</v>
      </c>
      <c r="EQ18" s="204">
        <f t="shared" si="39"/>
        <v>59953875.105956517</v>
      </c>
      <c r="ER18" s="204">
        <f t="shared" si="39"/>
        <v>59953875.105956517</v>
      </c>
      <c r="ES18" s="204">
        <f t="shared" si="39"/>
        <v>59953875.105956517</v>
      </c>
      <c r="ET18" s="204">
        <f t="shared" si="39"/>
        <v>59953875.105956517</v>
      </c>
      <c r="EU18" s="204">
        <f t="shared" si="39"/>
        <v>59953875.105956517</v>
      </c>
      <c r="EV18" s="204">
        <f t="shared" si="39"/>
        <v>59953875.105956517</v>
      </c>
      <c r="EW18" s="204">
        <f t="shared" si="39"/>
        <v>59953875.105956517</v>
      </c>
      <c r="EX18" s="204">
        <f t="shared" si="39"/>
        <v>59953875.105956517</v>
      </c>
      <c r="EY18" s="204">
        <f t="shared" si="39"/>
        <v>59953875.105956517</v>
      </c>
      <c r="EZ18" s="204">
        <f t="shared" si="39"/>
        <v>59953875.105956517</v>
      </c>
      <c r="FA18" s="204">
        <f t="shared" si="39"/>
        <v>59953875.105956517</v>
      </c>
      <c r="FB18" s="204">
        <f t="shared" si="39"/>
        <v>59953875.105956517</v>
      </c>
      <c r="FC18" s="204">
        <f t="shared" si="39"/>
        <v>59953875.105956517</v>
      </c>
      <c r="FD18" s="204">
        <f t="shared" si="39"/>
        <v>59953875.105956517</v>
      </c>
      <c r="FE18" s="204">
        <f t="shared" si="39"/>
        <v>59953875.105956517</v>
      </c>
      <c r="FF18" s="204">
        <f t="shared" si="39"/>
        <v>59953875.105956517</v>
      </c>
      <c r="FG18" s="204">
        <f t="shared" si="39"/>
        <v>59953875.105956517</v>
      </c>
      <c r="FH18" s="204">
        <f t="shared" si="39"/>
        <v>59953875.105956517</v>
      </c>
      <c r="FI18" s="204">
        <f t="shared" si="39"/>
        <v>59953875.105956517</v>
      </c>
      <c r="FJ18" s="204">
        <f t="shared" si="39"/>
        <v>59953875.105956517</v>
      </c>
      <c r="FK18" s="204">
        <f t="shared" si="39"/>
        <v>59953875.105956517</v>
      </c>
      <c r="FL18" s="204">
        <f t="shared" si="39"/>
        <v>59953875.105956517</v>
      </c>
      <c r="FM18" s="204">
        <f t="shared" si="39"/>
        <v>59953875.105956517</v>
      </c>
      <c r="FN18" s="204">
        <f t="shared" si="39"/>
        <v>59953875.105956517</v>
      </c>
      <c r="FO18" s="204">
        <f t="shared" si="39"/>
        <v>59953875.105956517</v>
      </c>
      <c r="FP18" s="204">
        <f t="shared" si="39"/>
        <v>59953875.105956517</v>
      </c>
      <c r="FQ18" s="204">
        <f t="shared" si="39"/>
        <v>59953875.105956517</v>
      </c>
      <c r="FR18" s="204">
        <f t="shared" si="39"/>
        <v>59953875.105956517</v>
      </c>
      <c r="FS18" s="204">
        <f t="shared" si="39"/>
        <v>59953875.105956517</v>
      </c>
      <c r="FT18" s="204">
        <f t="shared" si="39"/>
        <v>59953875.105956517</v>
      </c>
      <c r="FU18" s="204">
        <f t="shared" si="39"/>
        <v>59953875.105956517</v>
      </c>
      <c r="FV18" s="204">
        <f t="shared" si="39"/>
        <v>59953875.105956517</v>
      </c>
      <c r="FW18" s="204">
        <f t="shared" si="39"/>
        <v>59953875.105956517</v>
      </c>
      <c r="FX18" s="204">
        <f t="shared" si="39"/>
        <v>59953875.105956517</v>
      </c>
      <c r="FY18" s="204">
        <f t="shared" si="39"/>
        <v>59953875.105956517</v>
      </c>
      <c r="FZ18" s="204">
        <f t="shared" si="39"/>
        <v>59953875.105956517</v>
      </c>
      <c r="GA18" s="204">
        <f t="shared" si="39"/>
        <v>59953875.105956517</v>
      </c>
      <c r="GB18" s="204">
        <f t="shared" si="39"/>
        <v>59953875.105956517</v>
      </c>
      <c r="GC18" s="204">
        <f t="shared" si="39"/>
        <v>59953875.105956517</v>
      </c>
      <c r="GD18" s="204">
        <f t="shared" si="39"/>
        <v>59953875.105956517</v>
      </c>
      <c r="GE18" s="204">
        <f t="shared" si="39"/>
        <v>59953875.105956517</v>
      </c>
      <c r="GF18" s="204">
        <f t="shared" si="39"/>
        <v>59953875.105956517</v>
      </c>
      <c r="GG18" s="204">
        <f t="shared" si="39"/>
        <v>59953875.105956517</v>
      </c>
      <c r="GH18" s="204">
        <f t="shared" si="39"/>
        <v>59953875.105956517</v>
      </c>
      <c r="GI18" s="204">
        <f t="shared" si="39"/>
        <v>59953875.105956517</v>
      </c>
      <c r="GJ18" s="204">
        <f t="shared" si="39"/>
        <v>59953875.105956517</v>
      </c>
      <c r="GK18" s="204">
        <f t="shared" si="39"/>
        <v>59953875.105956517</v>
      </c>
      <c r="GL18" s="204">
        <f t="shared" si="39"/>
        <v>59953875.105956517</v>
      </c>
      <c r="GM18" s="204">
        <f t="shared" si="39"/>
        <v>59953875.105956517</v>
      </c>
      <c r="GN18" s="204">
        <f t="shared" si="39"/>
        <v>59953875.105956517</v>
      </c>
      <c r="GO18" s="204">
        <f t="shared" si="39"/>
        <v>59953875.105956517</v>
      </c>
      <c r="GP18" s="204">
        <f t="shared" si="39"/>
        <v>59953875.105956517</v>
      </c>
      <c r="GQ18" s="204">
        <f t="shared" si="39"/>
        <v>59953875.105956517</v>
      </c>
      <c r="GR18" s="204">
        <f t="shared" si="39"/>
        <v>59953875.105956517</v>
      </c>
      <c r="GS18" s="204">
        <f t="shared" ref="GS18:JD18" si="40">GR18+GS17</f>
        <v>59953875.105956517</v>
      </c>
      <c r="GT18" s="204">
        <f t="shared" si="40"/>
        <v>59953875.105956517</v>
      </c>
      <c r="GU18" s="204">
        <f t="shared" si="40"/>
        <v>59953875.105956517</v>
      </c>
      <c r="GV18" s="204">
        <f t="shared" si="40"/>
        <v>59953875.105956517</v>
      </c>
      <c r="GW18" s="204">
        <f t="shared" si="40"/>
        <v>59953875.105956517</v>
      </c>
      <c r="GX18" s="204">
        <f t="shared" si="40"/>
        <v>59953875.105956517</v>
      </c>
      <c r="GY18" s="204">
        <f t="shared" si="40"/>
        <v>59953875.105956517</v>
      </c>
      <c r="GZ18" s="204">
        <f t="shared" si="40"/>
        <v>59953875.105956517</v>
      </c>
      <c r="HA18" s="204">
        <f t="shared" si="40"/>
        <v>59953875.105956517</v>
      </c>
      <c r="HB18" s="204">
        <f t="shared" si="40"/>
        <v>59953875.105956517</v>
      </c>
      <c r="HC18" s="204">
        <f t="shared" si="40"/>
        <v>59953875.105956517</v>
      </c>
      <c r="HD18" s="204">
        <f t="shared" si="40"/>
        <v>59953875.105956517</v>
      </c>
      <c r="HE18" s="204">
        <f t="shared" si="40"/>
        <v>59953875.105956517</v>
      </c>
      <c r="HF18" s="204">
        <f t="shared" si="40"/>
        <v>59953875.105956517</v>
      </c>
      <c r="HG18" s="204">
        <f t="shared" si="40"/>
        <v>59953875.105956517</v>
      </c>
      <c r="HH18" s="204">
        <f t="shared" si="40"/>
        <v>59953875.105956517</v>
      </c>
      <c r="HI18" s="204">
        <f t="shared" si="40"/>
        <v>59953875.105956517</v>
      </c>
      <c r="HJ18" s="204">
        <f t="shared" si="40"/>
        <v>59953875.105956517</v>
      </c>
      <c r="HK18" s="204">
        <f t="shared" si="40"/>
        <v>59953875.105956517</v>
      </c>
      <c r="HL18" s="204">
        <f t="shared" si="40"/>
        <v>59953875.105956517</v>
      </c>
      <c r="HM18" s="204">
        <f t="shared" si="40"/>
        <v>59953875.105956517</v>
      </c>
      <c r="HN18" s="204">
        <f t="shared" si="40"/>
        <v>59953875.105956517</v>
      </c>
      <c r="HO18" s="204">
        <f t="shared" si="40"/>
        <v>59953875.105956517</v>
      </c>
      <c r="HP18" s="204">
        <f t="shared" si="40"/>
        <v>59953875.105956517</v>
      </c>
      <c r="HQ18" s="204">
        <f t="shared" si="40"/>
        <v>59953875.105956517</v>
      </c>
      <c r="HR18" s="204">
        <f t="shared" si="40"/>
        <v>59953875.105956517</v>
      </c>
      <c r="HS18" s="204">
        <f t="shared" si="40"/>
        <v>59953875.105956517</v>
      </c>
      <c r="HT18" s="204">
        <f t="shared" si="40"/>
        <v>59953875.105956517</v>
      </c>
      <c r="HU18" s="204">
        <f t="shared" si="40"/>
        <v>59953875.105956517</v>
      </c>
      <c r="HV18" s="204">
        <f t="shared" si="40"/>
        <v>59953875.105956517</v>
      </c>
      <c r="HW18" s="204">
        <f t="shared" si="40"/>
        <v>59953875.105956517</v>
      </c>
      <c r="HX18" s="204">
        <f t="shared" si="40"/>
        <v>59953875.105956517</v>
      </c>
      <c r="HY18" s="204">
        <f t="shared" si="40"/>
        <v>59953875.105956517</v>
      </c>
      <c r="HZ18" s="204">
        <f t="shared" si="40"/>
        <v>59953875.105956517</v>
      </c>
      <c r="IA18" s="204">
        <f t="shared" si="40"/>
        <v>59953875.105956517</v>
      </c>
      <c r="IB18" s="204">
        <f t="shared" si="40"/>
        <v>59953875.105956517</v>
      </c>
      <c r="IC18" s="204">
        <f t="shared" si="40"/>
        <v>59953875.105956517</v>
      </c>
      <c r="ID18" s="204">
        <f t="shared" si="40"/>
        <v>59953875.105956517</v>
      </c>
      <c r="IE18" s="204">
        <f t="shared" si="40"/>
        <v>59953875.105956517</v>
      </c>
      <c r="IF18" s="204">
        <f t="shared" si="40"/>
        <v>59953875.105956517</v>
      </c>
      <c r="IG18" s="204">
        <f t="shared" si="40"/>
        <v>59953875.105956517</v>
      </c>
      <c r="IH18" s="204">
        <f t="shared" si="40"/>
        <v>59953875.105956517</v>
      </c>
      <c r="II18" s="204">
        <f t="shared" si="40"/>
        <v>59953875.105956517</v>
      </c>
      <c r="IJ18" s="204">
        <f t="shared" si="40"/>
        <v>59953875.105956517</v>
      </c>
      <c r="IK18" s="204">
        <f t="shared" si="40"/>
        <v>59953875.105956517</v>
      </c>
      <c r="IL18" s="204">
        <f t="shared" si="40"/>
        <v>59953875.105956517</v>
      </c>
      <c r="IM18" s="204">
        <f t="shared" si="40"/>
        <v>59953875.105956517</v>
      </c>
      <c r="IN18" s="204">
        <f t="shared" si="40"/>
        <v>59953875.105956517</v>
      </c>
      <c r="IO18" s="204">
        <f t="shared" si="40"/>
        <v>59953875.105956517</v>
      </c>
      <c r="IP18" s="204">
        <f t="shared" si="40"/>
        <v>59953875.105956517</v>
      </c>
      <c r="IQ18" s="204">
        <f t="shared" si="40"/>
        <v>59953875.105956517</v>
      </c>
      <c r="IR18" s="204">
        <f t="shared" si="40"/>
        <v>59953875.105956517</v>
      </c>
      <c r="IS18" s="204">
        <f t="shared" si="40"/>
        <v>59953875.105956517</v>
      </c>
      <c r="IT18" s="204">
        <f t="shared" si="40"/>
        <v>59953875.105956517</v>
      </c>
      <c r="IU18" s="204">
        <f t="shared" si="40"/>
        <v>59953875.105956517</v>
      </c>
      <c r="IV18" s="204">
        <f t="shared" si="40"/>
        <v>59953875.105956517</v>
      </c>
      <c r="IW18" s="204">
        <f t="shared" si="40"/>
        <v>59953875.105956517</v>
      </c>
      <c r="IX18" s="204">
        <f t="shared" si="40"/>
        <v>59953875.105956517</v>
      </c>
      <c r="IY18" s="204">
        <f t="shared" si="40"/>
        <v>59953875.105956517</v>
      </c>
      <c r="IZ18" s="204">
        <f t="shared" si="40"/>
        <v>59953875.105956517</v>
      </c>
      <c r="JA18" s="204">
        <f t="shared" si="40"/>
        <v>59953875.105956517</v>
      </c>
      <c r="JB18" s="204">
        <f t="shared" si="40"/>
        <v>59953875.105956517</v>
      </c>
      <c r="JC18" s="204">
        <f t="shared" si="40"/>
        <v>59953875.105956517</v>
      </c>
      <c r="JD18" s="204">
        <f t="shared" si="40"/>
        <v>59953875.105956517</v>
      </c>
      <c r="JE18" s="204">
        <f t="shared" ref="JE18:LD18" si="41">JD18+JE17</f>
        <v>59953875.105956517</v>
      </c>
      <c r="JF18" s="204">
        <f t="shared" si="41"/>
        <v>59953875.105956517</v>
      </c>
      <c r="JG18" s="204">
        <f t="shared" si="41"/>
        <v>59953875.105956517</v>
      </c>
      <c r="JH18" s="204">
        <f t="shared" si="41"/>
        <v>59953875.105956517</v>
      </c>
      <c r="JI18" s="204">
        <f t="shared" si="41"/>
        <v>59953875.105956517</v>
      </c>
      <c r="JJ18" s="204">
        <f t="shared" si="41"/>
        <v>59953875.105956517</v>
      </c>
      <c r="JK18" s="204">
        <f t="shared" si="41"/>
        <v>59953875.105956517</v>
      </c>
      <c r="JL18" s="204">
        <f t="shared" si="41"/>
        <v>59953875.105956517</v>
      </c>
      <c r="JM18" s="204">
        <f t="shared" si="41"/>
        <v>59953875.105956517</v>
      </c>
      <c r="JN18" s="204">
        <f t="shared" si="41"/>
        <v>59953875.105956517</v>
      </c>
      <c r="JO18" s="204">
        <f t="shared" si="41"/>
        <v>59953875.105956517</v>
      </c>
      <c r="JP18" s="204">
        <f t="shared" si="41"/>
        <v>59953875.105956517</v>
      </c>
      <c r="JQ18" s="204">
        <f t="shared" si="41"/>
        <v>59953875.105956517</v>
      </c>
      <c r="JR18" s="204">
        <f t="shared" si="41"/>
        <v>59953875.105956517</v>
      </c>
      <c r="JS18" s="204">
        <f t="shared" si="41"/>
        <v>59953875.105956517</v>
      </c>
      <c r="JT18" s="204">
        <f t="shared" si="41"/>
        <v>59953875.105956517</v>
      </c>
      <c r="JU18" s="204">
        <f t="shared" si="41"/>
        <v>59953875.105956517</v>
      </c>
      <c r="JV18" s="204">
        <f t="shared" si="41"/>
        <v>59953875.105956517</v>
      </c>
      <c r="JW18" s="204">
        <f t="shared" si="41"/>
        <v>59953875.105956517</v>
      </c>
      <c r="JX18" s="204">
        <f t="shared" si="41"/>
        <v>59953875.105956517</v>
      </c>
      <c r="JY18" s="204">
        <f t="shared" si="41"/>
        <v>59953875.105956517</v>
      </c>
      <c r="JZ18" s="204">
        <f t="shared" si="41"/>
        <v>59953875.105956517</v>
      </c>
      <c r="KA18" s="204">
        <f t="shared" si="41"/>
        <v>59953875.105956517</v>
      </c>
      <c r="KB18" s="204">
        <f t="shared" si="41"/>
        <v>59953875.105956517</v>
      </c>
      <c r="KC18" s="204">
        <f t="shared" si="41"/>
        <v>59953875.105956517</v>
      </c>
      <c r="KD18" s="204">
        <f t="shared" si="41"/>
        <v>59953875.105956517</v>
      </c>
      <c r="KE18" s="204">
        <f t="shared" si="41"/>
        <v>59953875.105956517</v>
      </c>
      <c r="KF18" s="204">
        <f t="shared" si="41"/>
        <v>59953875.105956517</v>
      </c>
      <c r="KG18" s="204">
        <f t="shared" si="41"/>
        <v>59953875.105956517</v>
      </c>
      <c r="KH18" s="204">
        <f t="shared" si="41"/>
        <v>59953875.105956517</v>
      </c>
      <c r="KI18" s="204">
        <f t="shared" si="41"/>
        <v>59953875.105956517</v>
      </c>
      <c r="KJ18" s="204">
        <f t="shared" si="41"/>
        <v>59953875.105956517</v>
      </c>
      <c r="KK18" s="204">
        <f t="shared" si="41"/>
        <v>59953875.105956517</v>
      </c>
      <c r="KL18" s="204">
        <f t="shared" si="41"/>
        <v>59953875.105956517</v>
      </c>
      <c r="KM18" s="204">
        <f t="shared" si="41"/>
        <v>59953875.105956517</v>
      </c>
      <c r="KN18" s="204">
        <f t="shared" si="41"/>
        <v>59953875.105956517</v>
      </c>
      <c r="KO18" s="204">
        <f t="shared" si="41"/>
        <v>59953875.105956517</v>
      </c>
      <c r="KP18" s="204">
        <f t="shared" si="41"/>
        <v>59953875.105956517</v>
      </c>
      <c r="KQ18" s="204">
        <f t="shared" si="41"/>
        <v>59953875.105956517</v>
      </c>
      <c r="KR18" s="204">
        <f t="shared" si="41"/>
        <v>59953875.105956517</v>
      </c>
      <c r="KS18" s="204">
        <f t="shared" si="41"/>
        <v>59953875.105956517</v>
      </c>
      <c r="KT18" s="204">
        <f t="shared" si="41"/>
        <v>59953875.105956517</v>
      </c>
      <c r="KU18" s="204">
        <f t="shared" si="41"/>
        <v>59953875.105956517</v>
      </c>
      <c r="KV18" s="204">
        <f t="shared" si="41"/>
        <v>59953875.105956517</v>
      </c>
      <c r="KW18" s="204">
        <f t="shared" si="41"/>
        <v>59953875.105956517</v>
      </c>
      <c r="KX18" s="204">
        <f t="shared" si="41"/>
        <v>59953875.105956517</v>
      </c>
      <c r="KY18" s="204">
        <f t="shared" si="41"/>
        <v>59953875.105956517</v>
      </c>
      <c r="KZ18" s="204">
        <f t="shared" si="41"/>
        <v>59953875.105956517</v>
      </c>
      <c r="LA18" s="204">
        <f t="shared" si="41"/>
        <v>59953875.105956517</v>
      </c>
      <c r="LB18" s="204">
        <f t="shared" si="41"/>
        <v>59953875.105956517</v>
      </c>
      <c r="LC18" s="204">
        <f t="shared" si="41"/>
        <v>59953875.105956517</v>
      </c>
      <c r="LD18" s="204">
        <f t="shared" si="41"/>
        <v>59953875.105956517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546875" defaultRowHeight="14.4"/>
  <cols>
    <col min="1" max="1" width="39.44140625" style="354" bestFit="1" customWidth="1"/>
    <col min="2" max="2" width="17.33203125" style="355" bestFit="1" customWidth="1"/>
    <col min="3" max="3" width="10.5546875" style="354" bestFit="1" customWidth="1"/>
    <col min="4" max="4" width="14.88671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8671875" style="354" bestFit="1" customWidth="1"/>
    <col min="12" max="12" width="13.33203125" style="354" bestFit="1" customWidth="1"/>
    <col min="13" max="13" width="14.88671875" style="354" bestFit="1" customWidth="1"/>
    <col min="14" max="14" width="10.5546875" style="354" bestFit="1" customWidth="1"/>
    <col min="15" max="15" width="16" style="354" bestFit="1" customWidth="1"/>
    <col min="16" max="16" width="16.109375" style="354" bestFit="1" customWidth="1"/>
    <col min="17" max="17" width="13.44140625" style="354" bestFit="1" customWidth="1"/>
    <col min="18" max="18" width="11.44140625" style="354" bestFit="1" customWidth="1"/>
    <col min="19" max="19" width="13.44140625" style="354" bestFit="1" customWidth="1"/>
    <col min="20" max="16384" width="12.554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739</v>
      </c>
      <c r="B3" s="433" t="s">
        <v>740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741</v>
      </c>
      <c r="B4" t="s">
        <v>742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743</v>
      </c>
      <c r="P4"/>
      <c r="Q4"/>
      <c r="R4"/>
      <c r="S4"/>
      <c r="T4"/>
    </row>
    <row r="5" spans="1:20">
      <c r="A5" s="434" t="s">
        <v>742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301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322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344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372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395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428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471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507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534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605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627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645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649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623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447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743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/>
  </sheetViews>
  <sheetFormatPr defaultRowHeight="14.4"/>
  <cols>
    <col min="1" max="1" width="9" bestFit="1" customWidth="1"/>
    <col min="2" max="2" width="18.33203125" bestFit="1" customWidth="1"/>
    <col min="3" max="3" width="33" bestFit="1" customWidth="1"/>
    <col min="5" max="5" width="13.33203125" bestFit="1" customWidth="1"/>
    <col min="6" max="7" width="14.5546875" bestFit="1" customWidth="1"/>
    <col min="8" max="8" width="19.88671875" bestFit="1" customWidth="1"/>
    <col min="9" max="9" width="23.44140625" bestFit="1" customWidth="1"/>
    <col min="10" max="10" width="34.6640625" bestFit="1" customWidth="1"/>
    <col min="11" max="11" width="9.33203125" bestFit="1" customWidth="1"/>
    <col min="12" max="12" width="26.44140625" bestFit="1" customWidth="1"/>
    <col min="13" max="13" width="12" bestFit="1" customWidth="1"/>
  </cols>
  <sheetData>
    <row r="1" spans="1:13">
      <c r="A1" s="947" t="s">
        <v>837</v>
      </c>
    </row>
    <row r="3" spans="1:13">
      <c r="A3" t="s">
        <v>286</v>
      </c>
      <c r="B3" t="s">
        <v>294</v>
      </c>
      <c r="C3" t="s">
        <v>288</v>
      </c>
      <c r="D3" t="s">
        <v>289</v>
      </c>
      <c r="E3" t="s">
        <v>290</v>
      </c>
      <c r="F3" t="s">
        <v>295</v>
      </c>
      <c r="G3" t="s">
        <v>296</v>
      </c>
      <c r="H3" t="s">
        <v>89</v>
      </c>
      <c r="I3" t="s">
        <v>90</v>
      </c>
      <c r="J3" t="s">
        <v>297</v>
      </c>
      <c r="K3" t="s">
        <v>298</v>
      </c>
      <c r="L3" t="s">
        <v>292</v>
      </c>
      <c r="M3" t="s">
        <v>293</v>
      </c>
    </row>
    <row r="4" spans="1:13">
      <c r="A4">
        <v>13</v>
      </c>
      <c r="B4" t="s">
        <v>627</v>
      </c>
      <c r="C4" t="s">
        <v>641</v>
      </c>
      <c r="F4">
        <v>8737.26</v>
      </c>
      <c r="H4" t="s">
        <v>642</v>
      </c>
      <c r="I4" s="435">
        <v>46053</v>
      </c>
      <c r="J4">
        <v>9582.4818116154311</v>
      </c>
      <c r="L4" s="435">
        <v>46081</v>
      </c>
    </row>
    <row r="5" spans="1:13">
      <c r="A5">
        <v>13</v>
      </c>
      <c r="B5" t="s">
        <v>627</v>
      </c>
      <c r="C5" t="s">
        <v>639</v>
      </c>
      <c r="F5">
        <v>2843</v>
      </c>
      <c r="H5" t="s">
        <v>640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4140625" defaultRowHeight="14.4"/>
  <cols>
    <col min="1" max="1" width="21.6640625" bestFit="1" customWidth="1"/>
    <col min="2" max="2" width="17.33203125" style="396" bestFit="1" customWidth="1"/>
    <col min="3" max="3" width="10.88671875" style="396" bestFit="1" customWidth="1"/>
    <col min="4" max="4" width="14.88671875" style="396" bestFit="1" customWidth="1"/>
    <col min="5" max="5" width="16" style="396" bestFit="1" customWidth="1"/>
    <col min="6" max="6" width="14.88671875" style="396" bestFit="1" customWidth="1"/>
    <col min="7" max="7" width="12.109375" style="396" bestFit="1" customWidth="1"/>
    <col min="8" max="8" width="13.33203125" style="396" bestFit="1" customWidth="1"/>
    <col min="9" max="9" width="14.88671875" style="396" bestFit="1" customWidth="1"/>
    <col min="10" max="10" width="13.33203125" bestFit="1" customWidth="1"/>
    <col min="11" max="11" width="4.88671875" bestFit="1" customWidth="1"/>
    <col min="12" max="13" width="14.88671875" bestFit="1" customWidth="1"/>
    <col min="14" max="14" width="13" bestFit="1" customWidth="1"/>
    <col min="15" max="15" width="16" bestFit="1" customWidth="1"/>
    <col min="16" max="16" width="10.109375" bestFit="1" customWidth="1"/>
    <col min="17" max="18" width="11.44140625" bestFit="1" customWidth="1"/>
    <col min="19" max="19" width="13.44140625" bestFit="1" customWidth="1"/>
  </cols>
  <sheetData>
    <row r="3" spans="1:16">
      <c r="A3" s="433" t="s">
        <v>744</v>
      </c>
      <c r="B3" s="433" t="s">
        <v>740</v>
      </c>
      <c r="C3"/>
      <c r="D3"/>
      <c r="E3"/>
      <c r="F3"/>
      <c r="G3"/>
      <c r="H3"/>
      <c r="I3"/>
    </row>
    <row r="4" spans="1:16">
      <c r="A4" s="433" t="s">
        <v>741</v>
      </c>
      <c r="B4" t="s">
        <v>742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743</v>
      </c>
    </row>
    <row r="5" spans="1:16">
      <c r="A5" s="434" t="s">
        <v>742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301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322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344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372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395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428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471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507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534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605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627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645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649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447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743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929" t="s">
        <v>745</v>
      </c>
      <c r="C2" s="929"/>
      <c r="D2" s="929"/>
      <c r="E2" s="929"/>
      <c r="H2" s="930" t="s">
        <v>746</v>
      </c>
      <c r="I2" s="931"/>
      <c r="J2" s="931"/>
      <c r="K2" s="931"/>
      <c r="L2" s="931"/>
      <c r="M2" s="931"/>
      <c r="N2" s="931"/>
      <c r="O2" s="932"/>
    </row>
    <row r="3" spans="2:15">
      <c r="B3" s="768"/>
      <c r="H3" s="933"/>
      <c r="I3" s="934"/>
      <c r="J3" s="934"/>
      <c r="K3" s="934"/>
      <c r="L3" s="934"/>
      <c r="M3" s="934"/>
      <c r="N3" s="934"/>
      <c r="O3" s="935"/>
    </row>
    <row r="4" spans="2:15">
      <c r="B4" s="769" t="s">
        <v>747</v>
      </c>
      <c r="C4" s="770" t="str">
        <f>'Project Plan'!E2</f>
        <v>Coega Steels Phase 2</v>
      </c>
      <c r="H4" s="933"/>
      <c r="I4" s="934"/>
      <c r="J4" s="934"/>
      <c r="K4" s="934"/>
      <c r="L4" s="934"/>
      <c r="M4" s="934"/>
      <c r="N4" s="934"/>
      <c r="O4" s="935"/>
    </row>
    <row r="5" spans="2:15">
      <c r="B5" s="769" t="s">
        <v>748</v>
      </c>
      <c r="C5" s="770" t="s">
        <v>749</v>
      </c>
      <c r="H5" s="933"/>
      <c r="I5" s="934"/>
      <c r="J5" s="934"/>
      <c r="K5" s="934"/>
      <c r="L5" s="934"/>
      <c r="M5" s="934"/>
      <c r="N5" s="934"/>
      <c r="O5" s="935"/>
    </row>
    <row r="6" spans="2:15">
      <c r="B6" s="769" t="s">
        <v>750</v>
      </c>
      <c r="C6" s="770" t="s">
        <v>751</v>
      </c>
      <c r="H6" s="933"/>
      <c r="I6" s="934"/>
      <c r="J6" s="934"/>
      <c r="K6" s="934"/>
      <c r="L6" s="934"/>
      <c r="M6" s="934"/>
      <c r="N6" s="934"/>
      <c r="O6" s="935"/>
    </row>
    <row r="7" spans="2:15">
      <c r="B7" s="769" t="s">
        <v>752</v>
      </c>
      <c r="C7" s="770" t="s">
        <v>753</v>
      </c>
      <c r="H7" s="933"/>
      <c r="I7" s="934"/>
      <c r="J7" s="934"/>
      <c r="K7" s="934"/>
      <c r="L7" s="934"/>
      <c r="M7" s="934"/>
      <c r="N7" s="934"/>
      <c r="O7" s="935"/>
    </row>
    <row r="8" spans="2:15">
      <c r="B8" s="768"/>
      <c r="H8" s="933"/>
      <c r="I8" s="934"/>
      <c r="J8" s="934"/>
      <c r="K8" s="934"/>
      <c r="L8" s="934"/>
      <c r="M8" s="934"/>
      <c r="N8" s="934"/>
      <c r="O8" s="935"/>
    </row>
    <row r="9" spans="2:15">
      <c r="B9" s="939" t="s">
        <v>754</v>
      </c>
      <c r="C9" s="939"/>
      <c r="D9" s="939"/>
      <c r="E9" s="939"/>
      <c r="H9" s="933"/>
      <c r="I9" s="934"/>
      <c r="J9" s="934"/>
      <c r="K9" s="934"/>
      <c r="L9" s="934"/>
      <c r="M9" s="934"/>
      <c r="N9" s="934"/>
      <c r="O9" s="935"/>
    </row>
    <row r="10" spans="2:15" ht="15" thickBot="1">
      <c r="B10" s="939" t="s">
        <v>755</v>
      </c>
      <c r="C10" s="939"/>
      <c r="D10" s="939"/>
      <c r="E10" s="939"/>
      <c r="H10" s="936"/>
      <c r="I10" s="937"/>
      <c r="J10" s="937"/>
      <c r="K10" s="937"/>
      <c r="L10" s="937"/>
      <c r="M10" s="937"/>
      <c r="N10" s="937"/>
      <c r="O10" s="938"/>
    </row>
    <row r="11" spans="2:15">
      <c r="B11" s="771" t="s">
        <v>756</v>
      </c>
      <c r="C11" s="928" t="s">
        <v>757</v>
      </c>
      <c r="D11" s="928"/>
      <c r="E11" s="928"/>
    </row>
    <row r="12" spans="2:15">
      <c r="B12" s="771" t="s">
        <v>758</v>
      </c>
      <c r="C12" s="928" t="s">
        <v>757</v>
      </c>
      <c r="D12" s="928"/>
      <c r="E12" s="928"/>
    </row>
    <row r="13" spans="2:15">
      <c r="B13" s="771" t="s">
        <v>759</v>
      </c>
      <c r="C13" s="928" t="s">
        <v>757</v>
      </c>
      <c r="D13" s="928"/>
      <c r="E13" s="928"/>
    </row>
    <row r="14" spans="2:15">
      <c r="B14" s="771" t="s">
        <v>760</v>
      </c>
      <c r="C14" s="928" t="s">
        <v>761</v>
      </c>
      <c r="D14" s="928"/>
      <c r="E14" s="928"/>
    </row>
    <row r="15" spans="2:15">
      <c r="B15" s="771" t="s">
        <v>762</v>
      </c>
      <c r="C15" s="928" t="s">
        <v>763</v>
      </c>
      <c r="D15" s="928"/>
      <c r="E15" s="928"/>
    </row>
    <row r="16" spans="2:15" ht="15" customHeight="1">
      <c r="B16" s="771" t="s">
        <v>764</v>
      </c>
      <c r="C16" s="928" t="s">
        <v>765</v>
      </c>
      <c r="D16" s="928"/>
      <c r="E16" s="928"/>
    </row>
    <row r="17" spans="2:5">
      <c r="B17" s="768"/>
    </row>
    <row r="18" spans="2:5">
      <c r="B18" s="940" t="s">
        <v>766</v>
      </c>
      <c r="C18" s="940"/>
      <c r="D18" s="940"/>
      <c r="E18" s="940"/>
    </row>
    <row r="19" spans="2:5">
      <c r="B19" s="771" t="s">
        <v>767</v>
      </c>
      <c r="C19" s="771" t="s">
        <v>768</v>
      </c>
      <c r="D19" s="771" t="s">
        <v>769</v>
      </c>
      <c r="E19" s="771" t="s">
        <v>770</v>
      </c>
    </row>
    <row r="20" spans="2:5" ht="15" customHeight="1">
      <c r="B20" s="771" t="s">
        <v>771</v>
      </c>
      <c r="C20" s="771" t="s">
        <v>772</v>
      </c>
      <c r="D20" s="772" t="s">
        <v>773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774</v>
      </c>
    </row>
    <row r="2" spans="1:4">
      <c r="A2" s="942"/>
      <c r="B2" s="942"/>
      <c r="C2" s="942"/>
      <c r="D2" s="71"/>
    </row>
    <row r="3" spans="1:4">
      <c r="A3" s="941" t="s">
        <v>775</v>
      </c>
      <c r="B3" s="941"/>
      <c r="C3" s="941"/>
      <c r="D3" s="111">
        <v>0.32</v>
      </c>
    </row>
    <row r="4" spans="1:4">
      <c r="A4" s="941" t="s">
        <v>713</v>
      </c>
      <c r="B4" s="941"/>
      <c r="C4" s="941"/>
      <c r="D4" s="111">
        <v>0.5</v>
      </c>
    </row>
    <row r="5" spans="1:4">
      <c r="A5" s="941" t="s">
        <v>725</v>
      </c>
      <c r="B5" s="941"/>
      <c r="C5" s="941"/>
      <c r="D5" s="111">
        <v>0.15</v>
      </c>
    </row>
    <row r="6" spans="1:4">
      <c r="A6" s="941" t="s">
        <v>776</v>
      </c>
      <c r="B6" s="941"/>
      <c r="C6" s="9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4414062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43" t="s">
        <v>777</v>
      </c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</row>
    <row r="4" spans="2:14">
      <c r="B4" s="92" t="s">
        <v>778</v>
      </c>
      <c r="C4" s="86"/>
      <c r="D4" s="90" t="s">
        <v>779</v>
      </c>
      <c r="E4" s="95"/>
      <c r="F4" s="90" t="s">
        <v>780</v>
      </c>
      <c r="H4" s="90" t="s">
        <v>781</v>
      </c>
      <c r="I4" s="95"/>
      <c r="J4" s="90" t="s">
        <v>782</v>
      </c>
      <c r="L4" s="90" t="s">
        <v>781</v>
      </c>
      <c r="M4" s="90"/>
      <c r="N4" s="90" t="s">
        <v>783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784</v>
      </c>
      <c r="H7" s="99"/>
      <c r="I7" s="95"/>
      <c r="J7" s="107" t="s">
        <v>784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785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786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787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784</v>
      </c>
      <c r="H15" s="99"/>
      <c r="I15" s="95"/>
      <c r="J15" s="107" t="s">
        <v>784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788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788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787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784</v>
      </c>
      <c r="H21" s="99"/>
      <c r="I21" s="95"/>
      <c r="J21" s="107" t="s">
        <v>784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787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784</v>
      </c>
      <c r="H27" s="99"/>
      <c r="I27" s="95"/>
      <c r="J27" s="107" t="s">
        <v>784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789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787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784</v>
      </c>
      <c r="H34" s="99"/>
      <c r="I34" s="95"/>
      <c r="J34" s="107" t="s">
        <v>784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790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794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795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796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797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109375" style="88" customWidth="1"/>
    <col min="7" max="7" width="18.4414062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943" t="s">
        <v>798</v>
      </c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  <c r="O2" s="943"/>
    </row>
    <row r="4" spans="2:15">
      <c r="B4" s="92" t="s">
        <v>778</v>
      </c>
      <c r="C4" s="86"/>
      <c r="D4" s="90" t="s">
        <v>779</v>
      </c>
      <c r="E4" s="95"/>
      <c r="F4" s="95"/>
      <c r="G4" s="90" t="s">
        <v>799</v>
      </c>
      <c r="H4" s="96"/>
      <c r="J4" s="90" t="s">
        <v>781</v>
      </c>
      <c r="L4" s="90" t="s">
        <v>800</v>
      </c>
      <c r="M4" s="96"/>
      <c r="O4" s="90" t="s">
        <v>781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369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796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778</v>
      </c>
      <c r="C18" s="86"/>
      <c r="D18" s="90" t="s">
        <v>779</v>
      </c>
      <c r="E18" s="95"/>
      <c r="F18" s="95"/>
      <c r="G18" s="90" t="s">
        <v>802</v>
      </c>
      <c r="H18" s="96"/>
      <c r="J18" s="90" t="s">
        <v>781</v>
      </c>
      <c r="L18" s="90" t="s">
        <v>803</v>
      </c>
      <c r="M18" s="96"/>
      <c r="O18" s="90" t="s">
        <v>781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804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805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806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807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808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796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809</v>
      </c>
      <c r="C32" s="103"/>
      <c r="D32" s="103"/>
    </row>
    <row r="33" spans="2:4" ht="13.8" thickTop="1"/>
    <row r="34" spans="2:4">
      <c r="B34" s="88" t="s">
        <v>779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810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945" t="str">
        <f>D15</f>
        <v>Coega Steels Phase 2</v>
      </c>
      <c r="C1" s="945"/>
      <c r="D1" s="945"/>
      <c r="E1" s="944" t="s">
        <v>811</v>
      </c>
      <c r="F1" s="944"/>
      <c r="G1" s="944"/>
      <c r="H1" s="944"/>
      <c r="I1" s="944"/>
      <c r="J1" s="944"/>
      <c r="K1" s="77"/>
      <c r="L1" s="77"/>
      <c r="M1" s="77"/>
      <c r="N1" s="77"/>
    </row>
    <row r="2" spans="2:14" ht="6.75" customHeight="1"/>
    <row r="3" spans="2:14">
      <c r="B3" s="72" t="s">
        <v>812</v>
      </c>
      <c r="C3" s="72" t="s">
        <v>813</v>
      </c>
      <c r="D3" s="72" t="s">
        <v>814</v>
      </c>
      <c r="E3" s="78" t="s">
        <v>815</v>
      </c>
      <c r="F3" s="78" t="s">
        <v>816</v>
      </c>
      <c r="G3" s="78" t="s">
        <v>149</v>
      </c>
      <c r="H3" s="78" t="s">
        <v>817</v>
      </c>
      <c r="I3" s="78" t="s">
        <v>770</v>
      </c>
      <c r="J3" s="78" t="s">
        <v>818</v>
      </c>
    </row>
    <row r="4" spans="2:14">
      <c r="B4" s="76" t="s">
        <v>819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824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825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826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827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828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Detail1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2026-02-25T08:27:51Z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