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0" documentId="13_ncr:1_{3B35231D-DA94-4AE5-8A0D-043E43CA6186}" xr6:coauthVersionLast="47" xr6:coauthVersionMax="47" xr10:uidLastSave="{47A8A562-CE81-4CF2-A199-02454BF48987}"/>
  <bookViews>
    <workbookView xWindow="6705" yWindow="-16320" windowWidth="29040" windowHeight="15720" tabRatio="581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5" l="1"/>
  <c r="K49" i="2"/>
  <c r="N43" i="2"/>
  <c r="M43" i="2"/>
  <c r="W89" i="18"/>
  <c r="W131" i="18"/>
  <c r="W22" i="18"/>
  <c r="Q30" i="18"/>
  <c r="P80" i="18"/>
  <c r="P79" i="18"/>
  <c r="Q87" i="18"/>
  <c r="Q86" i="18"/>
  <c r="N37" i="2"/>
  <c r="T11" i="18"/>
  <c r="W11" i="18"/>
  <c r="Q10" i="18"/>
  <c r="H6" i="5"/>
  <c r="G9" i="20" a="1"/>
  <c r="G9" i="20"/>
  <c r="F9" i="20" a="1"/>
  <c r="F9" i="20"/>
  <c r="C4" i="20"/>
  <c r="H118" i="18"/>
  <c r="H117" i="18"/>
  <c r="H115" i="18"/>
  <c r="H114" i="18"/>
  <c r="H101" i="18"/>
  <c r="H40" i="18"/>
  <c r="H122" i="18"/>
  <c r="H100" i="18"/>
  <c r="H99" i="18"/>
  <c r="H120" i="18"/>
  <c r="H98" i="18"/>
  <c r="H65" i="18"/>
  <c r="H95" i="18"/>
  <c r="H116" i="18"/>
  <c r="H34" i="18"/>
  <c r="H86" i="18"/>
  <c r="H68" i="18"/>
  <c r="H64" i="18"/>
  <c r="H63" i="18"/>
  <c r="H61" i="18"/>
  <c r="H60" i="18"/>
  <c r="H36" i="18"/>
  <c r="H35" i="18"/>
  <c r="H33" i="18"/>
  <c r="H32" i="18"/>
  <c r="H13" i="18"/>
  <c r="N13" i="2"/>
  <c r="N14" i="2"/>
  <c r="N15" i="2"/>
  <c r="N16" i="2"/>
  <c r="N12" i="2"/>
  <c r="Q161" i="18"/>
  <c r="X157" i="18"/>
  <c r="G23" i="13"/>
  <c r="N23" i="13"/>
  <c r="Q162" i="18"/>
  <c r="W118" i="18"/>
  <c r="Q7" i="18"/>
  <c r="X6" i="18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/>
  <c r="W13" i="18"/>
  <c r="W33" i="18"/>
  <c r="T33" i="18"/>
  <c r="T111" i="18"/>
  <c r="W32" i="18"/>
  <c r="T32" i="18"/>
  <c r="T51" i="18"/>
  <c r="I30" i="2"/>
  <c r="I32" i="2"/>
  <c r="W60" i="18"/>
  <c r="T60" i="18"/>
  <c r="Q28" i="18"/>
  <c r="Q157" i="18"/>
  <c r="P6" i="18"/>
  <c r="I18" i="2"/>
  <c r="E24" i="2"/>
  <c r="G24" i="2"/>
  <c r="E25" i="2"/>
  <c r="E26" i="2"/>
  <c r="G26" i="2"/>
  <c r="I24" i="2"/>
  <c r="K19" i="2"/>
  <c r="K11" i="2"/>
  <c r="J11" i="2"/>
  <c r="I11" i="2"/>
  <c r="K22" i="2"/>
  <c r="N22" i="2"/>
  <c r="N21" i="2" s="1"/>
  <c r="K36" i="2"/>
  <c r="E28" i="18"/>
  <c r="T59" i="18"/>
  <c r="T58" i="18"/>
  <c r="T57" i="18"/>
  <c r="T56" i="18"/>
  <c r="I133" i="18"/>
  <c r="F20" i="3"/>
  <c r="Q13" i="18"/>
  <c r="X13" i="18"/>
  <c r="H10" i="3"/>
  <c r="E14" i="2"/>
  <c r="G14" i="2"/>
  <c r="J82" i="18"/>
  <c r="V82" i="18"/>
  <c r="I82" i="18"/>
  <c r="F16" i="3"/>
  <c r="J157" i="18"/>
  <c r="G157" i="18"/>
  <c r="I157" i="18"/>
  <c r="G113" i="18"/>
  <c r="Z18" i="18"/>
  <c r="G112" i="18"/>
  <c r="G107" i="18"/>
  <c r="Z17" i="18"/>
  <c r="G106" i="18"/>
  <c r="Z16" i="18"/>
  <c r="G93" i="18"/>
  <c r="Z15" i="18"/>
  <c r="G92" i="18"/>
  <c r="Z14" i="18"/>
  <c r="G54" i="18"/>
  <c r="I54" i="18"/>
  <c r="F14" i="3"/>
  <c r="G45" i="18"/>
  <c r="I45" i="18"/>
  <c r="G29" i="18"/>
  <c r="Z13" i="18"/>
  <c r="G21" i="18"/>
  <c r="I21" i="18"/>
  <c r="F11" i="3"/>
  <c r="G13" i="18"/>
  <c r="I13" i="18"/>
  <c r="F10" i="3"/>
  <c r="G6" i="18"/>
  <c r="I6" i="18"/>
  <c r="X127" i="18"/>
  <c r="U129" i="18"/>
  <c r="Q136" i="18"/>
  <c r="X136" i="18"/>
  <c r="U138" i="18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/>
  <c r="Q61" i="18"/>
  <c r="Q121" i="18"/>
  <c r="Q93" i="18"/>
  <c r="Q100" i="18"/>
  <c r="Q99" i="18"/>
  <c r="Q98" i="18"/>
  <c r="Q95" i="18"/>
  <c r="X92" i="18"/>
  <c r="Q101" i="18"/>
  <c r="U101" i="18"/>
  <c r="Q116" i="18"/>
  <c r="Q115" i="18"/>
  <c r="X106" i="18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/>
  <c r="I73" i="18"/>
  <c r="F15" i="3"/>
  <c r="X21" i="18"/>
  <c r="H11" i="3"/>
  <c r="I136" i="18"/>
  <c r="F21" i="3"/>
  <c r="X45" i="18"/>
  <c r="M39" i="2"/>
  <c r="T93" i="18"/>
  <c r="W114" i="18"/>
  <c r="T114" i="18"/>
  <c r="W61" i="18"/>
  <c r="T61" i="18"/>
  <c r="W115" i="18"/>
  <c r="T115" i="18"/>
  <c r="G12" i="2"/>
  <c r="M46" i="2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C3" i="6"/>
  <c r="F17" i="5"/>
  <c r="F16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/>
  <c r="W63" i="18"/>
  <c r="T63" i="18"/>
  <c r="W117" i="18"/>
  <c r="W35" i="18"/>
  <c r="U148" i="18"/>
  <c r="I1" i="6"/>
  <c r="I28" i="18"/>
  <c r="H22" i="3"/>
  <c r="E13" i="2"/>
  <c r="G13" i="2"/>
  <c r="E18" i="2"/>
  <c r="E30" i="2"/>
  <c r="E32" i="2"/>
  <c r="G32" i="2"/>
  <c r="G19" i="2"/>
  <c r="G18" i="2"/>
  <c r="F18" i="2"/>
  <c r="E15" i="2"/>
  <c r="E11" i="2"/>
  <c r="E16" i="2"/>
  <c r="G16" i="2"/>
  <c r="X28" i="18"/>
  <c r="U41" i="18"/>
  <c r="F13" i="3"/>
  <c r="H13" i="3"/>
  <c r="I92" i="18"/>
  <c r="F23" i="3"/>
  <c r="J1" i="6"/>
  <c r="F12" i="3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G22" i="2"/>
  <c r="E23" i="2"/>
  <c r="K30" i="2"/>
  <c r="I31" i="2"/>
  <c r="N30" i="2"/>
  <c r="G25" i="2"/>
  <c r="K26" i="2"/>
  <c r="N26" i="2"/>
  <c r="K31" i="2"/>
  <c r="W34" i="18"/>
  <c r="W62" i="18"/>
  <c r="W116" i="18"/>
  <c r="G24" i="13"/>
  <c r="E24" i="13"/>
  <c r="C24" i="13"/>
  <c r="F24" i="13"/>
  <c r="D24" i="13"/>
  <c r="F18" i="5"/>
  <c r="J22" i="3"/>
  <c r="H9" i="3"/>
  <c r="H23" i="3"/>
  <c r="U159" i="18"/>
  <c r="U165" i="18"/>
  <c r="U167" i="18"/>
  <c r="U163" i="18"/>
  <c r="U166" i="18"/>
  <c r="U169" i="18"/>
  <c r="U164" i="18"/>
  <c r="V157" i="18"/>
  <c r="U168" i="18"/>
  <c r="U123" i="18"/>
  <c r="U110" i="18"/>
  <c r="U124" i="18"/>
  <c r="U125" i="18"/>
  <c r="U107" i="18"/>
  <c r="U106" i="18"/>
  <c r="V106" i="18"/>
  <c r="U113" i="18"/>
  <c r="H18" i="3"/>
  <c r="U111" i="18"/>
  <c r="U112" i="18"/>
  <c r="U69" i="18"/>
  <c r="V54" i="18"/>
  <c r="U71" i="18"/>
  <c r="U57" i="18"/>
  <c r="H14" i="3"/>
  <c r="J14" i="3"/>
  <c r="U54" i="18"/>
  <c r="U58" i="18"/>
  <c r="U59" i="18"/>
  <c r="U56" i="18"/>
  <c r="U70" i="18"/>
  <c r="U139" i="18"/>
  <c r="U141" i="18"/>
  <c r="U100" i="18"/>
  <c r="U103" i="18"/>
  <c r="H17" i="3"/>
  <c r="J17" i="3"/>
  <c r="U98" i="18"/>
  <c r="V92" i="18"/>
  <c r="U102" i="18"/>
  <c r="U99" i="18"/>
  <c r="U104" i="18"/>
  <c r="U92" i="18"/>
  <c r="F9" i="3"/>
  <c r="J9" i="3"/>
  <c r="U52" i="18"/>
  <c r="J20" i="3"/>
  <c r="J23" i="3"/>
  <c r="J2" i="18"/>
  <c r="J13" i="3"/>
  <c r="U131" i="18"/>
  <c r="V127" i="18"/>
  <c r="U51" i="18"/>
  <c r="V45" i="18"/>
  <c r="I106" i="18"/>
  <c r="F18" i="3"/>
  <c r="J18" i="3"/>
  <c r="H19" i="3"/>
  <c r="Z12" i="18"/>
  <c r="Z22" i="18"/>
  <c r="Z23" i="18"/>
  <c r="Z24" i="18"/>
  <c r="H12" i="3"/>
  <c r="J12" i="3"/>
  <c r="U155" i="18"/>
  <c r="J19" i="3"/>
  <c r="U153" i="18"/>
  <c r="J10" i="3"/>
  <c r="J15" i="3"/>
  <c r="F5" i="3"/>
  <c r="J11" i="3"/>
  <c r="U43" i="18"/>
  <c r="U29" i="18"/>
  <c r="U42" i="18"/>
  <c r="J16" i="3"/>
  <c r="K33" i="2"/>
  <c r="V28" i="18"/>
  <c r="I2" i="18"/>
  <c r="F25" i="3"/>
  <c r="D5" i="5"/>
  <c r="V143" i="18"/>
  <c r="C5" i="6"/>
  <c r="I51" i="2"/>
  <c r="K48" i="2"/>
  <c r="K52" i="2"/>
  <c r="H18" i="5"/>
  <c r="F13" i="5"/>
  <c r="H66" i="18"/>
  <c r="D6" i="5"/>
  <c r="J4" i="18"/>
  <c r="H38" i="18"/>
  <c r="N36" i="2"/>
  <c r="K35" i="2"/>
  <c r="J35" i="2"/>
  <c r="E31" i="2"/>
  <c r="G11" i="2"/>
  <c r="F11" i="2"/>
  <c r="K51" i="2"/>
  <c r="P17" i="5"/>
  <c r="X2" i="18"/>
  <c r="U136" i="18"/>
  <c r="U140" i="18"/>
  <c r="H21" i="3"/>
  <c r="U137" i="18"/>
  <c r="E21" i="2"/>
  <c r="G23" i="2"/>
  <c r="G21" i="2"/>
  <c r="K32" i="2"/>
  <c r="N32" i="2"/>
  <c r="N18" i="2"/>
  <c r="K18" i="2"/>
  <c r="J18" i="2"/>
  <c r="M18" i="2"/>
  <c r="M9" i="2"/>
  <c r="I40" i="2"/>
  <c r="N33" i="2"/>
  <c r="K28" i="2"/>
  <c r="J28" i="2"/>
  <c r="N31" i="2"/>
  <c r="I28" i="2"/>
  <c r="H39" i="18"/>
  <c r="H67" i="18"/>
  <c r="H121" i="18"/>
  <c r="AO5" i="6"/>
  <c r="N25" i="2"/>
  <c r="F15" i="5"/>
  <c r="F19" i="5"/>
  <c r="K25" i="2"/>
  <c r="G15" i="2"/>
  <c r="K24" i="2"/>
  <c r="K21" i="2"/>
  <c r="J21" i="2"/>
  <c r="H62" i="18"/>
  <c r="H37" i="18"/>
  <c r="H119" i="18"/>
  <c r="R5" i="6"/>
  <c r="I21" i="2"/>
  <c r="J5" i="6"/>
  <c r="P18" i="5"/>
  <c r="W99" i="18"/>
  <c r="I50" i="2"/>
  <c r="W100" i="18"/>
  <c r="I53" i="2"/>
  <c r="K53" i="2"/>
  <c r="W101" i="18"/>
  <c r="CG5" i="6"/>
  <c r="EH5" i="6"/>
  <c r="FI5" i="6"/>
  <c r="D7" i="5"/>
  <c r="G6" i="5"/>
  <c r="BS5" i="6"/>
  <c r="BU5" i="6"/>
  <c r="F21" i="2"/>
  <c r="CS5" i="6"/>
  <c r="KP5" i="6"/>
  <c r="KZ5" i="6"/>
  <c r="KQ5" i="6"/>
  <c r="FP5" i="6"/>
  <c r="IM5" i="6"/>
  <c r="DX5" i="6"/>
  <c r="HN5" i="6"/>
  <c r="JO5" i="6"/>
  <c r="BQ5" i="6"/>
  <c r="KD5" i="6"/>
  <c r="V136" i="18"/>
  <c r="CN5" i="6"/>
  <c r="JE5" i="6"/>
  <c r="EI5" i="6"/>
  <c r="FG5" i="6"/>
  <c r="M5" i="6"/>
  <c r="BV5" i="6"/>
  <c r="FZ5" i="6"/>
  <c r="DF5" i="6"/>
  <c r="HG5" i="6"/>
  <c r="Z5" i="6"/>
  <c r="FF5" i="6"/>
  <c r="EP5" i="6"/>
  <c r="EN5" i="6"/>
  <c r="DW5" i="6"/>
  <c r="GD5" i="6"/>
  <c r="HL5" i="6"/>
  <c r="T5" i="6"/>
  <c r="JW5" i="6"/>
  <c r="CR5" i="6"/>
  <c r="DD5" i="6"/>
  <c r="CD5" i="6"/>
  <c r="JR5" i="6"/>
  <c r="FD5" i="6"/>
  <c r="CI5" i="6"/>
  <c r="FS5" i="6"/>
  <c r="IP5" i="6"/>
  <c r="BL5" i="6"/>
  <c r="FJ5" i="6"/>
  <c r="CW5" i="6"/>
  <c r="GT5" i="6"/>
  <c r="AQ5" i="6"/>
  <c r="IF5" i="6"/>
  <c r="AZ5" i="6"/>
  <c r="GX5" i="6"/>
  <c r="HA5" i="6"/>
  <c r="KS5" i="6"/>
  <c r="BT5" i="6"/>
  <c r="BR5" i="6"/>
  <c r="FH5" i="6"/>
  <c r="AD5" i="6"/>
  <c r="AI5" i="6"/>
  <c r="DG5" i="6"/>
  <c r="JA5" i="6"/>
  <c r="BZ5" i="6"/>
  <c r="JI5" i="6"/>
  <c r="EW5" i="6"/>
  <c r="HI5" i="6"/>
  <c r="JS5" i="6"/>
  <c r="BB5" i="6"/>
  <c r="FQ5" i="6"/>
  <c r="IL5" i="6"/>
  <c r="KM5" i="6"/>
  <c r="EL5" i="6"/>
  <c r="BI5" i="6"/>
  <c r="IK5" i="6"/>
  <c r="P5" i="6"/>
  <c r="DQ5" i="6"/>
  <c r="BW5" i="6"/>
  <c r="HR5" i="6"/>
  <c r="S5" i="6"/>
  <c r="KR5" i="6"/>
  <c r="HH5" i="6"/>
  <c r="EY5" i="6"/>
  <c r="AC5" i="6"/>
  <c r="JK5" i="6"/>
  <c r="CX5" i="6"/>
  <c r="IV5" i="6"/>
  <c r="W5" i="6"/>
  <c r="BN5" i="6"/>
  <c r="BM5" i="6"/>
  <c r="CC5" i="6"/>
  <c r="I5" i="6"/>
  <c r="GO5" i="6"/>
  <c r="Y5" i="6"/>
  <c r="L5" i="6"/>
  <c r="JM5" i="6"/>
  <c r="CV5" i="6"/>
  <c r="GC5" i="6"/>
  <c r="EV5" i="6"/>
  <c r="FY5" i="6"/>
  <c r="KY5" i="6"/>
  <c r="AJ5" i="6"/>
  <c r="JJ5" i="6"/>
  <c r="IW5" i="6"/>
  <c r="CJ5" i="6"/>
  <c r="EG5" i="6"/>
  <c r="IN5" i="6"/>
  <c r="AM5" i="6"/>
  <c r="EX5" i="6"/>
  <c r="AU5" i="6"/>
  <c r="AK5" i="6"/>
  <c r="AE5" i="6"/>
  <c r="GM5" i="6"/>
  <c r="FL5" i="6"/>
  <c r="FC5" i="6"/>
  <c r="FT5" i="6"/>
  <c r="JP5" i="6"/>
  <c r="EB5" i="6"/>
  <c r="IC5" i="6"/>
  <c r="CU5" i="6"/>
  <c r="DN5" i="6"/>
  <c r="IJ5" i="6"/>
  <c r="KL5" i="6"/>
  <c r="KB5" i="6"/>
  <c r="JT5" i="6"/>
  <c r="CH5" i="6"/>
  <c r="Q5" i="6"/>
  <c r="AG5" i="6"/>
  <c r="HQ5" i="6"/>
  <c r="CY5" i="6"/>
  <c r="BG5" i="6"/>
  <c r="HC5" i="6"/>
  <c r="FK5" i="6"/>
  <c r="FV5" i="6"/>
  <c r="EO5" i="6"/>
  <c r="H5" i="6"/>
  <c r="GQ5" i="6"/>
  <c r="JB5" i="6"/>
  <c r="JV5" i="6"/>
  <c r="HM5" i="6"/>
  <c r="HS5" i="6"/>
  <c r="AX5" i="6"/>
  <c r="DK5" i="6"/>
  <c r="FB5" i="6"/>
  <c r="GI5" i="6"/>
  <c r="CE5" i="6"/>
  <c r="DB5" i="6"/>
  <c r="HY5" i="6"/>
  <c r="ED5" i="6"/>
  <c r="DR5" i="6"/>
  <c r="JC5" i="6"/>
  <c r="EE5" i="6"/>
  <c r="DO5" i="6"/>
  <c r="DJ5" i="6"/>
  <c r="HE5" i="6"/>
  <c r="GG5" i="6"/>
  <c r="HO5" i="6"/>
  <c r="BA5" i="6"/>
  <c r="GJ5" i="6"/>
  <c r="KN5" i="6"/>
  <c r="HP5" i="6"/>
  <c r="KO5" i="6"/>
  <c r="HD5" i="6"/>
  <c r="KW5" i="6"/>
  <c r="JX5" i="6"/>
  <c r="KE5" i="6"/>
  <c r="GR5" i="6"/>
  <c r="CO5" i="6"/>
  <c r="EM5" i="6"/>
  <c r="HJ5" i="6"/>
  <c r="JQ5" i="6"/>
  <c r="DI5" i="6"/>
  <c r="AL5" i="6"/>
  <c r="IS5" i="6"/>
  <c r="ID5" i="6"/>
  <c r="FU5" i="6"/>
  <c r="X5" i="6"/>
  <c r="BD5" i="6"/>
  <c r="DE5" i="6"/>
  <c r="BO5" i="6"/>
  <c r="DT5" i="6"/>
  <c r="DM5" i="6"/>
  <c r="LC5" i="6"/>
  <c r="AA5" i="6"/>
  <c r="FX5" i="6"/>
  <c r="BC5" i="6"/>
  <c r="CK5" i="6"/>
  <c r="CT5" i="6"/>
  <c r="IB5" i="6"/>
  <c r="DC5" i="6"/>
  <c r="KC5" i="6"/>
  <c r="EJ5" i="6"/>
  <c r="GB5" i="6"/>
  <c r="KG5" i="6"/>
  <c r="BK5" i="6"/>
  <c r="DY5" i="6"/>
  <c r="O5" i="6"/>
  <c r="DV5" i="6"/>
  <c r="IR5" i="6"/>
  <c r="ES5" i="6"/>
  <c r="IH5" i="6"/>
  <c r="IX5" i="6"/>
  <c r="CB5" i="6"/>
  <c r="GS5" i="6"/>
  <c r="DP5" i="6"/>
  <c r="GU5" i="6"/>
  <c r="J21" i="3"/>
  <c r="J5" i="3"/>
  <c r="H5" i="3"/>
  <c r="F5" i="5"/>
  <c r="C11" i="6"/>
  <c r="GF5" i="6"/>
  <c r="DU5" i="6"/>
  <c r="HV5" i="6"/>
  <c r="KU5" i="6"/>
  <c r="EC5" i="6"/>
  <c r="EQ5" i="6"/>
  <c r="AF5" i="6"/>
  <c r="HF5" i="6"/>
  <c r="G5" i="6"/>
  <c r="IA5" i="6"/>
  <c r="FE5" i="6"/>
  <c r="IQ5" i="6"/>
  <c r="GP5" i="6"/>
  <c r="JG5" i="6"/>
  <c r="GK5" i="6"/>
  <c r="K40" i="2"/>
  <c r="N40" i="2"/>
  <c r="N39" i="2" s="1"/>
  <c r="IE5" i="6"/>
  <c r="JH5" i="6"/>
  <c r="KI5" i="6"/>
  <c r="EU5" i="6"/>
  <c r="HW5" i="6"/>
  <c r="JZ5" i="6"/>
  <c r="LD5" i="6"/>
  <c r="AN5" i="6"/>
  <c r="KV5" i="6"/>
  <c r="HB5" i="6"/>
  <c r="JD5" i="6"/>
  <c r="FR5" i="6"/>
  <c r="FN5" i="6"/>
  <c r="BY5" i="6"/>
  <c r="KA5" i="6"/>
  <c r="N24" i="2"/>
  <c r="F5" i="6"/>
  <c r="II5" i="6"/>
  <c r="DL5" i="6"/>
  <c r="GZ5" i="6"/>
  <c r="AY5" i="6"/>
  <c r="U5" i="6"/>
  <c r="KJ5" i="6"/>
  <c r="KK5" i="6"/>
  <c r="BJ5" i="6"/>
  <c r="EZ5" i="6"/>
  <c r="AW5" i="6"/>
  <c r="AS5" i="6"/>
  <c r="CL5" i="6"/>
  <c r="F21" i="5"/>
  <c r="G31" i="2"/>
  <c r="AB5" i="6"/>
  <c r="N5" i="6"/>
  <c r="BP5" i="6"/>
  <c r="CZ5" i="6"/>
  <c r="JN5" i="6"/>
  <c r="KF5" i="6"/>
  <c r="KT5" i="6"/>
  <c r="DZ5" i="6"/>
  <c r="CM5" i="6"/>
  <c r="AH5" i="6"/>
  <c r="DA5" i="6"/>
  <c r="BH5" i="6"/>
  <c r="LA5" i="6"/>
  <c r="GH5" i="6"/>
  <c r="DS5" i="6"/>
  <c r="JU5" i="6"/>
  <c r="DH5" i="6"/>
  <c r="BE5" i="6"/>
  <c r="HZ5" i="6"/>
  <c r="HK5" i="6"/>
  <c r="HT5" i="6"/>
  <c r="KX5" i="6"/>
  <c r="K5" i="6"/>
  <c r="CP5" i="6"/>
  <c r="IO5" i="6"/>
  <c r="GY5" i="6"/>
  <c r="EA5" i="6"/>
  <c r="JF5" i="6"/>
  <c r="GA5" i="6"/>
  <c r="AP5" i="6"/>
  <c r="IZ5" i="6"/>
  <c r="IT5" i="6"/>
  <c r="ET5" i="6"/>
  <c r="IU5" i="6"/>
  <c r="FO5" i="6"/>
  <c r="IY5" i="6"/>
  <c r="EF5" i="6"/>
  <c r="BF5" i="6"/>
  <c r="FA5" i="6"/>
  <c r="LB5" i="6"/>
  <c r="FM5" i="6"/>
  <c r="CQ5" i="6"/>
  <c r="JL5" i="6"/>
  <c r="AV5" i="6"/>
  <c r="GE5" i="6"/>
  <c r="BX5" i="6"/>
  <c r="AT5" i="6"/>
  <c r="CA5" i="6"/>
  <c r="HX5" i="6"/>
  <c r="CF5" i="6"/>
  <c r="FW5" i="6"/>
  <c r="IG5" i="6"/>
  <c r="V5" i="6"/>
  <c r="ER5" i="6"/>
  <c r="GL5" i="6"/>
  <c r="GN5" i="6"/>
  <c r="JY5" i="6"/>
  <c r="GV5" i="6"/>
  <c r="HU5" i="6"/>
  <c r="GW5" i="6"/>
  <c r="EK5" i="6"/>
  <c r="KH5" i="6"/>
  <c r="AR5" i="6"/>
  <c r="W122" i="18"/>
  <c r="W68" i="18"/>
  <c r="W40" i="18"/>
  <c r="T101" i="18"/>
  <c r="T100" i="18"/>
  <c r="W39" i="18"/>
  <c r="W121" i="18"/>
  <c r="W67" i="18"/>
  <c r="K50" i="2"/>
  <c r="W120" i="18"/>
  <c r="W66" i="18"/>
  <c r="W38" i="18"/>
  <c r="T99" i="18"/>
  <c r="E36" i="2"/>
  <c r="D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I41" i="2"/>
  <c r="H25" i="3"/>
  <c r="F4" i="5"/>
  <c r="F47" i="5"/>
  <c r="F43" i="5"/>
  <c r="F41" i="5"/>
  <c r="F44" i="5"/>
  <c r="F45" i="5"/>
  <c r="F42" i="5"/>
  <c r="I44" i="2"/>
  <c r="K41" i="2"/>
  <c r="N41" i="2"/>
  <c r="I39" i="2"/>
  <c r="C9" i="6"/>
  <c r="F6" i="5"/>
  <c r="F7" i="5"/>
  <c r="G36" i="2"/>
  <c r="H14" i="5"/>
  <c r="E37" i="2"/>
  <c r="K44" i="2"/>
  <c r="I43" i="2"/>
  <c r="F46" i="5"/>
  <c r="W158" i="18"/>
  <c r="J9" i="2"/>
  <c r="S19" i="2"/>
  <c r="S21" i="2"/>
  <c r="S22" i="2"/>
  <c r="K39" i="2"/>
  <c r="W98" i="18"/>
  <c r="W127" i="18"/>
  <c r="J39" i="2"/>
  <c r="K43" i="2"/>
  <c r="J43" i="2"/>
  <c r="I47" i="2"/>
  <c r="G37" i="2"/>
  <c r="E35" i="2"/>
  <c r="E33" i="2"/>
  <c r="G35" i="2"/>
  <c r="F35" i="2"/>
  <c r="K47" i="2"/>
  <c r="N47" i="2"/>
  <c r="N46" i="2" s="1"/>
  <c r="I46" i="2"/>
  <c r="HE9" i="6"/>
  <c r="X9" i="6"/>
  <c r="JR9" i="6"/>
  <c r="FD9" i="6"/>
  <c r="IO9" i="6"/>
  <c r="DB9" i="6"/>
  <c r="IC9" i="6"/>
  <c r="HL9" i="6"/>
  <c r="HP9" i="6"/>
  <c r="GX9" i="6"/>
  <c r="LA9" i="6"/>
  <c r="GC9" i="6"/>
  <c r="KG9" i="6"/>
  <c r="AC9" i="6"/>
  <c r="JV9" i="6"/>
  <c r="EE9" i="6"/>
  <c r="AK9" i="6"/>
  <c r="BE9" i="6"/>
  <c r="KR9" i="6"/>
  <c r="GT9" i="6"/>
  <c r="HK9" i="6"/>
  <c r="CY9" i="6"/>
  <c r="AH9" i="6"/>
  <c r="BV9" i="6"/>
  <c r="ER9" i="6"/>
  <c r="KW9" i="6"/>
  <c r="DK9" i="6"/>
  <c r="IV9" i="6"/>
  <c r="HU9" i="6"/>
  <c r="JC9" i="6"/>
  <c r="U9" i="6"/>
  <c r="KZ9" i="6"/>
  <c r="CG9" i="6"/>
  <c r="DM9" i="6"/>
  <c r="GV9" i="6"/>
  <c r="BO9" i="6"/>
  <c r="GI9" i="6"/>
  <c r="AP9" i="6"/>
  <c r="R9" i="6"/>
  <c r="EK9" i="6"/>
  <c r="AV9" i="6"/>
  <c r="DR9" i="6"/>
  <c r="BK9" i="6"/>
  <c r="DS9" i="6"/>
  <c r="KH9" i="6"/>
  <c r="HA9" i="6"/>
  <c r="HJ9" i="6"/>
  <c r="F9" i="6"/>
  <c r="JK9" i="6"/>
  <c r="KQ9" i="6"/>
  <c r="DY9" i="6"/>
  <c r="H9" i="6"/>
  <c r="BY9" i="6"/>
  <c r="FM9" i="6"/>
  <c r="KX9" i="6"/>
  <c r="JO9" i="6"/>
  <c r="CS9" i="6"/>
  <c r="AO9" i="6"/>
  <c r="IP9" i="6"/>
  <c r="FV9" i="6"/>
  <c r="CK9" i="6"/>
  <c r="CX9" i="6"/>
  <c r="GE9" i="6"/>
  <c r="AY9" i="6"/>
  <c r="FQ9" i="6"/>
  <c r="JT9" i="6"/>
  <c r="KU9" i="6"/>
  <c r="IA9" i="6"/>
  <c r="CE9" i="6"/>
  <c r="CH9" i="6"/>
  <c r="AM9" i="6"/>
  <c r="GF9" i="6"/>
  <c r="IW9" i="6"/>
  <c r="GZ9" i="6"/>
  <c r="DG9" i="6"/>
  <c r="HQ9" i="6"/>
  <c r="J9" i="6"/>
  <c r="AN9" i="6"/>
  <c r="JB9" i="6"/>
  <c r="GS9" i="6"/>
  <c r="Z9" i="6"/>
  <c r="BA9" i="6"/>
  <c r="IE9" i="6"/>
  <c r="EZ9" i="6"/>
  <c r="KM9" i="6"/>
  <c r="HC9" i="6"/>
  <c r="CA9" i="6"/>
  <c r="IL9" i="6"/>
  <c r="KO9" i="6"/>
  <c r="JP9" i="6"/>
  <c r="EP9" i="6"/>
  <c r="JZ9" i="6"/>
  <c r="BD9" i="6"/>
  <c r="HH9" i="6"/>
  <c r="EC9" i="6"/>
  <c r="FU9" i="6"/>
  <c r="BH9" i="6"/>
  <c r="JM9" i="6"/>
  <c r="LB9" i="6"/>
  <c r="K9" i="6"/>
  <c r="CU9" i="6"/>
  <c r="EJ9" i="6"/>
  <c r="HW9" i="6"/>
  <c r="KJ9" i="6"/>
  <c r="FB9" i="6"/>
  <c r="BC9" i="6"/>
  <c r="AA9" i="6"/>
  <c r="IY9" i="6"/>
  <c r="FO9" i="6"/>
  <c r="ES9" i="6"/>
  <c r="KC9" i="6"/>
  <c r="FH9" i="6"/>
  <c r="BB9" i="6"/>
  <c r="KP9" i="6"/>
  <c r="FG9" i="6"/>
  <c r="GL9" i="6"/>
  <c r="KB9" i="6"/>
  <c r="ED9" i="6"/>
  <c r="EI9" i="6"/>
  <c r="KV9" i="6"/>
  <c r="DC9" i="6"/>
  <c r="BI9" i="6"/>
  <c r="KT9" i="6"/>
  <c r="EU9" i="6"/>
  <c r="FJ9" i="6"/>
  <c r="AS9" i="6"/>
  <c r="KL9" i="6"/>
  <c r="IJ9" i="6"/>
  <c r="IT9" i="6"/>
  <c r="FY9" i="6"/>
  <c r="DI9" i="6"/>
  <c r="BR9" i="6"/>
  <c r="JQ9" i="6"/>
  <c r="DV9" i="6"/>
  <c r="BQ9" i="6"/>
  <c r="GG9" i="6"/>
  <c r="FT9" i="6"/>
  <c r="JY9" i="6"/>
  <c r="EL9" i="6"/>
  <c r="EA9" i="6"/>
  <c r="DD9" i="6"/>
  <c r="Y9" i="6"/>
  <c r="KN9" i="6"/>
  <c r="AR9" i="6"/>
  <c r="Q9" i="6"/>
  <c r="GD9" i="6"/>
  <c r="V9" i="6"/>
  <c r="CT9" i="6"/>
  <c r="IM9" i="6"/>
  <c r="LC9" i="6"/>
  <c r="GB9" i="6"/>
  <c r="HR9" i="6"/>
  <c r="AI9" i="6"/>
  <c r="KK9" i="6"/>
  <c r="CL9" i="6"/>
  <c r="EV9" i="6"/>
  <c r="GR9" i="6"/>
  <c r="GK9" i="6"/>
  <c r="LD9" i="6"/>
  <c r="FW9" i="6"/>
  <c r="FX9" i="6"/>
  <c r="BJ9" i="6"/>
  <c r="Y33" i="6"/>
  <c r="ET9" i="6"/>
  <c r="BN9" i="6"/>
  <c r="JI9" i="6"/>
  <c r="IX9" i="6"/>
  <c r="KI9" i="6"/>
  <c r="EG9" i="6"/>
  <c r="G9" i="6"/>
  <c r="IQ9" i="6"/>
  <c r="DN9" i="6"/>
  <c r="AJ9" i="6"/>
  <c r="CZ9" i="6"/>
  <c r="FF9" i="6"/>
  <c r="FP9" i="6"/>
  <c r="O9" i="6"/>
  <c r="CW9" i="6"/>
  <c r="GA9" i="6"/>
  <c r="CO9" i="6"/>
  <c r="L9" i="6"/>
  <c r="FK9" i="6"/>
  <c r="EQ9" i="6"/>
  <c r="HZ9" i="6"/>
  <c r="IU9" i="6"/>
  <c r="FE9" i="6"/>
  <c r="AB9" i="6"/>
  <c r="AW9" i="6"/>
  <c r="FL9" i="6"/>
  <c r="ID9" i="6"/>
  <c r="KS9" i="6"/>
  <c r="HX9" i="6"/>
  <c r="GW9" i="6"/>
  <c r="GY9" i="6"/>
  <c r="BX9" i="6"/>
  <c r="AU9" i="6"/>
  <c r="JA9" i="6"/>
  <c r="IB9" i="6"/>
  <c r="EM9" i="6"/>
  <c r="FN9" i="6"/>
  <c r="GQ9" i="6"/>
  <c r="HT9" i="6"/>
  <c r="JN9" i="6"/>
  <c r="IZ9" i="6"/>
  <c r="FZ9" i="6"/>
  <c r="HI9" i="6"/>
  <c r="HB9" i="6"/>
  <c r="CV9" i="6"/>
  <c r="W9" i="6"/>
  <c r="IF9" i="6"/>
  <c r="KY9" i="6"/>
  <c r="BF9" i="6"/>
  <c r="IR9" i="6"/>
  <c r="CF9" i="6"/>
  <c r="BZ9" i="6"/>
  <c r="CR9" i="6"/>
  <c r="KE9" i="6"/>
  <c r="DQ9" i="6"/>
  <c r="DU9" i="6"/>
  <c r="S9" i="6"/>
  <c r="P9" i="6"/>
  <c r="FR9" i="6"/>
  <c r="HF9" i="6"/>
  <c r="DH9" i="6"/>
  <c r="JU9" i="6"/>
  <c r="AD9" i="6"/>
  <c r="IH9" i="6"/>
  <c r="II9" i="6"/>
  <c r="EB9" i="6"/>
  <c r="AL9" i="6"/>
  <c r="KA9" i="6"/>
  <c r="KF9" i="6"/>
  <c r="FI9" i="6"/>
  <c r="JG9" i="6"/>
  <c r="CB9" i="6"/>
  <c r="HS9" i="6"/>
  <c r="EX9" i="6"/>
  <c r="BT9" i="6"/>
  <c r="N9" i="6"/>
  <c r="CQ9" i="6"/>
  <c r="CJ9" i="6"/>
  <c r="GH9" i="6"/>
  <c r="AG9" i="6"/>
  <c r="JW9" i="6"/>
  <c r="DE9" i="6"/>
  <c r="DT9" i="6"/>
  <c r="M9" i="6"/>
  <c r="AX9" i="6"/>
  <c r="CC9" i="6"/>
  <c r="HG9" i="6"/>
  <c r="FC9" i="6"/>
  <c r="BW9" i="6"/>
  <c r="EF9" i="6"/>
  <c r="DO9" i="6"/>
  <c r="EO9" i="6"/>
  <c r="GP9" i="6"/>
  <c r="HV9" i="6"/>
  <c r="HD9" i="6"/>
  <c r="JL9" i="6"/>
  <c r="JF9" i="6"/>
  <c r="T9" i="6"/>
  <c r="AF9" i="6"/>
  <c r="DW9" i="6"/>
  <c r="DZ9" i="6"/>
  <c r="AZ9" i="6"/>
  <c r="IK9" i="6"/>
  <c r="BS9" i="6"/>
  <c r="HN9" i="6"/>
  <c r="CM9" i="6"/>
  <c r="DJ9" i="6"/>
  <c r="EN9" i="6"/>
  <c r="BL9" i="6"/>
  <c r="JX9" i="6"/>
  <c r="GJ9" i="6"/>
  <c r="CI9" i="6"/>
  <c r="BM9" i="6"/>
  <c r="DP9" i="6"/>
  <c r="EH9" i="6"/>
  <c r="AQ9" i="6"/>
  <c r="IN9" i="6"/>
  <c r="JD9" i="6"/>
  <c r="AE9" i="6"/>
  <c r="DF9" i="6"/>
  <c r="GU9" i="6"/>
  <c r="JH9" i="6"/>
  <c r="BU9" i="6"/>
  <c r="I9" i="6"/>
  <c r="EY9" i="6"/>
  <c r="HO9" i="6"/>
  <c r="KD9" i="6"/>
  <c r="BP9" i="6"/>
  <c r="CN9" i="6"/>
  <c r="GO9" i="6"/>
  <c r="JE9" i="6"/>
  <c r="DA9" i="6"/>
  <c r="DX9" i="6"/>
  <c r="CP9" i="6"/>
  <c r="BG9" i="6"/>
  <c r="IS9" i="6"/>
  <c r="IG9" i="6"/>
  <c r="DL9" i="6"/>
  <c r="HM9" i="6"/>
  <c r="HY9" i="6"/>
  <c r="JS9" i="6"/>
  <c r="AT9" i="6"/>
  <c r="JJ9" i="6"/>
  <c r="GM9" i="6"/>
  <c r="CD9" i="6"/>
  <c r="FS9" i="6"/>
  <c r="EW9" i="6"/>
  <c r="FA9" i="6"/>
  <c r="GN9" i="6"/>
  <c r="T98" i="18"/>
  <c r="W65" i="18"/>
  <c r="W119" i="18"/>
  <c r="W37" i="18"/>
  <c r="GW11" i="6"/>
  <c r="R11" i="6"/>
  <c r="DM11" i="6"/>
  <c r="LA11" i="6"/>
  <c r="JV11" i="6"/>
  <c r="DO11" i="6"/>
  <c r="CB11" i="6"/>
  <c r="AZ11" i="6"/>
  <c r="KS11" i="6"/>
  <c r="IY11" i="6"/>
  <c r="LC11" i="6"/>
  <c r="JM11" i="6"/>
  <c r="CV11" i="6"/>
  <c r="BM11" i="6"/>
  <c r="GY11" i="6"/>
  <c r="BP11" i="6"/>
  <c r="KH11" i="6"/>
  <c r="GX11" i="6"/>
  <c r="AW11" i="6"/>
  <c r="GI11" i="6"/>
  <c r="AY11" i="6"/>
  <c r="FO11" i="6"/>
  <c r="HF11" i="6"/>
  <c r="IL11" i="6"/>
  <c r="HX11" i="6"/>
  <c r="V11" i="6"/>
  <c r="EA11" i="6"/>
  <c r="LB11" i="6"/>
  <c r="EK11" i="6"/>
  <c r="AL11" i="6"/>
  <c r="EF11" i="6"/>
  <c r="HT11" i="6"/>
  <c r="AR11" i="6"/>
  <c r="HN11" i="6"/>
  <c r="AX11" i="6"/>
  <c r="JT11" i="6"/>
  <c r="AD11" i="6"/>
  <c r="IE11" i="6"/>
  <c r="EB11" i="6"/>
  <c r="FP11" i="6"/>
  <c r="H11" i="6"/>
  <c r="AH11" i="6"/>
  <c r="IN11" i="6"/>
  <c r="DV11" i="6"/>
  <c r="IW11" i="6"/>
  <c r="EW11" i="6"/>
  <c r="IS11" i="6"/>
  <c r="HJ11" i="6"/>
  <c r="I11" i="6"/>
  <c r="JZ11" i="6"/>
  <c r="HD11" i="6"/>
  <c r="AP11" i="6"/>
  <c r="JJ11" i="6"/>
  <c r="JR11" i="6"/>
  <c r="KJ11" i="6"/>
  <c r="DW11" i="6"/>
  <c r="GC11" i="6"/>
  <c r="KW11" i="6"/>
  <c r="KY11" i="6"/>
  <c r="KX11" i="6"/>
  <c r="CR11" i="6"/>
  <c r="P11" i="6"/>
  <c r="FD11" i="6"/>
  <c r="AE11" i="6"/>
  <c r="W11" i="6"/>
  <c r="CX11" i="6"/>
  <c r="KL11" i="6"/>
  <c r="K11" i="6"/>
  <c r="DU11" i="6"/>
  <c r="CT11" i="6"/>
  <c r="JC11" i="6"/>
  <c r="HC11" i="6"/>
  <c r="GN11" i="6"/>
  <c r="HK11" i="6"/>
  <c r="F11" i="6"/>
  <c r="HB11" i="6"/>
  <c r="FC11" i="6"/>
  <c r="BO11" i="6"/>
  <c r="DR11" i="6"/>
  <c r="AN11" i="6"/>
  <c r="KF11" i="6"/>
  <c r="CH11" i="6"/>
  <c r="IZ11" i="6"/>
  <c r="KP11" i="6"/>
  <c r="BA11" i="6"/>
  <c r="T11" i="6"/>
  <c r="IJ11" i="6"/>
  <c r="Y11" i="6"/>
  <c r="GL11" i="6"/>
  <c r="BU11" i="6"/>
  <c r="KC11" i="6"/>
  <c r="GK11" i="6"/>
  <c r="FU11" i="6"/>
  <c r="CS11" i="6"/>
  <c r="IU11" i="6"/>
  <c r="GS11" i="6"/>
  <c r="AQ11" i="6"/>
  <c r="FE11" i="6"/>
  <c r="DH11" i="6"/>
  <c r="CN11" i="6"/>
  <c r="AC11" i="6"/>
  <c r="DD11" i="6"/>
  <c r="HS11" i="6"/>
  <c r="AA11" i="6"/>
  <c r="CL11" i="6"/>
  <c r="ID11" i="6"/>
  <c r="IP11" i="6"/>
  <c r="AJ11" i="6"/>
  <c r="CC11" i="6"/>
  <c r="M11" i="6"/>
  <c r="KA11" i="6"/>
  <c r="FJ11" i="6"/>
  <c r="GZ11" i="6"/>
  <c r="FA11" i="6"/>
  <c r="DL11" i="6"/>
  <c r="FY11" i="6"/>
  <c r="FZ11" i="6"/>
  <c r="AO11" i="6"/>
  <c r="GQ11" i="6"/>
  <c r="IK11" i="6"/>
  <c r="HG11" i="6"/>
  <c r="BH11" i="6"/>
  <c r="FQ11" i="6"/>
  <c r="BE11" i="6"/>
  <c r="JA11" i="6"/>
  <c r="EH11" i="6"/>
  <c r="DF11" i="6"/>
  <c r="KT11" i="6"/>
  <c r="HQ11" i="6"/>
  <c r="FW11" i="6"/>
  <c r="CA11" i="6"/>
  <c r="EN11" i="6"/>
  <c r="ET11" i="6"/>
  <c r="EP11" i="6"/>
  <c r="CF11" i="6"/>
  <c r="EL11" i="6"/>
  <c r="KO11" i="6"/>
  <c r="HY11" i="6"/>
  <c r="DP11" i="6"/>
  <c r="AK11" i="6"/>
  <c r="AI11" i="6"/>
  <c r="EC11" i="6"/>
  <c r="HM11" i="6"/>
  <c r="IH11" i="6"/>
  <c r="AT11" i="6"/>
  <c r="CD11" i="6"/>
  <c r="KQ11" i="6"/>
  <c r="JQ11" i="6"/>
  <c r="IG11" i="6"/>
  <c r="IQ11" i="6"/>
  <c r="EX11" i="6"/>
  <c r="IR11" i="6"/>
  <c r="FM11" i="6"/>
  <c r="L11" i="6"/>
  <c r="IA11" i="6"/>
  <c r="IX11" i="6"/>
  <c r="CE11" i="6"/>
  <c r="JU11" i="6"/>
  <c r="BC11" i="6"/>
  <c r="EJ11" i="6"/>
  <c r="CP11" i="6"/>
  <c r="DJ11" i="6"/>
  <c r="Q11" i="6"/>
  <c r="JE11" i="6"/>
  <c r="BR11" i="6"/>
  <c r="GE11" i="6"/>
  <c r="GB11" i="6"/>
  <c r="HR11" i="6"/>
  <c r="EU11" i="6"/>
  <c r="DA11" i="6"/>
  <c r="JO11" i="6"/>
  <c r="FS11" i="6"/>
  <c r="DN11" i="6"/>
  <c r="KD11" i="6"/>
  <c r="IV11" i="6"/>
  <c r="KI11" i="6"/>
  <c r="ED11" i="6"/>
  <c r="DS11" i="6"/>
  <c r="FN11" i="6"/>
  <c r="BS11" i="6"/>
  <c r="AG11" i="6"/>
  <c r="BQ11" i="6"/>
  <c r="GD11" i="6"/>
  <c r="IM11" i="6"/>
  <c r="FF11" i="6"/>
  <c r="CI11" i="6"/>
  <c r="HU11" i="6"/>
  <c r="HW11" i="6"/>
  <c r="O11" i="6"/>
  <c r="HI11" i="6"/>
  <c r="GP11" i="6"/>
  <c r="JF11" i="6"/>
  <c r="EG11" i="6"/>
  <c r="LD11" i="6"/>
  <c r="J11" i="6"/>
  <c r="DB11" i="6"/>
  <c r="BT11" i="6"/>
  <c r="IB11" i="6"/>
  <c r="HP11" i="6"/>
  <c r="GJ11" i="6"/>
  <c r="CU11" i="6"/>
  <c r="DQ11" i="6"/>
  <c r="FI11" i="6"/>
  <c r="ES11" i="6"/>
  <c r="EV11" i="6"/>
  <c r="EY11" i="6"/>
  <c r="JI11" i="6"/>
  <c r="AV11" i="6"/>
  <c r="EZ11" i="6"/>
  <c r="GR11" i="6"/>
  <c r="JB11" i="6"/>
  <c r="GM11" i="6"/>
  <c r="BN11" i="6"/>
  <c r="EM11" i="6"/>
  <c r="BY11" i="6"/>
  <c r="FR11" i="6"/>
  <c r="BV11" i="6"/>
  <c r="BB11" i="6"/>
  <c r="FG11" i="6"/>
  <c r="JL11" i="6"/>
  <c r="EE11" i="6"/>
  <c r="CO11" i="6"/>
  <c r="KB11" i="6"/>
  <c r="FK11" i="6"/>
  <c r="JK11" i="6"/>
  <c r="FT11" i="6"/>
  <c r="GF11" i="6"/>
  <c r="HH11" i="6"/>
  <c r="DG11" i="6"/>
  <c r="BF11" i="6"/>
  <c r="GG11" i="6"/>
  <c r="HV11" i="6"/>
  <c r="CY11" i="6"/>
  <c r="FV11" i="6"/>
  <c r="CW11" i="6"/>
  <c r="JY11" i="6"/>
  <c r="JP11" i="6"/>
  <c r="AM11" i="6"/>
  <c r="HL11" i="6"/>
  <c r="FX11" i="6"/>
  <c r="DK11" i="6"/>
  <c r="JW11" i="6"/>
  <c r="AU11" i="6"/>
  <c r="KK11" i="6"/>
  <c r="KG11" i="6"/>
  <c r="BG11" i="6"/>
  <c r="KZ11" i="6"/>
  <c r="DZ11" i="6"/>
  <c r="DX11" i="6"/>
  <c r="AS11" i="6"/>
  <c r="IF11" i="6"/>
  <c r="HZ11" i="6"/>
  <c r="JN11" i="6"/>
  <c r="CJ11" i="6"/>
  <c r="BJ11" i="6"/>
  <c r="HO11" i="6"/>
  <c r="BZ11" i="6"/>
  <c r="GU11" i="6"/>
  <c r="Z11" i="6"/>
  <c r="S11" i="6"/>
  <c r="DE11" i="6"/>
  <c r="KV11" i="6"/>
  <c r="JG11" i="6"/>
  <c r="KE11" i="6"/>
  <c r="KR11" i="6"/>
  <c r="EI11" i="6"/>
  <c r="AF11" i="6"/>
  <c r="KU11" i="6"/>
  <c r="FH11" i="6"/>
  <c r="KN11" i="6"/>
  <c r="GA11" i="6"/>
  <c r="CK11" i="6"/>
  <c r="BK11" i="6"/>
  <c r="II11" i="6"/>
  <c r="GT11" i="6"/>
  <c r="DC11" i="6"/>
  <c r="EO11" i="6"/>
  <c r="IC11" i="6"/>
  <c r="BW11" i="6"/>
  <c r="GO11" i="6"/>
  <c r="EQ11" i="6"/>
  <c r="JD11" i="6"/>
  <c r="DY11" i="6"/>
  <c r="BL11" i="6"/>
  <c r="N11" i="6"/>
  <c r="IT11" i="6"/>
  <c r="U11" i="6"/>
  <c r="CM11" i="6"/>
  <c r="DT11" i="6"/>
  <c r="GH11" i="6"/>
  <c r="X11" i="6"/>
  <c r="BD11" i="6"/>
  <c r="BI11" i="6"/>
  <c r="IO11" i="6"/>
  <c r="JH11" i="6"/>
  <c r="JS11" i="6"/>
  <c r="JX11" i="6"/>
  <c r="CZ11" i="6"/>
  <c r="HA11" i="6"/>
  <c r="CQ11" i="6"/>
  <c r="HE11" i="6"/>
  <c r="BX11" i="6"/>
  <c r="FL11" i="6"/>
  <c r="AB11" i="6"/>
  <c r="GV11" i="6"/>
  <c r="KM11" i="6"/>
  <c r="DI11" i="6"/>
  <c r="FB11" i="6"/>
  <c r="CG11" i="6"/>
  <c r="ER11" i="6"/>
  <c r="G11" i="6"/>
  <c r="GA17" i="6"/>
  <c r="GW17" i="6"/>
  <c r="GF17" i="6"/>
  <c r="GM17" i="6"/>
  <c r="CI17" i="6"/>
  <c r="II17" i="6"/>
  <c r="JF17" i="6"/>
  <c r="P4" i="5"/>
  <c r="BK17" i="6"/>
  <c r="CE17" i="6"/>
  <c r="JU17" i="6"/>
  <c r="O17" i="6"/>
  <c r="DX17" i="6"/>
  <c r="AK17" i="6"/>
  <c r="LB17" i="6"/>
  <c r="CH17" i="6"/>
  <c r="FA17" i="6"/>
  <c r="CN17" i="6"/>
  <c r="KG17" i="6"/>
  <c r="AQ17" i="6"/>
  <c r="IX17" i="6"/>
  <c r="ID17" i="6"/>
  <c r="GR17" i="6"/>
  <c r="P17" i="6"/>
  <c r="FQ17" i="6"/>
  <c r="AC17" i="6"/>
  <c r="BB17" i="6"/>
  <c r="BL17" i="6"/>
  <c r="CW17" i="6"/>
  <c r="EH17" i="6"/>
  <c r="JD17" i="6"/>
  <c r="GV17" i="6"/>
  <c r="KU17" i="6"/>
  <c r="CC17" i="6"/>
  <c r="ET17" i="6"/>
  <c r="FH17" i="6"/>
  <c r="AT17" i="6"/>
  <c r="FS17" i="6"/>
  <c r="HP17" i="6"/>
  <c r="AS17" i="6"/>
  <c r="IA17" i="6"/>
  <c r="AX17" i="6"/>
  <c r="DN17" i="6"/>
  <c r="JQ17" i="6"/>
  <c r="KA17" i="6"/>
  <c r="FI17" i="6"/>
  <c r="EE17" i="6"/>
  <c r="AR17" i="6"/>
  <c r="EP17" i="6"/>
  <c r="BE17" i="6"/>
  <c r="FJ17" i="6"/>
  <c r="GC17" i="6"/>
  <c r="EO17" i="6"/>
  <c r="CB17" i="6"/>
  <c r="Q17" i="6"/>
  <c r="BS17" i="6"/>
  <c r="CM17" i="6"/>
  <c r="BZ17" i="6"/>
  <c r="KR17" i="6"/>
  <c r="KZ17" i="6"/>
  <c r="FR17" i="6"/>
  <c r="KH17" i="6"/>
  <c r="BT17" i="6"/>
  <c r="BU17" i="6"/>
  <c r="S17" i="6"/>
  <c r="IV17" i="6"/>
  <c r="GH17" i="6"/>
  <c r="CD17" i="6"/>
  <c r="EY17" i="6"/>
  <c r="KD17" i="6"/>
  <c r="BH17" i="6"/>
  <c r="AI17" i="6"/>
  <c r="Q4" i="5"/>
  <c r="KF17" i="6"/>
  <c r="DM17" i="6"/>
  <c r="JH17" i="6"/>
  <c r="JL17" i="6"/>
  <c r="JY17" i="6"/>
  <c r="JN17" i="6"/>
  <c r="GG17" i="6"/>
  <c r="KB17" i="6"/>
  <c r="BI17" i="6"/>
  <c r="BY17" i="6"/>
  <c r="CA17" i="6"/>
  <c r="H17" i="6"/>
  <c r="AD17" i="6"/>
  <c r="DJ17" i="6"/>
  <c r="BD17" i="6"/>
  <c r="R17" i="6"/>
  <c r="AZ17" i="6"/>
  <c r="IZ17" i="6"/>
  <c r="EW17" i="6"/>
  <c r="KS17" i="6"/>
  <c r="FE17" i="6"/>
  <c r="JE17" i="6"/>
  <c r="KQ17" i="6"/>
  <c r="K17" i="6"/>
  <c r="F17" i="6"/>
  <c r="KN17" i="6"/>
  <c r="HE17" i="6"/>
  <c r="DW17" i="6"/>
  <c r="AN17" i="6"/>
  <c r="FZ17" i="6"/>
  <c r="KM17" i="6"/>
  <c r="AJ17" i="6"/>
  <c r="X17" i="6"/>
  <c r="FG17" i="6"/>
  <c r="IM17" i="6"/>
  <c r="IT17" i="6"/>
  <c r="IC17" i="6"/>
  <c r="EZ17" i="6"/>
  <c r="HZ17" i="6"/>
  <c r="CV17" i="6"/>
  <c r="AA17" i="6"/>
  <c r="CR17" i="6"/>
  <c r="BM17" i="6"/>
  <c r="CG17" i="6"/>
  <c r="BQ17" i="6"/>
  <c r="AP17" i="6"/>
  <c r="BP17" i="6"/>
  <c r="HL17" i="6"/>
  <c r="BO17" i="6"/>
  <c r="GJ17" i="6"/>
  <c r="IG17" i="6"/>
  <c r="HD17" i="6"/>
  <c r="M17" i="6"/>
  <c r="DU17" i="6"/>
  <c r="T17" i="6"/>
  <c r="BF17" i="6"/>
  <c r="EB17" i="6"/>
  <c r="AL17" i="6"/>
  <c r="EA17" i="6"/>
  <c r="EK17" i="6"/>
  <c r="KY17" i="6"/>
  <c r="G17" i="6"/>
  <c r="FL17" i="6"/>
  <c r="FU17" i="6"/>
  <c r="HG17" i="6"/>
  <c r="CY17" i="6"/>
  <c r="GZ17" i="6"/>
  <c r="EM17" i="6"/>
  <c r="DG17" i="6"/>
  <c r="CT17" i="6"/>
  <c r="KP17" i="6"/>
  <c r="DS17" i="6"/>
  <c r="FB17" i="6"/>
  <c r="EX17" i="6"/>
  <c r="EI17" i="6"/>
  <c r="HO17" i="6"/>
  <c r="JK17" i="6"/>
  <c r="IO17" i="6"/>
  <c r="DB17" i="6"/>
  <c r="JP17" i="6"/>
  <c r="JX17" i="6"/>
  <c r="IP17" i="6"/>
  <c r="KI17" i="6"/>
  <c r="HA17" i="6"/>
  <c r="ED17" i="6"/>
  <c r="AG17" i="6"/>
  <c r="CU17" i="6"/>
  <c r="DA17" i="6"/>
  <c r="CJ17" i="6"/>
  <c r="AO17" i="6"/>
  <c r="GU17" i="6"/>
  <c r="T4" i="5"/>
  <c r="BC17" i="6"/>
  <c r="JO17" i="6"/>
  <c r="CP17" i="6"/>
  <c r="ES17" i="6"/>
  <c r="AU17" i="6"/>
  <c r="IS17" i="6"/>
  <c r="CK17" i="6"/>
  <c r="DE17" i="6"/>
  <c r="DR17" i="6"/>
  <c r="DH17" i="6"/>
  <c r="JB17" i="6"/>
  <c r="CZ17" i="6"/>
  <c r="S4" i="5"/>
  <c r="DT17" i="6"/>
  <c r="IB17" i="6"/>
  <c r="EN17" i="6"/>
  <c r="FF17" i="6"/>
  <c r="BN17" i="6"/>
  <c r="HC17" i="6"/>
  <c r="BJ17" i="6"/>
  <c r="U4" i="5"/>
  <c r="FP17" i="6"/>
  <c r="IK17" i="6"/>
  <c r="IW17" i="6"/>
  <c r="HF17" i="6"/>
  <c r="DL17" i="6"/>
  <c r="DZ17" i="6"/>
  <c r="EU17" i="6"/>
  <c r="FY17" i="6"/>
  <c r="JS17" i="6"/>
  <c r="BR17" i="6"/>
  <c r="R4" i="5"/>
  <c r="KT17" i="6"/>
  <c r="BX17" i="6"/>
  <c r="KK17" i="6"/>
  <c r="GK17" i="6"/>
  <c r="JG17" i="6"/>
  <c r="GB17" i="6"/>
  <c r="FN17" i="6"/>
  <c r="EJ17" i="6"/>
  <c r="IQ17" i="6"/>
  <c r="DY17" i="6"/>
  <c r="HN17" i="6"/>
  <c r="Z17" i="6"/>
  <c r="KJ17" i="6"/>
  <c r="CS17" i="6"/>
  <c r="JZ17" i="6"/>
  <c r="Y17" i="6"/>
  <c r="JJ17" i="6"/>
  <c r="GL17" i="6"/>
  <c r="I17" i="6"/>
  <c r="KL17" i="6"/>
  <c r="GN17" i="6"/>
  <c r="JT17" i="6"/>
  <c r="W17" i="6"/>
  <c r="HR17" i="6"/>
  <c r="IE17" i="6"/>
  <c r="JM17" i="6"/>
  <c r="JV17" i="6"/>
  <c r="AM17" i="6"/>
  <c r="AB17" i="6"/>
  <c r="BV17" i="6"/>
  <c r="AY17" i="6"/>
  <c r="GD17" i="6"/>
  <c r="DD17" i="6"/>
  <c r="FV17" i="6"/>
  <c r="DC17" i="6"/>
  <c r="DP17" i="6"/>
  <c r="KC17" i="6"/>
  <c r="JR17" i="6"/>
  <c r="FT17" i="6"/>
  <c r="IF17" i="6"/>
  <c r="AE17" i="6"/>
  <c r="HM17" i="6"/>
  <c r="HB17" i="6"/>
  <c r="AH17" i="6"/>
  <c r="IJ17" i="6"/>
  <c r="CF17" i="6"/>
  <c r="AF17" i="6"/>
  <c r="IU17" i="6"/>
  <c r="DQ17" i="6"/>
  <c r="IY17" i="6"/>
  <c r="HY17" i="6"/>
  <c r="KO17" i="6"/>
  <c r="EC17" i="6"/>
  <c r="CL17" i="6"/>
  <c r="HV17" i="6"/>
  <c r="IH17" i="6"/>
  <c r="HT17" i="6"/>
  <c r="BW17" i="6"/>
  <c r="FD17" i="6"/>
  <c r="EV17" i="6"/>
  <c r="HS17" i="6"/>
  <c r="EF17" i="6"/>
  <c r="CO17" i="6"/>
  <c r="U17" i="6"/>
  <c r="DK17" i="6"/>
  <c r="EG17" i="6"/>
  <c r="GS17" i="6"/>
  <c r="JW17" i="6"/>
  <c r="V17" i="6"/>
  <c r="FW17" i="6"/>
  <c r="DI17" i="6"/>
  <c r="KW17" i="6"/>
  <c r="CX17" i="6"/>
  <c r="GO17" i="6"/>
  <c r="HU17" i="6"/>
  <c r="HJ17" i="6"/>
  <c r="N17" i="6"/>
  <c r="AW17" i="6"/>
  <c r="FO17" i="6"/>
  <c r="HI17" i="6"/>
  <c r="JA17" i="6"/>
  <c r="KV17" i="6"/>
  <c r="LC17" i="6"/>
  <c r="GT17" i="6"/>
  <c r="EQ17" i="6"/>
  <c r="HW17" i="6"/>
  <c r="GE17" i="6"/>
  <c r="EL17" i="6"/>
  <c r="HX17" i="6"/>
  <c r="GQ17" i="6"/>
  <c r="DO17" i="6"/>
  <c r="GX17" i="6"/>
  <c r="IN17" i="6"/>
  <c r="HK17" i="6"/>
  <c r="DV17" i="6"/>
  <c r="FM17" i="6"/>
  <c r="JC17" i="6"/>
  <c r="LA17" i="6"/>
  <c r="KX17" i="6"/>
  <c r="KE17" i="6"/>
  <c r="HQ17" i="6"/>
  <c r="BG17" i="6"/>
  <c r="J17" i="6"/>
  <c r="GI17" i="6"/>
  <c r="CQ17" i="6"/>
  <c r="LD17" i="6"/>
  <c r="AV17" i="6"/>
  <c r="FX17" i="6"/>
  <c r="FK17" i="6"/>
  <c r="GY17" i="6"/>
  <c r="IL17" i="6"/>
  <c r="IR17" i="6"/>
  <c r="L17" i="6"/>
  <c r="ER17" i="6"/>
  <c r="FC17" i="6"/>
  <c r="HH17" i="6"/>
  <c r="JI17" i="6"/>
  <c r="BA17" i="6"/>
  <c r="DF17" i="6"/>
  <c r="GP17" i="6"/>
  <c r="F10" i="6"/>
  <c r="D9" i="6"/>
  <c r="K46" i="2"/>
  <c r="J46" i="2"/>
  <c r="G33" i="2"/>
  <c r="G28" i="2"/>
  <c r="E28" i="2"/>
  <c r="F12" i="6"/>
  <c r="G12" i="6"/>
  <c r="H12" i="6"/>
  <c r="I12" i="6"/>
  <c r="J12" i="6"/>
  <c r="D11" i="6"/>
  <c r="F18" i="6"/>
  <c r="D17" i="6"/>
  <c r="C17" i="6"/>
  <c r="G10" i="6"/>
  <c r="F14" i="6"/>
  <c r="F28" i="2"/>
  <c r="E40" i="2"/>
  <c r="K12" i="6"/>
  <c r="G40" i="2"/>
  <c r="H10" i="6"/>
  <c r="G14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12" i="6"/>
  <c r="D18" i="6"/>
  <c r="C18" i="6"/>
  <c r="I10" i="6"/>
  <c r="H14" i="6"/>
  <c r="E41" i="2"/>
  <c r="M12" i="6"/>
  <c r="G41" i="2"/>
  <c r="E39" i="2"/>
  <c r="J10" i="6"/>
  <c r="I14" i="6"/>
  <c r="N12" i="6"/>
  <c r="K10" i="6"/>
  <c r="J14" i="6"/>
  <c r="E44" i="2"/>
  <c r="F9" i="2"/>
  <c r="G39" i="2"/>
  <c r="O12" i="6"/>
  <c r="H16" i="5"/>
  <c r="F39" i="2"/>
  <c r="E43" i="2"/>
  <c r="G44" i="2"/>
  <c r="L10" i="6"/>
  <c r="K14" i="6"/>
  <c r="P12" i="6"/>
  <c r="G43" i="2"/>
  <c r="F43" i="2"/>
  <c r="E48" i="2"/>
  <c r="E47" i="2"/>
  <c r="M10" i="6"/>
  <c r="L14" i="6"/>
  <c r="Q12" i="6"/>
  <c r="N10" i="6"/>
  <c r="M14" i="6"/>
  <c r="G47" i="2"/>
  <c r="E51" i="2"/>
  <c r="G48" i="2"/>
  <c r="R12" i="6"/>
  <c r="G51" i="2"/>
  <c r="E52" i="2"/>
  <c r="G52" i="2"/>
  <c r="H17" i="5"/>
  <c r="E50" i="2"/>
  <c r="E53" i="2"/>
  <c r="G53" i="2"/>
  <c r="O10" i="6"/>
  <c r="N14" i="6"/>
  <c r="S12" i="6"/>
  <c r="G50" i="2"/>
  <c r="G46" i="2"/>
  <c r="F46" i="2"/>
  <c r="E46" i="2"/>
  <c r="HR3" i="6"/>
  <c r="GL3" i="6"/>
  <c r="GJ3" i="6"/>
  <c r="BS3" i="6"/>
  <c r="JZ3" i="6"/>
  <c r="IN3" i="6"/>
  <c r="IJ3" i="6"/>
  <c r="GN3" i="6"/>
  <c r="JE3" i="6"/>
  <c r="CQ3" i="6"/>
  <c r="DE3" i="6"/>
  <c r="U3" i="6"/>
  <c r="EO3" i="6"/>
  <c r="GK3" i="6"/>
  <c r="BW3" i="6"/>
  <c r="EE3" i="6"/>
  <c r="CX3" i="6"/>
  <c r="JQ3" i="6"/>
  <c r="CC3" i="6"/>
  <c r="EZ3" i="6"/>
  <c r="IU3" i="6"/>
  <c r="HF3" i="6"/>
  <c r="HQ3" i="6"/>
  <c r="HD3" i="6"/>
  <c r="FI3" i="6"/>
  <c r="Y3" i="6"/>
  <c r="JI3" i="6"/>
  <c r="CL3" i="6"/>
  <c r="M3" i="6"/>
  <c r="KZ3" i="6"/>
  <c r="R3" i="6"/>
  <c r="EI3" i="6"/>
  <c r="GU3" i="6"/>
  <c r="GY3" i="6"/>
  <c r="ET3" i="6"/>
  <c r="BQ3" i="6"/>
  <c r="JP3" i="6"/>
  <c r="FS3" i="6"/>
  <c r="FB3" i="6"/>
  <c r="GE3" i="6"/>
  <c r="BN3" i="6"/>
  <c r="HG3" i="6"/>
  <c r="LA3" i="6"/>
  <c r="GV3" i="6"/>
  <c r="EX3" i="6"/>
  <c r="FF3" i="6"/>
  <c r="BY3" i="6"/>
  <c r="ES3" i="6"/>
  <c r="KC3" i="6"/>
  <c r="JK3" i="6"/>
  <c r="JG3" i="6"/>
  <c r="HA3" i="6"/>
  <c r="FX3" i="6"/>
  <c r="IS3" i="6"/>
  <c r="JT3" i="6"/>
  <c r="CG3" i="6"/>
  <c r="KQ3" i="6"/>
  <c r="KG3" i="6"/>
  <c r="LC3" i="6"/>
  <c r="EG3" i="6"/>
  <c r="HV3" i="6"/>
  <c r="DG3" i="6"/>
  <c r="GD3" i="6"/>
  <c r="CH3" i="6"/>
  <c r="KS3" i="6"/>
  <c r="FY3" i="6"/>
  <c r="CA3" i="6"/>
  <c r="IE3" i="6"/>
  <c r="EN3" i="6"/>
  <c r="FP3" i="6"/>
  <c r="FG3" i="6"/>
  <c r="EV3" i="6"/>
  <c r="GM3" i="6"/>
  <c r="AD3" i="6"/>
  <c r="KE3" i="6"/>
  <c r="IZ3" i="6"/>
  <c r="GT3" i="6"/>
  <c r="DC3" i="6"/>
  <c r="CF3" i="6"/>
  <c r="HU3" i="6"/>
  <c r="T3" i="6"/>
  <c r="JJ3" i="6"/>
  <c r="BD3" i="6"/>
  <c r="KK3" i="6"/>
  <c r="FJ3" i="6"/>
  <c r="FT3" i="6"/>
  <c r="JF3" i="6"/>
  <c r="HW3" i="6"/>
  <c r="EL3" i="6"/>
  <c r="AJ3" i="6"/>
  <c r="CJ3" i="6"/>
  <c r="GB3" i="6"/>
  <c r="CN3" i="6"/>
  <c r="EP3" i="6"/>
  <c r="GP3" i="6"/>
  <c r="KD3" i="6"/>
  <c r="DX3" i="6"/>
  <c r="BJ3" i="6"/>
  <c r="EW3" i="6"/>
  <c r="DQ3" i="6"/>
  <c r="AE3" i="6"/>
  <c r="FK3" i="6"/>
  <c r="EJ3" i="6"/>
  <c r="JA3" i="6"/>
  <c r="JU3" i="6"/>
  <c r="H3" i="6"/>
  <c r="BZ3" i="6"/>
  <c r="GZ3" i="6"/>
  <c r="HM3" i="6"/>
  <c r="KU3" i="6"/>
  <c r="F3" i="6"/>
  <c r="IX3" i="6"/>
  <c r="DN3" i="6"/>
  <c r="HK3" i="6"/>
  <c r="BL3" i="6"/>
  <c r="N3" i="6"/>
  <c r="IA3" i="6"/>
  <c r="FE3" i="6"/>
  <c r="DY3" i="6"/>
  <c r="BK3" i="6"/>
  <c r="FR3" i="6"/>
  <c r="HL3" i="6"/>
  <c r="IL3" i="6"/>
  <c r="BE3" i="6"/>
  <c r="IC3" i="6"/>
  <c r="KP3" i="6"/>
  <c r="HT3" i="6"/>
  <c r="HH3" i="6"/>
  <c r="I3" i="6"/>
  <c r="DB3" i="6"/>
  <c r="IT3" i="6"/>
  <c r="AT3" i="6"/>
  <c r="AA3" i="6"/>
  <c r="CI3" i="6"/>
  <c r="O3" i="6"/>
  <c r="AR3" i="6"/>
  <c r="HC3" i="6"/>
  <c r="W3" i="6"/>
  <c r="HE3" i="6"/>
  <c r="BT3" i="6"/>
  <c r="GG3" i="6"/>
  <c r="DD3" i="6"/>
  <c r="JM3" i="6"/>
  <c r="II3" i="6"/>
  <c r="DI3" i="6"/>
  <c r="BP3" i="6"/>
  <c r="BO3" i="6"/>
  <c r="K3" i="6"/>
  <c r="JL3" i="6"/>
  <c r="GI3" i="6"/>
  <c r="KR3" i="6"/>
  <c r="EB3" i="6"/>
  <c r="FQ3" i="6"/>
  <c r="JX3" i="6"/>
  <c r="CV3" i="6"/>
  <c r="DO3" i="6"/>
  <c r="IH3" i="6"/>
  <c r="EF3" i="6"/>
  <c r="DJ3" i="6"/>
  <c r="DF3" i="6"/>
  <c r="DA3" i="6"/>
  <c r="JH3" i="6"/>
  <c r="FZ3" i="6"/>
  <c r="BV3" i="6"/>
  <c r="JW3" i="6"/>
  <c r="CZ3" i="6"/>
  <c r="Q3" i="6"/>
  <c r="EU3" i="6"/>
  <c r="GW3" i="6"/>
  <c r="IB3" i="6"/>
  <c r="KF3" i="6"/>
  <c r="KW3" i="6"/>
  <c r="IV3" i="6"/>
  <c r="IR3" i="6"/>
  <c r="DT3" i="6"/>
  <c r="HO3" i="6"/>
  <c r="CK3" i="6"/>
  <c r="CT3" i="6"/>
  <c r="CE3" i="6"/>
  <c r="GO3" i="6"/>
  <c r="HP3" i="6"/>
  <c r="CM3" i="6"/>
  <c r="BB3" i="6"/>
  <c r="HX3" i="6"/>
  <c r="IY3" i="6"/>
  <c r="AP3" i="6"/>
  <c r="JD3" i="6"/>
  <c r="ER3" i="6"/>
  <c r="Z3" i="6"/>
  <c r="KT3" i="6"/>
  <c r="CO3" i="6"/>
  <c r="KJ3" i="6"/>
  <c r="IO3" i="6"/>
  <c r="AS3" i="6"/>
  <c r="DM3" i="6"/>
  <c r="DL3" i="6"/>
  <c r="IM3" i="6"/>
  <c r="AZ3" i="6"/>
  <c r="FL3" i="6"/>
  <c r="FC3" i="6"/>
  <c r="AK3" i="6"/>
  <c r="IF3" i="6"/>
  <c r="HB3" i="6"/>
  <c r="KH3" i="6"/>
  <c r="IG3" i="6"/>
  <c r="AU3" i="6"/>
  <c r="KA3" i="6"/>
  <c r="BX3" i="6"/>
  <c r="L3" i="6"/>
  <c r="BC3" i="6"/>
  <c r="HN3" i="6"/>
  <c r="DK3" i="6"/>
  <c r="AV3" i="6"/>
  <c r="IQ3" i="6"/>
  <c r="FH3" i="6"/>
  <c r="AM3" i="6"/>
  <c r="GX3" i="6"/>
  <c r="CD3" i="6"/>
  <c r="FU3" i="6"/>
  <c r="DV3" i="6"/>
  <c r="HJ3" i="6"/>
  <c r="AG3" i="6"/>
  <c r="IK3" i="6"/>
  <c r="KY3" i="6"/>
  <c r="ID3" i="6"/>
  <c r="EM3" i="6"/>
  <c r="EQ3" i="6"/>
  <c r="G3" i="6"/>
  <c r="BH3" i="6"/>
  <c r="GQ3" i="6"/>
  <c r="AQ3" i="6"/>
  <c r="KL3" i="6"/>
  <c r="GF3" i="6"/>
  <c r="DU3" i="6"/>
  <c r="JB3" i="6"/>
  <c r="P3" i="6"/>
  <c r="AX3" i="6"/>
  <c r="JS3" i="6"/>
  <c r="BU3" i="6"/>
  <c r="BF3" i="6"/>
  <c r="HY3" i="6"/>
  <c r="AO3" i="6"/>
  <c r="EK3" i="6"/>
  <c r="HZ3" i="6"/>
  <c r="EY3" i="6"/>
  <c r="GA3" i="6"/>
  <c r="EH3" i="6"/>
  <c r="S3" i="6"/>
  <c r="KI3" i="6"/>
  <c r="CY3" i="6"/>
  <c r="FN3" i="6"/>
  <c r="AH3" i="6"/>
  <c r="AI3" i="6"/>
  <c r="HI3" i="6"/>
  <c r="KX3" i="6"/>
  <c r="BR3" i="6"/>
  <c r="BM3" i="6"/>
  <c r="CU3" i="6"/>
  <c r="DW3" i="6"/>
  <c r="KB3" i="6"/>
  <c r="BI3" i="6"/>
  <c r="JY3" i="6"/>
  <c r="AC3" i="6"/>
  <c r="BA3" i="6"/>
  <c r="FM3" i="6"/>
  <c r="KV3" i="6"/>
  <c r="IP3" i="6"/>
  <c r="CW3" i="6"/>
  <c r="KM3" i="6"/>
  <c r="CP3" i="6"/>
  <c r="FD3" i="6"/>
  <c r="DP3" i="6"/>
  <c r="CR3" i="6"/>
  <c r="FA3" i="6"/>
  <c r="AW3" i="6"/>
  <c r="AB3" i="6"/>
  <c r="KN3" i="6"/>
  <c r="J3" i="6"/>
  <c r="JV3" i="6"/>
  <c r="EC3" i="6"/>
  <c r="CS3" i="6"/>
  <c r="JC3" i="6"/>
  <c r="LD3" i="6"/>
  <c r="GS3" i="6"/>
  <c r="AY3" i="6"/>
  <c r="DZ3" i="6"/>
  <c r="FO3" i="6"/>
  <c r="KO3" i="6"/>
  <c r="FV3" i="6"/>
  <c r="LB3" i="6"/>
  <c r="AL3" i="6"/>
  <c r="X3" i="6"/>
  <c r="HS3" i="6"/>
  <c r="GH3" i="6"/>
  <c r="BG3" i="6"/>
  <c r="AF3" i="6"/>
  <c r="IW3" i="6"/>
  <c r="DS3" i="6"/>
  <c r="JO3" i="6"/>
  <c r="ED3" i="6"/>
  <c r="GC3" i="6"/>
  <c r="EA3" i="6"/>
  <c r="GR3" i="6"/>
  <c r="AN3" i="6"/>
  <c r="FW3" i="6"/>
  <c r="JR3" i="6"/>
  <c r="DR3" i="6"/>
  <c r="JN3" i="6"/>
  <c r="V3" i="6"/>
  <c r="CB3" i="6"/>
  <c r="DH3" i="6"/>
  <c r="P10" i="6"/>
  <c r="O14" i="6"/>
  <c r="T12" i="6"/>
  <c r="Q10" i="6"/>
  <c r="P14" i="6"/>
  <c r="F4" i="6"/>
  <c r="D3" i="6"/>
  <c r="U12" i="6"/>
  <c r="G4" i="6"/>
  <c r="F7" i="6"/>
  <c r="R10" i="6"/>
  <c r="Q14" i="6"/>
  <c r="V12" i="6"/>
  <c r="S10" i="6"/>
  <c r="R14" i="6"/>
  <c r="G7" i="6"/>
  <c r="H4" i="6"/>
  <c r="W12" i="6"/>
  <c r="I4" i="6"/>
  <c r="H7" i="6"/>
  <c r="T10" i="6"/>
  <c r="S14" i="6"/>
  <c r="X12" i="6"/>
  <c r="U10" i="6"/>
  <c r="T14" i="6"/>
  <c r="I7" i="6"/>
  <c r="J4" i="6"/>
  <c r="Y12" i="6"/>
  <c r="J7" i="6"/>
  <c r="K4" i="6"/>
  <c r="V10" i="6"/>
  <c r="U14" i="6"/>
  <c r="Z12" i="6"/>
  <c r="W10" i="6"/>
  <c r="V14" i="6"/>
  <c r="L4" i="6"/>
  <c r="K7" i="6"/>
  <c r="AA12" i="6"/>
  <c r="L7" i="6"/>
  <c r="M4" i="6"/>
  <c r="X10" i="6"/>
  <c r="W14" i="6"/>
  <c r="AB12" i="6"/>
  <c r="Y10" i="6"/>
  <c r="X14" i="6"/>
  <c r="N4" i="6"/>
  <c r="M7" i="6"/>
  <c r="AC12" i="6"/>
  <c r="N7" i="6"/>
  <c r="O4" i="6"/>
  <c r="Z10" i="6"/>
  <c r="Y14" i="6"/>
  <c r="AD12" i="6"/>
  <c r="AA10" i="6"/>
  <c r="Z14" i="6"/>
  <c r="O7" i="6"/>
  <c r="P4" i="6"/>
  <c r="AE12" i="6"/>
  <c r="P7" i="6"/>
  <c r="Q4" i="6"/>
  <c r="AB10" i="6"/>
  <c r="AA14" i="6"/>
  <c r="AF12" i="6"/>
  <c r="AC10" i="6"/>
  <c r="AB14" i="6"/>
  <c r="Q7" i="6"/>
  <c r="R4" i="6"/>
  <c r="AG12" i="6"/>
  <c r="S4" i="6"/>
  <c r="R7" i="6"/>
  <c r="AD10" i="6"/>
  <c r="AC14" i="6"/>
  <c r="AH12" i="6"/>
  <c r="AE10" i="6"/>
  <c r="AD14" i="6"/>
  <c r="T4" i="6"/>
  <c r="S7" i="6"/>
  <c r="AI12" i="6"/>
  <c r="T7" i="6"/>
  <c r="U4" i="6"/>
  <c r="AF10" i="6"/>
  <c r="AE14" i="6"/>
  <c r="AJ12" i="6"/>
  <c r="AG10" i="6"/>
  <c r="AF14" i="6"/>
  <c r="V4" i="6"/>
  <c r="U7" i="6"/>
  <c r="AK12" i="6"/>
  <c r="V7" i="6"/>
  <c r="W4" i="6"/>
  <c r="AH10" i="6"/>
  <c r="AG14" i="6"/>
  <c r="AL12" i="6"/>
  <c r="AI10" i="6"/>
  <c r="AH14" i="6"/>
  <c r="X4" i="6"/>
  <c r="W7" i="6"/>
  <c r="AM12" i="6"/>
  <c r="Y4" i="6"/>
  <c r="X7" i="6"/>
  <c r="AJ10" i="6"/>
  <c r="AI14" i="6"/>
  <c r="AN12" i="6"/>
  <c r="AK10" i="6"/>
  <c r="AJ14" i="6"/>
  <c r="Y7" i="6"/>
  <c r="Z4" i="6"/>
  <c r="AO12" i="6"/>
  <c r="AA4" i="6"/>
  <c r="Z7" i="6"/>
  <c r="AL10" i="6"/>
  <c r="AK14" i="6"/>
  <c r="AP12" i="6"/>
  <c r="AM10" i="6"/>
  <c r="AL14" i="6"/>
  <c r="AB4" i="6"/>
  <c r="AA7" i="6"/>
  <c r="AQ12" i="6"/>
  <c r="AB7" i="6"/>
  <c r="AC4" i="6"/>
  <c r="AN10" i="6"/>
  <c r="AM14" i="6"/>
  <c r="AR12" i="6"/>
  <c r="AO10" i="6"/>
  <c r="AN14" i="6"/>
  <c r="AD4" i="6"/>
  <c r="AC7" i="6"/>
  <c r="AS12" i="6"/>
  <c r="AD7" i="6"/>
  <c r="AE4" i="6"/>
  <c r="AP10" i="6"/>
  <c r="AO14" i="6"/>
  <c r="AT12" i="6"/>
  <c r="AQ10" i="6"/>
  <c r="AP14" i="6"/>
  <c r="AF4" i="6"/>
  <c r="AE7" i="6"/>
  <c r="AU12" i="6"/>
  <c r="AF7" i="6"/>
  <c r="AG4" i="6"/>
  <c r="AR10" i="6"/>
  <c r="AQ14" i="6"/>
  <c r="AV12" i="6"/>
  <c r="AG7" i="6"/>
  <c r="AH4" i="6"/>
  <c r="AS10" i="6"/>
  <c r="AR14" i="6"/>
  <c r="AW12" i="6"/>
  <c r="AT10" i="6"/>
  <c r="AS14" i="6"/>
  <c r="AH7" i="6"/>
  <c r="AI4" i="6"/>
  <c r="AX12" i="6"/>
  <c r="AJ4" i="6"/>
  <c r="AI7" i="6"/>
  <c r="AU10" i="6"/>
  <c r="AT14" i="6"/>
  <c r="AY12" i="6"/>
  <c r="AV10" i="6"/>
  <c r="AU14" i="6"/>
  <c r="AK4" i="6"/>
  <c r="AJ7" i="6"/>
  <c r="AZ12" i="6"/>
  <c r="AL4" i="6"/>
  <c r="AK7" i="6"/>
  <c r="AW10" i="6"/>
  <c r="AV14" i="6"/>
  <c r="BA12" i="6"/>
  <c r="AX10" i="6"/>
  <c r="AW14" i="6"/>
  <c r="AM4" i="6"/>
  <c r="AL7" i="6"/>
  <c r="BB12" i="6"/>
  <c r="AM7" i="6"/>
  <c r="AN4" i="6"/>
  <c r="AY10" i="6"/>
  <c r="AX14" i="6"/>
  <c r="BC12" i="6"/>
  <c r="AZ10" i="6"/>
  <c r="AY14" i="6"/>
  <c r="AN7" i="6"/>
  <c r="AO4" i="6"/>
  <c r="BD12" i="6"/>
  <c r="AP4" i="6"/>
  <c r="AO7" i="6"/>
  <c r="BA10" i="6"/>
  <c r="AZ14" i="6"/>
  <c r="BE12" i="6"/>
  <c r="BB10" i="6"/>
  <c r="BA14" i="6"/>
  <c r="AQ4" i="6"/>
  <c r="AP7" i="6"/>
  <c r="BF12" i="6"/>
  <c r="AQ7" i="6"/>
  <c r="AR4" i="6"/>
  <c r="BC10" i="6"/>
  <c r="BB14" i="6"/>
  <c r="BG12" i="6"/>
  <c r="BD10" i="6"/>
  <c r="BC14" i="6"/>
  <c r="AR7" i="6"/>
  <c r="AS4" i="6"/>
  <c r="BH12" i="6"/>
  <c r="AS7" i="6"/>
  <c r="AT4" i="6"/>
  <c r="BE10" i="6"/>
  <c r="BD14" i="6"/>
  <c r="BI12" i="6"/>
  <c r="BF10" i="6"/>
  <c r="BE14" i="6"/>
  <c r="AU4" i="6"/>
  <c r="AT7" i="6"/>
  <c r="BJ12" i="6"/>
  <c r="AU7" i="6"/>
  <c r="AV4" i="6"/>
  <c r="BG10" i="6"/>
  <c r="BF14" i="6"/>
  <c r="BK12" i="6"/>
  <c r="BH10" i="6"/>
  <c r="BG14" i="6"/>
  <c r="AW4" i="6"/>
  <c r="AV7" i="6"/>
  <c r="BL12" i="6"/>
  <c r="AW7" i="6"/>
  <c r="AX4" i="6"/>
  <c r="BI10" i="6"/>
  <c r="BH14" i="6"/>
  <c r="BM12" i="6"/>
  <c r="BJ10" i="6"/>
  <c r="BI14" i="6"/>
  <c r="AX7" i="6"/>
  <c r="AY4" i="6"/>
  <c r="BN12" i="6"/>
  <c r="AY7" i="6"/>
  <c r="AZ4" i="6"/>
  <c r="BK10" i="6"/>
  <c r="BJ14" i="6"/>
  <c r="BO12" i="6"/>
  <c r="BL10" i="6"/>
  <c r="BK14" i="6"/>
  <c r="BA4" i="6"/>
  <c r="AZ7" i="6"/>
  <c r="BP12" i="6"/>
  <c r="BB4" i="6"/>
  <c r="BA7" i="6"/>
  <c r="BM10" i="6"/>
  <c r="BL14" i="6"/>
  <c r="BQ12" i="6"/>
  <c r="BN10" i="6"/>
  <c r="BM14" i="6"/>
  <c r="BC4" i="6"/>
  <c r="BB7" i="6"/>
  <c r="BR12" i="6"/>
  <c r="BC7" i="6"/>
  <c r="BD4" i="6"/>
  <c r="BO10" i="6"/>
  <c r="BN14" i="6"/>
  <c r="BS12" i="6"/>
  <c r="BP10" i="6"/>
  <c r="BO14" i="6"/>
  <c r="BE4" i="6"/>
  <c r="BD7" i="6"/>
  <c r="BT12" i="6"/>
  <c r="BE7" i="6"/>
  <c r="BF4" i="6"/>
  <c r="BQ10" i="6"/>
  <c r="BP14" i="6"/>
  <c r="BU12" i="6"/>
  <c r="BR10" i="6"/>
  <c r="BQ14" i="6"/>
  <c r="BF7" i="6"/>
  <c r="BG4" i="6"/>
  <c r="BV12" i="6"/>
  <c r="BG7" i="6"/>
  <c r="BH4" i="6"/>
  <c r="BS10" i="6"/>
  <c r="BR14" i="6"/>
  <c r="BW12" i="6"/>
  <c r="BT10" i="6"/>
  <c r="BS14" i="6"/>
  <c r="BH7" i="6"/>
  <c r="BI4" i="6"/>
  <c r="BX12" i="6"/>
  <c r="BI7" i="6"/>
  <c r="BJ4" i="6"/>
  <c r="BU10" i="6"/>
  <c r="BT14" i="6"/>
  <c r="BY12" i="6"/>
  <c r="BV10" i="6"/>
  <c r="BU14" i="6"/>
  <c r="BK4" i="6"/>
  <c r="BJ7" i="6"/>
  <c r="BZ12" i="6"/>
  <c r="BK7" i="6"/>
  <c r="BL4" i="6"/>
  <c r="BW10" i="6"/>
  <c r="BV14" i="6"/>
  <c r="CA12" i="6"/>
  <c r="BX10" i="6"/>
  <c r="BW14" i="6"/>
  <c r="BL7" i="6"/>
  <c r="BM4" i="6"/>
  <c r="CB12" i="6"/>
  <c r="BN4" i="6"/>
  <c r="BM7" i="6"/>
  <c r="BY10" i="6"/>
  <c r="BX14" i="6"/>
  <c r="CC12" i="6"/>
  <c r="BZ10" i="6"/>
  <c r="BY14" i="6"/>
  <c r="BN7" i="6"/>
  <c r="BO4" i="6"/>
  <c r="CD12" i="6"/>
  <c r="BO7" i="6"/>
  <c r="BP4" i="6"/>
  <c r="CA10" i="6"/>
  <c r="BZ14" i="6"/>
  <c r="CE12" i="6"/>
  <c r="CB10" i="6"/>
  <c r="CA14" i="6"/>
  <c r="BP7" i="6"/>
  <c r="BQ4" i="6"/>
  <c r="CF12" i="6"/>
  <c r="BQ7" i="6"/>
  <c r="BR4" i="6"/>
  <c r="CC10" i="6"/>
  <c r="CB14" i="6"/>
  <c r="CG12" i="6"/>
  <c r="CD10" i="6"/>
  <c r="CC14" i="6"/>
  <c r="BR7" i="6"/>
  <c r="BS4" i="6"/>
  <c r="CH12" i="6"/>
  <c r="BT4" i="6"/>
  <c r="BS7" i="6"/>
  <c r="CE10" i="6"/>
  <c r="CD14" i="6"/>
  <c r="CI12" i="6"/>
  <c r="CF10" i="6"/>
  <c r="CE14" i="6"/>
  <c r="BU4" i="6"/>
  <c r="BT7" i="6"/>
  <c r="CJ12" i="6"/>
  <c r="BU7" i="6"/>
  <c r="BV4" i="6"/>
  <c r="CG10" i="6"/>
  <c r="CF14" i="6"/>
  <c r="CK12" i="6"/>
  <c r="CH10" i="6"/>
  <c r="CG14" i="6"/>
  <c r="BV7" i="6"/>
  <c r="BW4" i="6"/>
  <c r="CL12" i="6"/>
  <c r="BW7" i="6"/>
  <c r="BX4" i="6"/>
  <c r="CI10" i="6"/>
  <c r="CH14" i="6"/>
  <c r="CM12" i="6"/>
  <c r="CJ10" i="6"/>
  <c r="CI14" i="6"/>
  <c r="BX7" i="6"/>
  <c r="BY4" i="6"/>
  <c r="CN12" i="6"/>
  <c r="BY7" i="6"/>
  <c r="BZ4" i="6"/>
  <c r="CK10" i="6"/>
  <c r="CJ14" i="6"/>
  <c r="CO12" i="6"/>
  <c r="CL10" i="6"/>
  <c r="CK14" i="6"/>
  <c r="BZ7" i="6"/>
  <c r="CA4" i="6"/>
  <c r="CP12" i="6"/>
  <c r="CB4" i="6"/>
  <c r="CA7" i="6"/>
  <c r="CM10" i="6"/>
  <c r="CL14" i="6"/>
  <c r="CQ12" i="6"/>
  <c r="CN10" i="6"/>
  <c r="CM14" i="6"/>
  <c r="CC4" i="6"/>
  <c r="CB7" i="6"/>
  <c r="CR12" i="6"/>
  <c r="CC7" i="6"/>
  <c r="CD4" i="6"/>
  <c r="CO10" i="6"/>
  <c r="CN14" i="6"/>
  <c r="CS12" i="6"/>
  <c r="CP10" i="6"/>
  <c r="CO14" i="6"/>
  <c r="CD7" i="6"/>
  <c r="CE4" i="6"/>
  <c r="CT12" i="6"/>
  <c r="CF4" i="6"/>
  <c r="CE7" i="6"/>
  <c r="CQ10" i="6"/>
  <c r="CP14" i="6"/>
  <c r="CU12" i="6"/>
  <c r="CR10" i="6"/>
  <c r="CQ14" i="6"/>
  <c r="CF7" i="6"/>
  <c r="CG4" i="6"/>
  <c r="CV12" i="6"/>
  <c r="CH4" i="6"/>
  <c r="CG7" i="6"/>
  <c r="CS10" i="6"/>
  <c r="CR14" i="6"/>
  <c r="CW12" i="6"/>
  <c r="CT10" i="6"/>
  <c r="CS14" i="6"/>
  <c r="CH7" i="6"/>
  <c r="CI4" i="6"/>
  <c r="CX12" i="6"/>
  <c r="CI7" i="6"/>
  <c r="CJ4" i="6"/>
  <c r="CU10" i="6"/>
  <c r="CT14" i="6"/>
  <c r="CY12" i="6"/>
  <c r="CV10" i="6"/>
  <c r="CU14" i="6"/>
  <c r="CJ7" i="6"/>
  <c r="CK4" i="6"/>
  <c r="CZ12" i="6"/>
  <c r="CL4" i="6"/>
  <c r="CK7" i="6"/>
  <c r="CW10" i="6"/>
  <c r="CV14" i="6"/>
  <c r="DA12" i="6"/>
  <c r="CX10" i="6"/>
  <c r="CW14" i="6"/>
  <c r="CL7" i="6"/>
  <c r="CM4" i="6"/>
  <c r="DB12" i="6"/>
  <c r="CM7" i="6"/>
  <c r="CN4" i="6"/>
  <c r="CY10" i="6"/>
  <c r="CX14" i="6"/>
  <c r="DC12" i="6"/>
  <c r="CZ10" i="6"/>
  <c r="CY14" i="6"/>
  <c r="CN7" i="6"/>
  <c r="CO4" i="6"/>
  <c r="DD12" i="6"/>
  <c r="CP4" i="6"/>
  <c r="CO7" i="6"/>
  <c r="DA10" i="6"/>
  <c r="CZ14" i="6"/>
  <c r="DE12" i="6"/>
  <c r="DB10" i="6"/>
  <c r="DA14" i="6"/>
  <c r="CQ4" i="6"/>
  <c r="CP7" i="6"/>
  <c r="DF12" i="6"/>
  <c r="CR4" i="6"/>
  <c r="CQ7" i="6"/>
  <c r="DC10" i="6"/>
  <c r="DB14" i="6"/>
  <c r="DG12" i="6"/>
  <c r="DD10" i="6"/>
  <c r="DC14" i="6"/>
  <c r="CS4" i="6"/>
  <c r="CR7" i="6"/>
  <c r="DH12" i="6"/>
  <c r="CS7" i="6"/>
  <c r="CT4" i="6"/>
  <c r="DE10" i="6"/>
  <c r="DD14" i="6"/>
  <c r="DI12" i="6"/>
  <c r="DF10" i="6"/>
  <c r="DE14" i="6"/>
  <c r="CU4" i="6"/>
  <c r="CT7" i="6"/>
  <c r="DJ12" i="6"/>
  <c r="CU7" i="6"/>
  <c r="CV4" i="6"/>
  <c r="DG10" i="6"/>
  <c r="DF14" i="6"/>
  <c r="DK12" i="6"/>
  <c r="DH10" i="6"/>
  <c r="DG14" i="6"/>
  <c r="CV7" i="6"/>
  <c r="CW4" i="6"/>
  <c r="DL12" i="6"/>
  <c r="CX4" i="6"/>
  <c r="CW7" i="6"/>
  <c r="DI10" i="6"/>
  <c r="DH14" i="6"/>
  <c r="DM12" i="6"/>
  <c r="DJ10" i="6"/>
  <c r="DI14" i="6"/>
  <c r="CX7" i="6"/>
  <c r="CY4" i="6"/>
  <c r="DN12" i="6"/>
  <c r="CY7" i="6"/>
  <c r="CZ4" i="6"/>
  <c r="DK10" i="6"/>
  <c r="DJ14" i="6"/>
  <c r="DO12" i="6"/>
  <c r="DL10" i="6"/>
  <c r="DK14" i="6"/>
  <c r="DA4" i="6"/>
  <c r="CZ7" i="6"/>
  <c r="DP12" i="6"/>
  <c r="DA7" i="6"/>
  <c r="DB4" i="6"/>
  <c r="DM10" i="6"/>
  <c r="DL14" i="6"/>
  <c r="DQ12" i="6"/>
  <c r="DN10" i="6"/>
  <c r="DM14" i="6"/>
  <c r="DB7" i="6"/>
  <c r="DC4" i="6"/>
  <c r="DR12" i="6"/>
  <c r="DC7" i="6"/>
  <c r="DD4" i="6"/>
  <c r="DO10" i="6"/>
  <c r="DN14" i="6"/>
  <c r="DS12" i="6"/>
  <c r="DP10" i="6"/>
  <c r="DO14" i="6"/>
  <c r="DD7" i="6"/>
  <c r="DE4" i="6"/>
  <c r="DT12" i="6"/>
  <c r="DF4" i="6"/>
  <c r="DE7" i="6"/>
  <c r="DQ10" i="6"/>
  <c r="DP14" i="6"/>
  <c r="DU12" i="6"/>
  <c r="DR10" i="6"/>
  <c r="DQ14" i="6"/>
  <c r="DG4" i="6"/>
  <c r="DF7" i="6"/>
  <c r="DV12" i="6"/>
  <c r="DG7" i="6"/>
  <c r="DH4" i="6"/>
  <c r="DS10" i="6"/>
  <c r="DR14" i="6"/>
  <c r="DW12" i="6"/>
  <c r="DT10" i="6"/>
  <c r="DS14" i="6"/>
  <c r="DH7" i="6"/>
  <c r="DI4" i="6"/>
  <c r="DX12" i="6"/>
  <c r="DI7" i="6"/>
  <c r="DJ4" i="6"/>
  <c r="DU10" i="6"/>
  <c r="DT14" i="6"/>
  <c r="DY12" i="6"/>
  <c r="DV10" i="6"/>
  <c r="DU14" i="6"/>
  <c r="DJ7" i="6"/>
  <c r="DK4" i="6"/>
  <c r="DZ12" i="6"/>
  <c r="DL4" i="6"/>
  <c r="DK7" i="6"/>
  <c r="DW10" i="6"/>
  <c r="DV14" i="6"/>
  <c r="EA12" i="6"/>
  <c r="DX10" i="6"/>
  <c r="DW14" i="6"/>
  <c r="DL7" i="6"/>
  <c r="DM4" i="6"/>
  <c r="EB12" i="6"/>
  <c r="DN4" i="6"/>
  <c r="DM7" i="6"/>
  <c r="DY10" i="6"/>
  <c r="DX14" i="6"/>
  <c r="EC12" i="6"/>
  <c r="DZ10" i="6"/>
  <c r="DY14" i="6"/>
  <c r="DO4" i="6"/>
  <c r="DN7" i="6"/>
  <c r="ED12" i="6"/>
  <c r="DO7" i="6"/>
  <c r="DP4" i="6"/>
  <c r="EA10" i="6"/>
  <c r="DZ14" i="6"/>
  <c r="EE12" i="6"/>
  <c r="EB10" i="6"/>
  <c r="EA14" i="6"/>
  <c r="DP7" i="6"/>
  <c r="DQ4" i="6"/>
  <c r="EF12" i="6"/>
  <c r="DQ7" i="6"/>
  <c r="DR4" i="6"/>
  <c r="EC10" i="6"/>
  <c r="EB14" i="6"/>
  <c r="EG12" i="6"/>
  <c r="ED10" i="6"/>
  <c r="EC14" i="6"/>
  <c r="DR7" i="6"/>
  <c r="DS4" i="6"/>
  <c r="EH12" i="6"/>
  <c r="DT4" i="6"/>
  <c r="DS7" i="6"/>
  <c r="EE10" i="6"/>
  <c r="ED14" i="6"/>
  <c r="EI12" i="6"/>
  <c r="EF10" i="6"/>
  <c r="EE14" i="6"/>
  <c r="DU4" i="6"/>
  <c r="DT7" i="6"/>
  <c r="EJ12" i="6"/>
  <c r="DU7" i="6"/>
  <c r="DV4" i="6"/>
  <c r="EG10" i="6"/>
  <c r="EF14" i="6"/>
  <c r="EK12" i="6"/>
  <c r="EH10" i="6"/>
  <c r="EG14" i="6"/>
  <c r="DW4" i="6"/>
  <c r="DV7" i="6"/>
  <c r="EL12" i="6"/>
  <c r="DW7" i="6"/>
  <c r="DX4" i="6"/>
  <c r="EI10" i="6"/>
  <c r="EH14" i="6"/>
  <c r="EM12" i="6"/>
  <c r="EJ10" i="6"/>
  <c r="EI14" i="6"/>
  <c r="DX7" i="6"/>
  <c r="DY4" i="6"/>
  <c r="EN12" i="6"/>
  <c r="DZ4" i="6"/>
  <c r="DY7" i="6"/>
  <c r="EK10" i="6"/>
  <c r="EJ14" i="6"/>
  <c r="EO12" i="6"/>
  <c r="EL10" i="6"/>
  <c r="EK14" i="6"/>
  <c r="DZ7" i="6"/>
  <c r="EA4" i="6"/>
  <c r="EP12" i="6"/>
  <c r="EB4" i="6"/>
  <c r="EA7" i="6"/>
  <c r="EM10" i="6"/>
  <c r="EL14" i="6"/>
  <c r="EQ12" i="6"/>
  <c r="EN10" i="6"/>
  <c r="EM14" i="6"/>
  <c r="EC4" i="6"/>
  <c r="EB7" i="6"/>
  <c r="ER12" i="6"/>
  <c r="EC7" i="6"/>
  <c r="ED4" i="6"/>
  <c r="EO10" i="6"/>
  <c r="EN14" i="6"/>
  <c r="ES12" i="6"/>
  <c r="EP10" i="6"/>
  <c r="EO14" i="6"/>
  <c r="EE4" i="6"/>
  <c r="ED7" i="6"/>
  <c r="ET12" i="6"/>
  <c r="EF4" i="6"/>
  <c r="EE7" i="6"/>
  <c r="EQ10" i="6"/>
  <c r="EP14" i="6"/>
  <c r="EU12" i="6"/>
  <c r="ER10" i="6"/>
  <c r="EQ14" i="6"/>
  <c r="EG4" i="6"/>
  <c r="EF7" i="6"/>
  <c r="EV12" i="6"/>
  <c r="EH4" i="6"/>
  <c r="EG7" i="6"/>
  <c r="ES10" i="6"/>
  <c r="ER14" i="6"/>
  <c r="EW12" i="6"/>
  <c r="ET10" i="6"/>
  <c r="ES14" i="6"/>
  <c r="EI4" i="6"/>
  <c r="EH7" i="6"/>
  <c r="EX12" i="6"/>
  <c r="EI7" i="6"/>
  <c r="EJ4" i="6"/>
  <c r="EU10" i="6"/>
  <c r="ET14" i="6"/>
  <c r="EY12" i="6"/>
  <c r="EV10" i="6"/>
  <c r="EU14" i="6"/>
  <c r="EJ7" i="6"/>
  <c r="EK4" i="6"/>
  <c r="EZ12" i="6"/>
  <c r="EL4" i="6"/>
  <c r="EK7" i="6"/>
  <c r="EW10" i="6"/>
  <c r="EV14" i="6"/>
  <c r="FA12" i="6"/>
  <c r="EX10" i="6"/>
  <c r="EW14" i="6"/>
  <c r="EM4" i="6"/>
  <c r="EL7" i="6"/>
  <c r="FB12" i="6"/>
  <c r="EM7" i="6"/>
  <c r="EN4" i="6"/>
  <c r="EY10" i="6"/>
  <c r="EX14" i="6"/>
  <c r="FC12" i="6"/>
  <c r="EZ10" i="6"/>
  <c r="EY14" i="6"/>
  <c r="EO4" i="6"/>
  <c r="EN7" i="6"/>
  <c r="FD12" i="6"/>
  <c r="EO7" i="6"/>
  <c r="EP4" i="6"/>
  <c r="FA10" i="6"/>
  <c r="EZ14" i="6"/>
  <c r="FE12" i="6"/>
  <c r="FB10" i="6"/>
  <c r="FA14" i="6"/>
  <c r="EQ4" i="6"/>
  <c r="EP7" i="6"/>
  <c r="FF12" i="6"/>
  <c r="ER4" i="6"/>
  <c r="EQ7" i="6"/>
  <c r="FC10" i="6"/>
  <c r="FB14" i="6"/>
  <c r="FG12" i="6"/>
  <c r="FD10" i="6"/>
  <c r="FC14" i="6"/>
  <c r="ER7" i="6"/>
  <c r="ES4" i="6"/>
  <c r="FH12" i="6"/>
  <c r="ET4" i="6"/>
  <c r="ES7" i="6"/>
  <c r="FE10" i="6"/>
  <c r="FD14" i="6"/>
  <c r="FI12" i="6"/>
  <c r="FF10" i="6"/>
  <c r="FE14" i="6"/>
  <c r="EU4" i="6"/>
  <c r="ET7" i="6"/>
  <c r="FJ12" i="6"/>
  <c r="EU7" i="6"/>
  <c r="EV4" i="6"/>
  <c r="FG10" i="6"/>
  <c r="FF14" i="6"/>
  <c r="FK12" i="6"/>
  <c r="EV7" i="6"/>
  <c r="EW4" i="6"/>
  <c r="FH10" i="6"/>
  <c r="FG14" i="6"/>
  <c r="FL12" i="6"/>
  <c r="FI10" i="6"/>
  <c r="FH14" i="6"/>
  <c r="EX4" i="6"/>
  <c r="EW7" i="6"/>
  <c r="FM12" i="6"/>
  <c r="EX7" i="6"/>
  <c r="EY4" i="6"/>
  <c r="FJ10" i="6"/>
  <c r="FI14" i="6"/>
  <c r="FN12" i="6"/>
  <c r="FK10" i="6"/>
  <c r="FJ14" i="6"/>
  <c r="EY7" i="6"/>
  <c r="EZ4" i="6"/>
  <c r="FO12" i="6"/>
  <c r="FA4" i="6"/>
  <c r="EZ7" i="6"/>
  <c r="FL10" i="6"/>
  <c r="FK14" i="6"/>
  <c r="FP12" i="6"/>
  <c r="FM10" i="6"/>
  <c r="FL14" i="6"/>
  <c r="FA7" i="6"/>
  <c r="FB4" i="6"/>
  <c r="FQ12" i="6"/>
  <c r="FB7" i="6"/>
  <c r="FC4" i="6"/>
  <c r="FN10" i="6"/>
  <c r="FM14" i="6"/>
  <c r="FR12" i="6"/>
  <c r="FD4" i="6"/>
  <c r="FC7" i="6"/>
  <c r="FO10" i="6"/>
  <c r="FN14" i="6"/>
  <c r="FS12" i="6"/>
  <c r="FP10" i="6"/>
  <c r="FO14" i="6"/>
  <c r="FD7" i="6"/>
  <c r="FE4" i="6"/>
  <c r="FT12" i="6"/>
  <c r="FE7" i="6"/>
  <c r="FF4" i="6"/>
  <c r="FQ10" i="6"/>
  <c r="FP14" i="6"/>
  <c r="FU12" i="6"/>
  <c r="FR10" i="6"/>
  <c r="FQ14" i="6"/>
  <c r="FG4" i="6"/>
  <c r="FF7" i="6"/>
  <c r="FV12" i="6"/>
  <c r="FG7" i="6"/>
  <c r="FH4" i="6"/>
  <c r="FS10" i="6"/>
  <c r="FR14" i="6"/>
  <c r="FW12" i="6"/>
  <c r="FT10" i="6"/>
  <c r="FS14" i="6"/>
  <c r="FH7" i="6"/>
  <c r="FI4" i="6"/>
  <c r="FX12" i="6"/>
  <c r="FI7" i="6"/>
  <c r="FJ4" i="6"/>
  <c r="FU10" i="6"/>
  <c r="FT14" i="6"/>
  <c r="FY12" i="6"/>
  <c r="FV10" i="6"/>
  <c r="FU14" i="6"/>
  <c r="FK4" i="6"/>
  <c r="FJ7" i="6"/>
  <c r="FZ12" i="6"/>
  <c r="FK7" i="6"/>
  <c r="FL4" i="6"/>
  <c r="FW10" i="6"/>
  <c r="FV14" i="6"/>
  <c r="GA12" i="6"/>
  <c r="FX10" i="6"/>
  <c r="FW14" i="6"/>
  <c r="FL7" i="6"/>
  <c r="FM4" i="6"/>
  <c r="GB12" i="6"/>
  <c r="FN4" i="6"/>
  <c r="FM7" i="6"/>
  <c r="FY10" i="6"/>
  <c r="FX14" i="6"/>
  <c r="GC12" i="6"/>
  <c r="FZ10" i="6"/>
  <c r="FY14" i="6"/>
  <c r="FN7" i="6"/>
  <c r="FO4" i="6"/>
  <c r="GD12" i="6"/>
  <c r="FP4" i="6"/>
  <c r="FO7" i="6"/>
  <c r="GA10" i="6"/>
  <c r="FZ14" i="6"/>
  <c r="GE12" i="6"/>
  <c r="GB10" i="6"/>
  <c r="GA14" i="6"/>
  <c r="FQ4" i="6"/>
  <c r="FP7" i="6"/>
  <c r="GF12" i="6"/>
  <c r="FR4" i="6"/>
  <c r="FQ7" i="6"/>
  <c r="GC10" i="6"/>
  <c r="GB14" i="6"/>
  <c r="GG12" i="6"/>
  <c r="GD10" i="6"/>
  <c r="GC14" i="6"/>
  <c r="FS4" i="6"/>
  <c r="FR7" i="6"/>
  <c r="GH12" i="6"/>
  <c r="FT4" i="6"/>
  <c r="FS7" i="6"/>
  <c r="GE10" i="6"/>
  <c r="GD14" i="6"/>
  <c r="GI12" i="6"/>
  <c r="GF10" i="6"/>
  <c r="GE14" i="6"/>
  <c r="FU4" i="6"/>
  <c r="FT7" i="6"/>
  <c r="GJ12" i="6"/>
  <c r="FV4" i="6"/>
  <c r="FU7" i="6"/>
  <c r="GG10" i="6"/>
  <c r="GF14" i="6"/>
  <c r="GK12" i="6"/>
  <c r="GH10" i="6"/>
  <c r="GG14" i="6"/>
  <c r="FV7" i="6"/>
  <c r="FW4" i="6"/>
  <c r="GL12" i="6"/>
  <c r="FX4" i="6"/>
  <c r="FW7" i="6"/>
  <c r="GI10" i="6"/>
  <c r="GH14" i="6"/>
  <c r="GM12" i="6"/>
  <c r="GJ10" i="6"/>
  <c r="GI14" i="6"/>
  <c r="FX7" i="6"/>
  <c r="FY4" i="6"/>
  <c r="GN12" i="6"/>
  <c r="FY7" i="6"/>
  <c r="FZ4" i="6"/>
  <c r="GK10" i="6"/>
  <c r="GJ14" i="6"/>
  <c r="GO12" i="6"/>
  <c r="GL10" i="6"/>
  <c r="GK14" i="6"/>
  <c r="GA4" i="6"/>
  <c r="FZ7" i="6"/>
  <c r="GP12" i="6"/>
  <c r="GB4" i="6"/>
  <c r="GA7" i="6"/>
  <c r="GM10" i="6"/>
  <c r="GL14" i="6"/>
  <c r="GQ12" i="6"/>
  <c r="GN10" i="6"/>
  <c r="GM14" i="6"/>
  <c r="GC4" i="6"/>
  <c r="GB7" i="6"/>
  <c r="GR12" i="6"/>
  <c r="GD4" i="6"/>
  <c r="GC7" i="6"/>
  <c r="GO10" i="6"/>
  <c r="GN14" i="6"/>
  <c r="GS12" i="6"/>
  <c r="GP10" i="6"/>
  <c r="GO14" i="6"/>
  <c r="GD7" i="6"/>
  <c r="GE4" i="6"/>
  <c r="GT12" i="6"/>
  <c r="GE7" i="6"/>
  <c r="GF4" i="6"/>
  <c r="GQ10" i="6"/>
  <c r="GP14" i="6"/>
  <c r="GU12" i="6"/>
  <c r="GR10" i="6"/>
  <c r="GQ14" i="6"/>
  <c r="GF7" i="6"/>
  <c r="GG4" i="6"/>
  <c r="GV12" i="6"/>
  <c r="GG7" i="6"/>
  <c r="GH4" i="6"/>
  <c r="GS10" i="6"/>
  <c r="GR14" i="6"/>
  <c r="GW12" i="6"/>
  <c r="GT10" i="6"/>
  <c r="GS14" i="6"/>
  <c r="GI4" i="6"/>
  <c r="GH7" i="6"/>
  <c r="GX12" i="6"/>
  <c r="GJ4" i="6"/>
  <c r="GI7" i="6"/>
  <c r="GU10" i="6"/>
  <c r="GT14" i="6"/>
  <c r="GY12" i="6"/>
  <c r="GV10" i="6"/>
  <c r="GU14" i="6"/>
  <c r="GJ7" i="6"/>
  <c r="GK4" i="6"/>
  <c r="GZ12" i="6"/>
  <c r="GK7" i="6"/>
  <c r="GL4" i="6"/>
  <c r="GW10" i="6"/>
  <c r="GV14" i="6"/>
  <c r="HA12" i="6"/>
  <c r="GX10" i="6"/>
  <c r="GW14" i="6"/>
  <c r="GL7" i="6"/>
  <c r="GM4" i="6"/>
  <c r="HB12" i="6"/>
  <c r="GM7" i="6"/>
  <c r="GN4" i="6"/>
  <c r="GY10" i="6"/>
  <c r="GX14" i="6"/>
  <c r="HC12" i="6"/>
  <c r="GZ10" i="6"/>
  <c r="GY14" i="6"/>
  <c r="GO4" i="6"/>
  <c r="GN7" i="6"/>
  <c r="HD12" i="6"/>
  <c r="GO7" i="6"/>
  <c r="GP4" i="6"/>
  <c r="HA10" i="6"/>
  <c r="GZ14" i="6"/>
  <c r="HE12" i="6"/>
  <c r="HB10" i="6"/>
  <c r="HA14" i="6"/>
  <c r="GP7" i="6"/>
  <c r="GQ4" i="6"/>
  <c r="HF12" i="6"/>
  <c r="GR4" i="6"/>
  <c r="GQ7" i="6"/>
  <c r="HC10" i="6"/>
  <c r="HB14" i="6"/>
  <c r="HG12" i="6"/>
  <c r="HD10" i="6"/>
  <c r="HC14" i="6"/>
  <c r="GS4" i="6"/>
  <c r="GR7" i="6"/>
  <c r="HH12" i="6"/>
  <c r="GS7" i="6"/>
  <c r="GT4" i="6"/>
  <c r="HE10" i="6"/>
  <c r="HD14" i="6"/>
  <c r="HI12" i="6"/>
  <c r="HF10" i="6"/>
  <c r="HE14" i="6"/>
  <c r="GT7" i="6"/>
  <c r="GU4" i="6"/>
  <c r="HJ12" i="6"/>
  <c r="GU7" i="6"/>
  <c r="GV4" i="6"/>
  <c r="HG10" i="6"/>
  <c r="HF14" i="6"/>
  <c r="HK12" i="6"/>
  <c r="HH10" i="6"/>
  <c r="HG14" i="6"/>
  <c r="GW4" i="6"/>
  <c r="GV7" i="6"/>
  <c r="HL12" i="6"/>
  <c r="GW7" i="6"/>
  <c r="GX4" i="6"/>
  <c r="HI10" i="6"/>
  <c r="HH14" i="6"/>
  <c r="HM12" i="6"/>
  <c r="HJ10" i="6"/>
  <c r="HI14" i="6"/>
  <c r="GX7" i="6"/>
  <c r="GY4" i="6"/>
  <c r="HN12" i="6"/>
  <c r="GZ4" i="6"/>
  <c r="GY7" i="6"/>
  <c r="HK10" i="6"/>
  <c r="HJ14" i="6"/>
  <c r="HO12" i="6"/>
  <c r="HL10" i="6"/>
  <c r="HK14" i="6"/>
  <c r="HA4" i="6"/>
  <c r="GZ7" i="6"/>
  <c r="HP12" i="6"/>
  <c r="HA7" i="6"/>
  <c r="HB4" i="6"/>
  <c r="HM10" i="6"/>
  <c r="HL14" i="6"/>
  <c r="HQ12" i="6"/>
  <c r="HN10" i="6"/>
  <c r="HM14" i="6"/>
  <c r="HB7" i="6"/>
  <c r="HC4" i="6"/>
  <c r="HR12" i="6"/>
  <c r="HC7" i="6"/>
  <c r="HD4" i="6"/>
  <c r="HO10" i="6"/>
  <c r="HN14" i="6"/>
  <c r="HS12" i="6"/>
  <c r="HP10" i="6"/>
  <c r="HO14" i="6"/>
  <c r="HD7" i="6"/>
  <c r="HE4" i="6"/>
  <c r="HT12" i="6"/>
  <c r="HE7" i="6"/>
  <c r="HF4" i="6"/>
  <c r="HQ10" i="6"/>
  <c r="HP14" i="6"/>
  <c r="HU12" i="6"/>
  <c r="HR10" i="6"/>
  <c r="HQ14" i="6"/>
  <c r="HF7" i="6"/>
  <c r="HG4" i="6"/>
  <c r="HV12" i="6"/>
  <c r="HG7" i="6"/>
  <c r="HH4" i="6"/>
  <c r="HS10" i="6"/>
  <c r="HR14" i="6"/>
  <c r="HW12" i="6"/>
  <c r="HT10" i="6"/>
  <c r="HS14" i="6"/>
  <c r="HI4" i="6"/>
  <c r="HH7" i="6"/>
  <c r="HX12" i="6"/>
  <c r="HJ4" i="6"/>
  <c r="HI7" i="6"/>
  <c r="HU10" i="6"/>
  <c r="HT14" i="6"/>
  <c r="HY12" i="6"/>
  <c r="HV10" i="6"/>
  <c r="HU14" i="6"/>
  <c r="HK4" i="6"/>
  <c r="HJ7" i="6"/>
  <c r="HZ12" i="6"/>
  <c r="HK7" i="6"/>
  <c r="HL4" i="6"/>
  <c r="HW10" i="6"/>
  <c r="HV14" i="6"/>
  <c r="IA12" i="6"/>
  <c r="HX10" i="6"/>
  <c r="HW14" i="6"/>
  <c r="HL7" i="6"/>
  <c r="HM4" i="6"/>
  <c r="IB12" i="6"/>
  <c r="HN4" i="6"/>
  <c r="HM7" i="6"/>
  <c r="HY10" i="6"/>
  <c r="HX14" i="6"/>
  <c r="IC12" i="6"/>
  <c r="HZ10" i="6"/>
  <c r="HY14" i="6"/>
  <c r="HO4" i="6"/>
  <c r="HN7" i="6"/>
  <c r="ID12" i="6"/>
  <c r="HO7" i="6"/>
  <c r="HP4" i="6"/>
  <c r="IA10" i="6"/>
  <c r="HZ14" i="6"/>
  <c r="IE12" i="6"/>
  <c r="IB10" i="6"/>
  <c r="IA14" i="6"/>
  <c r="HP7" i="6"/>
  <c r="HQ4" i="6"/>
  <c r="IF12" i="6"/>
  <c r="HQ7" i="6"/>
  <c r="HR4" i="6"/>
  <c r="IC10" i="6"/>
  <c r="IB14" i="6"/>
  <c r="IG12" i="6"/>
  <c r="ID10" i="6"/>
  <c r="IC14" i="6"/>
  <c r="HR7" i="6"/>
  <c r="HS4" i="6"/>
  <c r="IH12" i="6"/>
  <c r="HS7" i="6"/>
  <c r="HT4" i="6"/>
  <c r="IE10" i="6"/>
  <c r="ID14" i="6"/>
  <c r="II12" i="6"/>
  <c r="IF10" i="6"/>
  <c r="IE14" i="6"/>
  <c r="HT7" i="6"/>
  <c r="HU4" i="6"/>
  <c r="IJ12" i="6"/>
  <c r="HU7" i="6"/>
  <c r="HV4" i="6"/>
  <c r="IG10" i="6"/>
  <c r="IF14" i="6"/>
  <c r="IK12" i="6"/>
  <c r="IH10" i="6"/>
  <c r="IG14" i="6"/>
  <c r="HW4" i="6"/>
  <c r="HV7" i="6"/>
  <c r="IL12" i="6"/>
  <c r="HX4" i="6"/>
  <c r="HW7" i="6"/>
  <c r="II10" i="6"/>
  <c r="IH14" i="6"/>
  <c r="IM12" i="6"/>
  <c r="IJ10" i="6"/>
  <c r="II14" i="6"/>
  <c r="HX7" i="6"/>
  <c r="HY4" i="6"/>
  <c r="IN12" i="6"/>
  <c r="HY7" i="6"/>
  <c r="HZ4" i="6"/>
  <c r="IK10" i="6"/>
  <c r="IJ14" i="6"/>
  <c r="IO12" i="6"/>
  <c r="IL10" i="6"/>
  <c r="IK14" i="6"/>
  <c r="IA4" i="6"/>
  <c r="HZ7" i="6"/>
  <c r="IP12" i="6"/>
  <c r="IB4" i="6"/>
  <c r="IA7" i="6"/>
  <c r="IM10" i="6"/>
  <c r="IL14" i="6"/>
  <c r="IQ12" i="6"/>
  <c r="IN10" i="6"/>
  <c r="IM14" i="6"/>
  <c r="IC4" i="6"/>
  <c r="IB7" i="6"/>
  <c r="IR12" i="6"/>
  <c r="IC7" i="6"/>
  <c r="ID4" i="6"/>
  <c r="IO10" i="6"/>
  <c r="IN14" i="6"/>
  <c r="IS12" i="6"/>
  <c r="IP10" i="6"/>
  <c r="IO14" i="6"/>
  <c r="IE4" i="6"/>
  <c r="ID7" i="6"/>
  <c r="IT12" i="6"/>
  <c r="IE7" i="6"/>
  <c r="IF4" i="6"/>
  <c r="IQ10" i="6"/>
  <c r="IP14" i="6"/>
  <c r="IU12" i="6"/>
  <c r="IR10" i="6"/>
  <c r="IQ14" i="6"/>
  <c r="IF7" i="6"/>
  <c r="IG4" i="6"/>
  <c r="IV12" i="6"/>
  <c r="IG7" i="6"/>
  <c r="IH4" i="6"/>
  <c r="IS10" i="6"/>
  <c r="IR14" i="6"/>
  <c r="IW12" i="6"/>
  <c r="IH7" i="6"/>
  <c r="II4" i="6"/>
  <c r="IT10" i="6"/>
  <c r="IS14" i="6"/>
  <c r="IX12" i="6"/>
  <c r="IU10" i="6"/>
  <c r="IT14" i="6"/>
  <c r="IJ4" i="6"/>
  <c r="II7" i="6"/>
  <c r="IY12" i="6"/>
  <c r="IK4" i="6"/>
  <c r="IJ7" i="6"/>
  <c r="IV10" i="6"/>
  <c r="IU14" i="6"/>
  <c r="IZ12" i="6"/>
  <c r="IK7" i="6"/>
  <c r="IL4" i="6"/>
  <c r="IW10" i="6"/>
  <c r="IV14" i="6"/>
  <c r="JA12" i="6"/>
  <c r="IX10" i="6"/>
  <c r="IW14" i="6"/>
  <c r="IL7" i="6"/>
  <c r="IM4" i="6"/>
  <c r="JB12" i="6"/>
  <c r="IM7" i="6"/>
  <c r="IN4" i="6"/>
  <c r="IY10" i="6"/>
  <c r="IX14" i="6"/>
  <c r="JC12" i="6"/>
  <c r="IZ10" i="6"/>
  <c r="IY14" i="6"/>
  <c r="IO4" i="6"/>
  <c r="IN7" i="6"/>
  <c r="JD12" i="6"/>
  <c r="IP4" i="6"/>
  <c r="IO7" i="6"/>
  <c r="JA10" i="6"/>
  <c r="IZ14" i="6"/>
  <c r="JE12" i="6"/>
  <c r="JB10" i="6"/>
  <c r="JA14" i="6"/>
  <c r="IQ4" i="6"/>
  <c r="IP7" i="6"/>
  <c r="JF12" i="6"/>
  <c r="IR4" i="6"/>
  <c r="IQ7" i="6"/>
  <c r="JC10" i="6"/>
  <c r="JB14" i="6"/>
  <c r="JG12" i="6"/>
  <c r="JD10" i="6"/>
  <c r="JC14" i="6"/>
  <c r="IR7" i="6"/>
  <c r="IS4" i="6"/>
  <c r="JH12" i="6"/>
  <c r="IT4" i="6"/>
  <c r="IS7" i="6"/>
  <c r="JE10" i="6"/>
  <c r="JD14" i="6"/>
  <c r="JI12" i="6"/>
  <c r="JF10" i="6"/>
  <c r="JE14" i="6"/>
  <c r="IT7" i="6"/>
  <c r="IU4" i="6"/>
  <c r="JJ12" i="6"/>
  <c r="IU7" i="6"/>
  <c r="IV4" i="6"/>
  <c r="JG10" i="6"/>
  <c r="JF14" i="6"/>
  <c r="JK12" i="6"/>
  <c r="JH10" i="6"/>
  <c r="JG14" i="6"/>
  <c r="IV7" i="6"/>
  <c r="IW4" i="6"/>
  <c r="JL12" i="6"/>
  <c r="IX4" i="6"/>
  <c r="IW7" i="6"/>
  <c r="JI10" i="6"/>
  <c r="JH14" i="6"/>
  <c r="JM12" i="6"/>
  <c r="JJ10" i="6"/>
  <c r="JI14" i="6"/>
  <c r="IY4" i="6"/>
  <c r="IX7" i="6"/>
  <c r="JN12" i="6"/>
  <c r="IY7" i="6"/>
  <c r="IZ4" i="6"/>
  <c r="JK10" i="6"/>
  <c r="JJ14" i="6"/>
  <c r="JO12" i="6"/>
  <c r="JL10" i="6"/>
  <c r="JK14" i="6"/>
  <c r="IZ7" i="6"/>
  <c r="JA4" i="6"/>
  <c r="JP12" i="6"/>
  <c r="JB4" i="6"/>
  <c r="JA7" i="6"/>
  <c r="JM10" i="6"/>
  <c r="JL14" i="6"/>
  <c r="JQ12" i="6"/>
  <c r="JN10" i="6"/>
  <c r="JM14" i="6"/>
  <c r="JB7" i="6"/>
  <c r="JC4" i="6"/>
  <c r="JR12" i="6"/>
  <c r="JC7" i="6"/>
  <c r="JD4" i="6"/>
  <c r="JO10" i="6"/>
  <c r="JN14" i="6"/>
  <c r="JS12" i="6"/>
  <c r="JP10" i="6"/>
  <c r="JO14" i="6"/>
  <c r="JE4" i="6"/>
  <c r="JD7" i="6"/>
  <c r="JT12" i="6"/>
  <c r="JE7" i="6"/>
  <c r="JF4" i="6"/>
  <c r="JQ10" i="6"/>
  <c r="JP14" i="6"/>
  <c r="JU12" i="6"/>
  <c r="JR10" i="6"/>
  <c r="JQ14" i="6"/>
  <c r="JG4" i="6"/>
  <c r="JF7" i="6"/>
  <c r="JV12" i="6"/>
  <c r="JH4" i="6"/>
  <c r="JG7" i="6"/>
  <c r="JS10" i="6"/>
  <c r="JR14" i="6"/>
  <c r="JW12" i="6"/>
  <c r="JT10" i="6"/>
  <c r="JS14" i="6"/>
  <c r="JH7" i="6"/>
  <c r="JI4" i="6"/>
  <c r="JX12" i="6"/>
  <c r="JI7" i="6"/>
  <c r="JJ4" i="6"/>
  <c r="JU10" i="6"/>
  <c r="JT14" i="6"/>
  <c r="JY12" i="6"/>
  <c r="JV10" i="6"/>
  <c r="JU14" i="6"/>
  <c r="JK4" i="6"/>
  <c r="JJ7" i="6"/>
  <c r="JZ12" i="6"/>
  <c r="JK7" i="6"/>
  <c r="JL4" i="6"/>
  <c r="JW10" i="6"/>
  <c r="JV14" i="6"/>
  <c r="KA12" i="6"/>
  <c r="JX10" i="6"/>
  <c r="JW14" i="6"/>
  <c r="JM4" i="6"/>
  <c r="JL7" i="6"/>
  <c r="KB12" i="6"/>
  <c r="JM7" i="6"/>
  <c r="JN4" i="6"/>
  <c r="JY10" i="6"/>
  <c r="JX14" i="6"/>
  <c r="KC12" i="6"/>
  <c r="JZ10" i="6"/>
  <c r="JY14" i="6"/>
  <c r="JN7" i="6"/>
  <c r="JO4" i="6"/>
  <c r="KD12" i="6"/>
  <c r="JP4" i="6"/>
  <c r="JO7" i="6"/>
  <c r="KA10" i="6"/>
  <c r="JZ14" i="6"/>
  <c r="KE12" i="6"/>
  <c r="KB10" i="6"/>
  <c r="KA14" i="6"/>
  <c r="JP7" i="6"/>
  <c r="JQ4" i="6"/>
  <c r="KF12" i="6"/>
  <c r="JQ7" i="6"/>
  <c r="JR4" i="6"/>
  <c r="KC10" i="6"/>
  <c r="KB14" i="6"/>
  <c r="KG12" i="6"/>
  <c r="KD10" i="6"/>
  <c r="KC14" i="6"/>
  <c r="JR7" i="6"/>
  <c r="JS4" i="6"/>
  <c r="KH12" i="6"/>
  <c r="JS7" i="6"/>
  <c r="JT4" i="6"/>
  <c r="KE10" i="6"/>
  <c r="KD14" i="6"/>
  <c r="KI12" i="6"/>
  <c r="KF10" i="6"/>
  <c r="KE14" i="6"/>
  <c r="JT7" i="6"/>
  <c r="JU4" i="6"/>
  <c r="KJ12" i="6"/>
  <c r="JU7" i="6"/>
  <c r="JV4" i="6"/>
  <c r="KG10" i="6"/>
  <c r="KF14" i="6"/>
  <c r="KK12" i="6"/>
  <c r="KH10" i="6"/>
  <c r="KG14" i="6"/>
  <c r="JV7" i="6"/>
  <c r="JW4" i="6"/>
  <c r="KL12" i="6"/>
  <c r="JX4" i="6"/>
  <c r="JW7" i="6"/>
  <c r="KI10" i="6"/>
  <c r="KH14" i="6"/>
  <c r="KM12" i="6"/>
  <c r="KJ10" i="6"/>
  <c r="KI14" i="6"/>
  <c r="JX7" i="6"/>
  <c r="JY4" i="6"/>
  <c r="KN12" i="6"/>
  <c r="JZ4" i="6"/>
  <c r="JY7" i="6"/>
  <c r="KK10" i="6"/>
  <c r="KJ14" i="6"/>
  <c r="KO12" i="6"/>
  <c r="KL10" i="6"/>
  <c r="KK14" i="6"/>
  <c r="KA4" i="6"/>
  <c r="JZ7" i="6"/>
  <c r="KP12" i="6"/>
  <c r="KA7" i="6"/>
  <c r="KB4" i="6"/>
  <c r="KM10" i="6"/>
  <c r="KL14" i="6"/>
  <c r="KQ12" i="6"/>
  <c r="KN10" i="6"/>
  <c r="KM14" i="6"/>
  <c r="KB7" i="6"/>
  <c r="KC4" i="6"/>
  <c r="KR12" i="6"/>
  <c r="KC7" i="6"/>
  <c r="KD4" i="6"/>
  <c r="KO10" i="6"/>
  <c r="KN14" i="6"/>
  <c r="KS12" i="6"/>
  <c r="KP10" i="6"/>
  <c r="KO14" i="6"/>
  <c r="KD7" i="6"/>
  <c r="KE4" i="6"/>
  <c r="KT12" i="6"/>
  <c r="KF4" i="6"/>
  <c r="KE7" i="6"/>
  <c r="KQ10" i="6"/>
  <c r="KP14" i="6"/>
  <c r="KU12" i="6"/>
  <c r="KR10" i="6"/>
  <c r="KQ14" i="6"/>
  <c r="KG4" i="6"/>
  <c r="KF7" i="6"/>
  <c r="KV12" i="6"/>
  <c r="KH4" i="6"/>
  <c r="KG7" i="6"/>
  <c r="KS10" i="6"/>
  <c r="KR14" i="6"/>
  <c r="KW12" i="6"/>
  <c r="KT10" i="6"/>
  <c r="KS14" i="6"/>
  <c r="KI4" i="6"/>
  <c r="KH7" i="6"/>
  <c r="KX12" i="6"/>
  <c r="KI7" i="6"/>
  <c r="KJ4" i="6"/>
  <c r="KU10" i="6"/>
  <c r="KT14" i="6"/>
  <c r="KY12" i="6"/>
  <c r="KV10" i="6"/>
  <c r="KU14" i="6"/>
  <c r="KJ7" i="6"/>
  <c r="KK4" i="6"/>
  <c r="KZ12" i="6"/>
  <c r="KL4" i="6"/>
  <c r="KK7" i="6"/>
  <c r="KW10" i="6"/>
  <c r="KV14" i="6"/>
  <c r="LA12" i="6"/>
  <c r="KX10" i="6"/>
  <c r="KW14" i="6"/>
  <c r="KL7" i="6"/>
  <c r="KM4" i="6"/>
  <c r="LB12" i="6"/>
  <c r="KM7" i="6"/>
  <c r="KN4" i="6"/>
  <c r="KY10" i="6"/>
  <c r="KX14" i="6"/>
  <c r="LC12" i="6"/>
  <c r="KZ10" i="6"/>
  <c r="KY14" i="6"/>
  <c r="KO4" i="6"/>
  <c r="KN7" i="6"/>
  <c r="LD12" i="6"/>
  <c r="KP4" i="6"/>
  <c r="KO7" i="6"/>
  <c r="LA10" i="6"/>
  <c r="KZ14" i="6"/>
  <c r="LB10" i="6"/>
  <c r="LA14" i="6"/>
  <c r="KQ4" i="6"/>
  <c r="KP7" i="6"/>
  <c r="KQ7" i="6"/>
  <c r="KR4" i="6"/>
  <c r="LC10" i="6"/>
  <c r="LB14" i="6"/>
  <c r="LD10" i="6"/>
  <c r="LD14" i="6"/>
  <c r="LC14" i="6"/>
  <c r="KS4" i="6"/>
  <c r="KR7" i="6"/>
  <c r="KS7" i="6"/>
  <c r="KT4" i="6"/>
  <c r="KT7" i="6"/>
  <c r="KU4" i="6"/>
  <c r="KU7" i="6"/>
  <c r="KV4" i="6"/>
  <c r="KV7" i="6"/>
  <c r="KW4" i="6"/>
  <c r="KW7" i="6"/>
  <c r="KX4" i="6"/>
  <c r="KY4" i="6"/>
  <c r="KX7" i="6"/>
  <c r="KZ4" i="6"/>
  <c r="KY7" i="6"/>
  <c r="LA4" i="6"/>
  <c r="KZ7" i="6"/>
  <c r="LB4" i="6"/>
  <c r="LA7" i="6"/>
  <c r="LB7" i="6"/>
  <c r="LC4" i="6"/>
  <c r="LD4" i="6"/>
  <c r="LD7" i="6"/>
  <c r="LC7" i="6"/>
  <c r="N28" i="2" l="1"/>
  <c r="N35" i="2"/>
  <c r="N11" i="2"/>
  <c r="N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<sst xmlns="http://schemas.openxmlformats.org/spreadsheetml/2006/main" count="892" uniqueCount="510">
  <si>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</si>
  <si>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</si>
  <si>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</si>
  <si>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</si>
  <si>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</si>
  <si>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</si>
  <si>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</si>
  <si>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</si>
  <si>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</si>
  <si>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</si>
  <si>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</si>
  <si>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</si>
  <si>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</si>
  <si>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</si>
  <si>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</si>
  <si>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</si>
  <si>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</si>
  <si>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</si>
  <si>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</si>
  <si>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</si>
  <si>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</si>
  <si>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</si>
  <si>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</si>
  <si>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</si>
  <si>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</si>
  <si>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</si>
  <si>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</si>
  <si>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</si>
  <si>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</si>
  <si>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</si>
  <si>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</si>
  <si>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</si>
  <si>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</si>
  <si>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</si>
  <si>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</si>
  <si>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</si>
  <si>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</si>
  <si>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</si>
  <si>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</si>
  <si>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</si>
  <si>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</si>
  <si>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</si>
  <si>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</si>
  <si>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</si>
  <si>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</si>
  <si>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</si>
  <si>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</si>
  <si>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</si>
  <si>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</si>
  <si>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</si>
  <si>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</si>
  <si>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</si>
  <si>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</si>
  <si>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</si>
  <si>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</si>
  <si>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</si>
  <si>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</si>
  <si>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</si>
  <si>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</si>
  <si>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</si>
  <si>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</si>
  <si>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</si>
  <si>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</si>
  <si>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</si>
  <si>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</si>
  <si>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</si>
  <si>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</si>
  <si>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</si>
  <si>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</si>
  <si>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</si>
  <si>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</si>
  <si>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</si>
  <si>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</si>
  <si>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</si>
  <si>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</si>
  <si>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</si>
  <si>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</si>
  <si>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</si>
  <si>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</si>
  <si>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</si>
  <si>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</si>
  <si>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</si>
  <si>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</si>
  <si>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</si>
  <si>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</si>
  <si>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</si>
  <si>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</si>
  <si>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</si>
  <si>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</si>
  <si>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</si>
  <si>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</si>
  <si>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</si>
  <si>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</si>
  <si>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</si>
  <si>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</si>
  <si>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</si>
  <si>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</si>
  <si>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</si>
  <si>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</si>
  <si>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</si>
  <si>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</si>
  <si>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</si>
  <si>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</si>
  <si>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</si>
  <si>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</si>
  <si>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</si>
  <si>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</si>
  <si>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</si>
  <si>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</si>
  <si>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</si>
  <si>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</si>
  <si>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</si>
  <si>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</si>
  <si>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</si>
  <si>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</si>
  <si>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</si>
  <si>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</si>
  <si>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</si>
  <si>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</si>
  <si>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</si>
  <si>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</si>
  <si>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</si>
  <si>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</si>
  <si>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</si>
  <si>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</si>
  <si>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</si>
  <si>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</si>
  <si>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</si>
  <si>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</si>
  <si>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</si>
  <si>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</si>
  <si>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</si>
  <si>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</si>
  <si>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</si>
  <si>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</si>
  <si>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</si>
  <si>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</si>
  <si>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</si>
  <si>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</si>
  <si>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ACE inspection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</si>
  <si>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</si>
  <si>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</si>
  <si>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</si>
  <si>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</si>
  <si>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</si>
  <si>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</si>
  <si>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</si>
  <si>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</si>
  <si>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</si>
  <si>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</si>
  <si>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</si>
  <si>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</si>
  <si>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</si>
  <si>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</si>
  <si>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</si>
  <si>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</si>
  <si>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</si>
  <si>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</si>
  <si>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</si>
  <si>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</si>
  <si>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</si>
  <si>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</si>
  <si>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</si>
  <si>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</si>
  <si>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</si>
  <si>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</si>
  <si>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</si>
  <si>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</si>
  <si>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</si>
  <si>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</si>
  <si>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</si>
  <si>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</si>
  <si>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</si>
  <si>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</si>
  <si>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</si>
  <si>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</si>
  <si>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</si>
  <si>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</si>
  <si>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</si>
  <si>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</si>
  <si>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</si>
  <si>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</si>
  <si>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</si>
  <si>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</si>
  <si>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</si>
  <si>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</si>
  <si>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</si>
  <si>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</si>
  <si>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</si>
  <si>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</si>
  <si>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</si>
  <si>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</si>
  <si>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</si>
  <si>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</si>
  <si>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</si>
  <si>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</si>
  <si>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</si>
  <si>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</si>
  <si>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</si>
  <si>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</si>
  <si>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</si>
  <si>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</si>
  <si>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</si>
  <si>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</si>
  <si>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</si>
  <si>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</si>
  <si>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</si>
  <si>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</si>
  <si>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</si>
  <si>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</si>
  <si>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</si>
  <si>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</si>
  <si>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</si>
  <si>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</si>
  <si>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</si>
  <si>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</si>
  <si>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</si>
  <si>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</si>
  <si>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</si>
  <si>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</si>
  <si>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</si>
  <si>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</si>
  <si>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</si>
  <si>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</si>
  <si>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</si>
  <si>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</si>
  <si>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</si>
  <si>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</si>
  <si>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</si>
  <si>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</si>
  <si>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</si>
  <si>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</si>
  <si>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</si>
  <si>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</si>
  <si>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</si>
  <si>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</si>
  <si>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</si>
  <si>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</si>
  <si>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</si>
  <si>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</si>
  <si>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</si>
  <si>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</si>
  <si>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</si>
  <si>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</si>
  <si>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</si>
  <si>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</si>
  <si>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</si>
  <si>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</si>
  <si>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</si>
  <si>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</si>
  <si>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</si>
  <si>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</si>
  <si>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</si>
  <si>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</si>
  <si>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</si>
  <si>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</si>
  <si>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</si>
  <si>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</si>
  <si>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</si>
  <si>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</si>
  <si>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</si>
  <si>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</si>
  <si>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</si>
  <si>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</si>
  <si>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</si>
  <si>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</si>
  <si>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</si>
  <si>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</si>
  <si>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</si>
  <si>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</si>
  <si>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</si>
  <si>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</si>
  <si>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</si>
  <si>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</si>
  <si>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</si>
  <si>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</si>
  <si>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</si>
  <si>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</si>
  <si>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</si>
  <si>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</si>
  <si>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</si>
  <si>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</si>
  <si>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</si>
  <si>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</si>
  <si>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</si>
  <si>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</si>
  <si>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</si>
  <si>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</si>
  <si>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</si>
  <si>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</si>
  <si>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</si>
  <si>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</si>
  <si>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</si>
  <si>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</si>
  <si>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</si>
  <si>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</si>
  <si>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</si>
  <si>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</si>
  <si>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</si>
  <si>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</si>
  <si>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</si>
  <si>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</si>
  <si>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</si>
  <si>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</si>
  <si>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</si>
  <si>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</si>
  <si>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</si>
  <si>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</si>
  <si>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</si>
  <si>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</si>
  <si>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</si>
  <si>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</si>
  <si>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</si>
  <si>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</si>
  <si>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</si>
  <si>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</si>
  <si>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</si>
  <si>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</si>
  <si>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</si>
  <si>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</si>
  <si>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</si>
  <si>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</si>
  <si>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</si>
  <si>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</si>
  <si>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</si>
  <si>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</si>
  <si>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</si>
  <si>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</si>
  <si>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</si>
  <si>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</si>
  <si>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</si>
  <si>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</si>
  <si>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</si>
  <si>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</si>
  <si>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</si>
  <si>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</si>
  <si>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</si>
  <si>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</si>
  <si>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</si>
  <si>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</si>
  <si>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</si>
  <si>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</si>
  <si>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</si>
  <si>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</si>
  <si>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</si>
  <si>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</si>
  <si>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</si>
  <si>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</si>
  <si>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</si>
  <si>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</si>
  <si>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</si>
  <si>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</si>
  <si>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</si>
  <si>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</si>
  <si>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</si>
  <si>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</si>
  <si>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</si>
  <si>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</si>
  <si>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</si>
  <si>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</si>
  <si>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</si>
  <si>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</si>
  <si>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</si>
  <si>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</si>
  <si>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</si>
  <si>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</si>
  <si>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</si>
  <si>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</si>
  <si>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</si>
  <si>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</si>
  <si>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</si>
  <si>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</si>
  <si>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</si>
  <si>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</si>
  <si>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</si>
  <si>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</si>
  <si>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</si>
  <si>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</si>
  <si>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</si>
  <si>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</si>
  <si>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</si>
  <si>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</si>
  <si>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</si>
  <si>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</si>
  <si>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</si>
  <si>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</si>
  <si>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</si>
  <si>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</si>
  <si>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</si>
  <si>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</si>
  <si>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</si>
  <si>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</si>
  <si>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</si>
  <si>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</si>
  <si>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</si>
  <si>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</si>
  <si>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</si>
  <si>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</si>
  <si>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</si>
  <si>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</si>
  <si>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</si>
  <si>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</si>
  <si>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</si>
  <si>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</si>
  <si>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</si>
  <si>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</si>
  <si>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</si>
  <si>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</si>
  <si>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</si>
  <si>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</si>
  <si>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</si>
  <si>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</si>
  <si>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</si>
  <si>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</si>
  <si>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</si>
  <si>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</si>
  <si>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</si>
  <si>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</si>
  <si>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</si>
  <si>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</si>
  <si>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</si>
  <si>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</si>
  <si>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</si>
  <si>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</si>
  <si>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</si>
  <si>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</si>
  <si>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</si>
  <si>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</si>
  <si>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</si>
  <si>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</si>
  <si>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</si>
  <si>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</si>
  <si>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</si>
  <si>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</si>
  <si>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</si>
  <si>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</si>
  <si>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</si>
  <si>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</si>
  <si>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</si>
  <si>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</si>
  <si>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</si>
  <si>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</si>
  <si>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</si>
  <si>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</si>
  <si>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</si>
  <si>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</si>
  <si>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</si>
  <si>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</si>
  <si>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</si>
  <si>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</si>
  <si>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</si>
  <si>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</si>
  <si>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</si>
  <si>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</si>
  <si>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</si>
  <si>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</si>
  <si>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</si>
  <si>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</si>
  <si>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</si>
  <si>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</si>
  <si>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</si>
  <si>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</si>
  <si>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</si>
  <si>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</si>
  <si>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</si>
  <si>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</si>
  <si>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</si>
  <si>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</si>
  <si>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</si>
  <si>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</si>
  <si>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</si>
  <si>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</si>
  <si>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</si>
  <si>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</si>
  <si>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</si>
  <si>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</si>
  <si>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</si>
  <si>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</si>
  <si>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</si>
  <si>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</si>
  <si>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</si>
  <si>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</si>
  <si>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</si>
  <si>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</si>
  <si>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</si>
  <si>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</si>
  <si>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</si>
  <si>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</si>
  <si>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</si>
  <si>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</si>
  <si>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</si>
  <si>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</si>
  <si>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</si>
  <si>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</si>
  <si>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</si>
  <si>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</si>
  <si>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</si>
  <si>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</si>
  <si>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</si>
  <si>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</si>
  <si>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</si>
  <si>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</si>
  <si>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</si>
  <si>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</si>
  <si>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</si>
  <si>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</si>
  <si>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</si>
  <si>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</si>
  <si>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</si>
  <si>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IV Curve testing passed
QC submitted
ACE inspection not booked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</si>
</sst>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Border="1" applyProtection="1">
      <protection locked="0"/>
    </xf>
    <xf numFmtId="166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32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2795695.8699999996</c:v>
                </c:pt>
                <c:pt idx="57">
                  <c:v>2996391.6935772276</c:v>
                </c:pt>
                <c:pt idx="58">
                  <c:v>3118236.4470586809</c:v>
                </c:pt>
                <c:pt idx="59">
                  <c:v>3118236.4470586809</c:v>
                </c:pt>
                <c:pt idx="60">
                  <c:v>3118236.4470586809</c:v>
                </c:pt>
                <c:pt idx="61">
                  <c:v>3158751.3558799964</c:v>
                </c:pt>
                <c:pt idx="62">
                  <c:v>3173200.8558799964</c:v>
                </c:pt>
                <c:pt idx="63">
                  <c:v>3173500.8558799964</c:v>
                </c:pt>
                <c:pt idx="64">
                  <c:v>3173500.8558799964</c:v>
                </c:pt>
                <c:pt idx="65">
                  <c:v>3173500.8558799964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-950204.41999999969</c:v>
                </c:pt>
                <c:pt idx="57">
                  <c:v>191275.35642277217</c:v>
                </c:pt>
                <c:pt idx="58">
                  <c:v>69430.602941318881</c:v>
                </c:pt>
                <c:pt idx="59">
                  <c:v>237202.55294131907</c:v>
                </c:pt>
                <c:pt idx="60">
                  <c:v>237202.55294131907</c:v>
                </c:pt>
                <c:pt idx="61">
                  <c:v>196687.64412000356</c:v>
                </c:pt>
                <c:pt idx="62">
                  <c:v>182238.14412000356</c:v>
                </c:pt>
                <c:pt idx="63">
                  <c:v>181938.14412000356</c:v>
                </c:pt>
                <c:pt idx="64">
                  <c:v>181938.14412000356</c:v>
                </c:pt>
                <c:pt idx="65">
                  <c:v>181938.14412000356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3148144.4324201727</c:v>
                </c:pt>
                <c:pt idx="58">
                  <c:v>3148144.4324201727</c:v>
                </c:pt>
                <c:pt idx="59">
                  <c:v>3148144.4324201727</c:v>
                </c:pt>
                <c:pt idx="60">
                  <c:v>3148144.4324201727</c:v>
                </c:pt>
                <c:pt idx="61">
                  <c:v>3148144.4324201727</c:v>
                </c:pt>
                <c:pt idx="62">
                  <c:v>3355439.0192300454</c:v>
                </c:pt>
                <c:pt idx="63">
                  <c:v>3355439.0192300454</c:v>
                </c:pt>
                <c:pt idx="64">
                  <c:v>3355439.0192300454</c:v>
                </c:pt>
                <c:pt idx="65">
                  <c:v>3355439.0192300454</c:v>
                </c:pt>
                <c:pt idx="66">
                  <c:v>3355439.0192300454</c:v>
                </c:pt>
                <c:pt idx="67">
                  <c:v>3355439.0192300454</c:v>
                </c:pt>
                <c:pt idx="68">
                  <c:v>3355439.0192300454</c:v>
                </c:pt>
                <c:pt idx="69">
                  <c:v>3355439.0192300454</c:v>
                </c:pt>
                <c:pt idx="70">
                  <c:v>3355439.0192300454</c:v>
                </c:pt>
                <c:pt idx="71">
                  <c:v>3355439.0192300454</c:v>
                </c:pt>
                <c:pt idx="72">
                  <c:v>3355439.0192300454</c:v>
                </c:pt>
                <c:pt idx="73">
                  <c:v>3355439.0192300454</c:v>
                </c:pt>
                <c:pt idx="74">
                  <c:v>3355439.0192300454</c:v>
                </c:pt>
                <c:pt idx="75">
                  <c:v>3355439.0192300454</c:v>
                </c:pt>
                <c:pt idx="76">
                  <c:v>3355439.0192300454</c:v>
                </c:pt>
                <c:pt idx="77">
                  <c:v>3355439.0192300454</c:v>
                </c:pt>
                <c:pt idx="78">
                  <c:v>3355439.0192300454</c:v>
                </c:pt>
                <c:pt idx="79">
                  <c:v>3355439.0192300454</c:v>
                </c:pt>
                <c:pt idx="80">
                  <c:v>3355439.0192300454</c:v>
                </c:pt>
                <c:pt idx="81">
                  <c:v>3355439.0192300454</c:v>
                </c:pt>
                <c:pt idx="82">
                  <c:v>3355439.0192300454</c:v>
                </c:pt>
                <c:pt idx="83">
                  <c:v>3355439.0192300454</c:v>
                </c:pt>
                <c:pt idx="84">
                  <c:v>3355439.0192300454</c:v>
                </c:pt>
                <c:pt idx="85">
                  <c:v>3355439.0192300454</c:v>
                </c:pt>
                <c:pt idx="86">
                  <c:v>3355439.0192300454</c:v>
                </c:pt>
                <c:pt idx="87">
                  <c:v>3355439.0192300454</c:v>
                </c:pt>
                <c:pt idx="88">
                  <c:v>3355439.0192300454</c:v>
                </c:pt>
                <c:pt idx="89">
                  <c:v>3355439.0192300454</c:v>
                </c:pt>
                <c:pt idx="90">
                  <c:v>3355439.0192300454</c:v>
                </c:pt>
                <c:pt idx="91">
                  <c:v>3355439.0192300454</c:v>
                </c:pt>
                <c:pt idx="92">
                  <c:v>3355439.0192300454</c:v>
                </c:pt>
                <c:pt idx="93">
                  <c:v>3355439.0192300454</c:v>
                </c:pt>
                <c:pt idx="94">
                  <c:v>3355439.0192300454</c:v>
                </c:pt>
                <c:pt idx="95">
                  <c:v>3355439.0192300454</c:v>
                </c:pt>
                <c:pt idx="96">
                  <c:v>3355439.0192300454</c:v>
                </c:pt>
                <c:pt idx="97">
                  <c:v>3355439.0192300454</c:v>
                </c:pt>
                <c:pt idx="98">
                  <c:v>3355439.0192300454</c:v>
                </c:pt>
                <c:pt idx="99">
                  <c:v>3355439.0192300454</c:v>
                </c:pt>
                <c:pt idx="100">
                  <c:v>3355439.0192300454</c:v>
                </c:pt>
                <c:pt idx="101">
                  <c:v>3355439.0192300454</c:v>
                </c:pt>
                <c:pt idx="102">
                  <c:v>3355439.0192300454</c:v>
                </c:pt>
                <c:pt idx="103">
                  <c:v>3355439.0192300454</c:v>
                </c:pt>
                <c:pt idx="104">
                  <c:v>3355439.0192300454</c:v>
                </c:pt>
                <c:pt idx="105">
                  <c:v>3355439.0192300454</c:v>
                </c:pt>
                <c:pt idx="106">
                  <c:v>3355439.0192300454</c:v>
                </c:pt>
                <c:pt idx="107">
                  <c:v>3355439.0192300454</c:v>
                </c:pt>
                <c:pt idx="108">
                  <c:v>3355439.0192300454</c:v>
                </c:pt>
                <c:pt idx="109">
                  <c:v>3355439.0192300454</c:v>
                </c:pt>
                <c:pt idx="110">
                  <c:v>3355439.0192300454</c:v>
                </c:pt>
                <c:pt idx="111">
                  <c:v>3355439.0192300454</c:v>
                </c:pt>
                <c:pt idx="112">
                  <c:v>3355439.0192300454</c:v>
                </c:pt>
                <c:pt idx="113">
                  <c:v>3355439.0192300454</c:v>
                </c:pt>
                <c:pt idx="114">
                  <c:v>3355439.0192300454</c:v>
                </c:pt>
                <c:pt idx="115">
                  <c:v>3355439.0192300454</c:v>
                </c:pt>
                <c:pt idx="116">
                  <c:v>3355439.0192300454</c:v>
                </c:pt>
                <c:pt idx="117">
                  <c:v>3355439.0192300454</c:v>
                </c:pt>
                <c:pt idx="118">
                  <c:v>3355439.0192300454</c:v>
                </c:pt>
                <c:pt idx="119">
                  <c:v>3355439.0192300454</c:v>
                </c:pt>
                <c:pt idx="120">
                  <c:v>3355439.0192300454</c:v>
                </c:pt>
                <c:pt idx="121">
                  <c:v>3355439.0192300454</c:v>
                </c:pt>
                <c:pt idx="122">
                  <c:v>3355439.0192300454</c:v>
                </c:pt>
                <c:pt idx="123">
                  <c:v>3355439.0192300454</c:v>
                </c:pt>
                <c:pt idx="124">
                  <c:v>3355439.0192300454</c:v>
                </c:pt>
                <c:pt idx="125">
                  <c:v>3355439.0192300454</c:v>
                </c:pt>
                <c:pt idx="126">
                  <c:v>3355439.0192300454</c:v>
                </c:pt>
                <c:pt idx="127">
                  <c:v>3355439.0192300454</c:v>
                </c:pt>
                <c:pt idx="128">
                  <c:v>3355439.0192300454</c:v>
                </c:pt>
                <c:pt idx="129">
                  <c:v>3355439.0192300454</c:v>
                </c:pt>
                <c:pt idx="130">
                  <c:v>3355439.0192300454</c:v>
                </c:pt>
                <c:pt idx="131">
                  <c:v>3355439.0192300454</c:v>
                </c:pt>
                <c:pt idx="132">
                  <c:v>3355439.0192300454</c:v>
                </c:pt>
                <c:pt idx="133">
                  <c:v>3355439.0192300454</c:v>
                </c:pt>
                <c:pt idx="134">
                  <c:v>3355439.0192300454</c:v>
                </c:pt>
                <c:pt idx="135">
                  <c:v>3355439.0192300454</c:v>
                </c:pt>
                <c:pt idx="136">
                  <c:v>3355439.0192300454</c:v>
                </c:pt>
                <c:pt idx="137">
                  <c:v>3355439.0192300454</c:v>
                </c:pt>
                <c:pt idx="138">
                  <c:v>3355439.0192300454</c:v>
                </c:pt>
                <c:pt idx="139">
                  <c:v>3355439.0192300454</c:v>
                </c:pt>
                <c:pt idx="140">
                  <c:v>3355439.0192300454</c:v>
                </c:pt>
                <c:pt idx="141">
                  <c:v>3355439.0192300454</c:v>
                </c:pt>
                <c:pt idx="142">
                  <c:v>3355439.0192300454</c:v>
                </c:pt>
                <c:pt idx="143">
                  <c:v>3355439.0192300454</c:v>
                </c:pt>
                <c:pt idx="144">
                  <c:v>3355439.0192300454</c:v>
                </c:pt>
                <c:pt idx="145">
                  <c:v>3355439.0192300454</c:v>
                </c:pt>
                <c:pt idx="146">
                  <c:v>3355439.0192300454</c:v>
                </c:pt>
                <c:pt idx="147">
                  <c:v>3355439.0192300454</c:v>
                </c:pt>
                <c:pt idx="148">
                  <c:v>3355439.0192300454</c:v>
                </c:pt>
                <c:pt idx="149">
                  <c:v>3355439.0192300454</c:v>
                </c:pt>
                <c:pt idx="150">
                  <c:v>3355439.0192300454</c:v>
                </c:pt>
                <c:pt idx="151">
                  <c:v>3355439.0192300454</c:v>
                </c:pt>
                <c:pt idx="152">
                  <c:v>3355439.0192300454</c:v>
                </c:pt>
                <c:pt idx="153">
                  <c:v>3355439.0192300454</c:v>
                </c:pt>
                <c:pt idx="154">
                  <c:v>3355439.0192300454</c:v>
                </c:pt>
                <c:pt idx="155">
                  <c:v>3355439.0192300454</c:v>
                </c:pt>
                <c:pt idx="156">
                  <c:v>3355439.0192300454</c:v>
                </c:pt>
                <c:pt idx="157">
                  <c:v>3355439.0192300454</c:v>
                </c:pt>
                <c:pt idx="158">
                  <c:v>3355439.0192300454</c:v>
                </c:pt>
                <c:pt idx="159">
                  <c:v>3355439.0192300454</c:v>
                </c:pt>
                <c:pt idx="160">
                  <c:v>3355439.0192300454</c:v>
                </c:pt>
                <c:pt idx="161">
                  <c:v>3355439.0192300454</c:v>
                </c:pt>
                <c:pt idx="162">
                  <c:v>3355439.0192300454</c:v>
                </c:pt>
                <c:pt idx="163">
                  <c:v>3355439.0192300454</c:v>
                </c:pt>
                <c:pt idx="164">
                  <c:v>3355439.0192300454</c:v>
                </c:pt>
                <c:pt idx="165">
                  <c:v>3355439.0192300454</c:v>
                </c:pt>
                <c:pt idx="166">
                  <c:v>3355439.0192300454</c:v>
                </c:pt>
                <c:pt idx="167">
                  <c:v>3355439.0192300454</c:v>
                </c:pt>
                <c:pt idx="168">
                  <c:v>3355439.0192300454</c:v>
                </c:pt>
                <c:pt idx="169">
                  <c:v>3355439.0192300454</c:v>
                </c:pt>
                <c:pt idx="170">
                  <c:v>3355439.0192300454</c:v>
                </c:pt>
                <c:pt idx="171">
                  <c:v>3355439.0192300454</c:v>
                </c:pt>
                <c:pt idx="172">
                  <c:v>3355439.0192300454</c:v>
                </c:pt>
                <c:pt idx="173">
                  <c:v>3355439.0192300454</c:v>
                </c:pt>
                <c:pt idx="174">
                  <c:v>3355439.0192300454</c:v>
                </c:pt>
                <c:pt idx="175">
                  <c:v>3355439.0192300454</c:v>
                </c:pt>
                <c:pt idx="176">
                  <c:v>3355439.0192300454</c:v>
                </c:pt>
                <c:pt idx="177">
                  <c:v>3355439.0192300454</c:v>
                </c:pt>
                <c:pt idx="178">
                  <c:v>3355439.0192300454</c:v>
                </c:pt>
                <c:pt idx="179">
                  <c:v>3355439.0192300454</c:v>
                </c:pt>
                <c:pt idx="180">
                  <c:v>3355439.0192300454</c:v>
                </c:pt>
                <c:pt idx="181">
                  <c:v>3355439.0192300454</c:v>
                </c:pt>
                <c:pt idx="182">
                  <c:v>3355439.0192300454</c:v>
                </c:pt>
                <c:pt idx="183">
                  <c:v>3355439.0192300454</c:v>
                </c:pt>
                <c:pt idx="184">
                  <c:v>3355439.0192300454</c:v>
                </c:pt>
                <c:pt idx="185">
                  <c:v>3355439.0192300454</c:v>
                </c:pt>
                <c:pt idx="186">
                  <c:v>3355439.0192300454</c:v>
                </c:pt>
                <c:pt idx="187">
                  <c:v>3355439.0192300454</c:v>
                </c:pt>
                <c:pt idx="188">
                  <c:v>3355439.0192300454</c:v>
                </c:pt>
                <c:pt idx="189">
                  <c:v>3355439.0192300454</c:v>
                </c:pt>
                <c:pt idx="190">
                  <c:v>3355439.0192300454</c:v>
                </c:pt>
                <c:pt idx="191">
                  <c:v>3355439.0192300454</c:v>
                </c:pt>
                <c:pt idx="192">
                  <c:v>3355439.0192300454</c:v>
                </c:pt>
                <c:pt idx="193">
                  <c:v>3355439.0192300454</c:v>
                </c:pt>
                <c:pt idx="194">
                  <c:v>3355439.0192300454</c:v>
                </c:pt>
                <c:pt idx="195">
                  <c:v>3355439.0192300454</c:v>
                </c:pt>
                <c:pt idx="196">
                  <c:v>3355439.0192300454</c:v>
                </c:pt>
                <c:pt idx="197">
                  <c:v>3355439.0192300454</c:v>
                </c:pt>
                <c:pt idx="198">
                  <c:v>3355439.0192300454</c:v>
                </c:pt>
                <c:pt idx="199">
                  <c:v>3355439.0192300454</c:v>
                </c:pt>
                <c:pt idx="200">
                  <c:v>3355439.0192300454</c:v>
                </c:pt>
                <c:pt idx="201">
                  <c:v>3355439.0192300454</c:v>
                </c:pt>
                <c:pt idx="202">
                  <c:v>3355439.0192300454</c:v>
                </c:pt>
                <c:pt idx="203">
                  <c:v>3355439.0192300454</c:v>
                </c:pt>
                <c:pt idx="204">
                  <c:v>3355439.0192300454</c:v>
                </c:pt>
                <c:pt idx="205">
                  <c:v>3355439.0192300454</c:v>
                </c:pt>
                <c:pt idx="206">
                  <c:v>3355439.0192300454</c:v>
                </c:pt>
                <c:pt idx="207">
                  <c:v>3355439.0192300454</c:v>
                </c:pt>
                <c:pt idx="208">
                  <c:v>3355439.0192300454</c:v>
                </c:pt>
                <c:pt idx="209">
                  <c:v>3355439.0192300454</c:v>
                </c:pt>
                <c:pt idx="210">
                  <c:v>3355439.0192300454</c:v>
                </c:pt>
                <c:pt idx="211">
                  <c:v>3355439.0192300454</c:v>
                </c:pt>
                <c:pt idx="212">
                  <c:v>3355439.0192300454</c:v>
                </c:pt>
                <c:pt idx="213">
                  <c:v>3355439.0192300454</c:v>
                </c:pt>
                <c:pt idx="214">
                  <c:v>3355439.0192300454</c:v>
                </c:pt>
                <c:pt idx="215">
                  <c:v>3355439.0192300454</c:v>
                </c:pt>
                <c:pt idx="216">
                  <c:v>3355439.0192300454</c:v>
                </c:pt>
                <c:pt idx="217">
                  <c:v>3355439.0192300454</c:v>
                </c:pt>
                <c:pt idx="218">
                  <c:v>3355439.0192300454</c:v>
                </c:pt>
                <c:pt idx="219">
                  <c:v>3355439.0192300454</c:v>
                </c:pt>
                <c:pt idx="220">
                  <c:v>3355439.0192300454</c:v>
                </c:pt>
                <c:pt idx="221">
                  <c:v>3355439.0192300454</c:v>
                </c:pt>
                <c:pt idx="222">
                  <c:v>3355439.0192300454</c:v>
                </c:pt>
                <c:pt idx="223">
                  <c:v>3355439.0192300454</c:v>
                </c:pt>
                <c:pt idx="224">
                  <c:v>3355439.0192300454</c:v>
                </c:pt>
                <c:pt idx="225">
                  <c:v>3355439.0192300454</c:v>
                </c:pt>
                <c:pt idx="226">
                  <c:v>3355439.0192300454</c:v>
                </c:pt>
                <c:pt idx="227">
                  <c:v>3355439.0192300454</c:v>
                </c:pt>
                <c:pt idx="228">
                  <c:v>3355439.0192300454</c:v>
                </c:pt>
                <c:pt idx="229">
                  <c:v>3355439.0192300454</c:v>
                </c:pt>
                <c:pt idx="230">
                  <c:v>3355439.0192300454</c:v>
                </c:pt>
                <c:pt idx="231">
                  <c:v>3355439.0192300454</c:v>
                </c:pt>
                <c:pt idx="232">
                  <c:v>3355439.0192300454</c:v>
                </c:pt>
                <c:pt idx="233">
                  <c:v>3355439.0192300454</c:v>
                </c:pt>
                <c:pt idx="234">
                  <c:v>3355439.0192300454</c:v>
                </c:pt>
                <c:pt idx="235">
                  <c:v>3355439.0192300454</c:v>
                </c:pt>
                <c:pt idx="236">
                  <c:v>3355439.0192300454</c:v>
                </c:pt>
                <c:pt idx="237">
                  <c:v>3355439.0192300454</c:v>
                </c:pt>
                <c:pt idx="238">
                  <c:v>3355439.0192300454</c:v>
                </c:pt>
                <c:pt idx="239">
                  <c:v>3355439.0192300454</c:v>
                </c:pt>
                <c:pt idx="240">
                  <c:v>3355439.0192300454</c:v>
                </c:pt>
                <c:pt idx="241">
                  <c:v>3355439.0192300454</c:v>
                </c:pt>
                <c:pt idx="242">
                  <c:v>3355439.0192300454</c:v>
                </c:pt>
                <c:pt idx="243">
                  <c:v>3355439.0192300454</c:v>
                </c:pt>
                <c:pt idx="244">
                  <c:v>3355439.0192300454</c:v>
                </c:pt>
                <c:pt idx="245">
                  <c:v>3355439.0192300454</c:v>
                </c:pt>
                <c:pt idx="246">
                  <c:v>3355439.0192300454</c:v>
                </c:pt>
                <c:pt idx="247">
                  <c:v>3355439.0192300454</c:v>
                </c:pt>
                <c:pt idx="248">
                  <c:v>3355439.0192300454</c:v>
                </c:pt>
                <c:pt idx="249">
                  <c:v>3355439.0192300454</c:v>
                </c:pt>
                <c:pt idx="250">
                  <c:v>3355439.0192300454</c:v>
                </c:pt>
                <c:pt idx="251">
                  <c:v>3355439.0192300454</c:v>
                </c:pt>
                <c:pt idx="252">
                  <c:v>3355439.0192300454</c:v>
                </c:pt>
                <c:pt idx="253">
                  <c:v>3355439.0192300454</c:v>
                </c:pt>
                <c:pt idx="254">
                  <c:v>3355439.0192300454</c:v>
                </c:pt>
                <c:pt idx="255">
                  <c:v>3355439.0192300454</c:v>
                </c:pt>
                <c:pt idx="256">
                  <c:v>3355439.0192300454</c:v>
                </c:pt>
                <c:pt idx="257">
                  <c:v>3355439.0192300454</c:v>
                </c:pt>
                <c:pt idx="258">
                  <c:v>3355439.0192300454</c:v>
                </c:pt>
                <c:pt idx="259">
                  <c:v>3355439.0192300454</c:v>
                </c:pt>
                <c:pt idx="260">
                  <c:v>3355439.0192300454</c:v>
                </c:pt>
                <c:pt idx="261">
                  <c:v>3355439.0192300454</c:v>
                </c:pt>
                <c:pt idx="262">
                  <c:v>3355439.0192300454</c:v>
                </c:pt>
                <c:pt idx="263">
                  <c:v>3355439.0192300454</c:v>
                </c:pt>
                <c:pt idx="264">
                  <c:v>3355439.0192300454</c:v>
                </c:pt>
                <c:pt idx="265">
                  <c:v>3355439.0192300454</c:v>
                </c:pt>
                <c:pt idx="266">
                  <c:v>3355439.0192300454</c:v>
                </c:pt>
                <c:pt idx="267">
                  <c:v>3355439.0192300454</c:v>
                </c:pt>
                <c:pt idx="268">
                  <c:v>3355439.0192300454</c:v>
                </c:pt>
                <c:pt idx="269">
                  <c:v>3355439.0192300454</c:v>
                </c:pt>
                <c:pt idx="270">
                  <c:v>3355439.0192300454</c:v>
                </c:pt>
                <c:pt idx="271">
                  <c:v>3355439.0192300454</c:v>
                </c:pt>
                <c:pt idx="272">
                  <c:v>3355439.0192300454</c:v>
                </c:pt>
                <c:pt idx="273">
                  <c:v>3355439.0192300454</c:v>
                </c:pt>
                <c:pt idx="274">
                  <c:v>3355439.0192300454</c:v>
                </c:pt>
                <c:pt idx="275">
                  <c:v>3355439.0192300454</c:v>
                </c:pt>
                <c:pt idx="276">
                  <c:v>3355439.0192300454</c:v>
                </c:pt>
                <c:pt idx="277">
                  <c:v>3355439.0192300454</c:v>
                </c:pt>
                <c:pt idx="278">
                  <c:v>3355439.0192300454</c:v>
                </c:pt>
                <c:pt idx="279">
                  <c:v>3355439.0192300454</c:v>
                </c:pt>
                <c:pt idx="280">
                  <c:v>3355439.0192300454</c:v>
                </c:pt>
                <c:pt idx="281">
                  <c:v>3355439.0192300454</c:v>
                </c:pt>
                <c:pt idx="282">
                  <c:v>3355439.0192300454</c:v>
                </c:pt>
                <c:pt idx="283">
                  <c:v>3355439.0192300454</c:v>
                </c:pt>
                <c:pt idx="284">
                  <c:v>3355439.0192300454</c:v>
                </c:pt>
                <c:pt idx="285">
                  <c:v>3355439.0192300454</c:v>
                </c:pt>
                <c:pt idx="286">
                  <c:v>3355439.0192300454</c:v>
                </c:pt>
                <c:pt idx="287">
                  <c:v>3355439.0192300454</c:v>
                </c:pt>
                <c:pt idx="288">
                  <c:v>3355439.0192300454</c:v>
                </c:pt>
                <c:pt idx="289">
                  <c:v>3355439.0192300454</c:v>
                </c:pt>
                <c:pt idx="290">
                  <c:v>3355439.0192300454</c:v>
                </c:pt>
                <c:pt idx="291">
                  <c:v>3355439.0192300454</c:v>
                </c:pt>
                <c:pt idx="292">
                  <c:v>3355439.0192300454</c:v>
                </c:pt>
                <c:pt idx="293">
                  <c:v>3355439.0192300454</c:v>
                </c:pt>
                <c:pt idx="294">
                  <c:v>3355439.0192300454</c:v>
                </c:pt>
                <c:pt idx="295">
                  <c:v>3355439.0192300454</c:v>
                </c:pt>
                <c:pt idx="296">
                  <c:v>3355439.0192300454</c:v>
                </c:pt>
                <c:pt idx="297">
                  <c:v>3355439.0192300454</c:v>
                </c:pt>
                <c:pt idx="298">
                  <c:v>3355439.0192300454</c:v>
                </c:pt>
                <c:pt idx="299">
                  <c:v>3355439.0192300454</c:v>
                </c:pt>
                <c:pt idx="300">
                  <c:v>3355439.0192300454</c:v>
                </c:pt>
                <c:pt idx="301">
                  <c:v>3355439.0192300454</c:v>
                </c:pt>
                <c:pt idx="302">
                  <c:v>3355439.0192300454</c:v>
                </c:pt>
                <c:pt idx="303">
                  <c:v>3355439.0192300454</c:v>
                </c:pt>
                <c:pt idx="304">
                  <c:v>3355439.0192300454</c:v>
                </c:pt>
                <c:pt idx="305">
                  <c:v>3355439.0192300454</c:v>
                </c:pt>
                <c:pt idx="306">
                  <c:v>3355439.0192300454</c:v>
                </c:pt>
                <c:pt idx="307">
                  <c:v>3355439.0192300454</c:v>
                </c:pt>
                <c:pt idx="308">
                  <c:v>3355439.0192300454</c:v>
                </c:pt>
                <c:pt idx="309">
                  <c:v>3355439.0192300454</c:v>
                </c:pt>
                <c:pt idx="310">
                  <c:v>3355439.0192300454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328125" defaultRowHeight="13.5"/>
  <cols>
    <col min="1" max="1" width="9.1328125" style="64"/>
    <col min="2" max="2" width="83.9296875" style="65" bestFit="1" customWidth="1"/>
    <col min="3" max="3" width="18.9296875" style="24" customWidth="1"/>
    <col min="4" max="4" width="13.19921875" style="70" customWidth="1"/>
    <col min="5" max="5" width="16.9296875" style="24" customWidth="1"/>
    <col min="6" max="6" width="18.1328125" style="24" customWidth="1"/>
    <col min="7" max="7" width="5.53125" style="24" bestFit="1" customWidth="1"/>
    <col min="8" max="8" width="20.19921875" style="24" bestFit="1" customWidth="1"/>
    <col min="9" max="9" width="2.9296875" style="24" customWidth="1"/>
    <col min="10" max="10" width="46.9296875" style="24" bestFit="1" customWidth="1"/>
    <col min="11" max="11" width="6.19921875" style="3" customWidth="1"/>
    <col min="12" max="12" width="14.1328125" style="24" customWidth="1"/>
    <col min="13" max="16384" width="9.132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0" t="s">
        <v>57</v>
      </c>
      <c r="E47" s="780"/>
      <c r="F47" s="781"/>
      <c r="G47" s="67"/>
      <c r="I47" s="68"/>
      <c r="J47" s="68"/>
    </row>
    <row r="48" spans="1:49" ht="13.9" thickBot="1">
      <c r="C48" s="69">
        <v>44014</v>
      </c>
      <c r="D48" s="782"/>
      <c r="E48" s="782"/>
      <c r="F48" s="78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328125" defaultRowHeight="14.25"/>
  <cols>
    <col min="1" max="1" width="7.1328125" customWidth="1"/>
    <col min="2" max="2" width="37.796875" customWidth="1"/>
    <col min="3" max="3" width="9.1328125" bestFit="1" customWidth="1"/>
    <col min="4" max="4" width="12.1328125" bestFit="1" customWidth="1"/>
    <col min="5" max="5" width="9.9296875" customWidth="1"/>
    <col min="6" max="6" width="33.86328125" customWidth="1"/>
  </cols>
  <sheetData>
    <row r="1" spans="2:10" ht="14.65" thickBot="1"/>
    <row r="2" spans="2:10" ht="15" thickTop="1" thickBot="1">
      <c r="B2" s="784" t="s">
        <v>58</v>
      </c>
      <c r="C2" s="785"/>
      <c r="D2" s="785"/>
      <c r="E2" s="785"/>
      <c r="F2" s="78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84" t="s">
        <v>69</v>
      </c>
      <c r="C16" s="785"/>
      <c r="D16" s="785"/>
      <c r="E16" s="785"/>
      <c r="F16" s="786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="85" zoomScaleNormal="85" workbookViewId="0">
      <selection activeCell="K2" sqref="K2:N4"/>
    </sheetView>
  </sheetViews>
  <sheetFormatPr defaultColWidth="8.19921875" defaultRowHeight="13.5"/>
  <cols>
    <col min="1" max="1" width="0.9296875" style="110" customWidth="1"/>
    <col min="2" max="2" width="6.19921875" style="169" bestFit="1" customWidth="1"/>
    <col min="3" max="3" width="50.59765625" style="24" bestFit="1" customWidth="1"/>
    <col min="4" max="4" width="2.9296875" style="110" customWidth="1"/>
    <col min="5" max="5" width="14.53125" style="24" customWidth="1"/>
    <col min="6" max="6" width="9.9296875" style="166" customWidth="1"/>
    <col min="7" max="7" width="13.59765625" style="64" customWidth="1"/>
    <col min="8" max="8" width="5" style="110" customWidth="1"/>
    <col min="9" max="9" width="13.19921875" style="110" customWidth="1"/>
    <col min="10" max="10" width="11.1328125" style="111" customWidth="1"/>
    <col min="11" max="11" width="14.53125" style="110" customWidth="1"/>
    <col min="12" max="12" width="2.1328125" style="110" customWidth="1"/>
    <col min="13" max="13" width="12.53125" style="110" customWidth="1"/>
    <col min="14" max="14" width="9.9296875" style="110" bestFit="1" customWidth="1"/>
    <col min="15" max="15" width="39.1328125" style="110" bestFit="1" customWidth="1"/>
    <col min="16" max="16" width="0.9296875" style="110" customWidth="1"/>
    <col min="17" max="17" width="5.53125" style="3" customWidth="1"/>
    <col min="18" max="25" width="8.19921875" style="110"/>
    <col min="26" max="16384" width="8.1992187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46077</v>
      </c>
      <c r="O1" s="403">
        <f ca="1">TODAY()</f>
        <v>46077</v>
      </c>
      <c r="Q1" s="3"/>
    </row>
    <row r="2" spans="2:28" ht="14.25" customHeight="1">
      <c r="B2" s="174"/>
      <c r="C2" s="175" t="s">
        <v>0</v>
      </c>
      <c r="D2" s="176"/>
      <c r="E2" s="790" t="s">
        <v>73</v>
      </c>
      <c r="F2" s="791"/>
      <c r="G2" s="791"/>
      <c r="H2" s="792"/>
      <c r="K2" s="801" t="s">
        <v>509</v>
      </c>
      <c r="L2" s="802"/>
      <c r="M2" s="802"/>
      <c r="N2" s="802"/>
      <c r="O2" s="404">
        <v>1</v>
      </c>
    </row>
    <row r="3" spans="2:28" s="110" customFormat="1" ht="13.9">
      <c r="B3" s="177"/>
      <c r="C3" s="178" t="s">
        <v>74</v>
      </c>
      <c r="D3" s="176"/>
      <c r="E3" s="411">
        <v>370</v>
      </c>
      <c r="F3" s="179"/>
      <c r="G3" s="180"/>
      <c r="H3" s="181"/>
      <c r="J3" s="111"/>
      <c r="K3" s="802"/>
      <c r="L3" s="802"/>
      <c r="M3" s="802"/>
      <c r="N3" s="802"/>
      <c r="Q3" s="3"/>
    </row>
    <row r="4" spans="2:28" s="110" customFormat="1" ht="13.9">
      <c r="B4" s="177"/>
      <c r="C4" s="178" t="s">
        <v>75</v>
      </c>
      <c r="D4" s="176"/>
      <c r="E4" s="793" t="s">
        <v>76</v>
      </c>
      <c r="F4" s="794"/>
      <c r="G4" s="794"/>
      <c r="H4" s="795"/>
      <c r="J4" s="111"/>
      <c r="K4" s="802"/>
      <c r="L4" s="802"/>
      <c r="M4" s="802"/>
      <c r="N4" s="802"/>
      <c r="Q4" s="3"/>
    </row>
    <row r="5" spans="2:28" s="110" customFormat="1" ht="13.9">
      <c r="B5" s="177"/>
      <c r="C5" s="178" t="s">
        <v>77</v>
      </c>
      <c r="D5" s="176"/>
      <c r="E5" s="793" t="s">
        <v>78</v>
      </c>
      <c r="F5" s="794"/>
      <c r="G5" s="794"/>
      <c r="H5" s="795"/>
      <c r="J5" s="111"/>
      <c r="Q5" s="3"/>
    </row>
    <row r="6" spans="2:28" ht="13.9">
      <c r="B6" s="182"/>
      <c r="C6" s="183" t="s">
        <v>79</v>
      </c>
      <c r="D6" s="176"/>
      <c r="E6" s="796">
        <v>3355439</v>
      </c>
      <c r="F6" s="797"/>
      <c r="G6" s="797"/>
      <c r="H6" s="798"/>
    </row>
    <row r="7" spans="2:28" s="110" customFormat="1" ht="13.9">
      <c r="B7" s="165"/>
      <c r="C7" s="697" t="s">
        <v>80</v>
      </c>
      <c r="D7" s="698"/>
      <c r="E7" s="699" t="s">
        <v>81</v>
      </c>
      <c r="F7" s="166"/>
      <c r="G7" s="184"/>
      <c r="J7" s="111"/>
      <c r="Q7" s="3"/>
    </row>
    <row r="8" spans="2:28" ht="30" customHeight="1">
      <c r="B8" s="787" t="s">
        <v>82</v>
      </c>
      <c r="C8" s="788" t="s">
        <v>83</v>
      </c>
      <c r="D8" s="213"/>
      <c r="E8" s="789" t="s">
        <v>84</v>
      </c>
      <c r="F8" s="235" t="s">
        <v>85</v>
      </c>
      <c r="G8" s="789" t="s">
        <v>86</v>
      </c>
      <c r="H8" s="236"/>
      <c r="I8" s="789" t="s">
        <v>87</v>
      </c>
      <c r="J8" s="235" t="s">
        <v>85</v>
      </c>
      <c r="K8" s="789" t="s">
        <v>88</v>
      </c>
      <c r="M8" s="410" t="s">
        <v>60</v>
      </c>
      <c r="N8" s="679" t="s">
        <v>89</v>
      </c>
      <c r="O8" s="799" t="s">
        <v>90</v>
      </c>
      <c r="Z8" s="110"/>
      <c r="AA8" s="110"/>
      <c r="AB8" s="110"/>
    </row>
    <row r="9" spans="2:28" ht="13.9">
      <c r="B9" s="787"/>
      <c r="C9" s="788"/>
      <c r="D9" s="213"/>
      <c r="E9" s="789"/>
      <c r="F9" s="124">
        <f>G41-E19</f>
        <v>44</v>
      </c>
      <c r="G9" s="789"/>
      <c r="H9" s="236"/>
      <c r="I9" s="789"/>
      <c r="J9" s="125">
        <f>K41-I19</f>
        <v>245</v>
      </c>
      <c r="K9" s="789"/>
      <c r="M9" s="360">
        <f>AVERAGE(M11,M18,M21,M28,M35,M39,M46,M43)</f>
        <v>0.87764705882352945</v>
      </c>
      <c r="N9" s="360">
        <f ca="1">AVERAGE(N11,N18,N21,N28,N35,N39,N46,N43)</f>
        <v>0.88549827812400506</v>
      </c>
      <c r="O9" s="800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 ht="13.9">
      <c r="B11" s="242">
        <v>1</v>
      </c>
      <c r="C11" s="243" t="s">
        <v>91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 ht="13.9">
      <c r="B12" s="246" t="s">
        <v>92</v>
      </c>
      <c r="C12" s="247" t="s">
        <v>93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 ht="13.9">
      <c r="B13" s="246" t="s">
        <v>94</v>
      </c>
      <c r="C13" s="247" t="s">
        <v>95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 ht="13.9">
      <c r="B14" s="246" t="s">
        <v>96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 ht="13.9">
      <c r="B15" s="246" t="s">
        <v>97</v>
      </c>
      <c r="C15" s="247" t="s">
        <v>98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 ht="13.9">
      <c r="B16" s="246" t="s">
        <v>99</v>
      </c>
      <c r="C16" s="247" t="s">
        <v>100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 ht="13.9">
      <c r="B18" s="242">
        <v>2</v>
      </c>
      <c r="C18" s="243" t="s">
        <v>101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 ht="13.9">
      <c r="B19" s="246" t="s">
        <v>102</v>
      </c>
      <c r="C19" s="247" t="s">
        <v>103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104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 ht="13.9">
      <c r="B21" s="242">
        <v>3</v>
      </c>
      <c r="C21" s="243" t="s">
        <v>105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106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 ht="13.9">
      <c r="B22" s="246" t="s">
        <v>107</v>
      </c>
      <c r="C22" s="247" t="s">
        <v>108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109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 ht="13.9">
      <c r="B23" s="246" t="s">
        <v>110</v>
      </c>
      <c r="C23" s="247" t="s">
        <v>111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 ht="13.9">
      <c r="B24" s="246" t="s">
        <v>112</v>
      </c>
      <c r="C24" s="247" t="s">
        <v>113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 ht="13.9">
      <c r="B25" s="246" t="s">
        <v>114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 ht="13.9">
      <c r="B26" s="246" t="s">
        <v>115</v>
      </c>
      <c r="C26" s="247" t="s">
        <v>116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 ht="13.9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t="13.9" hidden="1">
      <c r="B29" s="246" t="s">
        <v>117</v>
      </c>
      <c r="C29" s="247" t="s">
        <v>118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 ht="13.9">
      <c r="B30" s="246" t="s">
        <v>117</v>
      </c>
      <c r="C30" s="247" t="s">
        <v>119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 ht="13.9">
      <c r="B31" s="246" t="s">
        <v>120</v>
      </c>
      <c r="C31" s="247" t="s">
        <v>121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 ht="13.9">
      <c r="B32" s="246" t="s">
        <v>122</v>
      </c>
      <c r="C32" s="247" t="s">
        <v>123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 ht="13.9">
      <c r="B33" s="246" t="s">
        <v>122</v>
      </c>
      <c r="C33" s="241" t="s">
        <v>124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 ht="13.9">
      <c r="B35" s="242">
        <v>5</v>
      </c>
      <c r="C35" s="243" t="s">
        <v>125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 ht="13.9">
      <c r="B36" s="246" t="s">
        <v>126</v>
      </c>
      <c r="C36" s="247" t="s">
        <v>127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 ht="13.9">
      <c r="B37" s="246" t="s">
        <v>128</v>
      </c>
      <c r="C37" s="247" t="s">
        <v>129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 ht="13.9">
      <c r="B39" s="242">
        <v>6</v>
      </c>
      <c r="C39" s="243" t="s">
        <v>130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 ht="13.9">
      <c r="B40" s="246" t="s">
        <v>131</v>
      </c>
      <c r="C40" s="241" t="s">
        <v>130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 ht="13.9">
      <c r="B41" s="246" t="s">
        <v>132</v>
      </c>
      <c r="C41" s="241" t="s">
        <v>133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 ht="13.9">
      <c r="B43" s="242">
        <v>7</v>
      </c>
      <c r="C43" s="243" t="s">
        <v>134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 ht="13.9">
      <c r="B44" s="246">
        <v>7.1</v>
      </c>
      <c r="C44" s="241" t="s">
        <v>135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 ht="13.9">
      <c r="B46" s="242">
        <v>8</v>
      </c>
      <c r="C46" s="243" t="s">
        <v>136</v>
      </c>
      <c r="D46" s="217"/>
      <c r="E46" s="244">
        <f>MIN(E47:E53)</f>
        <v>45862</v>
      </c>
      <c r="F46" s="245">
        <f>G46-E46</f>
        <v>15</v>
      </c>
      <c r="G46" s="244">
        <f>MAX(G47:G53)</f>
        <v>45877</v>
      </c>
      <c r="H46" s="218"/>
      <c r="I46" s="244">
        <f>MIN(I47:I53)</f>
        <v>46063</v>
      </c>
      <c r="J46" s="245">
        <f>K46-I46</f>
        <v>23</v>
      </c>
      <c r="K46" s="244">
        <f>MAX(K47:K53)</f>
        <v>46086</v>
      </c>
      <c r="L46" s="112"/>
      <c r="M46" s="359">
        <f>(J47*M47+J48*M48+J50*M50+J51*M51+J52*M52+J53*M53)/SUM(J47:J53)</f>
        <v>0.08</v>
      </c>
      <c r="N46" s="359">
        <f ca="1">(K47*N47+K48*N48+K50*N50+K51*N51+K52*N52+K53*N53)/SUM(K47:K53)</f>
        <v>0.14280975440380453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 ht="13.9">
      <c r="B47" s="246">
        <v>8.1</v>
      </c>
      <c r="C47" s="241" t="s">
        <v>137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1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 ht="13.9">
      <c r="B48" s="246">
        <v>8.1999999999999993</v>
      </c>
      <c r="C48" s="241" t="s">
        <v>138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v>46071</v>
      </c>
      <c r="J48" s="249">
        <v>4</v>
      </c>
      <c r="K48" s="251">
        <f>WORKDAY.INTL(I48,J48,1,Data!$C$3:$C$39)</f>
        <v>46077</v>
      </c>
      <c r="M48" s="252">
        <v>0</v>
      </c>
      <c r="N48" s="252">
        <v>0</v>
      </c>
      <c r="Y48" s="24"/>
    </row>
    <row r="49" spans="2:28" ht="13.9">
      <c r="B49" s="714"/>
      <c r="C49" s="715" t="s">
        <v>139</v>
      </c>
      <c r="D49" s="716"/>
      <c r="E49" s="717"/>
      <c r="F49" s="718"/>
      <c r="G49" s="717"/>
      <c r="H49" s="719"/>
      <c r="I49" s="717">
        <v>46083</v>
      </c>
      <c r="J49" s="718">
        <v>1</v>
      </c>
      <c r="K49" s="251">
        <f>WORKDAY.INTL(I49,J49,1,Data!$C$3:$C$39)</f>
        <v>46084</v>
      </c>
      <c r="L49" s="24"/>
      <c r="M49" s="720"/>
      <c r="N49" s="720"/>
      <c r="O49" s="120" t="s">
        <v>140</v>
      </c>
      <c r="Y49" s="24"/>
    </row>
    <row r="50" spans="2:28" ht="13.9">
      <c r="B50" s="246">
        <v>8.3000000000000007</v>
      </c>
      <c r="C50" s="241" t="s">
        <v>141</v>
      </c>
      <c r="D50" s="213"/>
      <c r="E50" s="251">
        <f>WORKDAY.INTL(G48,0,1,Data!$C$3:$C$39)</f>
        <v>45869</v>
      </c>
      <c r="F50" s="249">
        <v>5</v>
      </c>
      <c r="G50" s="251">
        <f>WORKDAY.INTL(E50,F50,1,Data!$C$3:$C$39)</f>
        <v>45876</v>
      </c>
      <c r="H50" s="236"/>
      <c r="I50" s="251">
        <f>WORKDAY.INTL(K48,0,1,Data!$C$3:$C$39)</f>
        <v>46077</v>
      </c>
      <c r="J50" s="249">
        <v>5</v>
      </c>
      <c r="K50" s="251">
        <f>WORKDAY.INTL(I50,J50,1,Data!$C$3:$C$39)</f>
        <v>46084</v>
      </c>
      <c r="M50" s="252">
        <v>0</v>
      </c>
      <c r="N50" s="252">
        <v>0</v>
      </c>
      <c r="O50" s="120"/>
      <c r="Y50" s="24"/>
    </row>
    <row r="51" spans="2:28" ht="13.9">
      <c r="B51" s="246">
        <v>8.4</v>
      </c>
      <c r="C51" s="241" t="s">
        <v>142</v>
      </c>
      <c r="D51" s="213"/>
      <c r="E51" s="251">
        <f>WORKDAY.INTL(E48,0,1,Data!$C$3:$C$39)</f>
        <v>45862</v>
      </c>
      <c r="F51" s="249">
        <v>9</v>
      </c>
      <c r="G51" s="251">
        <f>WORKDAY.INTL(E51,F51,1,Data!$C$3:$C$39)</f>
        <v>45875</v>
      </c>
      <c r="H51" s="236"/>
      <c r="I51" s="251">
        <f>WORKDAY.INTL(I48,0,1,Data!$C$3:$C$39)</f>
        <v>46071</v>
      </c>
      <c r="J51" s="249">
        <v>7</v>
      </c>
      <c r="K51" s="251">
        <f>WORKDAY.INTL(I51,J51,1,Data!$C$3:$C$39)</f>
        <v>46080</v>
      </c>
      <c r="M51" s="252">
        <v>0</v>
      </c>
      <c r="N51" s="252">
        <v>0</v>
      </c>
      <c r="O51" s="120"/>
      <c r="Y51" s="24"/>
    </row>
    <row r="52" spans="2:28" ht="13.9">
      <c r="B52" s="246">
        <v>8.5</v>
      </c>
      <c r="C52" s="241" t="s">
        <v>143</v>
      </c>
      <c r="D52" s="213"/>
      <c r="E52" s="251">
        <f>WORKDAY.INTL(G51,0,1,Data!$C$3:$C$39)</f>
        <v>45875</v>
      </c>
      <c r="F52" s="249">
        <v>1</v>
      </c>
      <c r="G52" s="251">
        <f>WORKDAY.INTL(E52,F52,1,Data!$C$3:$C$39)</f>
        <v>45876</v>
      </c>
      <c r="H52" s="236"/>
      <c r="I52" s="251">
        <v>46085</v>
      </c>
      <c r="J52" s="249">
        <v>1</v>
      </c>
      <c r="K52" s="251">
        <f>WORKDAY.INTL(I52,J52,1,Data!$C$3:$C$39)</f>
        <v>46086</v>
      </c>
      <c r="M52" s="252">
        <v>0</v>
      </c>
      <c r="N52" s="252">
        <v>0</v>
      </c>
      <c r="O52" s="120"/>
      <c r="Y52" s="24"/>
    </row>
    <row r="53" spans="2:28" ht="13.9">
      <c r="B53" s="246">
        <v>8.6</v>
      </c>
      <c r="C53" s="241" t="s">
        <v>144</v>
      </c>
      <c r="D53" s="213"/>
      <c r="E53" s="251">
        <f>WORKDAY.INTL(G48,0,1,Data!$C$3:$C$39)+2</f>
        <v>45871</v>
      </c>
      <c r="F53" s="249">
        <v>5</v>
      </c>
      <c r="G53" s="251">
        <f>WORKDAY.INTL(E53,F53,1,Data!$C$3:$C$39)</f>
        <v>45877</v>
      </c>
      <c r="H53" s="236"/>
      <c r="I53" s="251">
        <f>WORKDAY.INTL(K48,0,1,Data!$C$3:$C$39)+2</f>
        <v>46079</v>
      </c>
      <c r="J53" s="249">
        <v>5</v>
      </c>
      <c r="K53" s="251">
        <f>WORKDAY.INTL(I53,J53,1,Data!$C$3:$C$39)</f>
        <v>46086</v>
      </c>
      <c r="M53" s="252">
        <v>0</v>
      </c>
      <c r="N53" s="252">
        <v>0</v>
      </c>
      <c r="O53" s="120"/>
      <c r="Y53" s="24"/>
    </row>
    <row r="54" spans="2:28" s="110" customFormat="1" ht="4.5" customHeight="1">
      <c r="B54" s="237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Q54" s="122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 spans="2:28" s="3" customFormat="1">
      <c r="B55" s="167"/>
      <c r="E55" s="168"/>
      <c r="F55" s="107"/>
      <c r="I55" s="3" t="s">
        <v>145</v>
      </c>
      <c r="J55" s="107"/>
    </row>
    <row r="56" spans="2:28">
      <c r="B56" s="165"/>
      <c r="C56" s="110"/>
      <c r="E56" s="110"/>
      <c r="G56" s="111"/>
      <c r="O56" s="110" t="s">
        <v>146</v>
      </c>
    </row>
    <row r="57" spans="2:28">
      <c r="B57" s="165"/>
      <c r="C57" s="110"/>
      <c r="E57" s="110"/>
      <c r="G57" s="111"/>
      <c r="O57" s="110" t="s">
        <v>147</v>
      </c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  <row r="222" spans="2:7">
      <c r="B222" s="165"/>
      <c r="C222" s="110"/>
      <c r="E222" s="110"/>
      <c r="G222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K2 M1:M7 N1 N3:N7 P1:P54 O1:O47 O49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K2:N4"/>
    <mergeCell ref="B8:B9"/>
    <mergeCell ref="C8:C9"/>
    <mergeCell ref="E8:E9"/>
    <mergeCell ref="G8:G9"/>
    <mergeCell ref="I8:I9"/>
  </mergeCells>
  <phoneticPr fontId="19" type="noConversion"/>
  <conditionalFormatting sqref="M44:N44 M19:N19 M12:N16 M29:N33 M47:N53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="85" zoomScaleNormal="85" workbookViewId="0">
      <selection activeCell="F17" sqref="F17"/>
    </sheetView>
  </sheetViews>
  <sheetFormatPr defaultColWidth="8.19921875" defaultRowHeight="14.25"/>
  <cols>
    <col min="1" max="1" width="5.53125" style="91" customWidth="1"/>
    <col min="2" max="2" width="5.53125" style="128" customWidth="1"/>
    <col min="3" max="4" width="23.1328125" style="127" customWidth="1"/>
    <col min="5" max="5" width="6.59765625" style="127" customWidth="1"/>
    <col min="6" max="6" width="16.1328125" style="127" customWidth="1"/>
    <col min="7" max="7" width="11.86328125" style="127" bestFit="1" customWidth="1"/>
    <col min="8" max="8" width="18.1328125" style="127" bestFit="1" customWidth="1"/>
    <col min="9" max="9" width="0.9296875" style="127" customWidth="1"/>
    <col min="10" max="10" width="2.9296875" style="91" customWidth="1"/>
    <col min="11" max="11" width="0.9296875" style="173" customWidth="1"/>
    <col min="12" max="12" width="29.19921875" style="91" customWidth="1"/>
    <col min="13" max="13" width="0.9296875" style="127" customWidth="1"/>
    <col min="14" max="14" width="29.19921875" style="127" customWidth="1"/>
    <col min="15" max="15" width="0.9296875" style="91" customWidth="1"/>
    <col min="16" max="16" width="18.796875" style="127" bestFit="1" customWidth="1"/>
    <col min="17" max="17" width="15.19921875" style="127" bestFit="1" customWidth="1"/>
    <col min="18" max="18" width="18.1328125" style="127" customWidth="1"/>
    <col min="19" max="19" width="16.1328125" style="127" bestFit="1" customWidth="1"/>
    <col min="20" max="20" width="18.796875" style="127" bestFit="1" customWidth="1"/>
    <col min="21" max="21" width="15.19921875" style="91" bestFit="1" customWidth="1"/>
    <col min="22" max="23" width="8.19921875" style="91"/>
    <col min="24" max="24" width="5.53125" style="91" bestFit="1" customWidth="1"/>
    <col min="25" max="25" width="14.1328125" style="91" bestFit="1" customWidth="1"/>
    <col min="26" max="26" width="8.19921875" style="91"/>
    <col min="27" max="27" width="14.1328125" style="91" bestFit="1" customWidth="1"/>
    <col min="28" max="28" width="8.19921875" style="127"/>
    <col min="29" max="29" width="12.53125" style="127" bestFit="1" customWidth="1"/>
    <col min="30" max="16384" width="8.1992187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148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15">
      <c r="B3" s="115"/>
      <c r="D3" s="123" t="s">
        <v>149</v>
      </c>
      <c r="F3" s="123" t="s">
        <v>150</v>
      </c>
      <c r="J3" s="139"/>
      <c r="L3" s="408" t="s">
        <v>151</v>
      </c>
      <c r="N3" s="408" t="s">
        <v>152</v>
      </c>
      <c r="P3" s="684" t="s">
        <v>153</v>
      </c>
      <c r="Q3" s="684" t="s">
        <v>154</v>
      </c>
      <c r="R3" s="684" t="s">
        <v>155</v>
      </c>
      <c r="S3" s="684" t="s">
        <v>156</v>
      </c>
      <c r="T3" s="684" t="s">
        <v>157</v>
      </c>
      <c r="U3" s="684" t="s">
        <v>158</v>
      </c>
    </row>
    <row r="4" spans="1:21" s="91" customFormat="1" ht="13.15">
      <c r="B4" s="350">
        <v>1</v>
      </c>
      <c r="C4" s="351" t="s">
        <v>159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160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533554.78</v>
      </c>
    </row>
    <row r="5" spans="1:21" s="91" customFormat="1" ht="15" customHeight="1">
      <c r="B5" s="350">
        <v>2</v>
      </c>
      <c r="C5" s="351" t="s">
        <v>161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162</v>
      </c>
      <c r="H5" s="710" t="s">
        <v>163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164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165</v>
      </c>
    </row>
    <row r="7" spans="1:21" s="91" customFormat="1" ht="15" customHeight="1" thickBot="1">
      <c r="B7" s="350">
        <v>4</v>
      </c>
      <c r="C7" s="351" t="s">
        <v>166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15">
      <c r="B10" s="126" t="s">
        <v>167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25">
      <c r="B12" s="129" t="s">
        <v>82</v>
      </c>
      <c r="C12" s="130" t="s">
        <v>168</v>
      </c>
      <c r="D12" s="131"/>
      <c r="E12" s="129" t="s">
        <v>169</v>
      </c>
      <c r="F12" s="129" t="s">
        <v>170</v>
      </c>
      <c r="H12" s="355" t="s">
        <v>171</v>
      </c>
      <c r="J12" s="139"/>
      <c r="L12" s="164" t="s">
        <v>172</v>
      </c>
      <c r="M12" s="132"/>
      <c r="N12" s="164" t="s">
        <v>173</v>
      </c>
      <c r="O12" s="127"/>
      <c r="P12" s="164" t="s">
        <v>174</v>
      </c>
      <c r="R12" s="377" t="s">
        <v>175</v>
      </c>
    </row>
    <row r="13" spans="1:21" s="91" customFormat="1" ht="13.15">
      <c r="B13" s="350">
        <v>1</v>
      </c>
      <c r="C13" s="805" t="s">
        <v>176</v>
      </c>
      <c r="D13" s="806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177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75">
      <c r="B14" s="152">
        <v>2</v>
      </c>
      <c r="C14" s="805" t="s">
        <v>178</v>
      </c>
      <c r="D14" s="806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177</v>
      </c>
      <c r="N14" s="136">
        <v>45778</v>
      </c>
      <c r="O14" s="127"/>
      <c r="P14" s="136">
        <v>45842</v>
      </c>
      <c r="R14" s="378"/>
    </row>
    <row r="15" spans="1:21" s="91" customFormat="1" ht="12.75">
      <c r="B15" s="350">
        <v>3</v>
      </c>
      <c r="C15" s="805" t="s">
        <v>179</v>
      </c>
      <c r="D15" s="806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177</v>
      </c>
      <c r="N15" s="136">
        <v>45778</v>
      </c>
      <c r="O15" s="127"/>
      <c r="P15" s="136">
        <v>45828</v>
      </c>
      <c r="R15" s="378"/>
    </row>
    <row r="16" spans="1:21" s="91" customFormat="1" ht="12.75">
      <c r="B16" s="350">
        <v>4</v>
      </c>
      <c r="C16" s="803" t="s">
        <v>180</v>
      </c>
      <c r="D16" s="804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177</v>
      </c>
      <c r="M16" s="127"/>
      <c r="N16" s="136">
        <v>45778</v>
      </c>
      <c r="O16" s="127"/>
      <c r="P16" s="136">
        <f>'Project Plan'!K39+13</f>
        <v>46076</v>
      </c>
      <c r="R16" s="378"/>
    </row>
    <row r="17" spans="2:18" s="91" customFormat="1" ht="12.75">
      <c r="B17" s="350">
        <v>5</v>
      </c>
      <c r="C17" s="803" t="s">
        <v>181</v>
      </c>
      <c r="D17" s="804"/>
      <c r="E17" s="133">
        <v>0.25</v>
      </c>
      <c r="F17" s="134">
        <f t="shared" si="0"/>
        <v>838859.75</v>
      </c>
      <c r="G17" s="353"/>
      <c r="H17" s="136">
        <f>'Project Plan'!E51+7</f>
        <v>45869</v>
      </c>
      <c r="J17" s="139"/>
      <c r="L17" s="367" t="s">
        <v>177</v>
      </c>
      <c r="N17" s="136">
        <v>45778</v>
      </c>
      <c r="O17" s="127"/>
      <c r="P17" s="137">
        <f>'Project Plan'!I51+7</f>
        <v>46078</v>
      </c>
      <c r="R17" s="378"/>
    </row>
    <row r="18" spans="2:18" s="91" customFormat="1" ht="12.75">
      <c r="B18" s="350">
        <v>6</v>
      </c>
      <c r="C18" s="803" t="s">
        <v>54</v>
      </c>
      <c r="D18" s="804"/>
      <c r="E18" s="133">
        <v>0.05</v>
      </c>
      <c r="F18" s="134">
        <f t="shared" si="0"/>
        <v>167771.95000000001</v>
      </c>
      <c r="G18" s="353"/>
      <c r="H18" s="136">
        <f>'Project Plan'!K52+7</f>
        <v>46093</v>
      </c>
      <c r="J18" s="139"/>
      <c r="L18" s="367" t="s">
        <v>177</v>
      </c>
      <c r="M18" s="135"/>
      <c r="N18" s="136">
        <v>45778</v>
      </c>
      <c r="O18" s="127"/>
      <c r="P18" s="137">
        <f>'Project Plan'!K52+7</f>
        <v>46093</v>
      </c>
      <c r="R18" s="378"/>
    </row>
    <row r="19" spans="2:18" s="91" customFormat="1" ht="12.75">
      <c r="B19" s="350">
        <v>7</v>
      </c>
      <c r="C19" s="805" t="s">
        <v>182</v>
      </c>
      <c r="D19" s="806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1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183</v>
      </c>
      <c r="C23" s="143" t="s">
        <v>184</v>
      </c>
      <c r="D23" s="143"/>
      <c r="F23" s="144"/>
    </row>
    <row r="24" spans="2:18" s="91" customFormat="1" ht="12.75">
      <c r="C24" s="145" t="s">
        <v>185</v>
      </c>
      <c r="D24" s="146"/>
      <c r="F24" s="147"/>
    </row>
    <row r="25" spans="2:18" s="91" customFormat="1" ht="12.75">
      <c r="C25" s="145" t="s">
        <v>186</v>
      </c>
      <c r="D25" s="146"/>
    </row>
    <row r="26" spans="2:18" s="91" customFormat="1" ht="12.75">
      <c r="C26" s="148" t="s">
        <v>187</v>
      </c>
      <c r="D26" s="149"/>
    </row>
    <row r="27" spans="2:18" s="91" customFormat="1" ht="12.75">
      <c r="C27" s="150" t="s">
        <v>188</v>
      </c>
      <c r="D27" s="146"/>
      <c r="L27" s="114"/>
    </row>
    <row r="28" spans="2:18" s="91" customFormat="1" ht="12.75">
      <c r="B28" s="115"/>
      <c r="C28" s="150" t="s">
        <v>189</v>
      </c>
      <c r="D28" s="146"/>
    </row>
    <row r="29" spans="2:18" s="91" customFormat="1" ht="12.75">
      <c r="B29" s="115"/>
      <c r="C29" s="91" t="s">
        <v>190</v>
      </c>
    </row>
    <row r="30" spans="2:18" s="91" customFormat="1" ht="27.75" customHeight="1">
      <c r="B30" s="115"/>
      <c r="C30" s="151" t="s">
        <v>191</v>
      </c>
      <c r="D30" s="151"/>
      <c r="F30" s="147"/>
    </row>
    <row r="31" spans="2:18" s="91" customFormat="1" ht="12.75">
      <c r="B31" s="115"/>
      <c r="F31" s="144"/>
    </row>
    <row r="32" spans="2:18" s="91" customFormat="1" ht="12.75">
      <c r="B32" s="115"/>
      <c r="F32" s="144"/>
    </row>
    <row r="33" spans="2:6" s="91" customFormat="1" ht="12.75">
      <c r="B33" s="115"/>
      <c r="F33" s="144"/>
    </row>
    <row r="34" spans="2:6" s="91" customFormat="1" ht="12.75">
      <c r="B34" s="115"/>
      <c r="F34" s="144"/>
    </row>
    <row r="35" spans="2:6" s="91" customFormat="1" ht="12.75">
      <c r="B35" s="115"/>
    </row>
    <row r="36" spans="2:6" s="91" customFormat="1" ht="12.75">
      <c r="B36" s="115"/>
    </row>
    <row r="37" spans="2:6" s="91" customFormat="1" ht="12.7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82</v>
      </c>
      <c r="C40" s="130" t="s">
        <v>168</v>
      </c>
      <c r="D40" s="131"/>
      <c r="E40" s="129" t="s">
        <v>169</v>
      </c>
      <c r="F40" s="129" t="s">
        <v>170</v>
      </c>
    </row>
    <row r="41" spans="2:6" s="91" customFormat="1" ht="12.75" hidden="1" customHeight="1">
      <c r="B41" s="152">
        <v>1</v>
      </c>
      <c r="C41" s="153" t="s">
        <v>192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178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179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193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194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2.75">
      <c r="B49" s="115"/>
    </row>
    <row r="50" spans="2:2" s="91" customFormat="1" ht="12.75">
      <c r="B50" s="115"/>
    </row>
    <row r="51" spans="2:2" s="91" customFormat="1" ht="12.75">
      <c r="B51" s="115"/>
    </row>
    <row r="52" spans="2:2" s="91" customFormat="1" ht="12.75">
      <c r="B52" s="115"/>
    </row>
    <row r="53" spans="2:2" s="91" customFormat="1" ht="12.75">
      <c r="B53" s="115"/>
    </row>
    <row r="54" spans="2:2" s="91" customFormat="1" ht="12.75">
      <c r="B54" s="115"/>
    </row>
    <row r="55" spans="2:2" s="91" customFormat="1" ht="12.75">
      <c r="B55" s="115"/>
    </row>
    <row r="56" spans="2:2" s="91" customFormat="1" ht="12.75">
      <c r="B56" s="115"/>
    </row>
    <row r="57" spans="2:2" s="91" customFormat="1" ht="12.75">
      <c r="B57" s="115"/>
    </row>
    <row r="58" spans="2:2" s="91" customFormat="1" ht="12.75">
      <c r="B58" s="115"/>
    </row>
    <row r="59" spans="2:2" s="91" customFormat="1" ht="12.75">
      <c r="B59" s="115"/>
    </row>
    <row r="60" spans="2:2" s="91" customFormat="1" ht="12.75">
      <c r="B60" s="115"/>
    </row>
    <row r="61" spans="2:2" s="91" customFormat="1" ht="12.75">
      <c r="B61" s="115"/>
    </row>
    <row r="62" spans="2:2" s="91" customFormat="1" ht="12.75">
      <c r="B62" s="115"/>
    </row>
    <row r="63" spans="2:2" s="91" customFormat="1" ht="12.75">
      <c r="B63" s="115"/>
    </row>
    <row r="64" spans="2:2" s="91" customFormat="1" ht="12.75">
      <c r="B64" s="115"/>
    </row>
    <row r="65" spans="2:2" s="91" customFormat="1" ht="12.75">
      <c r="B65" s="115"/>
    </row>
    <row r="66" spans="2:2" s="91" customFormat="1" ht="12.75">
      <c r="B66" s="115"/>
    </row>
    <row r="67" spans="2:2" s="91" customFormat="1" ht="12.75">
      <c r="B67" s="115"/>
    </row>
    <row r="68" spans="2:2" s="91" customFormat="1" ht="12.75">
      <c r="B68" s="115"/>
    </row>
    <row r="69" spans="2:2" s="91" customFormat="1" ht="12.75">
      <c r="B69" s="115"/>
    </row>
    <row r="70" spans="2:2" s="91" customFormat="1" ht="12.75">
      <c r="B70" s="115"/>
    </row>
    <row r="71" spans="2:2" s="91" customFormat="1" ht="12.75">
      <c r="B71" s="115"/>
    </row>
    <row r="72" spans="2:2" s="91" customFormat="1" ht="12.75">
      <c r="B72" s="115"/>
    </row>
    <row r="73" spans="2:2" s="91" customFormat="1" ht="12.75">
      <c r="B73" s="115"/>
    </row>
    <row r="74" spans="2:2" s="91" customFormat="1" ht="12.75">
      <c r="B74" s="115"/>
    </row>
    <row r="75" spans="2:2" s="91" customFormat="1" ht="12.75">
      <c r="B75" s="115"/>
    </row>
    <row r="76" spans="2:2" s="91" customFormat="1" ht="12.75">
      <c r="B76" s="115"/>
    </row>
    <row r="77" spans="2:2" s="91" customFormat="1" ht="12.75">
      <c r="B77" s="115"/>
    </row>
    <row r="78" spans="2:2" s="91" customFormat="1" ht="12.75">
      <c r="B78" s="115"/>
    </row>
    <row r="79" spans="2:2" s="91" customFormat="1" ht="12.75">
      <c r="B79" s="115"/>
    </row>
    <row r="80" spans="2:2" s="91" customFormat="1" ht="12.75">
      <c r="B80" s="115"/>
    </row>
    <row r="81" spans="2:2" s="91" customFormat="1" ht="12.75">
      <c r="B81" s="115"/>
    </row>
    <row r="82" spans="2:2" s="91" customFormat="1" ht="12.75">
      <c r="B82" s="115"/>
    </row>
    <row r="83" spans="2:2" s="91" customFormat="1" ht="12.75">
      <c r="B83" s="115"/>
    </row>
    <row r="84" spans="2:2" s="91" customFormat="1" ht="12.75">
      <c r="B84" s="115"/>
    </row>
    <row r="85" spans="2:2" s="91" customFormat="1" ht="12.75">
      <c r="B85" s="115"/>
    </row>
    <row r="86" spans="2:2" s="91" customFormat="1" ht="12.75">
      <c r="B86" s="115"/>
    </row>
    <row r="87" spans="2:2" s="91" customFormat="1" ht="12.75">
      <c r="B87" s="115"/>
    </row>
    <row r="88" spans="2:2" s="91" customFormat="1" ht="12.75">
      <c r="B88" s="115"/>
    </row>
    <row r="89" spans="2:2" s="91" customFormat="1" ht="12.75">
      <c r="B89" s="115"/>
    </row>
    <row r="90" spans="2:2" s="91" customFormat="1" ht="12.75">
      <c r="B90" s="115"/>
    </row>
    <row r="91" spans="2:2" s="91" customFormat="1" ht="12.75">
      <c r="B91" s="115"/>
    </row>
    <row r="92" spans="2:2" s="91" customFormat="1" ht="12.75">
      <c r="B92" s="115"/>
    </row>
    <row r="93" spans="2:2" s="91" customFormat="1" ht="12.75">
      <c r="B93" s="115"/>
    </row>
    <row r="94" spans="2:2" s="91" customFormat="1" ht="12.75">
      <c r="B94" s="115"/>
    </row>
    <row r="95" spans="2:2" s="91" customFormat="1" ht="12.75">
      <c r="B95" s="115"/>
    </row>
    <row r="96" spans="2:2" s="91" customFormat="1" ht="12.75">
      <c r="B96" s="115"/>
    </row>
    <row r="97" spans="2:2" s="91" customFormat="1" ht="12.75">
      <c r="B97" s="115"/>
    </row>
    <row r="98" spans="2:2" s="91" customFormat="1" ht="12.75">
      <c r="B98" s="115"/>
    </row>
    <row r="99" spans="2:2" s="91" customFormat="1" ht="12.75">
      <c r="B99" s="115"/>
    </row>
    <row r="100" spans="2:2" s="91" customFormat="1" ht="12.75">
      <c r="B100" s="115"/>
    </row>
    <row r="101" spans="2:2" s="91" customFormat="1" ht="12.75">
      <c r="B101" s="115"/>
    </row>
    <row r="102" spans="2:2" s="91" customFormat="1" ht="12.75">
      <c r="B102" s="115"/>
    </row>
    <row r="103" spans="2:2" s="91" customFormat="1" ht="12.75">
      <c r="B103" s="115"/>
    </row>
    <row r="104" spans="2:2" s="91" customFormat="1" ht="12.75">
      <c r="B104" s="115"/>
    </row>
    <row r="105" spans="2:2" s="91" customFormat="1" ht="12.75">
      <c r="B105" s="115"/>
    </row>
    <row r="106" spans="2:2" s="91" customFormat="1" ht="12.75">
      <c r="B106" s="115"/>
    </row>
    <row r="107" spans="2:2" s="91" customFormat="1" ht="12.75">
      <c r="B107" s="115"/>
    </row>
    <row r="108" spans="2:2" s="91" customFormat="1" ht="12.75">
      <c r="B108" s="115"/>
    </row>
    <row r="109" spans="2:2" s="91" customFormat="1" ht="12.75">
      <c r="B109" s="115"/>
    </row>
    <row r="110" spans="2:2" s="91" customFormat="1" ht="12.75">
      <c r="B110" s="115"/>
    </row>
    <row r="111" spans="2:2" s="91" customFormat="1" ht="12.75">
      <c r="B111" s="115"/>
    </row>
    <row r="112" spans="2:2" s="91" customFormat="1" ht="12.75">
      <c r="B112" s="115"/>
    </row>
    <row r="113" spans="2:2" s="91" customFormat="1" ht="12.75">
      <c r="B113" s="115"/>
    </row>
    <row r="114" spans="2:2" s="91" customFormat="1" ht="12.75">
      <c r="B114" s="115"/>
    </row>
    <row r="115" spans="2:2" s="91" customFormat="1" ht="12.75">
      <c r="B115" s="115"/>
    </row>
    <row r="116" spans="2:2" s="91" customFormat="1" ht="12.75">
      <c r="B116" s="115"/>
    </row>
    <row r="117" spans="2:2" s="91" customFormat="1" ht="12.75">
      <c r="B117" s="115"/>
    </row>
    <row r="118" spans="2:2" s="91" customFormat="1" ht="12.75">
      <c r="B118" s="115"/>
    </row>
    <row r="119" spans="2:2" s="91" customFormat="1" ht="12.75">
      <c r="B119" s="115"/>
    </row>
    <row r="120" spans="2:2" s="91" customFormat="1" ht="12.75">
      <c r="B120" s="115"/>
    </row>
    <row r="121" spans="2:2" s="91" customFormat="1" ht="12.75">
      <c r="B121" s="115"/>
    </row>
    <row r="122" spans="2:2" s="91" customFormat="1" ht="12.75">
      <c r="B122" s="115"/>
    </row>
    <row r="123" spans="2:2" s="91" customFormat="1" ht="12.75">
      <c r="B123" s="115"/>
    </row>
    <row r="124" spans="2:2" s="91" customFormat="1" ht="12.75">
      <c r="B124" s="115"/>
    </row>
    <row r="125" spans="2:2" s="91" customFormat="1" ht="12.75">
      <c r="B125" s="115"/>
    </row>
    <row r="126" spans="2:2" s="91" customFormat="1" ht="12.75">
      <c r="B126" s="115"/>
    </row>
    <row r="127" spans="2:2" s="91" customFormat="1" ht="12.75">
      <c r="B127" s="115"/>
    </row>
    <row r="128" spans="2:2" s="91" customFormat="1" ht="12.75">
      <c r="B128" s="115"/>
    </row>
    <row r="129" spans="2:2" s="91" customFormat="1" ht="12.75">
      <c r="B129" s="115"/>
    </row>
    <row r="130" spans="2:2" s="91" customFormat="1" ht="12.75">
      <c r="B130" s="115"/>
    </row>
    <row r="131" spans="2:2" s="91" customFormat="1" ht="12.75">
      <c r="B131" s="115"/>
    </row>
    <row r="132" spans="2:2" s="91" customFormat="1" ht="12.75">
      <c r="B132" s="115"/>
    </row>
    <row r="133" spans="2:2" s="91" customFormat="1" ht="12.75">
      <c r="B133" s="115"/>
    </row>
    <row r="134" spans="2:2" s="91" customFormat="1" ht="12.75">
      <c r="B134" s="115"/>
    </row>
    <row r="135" spans="2:2" s="91" customFormat="1" ht="12.75">
      <c r="B135" s="115"/>
    </row>
    <row r="136" spans="2:2" s="91" customFormat="1" ht="12.75">
      <c r="B136" s="115"/>
    </row>
    <row r="137" spans="2:2" s="91" customFormat="1" ht="12.75">
      <c r="B137" s="115"/>
    </row>
    <row r="138" spans="2:2" s="91" customFormat="1" ht="12.75">
      <c r="B138" s="115"/>
    </row>
    <row r="139" spans="2:2" s="91" customFormat="1" ht="12.75">
      <c r="B139" s="115"/>
    </row>
    <row r="140" spans="2:2" s="91" customFormat="1" ht="12.75">
      <c r="B140" s="115"/>
    </row>
    <row r="141" spans="2:2" s="91" customFormat="1" ht="12.75">
      <c r="B141" s="115"/>
    </row>
    <row r="142" spans="2:2" s="91" customFormat="1" ht="12.75">
      <c r="B142" s="115"/>
    </row>
    <row r="143" spans="2:2" s="91" customFormat="1" ht="12.75">
      <c r="B143" s="115"/>
    </row>
    <row r="144" spans="2:2" s="91" customFormat="1" ht="12.75">
      <c r="B144" s="115"/>
    </row>
    <row r="145" spans="2:2" s="91" customFormat="1" ht="12.75">
      <c r="B145" s="115"/>
    </row>
    <row r="146" spans="2:2" s="91" customFormat="1" ht="12.75">
      <c r="B146" s="115"/>
    </row>
    <row r="147" spans="2:2" s="91" customFormat="1" ht="12.75">
      <c r="B147" s="115"/>
    </row>
    <row r="148" spans="2:2" s="91" customFormat="1" ht="12.75">
      <c r="B148" s="115"/>
    </row>
    <row r="149" spans="2:2" s="91" customFormat="1" ht="12.75">
      <c r="B149" s="115"/>
    </row>
    <row r="150" spans="2:2" s="91" customFormat="1" ht="12.75">
      <c r="B150" s="115"/>
    </row>
    <row r="151" spans="2:2" s="91" customFormat="1" ht="12.75">
      <c r="B151" s="115"/>
    </row>
    <row r="152" spans="2:2" s="91" customFormat="1" ht="12.75">
      <c r="B152" s="115"/>
    </row>
    <row r="153" spans="2:2" s="91" customFormat="1" ht="12.75">
      <c r="B153" s="115"/>
    </row>
    <row r="154" spans="2:2" s="91" customFormat="1" ht="12.75">
      <c r="B154" s="115"/>
    </row>
    <row r="155" spans="2:2" s="91" customFormat="1" ht="12.75">
      <c r="B155" s="115"/>
    </row>
    <row r="156" spans="2:2" s="91" customFormat="1" ht="12.75">
      <c r="B156" s="115"/>
    </row>
    <row r="157" spans="2:2" s="91" customFormat="1" ht="12.75">
      <c r="B157" s="115"/>
    </row>
    <row r="158" spans="2:2" s="91" customFormat="1" ht="12.75">
      <c r="B158" s="115"/>
    </row>
    <row r="159" spans="2:2" s="91" customFormat="1" ht="12.75">
      <c r="B159" s="115"/>
    </row>
    <row r="160" spans="2:2" s="91" customFormat="1" ht="12.75">
      <c r="B160" s="115"/>
    </row>
    <row r="161" spans="2:2" s="91" customFormat="1" ht="12.75">
      <c r="B161" s="115"/>
    </row>
    <row r="162" spans="2:2" s="91" customFormat="1" ht="12.75">
      <c r="B162" s="115"/>
    </row>
    <row r="163" spans="2:2" s="91" customFormat="1" ht="12.75">
      <c r="B163" s="115"/>
    </row>
    <row r="164" spans="2:2" s="91" customFormat="1" ht="12.75">
      <c r="B164" s="115"/>
    </row>
    <row r="165" spans="2:2" s="91" customFormat="1" ht="12.75">
      <c r="B165" s="115"/>
    </row>
    <row r="166" spans="2:2" s="91" customFormat="1" ht="12.75">
      <c r="B166" s="115"/>
    </row>
    <row r="167" spans="2:2" s="91" customFormat="1" ht="12.75">
      <c r="B167" s="115"/>
    </row>
    <row r="168" spans="2:2" s="91" customFormat="1" ht="12.75">
      <c r="B168" s="115"/>
    </row>
    <row r="169" spans="2:2" s="91" customFormat="1" ht="12.75">
      <c r="B169" s="115"/>
    </row>
    <row r="170" spans="2:2" s="91" customFormat="1" ht="12.75">
      <c r="B170" s="115"/>
    </row>
    <row r="171" spans="2:2" s="91" customFormat="1" ht="12.75">
      <c r="B171" s="115"/>
    </row>
    <row r="172" spans="2:2" s="91" customFormat="1" ht="12.75">
      <c r="B172" s="115"/>
    </row>
    <row r="173" spans="2:2" s="91" customFormat="1" ht="12.75">
      <c r="B173" s="115"/>
    </row>
    <row r="174" spans="2:2" s="91" customFormat="1" ht="12.75">
      <c r="B174" s="115"/>
    </row>
    <row r="175" spans="2:2" s="91" customFormat="1" ht="12.75">
      <c r="B175" s="115"/>
    </row>
    <row r="176" spans="2:2" s="91" customFormat="1" ht="12.75">
      <c r="B176" s="115"/>
    </row>
    <row r="177" spans="2:2" s="91" customFormat="1" ht="12.75">
      <c r="B177" s="115"/>
    </row>
    <row r="178" spans="2:2" s="91" customFormat="1" ht="12.75">
      <c r="B178" s="115"/>
    </row>
    <row r="179" spans="2:2" s="91" customFormat="1" ht="12.75">
      <c r="B179" s="115"/>
    </row>
    <row r="180" spans="2:2" s="91" customFormat="1" ht="12.75">
      <c r="B180" s="115"/>
    </row>
    <row r="181" spans="2:2" s="91" customFormat="1" ht="12.75">
      <c r="B181" s="115"/>
    </row>
    <row r="182" spans="2:2" s="91" customFormat="1" ht="12.75">
      <c r="B182" s="115"/>
    </row>
    <row r="183" spans="2:2" s="91" customFormat="1" ht="12.75">
      <c r="B183" s="115"/>
    </row>
    <row r="184" spans="2:2" s="91" customFormat="1" ht="12.75">
      <c r="B184" s="115"/>
    </row>
    <row r="185" spans="2:2" s="91" customFormat="1" ht="12.75">
      <c r="B185" s="115"/>
    </row>
    <row r="186" spans="2:2" s="91" customFormat="1" ht="12.75">
      <c r="B186" s="115"/>
    </row>
    <row r="187" spans="2:2" s="91" customFormat="1" ht="12.75">
      <c r="B187" s="115"/>
    </row>
    <row r="188" spans="2:2" s="91" customFormat="1" ht="12.75">
      <c r="B188" s="115"/>
    </row>
    <row r="189" spans="2:2" s="91" customFormat="1" ht="12.75">
      <c r="B189" s="115"/>
    </row>
    <row r="190" spans="2:2" s="91" customFormat="1" ht="12.75">
      <c r="B190" s="115"/>
    </row>
    <row r="191" spans="2:2" s="91" customFormat="1" ht="12.75">
      <c r="B191" s="115"/>
    </row>
    <row r="192" spans="2:2" s="91" customFormat="1" ht="12.75">
      <c r="B192" s="115"/>
    </row>
    <row r="193" spans="2:2" s="91" customFormat="1" ht="12.75">
      <c r="B193" s="115"/>
    </row>
    <row r="194" spans="2:2" s="91" customFormat="1" ht="12.75">
      <c r="B194" s="115"/>
    </row>
    <row r="195" spans="2:2" s="91" customFormat="1" ht="12.75">
      <c r="B195" s="115"/>
    </row>
    <row r="196" spans="2:2" s="91" customFormat="1" ht="12.75">
      <c r="B196" s="115"/>
    </row>
    <row r="197" spans="2:2" s="91" customFormat="1" ht="12.75">
      <c r="B197" s="115"/>
    </row>
    <row r="198" spans="2:2" s="91" customFormat="1" ht="12.75">
      <c r="B198" s="115"/>
    </row>
    <row r="199" spans="2:2" s="91" customFormat="1" ht="12.75">
      <c r="B199" s="115"/>
    </row>
    <row r="200" spans="2:2" s="91" customFormat="1" ht="12.75">
      <c r="B200" s="115"/>
    </row>
    <row r="201" spans="2:2" s="91" customFormat="1" ht="12.75">
      <c r="B201" s="115"/>
    </row>
    <row r="202" spans="2:2" s="91" customFormat="1" ht="12.75">
      <c r="B202" s="115"/>
    </row>
    <row r="203" spans="2:2" s="91" customFormat="1" ht="12.75">
      <c r="B203" s="115"/>
    </row>
    <row r="204" spans="2:2" s="91" customFormat="1" ht="12.75">
      <c r="B204" s="115"/>
    </row>
    <row r="205" spans="2:2" s="91" customFormat="1" ht="12.75">
      <c r="B205" s="115"/>
    </row>
    <row r="206" spans="2:2" s="91" customFormat="1" ht="12.75">
      <c r="B206" s="115"/>
    </row>
    <row r="207" spans="2:2" s="91" customFormat="1" ht="12.75">
      <c r="B207" s="115"/>
    </row>
    <row r="208" spans="2:2" s="91" customFormat="1" ht="12.75">
      <c r="B208" s="115"/>
    </row>
    <row r="209" spans="2:2" s="91" customFormat="1" ht="12.75">
      <c r="B209" s="115"/>
    </row>
    <row r="210" spans="2:2" s="91" customFormat="1" ht="12.75">
      <c r="B210" s="115"/>
    </row>
    <row r="211" spans="2:2" s="91" customFormat="1" ht="12.75">
      <c r="B211" s="115"/>
    </row>
    <row r="212" spans="2:2" s="91" customFormat="1" ht="12.75">
      <c r="B212" s="115"/>
    </row>
    <row r="213" spans="2:2" s="91" customFormat="1" ht="12.75">
      <c r="B213" s="115"/>
    </row>
    <row r="214" spans="2:2" s="91" customFormat="1" ht="12.75">
      <c r="B214" s="115"/>
    </row>
    <row r="215" spans="2:2" s="91" customFormat="1" ht="12.75">
      <c r="B215" s="115"/>
    </row>
    <row r="216" spans="2:2" s="91" customFormat="1" ht="12.75">
      <c r="B216" s="115"/>
    </row>
    <row r="217" spans="2:2" s="91" customFormat="1" ht="12.75">
      <c r="B217" s="115"/>
    </row>
    <row r="218" spans="2:2" s="91" customFormat="1" ht="12.7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328125" defaultRowHeight="12.75"/>
  <cols>
    <col min="1" max="2" width="9.1328125" style="73"/>
    <col min="3" max="3" width="13.19921875" style="73" bestFit="1" customWidth="1"/>
    <col min="4" max="5" width="9.1328125" style="73"/>
    <col min="6" max="6" width="12.53125" style="73" bestFit="1" customWidth="1"/>
    <col min="7" max="7" width="0.9296875" style="73" customWidth="1"/>
    <col min="8" max="8" width="11.1328125" style="73" bestFit="1" customWidth="1"/>
    <col min="9" max="16384" width="9.1328125" style="73"/>
  </cols>
  <sheetData>
    <row r="1" spans="3:8" ht="13.15" thickBot="1"/>
    <row r="2" spans="3:8" ht="13.15" thickBot="1">
      <c r="C2" s="82" t="s">
        <v>195</v>
      </c>
      <c r="F2" s="82" t="s">
        <v>196</v>
      </c>
    </row>
    <row r="3" spans="3:8">
      <c r="C3" s="79">
        <v>45658</v>
      </c>
      <c r="D3" s="73" t="s">
        <v>197</v>
      </c>
      <c r="F3" s="80" t="s">
        <v>198</v>
      </c>
    </row>
    <row r="4" spans="3:8">
      <c r="C4" s="79">
        <v>45737</v>
      </c>
      <c r="D4" s="73" t="s">
        <v>199</v>
      </c>
      <c r="F4" s="80" t="s">
        <v>200</v>
      </c>
    </row>
    <row r="5" spans="3:8">
      <c r="C5" s="79">
        <v>45765</v>
      </c>
      <c r="D5" s="73" t="s">
        <v>201</v>
      </c>
      <c r="F5" s="80" t="s">
        <v>202</v>
      </c>
    </row>
    <row r="6" spans="3:8" ht="13.15" thickBot="1">
      <c r="C6" s="79">
        <v>45768</v>
      </c>
      <c r="D6" s="73" t="s">
        <v>203</v>
      </c>
      <c r="F6" s="81" t="s">
        <v>204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H13" s="73" t="s">
        <v>212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213</v>
      </c>
    </row>
    <row r="40" spans="3:4">
      <c r="C40" s="693">
        <v>46034</v>
      </c>
      <c r="D40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19921875" defaultRowHeight="13.5"/>
  <cols>
    <col min="1" max="1" width="0.9296875" style="24" customWidth="1"/>
    <col min="2" max="2" width="8.19921875" style="64"/>
    <col min="3" max="3" width="2.1328125" style="64" customWidth="1"/>
    <col min="4" max="4" width="21.1328125" style="24" customWidth="1"/>
    <col min="5" max="5" width="0.9296875" style="24" customWidth="1"/>
    <col min="6" max="6" width="19.53125" style="24" customWidth="1"/>
    <col min="7" max="7" width="0.9296875" style="24" customWidth="1"/>
    <col min="8" max="8" width="18.1328125" style="24" customWidth="1"/>
    <col min="9" max="9" width="2.9296875" style="24" customWidth="1"/>
    <col min="10" max="10" width="21.53125" style="24" customWidth="1"/>
    <col min="11" max="11" width="2" style="24" customWidth="1"/>
    <col min="12" max="12" width="53.1328125" style="24" customWidth="1"/>
    <col min="13" max="16384" width="8.1992187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 ht="13.9">
      <c r="A2" s="213"/>
      <c r="B2" s="217" t="s">
        <v>215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25" thickBot="1">
      <c r="A4" s="213"/>
      <c r="B4" s="807"/>
      <c r="C4" s="807"/>
      <c r="D4" s="807"/>
      <c r="E4" s="412"/>
      <c r="F4" s="218" t="s">
        <v>149</v>
      </c>
      <c r="G4" s="213"/>
      <c r="H4" s="218" t="s">
        <v>150</v>
      </c>
      <c r="I4" s="213"/>
      <c r="J4" s="219" t="s">
        <v>216</v>
      </c>
      <c r="K4" s="110"/>
      <c r="L4" s="110"/>
    </row>
    <row r="5" spans="1:12" ht="14.25" thickBot="1">
      <c r="A5" s="213"/>
      <c r="B5" s="808" t="s">
        <v>217</v>
      </c>
      <c r="C5" s="808"/>
      <c r="D5" s="808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6.65" thickBot="1">
      <c r="A7" s="213"/>
      <c r="B7" s="223" t="s">
        <v>82</v>
      </c>
      <c r="C7" s="224"/>
      <c r="D7" s="223" t="s">
        <v>218</v>
      </c>
      <c r="E7" s="224"/>
      <c r="F7" s="225" t="s">
        <v>219</v>
      </c>
      <c r="G7" s="226"/>
      <c r="H7" s="225" t="s">
        <v>220</v>
      </c>
      <c r="I7" s="226"/>
      <c r="J7" s="225" t="s">
        <v>221</v>
      </c>
      <c r="K7" s="170"/>
      <c r="L7" s="113" t="s">
        <v>222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 ht="13.9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 ht="13.9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 ht="13.9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 ht="13.9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 ht="13.9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 ht="13.9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 ht="13.9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 ht="13.9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 ht="13.9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 ht="13.9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 ht="13.9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 ht="13.9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 ht="13.9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 ht="13.9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 ht="13.9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223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L1" zoomScale="85" zoomScaleNormal="85" workbookViewId="0">
      <pane ySplit="4" topLeftCell="A65" activePane="bottomLeft" state="frozen"/>
      <selection activeCell="X33" sqref="X33"/>
      <selection pane="bottomLeft" activeCell="X28" sqref="X28:X43"/>
    </sheetView>
  </sheetViews>
  <sheetFormatPr defaultColWidth="9.1328125" defaultRowHeight="13.5"/>
  <cols>
    <col min="1" max="1" width="2.1328125" style="110" hidden="1" customWidth="1"/>
    <col min="2" max="2" width="6.19921875" style="24" hidden="1" customWidth="1"/>
    <col min="3" max="3" width="20.19921875" style="24" hidden="1" customWidth="1"/>
    <col min="4" max="4" width="51.53125" style="24" hidden="1" customWidth="1"/>
    <col min="5" max="5" width="11.86328125" style="70" hidden="1" customWidth="1"/>
    <col min="6" max="6" width="16.53125" style="473" hidden="1" customWidth="1"/>
    <col min="7" max="7" width="16.9296875" style="24" hidden="1" customWidth="1"/>
    <col min="8" max="8" width="16.9296875" style="110" hidden="1" customWidth="1"/>
    <col min="9" max="9" width="22.19921875" style="348" hidden="1" customWidth="1"/>
    <col min="10" max="10" width="22.19921875" style="348" bestFit="1" customWidth="1"/>
    <col min="11" max="12" width="5.53125" style="110" customWidth="1"/>
    <col min="13" max="13" width="25.53125" style="110" customWidth="1"/>
    <col min="14" max="14" width="48.1328125" style="110" customWidth="1"/>
    <col min="15" max="15" width="15.59765625" style="110" customWidth="1"/>
    <col min="16" max="17" width="16.9296875" style="110" customWidth="1"/>
    <col min="18" max="18" width="47.46484375" style="110" bestFit="1" customWidth="1"/>
    <col min="19" max="19" width="39" style="110" bestFit="1" customWidth="1"/>
    <col min="20" max="23" width="16.9296875" style="110" customWidth="1"/>
    <col min="24" max="24" width="21.1328125" style="110" customWidth="1"/>
    <col min="25" max="25" width="29.19921875" style="110" bestFit="1" customWidth="1"/>
    <col min="26" max="26" width="24.86328125" style="110" bestFit="1" customWidth="1"/>
    <col min="27" max="76" width="16.9296875" style="110" customWidth="1"/>
    <col min="77" max="16384" width="9.13281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730" t="s">
        <v>224</v>
      </c>
      <c r="C2" s="731"/>
      <c r="D2" s="731"/>
      <c r="E2" s="731"/>
      <c r="F2" s="731"/>
      <c r="G2" s="731"/>
      <c r="H2" s="678"/>
      <c r="I2" s="256">
        <f>SUM(I6:I170)</f>
        <v>3002994.7436639969</v>
      </c>
      <c r="J2" s="256">
        <f>SUM(J6:J170)</f>
        <v>3355439.0188350095</v>
      </c>
      <c r="L2" s="732" t="s">
        <v>225</v>
      </c>
      <c r="M2" s="733"/>
      <c r="N2" s="733"/>
      <c r="O2" s="733"/>
      <c r="P2" s="733"/>
      <c r="Q2" s="733"/>
      <c r="R2" s="737" t="s">
        <v>226</v>
      </c>
      <c r="S2" s="738"/>
      <c r="T2" s="738"/>
      <c r="U2" s="738"/>
      <c r="V2" s="738"/>
      <c r="W2" s="739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227</v>
      </c>
      <c r="C4" s="258" t="s">
        <v>228</v>
      </c>
      <c r="D4" s="258" t="s">
        <v>229</v>
      </c>
      <c r="E4" s="258" t="s">
        <v>230</v>
      </c>
      <c r="F4" s="464" t="s">
        <v>231</v>
      </c>
      <c r="G4" s="259" t="s">
        <v>232</v>
      </c>
      <c r="H4" s="370" t="s">
        <v>233</v>
      </c>
      <c r="I4" s="260" t="s">
        <v>234</v>
      </c>
      <c r="J4" s="260" t="str">
        <f>IF(J2-'Revenue Tracking'!D4&gt;=0, "Total Revenue", "ERROR on REV" )</f>
        <v>Total Revenue</v>
      </c>
      <c r="K4" s="163"/>
      <c r="L4" s="257" t="s">
        <v>227</v>
      </c>
      <c r="M4" s="258" t="s">
        <v>235</v>
      </c>
      <c r="N4" s="258" t="s">
        <v>229</v>
      </c>
      <c r="O4" s="258" t="s">
        <v>230</v>
      </c>
      <c r="P4" s="464" t="s">
        <v>231</v>
      </c>
      <c r="Q4" s="372" t="s">
        <v>236</v>
      </c>
      <c r="R4" s="620" t="s">
        <v>237</v>
      </c>
      <c r="S4" s="621" t="s">
        <v>172</v>
      </c>
      <c r="T4" s="370" t="s">
        <v>173</v>
      </c>
      <c r="U4" s="371" t="s">
        <v>238</v>
      </c>
      <c r="V4" s="372" t="s">
        <v>239</v>
      </c>
      <c r="W4" s="370" t="s">
        <v>233</v>
      </c>
      <c r="X4" s="479" t="s">
        <v>234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240</v>
      </c>
      <c r="D6" s="280" t="s">
        <v>241</v>
      </c>
      <c r="E6" s="281"/>
      <c r="F6" s="436"/>
      <c r="G6" s="390">
        <f>D171</f>
        <v>777559.09</v>
      </c>
      <c r="H6" s="533">
        <v>45867</v>
      </c>
      <c r="I6" s="734">
        <f>SUM(G6:G11)</f>
        <v>777559.09</v>
      </c>
      <c r="J6" s="734">
        <f>F171</f>
        <v>883589.875</v>
      </c>
      <c r="K6" s="387"/>
      <c r="L6" s="279">
        <v>1</v>
      </c>
      <c r="M6" s="416" t="s">
        <v>242</v>
      </c>
      <c r="N6" s="280" t="s">
        <v>243</v>
      </c>
      <c r="O6" s="548">
        <v>597</v>
      </c>
      <c r="P6" s="436">
        <f>1.99*620</f>
        <v>1233.8</v>
      </c>
      <c r="Q6" s="390">
        <v>281646.11</v>
      </c>
      <c r="R6" s="586" t="s">
        <v>244</v>
      </c>
      <c r="S6" s="623" t="s">
        <v>245</v>
      </c>
      <c r="T6" s="664">
        <v>45838</v>
      </c>
      <c r="U6" s="668">
        <v>883589.875</v>
      </c>
      <c r="V6" s="724">
        <f>J6-SUM(U6:U11)</f>
        <v>0</v>
      </c>
      <c r="W6" s="533">
        <v>45867</v>
      </c>
      <c r="X6" s="721">
        <f>SUM(Q6:Q11)</f>
        <v>745481.4</v>
      </c>
      <c r="Y6" s="481"/>
    </row>
    <row r="7" spans="1:76" ht="15" customHeight="1">
      <c r="B7" s="309">
        <v>1</v>
      </c>
      <c r="C7" s="417"/>
      <c r="D7" s="388" t="s">
        <v>246</v>
      </c>
      <c r="E7" s="389"/>
      <c r="F7" s="458"/>
      <c r="G7" s="313"/>
      <c r="H7" s="534">
        <v>45883</v>
      </c>
      <c r="I7" s="735"/>
      <c r="J7" s="735"/>
      <c r="K7" s="286"/>
      <c r="L7" s="309">
        <v>1</v>
      </c>
      <c r="M7" s="311" t="s">
        <v>242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245</v>
      </c>
      <c r="T7" s="664">
        <v>45838</v>
      </c>
      <c r="U7" s="660">
        <v>0</v>
      </c>
      <c r="V7" s="725"/>
      <c r="W7" s="534">
        <v>45883</v>
      </c>
      <c r="X7" s="722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35"/>
      <c r="J8" s="735"/>
      <c r="K8" s="286"/>
      <c r="L8" s="309">
        <v>1</v>
      </c>
      <c r="M8" s="311" t="s">
        <v>242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25"/>
      <c r="W8" s="571"/>
      <c r="X8" s="722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35"/>
      <c r="J9" s="735"/>
      <c r="K9" s="286"/>
      <c r="L9" s="309">
        <v>1</v>
      </c>
      <c r="M9" s="311" t="s">
        <v>242</v>
      </c>
      <c r="N9" s="484"/>
      <c r="O9" s="550"/>
      <c r="P9" s="443"/>
      <c r="Q9" s="385">
        <v>4601.3999999999996</v>
      </c>
      <c r="R9" s="588"/>
      <c r="S9" s="625" t="s">
        <v>247</v>
      </c>
      <c r="T9" s="683">
        <v>45930</v>
      </c>
      <c r="U9" s="662">
        <v>0</v>
      </c>
      <c r="V9" s="725"/>
      <c r="W9" s="694">
        <v>45980</v>
      </c>
      <c r="X9" s="722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35"/>
      <c r="J10" s="735"/>
      <c r="K10" s="286"/>
      <c r="L10" s="309">
        <v>1</v>
      </c>
      <c r="M10" s="311" t="s">
        <v>242</v>
      </c>
      <c r="N10" s="484" t="s">
        <v>248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249</v>
      </c>
      <c r="T10" s="643">
        <v>45991</v>
      </c>
      <c r="U10" s="662">
        <v>0</v>
      </c>
      <c r="V10" s="725"/>
      <c r="W10" s="535">
        <v>46045</v>
      </c>
      <c r="X10" s="722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36"/>
      <c r="J11" s="736"/>
      <c r="K11" s="287"/>
      <c r="L11" s="314">
        <v>1</v>
      </c>
      <c r="M11" s="418" t="s">
        <v>242</v>
      </c>
      <c r="N11" s="418" t="s">
        <v>250</v>
      </c>
      <c r="O11" s="551"/>
      <c r="P11" s="459"/>
      <c r="Q11" s="328">
        <v>600</v>
      </c>
      <c r="R11" s="589"/>
      <c r="S11" s="626" t="s">
        <v>249</v>
      </c>
      <c r="T11" s="695">
        <f>T10</f>
        <v>45991</v>
      </c>
      <c r="U11" s="669">
        <v>0</v>
      </c>
      <c r="V11" s="726"/>
      <c r="W11" s="707">
        <f>W10</f>
        <v>46045</v>
      </c>
      <c r="X11" s="723"/>
      <c r="Y11" s="604" t="s">
        <v>251</v>
      </c>
      <c r="Z11" s="605" t="s">
        <v>252</v>
      </c>
    </row>
    <row r="12" spans="1:76" ht="14.2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253</v>
      </c>
      <c r="Z12" s="607">
        <f>G54</f>
        <v>392189.72608695651</v>
      </c>
    </row>
    <row r="13" spans="1:76" ht="14.25" customHeight="1">
      <c r="B13" s="291">
        <v>2</v>
      </c>
      <c r="C13" s="317" t="s">
        <v>254</v>
      </c>
      <c r="D13" s="317" t="s">
        <v>255</v>
      </c>
      <c r="E13" s="363"/>
      <c r="F13" s="456"/>
      <c r="G13" s="294">
        <f>D172</f>
        <v>210000</v>
      </c>
      <c r="H13" s="536">
        <f>H6</f>
        <v>45867</v>
      </c>
      <c r="I13" s="740">
        <f>SUM(G13:G19)</f>
        <v>210000</v>
      </c>
      <c r="J13" s="740">
        <f>F172</f>
        <v>238636.36363636365</v>
      </c>
      <c r="K13" s="295"/>
      <c r="L13" s="291">
        <v>2</v>
      </c>
      <c r="M13" s="419" t="s">
        <v>256</v>
      </c>
      <c r="N13" s="317" t="s">
        <v>257</v>
      </c>
      <c r="O13" s="553">
        <v>3</v>
      </c>
      <c r="P13" s="456">
        <v>68870.349999999991</v>
      </c>
      <c r="Q13" s="294">
        <f>O13*P13</f>
        <v>206611.05</v>
      </c>
      <c r="R13" s="591" t="s">
        <v>244</v>
      </c>
      <c r="S13" s="628" t="s">
        <v>245</v>
      </c>
      <c r="T13" s="665">
        <v>45838</v>
      </c>
      <c r="U13" s="670">
        <v>238636.36363636365</v>
      </c>
      <c r="V13" s="727">
        <f>J13-SUM(U13:U19)</f>
        <v>0</v>
      </c>
      <c r="W13" s="536">
        <f>W6</f>
        <v>45867</v>
      </c>
      <c r="X13" s="743">
        <f>SUM(Q13:Q19)</f>
        <v>206611.05</v>
      </c>
      <c r="Y13" s="606" t="s">
        <v>258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41"/>
      <c r="J14" s="741"/>
      <c r="K14" s="299"/>
      <c r="L14" s="296">
        <v>2</v>
      </c>
      <c r="M14" s="425" t="s">
        <v>256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728"/>
      <c r="W14" s="576"/>
      <c r="X14" s="744"/>
      <c r="Y14" s="606" t="s">
        <v>259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41"/>
      <c r="J15" s="741"/>
      <c r="K15" s="299"/>
      <c r="L15" s="296">
        <v>2</v>
      </c>
      <c r="M15" s="425" t="s">
        <v>256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728"/>
      <c r="W15" s="576"/>
      <c r="X15" s="744"/>
      <c r="Y15" s="606" t="s">
        <v>260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41"/>
      <c r="J16" s="741"/>
      <c r="K16" s="299"/>
      <c r="L16" s="296">
        <v>2</v>
      </c>
      <c r="M16" s="425" t="s">
        <v>256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728"/>
      <c r="W16" s="576"/>
      <c r="X16" s="744"/>
      <c r="Y16" s="606" t="s">
        <v>261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41"/>
      <c r="J17" s="741"/>
      <c r="K17" s="299"/>
      <c r="L17" s="296">
        <v>2</v>
      </c>
      <c r="M17" s="425" t="s">
        <v>256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728"/>
      <c r="W17" s="576"/>
      <c r="X17" s="744"/>
      <c r="Y17" s="606" t="s">
        <v>262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41"/>
      <c r="J18" s="741"/>
      <c r="K18" s="299"/>
      <c r="L18" s="296">
        <v>2</v>
      </c>
      <c r="M18" s="425" t="s">
        <v>256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728"/>
      <c r="W18" s="576"/>
      <c r="X18" s="744"/>
      <c r="Y18" s="606" t="s">
        <v>263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42"/>
      <c r="J19" s="742"/>
      <c r="K19" s="304"/>
      <c r="L19" s="394">
        <v>2</v>
      </c>
      <c r="M19" s="420" t="s">
        <v>256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729"/>
      <c r="W19" s="577"/>
      <c r="X19" s="745"/>
      <c r="Y19" s="606" t="s">
        <v>264</v>
      </c>
      <c r="Z19" s="607">
        <v>0</v>
      </c>
    </row>
    <row r="20" spans="1:26" ht="14.2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265</v>
      </c>
      <c r="D21" s="325" t="s">
        <v>266</v>
      </c>
      <c r="E21" s="281"/>
      <c r="F21" s="436"/>
      <c r="G21" s="282">
        <f>D173</f>
        <v>300883.17</v>
      </c>
      <c r="H21" s="674">
        <v>45867</v>
      </c>
      <c r="I21" s="734">
        <f>SUM(G21:G26)</f>
        <v>300883.17</v>
      </c>
      <c r="J21" s="734">
        <f>F173</f>
        <v>341912.69318181818</v>
      </c>
      <c r="K21" s="283"/>
      <c r="L21" s="279">
        <v>3</v>
      </c>
      <c r="M21" s="421" t="s">
        <v>267</v>
      </c>
      <c r="N21" s="325" t="s">
        <v>268</v>
      </c>
      <c r="O21" s="548"/>
      <c r="P21" s="436"/>
      <c r="Q21" s="282">
        <v>66124.800000000003</v>
      </c>
      <c r="R21" s="594" t="s">
        <v>269</v>
      </c>
      <c r="S21" s="631" t="s">
        <v>270</v>
      </c>
      <c r="T21" s="658">
        <v>45838</v>
      </c>
      <c r="U21" s="659">
        <v>341912.69318181818</v>
      </c>
      <c r="V21" s="724">
        <f>J21-SUM(U21:U26)</f>
        <v>0</v>
      </c>
      <c r="W21" s="674">
        <v>45867</v>
      </c>
      <c r="X21" s="721">
        <f>SUM(Q21:Q26)</f>
        <v>67376.800000000003</v>
      </c>
      <c r="Y21" s="606" t="s">
        <v>271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35"/>
      <c r="J22" s="735"/>
      <c r="K22" s="286"/>
      <c r="L22" s="309">
        <v>3</v>
      </c>
      <c r="M22" s="422" t="s">
        <v>267</v>
      </c>
      <c r="N22" s="326" t="s">
        <v>272</v>
      </c>
      <c r="O22" s="549"/>
      <c r="P22" s="458"/>
      <c r="Q22" s="313">
        <v>1252</v>
      </c>
      <c r="R22" s="587" t="s">
        <v>273</v>
      </c>
      <c r="S22" s="624" t="s">
        <v>274</v>
      </c>
      <c r="T22" s="642">
        <v>46081</v>
      </c>
      <c r="U22" s="660">
        <v>0</v>
      </c>
      <c r="V22" s="725"/>
      <c r="W22" s="571">
        <f>T22+30</f>
        <v>46111</v>
      </c>
      <c r="X22" s="722"/>
      <c r="Y22" s="606" t="s">
        <v>194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35"/>
      <c r="J23" s="735"/>
      <c r="K23" s="286"/>
      <c r="L23" s="309">
        <v>3</v>
      </c>
      <c r="M23" s="422" t="s">
        <v>267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25"/>
      <c r="W23" s="571"/>
      <c r="X23" s="722"/>
      <c r="Y23" s="606" t="s">
        <v>275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35"/>
      <c r="J24" s="735"/>
      <c r="K24" s="286"/>
      <c r="L24" s="309">
        <v>3</v>
      </c>
      <c r="M24" s="422" t="s">
        <v>267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25"/>
      <c r="W24" s="571"/>
      <c r="X24" s="722"/>
      <c r="Y24" s="611" t="s">
        <v>276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35"/>
      <c r="J25" s="735"/>
      <c r="K25" s="286"/>
      <c r="L25" s="309">
        <v>3</v>
      </c>
      <c r="M25" s="422" t="s">
        <v>267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25"/>
      <c r="W25" s="571"/>
      <c r="X25" s="722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36"/>
      <c r="J26" s="736"/>
      <c r="K26" s="287"/>
      <c r="L26" s="314">
        <v>3</v>
      </c>
      <c r="M26" s="423" t="s">
        <v>267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26"/>
      <c r="W26" s="571"/>
      <c r="X26" s="723"/>
      <c r="Y26" s="612" t="s">
        <v>277</v>
      </c>
      <c r="Z26" s="613" t="s">
        <v>278</v>
      </c>
    </row>
    <row r="27" spans="1:26" ht="14.2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258</v>
      </c>
      <c r="D28" s="292" t="s">
        <v>279</v>
      </c>
      <c r="E28" s="363">
        <f>G28/14*1.15</f>
        <v>9962.4499999999989</v>
      </c>
      <c r="F28" s="456"/>
      <c r="G28" s="294">
        <v>121282</v>
      </c>
      <c r="H28" s="536">
        <v>45867</v>
      </c>
      <c r="I28" s="740">
        <f>SUM(G28:G43)</f>
        <v>304127.7</v>
      </c>
      <c r="J28" s="740">
        <f>F174</f>
        <v>345599.65909090912</v>
      </c>
      <c r="K28" s="295"/>
      <c r="L28" s="291">
        <v>4</v>
      </c>
      <c r="M28" s="424" t="s">
        <v>280</v>
      </c>
      <c r="N28" s="292" t="s">
        <v>281</v>
      </c>
      <c r="O28" s="545">
        <v>8000</v>
      </c>
      <c r="P28" s="456">
        <v>13.4</v>
      </c>
      <c r="Q28" s="294">
        <f>O28*P28</f>
        <v>107200</v>
      </c>
      <c r="R28" s="591" t="s">
        <v>244</v>
      </c>
      <c r="S28" s="628" t="s">
        <v>282</v>
      </c>
      <c r="T28" s="665">
        <v>45838</v>
      </c>
      <c r="U28" s="670">
        <v>126768.58884351132</v>
      </c>
      <c r="V28" s="727">
        <f>J28-SUM(U28:U43)</f>
        <v>-4.7398754395544529E-4</v>
      </c>
      <c r="W28" s="536">
        <v>45867</v>
      </c>
      <c r="X28" s="743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283</v>
      </c>
      <c r="E29" s="393"/>
      <c r="F29" s="452"/>
      <c r="G29" s="640">
        <f>D174-G28</f>
        <v>182845.7</v>
      </c>
      <c r="H29" s="536">
        <v>45867</v>
      </c>
      <c r="I29" s="741"/>
      <c r="J29" s="741"/>
      <c r="K29" s="299"/>
      <c r="L29" s="296">
        <v>4</v>
      </c>
      <c r="M29" s="425" t="s">
        <v>280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728"/>
      <c r="W29" s="576"/>
      <c r="X29" s="744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41"/>
      <c r="J30" s="741"/>
      <c r="K30" s="299"/>
      <c r="L30" s="296">
        <v>4</v>
      </c>
      <c r="M30" s="425" t="s">
        <v>280</v>
      </c>
      <c r="N30" s="407" t="s">
        <v>284</v>
      </c>
      <c r="O30" s="546">
        <v>6000</v>
      </c>
      <c r="P30" s="452">
        <v>14</v>
      </c>
      <c r="Q30" s="298">
        <f>88500-4500</f>
        <v>84000</v>
      </c>
      <c r="R30" s="752" t="s">
        <v>285</v>
      </c>
      <c r="S30" s="629" t="s">
        <v>286</v>
      </c>
      <c r="T30" s="651">
        <v>46053</v>
      </c>
      <c r="U30" s="711">
        <v>0</v>
      </c>
      <c r="V30" s="728"/>
      <c r="W30" s="576">
        <v>46079</v>
      </c>
      <c r="X30" s="744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41"/>
      <c r="J31" s="741"/>
      <c r="K31" s="299"/>
      <c r="L31" s="296">
        <v>4</v>
      </c>
      <c r="M31" s="425" t="s">
        <v>280</v>
      </c>
      <c r="N31" s="407" t="s">
        <v>287</v>
      </c>
      <c r="O31" s="554">
        <v>1</v>
      </c>
      <c r="P31" s="452"/>
      <c r="Q31" s="298">
        <v>4500</v>
      </c>
      <c r="R31" s="753"/>
      <c r="S31" s="629" t="s">
        <v>286</v>
      </c>
      <c r="T31" s="651">
        <v>46053</v>
      </c>
      <c r="U31" s="711">
        <v>0</v>
      </c>
      <c r="V31" s="728"/>
      <c r="W31" s="576">
        <v>46079</v>
      </c>
      <c r="X31" s="744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41"/>
      <c r="J32" s="741"/>
      <c r="K32" s="299"/>
      <c r="L32" s="296">
        <v>4</v>
      </c>
      <c r="M32" s="425" t="s">
        <v>280</v>
      </c>
      <c r="N32" s="407" t="s">
        <v>288</v>
      </c>
      <c r="O32" s="565">
        <v>185051.28917090109</v>
      </c>
      <c r="P32" s="566">
        <v>0.1</v>
      </c>
      <c r="Q32" s="298">
        <f>$O$32*P32</f>
        <v>18505.128917090111</v>
      </c>
      <c r="R32" s="749" t="s">
        <v>289</v>
      </c>
      <c r="S32" s="629" t="s">
        <v>290</v>
      </c>
      <c r="T32" s="651">
        <f t="shared" si="0"/>
        <v>45808</v>
      </c>
      <c r="U32" s="661">
        <v>21883.107045730838</v>
      </c>
      <c r="V32" s="728"/>
      <c r="W32" s="537">
        <f>W93</f>
        <v>45792</v>
      </c>
      <c r="X32" s="744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41"/>
      <c r="J33" s="741"/>
      <c r="K33" s="299"/>
      <c r="L33" s="296">
        <v>4</v>
      </c>
      <c r="M33" s="425" t="s">
        <v>280</v>
      </c>
      <c r="N33" s="407" t="s">
        <v>101</v>
      </c>
      <c r="O33" s="554"/>
      <c r="P33" s="566">
        <v>0.15</v>
      </c>
      <c r="Q33" s="298">
        <f t="shared" ref="Q33:Q37" si="2">$O$32*P33</f>
        <v>27757.693375635161</v>
      </c>
      <c r="R33" s="750"/>
      <c r="S33" s="629" t="s">
        <v>290</v>
      </c>
      <c r="T33" s="651">
        <f>IF(W33&gt;1,EOMONTH(W33,0),"")</f>
        <v>45808</v>
      </c>
      <c r="U33" s="661">
        <v>32824.66056859625</v>
      </c>
      <c r="V33" s="728"/>
      <c r="W33" s="537">
        <f>W94</f>
        <v>45792</v>
      </c>
      <c r="X33" s="744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41"/>
      <c r="J34" s="741"/>
      <c r="K34" s="299"/>
      <c r="L34" s="296">
        <v>4</v>
      </c>
      <c r="M34" s="425" t="s">
        <v>280</v>
      </c>
      <c r="N34" s="407" t="s">
        <v>291</v>
      </c>
      <c r="O34" s="554"/>
      <c r="P34" s="566">
        <v>0.2</v>
      </c>
      <c r="Q34" s="298">
        <f t="shared" si="2"/>
        <v>37010.257834180222</v>
      </c>
      <c r="R34" s="750"/>
      <c r="S34" s="629" t="s">
        <v>292</v>
      </c>
      <c r="T34" s="651">
        <v>45869</v>
      </c>
      <c r="U34" s="661">
        <v>43766.214163932236</v>
      </c>
      <c r="V34" s="728"/>
      <c r="W34" s="537">
        <f>W95</f>
        <v>46037</v>
      </c>
      <c r="X34" s="744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41"/>
      <c r="J35" s="741"/>
      <c r="K35" s="299"/>
      <c r="L35" s="296">
        <v>4</v>
      </c>
      <c r="M35" s="425" t="s">
        <v>280</v>
      </c>
      <c r="N35" s="407" t="s">
        <v>293</v>
      </c>
      <c r="O35" s="554"/>
      <c r="P35" s="566">
        <v>0.14000000000000001</v>
      </c>
      <c r="Q35" s="298">
        <v>25907.18</v>
      </c>
      <c r="R35" s="750"/>
      <c r="S35" s="629" t="str">
        <f>S96</f>
        <v>Thula Moya IN04775</v>
      </c>
      <c r="T35" s="651">
        <v>45869</v>
      </c>
      <c r="U35" s="661">
        <v>30636.349342489171</v>
      </c>
      <c r="V35" s="728"/>
      <c r="W35" s="537">
        <f>W96</f>
        <v>45848</v>
      </c>
      <c r="X35" s="744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41"/>
      <c r="J36" s="741"/>
      <c r="K36" s="299"/>
      <c r="L36" s="296">
        <v>4</v>
      </c>
      <c r="M36" s="425" t="s">
        <v>280</v>
      </c>
      <c r="N36" s="407" t="s">
        <v>293</v>
      </c>
      <c r="O36" s="554"/>
      <c r="P36" s="566">
        <v>0.11</v>
      </c>
      <c r="Q36" s="298">
        <f>O32*P36</f>
        <v>20355.641808799119</v>
      </c>
      <c r="R36" s="750"/>
      <c r="S36" s="629" t="s">
        <v>294</v>
      </c>
      <c r="T36" s="651">
        <v>45900</v>
      </c>
      <c r="U36" s="661">
        <v>24071.559966602163</v>
      </c>
      <c r="V36" s="728"/>
      <c r="W36" s="537">
        <f>W97</f>
        <v>45911</v>
      </c>
      <c r="X36" s="744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41"/>
      <c r="J37" s="741"/>
      <c r="K37" s="299"/>
      <c r="L37" s="296">
        <v>4</v>
      </c>
      <c r="M37" s="425" t="s">
        <v>280</v>
      </c>
      <c r="N37" s="407" t="s">
        <v>180</v>
      </c>
      <c r="O37" s="554"/>
      <c r="P37" s="566">
        <v>0.1</v>
      </c>
      <c r="Q37" s="298">
        <f t="shared" si="2"/>
        <v>18505.128917090111</v>
      </c>
      <c r="R37" s="750"/>
      <c r="S37" s="629" t="s">
        <v>295</v>
      </c>
      <c r="T37" s="651">
        <v>45900</v>
      </c>
      <c r="U37" s="661">
        <v>21883.118151456514</v>
      </c>
      <c r="V37" s="728"/>
      <c r="W37" s="576">
        <f t="shared" ref="W37:W40" si="4">W98</f>
        <v>46077</v>
      </c>
      <c r="X37" s="744"/>
      <c r="Y37" s="614" t="s">
        <v>271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41"/>
      <c r="J38" s="741"/>
      <c r="K38" s="299"/>
      <c r="L38" s="296">
        <v>4</v>
      </c>
      <c r="M38" s="425" t="s">
        <v>280</v>
      </c>
      <c r="N38" s="407" t="s">
        <v>296</v>
      </c>
      <c r="O38" s="554"/>
      <c r="P38" s="566">
        <v>0.1</v>
      </c>
      <c r="Q38" s="298">
        <v>18505.11</v>
      </c>
      <c r="R38" s="750"/>
      <c r="S38" s="629" t="s">
        <v>297</v>
      </c>
      <c r="T38" s="651">
        <v>45900</v>
      </c>
      <c r="U38" s="661">
        <v>21883.095781176376</v>
      </c>
      <c r="V38" s="728"/>
      <c r="W38" s="576">
        <f t="shared" si="4"/>
        <v>46084</v>
      </c>
      <c r="X38" s="744"/>
      <c r="Y38" s="614" t="s">
        <v>271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41"/>
      <c r="J39" s="741"/>
      <c r="K39" s="299"/>
      <c r="L39" s="296">
        <v>4</v>
      </c>
      <c r="M39" s="425" t="s">
        <v>280</v>
      </c>
      <c r="N39" s="407" t="s">
        <v>298</v>
      </c>
      <c r="O39" s="554"/>
      <c r="P39" s="566">
        <v>0.05</v>
      </c>
      <c r="Q39" s="298">
        <v>9252.5</v>
      </c>
      <c r="R39" s="750"/>
      <c r="S39" s="629" t="s">
        <v>299</v>
      </c>
      <c r="T39" s="651">
        <v>45900</v>
      </c>
      <c r="U39" s="661">
        <v>10941.482850700935</v>
      </c>
      <c r="V39" s="728"/>
      <c r="W39" s="576">
        <f t="shared" si="4"/>
        <v>46084</v>
      </c>
      <c r="X39" s="744"/>
      <c r="Y39" s="614" t="s">
        <v>194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41"/>
      <c r="J40" s="741"/>
      <c r="K40" s="299"/>
      <c r="L40" s="296">
        <v>4</v>
      </c>
      <c r="M40" s="425" t="s">
        <v>280</v>
      </c>
      <c r="N40" s="407" t="s">
        <v>300</v>
      </c>
      <c r="O40" s="554"/>
      <c r="P40" s="566">
        <v>0.05</v>
      </c>
      <c r="Q40" s="298">
        <v>9252.5</v>
      </c>
      <c r="R40" s="751"/>
      <c r="S40" s="629" t="s">
        <v>301</v>
      </c>
      <c r="T40" s="651">
        <v>45900</v>
      </c>
      <c r="U40" s="661">
        <v>10941.482850700935</v>
      </c>
      <c r="V40" s="728"/>
      <c r="W40" s="576">
        <f t="shared" si="4"/>
        <v>46107</v>
      </c>
      <c r="X40" s="744"/>
      <c r="Y40" s="617" t="s">
        <v>276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41"/>
      <c r="J41" s="741"/>
      <c r="K41" s="299"/>
      <c r="L41" s="296">
        <v>4</v>
      </c>
      <c r="M41" s="425" t="s">
        <v>280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728"/>
      <c r="W41" s="576"/>
      <c r="X41" s="744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41"/>
      <c r="J42" s="741"/>
      <c r="K42" s="299"/>
      <c r="L42" s="296">
        <v>4</v>
      </c>
      <c r="M42" s="425" t="s">
        <v>280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728"/>
      <c r="W42" s="576"/>
      <c r="X42" s="744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42"/>
      <c r="J43" s="742"/>
      <c r="K43" s="304"/>
      <c r="L43" s="300">
        <v>4</v>
      </c>
      <c r="M43" s="426" t="s">
        <v>280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729"/>
      <c r="W43" s="577"/>
      <c r="X43" s="745"/>
      <c r="Y43" s="481"/>
    </row>
    <row r="44" spans="1:26" ht="13.9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302</v>
      </c>
      <c r="D45" s="325" t="s">
        <v>303</v>
      </c>
      <c r="E45" s="281"/>
      <c r="F45" s="436"/>
      <c r="G45" s="282">
        <f>D176-G46</f>
        <v>34000</v>
      </c>
      <c r="H45" s="534">
        <v>45855</v>
      </c>
      <c r="I45" s="734">
        <f>SUM(G45:G52)</f>
        <v>49000</v>
      </c>
      <c r="J45" s="734">
        <f>F176</f>
        <v>55681.818181818184</v>
      </c>
      <c r="K45" s="283"/>
      <c r="L45" s="279">
        <v>5</v>
      </c>
      <c r="M45" s="421" t="s">
        <v>304</v>
      </c>
      <c r="N45" s="325" t="s">
        <v>305</v>
      </c>
      <c r="O45" s="548"/>
      <c r="P45" s="436"/>
      <c r="Q45" s="282">
        <v>8598.35</v>
      </c>
      <c r="R45" s="594" t="s">
        <v>244</v>
      </c>
      <c r="S45" s="631" t="s">
        <v>306</v>
      </c>
      <c r="T45" s="657">
        <v>45808</v>
      </c>
      <c r="U45" s="659">
        <v>12277.093379226768</v>
      </c>
      <c r="V45" s="724">
        <f>J45-SUM(U45:U52)</f>
        <v>-4.47725009144051E-3</v>
      </c>
      <c r="W45" s="534">
        <v>45855</v>
      </c>
      <c r="X45" s="721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307</v>
      </c>
      <c r="E46" s="450"/>
      <c r="F46" s="451"/>
      <c r="G46" s="313">
        <v>15000</v>
      </c>
      <c r="H46" s="534">
        <v>45806</v>
      </c>
      <c r="I46" s="735"/>
      <c r="J46" s="735"/>
      <c r="K46" s="286"/>
      <c r="L46" s="284">
        <v>5</v>
      </c>
      <c r="M46" s="427" t="s">
        <v>304</v>
      </c>
      <c r="N46" s="285" t="s">
        <v>308</v>
      </c>
      <c r="O46" s="556"/>
      <c r="P46" s="451"/>
      <c r="Q46" s="313">
        <v>13695</v>
      </c>
      <c r="R46" s="587" t="s">
        <v>309</v>
      </c>
      <c r="S46" s="624" t="s">
        <v>310</v>
      </c>
      <c r="T46" s="642">
        <v>45777</v>
      </c>
      <c r="U46" s="646">
        <v>19114.237373104399</v>
      </c>
      <c r="V46" s="725"/>
      <c r="W46" s="534">
        <v>45806</v>
      </c>
      <c r="X46" s="722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35"/>
      <c r="J47" s="735"/>
      <c r="K47" s="286"/>
      <c r="L47" s="284">
        <v>5</v>
      </c>
      <c r="M47" s="427" t="s">
        <v>304</v>
      </c>
      <c r="N47" s="285"/>
      <c r="O47" s="556"/>
      <c r="P47" s="451"/>
      <c r="Q47" s="313">
        <v>214.28</v>
      </c>
      <c r="R47" s="587"/>
      <c r="S47" s="624" t="s">
        <v>311</v>
      </c>
      <c r="T47" s="642">
        <v>45838</v>
      </c>
      <c r="U47" s="660">
        <v>332.10278694680039</v>
      </c>
      <c r="V47" s="725"/>
      <c r="W47" s="674">
        <v>45867</v>
      </c>
      <c r="X47" s="722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35"/>
      <c r="J48" s="735"/>
      <c r="K48" s="286"/>
      <c r="L48" s="284">
        <v>5</v>
      </c>
      <c r="M48" s="427" t="s">
        <v>304</v>
      </c>
      <c r="N48" s="311" t="s">
        <v>312</v>
      </c>
      <c r="O48" s="549"/>
      <c r="P48" s="458"/>
      <c r="Q48" s="313">
        <v>11169</v>
      </c>
      <c r="R48" s="587"/>
      <c r="S48" s="624" t="s">
        <v>313</v>
      </c>
      <c r="T48" s="642">
        <v>45838</v>
      </c>
      <c r="U48" s="660">
        <v>20789.453069856329</v>
      </c>
      <c r="V48" s="725"/>
      <c r="W48" s="534">
        <v>45838</v>
      </c>
      <c r="X48" s="722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35"/>
      <c r="J49" s="735"/>
      <c r="K49" s="286"/>
      <c r="L49" s="309">
        <v>5</v>
      </c>
      <c r="M49" s="427" t="s">
        <v>304</v>
      </c>
      <c r="N49" s="311" t="s">
        <v>314</v>
      </c>
      <c r="O49" s="549"/>
      <c r="P49" s="458"/>
      <c r="Q49" s="313">
        <v>2250.5</v>
      </c>
      <c r="R49" s="587" t="s">
        <v>315</v>
      </c>
      <c r="S49" s="624" t="s">
        <v>316</v>
      </c>
      <c r="T49" s="656">
        <v>45808</v>
      </c>
      <c r="U49" s="660">
        <v>3168.9360499339805</v>
      </c>
      <c r="V49" s="725"/>
      <c r="W49" s="534">
        <v>45799</v>
      </c>
      <c r="X49" s="722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35"/>
      <c r="J50" s="735"/>
      <c r="K50" s="286"/>
      <c r="L50" s="309">
        <v>5</v>
      </c>
      <c r="M50" s="427" t="s">
        <v>304</v>
      </c>
      <c r="N50" s="386" t="s">
        <v>317</v>
      </c>
      <c r="O50" s="550"/>
      <c r="P50" s="443"/>
      <c r="Q50" s="385">
        <v>7197.5</v>
      </c>
      <c r="R50" s="588" t="s">
        <v>318</v>
      </c>
      <c r="S50" s="625" t="s">
        <v>319</v>
      </c>
      <c r="T50" s="643">
        <v>46081</v>
      </c>
      <c r="U50" s="502">
        <v>0</v>
      </c>
      <c r="V50" s="725"/>
      <c r="W50" s="572">
        <v>46111</v>
      </c>
      <c r="X50" s="722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35"/>
      <c r="J51" s="735"/>
      <c r="K51" s="286"/>
      <c r="L51" s="309">
        <v>5</v>
      </c>
      <c r="M51" s="427" t="s">
        <v>304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25"/>
      <c r="W51" s="572"/>
      <c r="X51" s="722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36"/>
      <c r="J52" s="736"/>
      <c r="K52" s="287"/>
      <c r="L52" s="314">
        <v>5</v>
      </c>
      <c r="M52" s="423" t="s">
        <v>304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26"/>
      <c r="W52" s="573"/>
      <c r="X52" s="723"/>
      <c r="Y52" s="481"/>
    </row>
    <row r="53" spans="1:25" ht="14.2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253</v>
      </c>
      <c r="D54" s="293" t="s">
        <v>320</v>
      </c>
      <c r="E54" s="474"/>
      <c r="F54" s="456"/>
      <c r="G54" s="294">
        <f>D175</f>
        <v>392189.72608695651</v>
      </c>
      <c r="H54" s="655">
        <v>45866</v>
      </c>
      <c r="I54" s="740">
        <f>SUM(G54:G71)</f>
        <v>392189.72608695651</v>
      </c>
      <c r="J54" s="740">
        <f>F175</f>
        <v>445670.14328063239</v>
      </c>
      <c r="K54" s="295"/>
      <c r="L54" s="291">
        <v>6</v>
      </c>
      <c r="M54" s="430" t="s">
        <v>321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27">
        <f>J54-SUM(U54:U71)</f>
        <v>-4.5099278213456273E-4</v>
      </c>
      <c r="W54" s="575"/>
      <c r="X54" s="743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41"/>
      <c r="J55" s="741"/>
      <c r="K55" s="299"/>
      <c r="L55" s="296">
        <v>6</v>
      </c>
      <c r="M55" s="428" t="s">
        <v>321</v>
      </c>
      <c r="N55" s="442" t="s">
        <v>322</v>
      </c>
      <c r="O55" s="554"/>
      <c r="P55" s="452"/>
      <c r="Q55" s="319">
        <v>117330.71</v>
      </c>
      <c r="R55" s="592" t="s">
        <v>323</v>
      </c>
      <c r="S55" s="629" t="s">
        <v>324</v>
      </c>
      <c r="T55" s="651">
        <v>45838</v>
      </c>
      <c r="U55" s="661">
        <v>248633.70594693569</v>
      </c>
      <c r="V55" s="728"/>
      <c r="W55" s="655">
        <v>45867</v>
      </c>
      <c r="X55" s="744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41"/>
      <c r="J56" s="741"/>
      <c r="K56" s="299"/>
      <c r="L56" s="296">
        <v>6</v>
      </c>
      <c r="M56" s="428" t="s">
        <v>321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728"/>
      <c r="W56" s="576"/>
      <c r="X56" s="744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41"/>
      <c r="J57" s="741"/>
      <c r="K57" s="299"/>
      <c r="L57" s="296">
        <v>6</v>
      </c>
      <c r="M57" s="428" t="s">
        <v>321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728"/>
      <c r="W57" s="576"/>
      <c r="X57" s="744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41"/>
      <c r="J58" s="741"/>
      <c r="K58" s="299"/>
      <c r="L58" s="296">
        <v>6</v>
      </c>
      <c r="M58" s="428" t="s">
        <v>321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728"/>
      <c r="W58" s="576"/>
      <c r="X58" s="744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41"/>
      <c r="J59" s="741"/>
      <c r="K59" s="299"/>
      <c r="L59" s="296">
        <v>6</v>
      </c>
      <c r="M59" s="428" t="s">
        <v>321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728"/>
      <c r="W59" s="576"/>
      <c r="X59" s="744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41"/>
      <c r="J60" s="741"/>
      <c r="K60" s="299"/>
      <c r="L60" s="296">
        <v>6</v>
      </c>
      <c r="M60" s="428" t="s">
        <v>321</v>
      </c>
      <c r="N60" s="407" t="s">
        <v>288</v>
      </c>
      <c r="O60" s="565">
        <v>92394.534402792444</v>
      </c>
      <c r="P60" s="566">
        <v>0.1</v>
      </c>
      <c r="Q60" s="298">
        <f>$O$60*P60</f>
        <v>9239.4534402792451</v>
      </c>
      <c r="R60" s="749" t="s">
        <v>289</v>
      </c>
      <c r="S60" s="629" t="s">
        <v>290</v>
      </c>
      <c r="T60" s="651">
        <f t="shared" si="0"/>
        <v>45808</v>
      </c>
      <c r="U60" s="661">
        <v>19912.532561219716</v>
      </c>
      <c r="V60" s="728"/>
      <c r="W60" s="537">
        <f>W93</f>
        <v>45792</v>
      </c>
      <c r="X60" s="744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41"/>
      <c r="J61" s="741"/>
      <c r="K61" s="299"/>
      <c r="L61" s="296">
        <v>6</v>
      </c>
      <c r="M61" s="429" t="s">
        <v>321</v>
      </c>
      <c r="N61" s="407" t="s">
        <v>101</v>
      </c>
      <c r="O61" s="554"/>
      <c r="P61" s="566">
        <v>0.15</v>
      </c>
      <c r="Q61" s="298">
        <f t="shared" ref="Q61:Q62" si="6">$O$60*P61</f>
        <v>13859.180160418866</v>
      </c>
      <c r="R61" s="750"/>
      <c r="S61" s="629" t="s">
        <v>290</v>
      </c>
      <c r="T61" s="651">
        <f t="shared" si="0"/>
        <v>45808</v>
      </c>
      <c r="U61" s="661">
        <v>29868.798841829572</v>
      </c>
      <c r="V61" s="728"/>
      <c r="W61" s="655">
        <f>W94</f>
        <v>45792</v>
      </c>
      <c r="X61" s="744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41"/>
      <c r="J62" s="741"/>
      <c r="K62" s="299"/>
      <c r="L62" s="296">
        <v>6</v>
      </c>
      <c r="M62" s="429" t="s">
        <v>321</v>
      </c>
      <c r="N62" s="407" t="s">
        <v>291</v>
      </c>
      <c r="O62" s="554"/>
      <c r="P62" s="566">
        <v>0.2</v>
      </c>
      <c r="Q62" s="298">
        <f t="shared" si="6"/>
        <v>18478.90688055849</v>
      </c>
      <c r="R62" s="750"/>
      <c r="S62" s="629" t="s">
        <v>292</v>
      </c>
      <c r="T62" s="651">
        <v>45869</v>
      </c>
      <c r="U62" s="661">
        <v>39268.030368539163</v>
      </c>
      <c r="V62" s="728"/>
      <c r="W62" s="537">
        <f>W95</f>
        <v>46037</v>
      </c>
      <c r="X62" s="744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41"/>
      <c r="J63" s="741"/>
      <c r="K63" s="299"/>
      <c r="L63" s="296">
        <v>6</v>
      </c>
      <c r="M63" s="429" t="s">
        <v>321</v>
      </c>
      <c r="N63" s="407" t="s">
        <v>293</v>
      </c>
      <c r="O63" s="554"/>
      <c r="P63" s="566">
        <v>0.14000000000000001</v>
      </c>
      <c r="Q63" s="298">
        <v>12935.23</v>
      </c>
      <c r="R63" s="750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728"/>
      <c r="W63" s="537">
        <f>W96</f>
        <v>45848</v>
      </c>
      <c r="X63" s="744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41"/>
      <c r="J64" s="741"/>
      <c r="K64" s="299"/>
      <c r="L64" s="296">
        <v>6</v>
      </c>
      <c r="M64" s="429" t="s">
        <v>321</v>
      </c>
      <c r="N64" s="407" t="s">
        <v>293</v>
      </c>
      <c r="O64" s="554"/>
      <c r="P64" s="566">
        <v>0.11</v>
      </c>
      <c r="Q64" s="298">
        <f>O60*P64</f>
        <v>10163.398784307168</v>
      </c>
      <c r="R64" s="750"/>
      <c r="S64" s="629" t="s">
        <v>294</v>
      </c>
      <c r="T64" s="651">
        <v>45900</v>
      </c>
      <c r="U64" s="661">
        <v>21597.586003902306</v>
      </c>
      <c r="V64" s="728"/>
      <c r="W64" s="537">
        <f>W97</f>
        <v>45911</v>
      </c>
      <c r="X64" s="744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41"/>
      <c r="J65" s="741"/>
      <c r="K65" s="299"/>
      <c r="L65" s="296">
        <v>6</v>
      </c>
      <c r="M65" s="429" t="s">
        <v>321</v>
      </c>
      <c r="N65" s="407" t="s">
        <v>180</v>
      </c>
      <c r="O65" s="554"/>
      <c r="P65" s="566">
        <v>0.1</v>
      </c>
      <c r="Q65" s="298">
        <v>9239.4599999999991</v>
      </c>
      <c r="R65" s="750"/>
      <c r="S65" s="629" t="s">
        <v>295</v>
      </c>
      <c r="T65" s="651">
        <v>45900</v>
      </c>
      <c r="U65" s="661">
        <v>19634.037579449192</v>
      </c>
      <c r="V65" s="728"/>
      <c r="W65" s="576">
        <f t="shared" ref="W65:W68" si="8">W98</f>
        <v>46077</v>
      </c>
      <c r="X65" s="744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41"/>
      <c r="J66" s="741"/>
      <c r="K66" s="299"/>
      <c r="L66" s="296">
        <v>6</v>
      </c>
      <c r="M66" s="429" t="s">
        <v>321</v>
      </c>
      <c r="N66" s="407" t="s">
        <v>296</v>
      </c>
      <c r="O66" s="554"/>
      <c r="P66" s="566">
        <v>0.1</v>
      </c>
      <c r="Q66" s="298">
        <v>9239.41</v>
      </c>
      <c r="R66" s="750"/>
      <c r="S66" s="633" t="s">
        <v>297</v>
      </c>
      <c r="T66" s="651">
        <v>45900</v>
      </c>
      <c r="U66" s="676">
        <v>19633.931328447623</v>
      </c>
      <c r="V66" s="728"/>
      <c r="W66" s="576">
        <f t="shared" si="8"/>
        <v>46084</v>
      </c>
      <c r="X66" s="744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41"/>
      <c r="J67" s="741"/>
      <c r="K67" s="299"/>
      <c r="L67" s="296">
        <v>6</v>
      </c>
      <c r="M67" s="429" t="s">
        <v>321</v>
      </c>
      <c r="N67" s="407" t="s">
        <v>298</v>
      </c>
      <c r="O67" s="554"/>
      <c r="P67" s="566">
        <v>0.05</v>
      </c>
      <c r="Q67" s="298">
        <v>4619.7</v>
      </c>
      <c r="R67" s="750"/>
      <c r="S67" s="633" t="s">
        <v>299</v>
      </c>
      <c r="T67" s="651">
        <v>45900</v>
      </c>
      <c r="U67" s="676">
        <v>9816.9550391236535</v>
      </c>
      <c r="V67" s="728"/>
      <c r="W67" s="576">
        <f t="shared" si="8"/>
        <v>46084</v>
      </c>
      <c r="X67" s="744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41"/>
      <c r="J68" s="741"/>
      <c r="K68" s="299"/>
      <c r="L68" s="296">
        <v>6</v>
      </c>
      <c r="M68" s="429" t="s">
        <v>321</v>
      </c>
      <c r="N68" s="407" t="s">
        <v>300</v>
      </c>
      <c r="O68" s="554"/>
      <c r="P68" s="566">
        <v>0.05</v>
      </c>
      <c r="Q68" s="298">
        <v>4619.7</v>
      </c>
      <c r="R68" s="751"/>
      <c r="S68" s="633" t="s">
        <v>301</v>
      </c>
      <c r="T68" s="651">
        <v>45900</v>
      </c>
      <c r="U68" s="676">
        <v>9816.9550391236535</v>
      </c>
      <c r="V68" s="728"/>
      <c r="W68" s="576">
        <f t="shared" si="8"/>
        <v>46107</v>
      </c>
      <c r="X68" s="744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41"/>
      <c r="J69" s="741"/>
      <c r="K69" s="299"/>
      <c r="L69" s="296">
        <v>6</v>
      </c>
      <c r="M69" s="429" t="s">
        <v>321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728"/>
      <c r="W69" s="579"/>
      <c r="X69" s="744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41"/>
      <c r="J70" s="741"/>
      <c r="K70" s="299"/>
      <c r="L70" s="296">
        <v>6</v>
      </c>
      <c r="M70" s="429" t="s">
        <v>321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728"/>
      <c r="W70" s="579"/>
      <c r="X70" s="744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42"/>
      <c r="J71" s="742"/>
      <c r="K71" s="304"/>
      <c r="L71" s="300">
        <v>6</v>
      </c>
      <c r="M71" s="431" t="s">
        <v>321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729"/>
      <c r="W71" s="577"/>
      <c r="X71" s="745"/>
      <c r="Y71" s="481"/>
    </row>
    <row r="72" spans="1:25" ht="13.9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325</v>
      </c>
      <c r="D73" s="380"/>
      <c r="E73" s="461"/>
      <c r="F73" s="467"/>
      <c r="G73" s="381"/>
      <c r="H73" s="581"/>
      <c r="I73" s="734">
        <f>SUM(G73:G80)</f>
        <v>0</v>
      </c>
      <c r="J73" s="734">
        <v>0</v>
      </c>
      <c r="K73" s="283"/>
      <c r="L73" s="379">
        <v>7</v>
      </c>
      <c r="M73" s="307" t="s">
        <v>326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46">
        <f>J73-SUM(U73:U80)</f>
        <v>0</v>
      </c>
      <c r="W73" s="581"/>
      <c r="X73" s="721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35"/>
      <c r="J74" s="735"/>
      <c r="K74" s="286"/>
      <c r="L74" s="382">
        <v>7</v>
      </c>
      <c r="M74" s="383" t="s">
        <v>326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47"/>
      <c r="W74" s="572"/>
      <c r="X74" s="722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35"/>
      <c r="J75" s="735"/>
      <c r="K75" s="286"/>
      <c r="L75" s="382">
        <v>7</v>
      </c>
      <c r="M75" s="383" t="s">
        <v>326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47"/>
      <c r="W75" s="572"/>
      <c r="X75" s="722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35"/>
      <c r="J76" s="735"/>
      <c r="K76" s="286"/>
      <c r="L76" s="382">
        <v>7</v>
      </c>
      <c r="M76" s="383" t="s">
        <v>326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47"/>
      <c r="W76" s="572"/>
      <c r="X76" s="722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35"/>
      <c r="J77" s="735"/>
      <c r="K77" s="286"/>
      <c r="L77" s="382">
        <v>7</v>
      </c>
      <c r="M77" s="383" t="s">
        <v>326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47"/>
      <c r="W77" s="572"/>
      <c r="X77" s="722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35"/>
      <c r="J78" s="735"/>
      <c r="K78" s="286"/>
      <c r="L78" s="382">
        <v>7</v>
      </c>
      <c r="M78" s="383" t="s">
        <v>326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47"/>
      <c r="W78" s="572"/>
      <c r="X78" s="722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35"/>
      <c r="J79" s="735"/>
      <c r="K79" s="286"/>
      <c r="L79" s="382">
        <v>7</v>
      </c>
      <c r="M79" s="383" t="s">
        <v>326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47"/>
      <c r="W79" s="572"/>
      <c r="X79" s="722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36"/>
      <c r="J80" s="736"/>
      <c r="K80" s="287"/>
      <c r="L80" s="314">
        <v>7</v>
      </c>
      <c r="M80" s="335" t="s">
        <v>326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48"/>
      <c r="W80" s="573"/>
      <c r="X80" s="723"/>
      <c r="Y80" s="481"/>
    </row>
    <row r="81" spans="1:25" ht="13.9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327</v>
      </c>
      <c r="D82" s="331"/>
      <c r="E82" s="462"/>
      <c r="F82" s="415"/>
      <c r="G82" s="332"/>
      <c r="H82" s="575"/>
      <c r="I82" s="740">
        <f>D178</f>
        <v>0</v>
      </c>
      <c r="J82" s="740">
        <f>F178</f>
        <v>0</v>
      </c>
      <c r="K82" s="295"/>
      <c r="L82" s="330">
        <v>8</v>
      </c>
      <c r="M82" s="424" t="s">
        <v>328</v>
      </c>
      <c r="N82" s="331" t="s">
        <v>329</v>
      </c>
      <c r="O82" s="560"/>
      <c r="P82" s="415"/>
      <c r="Q82" s="332">
        <v>245754.52</v>
      </c>
      <c r="R82" s="591" t="s">
        <v>330</v>
      </c>
      <c r="S82" s="628" t="s">
        <v>331</v>
      </c>
      <c r="T82" s="696">
        <v>45991</v>
      </c>
      <c r="U82" s="505"/>
      <c r="V82" s="760">
        <f>J82-SUM(U82:U90)</f>
        <v>0</v>
      </c>
      <c r="W82" s="536">
        <v>46058</v>
      </c>
      <c r="X82" s="743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41"/>
      <c r="J83" s="741"/>
      <c r="K83" s="299"/>
      <c r="L83" s="320">
        <v>8</v>
      </c>
      <c r="M83" s="432" t="s">
        <v>328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61"/>
      <c r="W83" s="576"/>
      <c r="X83" s="744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41"/>
      <c r="J84" s="741"/>
      <c r="K84" s="299"/>
      <c r="L84" s="320">
        <v>8</v>
      </c>
      <c r="M84" s="432" t="s">
        <v>328</v>
      </c>
      <c r="N84" s="333" t="s">
        <v>332</v>
      </c>
      <c r="O84" s="414"/>
      <c r="P84" s="460">
        <v>18219.57</v>
      </c>
      <c r="Q84" s="322">
        <f>P84</f>
        <v>18219.57</v>
      </c>
      <c r="R84" s="592"/>
      <c r="S84" s="629" t="s">
        <v>333</v>
      </c>
      <c r="T84" s="666">
        <v>45838</v>
      </c>
      <c r="U84" s="506"/>
      <c r="V84" s="761"/>
      <c r="W84" s="537">
        <v>45834</v>
      </c>
      <c r="X84" s="744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41"/>
      <c r="J85" s="741"/>
      <c r="K85" s="299"/>
      <c r="L85" s="320">
        <v>8</v>
      </c>
      <c r="M85" s="432" t="s">
        <v>328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61"/>
      <c r="W85" s="576"/>
      <c r="X85" s="744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41"/>
      <c r="J86" s="741"/>
      <c r="K86" s="299"/>
      <c r="L86" s="320">
        <v>8</v>
      </c>
      <c r="M86" s="432" t="s">
        <v>328</v>
      </c>
      <c r="N86" s="333" t="s">
        <v>334</v>
      </c>
      <c r="O86" s="557"/>
      <c r="P86" s="460"/>
      <c r="Q86" s="322">
        <f>21400*0.8</f>
        <v>17120</v>
      </c>
      <c r="R86" s="749" t="s">
        <v>335</v>
      </c>
      <c r="S86" s="629" t="s">
        <v>336</v>
      </c>
      <c r="T86" s="651">
        <v>46053</v>
      </c>
      <c r="U86" s="506"/>
      <c r="V86" s="761"/>
      <c r="W86" s="537">
        <v>46051</v>
      </c>
      <c r="X86" s="744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41"/>
      <c r="J87" s="741"/>
      <c r="K87" s="299"/>
      <c r="L87" s="320">
        <v>8</v>
      </c>
      <c r="M87" s="432" t="s">
        <v>328</v>
      </c>
      <c r="N87" s="333" t="s">
        <v>337</v>
      </c>
      <c r="O87" s="557"/>
      <c r="P87" s="460"/>
      <c r="Q87" s="322">
        <f>21400*0.2</f>
        <v>4280</v>
      </c>
      <c r="R87" s="751"/>
      <c r="S87" s="629" t="s">
        <v>336</v>
      </c>
      <c r="T87" s="651">
        <v>46053</v>
      </c>
      <c r="U87" s="506"/>
      <c r="V87" s="761"/>
      <c r="W87" s="576">
        <v>46079</v>
      </c>
      <c r="X87" s="744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41"/>
      <c r="J88" s="741"/>
      <c r="K88" s="299"/>
      <c r="L88" s="320">
        <v>8</v>
      </c>
      <c r="M88" s="432" t="s">
        <v>328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61"/>
      <c r="W88" s="576"/>
      <c r="X88" s="744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41"/>
      <c r="J89" s="741"/>
      <c r="K89" s="299"/>
      <c r="L89" s="320">
        <v>8</v>
      </c>
      <c r="M89" s="432" t="s">
        <v>328</v>
      </c>
      <c r="N89" s="333" t="s">
        <v>338</v>
      </c>
      <c r="O89" s="557"/>
      <c r="P89" s="460"/>
      <c r="Q89" s="322">
        <v>16725</v>
      </c>
      <c r="R89" s="596" t="s">
        <v>339</v>
      </c>
      <c r="S89" s="633" t="s">
        <v>340</v>
      </c>
      <c r="T89" s="712">
        <v>46081</v>
      </c>
      <c r="U89" s="511"/>
      <c r="V89" s="761"/>
      <c r="W89" s="579">
        <f>T89</f>
        <v>46081</v>
      </c>
      <c r="X89" s="744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42"/>
      <c r="J90" s="742"/>
      <c r="K90" s="304"/>
      <c r="L90" s="300">
        <v>8</v>
      </c>
      <c r="M90" s="431" t="s">
        <v>328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62"/>
      <c r="W90" s="577"/>
      <c r="X90" s="745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341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342</v>
      </c>
      <c r="D92" s="325" t="s">
        <v>343</v>
      </c>
      <c r="E92" s="312"/>
      <c r="F92" s="436"/>
      <c r="G92" s="619">
        <f>D184</f>
        <v>92522.5</v>
      </c>
      <c r="H92" s="534">
        <v>45791</v>
      </c>
      <c r="I92" s="777">
        <f>SUM(G92:G104)</f>
        <v>288452.5</v>
      </c>
      <c r="J92" s="734">
        <f>F184+F185</f>
        <v>339355.8823529412</v>
      </c>
      <c r="K92" s="286"/>
      <c r="L92" s="309">
        <v>9</v>
      </c>
      <c r="M92" s="422" t="s">
        <v>344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24">
        <f>J92-SUM(U92:U104)</f>
        <v>7.944770622998476E-4</v>
      </c>
      <c r="W92" s="578"/>
      <c r="X92" s="754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345</v>
      </c>
      <c r="E93" s="312"/>
      <c r="F93" s="458"/>
      <c r="G93" s="619">
        <f>D185</f>
        <v>195930</v>
      </c>
      <c r="H93" s="534">
        <v>45792</v>
      </c>
      <c r="I93" s="778"/>
      <c r="J93" s="735"/>
      <c r="K93" s="286"/>
      <c r="L93" s="309">
        <v>9</v>
      </c>
      <c r="M93" s="422" t="s">
        <v>344</v>
      </c>
      <c r="N93" s="326" t="s">
        <v>288</v>
      </c>
      <c r="O93" s="568">
        <v>483120.24660138012</v>
      </c>
      <c r="P93" s="569">
        <v>0.1</v>
      </c>
      <c r="Q93" s="313">
        <f>$O$93*P93</f>
        <v>48312.024660138013</v>
      </c>
      <c r="R93" s="766" t="s">
        <v>289</v>
      </c>
      <c r="S93" s="624" t="s">
        <v>290</v>
      </c>
      <c r="T93" s="642">
        <f t="shared" si="9"/>
        <v>45808</v>
      </c>
      <c r="U93" s="660">
        <v>33935.588235294119</v>
      </c>
      <c r="V93" s="725"/>
      <c r="W93" s="534">
        <v>45792</v>
      </c>
      <c r="X93" s="755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78"/>
      <c r="J94" s="735"/>
      <c r="K94" s="286"/>
      <c r="L94" s="382">
        <v>9</v>
      </c>
      <c r="M94" s="500" t="s">
        <v>344</v>
      </c>
      <c r="N94" s="384" t="s">
        <v>101</v>
      </c>
      <c r="O94" s="550"/>
      <c r="P94" s="567">
        <v>0.15</v>
      </c>
      <c r="Q94" s="313">
        <f t="shared" ref="Q94:Q101" si="10">$O$93*P94</f>
        <v>72468.036990207009</v>
      </c>
      <c r="R94" s="767"/>
      <c r="S94" s="625" t="s">
        <v>290</v>
      </c>
      <c r="T94" s="642">
        <f t="shared" si="9"/>
        <v>45808</v>
      </c>
      <c r="U94" s="662">
        <v>50903.382352941167</v>
      </c>
      <c r="V94" s="725"/>
      <c r="W94" s="653">
        <v>45792</v>
      </c>
      <c r="X94" s="755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78"/>
      <c r="J95" s="735"/>
      <c r="K95" s="286"/>
      <c r="L95" s="382">
        <v>9</v>
      </c>
      <c r="M95" s="500" t="s">
        <v>344</v>
      </c>
      <c r="N95" s="384" t="s">
        <v>291</v>
      </c>
      <c r="O95" s="550"/>
      <c r="P95" s="567">
        <v>0.2</v>
      </c>
      <c r="Q95" s="313">
        <f t="shared" si="10"/>
        <v>96624.049320276026</v>
      </c>
      <c r="R95" s="767"/>
      <c r="S95" s="625" t="s">
        <v>292</v>
      </c>
      <c r="T95" s="642">
        <v>45869</v>
      </c>
      <c r="U95" s="662">
        <v>67871.177106169795</v>
      </c>
      <c r="V95" s="725"/>
      <c r="W95" s="535">
        <v>46037</v>
      </c>
      <c r="X95" s="755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78"/>
      <c r="J96" s="735"/>
      <c r="K96" s="286"/>
      <c r="L96" s="382">
        <v>9</v>
      </c>
      <c r="M96" s="500" t="s">
        <v>344</v>
      </c>
      <c r="N96" s="384" t="s">
        <v>293</v>
      </c>
      <c r="O96" s="550"/>
      <c r="P96" s="567">
        <v>0.14000000000000001</v>
      </c>
      <c r="Q96" s="313">
        <v>67636.83</v>
      </c>
      <c r="R96" s="767"/>
      <c r="S96" s="625" t="s">
        <v>346</v>
      </c>
      <c r="T96" s="642">
        <f t="shared" si="9"/>
        <v>45869</v>
      </c>
      <c r="U96" s="662">
        <v>47509.820796411062</v>
      </c>
      <c r="V96" s="725"/>
      <c r="W96" s="535">
        <v>45848</v>
      </c>
      <c r="X96" s="755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78"/>
      <c r="J97" s="735"/>
      <c r="K97" s="286"/>
      <c r="L97" s="382">
        <v>9</v>
      </c>
      <c r="M97" s="500" t="s">
        <v>344</v>
      </c>
      <c r="N97" s="384" t="s">
        <v>293</v>
      </c>
      <c r="O97" s="550"/>
      <c r="P97" s="567">
        <v>0.11</v>
      </c>
      <c r="Q97" s="313">
        <f>O93*P97</f>
        <v>53143.227126151811</v>
      </c>
      <c r="R97" s="767"/>
      <c r="S97" s="625" t="s">
        <v>294</v>
      </c>
      <c r="T97" s="642">
        <v>45900</v>
      </c>
      <c r="U97" s="662">
        <v>37329.147408393386</v>
      </c>
      <c r="V97" s="725"/>
      <c r="W97" s="535">
        <v>45911</v>
      </c>
      <c r="X97" s="755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78"/>
      <c r="J98" s="735"/>
      <c r="K98" s="286"/>
      <c r="L98" s="382">
        <v>9</v>
      </c>
      <c r="M98" s="500" t="s">
        <v>344</v>
      </c>
      <c r="N98" s="384" t="s">
        <v>180</v>
      </c>
      <c r="O98" s="550"/>
      <c r="P98" s="567">
        <v>0.1</v>
      </c>
      <c r="Q98" s="313">
        <f t="shared" si="10"/>
        <v>48312.024660138013</v>
      </c>
      <c r="R98" s="767"/>
      <c r="S98" s="625"/>
      <c r="T98" s="517">
        <f t="shared" si="9"/>
        <v>46081</v>
      </c>
      <c r="U98" s="502">
        <f t="shared" ref="U98:U104" si="11">(Q98/$X$92*$J$92)</f>
        <v>33935.588553084897</v>
      </c>
      <c r="V98" s="725"/>
      <c r="W98" s="572">
        <f>'Project Plan'!K39+14</f>
        <v>46077</v>
      </c>
      <c r="X98" s="755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78"/>
      <c r="J99" s="735"/>
      <c r="K99" s="286"/>
      <c r="L99" s="382">
        <v>9</v>
      </c>
      <c r="M99" s="500" t="s">
        <v>344</v>
      </c>
      <c r="N99" s="384" t="s">
        <v>296</v>
      </c>
      <c r="O99" s="550"/>
      <c r="P99" s="567">
        <v>0.1</v>
      </c>
      <c r="Q99" s="313">
        <f t="shared" si="10"/>
        <v>48312.024660138013</v>
      </c>
      <c r="R99" s="767"/>
      <c r="S99" s="625"/>
      <c r="T99" s="517">
        <f t="shared" si="9"/>
        <v>46112</v>
      </c>
      <c r="U99" s="502">
        <f t="shared" si="11"/>
        <v>33935.588553084897</v>
      </c>
      <c r="V99" s="725"/>
      <c r="W99" s="572">
        <f>'Project Plan'!K48+7</f>
        <v>46084</v>
      </c>
      <c r="X99" s="755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78"/>
      <c r="J100" s="735"/>
      <c r="K100" s="286"/>
      <c r="L100" s="382">
        <v>9</v>
      </c>
      <c r="M100" s="500" t="s">
        <v>344</v>
      </c>
      <c r="N100" s="384" t="s">
        <v>298</v>
      </c>
      <c r="O100" s="550"/>
      <c r="P100" s="567">
        <v>0.05</v>
      </c>
      <c r="Q100" s="313">
        <f t="shared" si="10"/>
        <v>24156.012330069007</v>
      </c>
      <c r="R100" s="767"/>
      <c r="S100" s="625"/>
      <c r="T100" s="517">
        <f t="shared" si="9"/>
        <v>46112</v>
      </c>
      <c r="U100" s="502">
        <f t="shared" si="11"/>
        <v>16967.794276542449</v>
      </c>
      <c r="V100" s="725"/>
      <c r="W100" s="572">
        <f>'Project Plan'!K48+7</f>
        <v>46084</v>
      </c>
      <c r="X100" s="755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78"/>
      <c r="J101" s="735"/>
      <c r="K101" s="286"/>
      <c r="L101" s="382">
        <v>9</v>
      </c>
      <c r="M101" s="500" t="s">
        <v>344</v>
      </c>
      <c r="N101" s="384" t="s">
        <v>300</v>
      </c>
      <c r="O101" s="550"/>
      <c r="P101" s="567">
        <v>0.05</v>
      </c>
      <c r="Q101" s="313">
        <f t="shared" si="10"/>
        <v>24156.012330069007</v>
      </c>
      <c r="R101" s="768"/>
      <c r="S101" s="625"/>
      <c r="T101" s="517">
        <f t="shared" si="9"/>
        <v>46112</v>
      </c>
      <c r="U101" s="502">
        <f t="shared" si="11"/>
        <v>16967.794276542449</v>
      </c>
      <c r="V101" s="725"/>
      <c r="W101" s="572">
        <f>'Project Plan'!K48+30</f>
        <v>46107</v>
      </c>
      <c r="X101" s="755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78"/>
      <c r="J102" s="735"/>
      <c r="K102" s="286"/>
      <c r="L102" s="382">
        <v>9</v>
      </c>
      <c r="M102" s="500" t="s">
        <v>344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25"/>
      <c r="W102" s="572"/>
      <c r="X102" s="755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78"/>
      <c r="J103" s="735"/>
      <c r="K103" s="286"/>
      <c r="L103" s="382">
        <v>9</v>
      </c>
      <c r="M103" s="500" t="s">
        <v>344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25"/>
      <c r="W103" s="572"/>
      <c r="X103" s="755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79"/>
      <c r="J104" s="736"/>
      <c r="K104" s="362"/>
      <c r="L104" s="314">
        <v>9</v>
      </c>
      <c r="M104" s="440" t="s">
        <v>344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26"/>
      <c r="W104" s="573"/>
      <c r="X104" s="756"/>
      <c r="Y104" s="481"/>
    </row>
    <row r="105" spans="1:25" ht="13.9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347</v>
      </c>
      <c r="D106" s="268" t="s">
        <v>261</v>
      </c>
      <c r="E106" s="269"/>
      <c r="F106" s="469"/>
      <c r="G106" s="336">
        <f>D188</f>
        <v>8500</v>
      </c>
      <c r="H106" s="540">
        <v>45847</v>
      </c>
      <c r="I106" s="769">
        <f>SUM(G106:G125)</f>
        <v>58027.933333333342</v>
      </c>
      <c r="J106" s="769">
        <f>F188+F191+F192+F190</f>
        <v>68268.156862745105</v>
      </c>
      <c r="K106" s="337"/>
      <c r="L106" s="267">
        <v>10</v>
      </c>
      <c r="M106" s="433" t="s">
        <v>348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57">
        <f>J106-SUM(U106:U125)</f>
        <v>4.4754566042684019E-3</v>
      </c>
      <c r="W106" s="582"/>
      <c r="X106" s="773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262</v>
      </c>
      <c r="E107" s="340"/>
      <c r="F107" s="470"/>
      <c r="G107" s="341">
        <f>D192</f>
        <v>25764.600000000002</v>
      </c>
      <c r="H107" s="540">
        <v>45848</v>
      </c>
      <c r="I107" s="775"/>
      <c r="J107" s="775"/>
      <c r="K107" s="270"/>
      <c r="L107" s="338">
        <v>10</v>
      </c>
      <c r="M107" s="434" t="s">
        <v>348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58"/>
      <c r="W107" s="583"/>
      <c r="X107" s="776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75"/>
      <c r="J108" s="775"/>
      <c r="K108" s="270"/>
      <c r="L108" s="338">
        <v>10</v>
      </c>
      <c r="M108" s="434" t="s">
        <v>348</v>
      </c>
      <c r="N108" s="339" t="s">
        <v>349</v>
      </c>
      <c r="O108" s="563"/>
      <c r="P108" s="470"/>
      <c r="Q108" s="341">
        <v>4600</v>
      </c>
      <c r="R108" s="601"/>
      <c r="S108" s="637" t="s">
        <v>350</v>
      </c>
      <c r="T108" s="667">
        <v>45838</v>
      </c>
      <c r="U108" s="672">
        <f>2916.70385553528+1340.94</f>
        <v>4257.6438555352797</v>
      </c>
      <c r="V108" s="758"/>
      <c r="W108" s="540">
        <v>45849</v>
      </c>
      <c r="X108" s="776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75"/>
      <c r="J109" s="775"/>
      <c r="K109" s="270"/>
      <c r="L109" s="338">
        <v>10</v>
      </c>
      <c r="M109" s="434" t="s">
        <v>348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58"/>
      <c r="W109" s="583"/>
      <c r="X109" s="776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75"/>
      <c r="J110" s="775"/>
      <c r="K110" s="270"/>
      <c r="L110" s="338">
        <v>10</v>
      </c>
      <c r="M110" s="434" t="s">
        <v>348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58"/>
      <c r="W110" s="583"/>
      <c r="X110" s="776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75"/>
      <c r="J111" s="775"/>
      <c r="K111" s="270"/>
      <c r="L111" s="338">
        <v>10</v>
      </c>
      <c r="M111" s="434" t="s">
        <v>348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58"/>
      <c r="W111" s="583"/>
      <c r="X111" s="776"/>
      <c r="Y111" s="481"/>
    </row>
    <row r="112" spans="1:25" ht="14.25" customHeight="1">
      <c r="B112" s="338">
        <v>10</v>
      </c>
      <c r="C112" s="339"/>
      <c r="D112" s="339" t="s">
        <v>351</v>
      </c>
      <c r="E112" s="340"/>
      <c r="F112" s="470"/>
      <c r="G112" s="341">
        <f>D191</f>
        <v>19200</v>
      </c>
      <c r="H112" s="540">
        <v>45853</v>
      </c>
      <c r="I112" s="775"/>
      <c r="J112" s="775"/>
      <c r="K112" s="270"/>
      <c r="L112" s="338">
        <v>10</v>
      </c>
      <c r="M112" s="434" t="s">
        <v>348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58"/>
      <c r="W112" s="583"/>
      <c r="X112" s="776"/>
      <c r="Y112" s="481"/>
    </row>
    <row r="113" spans="1:25" ht="14.25" customHeight="1">
      <c r="B113" s="338">
        <v>10</v>
      </c>
      <c r="C113" s="339"/>
      <c r="D113" s="339" t="s">
        <v>263</v>
      </c>
      <c r="E113" s="340"/>
      <c r="F113" s="470"/>
      <c r="G113" s="341">
        <f>D190</f>
        <v>4563.333333333333</v>
      </c>
      <c r="H113" s="540">
        <v>45854</v>
      </c>
      <c r="I113" s="775"/>
      <c r="J113" s="775"/>
      <c r="K113" s="270"/>
      <c r="L113" s="338">
        <v>10</v>
      </c>
      <c r="M113" s="434" t="s">
        <v>348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58"/>
      <c r="W113" s="583"/>
      <c r="X113" s="776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75"/>
      <c r="J114" s="775"/>
      <c r="K114" s="270"/>
      <c r="L114" s="338">
        <v>10</v>
      </c>
      <c r="M114" s="434" t="s">
        <v>348</v>
      </c>
      <c r="N114" s="339" t="s">
        <v>288</v>
      </c>
      <c r="O114" s="618">
        <v>49733.929824926352</v>
      </c>
      <c r="P114" s="570">
        <v>0.1</v>
      </c>
      <c r="Q114" s="341">
        <f>$O$114*P114</f>
        <v>4973.3929824926354</v>
      </c>
      <c r="R114" s="763" t="s">
        <v>289</v>
      </c>
      <c r="S114" s="638" t="s">
        <v>290</v>
      </c>
      <c r="T114" s="652">
        <f t="shared" si="9"/>
        <v>45808</v>
      </c>
      <c r="U114" s="663">
        <v>2617.0823062792065</v>
      </c>
      <c r="V114" s="758"/>
      <c r="W114" s="541">
        <f t="shared" ref="W114:W122" si="14">W93</f>
        <v>45792</v>
      </c>
      <c r="X114" s="776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75"/>
      <c r="J115" s="775"/>
      <c r="K115" s="270"/>
      <c r="L115" s="338">
        <v>10</v>
      </c>
      <c r="M115" s="434" t="s">
        <v>348</v>
      </c>
      <c r="N115" s="339" t="s">
        <v>101</v>
      </c>
      <c r="O115" s="563"/>
      <c r="P115" s="570">
        <v>0.15</v>
      </c>
      <c r="Q115" s="341">
        <f t="shared" ref="Q115:Q122" si="15">$O$114*P115</f>
        <v>7460.0894737389526</v>
      </c>
      <c r="R115" s="764"/>
      <c r="S115" s="638" t="s">
        <v>290</v>
      </c>
      <c r="T115" s="652">
        <f t="shared" si="9"/>
        <v>45808</v>
      </c>
      <c r="U115" s="663">
        <v>3925.6234594188095</v>
      </c>
      <c r="V115" s="758"/>
      <c r="W115" s="654">
        <f t="shared" si="14"/>
        <v>45792</v>
      </c>
      <c r="X115" s="776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75"/>
      <c r="J116" s="775"/>
      <c r="K116" s="270"/>
      <c r="L116" s="338">
        <v>10</v>
      </c>
      <c r="M116" s="434" t="s">
        <v>348</v>
      </c>
      <c r="N116" s="339" t="s">
        <v>291</v>
      </c>
      <c r="O116" s="563"/>
      <c r="P116" s="570">
        <v>0.2</v>
      </c>
      <c r="Q116" s="341">
        <f t="shared" si="15"/>
        <v>9946.7859649852708</v>
      </c>
      <c r="R116" s="764"/>
      <c r="S116" s="638" t="s">
        <v>292</v>
      </c>
      <c r="T116" s="652">
        <v>45869</v>
      </c>
      <c r="U116" s="663">
        <v>6306.9193525095388</v>
      </c>
      <c r="V116" s="758"/>
      <c r="W116" s="541">
        <f t="shared" si="14"/>
        <v>46037</v>
      </c>
      <c r="X116" s="776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75"/>
      <c r="J117" s="775"/>
      <c r="K117" s="270"/>
      <c r="L117" s="338">
        <v>10</v>
      </c>
      <c r="M117" s="434" t="s">
        <v>348</v>
      </c>
      <c r="N117" s="339" t="s">
        <v>293</v>
      </c>
      <c r="O117" s="563"/>
      <c r="P117" s="570">
        <v>0.14000000000000001</v>
      </c>
      <c r="Q117" s="341">
        <v>6962.75</v>
      </c>
      <c r="R117" s="764"/>
      <c r="S117" s="638" t="s">
        <v>346</v>
      </c>
      <c r="T117" s="673">
        <v>45869</v>
      </c>
      <c r="U117" s="663">
        <v>4414.8434354846222</v>
      </c>
      <c r="V117" s="758"/>
      <c r="W117" s="541">
        <f t="shared" si="14"/>
        <v>45848</v>
      </c>
      <c r="X117" s="776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75"/>
      <c r="J118" s="775"/>
      <c r="K118" s="270"/>
      <c r="L118" s="338">
        <v>10</v>
      </c>
      <c r="M118" s="434" t="s">
        <v>348</v>
      </c>
      <c r="N118" s="339" t="s">
        <v>293</v>
      </c>
      <c r="O118" s="563"/>
      <c r="P118" s="570">
        <v>0.11</v>
      </c>
      <c r="Q118" s="341">
        <f>O114*P118</f>
        <v>5470.7322807418986</v>
      </c>
      <c r="R118" s="764"/>
      <c r="S118" s="638" t="s">
        <v>294</v>
      </c>
      <c r="T118" s="652">
        <v>45900</v>
      </c>
      <c r="U118" s="663">
        <v>6873.7404798262696</v>
      </c>
      <c r="V118" s="758"/>
      <c r="W118" s="541">
        <f>W97</f>
        <v>45911</v>
      </c>
      <c r="X118" s="776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75"/>
      <c r="J119" s="775"/>
      <c r="K119" s="270"/>
      <c r="L119" s="338">
        <v>10</v>
      </c>
      <c r="M119" s="434" t="s">
        <v>348</v>
      </c>
      <c r="N119" s="339" t="s">
        <v>180</v>
      </c>
      <c r="O119" s="563"/>
      <c r="P119" s="570">
        <v>0.1</v>
      </c>
      <c r="Q119" s="341">
        <v>4973.41</v>
      </c>
      <c r="R119" s="764"/>
      <c r="S119" s="638" t="s">
        <v>295</v>
      </c>
      <c r="T119" s="652">
        <v>45900</v>
      </c>
      <c r="U119" s="663">
        <v>6248.8763634283951</v>
      </c>
      <c r="V119" s="758"/>
      <c r="W119" s="584">
        <f t="shared" si="14"/>
        <v>46077</v>
      </c>
      <c r="X119" s="776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75"/>
      <c r="J120" s="775"/>
      <c r="K120" s="270"/>
      <c r="L120" s="338">
        <v>10</v>
      </c>
      <c r="M120" s="434" t="s">
        <v>348</v>
      </c>
      <c r="N120" s="339" t="s">
        <v>296</v>
      </c>
      <c r="O120" s="563"/>
      <c r="P120" s="570">
        <v>0.1</v>
      </c>
      <c r="Q120" s="341">
        <v>4973.3</v>
      </c>
      <c r="R120" s="764"/>
      <c r="S120" s="638" t="s">
        <v>297</v>
      </c>
      <c r="T120" s="652">
        <v>45900</v>
      </c>
      <c r="U120" s="663">
        <v>6248.7381531461197</v>
      </c>
      <c r="V120" s="758"/>
      <c r="W120" s="584">
        <f t="shared" si="14"/>
        <v>46084</v>
      </c>
      <c r="X120" s="776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75"/>
      <c r="J121" s="775"/>
      <c r="K121" s="270"/>
      <c r="L121" s="338">
        <v>10</v>
      </c>
      <c r="M121" s="434" t="s">
        <v>348</v>
      </c>
      <c r="N121" s="339" t="s">
        <v>298</v>
      </c>
      <c r="O121" s="563"/>
      <c r="P121" s="570">
        <v>0.05</v>
      </c>
      <c r="Q121" s="341">
        <f t="shared" si="15"/>
        <v>2486.6964912463177</v>
      </c>
      <c r="R121" s="764"/>
      <c r="S121" s="638" t="s">
        <v>299</v>
      </c>
      <c r="T121" s="652">
        <v>45900</v>
      </c>
      <c r="U121" s="663">
        <v>3124.4274908301227</v>
      </c>
      <c r="V121" s="758"/>
      <c r="W121" s="584">
        <f t="shared" si="14"/>
        <v>46084</v>
      </c>
      <c r="X121" s="776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75"/>
      <c r="J122" s="775"/>
      <c r="K122" s="270"/>
      <c r="L122" s="338">
        <v>10</v>
      </c>
      <c r="M122" s="434" t="s">
        <v>348</v>
      </c>
      <c r="N122" s="339" t="s">
        <v>300</v>
      </c>
      <c r="O122" s="563"/>
      <c r="P122" s="570">
        <v>0.05</v>
      </c>
      <c r="Q122" s="341">
        <f t="shared" si="15"/>
        <v>2486.6964912463177</v>
      </c>
      <c r="R122" s="765"/>
      <c r="S122" s="638" t="s">
        <v>301</v>
      </c>
      <c r="T122" s="652">
        <v>45900</v>
      </c>
      <c r="U122" s="663">
        <v>3124.4274908301227</v>
      </c>
      <c r="V122" s="758"/>
      <c r="W122" s="584">
        <f t="shared" si="14"/>
        <v>46107</v>
      </c>
      <c r="X122" s="776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75"/>
      <c r="J123" s="775"/>
      <c r="K123" s="270"/>
      <c r="L123" s="338">
        <v>10</v>
      </c>
      <c r="M123" s="434" t="s">
        <v>348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58"/>
      <c r="W123" s="584"/>
      <c r="X123" s="776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75"/>
      <c r="J124" s="775"/>
      <c r="K124" s="270"/>
      <c r="L124" s="338">
        <v>10</v>
      </c>
      <c r="M124" s="434" t="s">
        <v>348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58"/>
      <c r="W124" s="584"/>
      <c r="X124" s="776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70"/>
      <c r="J125" s="770"/>
      <c r="K125" s="273"/>
      <c r="L125" s="271">
        <v>10</v>
      </c>
      <c r="M125" s="435" t="s">
        <v>348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59"/>
      <c r="W125" s="585"/>
      <c r="X125" s="774"/>
      <c r="Y125" s="481"/>
    </row>
    <row r="126" spans="1:25" ht="13.9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352</v>
      </c>
      <c r="D127" s="349" t="s">
        <v>353</v>
      </c>
      <c r="E127" s="281"/>
      <c r="F127" s="436"/>
      <c r="G127" s="282">
        <v>11000</v>
      </c>
      <c r="H127" s="535">
        <v>45831</v>
      </c>
      <c r="I127" s="734">
        <f>SUM(G127:G131)</f>
        <v>116504.5</v>
      </c>
      <c r="J127" s="734">
        <f>F187</f>
        <v>137064.11764705883</v>
      </c>
      <c r="K127" s="283"/>
      <c r="L127" s="279">
        <v>11</v>
      </c>
      <c r="M127" s="349" t="s">
        <v>354</v>
      </c>
      <c r="N127" s="349" t="s">
        <v>353</v>
      </c>
      <c r="O127" s="281"/>
      <c r="P127" s="436"/>
      <c r="Q127" s="282">
        <v>10160.799999999999</v>
      </c>
      <c r="R127" s="594"/>
      <c r="S127" s="631" t="s">
        <v>355</v>
      </c>
      <c r="T127" s="658">
        <v>45869</v>
      </c>
      <c r="U127" s="659">
        <v>48966.662532817616</v>
      </c>
      <c r="V127" s="724">
        <f>J127-SUM(U127:U131)</f>
        <v>-2.8580339858308434E-3</v>
      </c>
      <c r="W127" s="578">
        <f>'Project Plan'!K39+14</f>
        <v>46077</v>
      </c>
      <c r="X127" s="721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356</v>
      </c>
      <c r="E128" s="312"/>
      <c r="F128" s="458"/>
      <c r="G128" s="313">
        <v>18504.5</v>
      </c>
      <c r="H128" s="535">
        <v>45832</v>
      </c>
      <c r="I128" s="735"/>
      <c r="J128" s="735"/>
      <c r="K128" s="286"/>
      <c r="L128" s="309">
        <v>11</v>
      </c>
      <c r="M128" s="388" t="s">
        <v>354</v>
      </c>
      <c r="N128" s="311" t="s">
        <v>356</v>
      </c>
      <c r="O128" s="312"/>
      <c r="P128" s="458"/>
      <c r="Q128" s="313">
        <v>8212.24</v>
      </c>
      <c r="R128" s="587" t="s">
        <v>357</v>
      </c>
      <c r="S128" s="624" t="s">
        <v>358</v>
      </c>
      <c r="T128" s="648">
        <v>45777</v>
      </c>
      <c r="U128" s="646">
        <v>37133.627521617753</v>
      </c>
      <c r="V128" s="725"/>
      <c r="W128" s="649">
        <v>45757</v>
      </c>
      <c r="X128" s="722"/>
      <c r="Y128" s="481"/>
    </row>
    <row r="129" spans="1:25" ht="15" customHeight="1">
      <c r="B129" s="309">
        <v>11</v>
      </c>
      <c r="C129" s="311"/>
      <c r="D129" s="311" t="s">
        <v>359</v>
      </c>
      <c r="E129" s="312"/>
      <c r="F129" s="458"/>
      <c r="G129" s="313">
        <v>80000</v>
      </c>
      <c r="H129" s="535">
        <v>45833</v>
      </c>
      <c r="I129" s="735"/>
      <c r="J129" s="735"/>
      <c r="K129" s="286"/>
      <c r="L129" s="309">
        <v>11</v>
      </c>
      <c r="M129" s="388" t="s">
        <v>354</v>
      </c>
      <c r="N129" s="311" t="s">
        <v>359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25"/>
      <c r="W129" s="571"/>
      <c r="X129" s="722"/>
      <c r="Y129" s="481"/>
    </row>
    <row r="130" spans="1:25" ht="15" customHeight="1">
      <c r="B130" s="309">
        <v>11</v>
      </c>
      <c r="C130" s="386"/>
      <c r="D130" s="386" t="s">
        <v>360</v>
      </c>
      <c r="E130" s="405"/>
      <c r="F130" s="443"/>
      <c r="G130" s="385">
        <v>7000</v>
      </c>
      <c r="H130" s="535">
        <v>45834</v>
      </c>
      <c r="I130" s="735"/>
      <c r="J130" s="735"/>
      <c r="K130" s="286"/>
      <c r="L130" s="309">
        <v>11</v>
      </c>
      <c r="M130" s="388" t="s">
        <v>354</v>
      </c>
      <c r="N130" s="386" t="s">
        <v>360</v>
      </c>
      <c r="O130" s="405"/>
      <c r="P130" s="443"/>
      <c r="Q130" s="385">
        <v>5100</v>
      </c>
      <c r="R130" s="588" t="s">
        <v>361</v>
      </c>
      <c r="S130" s="625" t="s">
        <v>362</v>
      </c>
      <c r="T130" s="643">
        <v>45777</v>
      </c>
      <c r="U130" s="647">
        <v>23060.88233664025</v>
      </c>
      <c r="V130" s="725"/>
      <c r="W130" s="535">
        <v>45834</v>
      </c>
      <c r="X130" s="722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36"/>
      <c r="J131" s="736"/>
      <c r="K131" s="287"/>
      <c r="L131" s="314">
        <v>11</v>
      </c>
      <c r="M131" s="418" t="s">
        <v>354</v>
      </c>
      <c r="N131" s="315" t="s">
        <v>363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26"/>
      <c r="W131" s="573">
        <f>T131+30</f>
        <v>46111</v>
      </c>
      <c r="X131" s="723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364</v>
      </c>
      <c r="D133" s="268" t="s">
        <v>365</v>
      </c>
      <c r="E133" s="269"/>
      <c r="F133" s="469"/>
      <c r="G133" s="336">
        <v>64471.513750794897</v>
      </c>
      <c r="H133" s="535">
        <v>45837</v>
      </c>
      <c r="I133" s="769">
        <f>SUM(G133:G134)</f>
        <v>77365.816500953879</v>
      </c>
      <c r="J133" s="769">
        <v>0</v>
      </c>
      <c r="K133" s="771"/>
      <c r="L133" s="267">
        <v>12</v>
      </c>
      <c r="M133" s="268" t="s">
        <v>366</v>
      </c>
      <c r="N133" s="268" t="s">
        <v>365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73">
        <f>SUM(Q133:Q134)</f>
        <v>0</v>
      </c>
      <c r="Y133" s="481"/>
    </row>
    <row r="134" spans="1:25" ht="15" customHeight="1" thickBot="1">
      <c r="B134" s="271">
        <v>12</v>
      </c>
      <c r="C134" s="342" t="s">
        <v>364</v>
      </c>
      <c r="D134" s="342" t="s">
        <v>367</v>
      </c>
      <c r="E134" s="343"/>
      <c r="F134" s="471"/>
      <c r="G134" s="272">
        <v>12894.30275015898</v>
      </c>
      <c r="H134" s="535">
        <v>45838</v>
      </c>
      <c r="I134" s="770"/>
      <c r="J134" s="770"/>
      <c r="K134" s="772"/>
      <c r="L134" s="271">
        <v>12</v>
      </c>
      <c r="M134" s="342" t="s">
        <v>366</v>
      </c>
      <c r="N134" s="342" t="s">
        <v>367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74"/>
      <c r="Y134" s="481"/>
    </row>
    <row r="135" spans="1:25" ht="14.2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368</v>
      </c>
      <c r="D136" s="349" t="s">
        <v>369</v>
      </c>
      <c r="E136" s="281"/>
      <c r="F136" s="436"/>
      <c r="G136" s="282">
        <v>31209.307742753626</v>
      </c>
      <c r="H136" s="578">
        <v>45961</v>
      </c>
      <c r="I136" s="734">
        <f>SUM(G136:G140)</f>
        <v>122409.30774275362</v>
      </c>
      <c r="J136" s="734">
        <f>F186</f>
        <v>139101.48607131094</v>
      </c>
      <c r="K136" s="283"/>
      <c r="L136" s="279">
        <v>13</v>
      </c>
      <c r="M136" s="349" t="s">
        <v>370</v>
      </c>
      <c r="N136" s="349" t="s">
        <v>371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46112</v>
      </c>
      <c r="U136" s="509">
        <f t="shared" ref="U136:U141" si="16">(Q136/$X$136*$J$136)</f>
        <v>139101.48607131094</v>
      </c>
      <c r="V136" s="724">
        <f>J136-SUM(U136:U141)</f>
        <v>0</v>
      </c>
      <c r="W136" s="578">
        <v>46142</v>
      </c>
      <c r="X136" s="721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372</v>
      </c>
      <c r="E137" s="312"/>
      <c r="F137" s="458"/>
      <c r="G137" s="313">
        <v>16000</v>
      </c>
      <c r="H137" s="571">
        <v>45961</v>
      </c>
      <c r="I137" s="735"/>
      <c r="J137" s="735"/>
      <c r="K137" s="286"/>
      <c r="L137" s="309">
        <v>13</v>
      </c>
      <c r="M137" s="388" t="s">
        <v>370</v>
      </c>
      <c r="N137" s="311" t="s">
        <v>372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25"/>
      <c r="W137" s="571"/>
      <c r="X137" s="722"/>
      <c r="Y137" s="481"/>
    </row>
    <row r="138" spans="1:25" ht="15.75" customHeight="1">
      <c r="B138" s="309">
        <v>13</v>
      </c>
      <c r="C138" s="311"/>
      <c r="D138" s="311" t="s">
        <v>373</v>
      </c>
      <c r="E138" s="312"/>
      <c r="F138" s="458"/>
      <c r="G138" s="313">
        <v>40800</v>
      </c>
      <c r="H138" s="571">
        <v>45961</v>
      </c>
      <c r="I138" s="735"/>
      <c r="J138" s="735"/>
      <c r="K138" s="286"/>
      <c r="L138" s="309">
        <v>13</v>
      </c>
      <c r="M138" s="388" t="s">
        <v>370</v>
      </c>
      <c r="N138" s="311" t="s">
        <v>373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25"/>
      <c r="W138" s="571"/>
      <c r="X138" s="722"/>
      <c r="Y138" s="481"/>
    </row>
    <row r="139" spans="1:25" ht="15.75" customHeight="1">
      <c r="B139" s="309">
        <v>13</v>
      </c>
      <c r="C139" s="311"/>
      <c r="D139" s="311" t="s">
        <v>374</v>
      </c>
      <c r="E139" s="312"/>
      <c r="F139" s="458"/>
      <c r="G139" s="313">
        <v>20800</v>
      </c>
      <c r="H139" s="571">
        <v>45961</v>
      </c>
      <c r="I139" s="735"/>
      <c r="J139" s="735"/>
      <c r="K139" s="286"/>
      <c r="L139" s="309">
        <v>13</v>
      </c>
      <c r="M139" s="388" t="s">
        <v>370</v>
      </c>
      <c r="N139" s="311" t="s">
        <v>374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25"/>
      <c r="W139" s="571"/>
      <c r="X139" s="722"/>
      <c r="Y139" s="481"/>
    </row>
    <row r="140" spans="1:25" ht="15.75" customHeight="1">
      <c r="B140" s="309">
        <v>13</v>
      </c>
      <c r="C140" s="311"/>
      <c r="D140" s="311" t="s">
        <v>375</v>
      </c>
      <c r="E140" s="312"/>
      <c r="F140" s="458"/>
      <c r="G140" s="313">
        <v>13600</v>
      </c>
      <c r="H140" s="571">
        <v>45961</v>
      </c>
      <c r="I140" s="735"/>
      <c r="J140" s="735"/>
      <c r="K140" s="286"/>
      <c r="L140" s="309">
        <v>13</v>
      </c>
      <c r="M140" s="388" t="s">
        <v>370</v>
      </c>
      <c r="N140" s="311" t="s">
        <v>375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25"/>
      <c r="W140" s="571"/>
      <c r="X140" s="722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36"/>
      <c r="J141" s="736"/>
      <c r="K141" s="362"/>
      <c r="L141" s="314">
        <v>13</v>
      </c>
      <c r="M141" s="418" t="s">
        <v>370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26"/>
      <c r="W141" s="573"/>
      <c r="X141" s="723"/>
      <c r="Y141" s="481"/>
    </row>
    <row r="142" spans="1:25" ht="14.2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376</v>
      </c>
      <c r="D143" s="268" t="s">
        <v>377</v>
      </c>
      <c r="E143" s="269"/>
      <c r="F143" s="469"/>
      <c r="G143" s="336">
        <v>6475</v>
      </c>
      <c r="H143" s="650">
        <v>45777</v>
      </c>
      <c r="I143" s="769">
        <f>SUM(G143:G155)</f>
        <v>6475</v>
      </c>
      <c r="J143" s="769">
        <f>F197</f>
        <v>7617.6470588235297</v>
      </c>
      <c r="K143" s="337"/>
      <c r="L143" s="267">
        <v>14</v>
      </c>
      <c r="M143" s="433" t="s">
        <v>378</v>
      </c>
      <c r="N143" s="268" t="s">
        <v>379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57">
        <f>J143-SUM(U143:U155)</f>
        <v>2.6487714585528011E-3</v>
      </c>
      <c r="W143" s="650">
        <v>45777</v>
      </c>
      <c r="X143" s="773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75"/>
      <c r="J144" s="775"/>
      <c r="K144" s="270"/>
      <c r="L144" s="338">
        <v>14</v>
      </c>
      <c r="M144" s="434" t="s">
        <v>378</v>
      </c>
      <c r="N144" s="339" t="s">
        <v>379</v>
      </c>
      <c r="O144" s="563"/>
      <c r="P144" s="470"/>
      <c r="Q144" s="341">
        <v>1399.43</v>
      </c>
      <c r="R144" s="602"/>
      <c r="S144" s="638" t="s">
        <v>380</v>
      </c>
      <c r="T144" s="652">
        <v>45808</v>
      </c>
      <c r="U144" s="663">
        <v>3189.8824402454306</v>
      </c>
      <c r="V144" s="758"/>
      <c r="W144" s="541">
        <v>45817</v>
      </c>
      <c r="X144" s="776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75"/>
      <c r="J145" s="775"/>
      <c r="K145" s="270"/>
      <c r="L145" s="338">
        <v>14</v>
      </c>
      <c r="M145" s="434" t="s">
        <v>378</v>
      </c>
      <c r="N145" s="339" t="s">
        <v>379</v>
      </c>
      <c r="O145" s="563"/>
      <c r="P145" s="470"/>
      <c r="Q145" s="341">
        <v>1699.57</v>
      </c>
      <c r="R145" s="602"/>
      <c r="S145" s="638" t="s">
        <v>380</v>
      </c>
      <c r="T145" s="652">
        <v>45838</v>
      </c>
      <c r="U145" s="663">
        <v>2182.6952598463149</v>
      </c>
      <c r="V145" s="758"/>
      <c r="W145" s="541">
        <v>45842</v>
      </c>
      <c r="X145" s="776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75"/>
      <c r="J146" s="775"/>
      <c r="K146" s="270"/>
      <c r="L146" s="338">
        <v>14</v>
      </c>
      <c r="M146" s="434" t="s">
        <v>378</v>
      </c>
      <c r="N146" s="339" t="s">
        <v>379</v>
      </c>
      <c r="O146" s="563"/>
      <c r="P146" s="470"/>
      <c r="Q146" s="341">
        <v>502.18</v>
      </c>
      <c r="R146" s="602"/>
      <c r="S146" s="638" t="s">
        <v>380</v>
      </c>
      <c r="T146" s="652">
        <v>45869</v>
      </c>
      <c r="U146" s="663">
        <v>230.25910219804018</v>
      </c>
      <c r="V146" s="758"/>
      <c r="W146" s="541">
        <v>45876</v>
      </c>
      <c r="X146" s="776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75"/>
      <c r="J147" s="775"/>
      <c r="K147" s="270"/>
      <c r="L147" s="338">
        <v>14</v>
      </c>
      <c r="M147" s="434" t="s">
        <v>378</v>
      </c>
      <c r="N147" s="339" t="s">
        <v>379</v>
      </c>
      <c r="O147" s="563"/>
      <c r="P147" s="470"/>
      <c r="Q147" s="341">
        <v>380.32</v>
      </c>
      <c r="R147" s="602"/>
      <c r="S147" s="638" t="s">
        <v>380</v>
      </c>
      <c r="T147" s="652">
        <v>45900</v>
      </c>
      <c r="U147" s="663">
        <v>625.86812041731798</v>
      </c>
      <c r="V147" s="758"/>
      <c r="W147" s="681">
        <v>45900</v>
      </c>
      <c r="X147" s="776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75"/>
      <c r="J148" s="775"/>
      <c r="K148" s="270"/>
      <c r="L148" s="338">
        <v>14</v>
      </c>
      <c r="M148" s="434" t="s">
        <v>378</v>
      </c>
      <c r="N148" s="339" t="s">
        <v>379</v>
      </c>
      <c r="O148" s="563"/>
      <c r="P148" s="470"/>
      <c r="Q148" s="341">
        <v>0</v>
      </c>
      <c r="R148" s="602"/>
      <c r="S148" s="638" t="s">
        <v>380</v>
      </c>
      <c r="T148" s="680">
        <v>45930</v>
      </c>
      <c r="U148" s="682">
        <f>(Q148/$X$143*$J$143)</f>
        <v>0</v>
      </c>
      <c r="V148" s="758"/>
      <c r="W148" s="681">
        <v>45939</v>
      </c>
      <c r="X148" s="776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75"/>
      <c r="J149" s="775"/>
      <c r="K149" s="270"/>
      <c r="L149" s="338">
        <v>14</v>
      </c>
      <c r="M149" s="434" t="s">
        <v>378</v>
      </c>
      <c r="N149" s="339" t="s">
        <v>379</v>
      </c>
      <c r="O149" s="563"/>
      <c r="P149" s="470"/>
      <c r="Q149" s="341">
        <v>125.19</v>
      </c>
      <c r="R149" s="602"/>
      <c r="S149" s="638" t="s">
        <v>380</v>
      </c>
      <c r="T149" s="680">
        <v>45961</v>
      </c>
      <c r="U149" s="682">
        <v>176.54719824612627</v>
      </c>
      <c r="V149" s="758"/>
      <c r="W149" s="681">
        <v>45967</v>
      </c>
      <c r="X149" s="776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75"/>
      <c r="J150" s="775"/>
      <c r="K150" s="270"/>
      <c r="L150" s="338">
        <v>14</v>
      </c>
      <c r="M150" s="434" t="s">
        <v>378</v>
      </c>
      <c r="N150" s="339" t="s">
        <v>379</v>
      </c>
      <c r="O150" s="563"/>
      <c r="P150" s="470"/>
      <c r="Q150" s="341">
        <v>0</v>
      </c>
      <c r="R150" s="692"/>
      <c r="S150" s="638" t="s">
        <v>380</v>
      </c>
      <c r="T150" s="680">
        <v>45991</v>
      </c>
      <c r="U150" s="682">
        <v>0</v>
      </c>
      <c r="V150" s="758"/>
      <c r="W150" s="681">
        <v>45991</v>
      </c>
      <c r="X150" s="776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75"/>
      <c r="J151" s="775"/>
      <c r="K151" s="270"/>
      <c r="L151" s="338">
        <v>14</v>
      </c>
      <c r="M151" s="434" t="s">
        <v>378</v>
      </c>
      <c r="N151" s="339" t="s">
        <v>379</v>
      </c>
      <c r="O151" s="563"/>
      <c r="P151" s="470"/>
      <c r="Q151" s="341">
        <v>244.66</v>
      </c>
      <c r="R151" s="602"/>
      <c r="S151" s="638" t="s">
        <v>380</v>
      </c>
      <c r="T151" s="680">
        <v>46022</v>
      </c>
      <c r="U151" s="682">
        <v>242.87560130476257</v>
      </c>
      <c r="V151" s="758"/>
      <c r="W151" s="681">
        <v>46030</v>
      </c>
      <c r="X151" s="776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75"/>
      <c r="J152" s="775"/>
      <c r="K152" s="270"/>
      <c r="L152" s="338">
        <v>14</v>
      </c>
      <c r="M152" s="434" t="s">
        <v>378</v>
      </c>
      <c r="N152" s="339" t="s">
        <v>379</v>
      </c>
      <c r="O152" s="563"/>
      <c r="P152" s="470"/>
      <c r="Q152" s="341">
        <v>315.11</v>
      </c>
      <c r="R152" s="602"/>
      <c r="S152" s="638" t="s">
        <v>380</v>
      </c>
      <c r="T152" s="680">
        <v>46053</v>
      </c>
      <c r="U152" s="682">
        <v>325.66942301012125</v>
      </c>
      <c r="V152" s="758"/>
      <c r="W152" s="681">
        <v>46058</v>
      </c>
      <c r="X152" s="776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75"/>
      <c r="J153" s="775"/>
      <c r="K153" s="270"/>
      <c r="L153" s="338">
        <v>14</v>
      </c>
      <c r="M153" s="434" t="s">
        <v>378</v>
      </c>
      <c r="N153" s="339" t="s">
        <v>379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58"/>
      <c r="W153" s="584">
        <v>46086</v>
      </c>
      <c r="X153" s="776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75"/>
      <c r="J154" s="775"/>
      <c r="K154" s="270"/>
      <c r="L154" s="338">
        <v>14</v>
      </c>
      <c r="M154" s="434" t="s">
        <v>378</v>
      </c>
      <c r="N154" s="339" t="s">
        <v>379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58"/>
      <c r="W154" s="584">
        <v>46121</v>
      </c>
      <c r="X154" s="776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70"/>
      <c r="J155" s="770"/>
      <c r="K155" s="273"/>
      <c r="L155" s="271">
        <v>14</v>
      </c>
      <c r="M155" s="435" t="s">
        <v>378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59"/>
      <c r="W155" s="585"/>
      <c r="X155" s="774"/>
      <c r="Y155" s="481"/>
    </row>
    <row r="156" spans="1:25" ht="13.9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381</v>
      </c>
      <c r="D157" s="280" t="s">
        <v>382</v>
      </c>
      <c r="E157" s="281"/>
      <c r="F157" s="436"/>
      <c r="G157" s="282">
        <f>D194</f>
        <v>300000</v>
      </c>
      <c r="H157" s="538">
        <v>45849</v>
      </c>
      <c r="I157" s="734">
        <f>SUM(G157:G169)</f>
        <v>300000</v>
      </c>
      <c r="J157" s="734">
        <f>F194</f>
        <v>352941.17647058825</v>
      </c>
      <c r="K157" s="283"/>
      <c r="L157" s="279">
        <v>15</v>
      </c>
      <c r="M157" s="349" t="s">
        <v>383</v>
      </c>
      <c r="N157" s="280" t="s">
        <v>384</v>
      </c>
      <c r="O157" s="281"/>
      <c r="P157" s="436"/>
      <c r="Q157" s="282">
        <f>503000/2</f>
        <v>251500</v>
      </c>
      <c r="R157" s="594"/>
      <c r="S157" s="631" t="s">
        <v>385</v>
      </c>
      <c r="T157" s="658">
        <v>45838</v>
      </c>
      <c r="U157" s="659">
        <v>168114.97326203209</v>
      </c>
      <c r="V157" s="724">
        <f>J157-SUM(U157:U169)</f>
        <v>-5.3475843742489815E-5</v>
      </c>
      <c r="W157" s="538">
        <v>45849</v>
      </c>
      <c r="X157" s="721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35"/>
      <c r="J158" s="735"/>
      <c r="K158" s="286"/>
      <c r="L158" s="309">
        <v>15</v>
      </c>
      <c r="M158" s="388" t="s">
        <v>383</v>
      </c>
      <c r="N158" s="311" t="s">
        <v>386</v>
      </c>
      <c r="O158" s="549"/>
      <c r="P158" s="458"/>
      <c r="Q158" s="313">
        <v>251500</v>
      </c>
      <c r="R158" s="587"/>
      <c r="S158" s="624" t="s">
        <v>385</v>
      </c>
      <c r="T158" s="642">
        <v>45838</v>
      </c>
      <c r="U158" s="660">
        <v>168114.97326203209</v>
      </c>
      <c r="V158" s="725"/>
      <c r="W158" s="571">
        <f>'Project Plan'!K41+7</f>
        <v>46070</v>
      </c>
      <c r="X158" s="722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35"/>
      <c r="J159" s="735"/>
      <c r="K159" s="286"/>
      <c r="L159" s="309">
        <v>15</v>
      </c>
      <c r="M159" s="388" t="s">
        <v>383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25"/>
      <c r="W159" s="571"/>
      <c r="X159" s="722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35"/>
      <c r="J160" s="735"/>
      <c r="K160" s="286"/>
      <c r="L160" s="309">
        <v>15</v>
      </c>
      <c r="M160" s="388" t="s">
        <v>383</v>
      </c>
      <c r="N160" s="311" t="s">
        <v>387</v>
      </c>
      <c r="O160" s="675">
        <v>0.5</v>
      </c>
      <c r="P160" s="458">
        <v>143138</v>
      </c>
      <c r="Q160" s="313">
        <v>27040.37</v>
      </c>
      <c r="R160" s="587"/>
      <c r="S160" s="624" t="s">
        <v>388</v>
      </c>
      <c r="T160" s="642">
        <v>45930</v>
      </c>
      <c r="U160" s="646">
        <v>5570.41</v>
      </c>
      <c r="V160" s="725"/>
      <c r="W160" s="534">
        <v>45911</v>
      </c>
      <c r="X160" s="722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35"/>
      <c r="J161" s="735"/>
      <c r="K161" s="286"/>
      <c r="L161" s="309">
        <v>15</v>
      </c>
      <c r="M161" s="388" t="s">
        <v>383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388</v>
      </c>
      <c r="T161" s="642">
        <v>45930</v>
      </c>
      <c r="U161" s="646">
        <v>5570.41</v>
      </c>
      <c r="V161" s="725"/>
      <c r="W161" s="649">
        <v>45932</v>
      </c>
      <c r="X161" s="722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35"/>
      <c r="J162" s="735"/>
      <c r="K162" s="286"/>
      <c r="L162" s="309">
        <v>15</v>
      </c>
      <c r="M162" s="388" t="s">
        <v>383</v>
      </c>
      <c r="N162" s="311"/>
      <c r="O162" s="549"/>
      <c r="P162" s="458"/>
      <c r="Q162" s="313">
        <f>O160*P160</f>
        <v>71569</v>
      </c>
      <c r="R162" s="587"/>
      <c r="S162" s="624" t="s">
        <v>388</v>
      </c>
      <c r="T162" s="642">
        <v>45930</v>
      </c>
      <c r="U162" s="646">
        <v>5570.41</v>
      </c>
      <c r="V162" s="725"/>
      <c r="W162" s="534">
        <v>45995</v>
      </c>
      <c r="X162" s="722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35"/>
      <c r="J163" s="735"/>
      <c r="K163" s="286"/>
      <c r="L163" s="309">
        <v>15</v>
      </c>
      <c r="M163" s="388" t="s">
        <v>383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25"/>
      <c r="W163" s="571"/>
      <c r="X163" s="722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35"/>
      <c r="J164" s="735"/>
      <c r="K164" s="286"/>
      <c r="L164" s="309">
        <v>15</v>
      </c>
      <c r="M164" s="388" t="s">
        <v>383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25"/>
      <c r="W164" s="571"/>
      <c r="X164" s="722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35"/>
      <c r="J165" s="735"/>
      <c r="K165" s="286"/>
      <c r="L165" s="309">
        <v>15</v>
      </c>
      <c r="M165" s="388" t="s">
        <v>383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25"/>
      <c r="W165" s="571"/>
      <c r="X165" s="722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35"/>
      <c r="J166" s="735"/>
      <c r="K166" s="286"/>
      <c r="L166" s="309">
        <v>15</v>
      </c>
      <c r="M166" s="388" t="s">
        <v>383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25"/>
      <c r="W166" s="571"/>
      <c r="X166" s="722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35"/>
      <c r="J167" s="735"/>
      <c r="K167" s="286"/>
      <c r="L167" s="309">
        <v>15</v>
      </c>
      <c r="M167" s="388" t="s">
        <v>383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25"/>
      <c r="W167" s="571"/>
      <c r="X167" s="722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35"/>
      <c r="J168" s="735"/>
      <c r="K168" s="286"/>
      <c r="L168" s="309">
        <v>15</v>
      </c>
      <c r="M168" s="388" t="s">
        <v>383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25"/>
      <c r="W168" s="571"/>
      <c r="X168" s="722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36"/>
      <c r="J169" s="736"/>
      <c r="K169" s="287"/>
      <c r="L169" s="314">
        <v>15</v>
      </c>
      <c r="M169" s="418" t="s">
        <v>383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26"/>
      <c r="W169" s="573"/>
      <c r="X169" s="723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389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390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391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283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320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303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392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393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394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395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396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397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398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399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400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401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402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403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404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405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406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407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394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408</v>
      </c>
      <c r="D196" s="641"/>
      <c r="E196" s="543"/>
      <c r="F196" s="641"/>
      <c r="I196" s="254"/>
      <c r="J196" s="254"/>
    </row>
    <row r="197" spans="3:10" s="110" customFormat="1">
      <c r="C197" s="641" t="s">
        <v>409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I73:I80"/>
    <mergeCell ref="J73:J80"/>
    <mergeCell ref="V73:V80"/>
    <mergeCell ref="V45:V52"/>
    <mergeCell ref="V54:V71"/>
    <mergeCell ref="R60:R68"/>
    <mergeCell ref="I45:I52"/>
    <mergeCell ref="J45:J5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1328125" defaultRowHeight="14.25"/>
  <cols>
    <col min="1" max="1" width="9.1328125" customWidth="1"/>
    <col min="2" max="2" width="34.59765625" customWidth="1"/>
    <col min="3" max="3" width="18.53125" bestFit="1" customWidth="1"/>
    <col min="4" max="4" width="21.1328125" customWidth="1"/>
    <col min="5" max="5" width="4.1328125" customWidth="1"/>
    <col min="6" max="6" width="16.1328125" bestFit="1" customWidth="1"/>
    <col min="7" max="7" width="20.19921875" customWidth="1"/>
    <col min="8" max="316" width="15.19921875" bestFit="1" customWidth="1"/>
    <col min="317" max="317" width="9.1328125" style="189"/>
  </cols>
  <sheetData>
    <row r="1" spans="1:794">
      <c r="D1" s="185" t="s">
        <v>410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09" t="s">
        <v>411</v>
      </c>
      <c r="B2" s="190"/>
      <c r="C2" s="191" t="s">
        <v>239</v>
      </c>
      <c r="D2" s="191" t="s">
        <v>239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3" t="s">
        <v>159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167771.95000000001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10"/>
      <c r="B4" s="193" t="s">
        <v>412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10"/>
      <c r="B5" s="197" t="s">
        <v>161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10"/>
      <c r="B6" s="197" t="s">
        <v>413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10"/>
      <c r="B7" s="202" t="s">
        <v>414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09" t="s">
        <v>150</v>
      </c>
      <c r="B8" s="190"/>
      <c r="C8" s="191" t="s">
        <v>239</v>
      </c>
      <c r="D8" s="191" t="s">
        <v>239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7" t="s">
        <v>415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1342175.6000000001</v>
      </c>
      <c r="BL9" s="209">
        <f>SUMIFS('Revenue Tracking'!$F$13:$F$19, 'Revenue Tracking'!$P$13:$P$19, "&gt;="&amp;BL1,'Revenue Tracking'!$P$13:$P$19, "&lt;"&amp;BM1)</f>
        <v>0</v>
      </c>
      <c r="BM9" s="209">
        <f>SUMIFS('Revenue Tracking'!$F$13:$F$19, 'Revenue Tracking'!$P$13:$P$19, "&gt;="&amp;BM1,'Revenue Tracking'!$P$13:$P$19, "&lt;"&amp;BN1)</f>
        <v>167771.95000000001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10"/>
      <c r="B10" s="207" t="s">
        <v>416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3187667.05</v>
      </c>
      <c r="BL10" s="209">
        <f t="shared" si="21"/>
        <v>3187667.05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10"/>
      <c r="B11" s="210" t="s">
        <v>417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251500</v>
      </c>
      <c r="BK11" s="212">
        <f>SUMIFS('Expenditure Breakdown'!$Q$6:$Q$177, 'Expenditure Breakdown'!$W$6:$W$177, "&gt;="&amp;BK1,'Expenditure Breakdown'!$W$6:$W$177, "&lt;"&amp;BL1)</f>
        <v>200695.82357722812</v>
      </c>
      <c r="BL11" s="212">
        <f>SUMIFS('Expenditure Breakdown'!$Q$6:$Q$177, 'Expenditure Breakdown'!$W$6:$W$177, "&gt;="&amp;BL1,'Expenditure Breakdown'!$W$6:$W$177, "&lt;"&amp;BM1)</f>
        <v>121844.75348145333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0</v>
      </c>
      <c r="BO11" s="212">
        <f>SUMIFS('Expenditure Breakdown'!$Q$6:$Q$177, 'Expenditure Breakdown'!$W$6:$W$177, "&gt;="&amp;BO1,'Expenditure Breakdown'!$W$6:$W$177, "&lt;"&amp;BP1)</f>
        <v>40514.908821315323</v>
      </c>
      <c r="BP11" s="212">
        <f>SUMIFS('Expenditure Breakdown'!$Q$6:$Q$177, 'Expenditure Breakdown'!$W$6:$W$177, "&gt;="&amp;BP1,'Expenditure Breakdown'!$W$6:$W$177, "&lt;"&amp;BQ1)</f>
        <v>14449.5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41942.987500000003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10"/>
      <c r="B12" s="210" t="s">
        <v>418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2795695.8699999996</v>
      </c>
      <c r="BK12" s="212">
        <f t="shared" si="26"/>
        <v>2996391.6935772276</v>
      </c>
      <c r="BL12" s="212">
        <f t="shared" si="26"/>
        <v>3118236.4470586809</v>
      </c>
      <c r="BM12" s="212">
        <f t="shared" si="26"/>
        <v>3118236.4470586809</v>
      </c>
      <c r="BN12" s="212">
        <f t="shared" si="26"/>
        <v>3118236.4470586809</v>
      </c>
      <c r="BO12" s="212">
        <f t="shared" si="26"/>
        <v>3158751.3558799964</v>
      </c>
      <c r="BP12" s="212">
        <f t="shared" si="26"/>
        <v>3173200.8558799964</v>
      </c>
      <c r="BQ12" s="212">
        <f t="shared" si="26"/>
        <v>3173500.8558799964</v>
      </c>
      <c r="BR12" s="212">
        <f t="shared" si="26"/>
        <v>3173500.8558799964</v>
      </c>
      <c r="BS12" s="212">
        <f t="shared" si="26"/>
        <v>3173500.8558799964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10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2" t="s">
        <v>419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-950204.41999999969</v>
      </c>
      <c r="BK14" s="205">
        <f t="shared" si="32"/>
        <v>191275.35642277217</v>
      </c>
      <c r="BL14" s="205">
        <f t="shared" si="32"/>
        <v>69430.602941318881</v>
      </c>
      <c r="BM14" s="205">
        <f t="shared" si="32"/>
        <v>237202.55294131907</v>
      </c>
      <c r="BN14" s="205">
        <f t="shared" si="32"/>
        <v>237202.55294131907</v>
      </c>
      <c r="BO14" s="205">
        <f t="shared" si="32"/>
        <v>196687.64412000356</v>
      </c>
      <c r="BP14" s="205">
        <f t="shared" si="32"/>
        <v>182238.14412000356</v>
      </c>
      <c r="BQ14" s="205">
        <f t="shared" si="32"/>
        <v>181938.14412000356</v>
      </c>
      <c r="BR14" s="205">
        <f t="shared" si="32"/>
        <v>181938.14412000356</v>
      </c>
      <c r="BS14" s="205">
        <f t="shared" si="32"/>
        <v>181938.14412000356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239</v>
      </c>
      <c r="D16" s="191" t="s">
        <v>239</v>
      </c>
    </row>
    <row r="17" spans="1:316">
      <c r="A17" s="811"/>
      <c r="B17" s="193" t="s">
        <v>420</v>
      </c>
      <c r="C17" s="373">
        <f>C3-D17</f>
        <v>-1.923004537820816E-2</v>
      </c>
      <c r="D17" s="194">
        <f>SUM(F17:LD17)</f>
        <v>3355439.0192300454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62160.460299494051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207294.58680987274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11"/>
      <c r="B18" s="193" t="s">
        <v>421</v>
      </c>
      <c r="C18" s="373">
        <f>D17-D18</f>
        <v>0</v>
      </c>
      <c r="D18" s="194">
        <f>MAX(F18:LD18)</f>
        <v>3355439.0192300454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3148144.4324201727</v>
      </c>
      <c r="BL18" s="212">
        <f t="shared" si="37"/>
        <v>3148144.4324201727</v>
      </c>
      <c r="BM18" s="212">
        <f t="shared" si="37"/>
        <v>3148144.4324201727</v>
      </c>
      <c r="BN18" s="212">
        <f t="shared" si="37"/>
        <v>3148144.4324201727</v>
      </c>
      <c r="BO18" s="212">
        <f t="shared" si="37"/>
        <v>3148144.4324201727</v>
      </c>
      <c r="BP18" s="212">
        <f t="shared" si="37"/>
        <v>3355439.0192300454</v>
      </c>
      <c r="BQ18" s="212">
        <f t="shared" si="37"/>
        <v>3355439.0192300454</v>
      </c>
      <c r="BR18" s="212">
        <f t="shared" si="37"/>
        <v>3355439.0192300454</v>
      </c>
      <c r="BS18" s="212">
        <f t="shared" si="37"/>
        <v>3355439.0192300454</v>
      </c>
      <c r="BT18" s="212">
        <f t="shared" si="37"/>
        <v>3355439.0192300454</v>
      </c>
      <c r="BU18" s="212">
        <f t="shared" ref="BU18:EF18" si="38">BT18+BU17</f>
        <v>3355439.0192300454</v>
      </c>
      <c r="BV18" s="212">
        <f t="shared" si="38"/>
        <v>3355439.0192300454</v>
      </c>
      <c r="BW18" s="212">
        <f t="shared" si="38"/>
        <v>3355439.0192300454</v>
      </c>
      <c r="BX18" s="212">
        <f t="shared" si="38"/>
        <v>3355439.0192300454</v>
      </c>
      <c r="BY18" s="212">
        <f t="shared" si="38"/>
        <v>3355439.0192300454</v>
      </c>
      <c r="BZ18" s="212">
        <f t="shared" si="38"/>
        <v>3355439.0192300454</v>
      </c>
      <c r="CA18" s="212">
        <f t="shared" si="38"/>
        <v>3355439.0192300454</v>
      </c>
      <c r="CB18" s="212">
        <f t="shared" si="38"/>
        <v>3355439.0192300454</v>
      </c>
      <c r="CC18" s="212">
        <f t="shared" si="38"/>
        <v>3355439.0192300454</v>
      </c>
      <c r="CD18" s="212">
        <f t="shared" si="38"/>
        <v>3355439.0192300454</v>
      </c>
      <c r="CE18" s="212">
        <f t="shared" si="38"/>
        <v>3355439.0192300454</v>
      </c>
      <c r="CF18" s="212">
        <f t="shared" si="38"/>
        <v>3355439.0192300454</v>
      </c>
      <c r="CG18" s="212">
        <f t="shared" si="38"/>
        <v>3355439.0192300454</v>
      </c>
      <c r="CH18" s="212">
        <f t="shared" si="38"/>
        <v>3355439.0192300454</v>
      </c>
      <c r="CI18" s="212">
        <f t="shared" si="38"/>
        <v>3355439.0192300454</v>
      </c>
      <c r="CJ18" s="212">
        <f t="shared" si="38"/>
        <v>3355439.0192300454</v>
      </c>
      <c r="CK18" s="212">
        <f t="shared" si="38"/>
        <v>3355439.0192300454</v>
      </c>
      <c r="CL18" s="212">
        <f t="shared" si="38"/>
        <v>3355439.0192300454</v>
      </c>
      <c r="CM18" s="212">
        <f t="shared" si="38"/>
        <v>3355439.0192300454</v>
      </c>
      <c r="CN18" s="212">
        <f t="shared" si="38"/>
        <v>3355439.0192300454</v>
      </c>
      <c r="CO18" s="212">
        <f t="shared" si="38"/>
        <v>3355439.0192300454</v>
      </c>
      <c r="CP18" s="212">
        <f t="shared" si="38"/>
        <v>3355439.0192300454</v>
      </c>
      <c r="CQ18" s="212">
        <f t="shared" si="38"/>
        <v>3355439.0192300454</v>
      </c>
      <c r="CR18" s="212">
        <f t="shared" si="38"/>
        <v>3355439.0192300454</v>
      </c>
      <c r="CS18" s="212">
        <f t="shared" si="38"/>
        <v>3355439.0192300454</v>
      </c>
      <c r="CT18" s="212">
        <f t="shared" si="38"/>
        <v>3355439.0192300454</v>
      </c>
      <c r="CU18" s="212">
        <f t="shared" si="38"/>
        <v>3355439.0192300454</v>
      </c>
      <c r="CV18" s="212">
        <f t="shared" si="38"/>
        <v>3355439.0192300454</v>
      </c>
      <c r="CW18" s="212">
        <f t="shared" si="38"/>
        <v>3355439.0192300454</v>
      </c>
      <c r="CX18" s="212">
        <f t="shared" si="38"/>
        <v>3355439.0192300454</v>
      </c>
      <c r="CY18" s="212">
        <f t="shared" si="38"/>
        <v>3355439.0192300454</v>
      </c>
      <c r="CZ18" s="212">
        <f t="shared" si="38"/>
        <v>3355439.0192300454</v>
      </c>
      <c r="DA18" s="212">
        <f t="shared" si="38"/>
        <v>3355439.0192300454</v>
      </c>
      <c r="DB18" s="212">
        <f t="shared" si="38"/>
        <v>3355439.0192300454</v>
      </c>
      <c r="DC18" s="212">
        <f t="shared" si="38"/>
        <v>3355439.0192300454</v>
      </c>
      <c r="DD18" s="212">
        <f t="shared" si="38"/>
        <v>3355439.0192300454</v>
      </c>
      <c r="DE18" s="212">
        <f t="shared" si="38"/>
        <v>3355439.0192300454</v>
      </c>
      <c r="DF18" s="212">
        <f t="shared" si="38"/>
        <v>3355439.0192300454</v>
      </c>
      <c r="DG18" s="212">
        <f t="shared" si="38"/>
        <v>3355439.0192300454</v>
      </c>
      <c r="DH18" s="212">
        <f t="shared" si="38"/>
        <v>3355439.0192300454</v>
      </c>
      <c r="DI18" s="212">
        <f t="shared" si="38"/>
        <v>3355439.0192300454</v>
      </c>
      <c r="DJ18" s="212">
        <f t="shared" si="38"/>
        <v>3355439.0192300454</v>
      </c>
      <c r="DK18" s="212">
        <f t="shared" si="38"/>
        <v>3355439.0192300454</v>
      </c>
      <c r="DL18" s="212">
        <f t="shared" si="38"/>
        <v>3355439.0192300454</v>
      </c>
      <c r="DM18" s="212">
        <f t="shared" si="38"/>
        <v>3355439.0192300454</v>
      </c>
      <c r="DN18" s="212">
        <f t="shared" si="38"/>
        <v>3355439.0192300454</v>
      </c>
      <c r="DO18" s="212">
        <f t="shared" si="38"/>
        <v>3355439.0192300454</v>
      </c>
      <c r="DP18" s="212">
        <f t="shared" si="38"/>
        <v>3355439.0192300454</v>
      </c>
      <c r="DQ18" s="212">
        <f t="shared" si="38"/>
        <v>3355439.0192300454</v>
      </c>
      <c r="DR18" s="212">
        <f t="shared" si="38"/>
        <v>3355439.0192300454</v>
      </c>
      <c r="DS18" s="212">
        <f t="shared" si="38"/>
        <v>3355439.0192300454</v>
      </c>
      <c r="DT18" s="212">
        <f t="shared" si="38"/>
        <v>3355439.0192300454</v>
      </c>
      <c r="DU18" s="212">
        <f t="shared" si="38"/>
        <v>3355439.0192300454</v>
      </c>
      <c r="DV18" s="212">
        <f t="shared" si="38"/>
        <v>3355439.0192300454</v>
      </c>
      <c r="DW18" s="212">
        <f t="shared" si="38"/>
        <v>3355439.0192300454</v>
      </c>
      <c r="DX18" s="212">
        <f t="shared" si="38"/>
        <v>3355439.0192300454</v>
      </c>
      <c r="DY18" s="212">
        <f t="shared" si="38"/>
        <v>3355439.0192300454</v>
      </c>
      <c r="DZ18" s="212">
        <f t="shared" si="38"/>
        <v>3355439.0192300454</v>
      </c>
      <c r="EA18" s="212">
        <f t="shared" si="38"/>
        <v>3355439.0192300454</v>
      </c>
      <c r="EB18" s="212">
        <f t="shared" si="38"/>
        <v>3355439.0192300454</v>
      </c>
      <c r="EC18" s="212">
        <f t="shared" si="38"/>
        <v>3355439.0192300454</v>
      </c>
      <c r="ED18" s="212">
        <f t="shared" si="38"/>
        <v>3355439.0192300454</v>
      </c>
      <c r="EE18" s="212">
        <f t="shared" si="38"/>
        <v>3355439.0192300454</v>
      </c>
      <c r="EF18" s="212">
        <f t="shared" si="38"/>
        <v>3355439.0192300454</v>
      </c>
      <c r="EG18" s="212">
        <f t="shared" ref="EG18:GR18" si="39">EF18+EG17</f>
        <v>3355439.0192300454</v>
      </c>
      <c r="EH18" s="212">
        <f t="shared" si="39"/>
        <v>3355439.0192300454</v>
      </c>
      <c r="EI18" s="212">
        <f t="shared" si="39"/>
        <v>3355439.0192300454</v>
      </c>
      <c r="EJ18" s="212">
        <f t="shared" si="39"/>
        <v>3355439.0192300454</v>
      </c>
      <c r="EK18" s="212">
        <f t="shared" si="39"/>
        <v>3355439.0192300454</v>
      </c>
      <c r="EL18" s="212">
        <f t="shared" si="39"/>
        <v>3355439.0192300454</v>
      </c>
      <c r="EM18" s="212">
        <f t="shared" si="39"/>
        <v>3355439.0192300454</v>
      </c>
      <c r="EN18" s="212">
        <f t="shared" si="39"/>
        <v>3355439.0192300454</v>
      </c>
      <c r="EO18" s="212">
        <f t="shared" si="39"/>
        <v>3355439.0192300454</v>
      </c>
      <c r="EP18" s="212">
        <f t="shared" si="39"/>
        <v>3355439.0192300454</v>
      </c>
      <c r="EQ18" s="212">
        <f t="shared" si="39"/>
        <v>3355439.0192300454</v>
      </c>
      <c r="ER18" s="212">
        <f t="shared" si="39"/>
        <v>3355439.0192300454</v>
      </c>
      <c r="ES18" s="212">
        <f t="shared" si="39"/>
        <v>3355439.0192300454</v>
      </c>
      <c r="ET18" s="212">
        <f t="shared" si="39"/>
        <v>3355439.0192300454</v>
      </c>
      <c r="EU18" s="212">
        <f t="shared" si="39"/>
        <v>3355439.0192300454</v>
      </c>
      <c r="EV18" s="212">
        <f t="shared" si="39"/>
        <v>3355439.0192300454</v>
      </c>
      <c r="EW18" s="212">
        <f t="shared" si="39"/>
        <v>3355439.0192300454</v>
      </c>
      <c r="EX18" s="212">
        <f t="shared" si="39"/>
        <v>3355439.0192300454</v>
      </c>
      <c r="EY18" s="212">
        <f t="shared" si="39"/>
        <v>3355439.0192300454</v>
      </c>
      <c r="EZ18" s="212">
        <f t="shared" si="39"/>
        <v>3355439.0192300454</v>
      </c>
      <c r="FA18" s="212">
        <f t="shared" si="39"/>
        <v>3355439.0192300454</v>
      </c>
      <c r="FB18" s="212">
        <f t="shared" si="39"/>
        <v>3355439.0192300454</v>
      </c>
      <c r="FC18" s="212">
        <f t="shared" si="39"/>
        <v>3355439.0192300454</v>
      </c>
      <c r="FD18" s="212">
        <f t="shared" si="39"/>
        <v>3355439.0192300454</v>
      </c>
      <c r="FE18" s="212">
        <f t="shared" si="39"/>
        <v>3355439.0192300454</v>
      </c>
      <c r="FF18" s="212">
        <f t="shared" si="39"/>
        <v>3355439.0192300454</v>
      </c>
      <c r="FG18" s="212">
        <f t="shared" si="39"/>
        <v>3355439.0192300454</v>
      </c>
      <c r="FH18" s="212">
        <f t="shared" si="39"/>
        <v>3355439.0192300454</v>
      </c>
      <c r="FI18" s="212">
        <f t="shared" si="39"/>
        <v>3355439.0192300454</v>
      </c>
      <c r="FJ18" s="212">
        <f t="shared" si="39"/>
        <v>3355439.0192300454</v>
      </c>
      <c r="FK18" s="212">
        <f t="shared" si="39"/>
        <v>3355439.0192300454</v>
      </c>
      <c r="FL18" s="212">
        <f t="shared" si="39"/>
        <v>3355439.0192300454</v>
      </c>
      <c r="FM18" s="212">
        <f t="shared" si="39"/>
        <v>3355439.0192300454</v>
      </c>
      <c r="FN18" s="212">
        <f t="shared" si="39"/>
        <v>3355439.0192300454</v>
      </c>
      <c r="FO18" s="212">
        <f t="shared" si="39"/>
        <v>3355439.0192300454</v>
      </c>
      <c r="FP18" s="212">
        <f t="shared" si="39"/>
        <v>3355439.0192300454</v>
      </c>
      <c r="FQ18" s="212">
        <f t="shared" si="39"/>
        <v>3355439.0192300454</v>
      </c>
      <c r="FR18" s="212">
        <f t="shared" si="39"/>
        <v>3355439.0192300454</v>
      </c>
      <c r="FS18" s="212">
        <f t="shared" si="39"/>
        <v>3355439.0192300454</v>
      </c>
      <c r="FT18" s="212">
        <f t="shared" si="39"/>
        <v>3355439.0192300454</v>
      </c>
      <c r="FU18" s="212">
        <f t="shared" si="39"/>
        <v>3355439.0192300454</v>
      </c>
      <c r="FV18" s="212">
        <f t="shared" si="39"/>
        <v>3355439.0192300454</v>
      </c>
      <c r="FW18" s="212">
        <f t="shared" si="39"/>
        <v>3355439.0192300454</v>
      </c>
      <c r="FX18" s="212">
        <f t="shared" si="39"/>
        <v>3355439.0192300454</v>
      </c>
      <c r="FY18" s="212">
        <f t="shared" si="39"/>
        <v>3355439.0192300454</v>
      </c>
      <c r="FZ18" s="212">
        <f t="shared" si="39"/>
        <v>3355439.0192300454</v>
      </c>
      <c r="GA18" s="212">
        <f t="shared" si="39"/>
        <v>3355439.0192300454</v>
      </c>
      <c r="GB18" s="212">
        <f t="shared" si="39"/>
        <v>3355439.0192300454</v>
      </c>
      <c r="GC18" s="212">
        <f t="shared" si="39"/>
        <v>3355439.0192300454</v>
      </c>
      <c r="GD18" s="212">
        <f t="shared" si="39"/>
        <v>3355439.0192300454</v>
      </c>
      <c r="GE18" s="212">
        <f t="shared" si="39"/>
        <v>3355439.0192300454</v>
      </c>
      <c r="GF18" s="212">
        <f t="shared" si="39"/>
        <v>3355439.0192300454</v>
      </c>
      <c r="GG18" s="212">
        <f t="shared" si="39"/>
        <v>3355439.0192300454</v>
      </c>
      <c r="GH18" s="212">
        <f t="shared" si="39"/>
        <v>3355439.0192300454</v>
      </c>
      <c r="GI18" s="212">
        <f t="shared" si="39"/>
        <v>3355439.0192300454</v>
      </c>
      <c r="GJ18" s="212">
        <f t="shared" si="39"/>
        <v>3355439.0192300454</v>
      </c>
      <c r="GK18" s="212">
        <f t="shared" si="39"/>
        <v>3355439.0192300454</v>
      </c>
      <c r="GL18" s="212">
        <f t="shared" si="39"/>
        <v>3355439.0192300454</v>
      </c>
      <c r="GM18" s="212">
        <f t="shared" si="39"/>
        <v>3355439.0192300454</v>
      </c>
      <c r="GN18" s="212">
        <f t="shared" si="39"/>
        <v>3355439.0192300454</v>
      </c>
      <c r="GO18" s="212">
        <f t="shared" si="39"/>
        <v>3355439.0192300454</v>
      </c>
      <c r="GP18" s="212">
        <f t="shared" si="39"/>
        <v>3355439.0192300454</v>
      </c>
      <c r="GQ18" s="212">
        <f t="shared" si="39"/>
        <v>3355439.0192300454</v>
      </c>
      <c r="GR18" s="212">
        <f t="shared" si="39"/>
        <v>3355439.0192300454</v>
      </c>
      <c r="GS18" s="212">
        <f t="shared" ref="GS18:JD18" si="40">GR18+GS17</f>
        <v>3355439.0192300454</v>
      </c>
      <c r="GT18" s="212">
        <f t="shared" si="40"/>
        <v>3355439.0192300454</v>
      </c>
      <c r="GU18" s="212">
        <f t="shared" si="40"/>
        <v>3355439.0192300454</v>
      </c>
      <c r="GV18" s="212">
        <f t="shared" si="40"/>
        <v>3355439.0192300454</v>
      </c>
      <c r="GW18" s="212">
        <f t="shared" si="40"/>
        <v>3355439.0192300454</v>
      </c>
      <c r="GX18" s="212">
        <f t="shared" si="40"/>
        <v>3355439.0192300454</v>
      </c>
      <c r="GY18" s="212">
        <f t="shared" si="40"/>
        <v>3355439.0192300454</v>
      </c>
      <c r="GZ18" s="212">
        <f t="shared" si="40"/>
        <v>3355439.0192300454</v>
      </c>
      <c r="HA18" s="212">
        <f t="shared" si="40"/>
        <v>3355439.0192300454</v>
      </c>
      <c r="HB18" s="212">
        <f t="shared" si="40"/>
        <v>3355439.0192300454</v>
      </c>
      <c r="HC18" s="212">
        <f t="shared" si="40"/>
        <v>3355439.0192300454</v>
      </c>
      <c r="HD18" s="212">
        <f t="shared" si="40"/>
        <v>3355439.0192300454</v>
      </c>
      <c r="HE18" s="212">
        <f t="shared" si="40"/>
        <v>3355439.0192300454</v>
      </c>
      <c r="HF18" s="212">
        <f t="shared" si="40"/>
        <v>3355439.0192300454</v>
      </c>
      <c r="HG18" s="212">
        <f t="shared" si="40"/>
        <v>3355439.0192300454</v>
      </c>
      <c r="HH18" s="212">
        <f t="shared" si="40"/>
        <v>3355439.0192300454</v>
      </c>
      <c r="HI18" s="212">
        <f t="shared" si="40"/>
        <v>3355439.0192300454</v>
      </c>
      <c r="HJ18" s="212">
        <f t="shared" si="40"/>
        <v>3355439.0192300454</v>
      </c>
      <c r="HK18" s="212">
        <f t="shared" si="40"/>
        <v>3355439.0192300454</v>
      </c>
      <c r="HL18" s="212">
        <f t="shared" si="40"/>
        <v>3355439.0192300454</v>
      </c>
      <c r="HM18" s="212">
        <f t="shared" si="40"/>
        <v>3355439.0192300454</v>
      </c>
      <c r="HN18" s="212">
        <f t="shared" si="40"/>
        <v>3355439.0192300454</v>
      </c>
      <c r="HO18" s="212">
        <f t="shared" si="40"/>
        <v>3355439.0192300454</v>
      </c>
      <c r="HP18" s="212">
        <f t="shared" si="40"/>
        <v>3355439.0192300454</v>
      </c>
      <c r="HQ18" s="212">
        <f t="shared" si="40"/>
        <v>3355439.0192300454</v>
      </c>
      <c r="HR18" s="212">
        <f t="shared" si="40"/>
        <v>3355439.0192300454</v>
      </c>
      <c r="HS18" s="212">
        <f t="shared" si="40"/>
        <v>3355439.0192300454</v>
      </c>
      <c r="HT18" s="212">
        <f t="shared" si="40"/>
        <v>3355439.0192300454</v>
      </c>
      <c r="HU18" s="212">
        <f t="shared" si="40"/>
        <v>3355439.0192300454</v>
      </c>
      <c r="HV18" s="212">
        <f t="shared" si="40"/>
        <v>3355439.0192300454</v>
      </c>
      <c r="HW18" s="212">
        <f t="shared" si="40"/>
        <v>3355439.0192300454</v>
      </c>
      <c r="HX18" s="212">
        <f t="shared" si="40"/>
        <v>3355439.0192300454</v>
      </c>
      <c r="HY18" s="212">
        <f t="shared" si="40"/>
        <v>3355439.0192300454</v>
      </c>
      <c r="HZ18" s="212">
        <f t="shared" si="40"/>
        <v>3355439.0192300454</v>
      </c>
      <c r="IA18" s="212">
        <f t="shared" si="40"/>
        <v>3355439.0192300454</v>
      </c>
      <c r="IB18" s="212">
        <f t="shared" si="40"/>
        <v>3355439.0192300454</v>
      </c>
      <c r="IC18" s="212">
        <f t="shared" si="40"/>
        <v>3355439.0192300454</v>
      </c>
      <c r="ID18" s="212">
        <f t="shared" si="40"/>
        <v>3355439.0192300454</v>
      </c>
      <c r="IE18" s="212">
        <f t="shared" si="40"/>
        <v>3355439.0192300454</v>
      </c>
      <c r="IF18" s="212">
        <f t="shared" si="40"/>
        <v>3355439.0192300454</v>
      </c>
      <c r="IG18" s="212">
        <f t="shared" si="40"/>
        <v>3355439.0192300454</v>
      </c>
      <c r="IH18" s="212">
        <f t="shared" si="40"/>
        <v>3355439.0192300454</v>
      </c>
      <c r="II18" s="212">
        <f t="shared" si="40"/>
        <v>3355439.0192300454</v>
      </c>
      <c r="IJ18" s="212">
        <f t="shared" si="40"/>
        <v>3355439.0192300454</v>
      </c>
      <c r="IK18" s="212">
        <f t="shared" si="40"/>
        <v>3355439.0192300454</v>
      </c>
      <c r="IL18" s="212">
        <f t="shared" si="40"/>
        <v>3355439.0192300454</v>
      </c>
      <c r="IM18" s="212">
        <f t="shared" si="40"/>
        <v>3355439.0192300454</v>
      </c>
      <c r="IN18" s="212">
        <f t="shared" si="40"/>
        <v>3355439.0192300454</v>
      </c>
      <c r="IO18" s="212">
        <f t="shared" si="40"/>
        <v>3355439.0192300454</v>
      </c>
      <c r="IP18" s="212">
        <f t="shared" si="40"/>
        <v>3355439.0192300454</v>
      </c>
      <c r="IQ18" s="212">
        <f t="shared" si="40"/>
        <v>3355439.0192300454</v>
      </c>
      <c r="IR18" s="212">
        <f t="shared" si="40"/>
        <v>3355439.0192300454</v>
      </c>
      <c r="IS18" s="212">
        <f t="shared" si="40"/>
        <v>3355439.0192300454</v>
      </c>
      <c r="IT18" s="212">
        <f t="shared" si="40"/>
        <v>3355439.0192300454</v>
      </c>
      <c r="IU18" s="212">
        <f t="shared" si="40"/>
        <v>3355439.0192300454</v>
      </c>
      <c r="IV18" s="212">
        <f t="shared" si="40"/>
        <v>3355439.0192300454</v>
      </c>
      <c r="IW18" s="212">
        <f t="shared" si="40"/>
        <v>3355439.0192300454</v>
      </c>
      <c r="IX18" s="212">
        <f t="shared" si="40"/>
        <v>3355439.0192300454</v>
      </c>
      <c r="IY18" s="212">
        <f t="shared" si="40"/>
        <v>3355439.0192300454</v>
      </c>
      <c r="IZ18" s="212">
        <f t="shared" si="40"/>
        <v>3355439.0192300454</v>
      </c>
      <c r="JA18" s="212">
        <f t="shared" si="40"/>
        <v>3355439.0192300454</v>
      </c>
      <c r="JB18" s="212">
        <f t="shared" si="40"/>
        <v>3355439.0192300454</v>
      </c>
      <c r="JC18" s="212">
        <f t="shared" si="40"/>
        <v>3355439.0192300454</v>
      </c>
      <c r="JD18" s="212">
        <f t="shared" si="40"/>
        <v>3355439.0192300454</v>
      </c>
      <c r="JE18" s="212">
        <f t="shared" ref="JE18:LD18" si="41">JD18+JE17</f>
        <v>3355439.0192300454</v>
      </c>
      <c r="JF18" s="212">
        <f t="shared" si="41"/>
        <v>3355439.0192300454</v>
      </c>
      <c r="JG18" s="212">
        <f t="shared" si="41"/>
        <v>3355439.0192300454</v>
      </c>
      <c r="JH18" s="212">
        <f t="shared" si="41"/>
        <v>3355439.0192300454</v>
      </c>
      <c r="JI18" s="212">
        <f t="shared" si="41"/>
        <v>3355439.0192300454</v>
      </c>
      <c r="JJ18" s="212">
        <f t="shared" si="41"/>
        <v>3355439.0192300454</v>
      </c>
      <c r="JK18" s="212">
        <f t="shared" si="41"/>
        <v>3355439.0192300454</v>
      </c>
      <c r="JL18" s="212">
        <f t="shared" si="41"/>
        <v>3355439.0192300454</v>
      </c>
      <c r="JM18" s="212">
        <f t="shared" si="41"/>
        <v>3355439.0192300454</v>
      </c>
      <c r="JN18" s="212">
        <f t="shared" si="41"/>
        <v>3355439.0192300454</v>
      </c>
      <c r="JO18" s="212">
        <f t="shared" si="41"/>
        <v>3355439.0192300454</v>
      </c>
      <c r="JP18" s="212">
        <f t="shared" si="41"/>
        <v>3355439.0192300454</v>
      </c>
      <c r="JQ18" s="212">
        <f t="shared" si="41"/>
        <v>3355439.0192300454</v>
      </c>
      <c r="JR18" s="212">
        <f t="shared" si="41"/>
        <v>3355439.0192300454</v>
      </c>
      <c r="JS18" s="212">
        <f t="shared" si="41"/>
        <v>3355439.0192300454</v>
      </c>
      <c r="JT18" s="212">
        <f t="shared" si="41"/>
        <v>3355439.0192300454</v>
      </c>
      <c r="JU18" s="212">
        <f t="shared" si="41"/>
        <v>3355439.0192300454</v>
      </c>
      <c r="JV18" s="212">
        <f t="shared" si="41"/>
        <v>3355439.0192300454</v>
      </c>
      <c r="JW18" s="212">
        <f t="shared" si="41"/>
        <v>3355439.0192300454</v>
      </c>
      <c r="JX18" s="212">
        <f t="shared" si="41"/>
        <v>3355439.0192300454</v>
      </c>
      <c r="JY18" s="212">
        <f t="shared" si="41"/>
        <v>3355439.0192300454</v>
      </c>
      <c r="JZ18" s="212">
        <f t="shared" si="41"/>
        <v>3355439.0192300454</v>
      </c>
      <c r="KA18" s="212">
        <f t="shared" si="41"/>
        <v>3355439.0192300454</v>
      </c>
      <c r="KB18" s="212">
        <f t="shared" si="41"/>
        <v>3355439.0192300454</v>
      </c>
      <c r="KC18" s="212">
        <f t="shared" si="41"/>
        <v>3355439.0192300454</v>
      </c>
      <c r="KD18" s="212">
        <f t="shared" si="41"/>
        <v>3355439.0192300454</v>
      </c>
      <c r="KE18" s="212">
        <f t="shared" si="41"/>
        <v>3355439.0192300454</v>
      </c>
      <c r="KF18" s="212">
        <f t="shared" si="41"/>
        <v>3355439.0192300454</v>
      </c>
      <c r="KG18" s="212">
        <f t="shared" si="41"/>
        <v>3355439.0192300454</v>
      </c>
      <c r="KH18" s="212">
        <f t="shared" si="41"/>
        <v>3355439.0192300454</v>
      </c>
      <c r="KI18" s="212">
        <f t="shared" si="41"/>
        <v>3355439.0192300454</v>
      </c>
      <c r="KJ18" s="212">
        <f t="shared" si="41"/>
        <v>3355439.0192300454</v>
      </c>
      <c r="KK18" s="212">
        <f t="shared" si="41"/>
        <v>3355439.0192300454</v>
      </c>
      <c r="KL18" s="212">
        <f t="shared" si="41"/>
        <v>3355439.0192300454</v>
      </c>
      <c r="KM18" s="212">
        <f t="shared" si="41"/>
        <v>3355439.0192300454</v>
      </c>
      <c r="KN18" s="212">
        <f t="shared" si="41"/>
        <v>3355439.0192300454</v>
      </c>
      <c r="KO18" s="212">
        <f t="shared" si="41"/>
        <v>3355439.0192300454</v>
      </c>
      <c r="KP18" s="212">
        <f t="shared" si="41"/>
        <v>3355439.0192300454</v>
      </c>
      <c r="KQ18" s="212">
        <f t="shared" si="41"/>
        <v>3355439.0192300454</v>
      </c>
      <c r="KR18" s="212">
        <f t="shared" si="41"/>
        <v>3355439.0192300454</v>
      </c>
      <c r="KS18" s="212">
        <f t="shared" si="41"/>
        <v>3355439.0192300454</v>
      </c>
      <c r="KT18" s="212">
        <f t="shared" si="41"/>
        <v>3355439.0192300454</v>
      </c>
      <c r="KU18" s="212">
        <f t="shared" si="41"/>
        <v>3355439.0192300454</v>
      </c>
      <c r="KV18" s="212">
        <f t="shared" si="41"/>
        <v>3355439.0192300454</v>
      </c>
      <c r="KW18" s="212">
        <f t="shared" si="41"/>
        <v>3355439.0192300454</v>
      </c>
      <c r="KX18" s="212">
        <f t="shared" si="41"/>
        <v>3355439.0192300454</v>
      </c>
      <c r="KY18" s="212">
        <f t="shared" si="41"/>
        <v>3355439.0192300454</v>
      </c>
      <c r="KZ18" s="212">
        <f t="shared" si="41"/>
        <v>3355439.0192300454</v>
      </c>
      <c r="LA18" s="212">
        <f t="shared" si="41"/>
        <v>3355439.0192300454</v>
      </c>
      <c r="LB18" s="212">
        <f t="shared" si="41"/>
        <v>3355439.0192300454</v>
      </c>
      <c r="LC18" s="212">
        <f t="shared" si="41"/>
        <v>3355439.0192300454</v>
      </c>
      <c r="LD18" s="212">
        <f t="shared" si="41"/>
        <v>3355439.0192300454</v>
      </c>
    </row>
    <row r="19" spans="1:316" s="189" customFormat="1"/>
    <row r="33" spans="25:25">
      <c r="Y33" s="713">
        <f>BJ9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9921875" defaultRowHeight="14.25"/>
  <cols>
    <col min="1" max="1" width="21.796875" bestFit="1" customWidth="1"/>
    <col min="2" max="2" width="16.9296875" style="406" bestFit="1" customWidth="1"/>
    <col min="3" max="3" width="12" style="406" bestFit="1" customWidth="1"/>
    <col min="4" max="4" width="13.19921875" style="406" bestFit="1" customWidth="1"/>
    <col min="5" max="5" width="14.796875" style="406" bestFit="1" customWidth="1"/>
    <col min="6" max="8" width="13.19921875" style="406" bestFit="1" customWidth="1"/>
    <col min="9" max="9" width="11.86328125" style="406" bestFit="1" customWidth="1"/>
    <col min="10" max="10" width="13.19921875" bestFit="1" customWidth="1"/>
    <col min="11" max="11" width="11.86328125" bestFit="1" customWidth="1"/>
    <col min="12" max="12" width="4.86328125" bestFit="1" customWidth="1"/>
    <col min="13" max="14" width="13.19921875" bestFit="1" customWidth="1"/>
    <col min="15" max="15" width="12" bestFit="1" customWidth="1"/>
    <col min="16" max="16" width="14.796875" bestFit="1" customWidth="1"/>
    <col min="17" max="18" width="11.53125" bestFit="1" customWidth="1"/>
    <col min="19" max="19" width="13.19921875" bestFit="1" customWidth="1"/>
  </cols>
  <sheetData>
    <row r="3" spans="1:16">
      <c r="A3" s="445" t="s">
        <v>422</v>
      </c>
      <c r="B3" s="445" t="s">
        <v>423</v>
      </c>
      <c r="C3"/>
      <c r="D3"/>
      <c r="E3"/>
      <c r="F3"/>
      <c r="G3"/>
      <c r="H3"/>
      <c r="I3"/>
    </row>
    <row r="4" spans="1:16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426</v>
      </c>
    </row>
    <row r="5" spans="1:16">
      <c r="A5" s="446" t="s">
        <v>425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242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256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267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280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304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321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328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344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348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354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370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378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383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366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326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426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3125" defaultRowHeight="14.25"/>
  <cols>
    <col min="1" max="1" width="39.3984375" style="364" bestFit="1" customWidth="1"/>
    <col min="2" max="2" width="16.9296875" style="365" bestFit="1" customWidth="1"/>
    <col min="3" max="3" width="12" style="364" bestFit="1" customWidth="1"/>
    <col min="4" max="4" width="13.19921875" style="364" bestFit="1" customWidth="1"/>
    <col min="5" max="5" width="14.796875" style="364" bestFit="1" customWidth="1"/>
    <col min="6" max="7" width="13.19921875" style="364" bestFit="1" customWidth="1"/>
    <col min="8" max="8" width="12" style="364" bestFit="1" customWidth="1"/>
    <col min="9" max="11" width="11.86328125" style="364" bestFit="1" customWidth="1"/>
    <col min="12" max="12" width="4.86328125" style="364" bestFit="1" customWidth="1"/>
    <col min="13" max="13" width="10.59765625" style="364" bestFit="1" customWidth="1"/>
    <col min="14" max="14" width="13.19921875" style="364" bestFit="1" customWidth="1"/>
    <col min="15" max="15" width="12" style="364" bestFit="1" customWidth="1"/>
    <col min="16" max="16" width="14.796875" style="364" bestFit="1" customWidth="1"/>
    <col min="17" max="18" width="11.1328125" style="364" bestFit="1" customWidth="1"/>
    <col min="19" max="19" width="13.59765625" style="364" bestFit="1" customWidth="1"/>
    <col min="20" max="16384" width="12.5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427</v>
      </c>
      <c r="B3" s="445" t="s">
        <v>423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426</v>
      </c>
      <c r="Q4"/>
      <c r="R4"/>
      <c r="S4"/>
      <c r="T4"/>
    </row>
    <row r="5" spans="1:20">
      <c r="A5" s="446" t="s">
        <v>425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242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256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267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280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304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321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328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344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348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354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370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378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383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366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326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426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25"/>
  <cols>
    <col min="1" max="1" width="6.19921875" customWidth="1"/>
    <col min="2" max="2" width="21.1328125" customWidth="1"/>
    <col min="3" max="3" width="28.796875" customWidth="1"/>
    <col min="4" max="4" width="15.19921875" customWidth="1"/>
    <col min="5" max="5" width="16.53125" customWidth="1"/>
    <col min="6" max="6" width="6.06640625" customWidth="1"/>
  </cols>
  <sheetData>
    <row r="1" spans="2:15" ht="14.65" thickBot="1"/>
    <row r="2" spans="2:15" ht="18">
      <c r="B2" s="814" t="s">
        <v>428</v>
      </c>
      <c r="C2" s="814"/>
      <c r="D2" s="814"/>
      <c r="E2" s="814"/>
      <c r="H2" s="815" t="s">
        <v>429</v>
      </c>
      <c r="I2" s="816"/>
      <c r="J2" s="816"/>
      <c r="K2" s="816"/>
      <c r="L2" s="816"/>
      <c r="M2" s="816"/>
      <c r="N2" s="816"/>
      <c r="O2" s="817"/>
    </row>
    <row r="3" spans="2:15">
      <c r="B3" s="686"/>
      <c r="H3" s="818"/>
      <c r="I3" s="819"/>
      <c r="J3" s="819"/>
      <c r="K3" s="819"/>
      <c r="L3" s="819"/>
      <c r="M3" s="819"/>
      <c r="N3" s="819"/>
      <c r="O3" s="820"/>
    </row>
    <row r="4" spans="2:15">
      <c r="B4" s="687" t="s">
        <v>430</v>
      </c>
      <c r="C4" s="688" t="str">
        <f>'Project Plan'!E2</f>
        <v>Randfontein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87" t="s">
        <v>431</v>
      </c>
      <c r="C5" s="688" t="s">
        <v>432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87" t="s">
        <v>433</v>
      </c>
      <c r="C6" s="688" t="s">
        <v>434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87" t="s">
        <v>435</v>
      </c>
      <c r="C7" s="688" t="s">
        <v>76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86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436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4.65" thickBot="1">
      <c r="B10" s="824" t="s">
        <v>437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89" t="s">
        <v>438</v>
      </c>
      <c r="C11" s="812" t="s">
        <v>439</v>
      </c>
      <c r="D11" s="812"/>
      <c r="E11" s="812"/>
    </row>
    <row r="12" spans="2:15">
      <c r="B12" s="689" t="s">
        <v>440</v>
      </c>
      <c r="C12" s="812" t="s">
        <v>439</v>
      </c>
      <c r="D12" s="812"/>
      <c r="E12" s="812"/>
    </row>
    <row r="13" spans="2:15">
      <c r="B13" s="689" t="s">
        <v>441</v>
      </c>
      <c r="C13" s="812" t="s">
        <v>439</v>
      </c>
      <c r="D13" s="812"/>
      <c r="E13" s="812"/>
    </row>
    <row r="14" spans="2:15">
      <c r="B14" s="689" t="s">
        <v>442</v>
      </c>
      <c r="C14" s="812" t="s">
        <v>443</v>
      </c>
      <c r="D14" s="812"/>
      <c r="E14" s="812"/>
    </row>
    <row r="15" spans="2:15">
      <c r="B15" s="689" t="s">
        <v>444</v>
      </c>
      <c r="C15" s="812" t="s">
        <v>445</v>
      </c>
      <c r="D15" s="812"/>
      <c r="E15" s="812"/>
    </row>
    <row r="16" spans="2:15" ht="15" customHeight="1">
      <c r="B16" s="689" t="s">
        <v>446</v>
      </c>
      <c r="C16" s="812" t="s">
        <v>447</v>
      </c>
      <c r="D16" s="812"/>
      <c r="E16" s="812"/>
    </row>
    <row r="17" spans="2:5">
      <c r="B17" s="686"/>
    </row>
    <row r="18" spans="2:5">
      <c r="B18" s="813" t="s">
        <v>448</v>
      </c>
      <c r="C18" s="813"/>
      <c r="D18" s="813"/>
      <c r="E18" s="813"/>
    </row>
    <row r="19" spans="2:5">
      <c r="B19" s="689" t="s">
        <v>449</v>
      </c>
      <c r="C19" s="689" t="s">
        <v>450</v>
      </c>
      <c r="D19" s="689" t="s">
        <v>451</v>
      </c>
      <c r="E19" s="689" t="s">
        <v>62</v>
      </c>
    </row>
    <row r="20" spans="2:5" ht="15" customHeight="1">
      <c r="B20" s="689" t="s">
        <v>452</v>
      </c>
      <c r="C20" s="689" t="s">
        <v>453</v>
      </c>
      <c r="D20" s="690" t="s">
        <v>454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9921875" defaultRowHeight="14.25"/>
  <cols>
    <col min="4" max="4" width="9" customWidth="1"/>
  </cols>
  <sheetData>
    <row r="1" spans="1:4">
      <c r="A1" s="108" t="s">
        <v>455</v>
      </c>
    </row>
    <row r="2" spans="1:4">
      <c r="A2" s="826"/>
      <c r="B2" s="826"/>
      <c r="C2" s="826"/>
      <c r="D2" s="71"/>
    </row>
    <row r="3" spans="1:4">
      <c r="A3" s="825" t="s">
        <v>456</v>
      </c>
      <c r="B3" s="825"/>
      <c r="C3" s="825"/>
      <c r="D3" s="109">
        <v>0.32</v>
      </c>
    </row>
    <row r="4" spans="1:4">
      <c r="A4" s="825" t="s">
        <v>397</v>
      </c>
      <c r="B4" s="825"/>
      <c r="C4" s="825"/>
      <c r="D4" s="109">
        <v>0.5</v>
      </c>
    </row>
    <row r="5" spans="1:4">
      <c r="A5" s="825" t="s">
        <v>408</v>
      </c>
      <c r="B5" s="825"/>
      <c r="C5" s="825"/>
      <c r="D5" s="109">
        <v>0.15</v>
      </c>
    </row>
    <row r="6" spans="1:4">
      <c r="A6" s="825" t="s">
        <v>457</v>
      </c>
      <c r="B6" s="825"/>
      <c r="C6" s="825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328125" defaultRowHeight="12.75"/>
  <cols>
    <col min="1" max="1" width="9.1328125" style="86"/>
    <col min="2" max="2" width="22.19921875" style="86" customWidth="1"/>
    <col min="3" max="3" width="4.1328125" style="86" customWidth="1"/>
    <col min="4" max="4" width="14.1328125" style="86" bestFit="1" customWidth="1"/>
    <col min="5" max="5" width="2.9296875" style="86" customWidth="1"/>
    <col min="6" max="6" width="15.19921875" style="86" customWidth="1"/>
    <col min="7" max="7" width="2.1328125" style="86" customWidth="1"/>
    <col min="8" max="8" width="16.1328125" style="86" bestFit="1" customWidth="1"/>
    <col min="9" max="9" width="6.19921875" style="86" customWidth="1"/>
    <col min="10" max="10" width="13.59765625" style="86" bestFit="1" customWidth="1"/>
    <col min="11" max="11" width="2.1328125" style="86" customWidth="1"/>
    <col min="12" max="12" width="14.1328125" style="86" bestFit="1" customWidth="1"/>
    <col min="13" max="13" width="2.9296875" style="86" customWidth="1"/>
    <col min="14" max="14" width="45.19921875" style="86" customWidth="1"/>
    <col min="15" max="16384" width="9.1328125" style="86"/>
  </cols>
  <sheetData>
    <row r="2" spans="2:14" s="92" customFormat="1" ht="17.649999999999999">
      <c r="B2" s="827" t="s">
        <v>458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.15">
      <c r="B4" s="90" t="s">
        <v>459</v>
      </c>
      <c r="C4" s="84"/>
      <c r="D4" s="88" t="s">
        <v>460</v>
      </c>
      <c r="E4" s="93"/>
      <c r="F4" s="88" t="s">
        <v>461</v>
      </c>
      <c r="H4" s="88" t="s">
        <v>462</v>
      </c>
      <c r="I4" s="93"/>
      <c r="J4" s="88" t="s">
        <v>463</v>
      </c>
      <c r="L4" s="88" t="s">
        <v>462</v>
      </c>
      <c r="M4" s="88"/>
      <c r="N4" s="88" t="s">
        <v>464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3.15">
      <c r="B7" s="84"/>
      <c r="C7" s="84"/>
      <c r="D7" s="87"/>
      <c r="E7" s="93"/>
      <c r="F7" s="105" t="s">
        <v>465</v>
      </c>
      <c r="H7" s="97"/>
      <c r="I7" s="93"/>
      <c r="J7" s="105" t="s">
        <v>465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3.15">
      <c r="B9" s="90" t="s">
        <v>254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3.15">
      <c r="B10" s="106" t="s">
        <v>254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3.15">
      <c r="B11" s="106" t="s">
        <v>466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3.15">
      <c r="B12" s="106" t="s">
        <v>467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3.15">
      <c r="B13" s="106" t="s">
        <v>468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3.1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3.15">
      <c r="B15" s="84"/>
      <c r="C15" s="84"/>
      <c r="D15" s="87"/>
      <c r="E15" s="93"/>
      <c r="F15" s="105" t="s">
        <v>465</v>
      </c>
      <c r="H15" s="97"/>
      <c r="I15" s="93"/>
      <c r="J15" s="105" t="s">
        <v>465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3.15">
      <c r="B17" s="90" t="s">
        <v>469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469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468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3.15">
      <c r="B21" s="84"/>
      <c r="C21" s="84"/>
      <c r="D21" s="87"/>
      <c r="E21" s="93"/>
      <c r="F21" s="105" t="s">
        <v>465</v>
      </c>
      <c r="H21" s="97"/>
      <c r="I21" s="93"/>
      <c r="J21" s="105" t="s">
        <v>465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3.15">
      <c r="B23" s="90" t="s">
        <v>470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470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3.15">
      <c r="B25" s="106" t="s">
        <v>468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3.15">
      <c r="B27" s="84"/>
      <c r="C27" s="84"/>
      <c r="D27" s="87"/>
      <c r="E27" s="96"/>
      <c r="F27" s="105" t="s">
        <v>465</v>
      </c>
      <c r="H27" s="97"/>
      <c r="I27" s="93"/>
      <c r="J27" s="105" t="s">
        <v>465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3.15">
      <c r="B29" s="90" t="s">
        <v>471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468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3.15">
      <c r="B34" s="84"/>
      <c r="C34" s="84"/>
      <c r="D34" s="87"/>
      <c r="E34" s="96"/>
      <c r="F34" s="105" t="s">
        <v>465</v>
      </c>
      <c r="H34" s="97"/>
      <c r="I34" s="93"/>
      <c r="J34" s="105" t="s">
        <v>465</v>
      </c>
      <c r="L34" s="97"/>
      <c r="M34" s="97"/>
    </row>
    <row r="35" spans="2:13" ht="13.1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3.15">
      <c r="B36" s="90" t="s">
        <v>472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473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474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475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476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477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3.15">
      <c r="B42" s="98"/>
      <c r="C42" s="84"/>
      <c r="D42" s="95"/>
      <c r="E42" s="96"/>
      <c r="F42" s="95"/>
      <c r="I42" s="96"/>
      <c r="J42" s="95"/>
    </row>
    <row r="43" spans="2:13" ht="13.15">
      <c r="B43" s="90" t="s">
        <v>478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328125" defaultRowHeight="12.75"/>
  <cols>
    <col min="1" max="1" width="9.1328125" style="86"/>
    <col min="2" max="2" width="22.19921875" style="86" customWidth="1"/>
    <col min="3" max="3" width="4.1328125" style="86" customWidth="1"/>
    <col min="4" max="4" width="14.1328125" style="86" bestFit="1" customWidth="1"/>
    <col min="5" max="5" width="7" style="86" customWidth="1"/>
    <col min="6" max="6" width="2.9296875" style="86" customWidth="1"/>
    <col min="7" max="7" width="18.53125" style="86" customWidth="1"/>
    <col min="8" max="8" width="9.1328125" style="86" bestFit="1" customWidth="1"/>
    <col min="9" max="9" width="2" style="86" customWidth="1"/>
    <col min="10" max="10" width="14.1328125" style="86" bestFit="1" customWidth="1"/>
    <col min="11" max="11" width="2.1328125" style="86" customWidth="1"/>
    <col min="12" max="12" width="20.19921875" style="86" customWidth="1"/>
    <col min="13" max="13" width="9.1328125" style="86" bestFit="1" customWidth="1"/>
    <col min="14" max="14" width="0.796875" style="86" customWidth="1"/>
    <col min="15" max="15" width="14.1328125" style="86" bestFit="1" customWidth="1"/>
    <col min="16" max="16384" width="9.1328125" style="86"/>
  </cols>
  <sheetData>
    <row r="2" spans="2:15" s="92" customFormat="1" ht="17.649999999999999">
      <c r="B2" s="827" t="s">
        <v>480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.15">
      <c r="B4" s="90" t="s">
        <v>459</v>
      </c>
      <c r="C4" s="84"/>
      <c r="D4" s="88" t="s">
        <v>460</v>
      </c>
      <c r="E4" s="93"/>
      <c r="F4" s="93"/>
      <c r="G4" s="88" t="s">
        <v>481</v>
      </c>
      <c r="H4" s="94"/>
      <c r="J4" s="88" t="s">
        <v>462</v>
      </c>
      <c r="L4" s="88" t="s">
        <v>482</v>
      </c>
      <c r="M4" s="94"/>
      <c r="O4" s="88" t="s">
        <v>462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3.15">
      <c r="B6" s="84" t="s">
        <v>253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ht="13.15">
      <c r="B7" s="84" t="s">
        <v>258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ht="13.15">
      <c r="B8" s="84" t="s">
        <v>259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ht="13.15">
      <c r="B9" s="84" t="s">
        <v>260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483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3.15">
      <c r="B15" s="90" t="s">
        <v>478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3.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3.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3.15">
      <c r="B18" s="90" t="s">
        <v>459</v>
      </c>
      <c r="C18" s="84"/>
      <c r="D18" s="88" t="s">
        <v>460</v>
      </c>
      <c r="E18" s="93"/>
      <c r="F18" s="93"/>
      <c r="G18" s="88" t="s">
        <v>484</v>
      </c>
      <c r="H18" s="94"/>
      <c r="J18" s="88" t="s">
        <v>462</v>
      </c>
      <c r="L18" s="88" t="s">
        <v>485</v>
      </c>
      <c r="M18" s="94"/>
      <c r="O18" s="88" t="s">
        <v>462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3.15">
      <c r="B20" s="84" t="s">
        <v>486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ht="13.15">
      <c r="B21" s="84" t="s">
        <v>487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ht="13.15">
      <c r="B22" s="84" t="s">
        <v>488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ht="13.15">
      <c r="B23" s="84" t="s">
        <v>489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490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3.1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3.15">
      <c r="B29" s="90" t="s">
        <v>478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491</v>
      </c>
      <c r="C32" s="101"/>
      <c r="D32" s="101"/>
    </row>
    <row r="33" spans="2:4" ht="13.15" thickTop="1"/>
    <row r="34" spans="2:4">
      <c r="B34" s="86" t="s">
        <v>460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1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3.15">
      <c r="B41" s="103"/>
      <c r="C41" s="103"/>
      <c r="D41" s="104"/>
    </row>
    <row r="42" spans="2:4">
      <c r="B42" s="84" t="s">
        <v>492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328125" defaultRowHeight="14.25"/>
  <cols>
    <col min="1" max="1" width="0.796875" customWidth="1"/>
    <col min="2" max="2" width="8.19921875" bestFit="1" customWidth="1"/>
    <col min="3" max="3" width="45.19921875" customWidth="1"/>
    <col min="4" max="4" width="34.1328125" customWidth="1"/>
    <col min="5" max="5" width="15.19921875" customWidth="1"/>
    <col min="6" max="6" width="12" bestFit="1" customWidth="1"/>
    <col min="7" max="7" width="9.1328125" bestFit="1" customWidth="1"/>
    <col min="8" max="8" width="12.53125" bestFit="1" customWidth="1"/>
    <col min="9" max="9" width="9.9296875" customWidth="1"/>
    <col min="10" max="10" width="19.53125" bestFit="1" customWidth="1"/>
  </cols>
  <sheetData>
    <row r="1" spans="2:14">
      <c r="B1" s="829" t="str">
        <f>D15</f>
        <v>Randfontein</v>
      </c>
      <c r="C1" s="829"/>
      <c r="D1" s="829"/>
      <c r="E1" s="828" t="s">
        <v>493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494</v>
      </c>
      <c r="C3" s="72" t="s">
        <v>495</v>
      </c>
      <c r="D3" s="72" t="s">
        <v>496</v>
      </c>
      <c r="E3" s="78" t="s">
        <v>497</v>
      </c>
      <c r="F3" s="78" t="s">
        <v>498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2026-02-24T09:51:52Z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