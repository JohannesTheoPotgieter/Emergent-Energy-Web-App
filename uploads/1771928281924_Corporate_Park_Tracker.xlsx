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4" documentId="13_ncr:1_{A481FF61-8E47-4696-BBCA-E420C118E860}" xr6:coauthVersionLast="47" xr6:coauthVersionMax="47" xr10:uidLastSave="{0E0E41A0-B447-422E-9151-C3FB2CE6E06C}"/>
  <bookViews>
    <workbookView xWindow="28680" yWindow="-120" windowWidth="29040" windowHeight="1572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73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H12" i="6" s="1"/>
  <c r="J17" i="3"/>
  <c r="F5" i="3"/>
  <c r="D5" i="5"/>
  <c r="F25" i="3"/>
  <c r="V59" i="18"/>
  <c r="J14" i="3"/>
  <c r="J5" i="3"/>
  <c r="H5" i="3"/>
  <c r="F5" i="5"/>
  <c r="C11" i="6"/>
  <c r="F6" i="5"/>
  <c r="F7" i="5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<sst xmlns="http://schemas.openxmlformats.org/spreadsheetml/2006/main" count="867" uniqueCount="472">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</sst>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 vertic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68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13" fillId="10" borderId="27" xfId="0" applyNumberFormat="1" applyFont="1" applyFill="1" applyBorder="1" applyAlignment="1" applyProtection="1">
      <alignment horizontal="center"/>
      <protection locked="0"/>
    </xf>
    <xf numFmtId="166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font>
        <color auto="1"/>
      </font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7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7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2">
    <format dxfId="39">
      <pivotArea outline="0" collapsedLevelsAreSubtotals="1" fieldPosition="0"/>
    </format>
    <format dxfId="40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99" t="s">
        <v>57</v>
      </c>
      <c r="E47" s="699"/>
      <c r="F47" s="700"/>
      <c r="G47" s="67"/>
      <c r="I47" s="68"/>
      <c r="J47" s="68"/>
    </row>
    <row r="48" spans="1:49" ht="14.45" thickBot="1">
      <c r="C48" s="69">
        <v>44014</v>
      </c>
      <c r="D48" s="701"/>
      <c r="E48" s="701"/>
      <c r="F48" s="70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03" t="s">
        <v>58</v>
      </c>
      <c r="C2" s="704"/>
      <c r="D2" s="704"/>
      <c r="E2" s="704"/>
      <c r="F2" s="70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3" t="s">
        <v>69</v>
      </c>
      <c r="C16" s="704"/>
      <c r="D16" s="704"/>
      <c r="E16" s="704"/>
      <c r="F16" s="70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70" zoomScaleNormal="70" workbookViewId="0">
      <selection activeCell="E8" sqref="E8:E9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2851562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>
      <c r="B2" s="176"/>
      <c r="C2" s="177" t="s">
        <v>0</v>
      </c>
      <c r="D2" s="178"/>
      <c r="E2" s="709" t="s">
        <v>73</v>
      </c>
      <c r="F2" s="710"/>
      <c r="G2" s="710"/>
      <c r="H2" s="711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12" t="s">
        <v>76</v>
      </c>
      <c r="F4" s="713"/>
      <c r="G4" s="713"/>
      <c r="H4" s="714"/>
      <c r="J4" s="113"/>
      <c r="Q4" s="3"/>
    </row>
    <row r="5" spans="2:28" s="112" customFormat="1">
      <c r="B5" s="179"/>
      <c r="C5" s="180" t="s">
        <v>77</v>
      </c>
      <c r="D5" s="178"/>
      <c r="E5" s="712" t="s">
        <v>78</v>
      </c>
      <c r="F5" s="713"/>
      <c r="G5" s="713"/>
      <c r="H5" s="714"/>
      <c r="J5" s="113"/>
      <c r="Q5" s="3"/>
    </row>
    <row r="6" spans="2:28">
      <c r="B6" s="184"/>
      <c r="C6" s="185" t="s">
        <v>79</v>
      </c>
      <c r="D6" s="178"/>
      <c r="E6" s="715">
        <v>2655906.3006630498</v>
      </c>
      <c r="F6" s="716"/>
      <c r="G6" s="716"/>
      <c r="H6" s="717"/>
    </row>
    <row r="7" spans="2:28" s="112" customFormat="1">
      <c r="B7" s="167"/>
      <c r="C7" s="695" t="s">
        <v>80</v>
      </c>
      <c r="D7" s="696"/>
      <c r="E7" s="697" t="s">
        <v>81</v>
      </c>
      <c r="F7" s="168"/>
      <c r="G7" s="186"/>
      <c r="J7" s="113"/>
      <c r="Q7" s="3"/>
    </row>
    <row r="8" spans="2:28" ht="30" customHeight="1">
      <c r="B8" s="706" t="s">
        <v>82</v>
      </c>
      <c r="C8" s="707" t="s">
        <v>83</v>
      </c>
      <c r="D8" s="215"/>
      <c r="E8" s="708" t="s">
        <v>84</v>
      </c>
      <c r="F8" s="237" t="s">
        <v>85</v>
      </c>
      <c r="G8" s="708" t="s">
        <v>86</v>
      </c>
      <c r="H8" s="238"/>
      <c r="I8" s="708" t="s">
        <v>87</v>
      </c>
      <c r="J8" s="237" t="s">
        <v>85</v>
      </c>
      <c r="K8" s="708" t="s">
        <v>88</v>
      </c>
      <c r="M8" s="412" t="s">
        <v>60</v>
      </c>
      <c r="N8" s="412" t="s">
        <v>60</v>
      </c>
      <c r="O8" s="718" t="s">
        <v>89</v>
      </c>
      <c r="Z8" s="112"/>
      <c r="AA8" s="112"/>
      <c r="AB8" s="112"/>
    </row>
    <row r="9" spans="2:28">
      <c r="B9" s="706"/>
      <c r="C9" s="707"/>
      <c r="D9" s="215"/>
      <c r="E9" s="708"/>
      <c r="F9" s="126">
        <f>G41-E19</f>
        <v>31</v>
      </c>
      <c r="G9" s="708"/>
      <c r="H9" s="238"/>
      <c r="I9" s="708"/>
      <c r="J9" s="127">
        <f>K41-I19</f>
        <v>86</v>
      </c>
      <c r="K9" s="708"/>
      <c r="M9" s="362">
        <f>AVERAGE(M11,M18,M21,M28,M35,M39,M46,M43)</f>
        <v>0.99479166666666663</v>
      </c>
      <c r="N9" s="362">
        <f ca="1">AVERAGE(N11,N18,N21,N28,N35,N39,N46,N43)</f>
        <v>1</v>
      </c>
      <c r="O9" s="71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124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125</v>
      </c>
      <c r="C36" s="249" t="s">
        <v>126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127</v>
      </c>
      <c r="C37" s="249" t="s">
        <v>128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129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130</v>
      </c>
      <c r="C40" s="243" t="s">
        <v>129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131</v>
      </c>
      <c r="C41" s="243" t="s">
        <v>132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133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134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135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136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137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138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139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140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141</v>
      </c>
      <c r="Y51" s="24"/>
    </row>
    <row r="52" spans="2:28">
      <c r="B52" s="248">
        <v>8.6</v>
      </c>
      <c r="C52" s="243" t="s">
        <v>142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7109375" style="129" bestFit="1" customWidth="1"/>
    <col min="8" max="8" width="15" style="129" bestFit="1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25.28515625" style="129" bestFit="1" customWidth="1"/>
    <col min="17" max="17" width="15.28515625" style="129" bestFit="1" customWidth="1"/>
    <col min="18" max="18" width="19.28515625" style="129" customWidth="1"/>
    <col min="19" max="19" width="16.28515625" style="93" bestFit="1" customWidth="1"/>
    <col min="20" max="20" width="18.710937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144</v>
      </c>
      <c r="F3" s="125" t="s">
        <v>145</v>
      </c>
      <c r="J3" s="141"/>
      <c r="L3" s="410" t="s">
        <v>146</v>
      </c>
      <c r="N3" s="410" t="s">
        <v>147</v>
      </c>
      <c r="P3" s="684" t="s">
        <v>148</v>
      </c>
      <c r="Q3" s="684" t="s">
        <v>149</v>
      </c>
      <c r="R3" s="684" t="s">
        <v>150</v>
      </c>
      <c r="S3" s="684" t="s">
        <v>151</v>
      </c>
      <c r="T3" s="684" t="s">
        <v>152</v>
      </c>
      <c r="U3" s="684" t="s">
        <v>153</v>
      </c>
    </row>
    <row r="4" spans="1:21" s="93" customFormat="1" ht="13.15">
      <c r="B4" s="352">
        <v>1</v>
      </c>
      <c r="C4" s="353" t="s">
        <v>154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155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156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157</v>
      </c>
      <c r="H5" s="93" t="s">
        <v>158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159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160</v>
      </c>
    </row>
    <row r="7" spans="1:21" s="93" customFormat="1" ht="15" customHeight="1" thickBot="1">
      <c r="B7" s="352">
        <v>4</v>
      </c>
      <c r="C7" s="353" t="s">
        <v>161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79" t="s">
        <v>170</v>
      </c>
    </row>
    <row r="13" spans="1:21" s="93" customFormat="1" ht="13.15">
      <c r="B13" s="352">
        <v>1</v>
      </c>
      <c r="C13" s="722" t="s">
        <v>171</v>
      </c>
      <c r="D13" s="72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172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3.15">
      <c r="B14" s="154">
        <v>2</v>
      </c>
      <c r="C14" s="722" t="s">
        <v>173</v>
      </c>
      <c r="D14" s="72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172</v>
      </c>
      <c r="N14" s="138">
        <v>45777</v>
      </c>
      <c r="O14" s="129"/>
      <c r="P14" s="138">
        <v>45842</v>
      </c>
      <c r="R14" s="380"/>
    </row>
    <row r="15" spans="1:21" s="93" customFormat="1" ht="13.15">
      <c r="B15" s="352">
        <v>3</v>
      </c>
      <c r="C15" s="722" t="s">
        <v>174</v>
      </c>
      <c r="D15" s="72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172</v>
      </c>
      <c r="N15" s="138">
        <v>45777</v>
      </c>
      <c r="O15" s="129"/>
      <c r="P15" s="138">
        <v>45842</v>
      </c>
      <c r="R15" s="380"/>
    </row>
    <row r="16" spans="1:21" s="93" customFormat="1" ht="13.15">
      <c r="B16" s="352">
        <v>4</v>
      </c>
      <c r="C16" s="720" t="s">
        <v>175</v>
      </c>
      <c r="D16" s="72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172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3.15">
      <c r="B17" s="352">
        <v>5</v>
      </c>
      <c r="C17" s="720" t="s">
        <v>176</v>
      </c>
      <c r="D17" s="72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172</v>
      </c>
      <c r="N17" s="138">
        <v>45777</v>
      </c>
      <c r="O17" s="129"/>
      <c r="P17" s="138">
        <v>45891</v>
      </c>
      <c r="R17" s="380"/>
    </row>
    <row r="18" spans="2:19" s="93" customFormat="1" ht="13.15">
      <c r="B18" s="352">
        <v>6</v>
      </c>
      <c r="C18" s="720" t="s">
        <v>54</v>
      </c>
      <c r="D18" s="72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172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3.15">
      <c r="B19" s="352">
        <v>7</v>
      </c>
      <c r="C19" s="722" t="s">
        <v>177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</row>
    <row r="24" spans="2:19" s="93" customFormat="1" ht="13.15">
      <c r="C24" s="147" t="s">
        <v>180</v>
      </c>
      <c r="D24" s="148"/>
      <c r="F24" s="149"/>
    </row>
    <row r="25" spans="2:19" s="93" customFormat="1" ht="13.15">
      <c r="C25" s="147" t="s">
        <v>181</v>
      </c>
      <c r="D25" s="148"/>
    </row>
    <row r="26" spans="2:19" s="93" customFormat="1" ht="13.15">
      <c r="C26" s="150" t="s">
        <v>182</v>
      </c>
      <c r="D26" s="151"/>
    </row>
    <row r="27" spans="2:19" s="93" customFormat="1" ht="13.15">
      <c r="C27" s="152" t="s">
        <v>183</v>
      </c>
      <c r="D27" s="148"/>
    </row>
    <row r="28" spans="2:19" s="93" customFormat="1" ht="13.15">
      <c r="B28" s="117"/>
      <c r="C28" s="152" t="s">
        <v>184</v>
      </c>
      <c r="D28" s="148"/>
    </row>
    <row r="29" spans="2:19" s="93" customFormat="1" ht="13.1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15">
      <c r="B31" s="117"/>
      <c r="F31" s="146"/>
    </row>
    <row r="32" spans="2:19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9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9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24"/>
      <c r="C4" s="724"/>
      <c r="D4" s="724"/>
      <c r="E4" s="414"/>
      <c r="F4" s="220" t="s">
        <v>144</v>
      </c>
      <c r="G4" s="215"/>
      <c r="H4" s="220" t="s">
        <v>145</v>
      </c>
      <c r="I4" s="215"/>
      <c r="J4" s="221" t="s">
        <v>211</v>
      </c>
      <c r="K4" s="112"/>
      <c r="L4" s="112"/>
    </row>
    <row r="5" spans="1:12" ht="14.45" thickBot="1">
      <c r="A5" s="215"/>
      <c r="B5" s="725" t="s">
        <v>212</v>
      </c>
      <c r="C5" s="725"/>
      <c r="D5" s="72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abSelected="1" topLeftCell="M1" zoomScale="89" zoomScaleNormal="80" workbookViewId="0">
      <pane ySplit="4" topLeftCell="A87" activePane="bottomLeft" state="frozen"/>
      <selection pane="bottomLeft" activeCell="U90" sqref="U90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7109375" style="70" hidden="1" customWidth="1"/>
    <col min="6" max="6" width="16.5703125" style="475" hidden="1" customWidth="1"/>
    <col min="7" max="7" width="17.28515625" style="24" hidden="1" customWidth="1"/>
    <col min="8" max="8" width="17.42578125" style="112" hidden="1" customWidth="1"/>
    <col min="9" max="9" width="22.285156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7.7109375" style="112" bestFit="1" customWidth="1"/>
    <col min="19" max="19" width="40.710937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71093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35" t="s">
        <v>219</v>
      </c>
      <c r="C2" s="736"/>
      <c r="D2" s="736"/>
      <c r="E2" s="736"/>
      <c r="F2" s="736"/>
      <c r="G2" s="736"/>
      <c r="H2" s="678"/>
      <c r="I2" s="258">
        <f>SUM(I6:I177)</f>
        <v>2415274.7995013366</v>
      </c>
      <c r="J2" s="258">
        <f>SUM(J6:J177)</f>
        <v>2655906.3006630521</v>
      </c>
      <c r="L2" s="737" t="s">
        <v>220</v>
      </c>
      <c r="M2" s="738"/>
      <c r="N2" s="738"/>
      <c r="O2" s="738"/>
      <c r="P2" s="738"/>
      <c r="Q2" s="738"/>
      <c r="R2" s="742" t="s">
        <v>221</v>
      </c>
      <c r="S2" s="743"/>
      <c r="T2" s="743"/>
      <c r="U2" s="743"/>
      <c r="V2" s="743"/>
      <c r="W2" s="744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6" t="s">
        <v>226</v>
      </c>
      <c r="G4" s="261" t="s">
        <v>227</v>
      </c>
      <c r="H4" s="372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6" t="s">
        <v>226</v>
      </c>
      <c r="Q4" s="374" t="s">
        <v>231</v>
      </c>
      <c r="R4" s="620" t="s">
        <v>232</v>
      </c>
      <c r="S4" s="621" t="s">
        <v>167</v>
      </c>
      <c r="T4" s="372" t="s">
        <v>168</v>
      </c>
      <c r="U4" s="373" t="s">
        <v>233</v>
      </c>
      <c r="V4" s="374" t="s">
        <v>234</v>
      </c>
      <c r="W4" s="372" t="s">
        <v>228</v>
      </c>
      <c r="X4" s="481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38"/>
      <c r="G6" s="392">
        <f>D178</f>
        <v>560797.4</v>
      </c>
      <c r="H6" s="535">
        <v>45867</v>
      </c>
      <c r="I6" s="739">
        <f>SUM(G6:G11)</f>
        <v>560797.4</v>
      </c>
      <c r="J6" s="739">
        <f>F178</f>
        <v>637269.77272727271</v>
      </c>
      <c r="K6" s="389"/>
      <c r="L6" s="281">
        <v>1</v>
      </c>
      <c r="M6" s="418" t="s">
        <v>237</v>
      </c>
      <c r="N6" s="282" t="s">
        <v>238</v>
      </c>
      <c r="O6" s="548">
        <v>415</v>
      </c>
      <c r="P6" s="438">
        <f>620*1.99</f>
        <v>1233.8</v>
      </c>
      <c r="Q6" s="392">
        <f>O6*P6</f>
        <v>512027</v>
      </c>
      <c r="R6" s="586" t="s">
        <v>239</v>
      </c>
      <c r="S6" s="623" t="s">
        <v>240</v>
      </c>
      <c r="T6" s="655">
        <v>45838</v>
      </c>
      <c r="U6" s="663">
        <v>637269.77272727271</v>
      </c>
      <c r="V6" s="729">
        <f>J6-SUM(U6:U11)</f>
        <v>0</v>
      </c>
      <c r="W6" s="535">
        <v>45867</v>
      </c>
      <c r="X6" s="726">
        <f>SUM(Q6:Q11)</f>
        <v>512827</v>
      </c>
      <c r="Y6" s="483"/>
    </row>
    <row r="7" spans="1:76" ht="15" customHeight="1">
      <c r="B7" s="311">
        <v>1</v>
      </c>
      <c r="C7" s="419"/>
      <c r="D7" s="390" t="s">
        <v>241</v>
      </c>
      <c r="E7" s="391"/>
      <c r="F7" s="460"/>
      <c r="G7" s="315"/>
      <c r="H7" s="571"/>
      <c r="I7" s="740"/>
      <c r="J7" s="740"/>
      <c r="K7" s="288"/>
      <c r="L7" s="311">
        <v>1</v>
      </c>
      <c r="M7" s="313" t="s">
        <v>237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30"/>
      <c r="W7" s="571"/>
      <c r="X7" s="72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40"/>
      <c r="J8" s="740"/>
      <c r="K8" s="288"/>
      <c r="L8" s="311">
        <v>1</v>
      </c>
      <c r="M8" s="313" t="s">
        <v>237</v>
      </c>
      <c r="N8" s="486"/>
      <c r="O8" s="550"/>
      <c r="P8" s="445">
        <v>800</v>
      </c>
      <c r="Q8" s="315">
        <v>800</v>
      </c>
      <c r="R8" s="587"/>
      <c r="S8" s="624" t="s">
        <v>242</v>
      </c>
      <c r="T8" s="641">
        <v>45930</v>
      </c>
      <c r="U8" s="651">
        <v>0</v>
      </c>
      <c r="V8" s="730"/>
      <c r="W8" s="536">
        <v>45967</v>
      </c>
      <c r="X8" s="72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40"/>
      <c r="J9" s="740"/>
      <c r="K9" s="288"/>
      <c r="L9" s="311">
        <v>1</v>
      </c>
      <c r="M9" s="313" t="s">
        <v>237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30"/>
      <c r="W9" s="572"/>
      <c r="X9" s="72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40"/>
      <c r="J10" s="740"/>
      <c r="K10" s="288"/>
      <c r="L10" s="311">
        <v>1</v>
      </c>
      <c r="M10" s="313" t="s">
        <v>237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30"/>
      <c r="W10" s="572"/>
      <c r="X10" s="72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41"/>
      <c r="J11" s="741"/>
      <c r="K11" s="289"/>
      <c r="L11" s="316">
        <v>1</v>
      </c>
      <c r="M11" s="420" t="s">
        <v>237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31"/>
      <c r="W11" s="573"/>
      <c r="X11" s="728"/>
      <c r="Y11" s="604" t="s">
        <v>243</v>
      </c>
      <c r="Z11" s="605" t="s">
        <v>244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245</v>
      </c>
      <c r="Z12" s="607">
        <f>G59</f>
        <v>306751.81739130436</v>
      </c>
    </row>
    <row r="13" spans="1:76" ht="14.25" customHeight="1">
      <c r="B13" s="293">
        <v>2</v>
      </c>
      <c r="C13" s="319" t="s">
        <v>246</v>
      </c>
      <c r="D13" s="319" t="s">
        <v>247</v>
      </c>
      <c r="E13" s="365"/>
      <c r="F13" s="458"/>
      <c r="G13" s="296">
        <f>D179</f>
        <v>160000</v>
      </c>
      <c r="H13" s="538">
        <v>45867</v>
      </c>
      <c r="I13" s="745">
        <f>SUM(G13:G19)</f>
        <v>160000</v>
      </c>
      <c r="J13" s="745">
        <f>F179</f>
        <v>181818.18181818182</v>
      </c>
      <c r="K13" s="297"/>
      <c r="L13" s="293">
        <v>2</v>
      </c>
      <c r="M13" s="421" t="s">
        <v>248</v>
      </c>
      <c r="N13" s="319" t="s">
        <v>249</v>
      </c>
      <c r="O13" s="553">
        <v>2</v>
      </c>
      <c r="P13" s="458">
        <v>68870</v>
      </c>
      <c r="Q13" s="296">
        <v>137740.70000000001</v>
      </c>
      <c r="R13" s="591" t="s">
        <v>239</v>
      </c>
      <c r="S13" s="628" t="s">
        <v>240</v>
      </c>
      <c r="T13" s="656">
        <v>45838</v>
      </c>
      <c r="U13" s="666">
        <v>181818.18181818182</v>
      </c>
      <c r="V13" s="732">
        <f>J13-SUM(U13:U19)</f>
        <v>0</v>
      </c>
      <c r="W13" s="538">
        <v>45867</v>
      </c>
      <c r="X13" s="748">
        <f>SUM(Q13:Q19)</f>
        <v>137740.70000000001</v>
      </c>
      <c r="Y13" s="606" t="s">
        <v>250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46"/>
      <c r="J14" s="746"/>
      <c r="K14" s="301"/>
      <c r="L14" s="298">
        <v>2</v>
      </c>
      <c r="M14" s="427" t="s">
        <v>248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33"/>
      <c r="W14" s="576"/>
      <c r="X14" s="749"/>
      <c r="Y14" s="606" t="s">
        <v>251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46"/>
      <c r="J15" s="746"/>
      <c r="K15" s="301"/>
      <c r="L15" s="298">
        <v>2</v>
      </c>
      <c r="M15" s="427" t="s">
        <v>248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33"/>
      <c r="W15" s="576"/>
      <c r="X15" s="749"/>
      <c r="Y15" s="606" t="s">
        <v>252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46"/>
      <c r="J16" s="746"/>
      <c r="K16" s="301"/>
      <c r="L16" s="298">
        <v>2</v>
      </c>
      <c r="M16" s="427" t="s">
        <v>248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33"/>
      <c r="W16" s="576"/>
      <c r="X16" s="749"/>
      <c r="Y16" s="606" t="s">
        <v>253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46"/>
      <c r="J17" s="746"/>
      <c r="K17" s="301"/>
      <c r="L17" s="298">
        <v>2</v>
      </c>
      <c r="M17" s="427" t="s">
        <v>248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33"/>
      <c r="W17" s="576"/>
      <c r="X17" s="749"/>
      <c r="Y17" s="606" t="s">
        <v>254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46"/>
      <c r="J18" s="746"/>
      <c r="K18" s="301"/>
      <c r="L18" s="298">
        <v>2</v>
      </c>
      <c r="M18" s="427" t="s">
        <v>248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33"/>
      <c r="W18" s="576"/>
      <c r="X18" s="749"/>
      <c r="Y18" s="606" t="s">
        <v>255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47"/>
      <c r="J19" s="747"/>
      <c r="K19" s="306"/>
      <c r="L19" s="396">
        <v>2</v>
      </c>
      <c r="M19" s="422" t="s">
        <v>248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34"/>
      <c r="W19" s="577"/>
      <c r="X19" s="750"/>
      <c r="Y19" s="606" t="s">
        <v>256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257</v>
      </c>
      <c r="D21" s="327" t="s">
        <v>258</v>
      </c>
      <c r="E21" s="283"/>
      <c r="F21" s="438"/>
      <c r="G21" s="284">
        <f>D180</f>
        <v>115829.99999999999</v>
      </c>
      <c r="H21" s="670">
        <v>45867</v>
      </c>
      <c r="I21" s="739">
        <f>SUM(G21:G26)</f>
        <v>115829.99999999999</v>
      </c>
      <c r="J21" s="739">
        <f>F180</f>
        <v>131624.99999999997</v>
      </c>
      <c r="K21" s="285"/>
      <c r="L21" s="281">
        <v>3</v>
      </c>
      <c r="M21" s="423" t="s">
        <v>259</v>
      </c>
      <c r="N21" s="327" t="s">
        <v>260</v>
      </c>
      <c r="O21" s="548"/>
      <c r="P21" s="438"/>
      <c r="Q21" s="284">
        <v>82657.399999999994</v>
      </c>
      <c r="R21" s="594" t="s">
        <v>261</v>
      </c>
      <c r="S21" s="631" t="s">
        <v>262</v>
      </c>
      <c r="T21" s="647">
        <v>45838</v>
      </c>
      <c r="U21" s="650">
        <v>131624.99999999997</v>
      </c>
      <c r="V21" s="729">
        <f>J21-SUM(U21:U26)</f>
        <v>0</v>
      </c>
      <c r="W21" s="670">
        <v>45867</v>
      </c>
      <c r="X21" s="726">
        <f>SUM(Q21:Q26)</f>
        <v>82657.399999999994</v>
      </c>
      <c r="Y21" s="606" t="s">
        <v>263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259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30"/>
      <c r="W22" s="571"/>
      <c r="X22" s="727"/>
      <c r="Y22" s="606" t="s">
        <v>189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259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30"/>
      <c r="W23" s="571"/>
      <c r="X23" s="727"/>
      <c r="Y23" s="606" t="s">
        <v>264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259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30"/>
      <c r="W24" s="572"/>
      <c r="X24" s="727"/>
      <c r="Y24" s="611" t="s">
        <v>265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259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30"/>
      <c r="W25" s="572"/>
      <c r="X25" s="727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259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31"/>
      <c r="W26" s="573"/>
      <c r="X26" s="728"/>
      <c r="Y26" s="612" t="s">
        <v>145</v>
      </c>
      <c r="Z26" s="613" t="s">
        <v>266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250</v>
      </c>
      <c r="D28" s="294" t="s">
        <v>267</v>
      </c>
      <c r="E28" s="365">
        <f>G28/14*1.15</f>
        <v>7083.9999999999991</v>
      </c>
      <c r="F28" s="458"/>
      <c r="G28" s="296">
        <v>86240</v>
      </c>
      <c r="H28" s="538">
        <v>45867</v>
      </c>
      <c r="I28" s="745">
        <f>SUM(G28:G43)</f>
        <v>203544</v>
      </c>
      <c r="J28" s="745">
        <f>F181</f>
        <v>231300</v>
      </c>
      <c r="K28" s="297"/>
      <c r="L28" s="293">
        <v>4</v>
      </c>
      <c r="M28" s="426" t="s">
        <v>268</v>
      </c>
      <c r="N28" s="294" t="s">
        <v>269</v>
      </c>
      <c r="O28" s="545">
        <v>6000</v>
      </c>
      <c r="P28" s="458">
        <v>13.4</v>
      </c>
      <c r="Q28" s="296">
        <f>O28*P28</f>
        <v>80400</v>
      </c>
      <c r="R28" s="591" t="s">
        <v>239</v>
      </c>
      <c r="S28" s="628" t="s">
        <v>240</v>
      </c>
      <c r="T28" s="656">
        <v>45838</v>
      </c>
      <c r="U28" s="666">
        <v>90168.327477242987</v>
      </c>
      <c r="V28" s="732">
        <f>J28-SUM(U28:U43)</f>
        <v>0</v>
      </c>
      <c r="W28" s="538">
        <v>45867</v>
      </c>
      <c r="X28" s="748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270</v>
      </c>
      <c r="E29" s="395"/>
      <c r="F29" s="454"/>
      <c r="G29" s="640">
        <f>D181-G28</f>
        <v>117304</v>
      </c>
      <c r="H29" s="538">
        <v>45867</v>
      </c>
      <c r="I29" s="746"/>
      <c r="J29" s="746"/>
      <c r="K29" s="301"/>
      <c r="L29" s="298">
        <v>4</v>
      </c>
      <c r="M29" s="427" t="s">
        <v>268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33"/>
      <c r="W29" s="576"/>
      <c r="X29" s="749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46"/>
      <c r="J30" s="746"/>
      <c r="K30" s="301"/>
      <c r="L30" s="298">
        <v>4</v>
      </c>
      <c r="M30" s="427" t="s">
        <v>268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33"/>
      <c r="W30" s="576"/>
      <c r="X30" s="749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46"/>
      <c r="J31" s="746"/>
      <c r="K31" s="301"/>
      <c r="L31" s="298">
        <v>4</v>
      </c>
      <c r="M31" s="427" t="s">
        <v>268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33"/>
      <c r="W31" s="576"/>
      <c r="X31" s="749"/>
      <c r="Y31" s="614" t="s">
        <v>271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46"/>
      <c r="J32" s="746"/>
      <c r="K32" s="301"/>
      <c r="L32" s="298">
        <v>4</v>
      </c>
      <c r="M32" s="427" t="s">
        <v>268</v>
      </c>
      <c r="N32" s="409" t="s">
        <v>272</v>
      </c>
      <c r="O32" s="565">
        <v>125842.26</v>
      </c>
      <c r="P32" s="566">
        <v>0.1</v>
      </c>
      <c r="Q32" s="300">
        <v>11730.4</v>
      </c>
      <c r="R32" s="654"/>
      <c r="S32" s="629" t="s">
        <v>273</v>
      </c>
      <c r="T32" s="653">
        <v>45838</v>
      </c>
      <c r="U32" s="667">
        <v>13155.603838794166</v>
      </c>
      <c r="V32" s="733"/>
      <c r="W32" s="539">
        <f>W98</f>
        <v>45827</v>
      </c>
      <c r="X32" s="749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46"/>
      <c r="J33" s="746"/>
      <c r="K33" s="301"/>
      <c r="L33" s="298">
        <v>4</v>
      </c>
      <c r="M33" s="427" t="s">
        <v>274</v>
      </c>
      <c r="N33" s="409" t="s">
        <v>275</v>
      </c>
      <c r="O33" s="565"/>
      <c r="P33" s="566"/>
      <c r="Q33" s="300">
        <v>853.83</v>
      </c>
      <c r="R33" s="654"/>
      <c r="S33" s="629" t="s">
        <v>276</v>
      </c>
      <c r="T33" s="653">
        <v>45838</v>
      </c>
      <c r="U33" s="667">
        <v>957.56745086933302</v>
      </c>
      <c r="V33" s="733"/>
      <c r="W33" s="539">
        <v>45834</v>
      </c>
      <c r="X33" s="749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46"/>
      <c r="J34" s="746"/>
      <c r="K34" s="301"/>
      <c r="L34" s="298">
        <v>4</v>
      </c>
      <c r="M34" s="427" t="s">
        <v>268</v>
      </c>
      <c r="N34" s="409" t="s">
        <v>100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277</v>
      </c>
      <c r="T34" s="653">
        <v>45838</v>
      </c>
      <c r="U34" s="667">
        <v>21169.750205515586</v>
      </c>
      <c r="V34" s="733"/>
      <c r="W34" s="539">
        <f t="shared" ref="W34:W38" si="4">W100</f>
        <v>45834</v>
      </c>
      <c r="X34" s="749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46"/>
      <c r="J35" s="746"/>
      <c r="K35" s="301"/>
      <c r="L35" s="298">
        <v>4</v>
      </c>
      <c r="M35" s="427" t="s">
        <v>268</v>
      </c>
      <c r="N35" s="409" t="s">
        <v>278</v>
      </c>
      <c r="O35" s="674"/>
      <c r="P35" s="566">
        <v>0.2</v>
      </c>
      <c r="Q35" s="300">
        <f t="shared" si="3"/>
        <v>25168.452000000001</v>
      </c>
      <c r="R35" s="592"/>
      <c r="S35" s="629" t="s">
        <v>279</v>
      </c>
      <c r="T35" s="653">
        <v>45869</v>
      </c>
      <c r="U35" s="667">
        <v>28226.333607354118</v>
      </c>
      <c r="V35" s="733"/>
      <c r="W35" s="539">
        <f t="shared" si="4"/>
        <v>45925</v>
      </c>
      <c r="X35" s="749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46"/>
      <c r="J36" s="746"/>
      <c r="K36" s="301"/>
      <c r="L36" s="298">
        <v>4</v>
      </c>
      <c r="M36" s="427" t="s">
        <v>268</v>
      </c>
      <c r="N36" s="409" t="s">
        <v>280</v>
      </c>
      <c r="O36" s="554"/>
      <c r="P36" s="566">
        <v>0.25</v>
      </c>
      <c r="Q36" s="300">
        <f t="shared" si="3"/>
        <v>31460.564999999999</v>
      </c>
      <c r="R36" s="592"/>
      <c r="S36" s="629" t="s">
        <v>279</v>
      </c>
      <c r="T36" s="653">
        <v>45869</v>
      </c>
      <c r="U36" s="667">
        <v>35282.917009192643</v>
      </c>
      <c r="V36" s="733"/>
      <c r="W36" s="539">
        <f t="shared" si="4"/>
        <v>45925</v>
      </c>
      <c r="X36" s="749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46"/>
      <c r="J37" s="746"/>
      <c r="K37" s="301"/>
      <c r="L37" s="298">
        <v>4</v>
      </c>
      <c r="M37" s="427" t="s">
        <v>268</v>
      </c>
      <c r="N37" s="409" t="s">
        <v>175</v>
      </c>
      <c r="O37" s="554"/>
      <c r="P37" s="566">
        <v>0.1</v>
      </c>
      <c r="Q37" s="300">
        <f t="shared" si="3"/>
        <v>12584.226000000001</v>
      </c>
      <c r="R37" s="592"/>
      <c r="S37" s="629" t="s">
        <v>279</v>
      </c>
      <c r="T37" s="653">
        <v>45869</v>
      </c>
      <c r="U37" s="667">
        <v>14113.166803677059</v>
      </c>
      <c r="V37" s="733"/>
      <c r="W37" s="539">
        <f t="shared" si="4"/>
        <v>45925</v>
      </c>
      <c r="X37" s="749"/>
      <c r="Y37" s="614" t="s">
        <v>263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46"/>
      <c r="J38" s="746"/>
      <c r="K38" s="301"/>
      <c r="L38" s="298">
        <v>4</v>
      </c>
      <c r="M38" s="427" t="s">
        <v>268</v>
      </c>
      <c r="N38" s="409" t="s">
        <v>281</v>
      </c>
      <c r="O38" s="554"/>
      <c r="P38" s="566">
        <v>0.1</v>
      </c>
      <c r="Q38" s="300">
        <f t="shared" si="3"/>
        <v>12584.226000000001</v>
      </c>
      <c r="R38" s="592"/>
      <c r="S38" s="629" t="s">
        <v>279</v>
      </c>
      <c r="T38" s="653">
        <v>45869</v>
      </c>
      <c r="U38" s="667">
        <v>14113.166803677059</v>
      </c>
      <c r="V38" s="733"/>
      <c r="W38" s="539">
        <f t="shared" si="4"/>
        <v>45925</v>
      </c>
      <c r="X38" s="749"/>
      <c r="Y38" s="614" t="s">
        <v>263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46"/>
      <c r="J39" s="746"/>
      <c r="K39" s="301"/>
      <c r="L39" s="298">
        <v>4</v>
      </c>
      <c r="M39" s="427" t="s">
        <v>268</v>
      </c>
      <c r="N39" s="409" t="s">
        <v>282</v>
      </c>
      <c r="O39" s="554"/>
      <c r="P39" s="566">
        <v>0.05</v>
      </c>
      <c r="Q39" s="300">
        <f t="shared" si="3"/>
        <v>6292.1130000000003</v>
      </c>
      <c r="R39" s="592"/>
      <c r="S39" s="629" t="s">
        <v>279</v>
      </c>
      <c r="T39" s="653">
        <v>45869</v>
      </c>
      <c r="U39" s="667">
        <v>7056.5834018385294</v>
      </c>
      <c r="V39" s="733"/>
      <c r="W39" s="687">
        <v>46037</v>
      </c>
      <c r="X39" s="749"/>
      <c r="Y39" s="614" t="s">
        <v>189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46"/>
      <c r="J40" s="746"/>
      <c r="K40" s="301"/>
      <c r="L40" s="298">
        <v>4</v>
      </c>
      <c r="M40" s="427" t="s">
        <v>268</v>
      </c>
      <c r="N40" s="409" t="s">
        <v>283</v>
      </c>
      <c r="O40" s="554"/>
      <c r="P40" s="566">
        <v>0.05</v>
      </c>
      <c r="Q40" s="300">
        <f t="shared" si="3"/>
        <v>6292.1130000000003</v>
      </c>
      <c r="R40" s="592"/>
      <c r="S40" s="629" t="s">
        <v>279</v>
      </c>
      <c r="T40" s="653">
        <v>45869</v>
      </c>
      <c r="U40" s="667">
        <v>7056.5834018385294</v>
      </c>
      <c r="V40" s="733"/>
      <c r="W40" s="687">
        <v>46037</v>
      </c>
      <c r="X40" s="749"/>
      <c r="Y40" s="617" t="s">
        <v>265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6"/>
      <c r="J41" s="746"/>
      <c r="K41" s="301"/>
      <c r="L41" s="298">
        <v>4</v>
      </c>
      <c r="M41" s="427" t="s">
        <v>268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33"/>
      <c r="W41" s="576"/>
      <c r="X41" s="74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46"/>
      <c r="J42" s="746"/>
      <c r="K42" s="301"/>
      <c r="L42" s="298">
        <v>4</v>
      </c>
      <c r="M42" s="427" t="s">
        <v>268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33"/>
      <c r="W42" s="576"/>
      <c r="X42" s="74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47"/>
      <c r="J43" s="747"/>
      <c r="K43" s="306"/>
      <c r="L43" s="302">
        <v>4</v>
      </c>
      <c r="M43" s="428" t="s">
        <v>268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34"/>
      <c r="W43" s="577"/>
      <c r="X43" s="750"/>
      <c r="Y43" s="483"/>
    </row>
    <row r="44" spans="1:26" ht="14.45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284</v>
      </c>
      <c r="D45" s="327" t="s">
        <v>285</v>
      </c>
      <c r="E45" s="283"/>
      <c r="F45" s="438"/>
      <c r="G45" s="284">
        <f>D183-G48</f>
        <v>34000</v>
      </c>
      <c r="H45" s="540">
        <v>45855</v>
      </c>
      <c r="I45" s="739">
        <f>SUM(G45:G57)</f>
        <v>49000</v>
      </c>
      <c r="J45" s="739">
        <f>F183</f>
        <v>55681.818181818184</v>
      </c>
      <c r="K45" s="285"/>
      <c r="L45" s="683">
        <v>5</v>
      </c>
      <c r="M45" s="682" t="s">
        <v>286</v>
      </c>
      <c r="N45" s="327" t="s">
        <v>287</v>
      </c>
      <c r="O45" s="548"/>
      <c r="P45" s="438"/>
      <c r="Q45" s="681">
        <v>8598.35</v>
      </c>
      <c r="R45" s="594" t="s">
        <v>239</v>
      </c>
      <c r="S45" s="631" t="s">
        <v>288</v>
      </c>
      <c r="T45" s="647">
        <v>45808</v>
      </c>
      <c r="U45" s="650">
        <v>9244.4168858984049</v>
      </c>
      <c r="V45" s="729">
        <f>J45-SUM(U45:U57)</f>
        <v>1.3886615051887929E-3</v>
      </c>
      <c r="W45" s="540">
        <v>45855</v>
      </c>
      <c r="X45" s="726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40"/>
      <c r="J46" s="740"/>
      <c r="K46" s="288"/>
      <c r="L46" s="286">
        <v>5</v>
      </c>
      <c r="M46" s="429" t="s">
        <v>286</v>
      </c>
      <c r="N46" s="676"/>
      <c r="O46" s="556"/>
      <c r="P46" s="453"/>
      <c r="Q46" s="677">
        <v>8598.34</v>
      </c>
      <c r="R46" s="594"/>
      <c r="S46" s="631" t="s">
        <v>289</v>
      </c>
      <c r="T46" s="647">
        <v>45930</v>
      </c>
      <c r="U46" s="650">
        <v>0</v>
      </c>
      <c r="V46" s="730"/>
      <c r="W46" s="540">
        <v>45967</v>
      </c>
      <c r="X46" s="727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40"/>
      <c r="J47" s="740"/>
      <c r="K47" s="288"/>
      <c r="L47" s="286">
        <v>5</v>
      </c>
      <c r="M47" s="429" t="s">
        <v>286</v>
      </c>
      <c r="N47" s="676" t="s">
        <v>290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30"/>
      <c r="W47" s="578"/>
      <c r="X47" s="727"/>
      <c r="Y47" s="483"/>
    </row>
    <row r="48" spans="1:26" ht="14.25" customHeight="1">
      <c r="B48" s="286">
        <v>5</v>
      </c>
      <c r="C48" s="310"/>
      <c r="D48" s="313" t="s">
        <v>291</v>
      </c>
      <c r="E48" s="452"/>
      <c r="F48" s="453"/>
      <c r="G48" s="315">
        <v>15000</v>
      </c>
      <c r="H48" s="536">
        <v>45808</v>
      </c>
      <c r="I48" s="740"/>
      <c r="J48" s="740"/>
      <c r="K48" s="288"/>
      <c r="L48" s="286">
        <v>5</v>
      </c>
      <c r="M48" s="429" t="s">
        <v>286</v>
      </c>
      <c r="N48" s="287" t="s">
        <v>292</v>
      </c>
      <c r="O48" s="556"/>
      <c r="P48" s="453"/>
      <c r="Q48" s="315">
        <v>27555</v>
      </c>
      <c r="R48" s="587" t="s">
        <v>293</v>
      </c>
      <c r="S48" s="624" t="s">
        <v>294</v>
      </c>
      <c r="T48" s="641">
        <v>45777</v>
      </c>
      <c r="U48" s="645">
        <v>10673.10702236444</v>
      </c>
      <c r="V48" s="730"/>
      <c r="W48" s="536">
        <v>45808</v>
      </c>
      <c r="X48" s="727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40"/>
      <c r="J49" s="740"/>
      <c r="K49" s="288"/>
      <c r="L49" s="286">
        <v>5</v>
      </c>
      <c r="M49" s="429" t="s">
        <v>286</v>
      </c>
      <c r="N49" s="287"/>
      <c r="O49" s="556"/>
      <c r="P49" s="453"/>
      <c r="Q49" s="315">
        <v>214.29</v>
      </c>
      <c r="R49" s="587"/>
      <c r="S49" s="624" t="s">
        <v>295</v>
      </c>
      <c r="T49" s="641">
        <v>45838</v>
      </c>
      <c r="U49" s="651">
        <v>117.96083365230804</v>
      </c>
      <c r="V49" s="730"/>
      <c r="W49" s="669">
        <v>45867</v>
      </c>
      <c r="X49" s="727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40"/>
      <c r="J50" s="740"/>
      <c r="K50" s="288"/>
      <c r="L50" s="286">
        <v>5</v>
      </c>
      <c r="M50" s="429" t="s">
        <v>286</v>
      </c>
      <c r="N50" s="313" t="s">
        <v>296</v>
      </c>
      <c r="O50" s="549"/>
      <c r="P50" s="460"/>
      <c r="Q50" s="315">
        <v>11169</v>
      </c>
      <c r="R50" s="587"/>
      <c r="S50" s="624" t="s">
        <v>297</v>
      </c>
      <c r="T50" s="641">
        <v>45900</v>
      </c>
      <c r="U50" s="651">
        <v>7650.3580467658412</v>
      </c>
      <c r="V50" s="730"/>
      <c r="W50" s="536">
        <f>T50+30</f>
        <v>45930</v>
      </c>
      <c r="X50" s="727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40"/>
      <c r="J51" s="740"/>
      <c r="K51" s="288"/>
      <c r="L51" s="311">
        <v>5</v>
      </c>
      <c r="M51" s="429" t="s">
        <v>286</v>
      </c>
      <c r="N51" s="313" t="s">
        <v>298</v>
      </c>
      <c r="O51" s="549"/>
      <c r="P51" s="460"/>
      <c r="Q51" s="315">
        <v>2250.5</v>
      </c>
      <c r="R51" s="587"/>
      <c r="S51" s="624" t="s">
        <v>299</v>
      </c>
      <c r="T51" s="641">
        <v>45808</v>
      </c>
      <c r="U51" s="651">
        <v>1267.6392466245686</v>
      </c>
      <c r="V51" s="730"/>
      <c r="W51" s="536">
        <v>45799</v>
      </c>
      <c r="X51" s="727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40"/>
      <c r="J52" s="740"/>
      <c r="K52" s="288"/>
      <c r="L52" s="311">
        <v>5</v>
      </c>
      <c r="M52" s="429" t="s">
        <v>286</v>
      </c>
      <c r="N52" s="388" t="s">
        <v>300</v>
      </c>
      <c r="O52" s="550"/>
      <c r="P52" s="445"/>
      <c r="Q52" s="387">
        <v>44000</v>
      </c>
      <c r="R52" s="588" t="s">
        <v>301</v>
      </c>
      <c r="S52" s="625" t="s">
        <v>302</v>
      </c>
      <c r="T52" s="660">
        <v>45869</v>
      </c>
      <c r="U52" s="664">
        <f>23299.4492770989-824.63</f>
        <v>22474.819277098901</v>
      </c>
      <c r="V52" s="730"/>
      <c r="W52" s="537">
        <v>45900</v>
      </c>
      <c r="X52" s="727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40"/>
      <c r="J53" s="740"/>
      <c r="K53" s="288"/>
      <c r="L53" s="311">
        <v>5</v>
      </c>
      <c r="M53" s="429" t="s">
        <v>286</v>
      </c>
      <c r="N53" s="388" t="s">
        <v>300</v>
      </c>
      <c r="O53" s="550"/>
      <c r="P53" s="445"/>
      <c r="Q53" s="387">
        <f>-1*Q52</f>
        <v>-44000</v>
      </c>
      <c r="R53" s="588"/>
      <c r="S53" s="625" t="s">
        <v>303</v>
      </c>
      <c r="T53" s="690">
        <v>45961</v>
      </c>
      <c r="U53" s="664"/>
      <c r="V53" s="730"/>
      <c r="W53" s="691">
        <f>T53</f>
        <v>45961</v>
      </c>
      <c r="X53" s="727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40"/>
      <c r="J54" s="740"/>
      <c r="K54" s="288"/>
      <c r="L54" s="311">
        <v>5</v>
      </c>
      <c r="M54" s="429" t="s">
        <v>286</v>
      </c>
      <c r="N54" s="388" t="s">
        <v>304</v>
      </c>
      <c r="O54" s="550"/>
      <c r="P54" s="445"/>
      <c r="Q54" s="387">
        <v>44000</v>
      </c>
      <c r="R54" s="588" t="s">
        <v>305</v>
      </c>
      <c r="S54" s="625" t="s">
        <v>306</v>
      </c>
      <c r="T54" s="690">
        <v>45961</v>
      </c>
      <c r="U54" s="664"/>
      <c r="V54" s="730"/>
      <c r="W54" s="691">
        <f>T54</f>
        <v>45961</v>
      </c>
      <c r="X54" s="727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40"/>
      <c r="J55" s="740"/>
      <c r="K55" s="288"/>
      <c r="L55" s="311">
        <v>5</v>
      </c>
      <c r="M55" s="429" t="s">
        <v>286</v>
      </c>
      <c r="N55" s="388" t="s">
        <v>307</v>
      </c>
      <c r="O55" s="550"/>
      <c r="P55" s="445"/>
      <c r="Q55" s="387">
        <v>193.15</v>
      </c>
      <c r="R55" s="588"/>
      <c r="S55" s="625" t="s">
        <v>308</v>
      </c>
      <c r="T55" s="660">
        <v>45900</v>
      </c>
      <c r="U55" s="664">
        <v>105.94453108898041</v>
      </c>
      <c r="V55" s="730"/>
      <c r="W55" s="537">
        <v>45930</v>
      </c>
      <c r="X55" s="727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40"/>
      <c r="J56" s="740"/>
      <c r="K56" s="288"/>
      <c r="L56" s="311">
        <v>5</v>
      </c>
      <c r="M56" s="429" t="s">
        <v>286</v>
      </c>
      <c r="N56" s="388" t="s">
        <v>309</v>
      </c>
      <c r="O56" s="550"/>
      <c r="P56" s="445"/>
      <c r="Q56" s="387">
        <v>7534.56</v>
      </c>
      <c r="R56" s="588" t="s">
        <v>310</v>
      </c>
      <c r="S56" s="625" t="s">
        <v>311</v>
      </c>
      <c r="T56" s="648">
        <v>45838</v>
      </c>
      <c r="U56" s="664">
        <v>4147.5709496632326</v>
      </c>
      <c r="V56" s="730"/>
      <c r="W56" s="537">
        <v>45813</v>
      </c>
      <c r="X56" s="727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41"/>
      <c r="J57" s="741"/>
      <c r="K57" s="289"/>
      <c r="L57" s="316">
        <v>5</v>
      </c>
      <c r="M57" s="425" t="s">
        <v>286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31"/>
      <c r="W57" s="573"/>
      <c r="X57" s="728"/>
      <c r="Y57" s="483"/>
    </row>
    <row r="58" spans="1:25" ht="14.45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245</v>
      </c>
      <c r="D59" s="295" t="s">
        <v>312</v>
      </c>
      <c r="E59" s="476"/>
      <c r="F59" s="458"/>
      <c r="G59" s="296">
        <f>D182</f>
        <v>306751.81739130436</v>
      </c>
      <c r="H59" s="537">
        <v>45816</v>
      </c>
      <c r="I59" s="745">
        <f>SUM(G59:G76)</f>
        <v>306751.81739130436</v>
      </c>
      <c r="J59" s="745">
        <f>F182</f>
        <v>348581.61067193677</v>
      </c>
      <c r="K59" s="297"/>
      <c r="L59" s="293">
        <v>6</v>
      </c>
      <c r="M59" s="432" t="s">
        <v>313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32">
        <f>J59-SUM(U59:U76)</f>
        <v>2.8194371843710542E-3</v>
      </c>
      <c r="W59" s="575"/>
      <c r="X59" s="748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46"/>
      <c r="J60" s="746"/>
      <c r="K60" s="301"/>
      <c r="L60" s="298">
        <v>6</v>
      </c>
      <c r="M60" s="430" t="s">
        <v>313</v>
      </c>
      <c r="N60" s="444" t="s">
        <v>314</v>
      </c>
      <c r="O60" s="554"/>
      <c r="P60" s="454"/>
      <c r="Q60" s="321">
        <v>99474.36</v>
      </c>
      <c r="R60" s="592" t="s">
        <v>315</v>
      </c>
      <c r="S60" s="629" t="s">
        <v>316</v>
      </c>
      <c r="T60" s="653">
        <v>45900</v>
      </c>
      <c r="U60" s="667">
        <v>165848.36050240585</v>
      </c>
      <c r="V60" s="733"/>
      <c r="W60" s="687">
        <f>T60+30</f>
        <v>45930</v>
      </c>
      <c r="X60" s="749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46"/>
      <c r="J61" s="746"/>
      <c r="K61" s="301"/>
      <c r="L61" s="298">
        <v>6</v>
      </c>
      <c r="M61" s="430" t="s">
        <v>313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33"/>
      <c r="W61" s="576"/>
      <c r="X61" s="749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46"/>
      <c r="J62" s="746"/>
      <c r="K62" s="301"/>
      <c r="L62" s="298">
        <v>6</v>
      </c>
      <c r="M62" s="430" t="s">
        <v>313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33"/>
      <c r="W62" s="576"/>
      <c r="X62" s="749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46"/>
      <c r="J63" s="746"/>
      <c r="K63" s="301"/>
      <c r="L63" s="298">
        <v>6</v>
      </c>
      <c r="M63" s="430" t="s">
        <v>313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33"/>
      <c r="W63" s="576"/>
      <c r="X63" s="749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46"/>
      <c r="J64" s="746"/>
      <c r="K64" s="301"/>
      <c r="L64" s="298">
        <v>6</v>
      </c>
      <c r="M64" s="430" t="s">
        <v>313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33"/>
      <c r="W64" s="576"/>
      <c r="X64" s="749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46"/>
      <c r="J65" s="746"/>
      <c r="K65" s="301"/>
      <c r="L65" s="298">
        <v>6</v>
      </c>
      <c r="M65" s="430" t="s">
        <v>313</v>
      </c>
      <c r="N65" s="409" t="s">
        <v>272</v>
      </c>
      <c r="O65" s="565">
        <v>108910.56</v>
      </c>
      <c r="P65" s="566">
        <v>0.1</v>
      </c>
      <c r="Q65" s="300">
        <v>9472.6299999999992</v>
      </c>
      <c r="R65" s="592"/>
      <c r="S65" s="629" t="s">
        <v>273</v>
      </c>
      <c r="T65" s="653">
        <v>45838</v>
      </c>
      <c r="U65" s="667">
        <v>16036.987228298114</v>
      </c>
      <c r="V65" s="733"/>
      <c r="W65" s="539">
        <f>W98</f>
        <v>45827</v>
      </c>
      <c r="X65" s="749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46"/>
      <c r="J66" s="746"/>
      <c r="K66" s="301"/>
      <c r="L66" s="298"/>
      <c r="M66" s="430" t="s">
        <v>313</v>
      </c>
      <c r="N66" s="409" t="s">
        <v>275</v>
      </c>
      <c r="O66" s="565"/>
      <c r="P66" s="566"/>
      <c r="Q66" s="300">
        <v>1418.43</v>
      </c>
      <c r="R66" s="654"/>
      <c r="S66" s="629" t="s">
        <v>276</v>
      </c>
      <c r="T66" s="653">
        <v>45838</v>
      </c>
      <c r="U66" s="667">
        <v>2401.3757313686801</v>
      </c>
      <c r="V66" s="733"/>
      <c r="W66" s="539">
        <v>45834</v>
      </c>
      <c r="X66" s="749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46"/>
      <c r="J67" s="746"/>
      <c r="K67" s="301"/>
      <c r="L67" s="298">
        <v>6</v>
      </c>
      <c r="M67" s="431" t="s">
        <v>313</v>
      </c>
      <c r="N67" s="409" t="s">
        <v>100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277</v>
      </c>
      <c r="T67" s="653">
        <v>45838</v>
      </c>
      <c r="U67" s="667">
        <v>27657.534281611268</v>
      </c>
      <c r="V67" s="733"/>
      <c r="W67" s="539">
        <f t="shared" ref="W67:W71" si="8">W100</f>
        <v>45834</v>
      </c>
      <c r="X67" s="749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46"/>
      <c r="J68" s="746"/>
      <c r="K68" s="301"/>
      <c r="L68" s="298">
        <v>6</v>
      </c>
      <c r="M68" s="431" t="s">
        <v>313</v>
      </c>
      <c r="N68" s="409" t="s">
        <v>278</v>
      </c>
      <c r="O68" s="554"/>
      <c r="P68" s="566">
        <v>0.2</v>
      </c>
      <c r="Q68" s="300">
        <f t="shared" si="7"/>
        <v>21782.112000000001</v>
      </c>
      <c r="R68" s="592"/>
      <c r="S68" s="629" t="s">
        <v>279</v>
      </c>
      <c r="T68" s="653">
        <v>45869</v>
      </c>
      <c r="U68" s="667">
        <v>36436.626695684194</v>
      </c>
      <c r="V68" s="733"/>
      <c r="W68" s="539">
        <f t="shared" si="8"/>
        <v>45925</v>
      </c>
      <c r="X68" s="749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46"/>
      <c r="J69" s="746"/>
      <c r="K69" s="301"/>
      <c r="L69" s="298">
        <v>6</v>
      </c>
      <c r="M69" s="431" t="s">
        <v>313</v>
      </c>
      <c r="N69" s="409" t="s">
        <v>280</v>
      </c>
      <c r="O69" s="554"/>
      <c r="P69" s="566">
        <v>0.25</v>
      </c>
      <c r="Q69" s="300">
        <f t="shared" si="7"/>
        <v>27227.64</v>
      </c>
      <c r="R69" s="592"/>
      <c r="S69" s="629" t="s">
        <v>279</v>
      </c>
      <c r="T69" s="653">
        <v>45869</v>
      </c>
      <c r="U69" s="667">
        <v>45545.783369605248</v>
      </c>
      <c r="V69" s="733"/>
      <c r="W69" s="539">
        <f t="shared" si="8"/>
        <v>45925</v>
      </c>
      <c r="X69" s="749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46"/>
      <c r="J70" s="746"/>
      <c r="K70" s="301"/>
      <c r="L70" s="298">
        <v>6</v>
      </c>
      <c r="M70" s="431" t="s">
        <v>313</v>
      </c>
      <c r="N70" s="409" t="s">
        <v>175</v>
      </c>
      <c r="O70" s="554"/>
      <c r="P70" s="566">
        <v>0.1</v>
      </c>
      <c r="Q70" s="300">
        <f t="shared" si="7"/>
        <v>10891.056</v>
      </c>
      <c r="R70" s="592"/>
      <c r="S70" s="629" t="s">
        <v>279</v>
      </c>
      <c r="T70" s="653">
        <v>45869</v>
      </c>
      <c r="U70" s="667">
        <v>18218.313347842097</v>
      </c>
      <c r="V70" s="733"/>
      <c r="W70" s="539">
        <f t="shared" si="8"/>
        <v>45925</v>
      </c>
      <c r="X70" s="749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46"/>
      <c r="J71" s="746"/>
      <c r="K71" s="301"/>
      <c r="L71" s="298">
        <v>6</v>
      </c>
      <c r="M71" s="431" t="s">
        <v>313</v>
      </c>
      <c r="N71" s="409" t="s">
        <v>281</v>
      </c>
      <c r="O71" s="554"/>
      <c r="P71" s="566">
        <v>0.1</v>
      </c>
      <c r="Q71" s="300">
        <f t="shared" si="7"/>
        <v>10891.056</v>
      </c>
      <c r="R71" s="596"/>
      <c r="S71" s="633" t="s">
        <v>279</v>
      </c>
      <c r="T71" s="671">
        <v>45869</v>
      </c>
      <c r="U71" s="672">
        <v>18218.313347842097</v>
      </c>
      <c r="V71" s="733"/>
      <c r="W71" s="539">
        <f t="shared" si="8"/>
        <v>45925</v>
      </c>
      <c r="X71" s="749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46"/>
      <c r="J72" s="746"/>
      <c r="K72" s="301"/>
      <c r="L72" s="298">
        <v>6</v>
      </c>
      <c r="M72" s="431" t="s">
        <v>313</v>
      </c>
      <c r="N72" s="409" t="s">
        <v>282</v>
      </c>
      <c r="O72" s="554"/>
      <c r="P72" s="566">
        <v>0.05</v>
      </c>
      <c r="Q72" s="300">
        <f t="shared" si="7"/>
        <v>5445.5280000000002</v>
      </c>
      <c r="R72" s="596"/>
      <c r="S72" s="633" t="s">
        <v>279</v>
      </c>
      <c r="T72" s="671">
        <v>45869</v>
      </c>
      <c r="U72" s="672">
        <v>9109.1566739210484</v>
      </c>
      <c r="V72" s="733"/>
      <c r="W72" s="687">
        <v>46009</v>
      </c>
      <c r="X72" s="749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46"/>
      <c r="J73" s="746"/>
      <c r="K73" s="301"/>
      <c r="L73" s="298">
        <v>6</v>
      </c>
      <c r="M73" s="431" t="s">
        <v>313</v>
      </c>
      <c r="N73" s="409" t="s">
        <v>283</v>
      </c>
      <c r="O73" s="554"/>
      <c r="P73" s="566">
        <v>0.05</v>
      </c>
      <c r="Q73" s="300">
        <f t="shared" si="7"/>
        <v>5445.5280000000002</v>
      </c>
      <c r="R73" s="596"/>
      <c r="S73" s="633" t="s">
        <v>279</v>
      </c>
      <c r="T73" s="671">
        <v>45869</v>
      </c>
      <c r="U73" s="672">
        <v>9109.1566739210484</v>
      </c>
      <c r="V73" s="733"/>
      <c r="W73" s="687">
        <v>46037</v>
      </c>
      <c r="X73" s="749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46"/>
      <c r="J74" s="746"/>
      <c r="K74" s="301"/>
      <c r="L74" s="298">
        <v>6</v>
      </c>
      <c r="M74" s="431" t="s">
        <v>313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33"/>
      <c r="W74" s="579"/>
      <c r="X74" s="749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46"/>
      <c r="J75" s="746"/>
      <c r="K75" s="301"/>
      <c r="L75" s="298">
        <v>6</v>
      </c>
      <c r="M75" s="431" t="s">
        <v>313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33"/>
      <c r="W75" s="579"/>
      <c r="X75" s="749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47"/>
      <c r="J76" s="747"/>
      <c r="K76" s="306"/>
      <c r="L76" s="302">
        <v>6</v>
      </c>
      <c r="M76" s="433" t="s">
        <v>313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34"/>
      <c r="W76" s="577"/>
      <c r="X76" s="750"/>
      <c r="Y76" s="483"/>
    </row>
    <row r="77" spans="1:25" ht="14.45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317</v>
      </c>
      <c r="D78" s="382"/>
      <c r="E78" s="463"/>
      <c r="F78" s="469"/>
      <c r="G78" s="383"/>
      <c r="H78" s="581"/>
      <c r="I78" s="739">
        <f>SUM(G78:G85)</f>
        <v>0</v>
      </c>
      <c r="J78" s="739">
        <v>0</v>
      </c>
      <c r="K78" s="285"/>
      <c r="L78" s="381">
        <v>7</v>
      </c>
      <c r="M78" s="309" t="s">
        <v>318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51">
        <f>J78-SUM(U78:U85)</f>
        <v>0</v>
      </c>
      <c r="W78" s="581"/>
      <c r="X78" s="726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40"/>
      <c r="J79" s="740"/>
      <c r="K79" s="288"/>
      <c r="L79" s="384">
        <v>7</v>
      </c>
      <c r="M79" s="385" t="s">
        <v>318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52"/>
      <c r="W79" s="572"/>
      <c r="X79" s="72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40"/>
      <c r="J80" s="740"/>
      <c r="K80" s="288"/>
      <c r="L80" s="384">
        <v>7</v>
      </c>
      <c r="M80" s="385" t="s">
        <v>318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52"/>
      <c r="W80" s="572"/>
      <c r="X80" s="72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40"/>
      <c r="J81" s="740"/>
      <c r="K81" s="288"/>
      <c r="L81" s="384">
        <v>7</v>
      </c>
      <c r="M81" s="385" t="s">
        <v>318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52"/>
      <c r="W81" s="572"/>
      <c r="X81" s="72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40"/>
      <c r="J82" s="740"/>
      <c r="K82" s="288"/>
      <c r="L82" s="384">
        <v>7</v>
      </c>
      <c r="M82" s="385" t="s">
        <v>318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52"/>
      <c r="W82" s="572"/>
      <c r="X82" s="727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40"/>
      <c r="J83" s="740"/>
      <c r="K83" s="288"/>
      <c r="L83" s="384">
        <v>7</v>
      </c>
      <c r="M83" s="385" t="s">
        <v>318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52"/>
      <c r="W83" s="572"/>
      <c r="X83" s="727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40"/>
      <c r="J84" s="740"/>
      <c r="K84" s="288"/>
      <c r="L84" s="384">
        <v>7</v>
      </c>
      <c r="M84" s="385" t="s">
        <v>318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52"/>
      <c r="W84" s="572"/>
      <c r="X84" s="727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41"/>
      <c r="J85" s="741"/>
      <c r="K85" s="289"/>
      <c r="L85" s="316">
        <v>7</v>
      </c>
      <c r="M85" s="337" t="s">
        <v>318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53"/>
      <c r="W85" s="573"/>
      <c r="X85" s="728"/>
      <c r="Y85" s="483"/>
    </row>
    <row r="86" spans="1:25" ht="14.45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319</v>
      </c>
      <c r="D87" s="333"/>
      <c r="E87" s="464"/>
      <c r="F87" s="417"/>
      <c r="G87" s="334"/>
      <c r="H87" s="575"/>
      <c r="I87" s="745">
        <f>D185</f>
        <v>250000</v>
      </c>
      <c r="J87" s="745">
        <f>F185</f>
        <v>284090.90909090906</v>
      </c>
      <c r="K87" s="297"/>
      <c r="L87" s="332">
        <v>8</v>
      </c>
      <c r="M87" s="426" t="s">
        <v>320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69">
        <f>J87-SUM(U87:U95)</f>
        <v>-9.0449827257543802E-4</v>
      </c>
      <c r="W87" s="575"/>
      <c r="X87" s="748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321</v>
      </c>
      <c r="E88" s="416"/>
      <c r="F88" s="462"/>
      <c r="G88" s="324">
        <v>250000</v>
      </c>
      <c r="H88" s="576">
        <v>45930</v>
      </c>
      <c r="I88" s="746"/>
      <c r="J88" s="746"/>
      <c r="K88" s="301"/>
      <c r="L88" s="322">
        <v>8</v>
      </c>
      <c r="M88" s="434" t="s">
        <v>320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70"/>
      <c r="W88" s="576"/>
      <c r="X88" s="74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46"/>
      <c r="J89" s="746"/>
      <c r="K89" s="301"/>
      <c r="L89" s="322">
        <v>8</v>
      </c>
      <c r="M89" s="434" t="s">
        <v>320</v>
      </c>
      <c r="N89" s="335" t="s">
        <v>322</v>
      </c>
      <c r="O89" s="416"/>
      <c r="P89" s="462"/>
      <c r="Q89" s="324">
        <v>5203</v>
      </c>
      <c r="R89" s="592" t="s">
        <v>323</v>
      </c>
      <c r="S89" s="629" t="s">
        <v>324</v>
      </c>
      <c r="T89" s="653">
        <v>45961</v>
      </c>
      <c r="U89" s="693">
        <v>16658.266861800592</v>
      </c>
      <c r="V89" s="770"/>
      <c r="W89" s="539">
        <v>46066</v>
      </c>
      <c r="X89" s="749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46"/>
      <c r="J90" s="746"/>
      <c r="K90" s="301"/>
      <c r="L90" s="322">
        <v>8</v>
      </c>
      <c r="M90" s="434" t="s">
        <v>320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70"/>
      <c r="W90" s="576"/>
      <c r="X90" s="749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46"/>
      <c r="J91" s="746"/>
      <c r="K91" s="301"/>
      <c r="L91" s="322">
        <v>8</v>
      </c>
      <c r="M91" s="434" t="s">
        <v>320</v>
      </c>
      <c r="N91" s="335" t="s">
        <v>325</v>
      </c>
      <c r="O91" s="694">
        <v>0.75</v>
      </c>
      <c r="P91" s="462">
        <v>35400</v>
      </c>
      <c r="Q91" s="324">
        <f>O91*P91</f>
        <v>26550</v>
      </c>
      <c r="R91" s="772" t="s">
        <v>326</v>
      </c>
      <c r="S91" s="629" t="s">
        <v>327</v>
      </c>
      <c r="T91" s="653">
        <v>45991</v>
      </c>
      <c r="U91" s="693">
        <v>188952.71623262769</v>
      </c>
      <c r="V91" s="770"/>
      <c r="W91" s="539">
        <v>45989</v>
      </c>
      <c r="X91" s="749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46"/>
      <c r="J92" s="746"/>
      <c r="K92" s="301"/>
      <c r="L92" s="322">
        <v>8</v>
      </c>
      <c r="M92" s="434" t="s">
        <v>320</v>
      </c>
      <c r="N92" s="335" t="s">
        <v>328</v>
      </c>
      <c r="O92" s="694">
        <v>0.25</v>
      </c>
      <c r="P92" s="462"/>
      <c r="Q92" s="324">
        <f>P91*O92</f>
        <v>8850</v>
      </c>
      <c r="R92" s="773"/>
      <c r="S92" s="629" t="s">
        <v>329</v>
      </c>
      <c r="T92" s="653">
        <v>46022</v>
      </c>
      <c r="U92" s="693">
        <v>51172.215410875899</v>
      </c>
      <c r="V92" s="770"/>
      <c r="W92" s="687">
        <v>46031</v>
      </c>
      <c r="X92" s="749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46"/>
      <c r="J93" s="746"/>
      <c r="K93" s="301"/>
      <c r="L93" s="322">
        <v>8</v>
      </c>
      <c r="M93" s="434" t="s">
        <v>320</v>
      </c>
      <c r="N93" s="335" t="s">
        <v>330</v>
      </c>
      <c r="O93" s="557"/>
      <c r="P93" s="462"/>
      <c r="Q93" s="324">
        <v>8529.2199999999993</v>
      </c>
      <c r="R93" s="592"/>
      <c r="S93" s="629" t="s">
        <v>331</v>
      </c>
      <c r="T93" s="692">
        <v>45961</v>
      </c>
      <c r="U93" s="693">
        <v>27307.711490103182</v>
      </c>
      <c r="V93" s="770"/>
      <c r="W93" s="539">
        <v>45989</v>
      </c>
      <c r="X93" s="749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46"/>
      <c r="J94" s="746"/>
      <c r="K94" s="301"/>
      <c r="L94" s="322">
        <v>8</v>
      </c>
      <c r="M94" s="434" t="s">
        <v>320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70"/>
      <c r="W94" s="579"/>
      <c r="X94" s="749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47"/>
      <c r="J95" s="747"/>
      <c r="K95" s="306"/>
      <c r="L95" s="302">
        <v>8</v>
      </c>
      <c r="M95" s="433" t="s">
        <v>320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71"/>
      <c r="W95" s="577"/>
      <c r="X95" s="750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332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333</v>
      </c>
      <c r="D97" s="327" t="s">
        <v>334</v>
      </c>
      <c r="E97" s="314"/>
      <c r="F97" s="438"/>
      <c r="G97" s="619">
        <f>D191</f>
        <v>64350</v>
      </c>
      <c r="H97" s="576">
        <v>45930</v>
      </c>
      <c r="I97" s="760">
        <f>SUM(G97:G109)</f>
        <v>210650</v>
      </c>
      <c r="J97" s="739">
        <f>F191+F192</f>
        <v>247823.5294117647</v>
      </c>
      <c r="K97" s="288"/>
      <c r="L97" s="311">
        <v>9</v>
      </c>
      <c r="M97" s="424" t="s">
        <v>335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29">
        <f>J97-SUM(U97:U109)</f>
        <v>0</v>
      </c>
      <c r="W97" s="578"/>
      <c r="X97" s="763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336</v>
      </c>
      <c r="E98" s="314"/>
      <c r="F98" s="460"/>
      <c r="G98" s="619">
        <f>D192</f>
        <v>146300</v>
      </c>
      <c r="H98" s="536">
        <v>45827</v>
      </c>
      <c r="I98" s="761"/>
      <c r="J98" s="740"/>
      <c r="K98" s="288"/>
      <c r="L98" s="311">
        <v>9</v>
      </c>
      <c r="M98" s="424" t="s">
        <v>335</v>
      </c>
      <c r="N98" s="328" t="s">
        <v>272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273</v>
      </c>
      <c r="T98" s="641">
        <v>45838</v>
      </c>
      <c r="U98" s="651">
        <v>18055.929798490695</v>
      </c>
      <c r="V98" s="730"/>
      <c r="W98" s="536">
        <v>45827</v>
      </c>
      <c r="X98" s="764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61"/>
      <c r="J99" s="740"/>
      <c r="K99" s="288"/>
      <c r="L99" s="311">
        <v>9</v>
      </c>
      <c r="M99" s="424" t="s">
        <v>335</v>
      </c>
      <c r="N99" s="328" t="s">
        <v>275</v>
      </c>
      <c r="O99" s="659"/>
      <c r="P99" s="567"/>
      <c r="Q99" s="315">
        <v>7847.4</v>
      </c>
      <c r="R99" s="661"/>
      <c r="S99" s="625" t="s">
        <v>276</v>
      </c>
      <c r="T99" s="660">
        <v>45838</v>
      </c>
      <c r="U99" s="664">
        <v>6726.4231426857759</v>
      </c>
      <c r="V99" s="730"/>
      <c r="W99" s="537">
        <v>45834</v>
      </c>
      <c r="X99" s="76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61"/>
      <c r="J100" s="740"/>
      <c r="K100" s="288"/>
      <c r="L100" s="384">
        <v>9</v>
      </c>
      <c r="M100" s="502" t="s">
        <v>335</v>
      </c>
      <c r="N100" s="386" t="s">
        <v>100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277</v>
      </c>
      <c r="T100" s="660">
        <v>45838</v>
      </c>
      <c r="U100" s="664">
        <v>37173.529411764706</v>
      </c>
      <c r="V100" s="730"/>
      <c r="W100" s="537">
        <v>45834</v>
      </c>
      <c r="X100" s="764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61"/>
      <c r="J101" s="740"/>
      <c r="K101" s="288"/>
      <c r="L101" s="384">
        <v>9</v>
      </c>
      <c r="M101" s="502" t="s">
        <v>335</v>
      </c>
      <c r="N101" s="386" t="s">
        <v>278</v>
      </c>
      <c r="O101" s="550"/>
      <c r="P101" s="567">
        <v>0.2</v>
      </c>
      <c r="Q101" s="315">
        <f t="shared" si="11"/>
        <v>57824.800000000003</v>
      </c>
      <c r="R101" s="588"/>
      <c r="S101" s="625" t="s">
        <v>279</v>
      </c>
      <c r="T101" s="660">
        <v>45900</v>
      </c>
      <c r="U101" s="664">
        <v>49564.705882352944</v>
      </c>
      <c r="V101" s="730"/>
      <c r="W101" s="537">
        <v>45925</v>
      </c>
      <c r="X101" s="764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61"/>
      <c r="J102" s="740"/>
      <c r="K102" s="288"/>
      <c r="L102" s="384">
        <v>9</v>
      </c>
      <c r="M102" s="502" t="s">
        <v>335</v>
      </c>
      <c r="N102" s="386" t="s">
        <v>280</v>
      </c>
      <c r="O102" s="550"/>
      <c r="P102" s="567">
        <v>0.25</v>
      </c>
      <c r="Q102" s="315">
        <f t="shared" si="11"/>
        <v>72281</v>
      </c>
      <c r="R102" s="588"/>
      <c r="S102" s="625" t="s">
        <v>279</v>
      </c>
      <c r="T102" s="660">
        <v>45900</v>
      </c>
      <c r="U102" s="664">
        <v>61955.882352941175</v>
      </c>
      <c r="V102" s="730"/>
      <c r="W102" s="537">
        <v>45925</v>
      </c>
      <c r="X102" s="764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61"/>
      <c r="J103" s="740"/>
      <c r="K103" s="288"/>
      <c r="L103" s="384">
        <v>9</v>
      </c>
      <c r="M103" s="502" t="s">
        <v>335</v>
      </c>
      <c r="N103" s="386" t="s">
        <v>175</v>
      </c>
      <c r="O103" s="550"/>
      <c r="P103" s="567">
        <v>0.1</v>
      </c>
      <c r="Q103" s="315">
        <f t="shared" si="11"/>
        <v>28912.400000000001</v>
      </c>
      <c r="R103" s="588"/>
      <c r="S103" s="625" t="s">
        <v>279</v>
      </c>
      <c r="T103" s="660">
        <v>45900</v>
      </c>
      <c r="U103" s="664">
        <v>24782.352941176472</v>
      </c>
      <c r="V103" s="730"/>
      <c r="W103" s="537">
        <v>45925</v>
      </c>
      <c r="X103" s="764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61"/>
      <c r="J104" s="740"/>
      <c r="K104" s="288"/>
      <c r="L104" s="384">
        <v>9</v>
      </c>
      <c r="M104" s="502" t="s">
        <v>335</v>
      </c>
      <c r="N104" s="386" t="s">
        <v>281</v>
      </c>
      <c r="O104" s="550"/>
      <c r="P104" s="567">
        <v>0.1</v>
      </c>
      <c r="Q104" s="315">
        <f t="shared" si="11"/>
        <v>28912.400000000001</v>
      </c>
      <c r="R104" s="588"/>
      <c r="S104" s="625" t="s">
        <v>279</v>
      </c>
      <c r="T104" s="660">
        <v>45900</v>
      </c>
      <c r="U104" s="664">
        <v>24782.352941176472</v>
      </c>
      <c r="V104" s="730"/>
      <c r="W104" s="537">
        <v>45925</v>
      </c>
      <c r="X104" s="764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61"/>
      <c r="J105" s="740"/>
      <c r="K105" s="288"/>
      <c r="L105" s="384">
        <v>9</v>
      </c>
      <c r="M105" s="502" t="s">
        <v>335</v>
      </c>
      <c r="N105" s="386" t="s">
        <v>282</v>
      </c>
      <c r="O105" s="550"/>
      <c r="P105" s="567">
        <v>0.05</v>
      </c>
      <c r="Q105" s="315">
        <f t="shared" si="11"/>
        <v>14456.2</v>
      </c>
      <c r="R105" s="588"/>
      <c r="S105" s="625" t="s">
        <v>279</v>
      </c>
      <c r="T105" s="660">
        <v>45900</v>
      </c>
      <c r="U105" s="664">
        <v>12391.176470588236</v>
      </c>
      <c r="V105" s="730"/>
      <c r="W105" s="537">
        <v>46009</v>
      </c>
      <c r="X105" s="764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61"/>
      <c r="J106" s="740"/>
      <c r="K106" s="288"/>
      <c r="L106" s="384">
        <v>9</v>
      </c>
      <c r="M106" s="502" t="s">
        <v>335</v>
      </c>
      <c r="N106" s="386" t="s">
        <v>283</v>
      </c>
      <c r="O106" s="550"/>
      <c r="P106" s="567">
        <v>0.05</v>
      </c>
      <c r="Q106" s="315">
        <f t="shared" si="11"/>
        <v>14456.2</v>
      </c>
      <c r="R106" s="588"/>
      <c r="S106" s="625" t="s">
        <v>279</v>
      </c>
      <c r="T106" s="660">
        <v>45900</v>
      </c>
      <c r="U106" s="664">
        <v>12391.176470588236</v>
      </c>
      <c r="V106" s="730"/>
      <c r="W106" s="691">
        <v>46037</v>
      </c>
      <c r="X106" s="764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61"/>
      <c r="J107" s="740"/>
      <c r="K107" s="288"/>
      <c r="L107" s="384">
        <v>9</v>
      </c>
      <c r="M107" s="502" t="s">
        <v>335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30"/>
      <c r="W107" s="572"/>
      <c r="X107" s="764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61"/>
      <c r="J108" s="740"/>
      <c r="K108" s="288"/>
      <c r="L108" s="384">
        <v>9</v>
      </c>
      <c r="M108" s="502" t="s">
        <v>335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30"/>
      <c r="W108" s="572"/>
      <c r="X108" s="764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62"/>
      <c r="J109" s="741"/>
      <c r="K109" s="364"/>
      <c r="L109" s="316">
        <v>9</v>
      </c>
      <c r="M109" s="442" t="s">
        <v>335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31"/>
      <c r="W109" s="573"/>
      <c r="X109" s="765"/>
      <c r="Y109" s="483"/>
    </row>
    <row r="110" spans="1:25" ht="14.45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337</v>
      </c>
      <c r="D111" s="270" t="s">
        <v>253</v>
      </c>
      <c r="E111" s="271"/>
      <c r="F111" s="471"/>
      <c r="G111" s="338">
        <f>D195</f>
        <v>8500</v>
      </c>
      <c r="H111" s="542">
        <v>45930</v>
      </c>
      <c r="I111" s="754">
        <f>SUM(G111:G134)</f>
        <v>60396.666666666664</v>
      </c>
      <c r="J111" s="754">
        <f>F195+F198+F199+F197</f>
        <v>71054.901960784322</v>
      </c>
      <c r="K111" s="339"/>
      <c r="L111" s="269">
        <v>10</v>
      </c>
      <c r="M111" s="435" t="s">
        <v>338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66">
        <f>J111-SUM(U111:U134)</f>
        <v>-3.6448949394980446E-3</v>
      </c>
      <c r="W111" s="582"/>
      <c r="X111" s="757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254</v>
      </c>
      <c r="E112" s="342"/>
      <c r="F112" s="472"/>
      <c r="G112" s="343">
        <f>D199</f>
        <v>20355</v>
      </c>
      <c r="H112" s="542">
        <v>45930</v>
      </c>
      <c r="I112" s="755"/>
      <c r="J112" s="755"/>
      <c r="K112" s="272"/>
      <c r="L112" s="340">
        <v>10</v>
      </c>
      <c r="M112" s="436" t="s">
        <v>338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67"/>
      <c r="W112" s="583"/>
      <c r="X112" s="758"/>
      <c r="Y112" s="483"/>
    </row>
    <row r="113" spans="2:25" ht="14.25" customHeight="1">
      <c r="B113" s="340">
        <v>10</v>
      </c>
      <c r="C113" s="341"/>
      <c r="D113" s="341" t="s">
        <v>339</v>
      </c>
      <c r="E113" s="342"/>
      <c r="F113" s="472"/>
      <c r="G113" s="343">
        <f>D198</f>
        <v>30000</v>
      </c>
      <c r="H113" s="542">
        <v>45930</v>
      </c>
      <c r="I113" s="755"/>
      <c r="J113" s="755"/>
      <c r="K113" s="272"/>
      <c r="L113" s="340">
        <v>10</v>
      </c>
      <c r="M113" s="436" t="s">
        <v>338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67"/>
      <c r="W113" s="583"/>
      <c r="X113" s="758"/>
      <c r="Y113" s="483"/>
    </row>
    <row r="114" spans="2:25" ht="14.25" customHeight="1">
      <c r="B114" s="340">
        <v>10</v>
      </c>
      <c r="C114" s="341"/>
      <c r="D114" s="341" t="s">
        <v>255</v>
      </c>
      <c r="E114" s="342"/>
      <c r="F114" s="472"/>
      <c r="G114" s="343">
        <f>D197</f>
        <v>1541.6666666666665</v>
      </c>
      <c r="H114" s="542">
        <v>45930</v>
      </c>
      <c r="I114" s="755"/>
      <c r="J114" s="755"/>
      <c r="K114" s="272"/>
      <c r="L114" s="340">
        <v>10</v>
      </c>
      <c r="M114" s="436" t="s">
        <v>338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67"/>
      <c r="W114" s="583"/>
      <c r="X114" s="758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55"/>
      <c r="J115" s="755"/>
      <c r="K115" s="272"/>
      <c r="L115" s="340">
        <v>10</v>
      </c>
      <c r="M115" s="436" t="s">
        <v>338</v>
      </c>
      <c r="N115" s="341" t="s">
        <v>272</v>
      </c>
      <c r="O115" s="618">
        <v>69585</v>
      </c>
      <c r="P115" s="570">
        <v>0.1</v>
      </c>
      <c r="Q115" s="343">
        <v>3039.66</v>
      </c>
      <c r="R115" s="602"/>
      <c r="S115" s="638" t="s">
        <v>273</v>
      </c>
      <c r="T115" s="649">
        <v>45838</v>
      </c>
      <c r="U115" s="652">
        <v>2064.1886201184029</v>
      </c>
      <c r="V115" s="767"/>
      <c r="W115" s="542">
        <f>W98</f>
        <v>45827</v>
      </c>
      <c r="X115" s="758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55"/>
      <c r="J116" s="755"/>
      <c r="K116" s="272"/>
      <c r="L116" s="340">
        <v>10</v>
      </c>
      <c r="M116" s="436" t="s">
        <v>338</v>
      </c>
      <c r="N116" s="341" t="s">
        <v>275</v>
      </c>
      <c r="O116" s="618"/>
      <c r="P116" s="570"/>
      <c r="Q116" s="343">
        <v>2196.44</v>
      </c>
      <c r="R116" s="662"/>
      <c r="S116" s="638" t="s">
        <v>276</v>
      </c>
      <c r="T116" s="649">
        <v>45838</v>
      </c>
      <c r="U116" s="652">
        <v>1316.1557181757435</v>
      </c>
      <c r="V116" s="767"/>
      <c r="W116" s="542">
        <v>45834</v>
      </c>
      <c r="X116" s="758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55"/>
      <c r="J117" s="755"/>
      <c r="K117" s="272"/>
      <c r="L117" s="340">
        <v>10</v>
      </c>
      <c r="M117" s="436" t="s">
        <v>338</v>
      </c>
      <c r="N117" s="341"/>
      <c r="O117" s="618"/>
      <c r="P117" s="570"/>
      <c r="Q117" s="343">
        <v>2196.44</v>
      </c>
      <c r="R117" s="662"/>
      <c r="S117" s="638" t="s">
        <v>276</v>
      </c>
      <c r="T117" s="649">
        <v>45900</v>
      </c>
      <c r="U117" s="652">
        <v>0</v>
      </c>
      <c r="V117" s="767"/>
      <c r="W117" s="542">
        <v>45900</v>
      </c>
      <c r="X117" s="758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55"/>
      <c r="J118" s="755"/>
      <c r="K118" s="272"/>
      <c r="L118" s="340">
        <v>10</v>
      </c>
      <c r="M118" s="436" t="s">
        <v>338</v>
      </c>
      <c r="N118" s="341"/>
      <c r="O118" s="618"/>
      <c r="P118" s="570"/>
      <c r="Q118" s="343">
        <v>-1938.13</v>
      </c>
      <c r="R118" s="662"/>
      <c r="S118" s="638" t="s">
        <v>276</v>
      </c>
      <c r="T118" s="649">
        <v>45900</v>
      </c>
      <c r="U118" s="652"/>
      <c r="V118" s="767"/>
      <c r="W118" s="542">
        <v>45900</v>
      </c>
      <c r="X118" s="758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55"/>
      <c r="J119" s="755"/>
      <c r="K119" s="272"/>
      <c r="L119" s="340">
        <v>10</v>
      </c>
      <c r="M119" s="436" t="s">
        <v>338</v>
      </c>
      <c r="N119" s="341" t="s">
        <v>100</v>
      </c>
      <c r="O119" s="563"/>
      <c r="P119" s="570">
        <v>0.15</v>
      </c>
      <c r="Q119" s="343">
        <v>7854.15</v>
      </c>
      <c r="R119" s="602"/>
      <c r="S119" s="638" t="s">
        <v>277</v>
      </c>
      <c r="T119" s="649">
        <v>45838</v>
      </c>
      <c r="U119" s="652">
        <v>5070.526693721692</v>
      </c>
      <c r="V119" s="767"/>
      <c r="W119" s="542">
        <f>W100</f>
        <v>45834</v>
      </c>
      <c r="X119" s="758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55"/>
      <c r="J120" s="755"/>
      <c r="K120" s="272"/>
      <c r="L120" s="340">
        <v>10</v>
      </c>
      <c r="M120" s="436" t="s">
        <v>338</v>
      </c>
      <c r="N120" s="341"/>
      <c r="O120" s="563"/>
      <c r="P120" s="570"/>
      <c r="Q120" s="343">
        <v>-7466.7</v>
      </c>
      <c r="R120" s="602"/>
      <c r="S120" s="638" t="s">
        <v>277</v>
      </c>
      <c r="T120" s="649">
        <v>45900</v>
      </c>
      <c r="U120" s="652">
        <v>0</v>
      </c>
      <c r="V120" s="767"/>
      <c r="W120" s="542">
        <v>45900</v>
      </c>
      <c r="X120" s="758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55"/>
      <c r="J121" s="755"/>
      <c r="K121" s="272"/>
      <c r="L121" s="340">
        <v>10</v>
      </c>
      <c r="M121" s="436" t="s">
        <v>338</v>
      </c>
      <c r="N121" s="341"/>
      <c r="O121" s="563"/>
      <c r="P121" s="570"/>
      <c r="Q121" s="343">
        <v>7854.15</v>
      </c>
      <c r="R121" s="602"/>
      <c r="S121" s="638" t="s">
        <v>277</v>
      </c>
      <c r="T121" s="649">
        <v>45900</v>
      </c>
      <c r="U121" s="652">
        <v>0</v>
      </c>
      <c r="V121" s="767"/>
      <c r="W121" s="542">
        <v>45900</v>
      </c>
      <c r="X121" s="758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55"/>
      <c r="J122" s="755"/>
      <c r="K122" s="272"/>
      <c r="L122" s="340">
        <v>10</v>
      </c>
      <c r="M122" s="436" t="s">
        <v>338</v>
      </c>
      <c r="N122" s="341" t="s">
        <v>278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279</v>
      </c>
      <c r="T122" s="649">
        <v>45869</v>
      </c>
      <c r="U122" s="652">
        <f>15299.7292196436+5230.05</f>
        <v>20529.779219643598</v>
      </c>
      <c r="V122" s="767"/>
      <c r="W122" s="542">
        <f>W101</f>
        <v>45925</v>
      </c>
      <c r="X122" s="758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55"/>
      <c r="J123" s="755"/>
      <c r="K123" s="272"/>
      <c r="L123" s="340">
        <v>10</v>
      </c>
      <c r="M123" s="436" t="s">
        <v>338</v>
      </c>
      <c r="N123" s="341" t="s">
        <v>280</v>
      </c>
      <c r="O123" s="563"/>
      <c r="P123" s="570">
        <v>0.25</v>
      </c>
      <c r="Q123" s="343">
        <f t="shared" si="12"/>
        <v>17396.25</v>
      </c>
      <c r="R123" s="602"/>
      <c r="S123" s="638" t="s">
        <v>279</v>
      </c>
      <c r="T123" s="649">
        <v>45869</v>
      </c>
      <c r="U123" s="652">
        <v>19124.66152455446</v>
      </c>
      <c r="V123" s="767"/>
      <c r="W123" s="542">
        <f>W102</f>
        <v>45925</v>
      </c>
      <c r="X123" s="758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55"/>
      <c r="J124" s="755"/>
      <c r="K124" s="272"/>
      <c r="L124" s="340">
        <v>10</v>
      </c>
      <c r="M124" s="436" t="s">
        <v>338</v>
      </c>
      <c r="N124" s="341" t="s">
        <v>175</v>
      </c>
      <c r="O124" s="563"/>
      <c r="P124" s="570">
        <v>0.1</v>
      </c>
      <c r="Q124" s="343">
        <f t="shared" si="12"/>
        <v>6958.5</v>
      </c>
      <c r="R124" s="602"/>
      <c r="S124" s="638" t="s">
        <v>279</v>
      </c>
      <c r="T124" s="649">
        <v>45869</v>
      </c>
      <c r="U124" s="652">
        <v>7649.8646098217841</v>
      </c>
      <c r="V124" s="767"/>
      <c r="W124" s="542">
        <f>W103</f>
        <v>45925</v>
      </c>
      <c r="X124" s="758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55"/>
      <c r="J125" s="755"/>
      <c r="K125" s="272"/>
      <c r="L125" s="340">
        <v>10</v>
      </c>
      <c r="M125" s="436" t="s">
        <v>338</v>
      </c>
      <c r="N125" s="341"/>
      <c r="O125" s="563"/>
      <c r="P125" s="570"/>
      <c r="Q125" s="343">
        <v>6958.49</v>
      </c>
      <c r="R125" s="602"/>
      <c r="S125" s="638" t="s">
        <v>279</v>
      </c>
      <c r="T125" s="649">
        <v>45900</v>
      </c>
      <c r="U125" s="652">
        <v>0</v>
      </c>
      <c r="V125" s="767"/>
      <c r="W125" s="542">
        <v>45900</v>
      </c>
      <c r="X125" s="758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55"/>
      <c r="J126" s="755"/>
      <c r="K126" s="272"/>
      <c r="L126" s="340">
        <v>10</v>
      </c>
      <c r="M126" s="436" t="s">
        <v>338</v>
      </c>
      <c r="N126" s="341"/>
      <c r="O126" s="563"/>
      <c r="P126" s="570"/>
      <c r="Q126" s="343">
        <v>-6958.5</v>
      </c>
      <c r="R126" s="602"/>
      <c r="S126" s="638" t="s">
        <v>279</v>
      </c>
      <c r="T126" s="649">
        <v>45900</v>
      </c>
      <c r="U126" s="652">
        <v>0</v>
      </c>
      <c r="V126" s="767"/>
      <c r="W126" s="542">
        <v>45900</v>
      </c>
      <c r="X126" s="758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55"/>
      <c r="J127" s="755"/>
      <c r="K127" s="272"/>
      <c r="L127" s="340">
        <v>10</v>
      </c>
      <c r="M127" s="436" t="s">
        <v>338</v>
      </c>
      <c r="N127" s="341" t="s">
        <v>281</v>
      </c>
      <c r="O127" s="563"/>
      <c r="P127" s="570">
        <v>0.1</v>
      </c>
      <c r="Q127" s="343">
        <f t="shared" si="12"/>
        <v>6958.5</v>
      </c>
      <c r="R127" s="602"/>
      <c r="S127" s="638" t="s">
        <v>279</v>
      </c>
      <c r="T127" s="649">
        <v>45869</v>
      </c>
      <c r="U127" s="652">
        <v>7649.8646098217841</v>
      </c>
      <c r="V127" s="767"/>
      <c r="W127" s="542">
        <f>W104</f>
        <v>45925</v>
      </c>
      <c r="X127" s="758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55"/>
      <c r="J128" s="755"/>
      <c r="K128" s="272"/>
      <c r="L128" s="340">
        <v>10</v>
      </c>
      <c r="M128" s="436" t="s">
        <v>338</v>
      </c>
      <c r="N128" s="341"/>
      <c r="O128" s="563"/>
      <c r="P128" s="570"/>
      <c r="Q128" s="343">
        <v>-6958.5</v>
      </c>
      <c r="R128" s="602"/>
      <c r="S128" s="638" t="s">
        <v>279</v>
      </c>
      <c r="T128" s="649">
        <v>45900</v>
      </c>
      <c r="U128" s="652">
        <v>0</v>
      </c>
      <c r="V128" s="767"/>
      <c r="W128" s="542">
        <v>45900</v>
      </c>
      <c r="X128" s="758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55"/>
      <c r="J129" s="755"/>
      <c r="K129" s="272"/>
      <c r="L129" s="340">
        <v>10</v>
      </c>
      <c r="M129" s="436" t="s">
        <v>338</v>
      </c>
      <c r="N129" s="341"/>
      <c r="O129" s="563"/>
      <c r="P129" s="570"/>
      <c r="Q129" s="343">
        <v>6958.49</v>
      </c>
      <c r="R129" s="602"/>
      <c r="S129" s="638" t="s">
        <v>279</v>
      </c>
      <c r="T129" s="649">
        <v>45900</v>
      </c>
      <c r="U129" s="652">
        <v>0</v>
      </c>
      <c r="V129" s="767"/>
      <c r="W129" s="542">
        <v>45900</v>
      </c>
      <c r="X129" s="758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55"/>
      <c r="J130" s="755"/>
      <c r="K130" s="272"/>
      <c r="L130" s="340">
        <v>10</v>
      </c>
      <c r="M130" s="436" t="s">
        <v>338</v>
      </c>
      <c r="N130" s="341" t="s">
        <v>282</v>
      </c>
      <c r="O130" s="563"/>
      <c r="P130" s="570">
        <v>0.05</v>
      </c>
      <c r="Q130" s="343">
        <f t="shared" si="12"/>
        <v>3479.25</v>
      </c>
      <c r="R130" s="602"/>
      <c r="S130" s="638" t="s">
        <v>279</v>
      </c>
      <c r="T130" s="649">
        <v>45869</v>
      </c>
      <c r="U130" s="652">
        <v>3824.9323049108921</v>
      </c>
      <c r="V130" s="767"/>
      <c r="W130" s="542">
        <f>W105</f>
        <v>46009</v>
      </c>
      <c r="X130" s="758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55"/>
      <c r="J131" s="755"/>
      <c r="K131" s="272"/>
      <c r="L131" s="340">
        <v>10</v>
      </c>
      <c r="M131" s="436" t="s">
        <v>338</v>
      </c>
      <c r="N131" s="341" t="s">
        <v>283</v>
      </c>
      <c r="O131" s="563"/>
      <c r="P131" s="570">
        <v>0.05</v>
      </c>
      <c r="Q131" s="343">
        <f t="shared" si="12"/>
        <v>3479.25</v>
      </c>
      <c r="R131" s="602"/>
      <c r="S131" s="638" t="s">
        <v>279</v>
      </c>
      <c r="T131" s="649">
        <v>45869</v>
      </c>
      <c r="U131" s="652">
        <v>3824.9323049108921</v>
      </c>
      <c r="V131" s="767"/>
      <c r="W131" s="679">
        <f>W106</f>
        <v>46037</v>
      </c>
      <c r="X131" s="758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55"/>
      <c r="J132" s="755"/>
      <c r="K132" s="272"/>
      <c r="L132" s="340">
        <v>10</v>
      </c>
      <c r="M132" s="436" t="s">
        <v>338</v>
      </c>
      <c r="N132" s="341" t="s">
        <v>340</v>
      </c>
      <c r="O132" s="563"/>
      <c r="P132" s="472"/>
      <c r="Q132" s="343">
        <v>3479.24</v>
      </c>
      <c r="R132" s="602"/>
      <c r="S132" s="638" t="s">
        <v>279</v>
      </c>
      <c r="T132" s="649">
        <v>45900</v>
      </c>
      <c r="U132" s="517">
        <v>0</v>
      </c>
      <c r="V132" s="767"/>
      <c r="W132" s="542">
        <v>45900</v>
      </c>
      <c r="X132" s="758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55"/>
      <c r="J133" s="755"/>
      <c r="K133" s="272"/>
      <c r="L133" s="340">
        <v>10</v>
      </c>
      <c r="M133" s="436" t="s">
        <v>338</v>
      </c>
      <c r="N133" s="341"/>
      <c r="O133" s="563"/>
      <c r="P133" s="472"/>
      <c r="Q133" s="343">
        <v>-3479.25</v>
      </c>
      <c r="R133" s="602"/>
      <c r="S133" s="638" t="s">
        <v>279</v>
      </c>
      <c r="T133" s="649">
        <v>45900</v>
      </c>
      <c r="U133" s="517">
        <v>0</v>
      </c>
      <c r="V133" s="767"/>
      <c r="W133" s="542">
        <v>45900</v>
      </c>
      <c r="X133" s="758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56"/>
      <c r="J134" s="756"/>
      <c r="K134" s="275"/>
      <c r="L134" s="273">
        <v>10</v>
      </c>
      <c r="M134" s="437" t="s">
        <v>338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68"/>
      <c r="W134" s="585"/>
      <c r="X134" s="759"/>
      <c r="Y134" s="483"/>
    </row>
    <row r="135" spans="1:25" ht="14.45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341</v>
      </c>
      <c r="D136" s="351" t="s">
        <v>342</v>
      </c>
      <c r="E136" s="283"/>
      <c r="F136" s="438"/>
      <c r="G136" s="284">
        <v>11000</v>
      </c>
      <c r="H136" s="540">
        <v>45918</v>
      </c>
      <c r="I136" s="739">
        <f>SUM(G136:G140)</f>
        <v>29000</v>
      </c>
      <c r="J136" s="739">
        <f>F194</f>
        <v>34117.647058823532</v>
      </c>
      <c r="K136" s="285"/>
      <c r="L136" s="281">
        <v>11</v>
      </c>
      <c r="M136" s="351" t="s">
        <v>343</v>
      </c>
      <c r="N136" s="351" t="s">
        <v>342</v>
      </c>
      <c r="O136" s="283"/>
      <c r="P136" s="438"/>
      <c r="Q136" s="284">
        <v>7057.63</v>
      </c>
      <c r="R136" s="594"/>
      <c r="S136" s="631" t="s">
        <v>344</v>
      </c>
      <c r="T136" s="647">
        <v>45869</v>
      </c>
      <c r="U136" s="650">
        <v>14423.516028188707</v>
      </c>
      <c r="V136" s="729">
        <f>J136-SUM(U136:U140)</f>
        <v>-5.975000312901102E-4</v>
      </c>
      <c r="W136" s="540">
        <v>45918</v>
      </c>
      <c r="X136" s="726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345</v>
      </c>
      <c r="E137" s="314"/>
      <c r="F137" s="460"/>
      <c r="G137" s="315">
        <v>18000</v>
      </c>
      <c r="H137" s="536">
        <v>45757</v>
      </c>
      <c r="I137" s="740"/>
      <c r="J137" s="740"/>
      <c r="K137" s="288"/>
      <c r="L137" s="311">
        <v>11</v>
      </c>
      <c r="M137" s="390" t="s">
        <v>343</v>
      </c>
      <c r="N137" s="313" t="s">
        <v>345</v>
      </c>
      <c r="O137" s="314"/>
      <c r="P137" s="460"/>
      <c r="Q137" s="315">
        <v>9019.6</v>
      </c>
      <c r="R137" s="587" t="s">
        <v>346</v>
      </c>
      <c r="S137" s="624" t="s">
        <v>347</v>
      </c>
      <c r="T137" s="644">
        <v>45777</v>
      </c>
      <c r="U137" s="645">
        <v>11826.758651622806</v>
      </c>
      <c r="V137" s="730"/>
      <c r="W137" s="536">
        <v>45757</v>
      </c>
      <c r="X137" s="727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40"/>
      <c r="J138" s="740"/>
      <c r="K138" s="288"/>
      <c r="L138" s="311">
        <v>11</v>
      </c>
      <c r="M138" s="390" t="s">
        <v>343</v>
      </c>
      <c r="N138" s="388" t="s">
        <v>348</v>
      </c>
      <c r="O138" s="550"/>
      <c r="P138" s="445"/>
      <c r="Q138" s="387">
        <v>6000</v>
      </c>
      <c r="R138" s="587"/>
      <c r="S138" s="624" t="s">
        <v>349</v>
      </c>
      <c r="T138" s="641">
        <v>45900</v>
      </c>
      <c r="U138" s="651">
        <v>7867.3729765120524</v>
      </c>
      <c r="V138" s="730"/>
      <c r="W138" s="536">
        <v>45900</v>
      </c>
      <c r="X138" s="727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40"/>
      <c r="J139" s="740"/>
      <c r="K139" s="288"/>
      <c r="L139" s="311">
        <v>11</v>
      </c>
      <c r="M139" s="390" t="s">
        <v>343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30"/>
      <c r="W139" s="572"/>
      <c r="X139" s="727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41"/>
      <c r="J140" s="741"/>
      <c r="K140" s="289"/>
      <c r="L140" s="316">
        <v>11</v>
      </c>
      <c r="M140" s="420" t="s">
        <v>343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31"/>
      <c r="W140" s="573"/>
      <c r="X140" s="728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350</v>
      </c>
      <c r="D142" s="270" t="s">
        <v>351</v>
      </c>
      <c r="E142" s="271"/>
      <c r="F142" s="471"/>
      <c r="G142" s="338">
        <v>44017.957529582083</v>
      </c>
      <c r="H142" s="582">
        <v>45900</v>
      </c>
      <c r="I142" s="754">
        <f>SUM(G142:G143)</f>
        <v>52821.549035498501</v>
      </c>
      <c r="J142" s="754">
        <v>0</v>
      </c>
      <c r="K142" s="774"/>
      <c r="L142" s="269">
        <v>12</v>
      </c>
      <c r="M142" s="270" t="s">
        <v>352</v>
      </c>
      <c r="N142" s="270" t="s">
        <v>351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57">
        <f>SUM(Q142:Q143)</f>
        <v>0</v>
      </c>
      <c r="Y142" s="483"/>
    </row>
    <row r="143" spans="1:25" ht="15" customHeight="1" thickBot="1">
      <c r="B143" s="273">
        <v>12</v>
      </c>
      <c r="C143" s="344" t="s">
        <v>350</v>
      </c>
      <c r="D143" s="344" t="s">
        <v>353</v>
      </c>
      <c r="E143" s="345"/>
      <c r="F143" s="473"/>
      <c r="G143" s="274">
        <v>8803.5915059164163</v>
      </c>
      <c r="H143" s="585">
        <v>45900</v>
      </c>
      <c r="I143" s="756"/>
      <c r="J143" s="756"/>
      <c r="K143" s="775"/>
      <c r="L143" s="273">
        <v>12</v>
      </c>
      <c r="M143" s="344" t="s">
        <v>352</v>
      </c>
      <c r="N143" s="344" t="s">
        <v>353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59"/>
      <c r="Y143" s="483"/>
    </row>
    <row r="144" spans="1:25" ht="14.45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354</v>
      </c>
      <c r="D145" s="351" t="s">
        <v>355</v>
      </c>
      <c r="E145" s="283"/>
      <c r="F145" s="438"/>
      <c r="G145" s="284">
        <v>21199.623550724638</v>
      </c>
      <c r="H145" s="540">
        <v>45900</v>
      </c>
      <c r="I145" s="739">
        <f>SUM(G145:G149)</f>
        <v>112108.36640786749</v>
      </c>
      <c r="J145" s="739">
        <f>F193</f>
        <v>127395.87091803124</v>
      </c>
      <c r="K145" s="285"/>
      <c r="L145" s="281">
        <v>13</v>
      </c>
      <c r="M145" s="351" t="s">
        <v>356</v>
      </c>
      <c r="N145" s="351" t="s">
        <v>357</v>
      </c>
      <c r="O145" s="548"/>
      <c r="P145" s="438"/>
      <c r="Q145" s="284">
        <f>'Project Plan'!$E$6*1.25%</f>
        <v>33198.828758288124</v>
      </c>
      <c r="R145" s="594"/>
      <c r="S145" s="631" t="s">
        <v>358</v>
      </c>
      <c r="T145" s="647">
        <v>45900</v>
      </c>
      <c r="U145" s="650">
        <v>127395.87091803124</v>
      </c>
      <c r="V145" s="729">
        <f>J145-SUM(U145:U150)</f>
        <v>0</v>
      </c>
      <c r="W145" s="540">
        <v>45900</v>
      </c>
      <c r="X145" s="726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359</v>
      </c>
      <c r="E146" s="314"/>
      <c r="F146" s="460"/>
      <c r="G146" s="315">
        <v>14285.714285714286</v>
      </c>
      <c r="H146" s="571">
        <v>45900</v>
      </c>
      <c r="I146" s="740"/>
      <c r="J146" s="740"/>
      <c r="K146" s="288"/>
      <c r="L146" s="311">
        <v>13</v>
      </c>
      <c r="M146" s="390" t="s">
        <v>356</v>
      </c>
      <c r="N146" s="313" t="s">
        <v>359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30"/>
      <c r="W146" s="571"/>
      <c r="X146" s="727"/>
      <c r="Y146" s="483"/>
    </row>
    <row r="147" spans="1:25" ht="15.75" customHeight="1">
      <c r="B147" s="311">
        <v>13</v>
      </c>
      <c r="C147" s="313"/>
      <c r="D147" s="313" t="s">
        <v>360</v>
      </c>
      <c r="E147" s="314"/>
      <c r="F147" s="460"/>
      <c r="G147" s="315">
        <v>42500</v>
      </c>
      <c r="H147" s="571">
        <v>45900</v>
      </c>
      <c r="I147" s="740"/>
      <c r="J147" s="740"/>
      <c r="K147" s="288"/>
      <c r="L147" s="311">
        <v>13</v>
      </c>
      <c r="M147" s="390" t="s">
        <v>356</v>
      </c>
      <c r="N147" s="313" t="s">
        <v>360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30"/>
      <c r="W147" s="571"/>
      <c r="X147" s="727"/>
      <c r="Y147" s="483"/>
    </row>
    <row r="148" spans="1:25" ht="15.75" customHeight="1">
      <c r="B148" s="311">
        <v>13</v>
      </c>
      <c r="C148" s="313"/>
      <c r="D148" s="313" t="s">
        <v>361</v>
      </c>
      <c r="E148" s="314"/>
      <c r="F148" s="460"/>
      <c r="G148" s="315">
        <v>18571.428571428572</v>
      </c>
      <c r="H148" s="571">
        <v>45900</v>
      </c>
      <c r="I148" s="740"/>
      <c r="J148" s="740"/>
      <c r="K148" s="288"/>
      <c r="L148" s="311">
        <v>13</v>
      </c>
      <c r="M148" s="390" t="s">
        <v>356</v>
      </c>
      <c r="N148" s="313" t="s">
        <v>361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30"/>
      <c r="W148" s="571"/>
      <c r="X148" s="727"/>
      <c r="Y148" s="483"/>
    </row>
    <row r="149" spans="1:25" ht="15.75" customHeight="1">
      <c r="B149" s="311">
        <v>13</v>
      </c>
      <c r="C149" s="313"/>
      <c r="D149" s="313" t="s">
        <v>362</v>
      </c>
      <c r="E149" s="314"/>
      <c r="F149" s="460"/>
      <c r="G149" s="315">
        <v>15551.6</v>
      </c>
      <c r="H149" s="571">
        <v>45900</v>
      </c>
      <c r="I149" s="740"/>
      <c r="J149" s="740"/>
      <c r="K149" s="288"/>
      <c r="L149" s="311">
        <v>13</v>
      </c>
      <c r="M149" s="390" t="s">
        <v>356</v>
      </c>
      <c r="N149" s="313" t="s">
        <v>362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30"/>
      <c r="W149" s="571"/>
      <c r="X149" s="727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41"/>
      <c r="J150" s="741"/>
      <c r="K150" s="364"/>
      <c r="L150" s="316">
        <v>13</v>
      </c>
      <c r="M150" s="420" t="s">
        <v>356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31"/>
      <c r="W150" s="573"/>
      <c r="X150" s="728"/>
      <c r="Y150" s="483"/>
    </row>
    <row r="151" spans="1:25" ht="14.45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363</v>
      </c>
      <c r="D152" s="270" t="s">
        <v>364</v>
      </c>
      <c r="E152" s="271"/>
      <c r="F152" s="471"/>
      <c r="G152" s="338">
        <v>4375</v>
      </c>
      <c r="H152" s="643">
        <v>45785</v>
      </c>
      <c r="I152" s="754">
        <f>SUM(G152:G163)</f>
        <v>4375</v>
      </c>
      <c r="J152" s="754">
        <f>F204</f>
        <v>5147.0588235294117</v>
      </c>
      <c r="K152" s="339"/>
      <c r="L152" s="269">
        <v>14</v>
      </c>
      <c r="M152" s="435" t="s">
        <v>365</v>
      </c>
      <c r="N152" s="270" t="s">
        <v>366</v>
      </c>
      <c r="O152" s="562"/>
      <c r="P152" s="471"/>
      <c r="Q152" s="338">
        <v>7750</v>
      </c>
      <c r="R152" s="600"/>
      <c r="S152" s="636" t="s">
        <v>367</v>
      </c>
      <c r="T152" s="642">
        <v>45777</v>
      </c>
      <c r="U152" s="646">
        <v>3545.751633986928</v>
      </c>
      <c r="V152" s="766">
        <f>J152-SUM(U152:U163)</f>
        <v>3.9511194863735E-3</v>
      </c>
      <c r="W152" s="643">
        <v>45785</v>
      </c>
      <c r="X152" s="757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55"/>
      <c r="J153" s="755"/>
      <c r="K153" s="272"/>
      <c r="L153" s="340">
        <v>14</v>
      </c>
      <c r="M153" s="436" t="s">
        <v>365</v>
      </c>
      <c r="N153" s="341" t="s">
        <v>366</v>
      </c>
      <c r="O153" s="563"/>
      <c r="P153" s="472"/>
      <c r="Q153" s="343">
        <v>0</v>
      </c>
      <c r="R153" s="602"/>
      <c r="S153" s="638" t="s">
        <v>368</v>
      </c>
      <c r="T153" s="649">
        <v>45777</v>
      </c>
      <c r="U153" s="652">
        <v>0</v>
      </c>
      <c r="V153" s="767"/>
      <c r="W153" s="542">
        <v>45777</v>
      </c>
      <c r="X153" s="758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55"/>
      <c r="J154" s="755"/>
      <c r="K154" s="272"/>
      <c r="L154" s="340">
        <v>14</v>
      </c>
      <c r="M154" s="436" t="s">
        <v>365</v>
      </c>
      <c r="N154" s="341" t="s">
        <v>366</v>
      </c>
      <c r="O154" s="563"/>
      <c r="P154" s="472"/>
      <c r="Q154" s="343">
        <v>7624.0500000000011</v>
      </c>
      <c r="R154" s="602"/>
      <c r="S154" s="638" t="s">
        <v>368</v>
      </c>
      <c r="T154" s="649">
        <v>45808</v>
      </c>
      <c r="U154" s="652">
        <v>1196.46047460556</v>
      </c>
      <c r="V154" s="767"/>
      <c r="W154" s="542">
        <v>45817</v>
      </c>
      <c r="X154" s="758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55"/>
      <c r="J155" s="755"/>
      <c r="K155" s="272"/>
      <c r="L155" s="340">
        <v>14</v>
      </c>
      <c r="M155" s="436" t="s">
        <v>365</v>
      </c>
      <c r="N155" s="341" t="s">
        <v>366</v>
      </c>
      <c r="O155" s="563"/>
      <c r="P155" s="472"/>
      <c r="Q155" s="343">
        <v>12174.800000000001</v>
      </c>
      <c r="R155" s="602"/>
      <c r="S155" s="638" t="s">
        <v>368</v>
      </c>
      <c r="T155" s="649">
        <v>45838</v>
      </c>
      <c r="U155" s="652">
        <v>287.34276381743746</v>
      </c>
      <c r="V155" s="767"/>
      <c r="W155" s="542">
        <v>45842</v>
      </c>
      <c r="X155" s="758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55"/>
      <c r="J156" s="755"/>
      <c r="K156" s="272"/>
      <c r="L156" s="340">
        <v>14</v>
      </c>
      <c r="M156" s="436" t="s">
        <v>365</v>
      </c>
      <c r="N156" s="341" t="s">
        <v>366</v>
      </c>
      <c r="O156" s="563"/>
      <c r="P156" s="472"/>
      <c r="Q156" s="673">
        <v>0</v>
      </c>
      <c r="R156" s="602"/>
      <c r="S156" s="638" t="s">
        <v>368</v>
      </c>
      <c r="T156" s="649">
        <f t="shared" ref="T156:T162" si="13">IF(W156&gt;1,EOMONTH(W156,0),"")</f>
        <v>45869</v>
      </c>
      <c r="U156" s="517">
        <v>0</v>
      </c>
      <c r="V156" s="767"/>
      <c r="W156" s="542">
        <v>45869</v>
      </c>
      <c r="X156" s="758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55"/>
      <c r="J157" s="755"/>
      <c r="K157" s="272"/>
      <c r="L157" s="340">
        <v>14</v>
      </c>
      <c r="M157" s="436" t="s">
        <v>365</v>
      </c>
      <c r="N157" s="341" t="s">
        <v>366</v>
      </c>
      <c r="O157" s="563"/>
      <c r="P157" s="472"/>
      <c r="Q157" s="343">
        <v>3061.43</v>
      </c>
      <c r="R157" s="602"/>
      <c r="S157" s="638" t="s">
        <v>368</v>
      </c>
      <c r="T157" s="649">
        <v>45900</v>
      </c>
      <c r="U157" s="652">
        <v>117.5</v>
      </c>
      <c r="V157" s="767"/>
      <c r="W157" s="542">
        <v>45905</v>
      </c>
      <c r="X157" s="758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55"/>
      <c r="J158" s="755"/>
      <c r="K158" s="272"/>
      <c r="L158" s="340">
        <v>14</v>
      </c>
      <c r="M158" s="436" t="s">
        <v>365</v>
      </c>
      <c r="N158" s="341" t="s">
        <v>366</v>
      </c>
      <c r="O158" s="563"/>
      <c r="P158" s="472"/>
      <c r="Q158" s="343">
        <v>1307.83</v>
      </c>
      <c r="R158" s="602"/>
      <c r="S158" s="638" t="s">
        <v>368</v>
      </c>
      <c r="T158" s="680">
        <v>45930</v>
      </c>
      <c r="U158" s="517">
        <v>0</v>
      </c>
      <c r="V158" s="767"/>
      <c r="W158" s="679">
        <v>45940</v>
      </c>
      <c r="X158" s="758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55"/>
      <c r="J159" s="755"/>
      <c r="K159" s="272"/>
      <c r="L159" s="340">
        <v>14</v>
      </c>
      <c r="M159" s="436" t="s">
        <v>365</v>
      </c>
      <c r="N159" s="341" t="s">
        <v>366</v>
      </c>
      <c r="O159" s="563"/>
      <c r="P159" s="472"/>
      <c r="Q159" s="343">
        <v>1901.74</v>
      </c>
      <c r="R159" s="602"/>
      <c r="S159" s="638" t="s">
        <v>368</v>
      </c>
      <c r="T159" s="680">
        <v>45961</v>
      </c>
      <c r="U159" s="517">
        <v>0</v>
      </c>
      <c r="V159" s="767"/>
      <c r="W159" s="679">
        <v>45967</v>
      </c>
      <c r="X159" s="758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55"/>
      <c r="J160" s="755"/>
      <c r="K160" s="272"/>
      <c r="L160" s="340">
        <v>14</v>
      </c>
      <c r="M160" s="436" t="s">
        <v>365</v>
      </c>
      <c r="N160" s="341" t="s">
        <v>366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67"/>
      <c r="W160" s="584"/>
      <c r="X160" s="758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55"/>
      <c r="J161" s="755"/>
      <c r="K161" s="272"/>
      <c r="L161" s="340">
        <v>14</v>
      </c>
      <c r="M161" s="436" t="s">
        <v>365</v>
      </c>
      <c r="N161" s="341" t="s">
        <v>366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67"/>
      <c r="W161" s="584"/>
      <c r="X161" s="758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55"/>
      <c r="J162" s="755"/>
      <c r="K162" s="272"/>
      <c r="L162" s="340">
        <v>14</v>
      </c>
      <c r="M162" s="436" t="s">
        <v>365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67"/>
      <c r="W162" s="584"/>
      <c r="X162" s="758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56"/>
      <c r="J163" s="756"/>
      <c r="K163" s="275"/>
      <c r="L163" s="273">
        <v>14</v>
      </c>
      <c r="M163" s="437" t="s">
        <v>365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68"/>
      <c r="W163" s="585"/>
      <c r="X163" s="759"/>
      <c r="Y163" s="483"/>
    </row>
    <row r="164" spans="1:25" ht="14.45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369</v>
      </c>
      <c r="D165" s="282" t="s">
        <v>370</v>
      </c>
      <c r="E165" s="283"/>
      <c r="F165" s="438"/>
      <c r="G165" s="284">
        <f>D201</f>
        <v>300000</v>
      </c>
      <c r="H165" s="540">
        <v>45849</v>
      </c>
      <c r="I165" s="739">
        <f>SUM(G165:G176)</f>
        <v>300000</v>
      </c>
      <c r="J165" s="739">
        <f>F201</f>
        <v>300000</v>
      </c>
      <c r="K165" s="285"/>
      <c r="L165" s="281">
        <v>15</v>
      </c>
      <c r="M165" s="351" t="s">
        <v>371</v>
      </c>
      <c r="N165" s="282" t="s">
        <v>372</v>
      </c>
      <c r="O165" s="283"/>
      <c r="P165" s="438"/>
      <c r="Q165" s="284">
        <f>398000/2</f>
        <v>199000</v>
      </c>
      <c r="R165" s="594"/>
      <c r="S165" s="631" t="s">
        <v>373</v>
      </c>
      <c r="T165" s="647">
        <v>45838</v>
      </c>
      <c r="U165" s="650">
        <v>150000</v>
      </c>
      <c r="V165" s="729">
        <f>J165-SUM(U165:U176)</f>
        <v>0</v>
      </c>
      <c r="W165" s="540">
        <v>45849</v>
      </c>
      <c r="X165" s="726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40"/>
      <c r="J166" s="740"/>
      <c r="K166" s="288"/>
      <c r="L166" s="311">
        <v>15</v>
      </c>
      <c r="M166" s="390" t="s">
        <v>371</v>
      </c>
      <c r="N166" s="313" t="s">
        <v>374</v>
      </c>
      <c r="O166" s="549"/>
      <c r="P166" s="460"/>
      <c r="Q166" s="315">
        <f>398000/2</f>
        <v>199000</v>
      </c>
      <c r="R166" s="587"/>
      <c r="S166" s="624" t="s">
        <v>373</v>
      </c>
      <c r="T166" s="641">
        <v>45838</v>
      </c>
      <c r="U166" s="651">
        <v>150000</v>
      </c>
      <c r="V166" s="730"/>
      <c r="W166" s="536">
        <v>45925</v>
      </c>
      <c r="X166" s="727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40"/>
      <c r="J167" s="740"/>
      <c r="K167" s="288"/>
      <c r="L167" s="311">
        <v>15</v>
      </c>
      <c r="M167" s="390" t="s">
        <v>371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30"/>
      <c r="W167" s="571"/>
      <c r="X167" s="727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40"/>
      <c r="J168" s="740"/>
      <c r="K168" s="288"/>
      <c r="L168" s="311">
        <v>15</v>
      </c>
      <c r="M168" s="390" t="s">
        <v>371</v>
      </c>
      <c r="N168" s="313" t="s">
        <v>375</v>
      </c>
      <c r="O168" s="549"/>
      <c r="P168" s="460"/>
      <c r="Q168" s="315">
        <v>237.1</v>
      </c>
      <c r="R168" s="587"/>
      <c r="S168" s="624" t="s">
        <v>376</v>
      </c>
      <c r="T168" s="644">
        <v>45930</v>
      </c>
      <c r="U168" s="503">
        <v>0</v>
      </c>
      <c r="V168" s="730"/>
      <c r="W168" s="689">
        <v>45961</v>
      </c>
      <c r="X168" s="727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40"/>
      <c r="J169" s="740"/>
      <c r="K169" s="288"/>
      <c r="L169" s="311">
        <v>15</v>
      </c>
      <c r="M169" s="390" t="s">
        <v>371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30"/>
      <c r="W169" s="571"/>
      <c r="X169" s="727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40"/>
      <c r="J170" s="740"/>
      <c r="K170" s="288"/>
      <c r="L170" s="311">
        <v>15</v>
      </c>
      <c r="M170" s="390" t="s">
        <v>371</v>
      </c>
      <c r="N170" s="313"/>
      <c r="O170" s="549"/>
      <c r="P170" s="460"/>
      <c r="Q170" s="315"/>
      <c r="R170" s="587"/>
      <c r="S170" s="624"/>
      <c r="T170" s="641"/>
      <c r="U170" s="503"/>
      <c r="V170" s="730"/>
      <c r="W170" s="571"/>
      <c r="X170" s="727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40"/>
      <c r="J171" s="740"/>
      <c r="K171" s="288"/>
      <c r="L171" s="311">
        <v>15</v>
      </c>
      <c r="M171" s="390" t="s">
        <v>371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30"/>
      <c r="W171" s="571"/>
      <c r="X171" s="727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40"/>
      <c r="J172" s="740"/>
      <c r="K172" s="288"/>
      <c r="L172" s="311">
        <v>15</v>
      </c>
      <c r="M172" s="390" t="s">
        <v>371</v>
      </c>
      <c r="N172" s="313" t="s">
        <v>377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378</v>
      </c>
      <c r="T172" s="641">
        <v>45961</v>
      </c>
      <c r="U172" s="503"/>
      <c r="V172" s="730"/>
      <c r="W172" s="536">
        <v>45967</v>
      </c>
      <c r="X172" s="727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40"/>
      <c r="J173" s="740"/>
      <c r="K173" s="288"/>
      <c r="L173" s="311">
        <v>15</v>
      </c>
      <c r="M173" s="390" t="s">
        <v>371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378</v>
      </c>
      <c r="T173" s="644">
        <v>45961</v>
      </c>
      <c r="U173" s="503"/>
      <c r="V173" s="730"/>
      <c r="W173" s="536">
        <v>46058</v>
      </c>
      <c r="X173" s="727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40"/>
      <c r="J174" s="740"/>
      <c r="K174" s="288"/>
      <c r="L174" s="311">
        <v>15</v>
      </c>
      <c r="M174" s="390" t="s">
        <v>371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30"/>
      <c r="W174" s="571"/>
      <c r="X174" s="727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40"/>
      <c r="J175" s="740"/>
      <c r="K175" s="288"/>
      <c r="L175" s="311">
        <v>15</v>
      </c>
      <c r="M175" s="390" t="s">
        <v>371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30"/>
      <c r="W175" s="571"/>
      <c r="X175" s="727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41"/>
      <c r="J176" s="741"/>
      <c r="K176" s="289"/>
      <c r="L176" s="316">
        <v>15</v>
      </c>
      <c r="M176" s="420" t="s">
        <v>371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31"/>
      <c r="W176" s="573"/>
      <c r="X176" s="728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379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380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381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270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312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285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382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383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384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385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386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387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388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389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390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391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392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393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394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395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396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397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384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398</v>
      </c>
      <c r="E203" s="165"/>
      <c r="F203" s="547"/>
      <c r="I203" s="256"/>
      <c r="J203" s="256"/>
    </row>
    <row r="204" spans="3:10" s="112" customFormat="1">
      <c r="C204" s="547" t="s">
        <v>399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28:I43"/>
    <mergeCell ref="J28:J43"/>
    <mergeCell ref="X28:X4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28515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401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154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156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145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405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407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778"/>
      <c r="B17" s="195" t="s">
        <v>410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411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7109375" style="366" bestFit="1" customWidth="1"/>
    <col min="6" max="7" width="13.28515625" style="366" bestFit="1" customWidth="1"/>
    <col min="8" max="8" width="10.570312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7109375" style="366" bestFit="1" customWidth="1"/>
    <col min="13" max="13" width="14.7109375" style="366" bestFit="1" customWidth="1"/>
    <col min="14" max="14" width="14.5703125" style="366" bestFit="1" customWidth="1"/>
    <col min="15" max="15" width="14.42578125" style="366" bestFit="1" customWidth="1"/>
    <col min="16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412</v>
      </c>
      <c r="B3" s="447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414</v>
      </c>
      <c r="B4" t="s">
        <v>415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416</v>
      </c>
      <c r="N4"/>
      <c r="O4"/>
      <c r="P4"/>
      <c r="Q4"/>
      <c r="R4"/>
      <c r="S4"/>
      <c r="T4"/>
    </row>
    <row r="5" spans="1:20">
      <c r="A5" s="448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237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248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259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268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286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313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320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335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338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343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356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365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371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274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416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5" width="14.7109375" style="408" bestFit="1" customWidth="1"/>
    <col min="6" max="7" width="13.28515625" style="408" bestFit="1" customWidth="1"/>
    <col min="8" max="9" width="12" style="408" bestFit="1" customWidth="1"/>
    <col min="10" max="10" width="12" bestFit="1" customWidth="1"/>
    <col min="11" max="11" width="11.7109375" bestFit="1" customWidth="1"/>
    <col min="12" max="12" width="13" bestFit="1" customWidth="1"/>
    <col min="13" max="13" width="14.7109375" bestFit="1" customWidth="1"/>
    <col min="14" max="15" width="17.285156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417</v>
      </c>
      <c r="B3" s="447" t="s">
        <v>413</v>
      </c>
      <c r="C3"/>
      <c r="D3"/>
      <c r="E3"/>
      <c r="F3"/>
      <c r="G3"/>
      <c r="H3"/>
      <c r="I3"/>
    </row>
    <row r="4" spans="1:15">
      <c r="A4" s="447" t="s">
        <v>414</v>
      </c>
      <c r="B4" t="s">
        <v>415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416</v>
      </c>
    </row>
    <row r="5" spans="1:15">
      <c r="A5" s="448" t="s">
        <v>415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237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248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259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268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286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313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320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335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338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343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356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365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371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318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274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416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418</v>
      </c>
    </row>
    <row r="2" spans="1:4">
      <c r="A2" s="780"/>
      <c r="B2" s="780"/>
      <c r="C2" s="780"/>
      <c r="D2" s="71"/>
    </row>
    <row r="3" spans="1:4">
      <c r="A3" s="779" t="s">
        <v>419</v>
      </c>
      <c r="B3" s="779"/>
      <c r="C3" s="779"/>
      <c r="D3" s="111">
        <v>0.32</v>
      </c>
    </row>
    <row r="4" spans="1:4">
      <c r="A4" s="779" t="s">
        <v>387</v>
      </c>
      <c r="B4" s="779"/>
      <c r="C4" s="779"/>
      <c r="D4" s="111">
        <v>0.5</v>
      </c>
    </row>
    <row r="5" spans="1:4">
      <c r="A5" s="779" t="s">
        <v>398</v>
      </c>
      <c r="B5" s="779"/>
      <c r="C5" s="779"/>
      <c r="D5" s="111">
        <v>0.15</v>
      </c>
    </row>
    <row r="6" spans="1:4">
      <c r="A6" s="779" t="s">
        <v>420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781" t="s">
        <v>421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>
      <c r="B4" s="92" t="s">
        <v>422</v>
      </c>
      <c r="C4" s="86"/>
      <c r="D4" s="90" t="s">
        <v>423</v>
      </c>
      <c r="E4" s="95"/>
      <c r="F4" s="90" t="s">
        <v>424</v>
      </c>
      <c r="H4" s="90" t="s">
        <v>425</v>
      </c>
      <c r="I4" s="95"/>
      <c r="J4" s="90" t="s">
        <v>426</v>
      </c>
      <c r="L4" s="90" t="s">
        <v>425</v>
      </c>
      <c r="M4" s="90"/>
      <c r="N4" s="90" t="s">
        <v>427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428</v>
      </c>
      <c r="H7" s="99"/>
      <c r="I7" s="95"/>
      <c r="J7" s="107" t="s">
        <v>428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428</v>
      </c>
      <c r="H15" s="99"/>
      <c r="I15" s="95"/>
      <c r="J15" s="107" t="s">
        <v>428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428</v>
      </c>
      <c r="H21" s="99"/>
      <c r="I21" s="95"/>
      <c r="J21" s="107" t="s">
        <v>428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428</v>
      </c>
      <c r="H27" s="99"/>
      <c r="I27" s="95"/>
      <c r="J27" s="107" t="s">
        <v>428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434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428</v>
      </c>
      <c r="H34" s="99"/>
      <c r="I34" s="95"/>
      <c r="J34" s="107" t="s">
        <v>428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435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781" t="s">
        <v>443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>
      <c r="B4" s="92" t="s">
        <v>422</v>
      </c>
      <c r="C4" s="86"/>
      <c r="D4" s="90" t="s">
        <v>423</v>
      </c>
      <c r="E4" s="95"/>
      <c r="F4" s="95"/>
      <c r="G4" s="90" t="s">
        <v>444</v>
      </c>
      <c r="H4" s="96"/>
      <c r="J4" s="90" t="s">
        <v>425</v>
      </c>
      <c r="L4" s="90" t="s">
        <v>445</v>
      </c>
      <c r="M4" s="96"/>
      <c r="O4" s="90" t="s">
        <v>425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422</v>
      </c>
      <c r="C18" s="86"/>
      <c r="D18" s="90" t="s">
        <v>423</v>
      </c>
      <c r="E18" s="95"/>
      <c r="F18" s="95"/>
      <c r="G18" s="90" t="s">
        <v>447</v>
      </c>
      <c r="H18" s="96"/>
      <c r="J18" s="90" t="s">
        <v>425</v>
      </c>
      <c r="L18" s="90" t="s">
        <v>448</v>
      </c>
      <c r="M18" s="96"/>
      <c r="O18" s="90" t="s">
        <v>425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449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454</v>
      </c>
      <c r="C32" s="103"/>
      <c r="D32" s="103"/>
    </row>
    <row r="33" spans="2:4" ht="13.9" thickTop="1"/>
    <row r="34" spans="2:4">
      <c r="B34" s="88" t="s">
        <v>423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455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783" t="str">
        <f>D15</f>
        <v>Corporate Park</v>
      </c>
      <c r="C1" s="783"/>
      <c r="D1" s="783"/>
      <c r="E1" s="782" t="s">
        <v>456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457</v>
      </c>
      <c r="C3" s="72" t="s">
        <v>458</v>
      </c>
      <c r="D3" s="72" t="s">
        <v>459</v>
      </c>
      <c r="E3" s="78" t="s">
        <v>460</v>
      </c>
      <c r="F3" s="78" t="s">
        <v>461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B88B86-B128-47FF-9008-D9A8F22297FF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2026-02-23T11:29:56Z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