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1" documentId="13_ncr:1_{5A0D7A14-282D-4AF2-8DA2-1EBE1D52B30F}" xr6:coauthVersionLast="47" xr6:coauthVersionMax="47" xr10:uidLastSave="{2C962721-6518-41F6-82AD-76C01C7A0786}"/>
  <bookViews>
    <workbookView xWindow="28680" yWindow="-120" windowWidth="29040" windowHeight="15720" tabRatio="700" firstSheet="1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 s="1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E22" i="2"/>
  <c r="E15" i="2"/>
  <c r="G15" i="2"/>
  <c r="G13" i="2"/>
  <c r="E20" i="2"/>
  <c r="G20" i="2"/>
  <c r="G12" i="2"/>
  <c r="K13" i="2"/>
  <c r="I14" i="2" s="1"/>
  <c r="K14" i="2" s="1"/>
  <c r="E27" i="2"/>
  <c r="G27" i="2" s="1"/>
  <c r="E14" i="2"/>
  <c r="G14" i="2" s="1"/>
  <c r="G11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C4" i="24"/>
  <c r="C7" i="23"/>
  <c r="C4" i="23"/>
  <c r="Q125" i="18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X128" i="18" s="1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V52" i="18"/>
  <c r="V103" i="18"/>
  <c r="V28" i="18"/>
  <c r="V90" i="18"/>
  <c r="W59" i="18"/>
  <c r="T59" i="18"/>
  <c r="W108" i="18"/>
  <c r="W33" i="18"/>
  <c r="N23" i="2"/>
  <c r="H21" i="18"/>
  <c r="H13" i="18"/>
  <c r="T14" i="2"/>
  <c r="T108" i="18"/>
  <c r="T33" i="18"/>
  <c r="T58" i="18"/>
  <c r="T107" i="18"/>
  <c r="N37" i="2"/>
  <c r="N35" i="2"/>
  <c r="T17" i="2"/>
  <c r="T34" i="18"/>
  <c r="T35" i="18"/>
  <c r="T122" i="18"/>
  <c r="T128" i="18"/>
  <c r="T139" i="18"/>
  <c r="H21" i="3" l="1"/>
  <c r="J21" i="3" s="1"/>
  <c r="U131" i="18"/>
  <c r="I20" i="2"/>
  <c r="N22" i="2"/>
  <c r="N13" i="2"/>
  <c r="F22" i="2"/>
  <c r="G35" i="2"/>
  <c r="E36" i="2" s="1"/>
  <c r="G36" i="2" s="1"/>
  <c r="E42" i="2" s="1"/>
  <c r="H15" i="5"/>
  <c r="W91" i="18"/>
  <c r="G37" i="2"/>
  <c r="H28" i="18"/>
  <c r="I2" i="18"/>
  <c r="F9" i="3"/>
  <c r="U128" i="18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16" i="2" s="1"/>
  <c r="N42" i="2"/>
  <c r="K40" i="2"/>
  <c r="V128" i="18" l="1"/>
  <c r="K20" i="2"/>
  <c r="N20" i="2" s="1"/>
  <c r="N33" i="2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V16" i="2"/>
  <c r="J33" i="2"/>
  <c r="U16" i="2" s="1"/>
  <c r="J40" i="2"/>
  <c r="U17" i="2" s="1"/>
  <c r="V17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109" i="18" l="1"/>
  <c r="G30" i="2"/>
  <c r="G25" i="2" s="1"/>
  <c r="E25" i="2"/>
  <c r="C9" i="6"/>
  <c r="F6" i="5"/>
  <c r="F7" i="5" s="1"/>
  <c r="G38" i="2"/>
  <c r="G33" i="2" s="1"/>
  <c r="E33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18" i="2" s="1"/>
  <c r="G46" i="2" l="1"/>
  <c r="N47" i="2"/>
  <c r="K50" i="2"/>
  <c r="N50" i="2" s="1"/>
  <c r="N49" i="2" s="1"/>
  <c r="V18" i="2"/>
  <c r="K2" i="2"/>
  <c r="K3" i="2" s="1"/>
  <c r="K4" i="2" s="1"/>
  <c r="W95" i="18"/>
  <c r="W119" i="18"/>
  <c r="J44" i="2"/>
  <c r="U18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19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19" i="2"/>
  <c r="J49" i="2"/>
  <c r="U19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0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0" i="2"/>
  <c r="J53" i="2"/>
  <c r="U20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<sst xmlns="http://schemas.openxmlformats.org/spreadsheetml/2006/main" count="822" uniqueCount="468">
  <si>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</si>
  <si>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</si>
  <si>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</si>
  <si>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</si>
  <si>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</si>
  <si>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</si>
  <si>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</si>
  <si>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</si>
  <si>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</si>
  <si>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</si>
  <si>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</si>
  <si>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</si>
  <si>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</si>
  <si>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</si>
  <si>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</si>
  <si>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</si>
  <si>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</si>
  <si>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</si>
  <si>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</si>
  <si>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</si>
  <si>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</si>
  <si>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</si>
  <si>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</si>
  <si>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</si>
  <si>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</si>
  <si>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</si>
  <si>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</si>
  <si>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</si>
  <si>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</si>
  <si>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</si>
  <si>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</si>
  <si>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</si>
  <si>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</si>
  <si>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</si>
  <si>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</si>
  <si>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</si>
  <si>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</si>
  <si>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</si>
  <si>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</si>
  <si>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</si>
  <si>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</si>
  <si>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</si>
  <si>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</si>
  <si>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</si>
  <si>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</si>
  <si>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</si>
  <si>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</si>
  <si>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</si>
  <si>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</si>
  <si>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</si>
  <si>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</si>
  <si>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</si>
  <si>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</si>
  <si>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</si>
  <si>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</si>
  <si>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</si>
  <si>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</si>
  <si>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</si>
  <si>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</si>
  <si>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</si>
  <si>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</si>
  <si>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</si>
  <si>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</si>
  <si>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</si>
  <si>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</si>
  <si>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</si>
  <si>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</si>
  <si>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</si>
  <si>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</si>
  <si>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</si>
  <si>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</si>
  <si>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</si>
  <si>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</si>
  <si>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</si>
  <si>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</si>
  <si>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</si>
  <si>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</si>
  <si>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</si>
  <si>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</si>
  <si>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</si>
  <si>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</si>
  <si>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</si>
  <si>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</si>
  <si>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</si>
  <si>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</si>
  <si>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</si>
  <si>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</si>
  <si>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</si>
  <si>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</si>
  <si>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</si>
  <si>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</si>
  <si>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</si>
  <si>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</si>
  <si>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</si>
  <si>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</si>
  <si>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</si>
  <si>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</si>
  <si>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</si>
  <si>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</si>
  <si>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</si>
  <si>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</si>
  <si>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</si>
  <si>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</si>
  <si>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</si>
  <si>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</si>
  <si>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</si>
  <si>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</si>
  <si>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</si>
  <si>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</si>
  <si>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</si>
  <si>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</si>
  <si>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</si>
  <si>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</si>
  <si>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</si>
  <si>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</si>
  <si>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</si>
  <si>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</si>
  <si>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</si>
  <si>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</si>
  <si>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</si>
  <si>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</si>
  <si>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</si>
  <si>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</si>
  <si>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</si>
  <si>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</si>
  <si>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</si>
  <si>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</si>
  <si>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</si>
  <si>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</si>
  <si>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</si>
  <si>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</si>
  <si>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</si>
  <si>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</si>
  <si>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</si>
  <si>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</si>
  <si>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</si>
  <si>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</si>
  <si>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</si>
  <si>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</si>
  <si>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</si>
  <si>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</si>
  <si>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</si>
  <si>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</si>
  <si>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</si>
  <si>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</si>
  <si>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</si>
  <si>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</si>
  <si>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</si>
  <si>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</si>
  <si>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</si>
  <si>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</si>
  <si>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</si>
  <si>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</si>
  <si>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</si>
  <si>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</si>
  <si>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</si>
  <si>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</si>
  <si>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</si>
  <si>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</si>
  <si>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</si>
  <si>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</si>
  <si>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</si>
  <si>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</si>
  <si>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</si>
  <si>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</si>
  <si>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</si>
  <si>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</si>
  <si>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</si>
  <si>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</si>
  <si>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</si>
  <si>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</si>
  <si>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</si>
  <si>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</si>
  <si>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</si>
  <si>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</si>
  <si>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</si>
  <si>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</si>
  <si>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</si>
  <si>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</si>
  <si>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</si>
  <si>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</si>
  <si>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</si>
  <si>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</si>
  <si>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</si>
  <si>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</si>
  <si>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</si>
  <si>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</si>
  <si>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</si>
  <si>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</si>
  <si>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</si>
  <si>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</si>
  <si>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</si>
  <si>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</si>
  <si>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</si>
  <si>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</si>
  <si>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</si>
  <si>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</si>
  <si>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</si>
  <si>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</si>
  <si>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</si>
  <si>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</si>
  <si>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</si>
  <si>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</si>
  <si>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</si>
  <si>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</si>
  <si>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</si>
  <si>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</si>
  <si>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</si>
  <si>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</si>
  <si>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</si>
  <si>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</si>
  <si>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</si>
  <si>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</si>
  <si>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</si>
  <si>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</si>
  <si>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</si>
  <si>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</si>
  <si>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</si>
  <si>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</si>
  <si>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</si>
  <si>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</si>
  <si>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</si>
  <si>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</si>
  <si>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3.6</t>
  </si>
  <si>
    <t>Aircon Install</t>
  </si>
  <si>
    <t>install date not confirmed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</si>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</sst>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3">
                    <c:v>24</c:v>
                  </c:pt>
                  <c:pt idx="4">
                    <c:v>14</c:v>
                  </c:pt>
                  <c:pt idx="5">
                    <c:v>8</c:v>
                  </c:pt>
                  <c:pt idx="6">
                    <c:v>3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3">
                  <c:v>46063</c:v>
                </c:pt>
                <c:pt idx="4">
                  <c:v>46062</c:v>
                </c:pt>
                <c:pt idx="5">
                  <c:v>46086</c:v>
                </c:pt>
                <c:pt idx="6">
                  <c:v>46087</c:v>
                </c:pt>
                <c:pt idx="7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406460.73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1190923.355916698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723" t="s">
        <v>0</v>
      </c>
      <c r="C2" s="723"/>
      <c r="D2" s="723"/>
      <c r="E2" s="723"/>
      <c r="H2" s="724" t="s">
        <v>1</v>
      </c>
      <c r="I2" s="725"/>
      <c r="J2" s="725"/>
      <c r="K2" s="725"/>
      <c r="L2" s="725"/>
      <c r="M2" s="725"/>
      <c r="N2" s="725"/>
      <c r="O2" s="726"/>
    </row>
    <row r="3" spans="2:15">
      <c r="B3" s="613"/>
      <c r="H3" s="727"/>
      <c r="I3" s="728"/>
      <c r="J3" s="728"/>
      <c r="K3" s="728"/>
      <c r="L3" s="728"/>
      <c r="M3" s="728"/>
      <c r="N3" s="728"/>
      <c r="O3" s="729"/>
    </row>
    <row r="4" spans="2:15">
      <c r="B4" s="614" t="s">
        <v>2</v>
      </c>
      <c r="C4" s="615" t="str">
        <f>'Project Plan'!E2</f>
        <v>7th Avenue Park</v>
      </c>
      <c r="H4" s="727"/>
      <c r="I4" s="728"/>
      <c r="J4" s="728"/>
      <c r="K4" s="728"/>
      <c r="L4" s="728"/>
      <c r="M4" s="728"/>
      <c r="N4" s="728"/>
      <c r="O4" s="729"/>
    </row>
    <row r="5" spans="2:15">
      <c r="B5" s="614" t="s">
        <v>3</v>
      </c>
      <c r="C5" s="615" t="s">
        <v>4</v>
      </c>
      <c r="H5" s="727"/>
      <c r="I5" s="728"/>
      <c r="J5" s="728"/>
      <c r="K5" s="728"/>
      <c r="L5" s="728"/>
      <c r="M5" s="728"/>
      <c r="N5" s="728"/>
      <c r="O5" s="729"/>
    </row>
    <row r="6" spans="2:15">
      <c r="B6" s="614" t="s">
        <v>5</v>
      </c>
      <c r="C6" s="615" t="s">
        <v>6</v>
      </c>
      <c r="H6" s="727"/>
      <c r="I6" s="728"/>
      <c r="J6" s="728"/>
      <c r="K6" s="728"/>
      <c r="L6" s="728"/>
      <c r="M6" s="728"/>
      <c r="N6" s="728"/>
      <c r="O6" s="729"/>
    </row>
    <row r="7" spans="2:15">
      <c r="B7" s="614" t="s">
        <v>7</v>
      </c>
      <c r="C7" s="615" t="s">
        <v>8</v>
      </c>
      <c r="H7" s="727"/>
      <c r="I7" s="728"/>
      <c r="J7" s="728"/>
      <c r="K7" s="728"/>
      <c r="L7" s="728"/>
      <c r="M7" s="728"/>
      <c r="N7" s="728"/>
      <c r="O7" s="729"/>
    </row>
    <row r="8" spans="2:15">
      <c r="B8" s="613"/>
      <c r="H8" s="727"/>
      <c r="I8" s="728"/>
      <c r="J8" s="728"/>
      <c r="K8" s="728"/>
      <c r="L8" s="728"/>
      <c r="M8" s="728"/>
      <c r="N8" s="728"/>
      <c r="O8" s="729"/>
    </row>
    <row r="9" spans="2:15">
      <c r="B9" s="733" t="s">
        <v>9</v>
      </c>
      <c r="C9" s="733"/>
      <c r="D9" s="733"/>
      <c r="E9" s="733"/>
      <c r="H9" s="727"/>
      <c r="I9" s="728"/>
      <c r="J9" s="728"/>
      <c r="K9" s="728"/>
      <c r="L9" s="728"/>
      <c r="M9" s="728"/>
      <c r="N9" s="728"/>
      <c r="O9" s="729"/>
    </row>
    <row r="10" spans="2:15" ht="15" thickBot="1">
      <c r="B10" s="733" t="s">
        <v>10</v>
      </c>
      <c r="C10" s="733"/>
      <c r="D10" s="733"/>
      <c r="E10" s="733"/>
      <c r="H10" s="730"/>
      <c r="I10" s="731"/>
      <c r="J10" s="731"/>
      <c r="K10" s="731"/>
      <c r="L10" s="731"/>
      <c r="M10" s="731"/>
      <c r="N10" s="731"/>
      <c r="O10" s="732"/>
    </row>
    <row r="11" spans="2:15">
      <c r="B11" s="616" t="s">
        <v>11</v>
      </c>
      <c r="C11" s="721"/>
      <c r="D11" s="721"/>
      <c r="E11" s="721"/>
    </row>
    <row r="12" spans="2:15">
      <c r="B12" s="616" t="s">
        <v>12</v>
      </c>
      <c r="C12" s="721"/>
      <c r="D12" s="721"/>
      <c r="E12" s="721"/>
    </row>
    <row r="13" spans="2:15">
      <c r="B13" s="616" t="s">
        <v>13</v>
      </c>
      <c r="C13" s="721"/>
      <c r="D13" s="721"/>
      <c r="E13" s="721"/>
    </row>
    <row r="14" spans="2:15">
      <c r="B14" s="616" t="s">
        <v>14</v>
      </c>
      <c r="C14" s="721"/>
      <c r="D14" s="721"/>
      <c r="E14" s="721"/>
    </row>
    <row r="15" spans="2:15">
      <c r="B15" s="616" t="s">
        <v>15</v>
      </c>
      <c r="C15" s="721"/>
      <c r="D15" s="721"/>
      <c r="E15" s="721"/>
    </row>
    <row r="16" spans="2:15" ht="15" customHeight="1">
      <c r="B16" s="616" t="s">
        <v>16</v>
      </c>
      <c r="C16" s="721"/>
      <c r="D16" s="721"/>
      <c r="E16" s="721"/>
    </row>
    <row r="17" spans="2:5">
      <c r="B17" s="613"/>
    </row>
    <row r="18" spans="2:5">
      <c r="B18" s="722" t="s">
        <v>17</v>
      </c>
      <c r="C18" s="722"/>
      <c r="D18" s="722"/>
      <c r="E18" s="722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723" t="s">
        <v>22</v>
      </c>
      <c r="C2" s="723"/>
      <c r="D2" s="723"/>
      <c r="E2" s="723"/>
      <c r="H2" s="724" t="s">
        <v>23</v>
      </c>
      <c r="I2" s="725"/>
      <c r="J2" s="725"/>
      <c r="K2" s="725"/>
      <c r="L2" s="725"/>
      <c r="M2" s="725"/>
      <c r="N2" s="725"/>
      <c r="O2" s="726"/>
    </row>
    <row r="3" spans="2:15">
      <c r="B3" s="613"/>
      <c r="H3" s="727"/>
      <c r="I3" s="728"/>
      <c r="J3" s="728"/>
      <c r="K3" s="728"/>
      <c r="L3" s="728"/>
      <c r="M3" s="728"/>
      <c r="N3" s="728"/>
      <c r="O3" s="729"/>
    </row>
    <row r="4" spans="2:15">
      <c r="B4" s="614" t="s">
        <v>2</v>
      </c>
      <c r="C4" s="615" t="str">
        <f>'Project Plan'!E2</f>
        <v>7th Avenue Park</v>
      </c>
      <c r="H4" s="727"/>
      <c r="I4" s="728"/>
      <c r="J4" s="728"/>
      <c r="K4" s="728"/>
      <c r="L4" s="728"/>
      <c r="M4" s="728"/>
      <c r="N4" s="728"/>
      <c r="O4" s="729"/>
    </row>
    <row r="5" spans="2:15">
      <c r="B5" s="614" t="s">
        <v>24</v>
      </c>
      <c r="C5" s="615"/>
      <c r="H5" s="727"/>
      <c r="I5" s="728"/>
      <c r="J5" s="728"/>
      <c r="K5" s="728"/>
      <c r="L5" s="728"/>
      <c r="M5" s="728"/>
      <c r="N5" s="728"/>
      <c r="O5" s="729"/>
    </row>
    <row r="6" spans="2:15">
      <c r="B6" s="614" t="s">
        <v>5</v>
      </c>
      <c r="C6" s="615" t="s">
        <v>6</v>
      </c>
      <c r="H6" s="727"/>
      <c r="I6" s="728"/>
      <c r="J6" s="728"/>
      <c r="K6" s="728"/>
      <c r="L6" s="728"/>
      <c r="M6" s="728"/>
      <c r="N6" s="728"/>
      <c r="O6" s="729"/>
    </row>
    <row r="7" spans="2:15">
      <c r="B7" s="614" t="s">
        <v>25</v>
      </c>
      <c r="C7" s="615" t="str">
        <f>'Project Plan'!E5</f>
        <v>Justin Franke</v>
      </c>
      <c r="H7" s="727"/>
      <c r="I7" s="728"/>
      <c r="J7" s="728"/>
      <c r="K7" s="728"/>
      <c r="L7" s="728"/>
      <c r="M7" s="728"/>
      <c r="N7" s="728"/>
      <c r="O7" s="729"/>
    </row>
    <row r="8" spans="2:15">
      <c r="B8" s="614" t="s">
        <v>26</v>
      </c>
      <c r="C8" s="615"/>
      <c r="H8" s="727"/>
      <c r="I8" s="728"/>
      <c r="J8" s="728"/>
      <c r="K8" s="728"/>
      <c r="L8" s="728"/>
      <c r="M8" s="728"/>
      <c r="N8" s="728"/>
      <c r="O8" s="729"/>
    </row>
    <row r="9" spans="2:15">
      <c r="B9" s="613"/>
      <c r="H9" s="727"/>
      <c r="I9" s="728"/>
      <c r="J9" s="728"/>
      <c r="K9" s="728"/>
      <c r="L9" s="728"/>
      <c r="M9" s="728"/>
      <c r="N9" s="728"/>
      <c r="O9" s="729"/>
    </row>
    <row r="10" spans="2:15">
      <c r="B10" s="733" t="s">
        <v>9</v>
      </c>
      <c r="C10" s="733"/>
      <c r="D10" s="733"/>
      <c r="E10" s="733"/>
      <c r="H10" s="727"/>
      <c r="I10" s="728"/>
      <c r="J10" s="728"/>
      <c r="K10" s="728"/>
      <c r="L10" s="728"/>
      <c r="M10" s="728"/>
      <c r="N10" s="728"/>
      <c r="O10" s="729"/>
    </row>
    <row r="11" spans="2:15" ht="15" thickBot="1">
      <c r="B11" s="733" t="s">
        <v>10</v>
      </c>
      <c r="C11" s="733"/>
      <c r="D11" s="733"/>
      <c r="E11" s="733"/>
      <c r="H11" s="730"/>
      <c r="I11" s="731"/>
      <c r="J11" s="731"/>
      <c r="K11" s="731"/>
      <c r="L11" s="731"/>
      <c r="M11" s="731"/>
      <c r="N11" s="731"/>
      <c r="O11" s="732"/>
    </row>
    <row r="12" spans="2:15" ht="26.4">
      <c r="B12" s="616" t="s">
        <v>27</v>
      </c>
      <c r="C12" s="721"/>
      <c r="D12" s="721"/>
      <c r="E12" s="721"/>
    </row>
    <row r="13" spans="2:15">
      <c r="B13" s="616" t="s">
        <v>28</v>
      </c>
      <c r="C13" s="721"/>
      <c r="D13" s="721"/>
      <c r="E13" s="721"/>
    </row>
    <row r="14" spans="2:15">
      <c r="B14" s="616" t="s">
        <v>29</v>
      </c>
      <c r="C14" s="721"/>
      <c r="D14" s="721"/>
      <c r="E14" s="721"/>
    </row>
    <row r="15" spans="2:15">
      <c r="B15" s="616" t="s">
        <v>30</v>
      </c>
      <c r="C15" s="721"/>
      <c r="D15" s="721"/>
      <c r="E15" s="721"/>
    </row>
    <row r="16" spans="2:15" ht="26.4">
      <c r="B16" s="616" t="s">
        <v>31</v>
      </c>
      <c r="C16" s="721"/>
      <c r="D16" s="721"/>
      <c r="E16" s="721"/>
    </row>
    <row r="17" spans="2:5">
      <c r="B17" s="616" t="s">
        <v>32</v>
      </c>
      <c r="C17" s="721"/>
      <c r="D17" s="721"/>
      <c r="E17" s="721"/>
    </row>
    <row r="18" spans="2:5">
      <c r="B18" s="616" t="s">
        <v>33</v>
      </c>
      <c r="C18" s="721"/>
      <c r="D18" s="721"/>
      <c r="E18" s="721"/>
    </row>
    <row r="19" spans="2:5">
      <c r="B19" s="616" t="s">
        <v>34</v>
      </c>
      <c r="C19" s="721"/>
      <c r="D19" s="721"/>
      <c r="E19" s="721"/>
    </row>
    <row r="20" spans="2:5">
      <c r="B20" s="616" t="s">
        <v>35</v>
      </c>
      <c r="C20" s="721"/>
      <c r="D20" s="721"/>
      <c r="E20" s="721"/>
    </row>
    <row r="21" spans="2:5">
      <c r="B21" s="616" t="s">
        <v>36</v>
      </c>
      <c r="C21" s="721"/>
      <c r="D21" s="721"/>
      <c r="E21" s="721"/>
    </row>
    <row r="22" spans="2:5" ht="15" customHeight="1">
      <c r="B22" s="616" t="s">
        <v>16</v>
      </c>
      <c r="C22" s="721"/>
      <c r="D22" s="721"/>
      <c r="E22" s="721"/>
    </row>
    <row r="23" spans="2:5">
      <c r="B23" s="613"/>
    </row>
    <row r="24" spans="2:5">
      <c r="B24" s="722" t="s">
        <v>17</v>
      </c>
      <c r="C24" s="722"/>
      <c r="D24" s="722"/>
      <c r="E24" s="722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36"/>
      <c r="C1" s="737"/>
      <c r="D1" s="737"/>
      <c r="E1" s="737"/>
      <c r="F1" s="734" t="s">
        <v>37</v>
      </c>
      <c r="G1" s="734"/>
      <c r="H1" s="734"/>
      <c r="I1" s="734"/>
      <c r="J1" s="734"/>
      <c r="K1" s="735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5546875" style="4" customWidth="1"/>
    <col min="4" max="4" width="32.5546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738" t="s">
        <v>105</v>
      </c>
      <c r="C2" s="739"/>
      <c r="D2" s="739"/>
      <c r="E2" s="739"/>
      <c r="F2" s="740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38" t="s">
        <v>114</v>
      </c>
      <c r="C16" s="739"/>
      <c r="D16" s="739"/>
      <c r="E16" s="739"/>
      <c r="F16" s="740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zoomScale="115" zoomScaleNormal="115" workbookViewId="0">
      <selection activeCell="R21" sqref="R21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3" width="28.554687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5546875" style="43" bestFit="1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112.44140625" style="43" customWidth="1"/>
    <col min="20" max="20" width="4.44140625" style="43" customWidth="1"/>
    <col min="21" max="21" width="18.5546875" style="43" bestFit="1" customWidth="1"/>
    <col min="22" max="22" width="15.5546875" style="24" bestFit="1" customWidth="1"/>
    <col min="23" max="23" width="17.44140625" style="24" bestFit="1" customWidth="1"/>
    <col min="24" max="24" width="14.5546875" style="24" bestFit="1" customWidth="1"/>
    <col min="25" max="25" width="5.5546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5546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.2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.2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.2">
      <c r="B13" s="587">
        <v>1</v>
      </c>
      <c r="C13" s="743" t="s">
        <v>145</v>
      </c>
      <c r="D13" s="744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743" t="s">
        <v>147</v>
      </c>
      <c r="D15" s="744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2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2">
      <c r="B17" s="587">
        <v>3</v>
      </c>
      <c r="C17" s="743" t="s">
        <v>149</v>
      </c>
      <c r="D17" s="744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2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2">
      <c r="B19" s="587">
        <v>4</v>
      </c>
      <c r="C19" s="741" t="s">
        <v>150</v>
      </c>
      <c r="D19" s="742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.2">
      <c r="B20" s="587">
        <v>5</v>
      </c>
      <c r="C20" s="741" t="s">
        <v>151</v>
      </c>
      <c r="D20" s="742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.2">
      <c r="B21" s="587">
        <v>6</v>
      </c>
      <c r="C21" s="741" t="s">
        <v>152</v>
      </c>
      <c r="D21" s="742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3.2">
      <c r="B22" s="587">
        <v>7</v>
      </c>
      <c r="C22" s="743" t="s">
        <v>152</v>
      </c>
      <c r="D22" s="744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2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3.2">
      <c r="C27" s="59" t="s">
        <v>155</v>
      </c>
      <c r="D27" s="60"/>
      <c r="F27" s="61"/>
      <c r="L27" s="541"/>
    </row>
    <row r="28" spans="2:20" s="24" customFormat="1" ht="13.2">
      <c r="C28" s="59" t="s">
        <v>156</v>
      </c>
      <c r="D28" s="60"/>
    </row>
    <row r="29" spans="2:20" s="24" customFormat="1" ht="13.2">
      <c r="C29" s="62" t="s">
        <v>157</v>
      </c>
      <c r="D29" s="63"/>
    </row>
    <row r="30" spans="2:20" s="24" customFormat="1" ht="13.2">
      <c r="C30" s="64" t="s">
        <v>158</v>
      </c>
      <c r="D30" s="60"/>
    </row>
    <row r="31" spans="2:20" s="24" customFormat="1" ht="13.2">
      <c r="B31" s="31"/>
      <c r="C31" s="64" t="s">
        <v>159</v>
      </c>
      <c r="D31" s="60"/>
    </row>
    <row r="32" spans="2:20" s="24" customFormat="1" ht="13.2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3.2">
      <c r="B34" s="31"/>
      <c r="F34" s="58"/>
      <c r="N34" s="541"/>
    </row>
    <row r="35" spans="2:14" s="24" customFormat="1" ht="13.2">
      <c r="B35" s="31"/>
      <c r="F35" s="58"/>
    </row>
    <row r="36" spans="2:14" s="24" customFormat="1" ht="13.2">
      <c r="B36" s="31"/>
      <c r="F36" s="58"/>
    </row>
    <row r="37" spans="2:14" s="24" customFormat="1" ht="13.2">
      <c r="B37" s="31"/>
      <c r="F37" s="58"/>
    </row>
    <row r="38" spans="2:14" s="24" customFormat="1" ht="13.2">
      <c r="B38" s="31"/>
    </row>
    <row r="39" spans="2:14" s="24" customFormat="1" ht="13.2">
      <c r="B39" s="31"/>
    </row>
    <row r="40" spans="2:14" s="24" customFormat="1" ht="13.2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3.2">
      <c r="B52" s="31"/>
    </row>
    <row r="53" spans="2:6" s="24" customFormat="1" ht="13.2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opLeftCell="A16" zoomScaleNormal="100" workbookViewId="0">
      <selection activeCell="E18" sqref="E18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44140625" style="26" customWidth="1"/>
    <col min="20" max="22" width="12.5546875" style="26" customWidth="1"/>
    <col min="23" max="23" width="8.44140625" style="26"/>
    <col min="24" max="25" width="10.441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745" t="s">
        <v>167</v>
      </c>
      <c r="J2" s="746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4" thickBot="1">
      <c r="B3" s="91"/>
      <c r="C3" s="92" t="s">
        <v>168</v>
      </c>
      <c r="D3" s="90"/>
      <c r="E3" s="312">
        <v>178</v>
      </c>
      <c r="F3" s="93"/>
      <c r="G3" s="94"/>
      <c r="H3" s="94"/>
      <c r="I3" s="745" t="s">
        <v>169</v>
      </c>
      <c r="J3" s="746"/>
      <c r="K3" s="585">
        <f>K2/5</f>
        <v>5</v>
      </c>
      <c r="Q3" s="1"/>
    </row>
    <row r="4" spans="2:28" s="26" customFormat="1" ht="14.4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745" t="s">
        <v>172</v>
      </c>
      <c r="J4" s="746"/>
      <c r="K4" s="586">
        <f>E3/K3</f>
        <v>35.6</v>
      </c>
      <c r="Q4" s="1"/>
    </row>
    <row r="5" spans="2:28" s="26" customFormat="1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749" t="s">
        <v>135</v>
      </c>
      <c r="C8" s="750" t="s">
        <v>180</v>
      </c>
      <c r="D8" s="126"/>
      <c r="E8" s="751" t="s">
        <v>181</v>
      </c>
      <c r="F8" s="148" t="s">
        <v>182</v>
      </c>
      <c r="G8" s="751" t="s">
        <v>183</v>
      </c>
      <c r="H8" s="149"/>
      <c r="I8" s="751" t="s">
        <v>184</v>
      </c>
      <c r="J8" s="148" t="s">
        <v>182</v>
      </c>
      <c r="K8" s="751" t="s">
        <v>185</v>
      </c>
      <c r="M8" s="582" t="s">
        <v>44</v>
      </c>
      <c r="N8" s="583" t="s">
        <v>186</v>
      </c>
      <c r="O8" s="747" t="s">
        <v>187</v>
      </c>
      <c r="Z8" s="26"/>
      <c r="AA8" s="26"/>
      <c r="AB8" s="26"/>
    </row>
    <row r="9" spans="2:28">
      <c r="B9" s="749"/>
      <c r="C9" s="750"/>
      <c r="D9" s="126"/>
      <c r="E9" s="751"/>
      <c r="F9" s="40">
        <f>G44-E23</f>
        <v>29</v>
      </c>
      <c r="G9" s="751"/>
      <c r="H9" s="149"/>
      <c r="I9" s="751"/>
      <c r="J9" s="41">
        <f>K44-I23</f>
        <v>32</v>
      </c>
      <c r="K9" s="751"/>
      <c r="M9" s="265">
        <f>AVERAGE(M11,M22,M25,M33,M40,M44,M53,M49)</f>
        <v>0.58454730576441105</v>
      </c>
      <c r="N9" s="265">
        <f ca="1">AVERAGE(N11,N22,N25,N33,N40,N44,N53,N49)</f>
        <v>0.92737610735664766</v>
      </c>
      <c r="O9" s="748"/>
      <c r="S9" s="584">
        <f ca="1">TODAY()</f>
        <v>46090</v>
      </c>
      <c r="T9" s="584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 t="str">
        <f>C33</f>
        <v>DC Works</v>
      </c>
      <c r="T16" s="536">
        <f>I33</f>
        <v>46063</v>
      </c>
      <c r="U16" s="537">
        <f>J33</f>
        <v>24</v>
      </c>
      <c r="V16" s="536">
        <f>K33</f>
        <v>46087</v>
      </c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 t="str">
        <f>C40</f>
        <v>Module installation</v>
      </c>
      <c r="T17" s="536">
        <f>I40</f>
        <v>46062</v>
      </c>
      <c r="U17" s="537">
        <f>J40</f>
        <v>14</v>
      </c>
      <c r="V17" s="536">
        <f>K40</f>
        <v>46076</v>
      </c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 t="str">
        <f>C44</f>
        <v>Commissioning</v>
      </c>
      <c r="T18" s="536">
        <f>I44</f>
        <v>46086</v>
      </c>
      <c r="U18" s="537">
        <f>J44</f>
        <v>8</v>
      </c>
      <c r="V18" s="536">
        <f>K44</f>
        <v>46094</v>
      </c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 t="str">
        <f>C49</f>
        <v>QA Inspections</v>
      </c>
      <c r="T19" s="536">
        <f>I49</f>
        <v>46087</v>
      </c>
      <c r="U19" s="537">
        <f>J49</f>
        <v>3</v>
      </c>
      <c r="V19" s="536">
        <f>K49</f>
        <v>46090</v>
      </c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C53</f>
        <v>Project Closure</v>
      </c>
      <c r="T20" s="536">
        <f>I53</f>
        <v>46088</v>
      </c>
      <c r="U20" s="537">
        <f>J53</f>
        <v>11</v>
      </c>
      <c r="V20" s="536">
        <f>K53</f>
        <v>46099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U21" s="35"/>
      <c r="V21" s="35"/>
    </row>
    <row r="22" spans="2:28" s="28" customFormat="1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35"/>
      <c r="T23" s="35"/>
      <c r="U23" s="35"/>
      <c r="V23" s="35"/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35"/>
      <c r="T24" s="35"/>
      <c r="U24" s="35"/>
      <c r="V24" s="35"/>
    </row>
    <row r="25" spans="2:28" s="28" customFormat="1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1</v>
      </c>
      <c r="O25" s="33"/>
      <c r="P25" s="26"/>
      <c r="Q25" s="37"/>
      <c r="R25" s="32"/>
      <c r="S25" s="35"/>
      <c r="T25" s="35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223</v>
      </c>
      <c r="C31" s="645" t="s">
        <v>224</v>
      </c>
      <c r="D31" s="663"/>
      <c r="E31" s="664"/>
      <c r="F31" s="665"/>
      <c r="G31" s="664"/>
      <c r="H31" s="666"/>
      <c r="I31" s="664">
        <v>46083</v>
      </c>
      <c r="J31" s="665">
        <v>5</v>
      </c>
      <c r="K31" s="664">
        <f>WORKDAY.INTL(I31,J31,1,Data!$C$3:$C$60)</f>
        <v>46090</v>
      </c>
      <c r="L31" s="664"/>
      <c r="M31" s="664"/>
      <c r="N31" s="664"/>
      <c r="O31" s="33" t="s">
        <v>225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  <c r="S32" s="35"/>
      <c r="T32" s="35"/>
      <c r="U32" s="35"/>
      <c r="V32" s="35"/>
    </row>
    <row r="33" spans="2:28" s="26" customFormat="1">
      <c r="B33" s="155">
        <v>4</v>
      </c>
      <c r="C33" s="156" t="s">
        <v>226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t="14.4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U34"/>
      <c r="W34" s="35"/>
      <c r="X34" s="35"/>
      <c r="Y34" s="35"/>
      <c r="Z34" s="35"/>
      <c r="AA34" s="35"/>
      <c r="AB34" s="35"/>
    </row>
    <row r="35" spans="2:28" s="26" customFormat="1">
      <c r="B35" s="157" t="s">
        <v>227</v>
      </c>
      <c r="C35" s="158" t="s">
        <v>228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229</v>
      </c>
      <c r="C36" s="158" t="s">
        <v>230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231</v>
      </c>
      <c r="C37" s="158" t="s">
        <v>232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>
      <c r="B38" s="157" t="s">
        <v>233</v>
      </c>
      <c r="C38" s="154" t="s">
        <v>234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1</v>
      </c>
      <c r="O38" s="36"/>
      <c r="S38" s="35"/>
      <c r="T38" s="35"/>
      <c r="U38" s="35"/>
      <c r="V38" s="35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>
      <c r="B40" s="155">
        <v>5</v>
      </c>
      <c r="C40" s="156" t="s">
        <v>235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236</v>
      </c>
      <c r="C41" s="158" t="s">
        <v>237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238</v>
      </c>
      <c r="C42" s="158" t="s">
        <v>239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6</v>
      </c>
      <c r="C44" s="156" t="s">
        <v>240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1</v>
      </c>
      <c r="O44" s="36"/>
      <c r="Q44" s="38"/>
      <c r="R44" s="35"/>
      <c r="W44" s="35"/>
      <c r="X44" s="35"/>
      <c r="Y44" s="35"/>
      <c r="Z44" s="35"/>
      <c r="AA44" s="35"/>
      <c r="AB44" s="35"/>
    </row>
    <row r="45" spans="2:28">
      <c r="B45" s="157" t="s">
        <v>241</v>
      </c>
      <c r="C45" s="154" t="s">
        <v>240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1</v>
      </c>
      <c r="O45" s="36"/>
      <c r="S45" s="35"/>
      <c r="T45" s="35"/>
      <c r="U45" s="35"/>
      <c r="V45" s="35"/>
      <c r="Y45" s="4"/>
    </row>
    <row r="46" spans="2:28">
      <c r="B46" s="157" t="s">
        <v>242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1</v>
      </c>
      <c r="O46" s="36"/>
      <c r="Y46" s="4"/>
    </row>
    <row r="47" spans="2:28">
      <c r="B47" s="157" t="s">
        <v>243</v>
      </c>
      <c r="C47" s="154" t="s">
        <v>244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0.42857142857142855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7</v>
      </c>
      <c r="C49" s="156" t="s">
        <v>245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1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246</v>
      </c>
      <c r="C50" s="154" t="s">
        <v>247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1</v>
      </c>
      <c r="O50" s="36"/>
      <c r="Y50" s="4"/>
    </row>
    <row r="51" spans="2:28">
      <c r="B51" s="157" t="s">
        <v>248</v>
      </c>
      <c r="C51" s="154" t="s">
        <v>249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1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>
      <c r="B53" s="155">
        <v>8</v>
      </c>
      <c r="C53" s="156" t="s">
        <v>250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0.41900885885318168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251</v>
      </c>
      <c r="C54" s="154" t="s">
        <v>252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0.66666666666666663</v>
      </c>
      <c r="O54" s="36"/>
      <c r="S54" s="1"/>
      <c r="T54" s="1"/>
      <c r="U54" s="1"/>
      <c r="V54" s="1"/>
      <c r="Y54" s="4"/>
    </row>
    <row r="55" spans="2:28">
      <c r="B55" s="157" t="s">
        <v>253</v>
      </c>
      <c r="C55" s="154" t="s">
        <v>254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255</v>
      </c>
      <c r="C56" s="154" t="s">
        <v>256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  <c r="S58" s="26"/>
      <c r="T58" s="26"/>
      <c r="U58" s="26"/>
      <c r="V58" s="26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52"/>
      <c r="C4" s="752"/>
      <c r="D4" s="752"/>
      <c r="E4" s="313"/>
      <c r="F4" s="131" t="s">
        <v>122</v>
      </c>
      <c r="G4" s="126"/>
      <c r="H4" s="131" t="s">
        <v>123</v>
      </c>
      <c r="I4" s="126"/>
      <c r="J4" s="132" t="s">
        <v>258</v>
      </c>
      <c r="K4" s="26"/>
      <c r="L4" s="26"/>
    </row>
    <row r="5" spans="1:12" ht="14.4" thickBot="1">
      <c r="A5" s="126"/>
      <c r="B5" s="753" t="s">
        <v>259</v>
      </c>
      <c r="C5" s="753"/>
      <c r="D5" s="753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135</v>
      </c>
      <c r="C7" s="137"/>
      <c r="D7" s="136" t="s">
        <v>78</v>
      </c>
      <c r="E7" s="137"/>
      <c r="F7" s="138" t="s">
        <v>260</v>
      </c>
      <c r="G7" s="139"/>
      <c r="H7" s="138" t="s">
        <v>261</v>
      </c>
      <c r="I7" s="139"/>
      <c r="J7" s="138" t="s">
        <v>262</v>
      </c>
      <c r="K7" s="84"/>
      <c r="L7" s="29" t="s">
        <v>263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85" zoomScaleNormal="85" workbookViewId="0">
      <pane ySplit="4" topLeftCell="A16" activePane="bottomLeft" state="frozen"/>
      <selection activeCell="X33" sqref="X33"/>
      <selection pane="bottomLeft" activeCell="W95" sqref="W95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55468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4.44140625" style="26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9" t="s">
        <v>265</v>
      </c>
      <c r="C2" s="670"/>
      <c r="D2" s="670"/>
      <c r="E2" s="670"/>
      <c r="F2" s="670"/>
      <c r="G2" s="670"/>
      <c r="H2" s="395"/>
      <c r="I2" s="162">
        <f>SUM(I6:I160)</f>
        <v>1533654.4012312251</v>
      </c>
      <c r="J2" s="162">
        <f>SUM(J6:J160)</f>
        <v>1879275.3951961147</v>
      </c>
      <c r="L2" s="671" t="s">
        <v>266</v>
      </c>
      <c r="M2" s="672"/>
      <c r="N2" s="672"/>
      <c r="O2" s="672"/>
      <c r="P2" s="672"/>
      <c r="Q2" s="672"/>
      <c r="R2" s="679" t="s">
        <v>267</v>
      </c>
      <c r="S2" s="680"/>
      <c r="T2" s="680"/>
      <c r="U2" s="680"/>
      <c r="V2" s="680"/>
      <c r="W2" s="681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Total Revenue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6" t="s">
        <v>278</v>
      </c>
      <c r="S4" s="497" t="s">
        <v>140</v>
      </c>
      <c r="T4" s="520" t="s">
        <v>141</v>
      </c>
      <c r="U4" s="521" t="s">
        <v>279</v>
      </c>
      <c r="V4" s="274" t="s">
        <v>280</v>
      </c>
      <c r="W4" s="520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673">
        <f>SUM(G6:G11)</f>
        <v>461648.54000000004</v>
      </c>
      <c r="J6" s="676">
        <f>F161</f>
        <v>577060.67500000005</v>
      </c>
      <c r="K6" s="289"/>
      <c r="L6" s="185">
        <v>1</v>
      </c>
      <c r="M6" s="316" t="s">
        <v>284</v>
      </c>
      <c r="N6" s="186" t="s">
        <v>285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286</v>
      </c>
      <c r="T6" s="539">
        <v>46081</v>
      </c>
      <c r="U6" s="397">
        <f t="shared" ref="U6:U11" si="0">(Q6/$X$6*$J$6)</f>
        <v>577060.67500000005</v>
      </c>
      <c r="V6" s="685">
        <f>J6-SUM(U6:U11)</f>
        <v>0</v>
      </c>
      <c r="W6" s="453">
        <v>46111</v>
      </c>
      <c r="X6" s="673">
        <f>SUM(Q6:Q11)</f>
        <v>357460</v>
      </c>
    </row>
    <row r="7" spans="1:76" ht="15" customHeight="1">
      <c r="B7" s="215">
        <v>1</v>
      </c>
      <c r="C7" s="317"/>
      <c r="D7" s="290" t="s">
        <v>287</v>
      </c>
      <c r="E7" s="291"/>
      <c r="F7" s="357"/>
      <c r="G7" s="219"/>
      <c r="H7" s="539"/>
      <c r="I7" s="674"/>
      <c r="J7" s="677"/>
      <c r="K7" s="192"/>
      <c r="L7" s="215">
        <v>1</v>
      </c>
      <c r="M7" s="217" t="s">
        <v>284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86"/>
      <c r="W7" s="454"/>
      <c r="X7" s="67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74"/>
      <c r="J8" s="677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86"/>
      <c r="W8" s="454"/>
      <c r="X8" s="67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74"/>
      <c r="J9" s="677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86"/>
      <c r="W9" s="455"/>
      <c r="X9" s="67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74"/>
      <c r="J10" s="677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86"/>
      <c r="W10" s="455"/>
      <c r="X10" s="67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75"/>
      <c r="J11" s="678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87"/>
      <c r="W11" s="456"/>
      <c r="X11" s="675"/>
      <c r="Y11" s="605" t="s">
        <v>288</v>
      </c>
      <c r="Z11" s="486" t="s">
        <v>289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290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291</v>
      </c>
      <c r="E13" s="268"/>
      <c r="F13" s="355"/>
      <c r="G13" s="200">
        <f>D162</f>
        <v>140000</v>
      </c>
      <c r="H13" s="552">
        <f>'Project Plan'!E26+60</f>
        <v>46122</v>
      </c>
      <c r="I13" s="692">
        <f>SUM(G13:G19)</f>
        <v>140000</v>
      </c>
      <c r="J13" s="695">
        <f>F162</f>
        <v>175000</v>
      </c>
      <c r="K13" s="201"/>
      <c r="L13" s="197">
        <v>2</v>
      </c>
      <c r="M13" s="319" t="s">
        <v>292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92">
        <f>SUM(Q13:Q19)</f>
        <v>137740</v>
      </c>
      <c r="Y13" s="606" t="s">
        <v>293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93"/>
      <c r="J14" s="696"/>
      <c r="K14" s="205"/>
      <c r="L14" s="202">
        <v>2</v>
      </c>
      <c r="M14" s="325" t="s">
        <v>292</v>
      </c>
      <c r="N14" s="309" t="s">
        <v>294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286</v>
      </c>
      <c r="T14" s="543">
        <f>T6</f>
        <v>46081</v>
      </c>
      <c r="U14" s="401">
        <f t="shared" si="2"/>
        <v>175000</v>
      </c>
      <c r="V14" s="689"/>
      <c r="W14" s="459">
        <f>W6</f>
        <v>46111</v>
      </c>
      <c r="X14" s="693"/>
      <c r="Y14" s="606" t="s">
        <v>295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93"/>
      <c r="J15" s="696"/>
      <c r="K15" s="205"/>
      <c r="L15" s="202">
        <v>2</v>
      </c>
      <c r="M15" s="325" t="s">
        <v>292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689"/>
      <c r="W15" s="459"/>
      <c r="X15" s="693"/>
      <c r="Y15" s="606" t="s">
        <v>296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93"/>
      <c r="J16" s="696"/>
      <c r="K16" s="205"/>
      <c r="L16" s="202">
        <v>2</v>
      </c>
      <c r="M16" s="325" t="s">
        <v>292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689"/>
      <c r="W16" s="459"/>
      <c r="X16" s="693"/>
      <c r="Y16" s="606" t="s">
        <v>297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93"/>
      <c r="J17" s="696"/>
      <c r="K17" s="205"/>
      <c r="L17" s="202">
        <v>2</v>
      </c>
      <c r="M17" s="325" t="s">
        <v>292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689"/>
      <c r="W17" s="459"/>
      <c r="X17" s="693"/>
      <c r="Y17" s="606" t="s">
        <v>298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93"/>
      <c r="J18" s="696"/>
      <c r="K18" s="205"/>
      <c r="L18" s="202">
        <v>2</v>
      </c>
      <c r="M18" s="325" t="s">
        <v>292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689"/>
      <c r="W18" s="459"/>
      <c r="X18" s="693"/>
      <c r="Y18" s="606" t="s">
        <v>299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94"/>
      <c r="J19" s="697"/>
      <c r="K19" s="210"/>
      <c r="L19" s="296">
        <v>2</v>
      </c>
      <c r="M19" s="320" t="s">
        <v>292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690"/>
      <c r="W19" s="460"/>
      <c r="X19" s="694"/>
      <c r="Y19" s="606" t="s">
        <v>300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301</v>
      </c>
      <c r="Z20" s="487">
        <v>0</v>
      </c>
    </row>
    <row r="21" spans="1:27" ht="14.25" customHeight="1">
      <c r="B21" s="185">
        <v>3</v>
      </c>
      <c r="C21" s="213" t="s">
        <v>302</v>
      </c>
      <c r="D21" s="231" t="s">
        <v>303</v>
      </c>
      <c r="E21" s="187"/>
      <c r="F21" s="336"/>
      <c r="G21" s="188">
        <f>D163</f>
        <v>151074</v>
      </c>
      <c r="H21" s="540">
        <f>'Project Plan'!E35+30</f>
        <v>46092</v>
      </c>
      <c r="I21" s="673">
        <f>SUM(G21:G26)</f>
        <v>151074</v>
      </c>
      <c r="J21" s="676">
        <f>F163</f>
        <v>188842.5</v>
      </c>
      <c r="K21" s="189"/>
      <c r="L21" s="185">
        <v>3</v>
      </c>
      <c r="M21" s="321" t="s">
        <v>304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85">
        <f>J21-SUM(U21:U26)</f>
        <v>-1.3637534284498543E-3</v>
      </c>
      <c r="W21" s="461"/>
      <c r="X21" s="673">
        <f>SUM(Q21:Q26)</f>
        <v>159371.72</v>
      </c>
      <c r="Y21" s="606" t="s">
        <v>305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74"/>
      <c r="J22" s="677"/>
      <c r="K22" s="192"/>
      <c r="L22" s="215">
        <v>3</v>
      </c>
      <c r="M22" s="322" t="s">
        <v>304</v>
      </c>
      <c r="N22" s="232" t="s">
        <v>306</v>
      </c>
      <c r="O22" s="433">
        <v>65</v>
      </c>
      <c r="P22" s="357">
        <v>31.54</v>
      </c>
      <c r="Q22" s="219">
        <v>2050.1</v>
      </c>
      <c r="R22" s="470" t="s">
        <v>307</v>
      </c>
      <c r="S22" s="500" t="s">
        <v>307</v>
      </c>
      <c r="T22" s="629">
        <v>46053</v>
      </c>
      <c r="U22" s="631">
        <v>2690.7175386759445</v>
      </c>
      <c r="V22" s="686"/>
      <c r="W22" s="630">
        <v>46053</v>
      </c>
      <c r="X22" s="674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74"/>
      <c r="J23" s="677"/>
      <c r="K23" s="192"/>
      <c r="L23" s="215">
        <v>3</v>
      </c>
      <c r="M23" s="322" t="s">
        <v>304</v>
      </c>
      <c r="N23" s="232" t="s">
        <v>308</v>
      </c>
      <c r="O23" s="433"/>
      <c r="P23" s="357"/>
      <c r="Q23" s="219">
        <f>25232.55+10437.15</f>
        <v>35669.699999999997</v>
      </c>
      <c r="R23" s="470" t="s">
        <v>309</v>
      </c>
      <c r="S23" s="500" t="s">
        <v>310</v>
      </c>
      <c r="T23" s="539">
        <v>46081</v>
      </c>
      <c r="U23" s="397">
        <f>(Q23/$X$21*$J$21)-1202.59</f>
        <v>41063.097552659907</v>
      </c>
      <c r="V23" s="686"/>
      <c r="W23" s="454">
        <f>T23+30</f>
        <v>46111</v>
      </c>
      <c r="X23" s="674"/>
      <c r="Y23" s="606" t="s">
        <v>311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74"/>
      <c r="J24" s="677"/>
      <c r="K24" s="192"/>
      <c r="L24" s="215">
        <v>3</v>
      </c>
      <c r="M24" s="322" t="s">
        <v>304</v>
      </c>
      <c r="N24" s="232" t="s">
        <v>308</v>
      </c>
      <c r="O24" s="434"/>
      <c r="P24" s="343"/>
      <c r="Q24" s="287">
        <v>87650.85</v>
      </c>
      <c r="R24" s="470" t="s">
        <v>309</v>
      </c>
      <c r="S24" s="501" t="s">
        <v>310</v>
      </c>
      <c r="T24" s="539">
        <v>46081</v>
      </c>
      <c r="U24" s="397">
        <f>(Q24/$X$21*$J$21)-2751.68</f>
        <v>101107.43403306059</v>
      </c>
      <c r="V24" s="686"/>
      <c r="W24" s="454">
        <f>T24+30</f>
        <v>46111</v>
      </c>
      <c r="X24" s="674"/>
      <c r="Y24" s="607" t="s">
        <v>312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74"/>
      <c r="J25" s="677"/>
      <c r="K25" s="192"/>
      <c r="L25" s="215">
        <v>3</v>
      </c>
      <c r="M25" s="322" t="s">
        <v>304</v>
      </c>
      <c r="N25" s="286" t="s">
        <v>313</v>
      </c>
      <c r="O25" s="434"/>
      <c r="P25" s="343"/>
      <c r="Q25" s="287">
        <v>5052.5</v>
      </c>
      <c r="R25" s="471"/>
      <c r="S25" s="501" t="s">
        <v>314</v>
      </c>
      <c r="T25" s="549">
        <v>46081</v>
      </c>
      <c r="U25" s="397">
        <f t="shared" si="3"/>
        <v>5986.8007401187615</v>
      </c>
      <c r="V25" s="686"/>
      <c r="W25" s="455">
        <v>46111</v>
      </c>
      <c r="X25" s="67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75"/>
      <c r="J26" s="678"/>
      <c r="K26" s="193"/>
      <c r="L26" s="220">
        <v>3</v>
      </c>
      <c r="M26" s="323" t="s">
        <v>304</v>
      </c>
      <c r="N26" s="233" t="s">
        <v>315</v>
      </c>
      <c r="O26" s="435"/>
      <c r="P26" s="358"/>
      <c r="Q26" s="234">
        <v>28948.57</v>
      </c>
      <c r="R26" s="472" t="s">
        <v>316</v>
      </c>
      <c r="S26" s="502" t="s">
        <v>317</v>
      </c>
      <c r="T26" s="550">
        <v>46053</v>
      </c>
      <c r="U26" s="652">
        <v>37994.451499238232</v>
      </c>
      <c r="V26" s="687"/>
      <c r="W26" s="646">
        <v>46058</v>
      </c>
      <c r="X26" s="675"/>
      <c r="Y26" s="608" t="s">
        <v>123</v>
      </c>
      <c r="Z26" s="491" t="s">
        <v>318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293</v>
      </c>
      <c r="D28" s="198" t="s">
        <v>319</v>
      </c>
      <c r="E28" s="268">
        <v>2813</v>
      </c>
      <c r="F28" s="355"/>
      <c r="G28" s="200">
        <v>39382</v>
      </c>
      <c r="H28" s="552">
        <f>'Project Plan'!E37+60</f>
        <v>46122</v>
      </c>
      <c r="I28" s="692">
        <f>SUM(G28:G42)</f>
        <v>119324.7</v>
      </c>
      <c r="J28" s="695">
        <f>F164</f>
        <v>149155.875</v>
      </c>
      <c r="K28" s="201"/>
      <c r="L28" s="197">
        <v>4</v>
      </c>
      <c r="M28" s="324" t="s">
        <v>320</v>
      </c>
      <c r="N28" s="198" t="s">
        <v>321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286</v>
      </c>
      <c r="T28" s="552">
        <f>T6</f>
        <v>46081</v>
      </c>
      <c r="U28" s="401">
        <f t="shared" ref="U28:U41" si="4">(Q28/$X$28*$J$28)</f>
        <v>66529.10394265232</v>
      </c>
      <c r="V28" s="688">
        <f>J28-SUM(U28:U42)</f>
        <v>0</v>
      </c>
      <c r="W28" s="458">
        <f>W6</f>
        <v>46111</v>
      </c>
      <c r="X28" s="692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322</v>
      </c>
      <c r="E29" s="295"/>
      <c r="F29" s="351"/>
      <c r="G29" s="516">
        <f>D164-G28</f>
        <v>79942.7</v>
      </c>
      <c r="H29" s="543">
        <f>'Project Plan'!G33</f>
        <v>46080</v>
      </c>
      <c r="I29" s="693"/>
      <c r="J29" s="696"/>
      <c r="K29" s="205"/>
      <c r="L29" s="202">
        <v>4</v>
      </c>
      <c r="M29" s="325" t="s">
        <v>320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689"/>
      <c r="W29" s="459"/>
      <c r="X29" s="693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93"/>
      <c r="J30" s="696"/>
      <c r="K30" s="205"/>
      <c r="L30" s="202">
        <v>4</v>
      </c>
      <c r="M30" s="325" t="s">
        <v>320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689"/>
      <c r="W30" s="459"/>
      <c r="X30" s="693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93"/>
      <c r="J31" s="696"/>
      <c r="K31" s="205"/>
      <c r="L31" s="202">
        <v>4</v>
      </c>
      <c r="M31" s="325" t="s">
        <v>320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689"/>
      <c r="W31" s="459"/>
      <c r="X31" s="693"/>
      <c r="Y31" s="609" t="s">
        <v>323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93"/>
      <c r="J32" s="696"/>
      <c r="K32" s="205"/>
      <c r="L32" s="202">
        <v>4</v>
      </c>
      <c r="M32" s="325" t="s">
        <v>320</v>
      </c>
      <c r="N32" s="309" t="s">
        <v>324</v>
      </c>
      <c r="O32" s="447">
        <f>Z28</f>
        <v>69550</v>
      </c>
      <c r="P32" s="448">
        <v>0.1</v>
      </c>
      <c r="Q32" s="204">
        <f>$O$32*P32</f>
        <v>6955</v>
      </c>
      <c r="R32" s="667"/>
      <c r="S32" s="505" t="s">
        <v>325</v>
      </c>
      <c r="T32" s="543">
        <v>46053</v>
      </c>
      <c r="U32" s="653">
        <v>8262.6771057347669</v>
      </c>
      <c r="V32" s="689"/>
      <c r="W32" s="647">
        <f>W91</f>
        <v>46058</v>
      </c>
      <c r="X32" s="693"/>
      <c r="Y32" s="609" t="s">
        <v>326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93"/>
      <c r="J33" s="696"/>
      <c r="K33" s="205"/>
      <c r="L33" s="202">
        <v>4</v>
      </c>
      <c r="M33" s="325" t="s">
        <v>320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691"/>
      <c r="S33" s="505" t="s">
        <v>327</v>
      </c>
      <c r="T33" s="543">
        <f t="shared" ref="T33:T39" si="6">T92</f>
        <v>46081</v>
      </c>
      <c r="U33" s="401">
        <f t="shared" si="4"/>
        <v>12394.015658602149</v>
      </c>
      <c r="V33" s="689"/>
      <c r="W33" s="647">
        <f t="shared" ref="W33:W39" si="7">W92</f>
        <v>46066</v>
      </c>
      <c r="X33" s="693"/>
      <c r="Y33" s="609" t="s">
        <v>328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93"/>
      <c r="J34" s="696"/>
      <c r="K34" s="205"/>
      <c r="L34" s="202">
        <v>4</v>
      </c>
      <c r="M34" s="325" t="s">
        <v>320</v>
      </c>
      <c r="N34" s="309" t="s">
        <v>329</v>
      </c>
      <c r="O34" s="438"/>
      <c r="P34" s="448">
        <v>0.2</v>
      </c>
      <c r="Q34" s="204">
        <f t="shared" si="5"/>
        <v>13910</v>
      </c>
      <c r="R34" s="691"/>
      <c r="S34" s="505" t="s">
        <v>330</v>
      </c>
      <c r="T34" s="543">
        <f t="shared" si="6"/>
        <v>46081</v>
      </c>
      <c r="U34" s="401">
        <f t="shared" si="4"/>
        <v>16525.354211469534</v>
      </c>
      <c r="V34" s="689"/>
      <c r="W34" s="459">
        <f t="shared" si="7"/>
        <v>46093</v>
      </c>
      <c r="X34" s="693"/>
      <c r="Y34" s="609" t="s">
        <v>331</v>
      </c>
      <c r="Z34" s="492">
        <v>0</v>
      </c>
    </row>
    <row r="35" spans="1:26" ht="14.1" customHeight="1">
      <c r="B35" s="224">
        <v>4</v>
      </c>
      <c r="C35" s="309"/>
      <c r="D35" s="309"/>
      <c r="E35" s="295"/>
      <c r="F35" s="351"/>
      <c r="G35" s="204"/>
      <c r="H35" s="543"/>
      <c r="I35" s="693"/>
      <c r="J35" s="696"/>
      <c r="K35" s="205"/>
      <c r="L35" s="202">
        <v>4</v>
      </c>
      <c r="M35" s="325" t="s">
        <v>320</v>
      </c>
      <c r="N35" s="309" t="s">
        <v>332</v>
      </c>
      <c r="O35" s="438"/>
      <c r="P35" s="448">
        <v>0.25</v>
      </c>
      <c r="Q35" s="204">
        <f t="shared" si="5"/>
        <v>17387.5</v>
      </c>
      <c r="R35" s="691"/>
      <c r="S35" s="505" t="s">
        <v>333</v>
      </c>
      <c r="T35" s="543">
        <f t="shared" si="6"/>
        <v>46081</v>
      </c>
      <c r="U35" s="401">
        <f t="shared" si="4"/>
        <v>20656.692764336916</v>
      </c>
      <c r="V35" s="689"/>
      <c r="W35" s="459">
        <f t="shared" si="7"/>
        <v>46093</v>
      </c>
      <c r="X35" s="693"/>
      <c r="Y35" s="609" t="s">
        <v>334</v>
      </c>
      <c r="Z35" s="492">
        <v>4250</v>
      </c>
    </row>
    <row r="36" spans="1:26" ht="13.95" customHeight="1">
      <c r="B36" s="224">
        <v>4</v>
      </c>
      <c r="C36" s="309"/>
      <c r="D36" s="309"/>
      <c r="E36" s="295"/>
      <c r="F36" s="351"/>
      <c r="G36" s="204"/>
      <c r="H36" s="543"/>
      <c r="I36" s="693"/>
      <c r="J36" s="696"/>
      <c r="K36" s="205"/>
      <c r="L36" s="202">
        <v>4</v>
      </c>
      <c r="M36" s="325" t="s">
        <v>320</v>
      </c>
      <c r="N36" s="309" t="s">
        <v>335</v>
      </c>
      <c r="O36" s="438"/>
      <c r="P36" s="448">
        <v>0.1</v>
      </c>
      <c r="Q36" s="204">
        <f t="shared" si="5"/>
        <v>6955</v>
      </c>
      <c r="R36" s="691"/>
      <c r="S36" s="505"/>
      <c r="T36" s="416">
        <f t="shared" si="6"/>
        <v>46112</v>
      </c>
      <c r="U36" s="401">
        <f t="shared" si="4"/>
        <v>8262.6771057347669</v>
      </c>
      <c r="V36" s="689"/>
      <c r="W36" s="459">
        <f t="shared" si="7"/>
        <v>46101</v>
      </c>
      <c r="X36" s="693"/>
      <c r="Y36" s="609" t="s">
        <v>336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93"/>
      <c r="J37" s="696"/>
      <c r="K37" s="205"/>
      <c r="L37" s="202">
        <v>4</v>
      </c>
      <c r="M37" s="325" t="s">
        <v>320</v>
      </c>
      <c r="N37" s="309" t="s">
        <v>337</v>
      </c>
      <c r="O37" s="438"/>
      <c r="P37" s="448">
        <v>0.1</v>
      </c>
      <c r="Q37" s="204">
        <f t="shared" si="5"/>
        <v>6955</v>
      </c>
      <c r="R37" s="691"/>
      <c r="S37" s="505"/>
      <c r="T37" s="416">
        <f t="shared" si="6"/>
        <v>46112</v>
      </c>
      <c r="U37" s="401">
        <f t="shared" si="4"/>
        <v>8262.6771057347669</v>
      </c>
      <c r="V37" s="689"/>
      <c r="W37" s="459">
        <f t="shared" si="7"/>
        <v>46097</v>
      </c>
      <c r="X37" s="693"/>
      <c r="Y37" s="609" t="s">
        <v>305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93"/>
      <c r="J38" s="696"/>
      <c r="K38" s="205"/>
      <c r="L38" s="202">
        <v>4</v>
      </c>
      <c r="M38" s="325" t="s">
        <v>320</v>
      </c>
      <c r="N38" s="309" t="s">
        <v>338</v>
      </c>
      <c r="O38" s="438"/>
      <c r="P38" s="448">
        <v>0.05</v>
      </c>
      <c r="Q38" s="204">
        <f t="shared" si="5"/>
        <v>3477.5</v>
      </c>
      <c r="R38" s="691"/>
      <c r="S38" s="505"/>
      <c r="T38" s="416">
        <f t="shared" si="6"/>
        <v>46112</v>
      </c>
      <c r="U38" s="401">
        <f t="shared" si="4"/>
        <v>4131.3385528673834</v>
      </c>
      <c r="V38" s="689"/>
      <c r="W38" s="459">
        <f t="shared" si="7"/>
        <v>46097</v>
      </c>
      <c r="X38" s="693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93"/>
      <c r="J39" s="696"/>
      <c r="K39" s="205"/>
      <c r="L39" s="202">
        <v>4</v>
      </c>
      <c r="M39" s="325" t="s">
        <v>320</v>
      </c>
      <c r="N39" s="309" t="s">
        <v>339</v>
      </c>
      <c r="O39" s="438"/>
      <c r="P39" s="448">
        <v>0.05</v>
      </c>
      <c r="Q39" s="204">
        <f t="shared" si="5"/>
        <v>3477.5</v>
      </c>
      <c r="R39" s="668"/>
      <c r="S39" s="505"/>
      <c r="T39" s="416">
        <f t="shared" si="6"/>
        <v>46112</v>
      </c>
      <c r="U39" s="401">
        <f t="shared" si="4"/>
        <v>4131.3385528673834</v>
      </c>
      <c r="V39" s="689"/>
      <c r="W39" s="459">
        <f t="shared" si="7"/>
        <v>46120</v>
      </c>
      <c r="X39" s="693"/>
      <c r="Y39" s="610" t="s">
        <v>312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93"/>
      <c r="J40" s="696"/>
      <c r="K40" s="205"/>
      <c r="L40" s="202">
        <v>4</v>
      </c>
      <c r="M40" s="325" t="s">
        <v>320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689"/>
      <c r="W40" s="459"/>
      <c r="X40" s="69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93"/>
      <c r="J41" s="696"/>
      <c r="K41" s="205"/>
      <c r="L41" s="202">
        <v>4</v>
      </c>
      <c r="M41" s="325" t="s">
        <v>320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689"/>
      <c r="W41" s="459"/>
      <c r="X41" s="69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94"/>
      <c r="J42" s="697"/>
      <c r="K42" s="210"/>
      <c r="L42" s="206">
        <v>4</v>
      </c>
      <c r="M42" s="326" t="s">
        <v>320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690"/>
      <c r="W42" s="460"/>
      <c r="X42" s="694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340</v>
      </c>
      <c r="D44" s="231" t="s">
        <v>341</v>
      </c>
      <c r="E44" s="187"/>
      <c r="F44" s="336"/>
      <c r="G44" s="188">
        <v>26000</v>
      </c>
      <c r="H44" s="540">
        <f>H52</f>
        <v>46095</v>
      </c>
      <c r="I44" s="673">
        <f>D166</f>
        <v>49000</v>
      </c>
      <c r="J44" s="676">
        <f>F166</f>
        <v>61250</v>
      </c>
      <c r="K44" s="189"/>
      <c r="L44" s="185">
        <v>5</v>
      </c>
      <c r="M44" s="321" t="s">
        <v>342</v>
      </c>
      <c r="N44" s="231" t="s">
        <v>341</v>
      </c>
      <c r="O44" s="432"/>
      <c r="P44" s="336"/>
      <c r="Q44" s="188">
        <v>8598.34</v>
      </c>
      <c r="R44" s="477"/>
      <c r="S44" s="507" t="s">
        <v>286</v>
      </c>
      <c r="T44" s="539">
        <f>T14</f>
        <v>46081</v>
      </c>
      <c r="U44" s="396">
        <f>(Q44/$X$44*$J$44)</f>
        <v>15603.544132705065</v>
      </c>
      <c r="V44" s="685">
        <f>J44-SUM(U44:U50)</f>
        <v>2586.8910579509684</v>
      </c>
      <c r="W44" s="461">
        <f>W14</f>
        <v>46111</v>
      </c>
      <c r="X44" s="673">
        <f>SUM(Q44:Q50)</f>
        <v>33751.839999999997</v>
      </c>
    </row>
    <row r="45" spans="1:26" ht="14.25" customHeight="1">
      <c r="B45" s="190">
        <v>5</v>
      </c>
      <c r="C45" s="214"/>
      <c r="D45" s="217" t="s">
        <v>343</v>
      </c>
      <c r="E45" s="349"/>
      <c r="F45" s="350"/>
      <c r="G45" s="219">
        <v>8000</v>
      </c>
      <c r="H45" s="539">
        <f>H44</f>
        <v>46095</v>
      </c>
      <c r="I45" s="674"/>
      <c r="J45" s="677"/>
      <c r="K45" s="192"/>
      <c r="L45" s="190">
        <v>5</v>
      </c>
      <c r="M45" s="327" t="s">
        <v>342</v>
      </c>
      <c r="N45" s="191" t="s">
        <v>344</v>
      </c>
      <c r="O45" s="440"/>
      <c r="P45" s="350"/>
      <c r="Q45" s="219">
        <v>13984.5</v>
      </c>
      <c r="R45" s="470" t="s">
        <v>345</v>
      </c>
      <c r="S45" s="500" t="s">
        <v>346</v>
      </c>
      <c r="T45" s="629">
        <v>46053</v>
      </c>
      <c r="U45" s="654">
        <v>22791.003154631213</v>
      </c>
      <c r="V45" s="686"/>
      <c r="W45" s="630">
        <v>46079</v>
      </c>
      <c r="X45" s="674"/>
    </row>
    <row r="46" spans="1:26" ht="14.25" customHeight="1">
      <c r="B46" s="190">
        <v>5</v>
      </c>
      <c r="C46" s="214"/>
      <c r="D46" s="288" t="s">
        <v>347</v>
      </c>
      <c r="E46" s="218"/>
      <c r="F46" s="357"/>
      <c r="G46" s="219">
        <v>15000</v>
      </c>
      <c r="H46" s="539">
        <f>H45</f>
        <v>46095</v>
      </c>
      <c r="I46" s="674"/>
      <c r="J46" s="677"/>
      <c r="K46" s="192"/>
      <c r="L46" s="190">
        <v>5</v>
      </c>
      <c r="M46" s="327" t="s">
        <v>342</v>
      </c>
      <c r="N46" s="217" t="s">
        <v>347</v>
      </c>
      <c r="O46" s="433"/>
      <c r="P46" s="357"/>
      <c r="Q46" s="219">
        <v>11169</v>
      </c>
      <c r="R46" s="470"/>
      <c r="S46" s="500" t="s">
        <v>348</v>
      </c>
      <c r="T46" s="661">
        <v>46081</v>
      </c>
      <c r="U46" s="396">
        <f t="shared" ref="U46:U50" si="8">(Q46/$X$44*$J$44)</f>
        <v>20268.561654712754</v>
      </c>
      <c r="V46" s="686"/>
      <c r="W46" s="454">
        <v>46142</v>
      </c>
      <c r="X46" s="67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74"/>
      <c r="J47" s="677"/>
      <c r="K47" s="192"/>
      <c r="L47" s="215">
        <v>5</v>
      </c>
      <c r="M47" s="327" t="s">
        <v>342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686"/>
      <c r="W47" s="454"/>
      <c r="X47" s="67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74"/>
      <c r="J48" s="677"/>
      <c r="K48" s="192"/>
      <c r="L48" s="215">
        <v>5</v>
      </c>
      <c r="M48" s="327" t="s">
        <v>342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686"/>
      <c r="W48" s="455"/>
      <c r="X48" s="67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74"/>
      <c r="J49" s="677"/>
      <c r="K49" s="192"/>
      <c r="L49" s="215">
        <v>5</v>
      </c>
      <c r="M49" s="327" t="s">
        <v>342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686"/>
      <c r="W49" s="455"/>
      <c r="X49" s="67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75"/>
      <c r="J50" s="678"/>
      <c r="K50" s="193"/>
      <c r="L50" s="220">
        <v>5</v>
      </c>
      <c r="M50" s="323" t="s">
        <v>342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687"/>
      <c r="W50" s="456"/>
      <c r="X50" s="675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290</v>
      </c>
      <c r="D52" s="199" t="s">
        <v>349</v>
      </c>
      <c r="E52" s="373"/>
      <c r="F52" s="355"/>
      <c r="G52" s="200">
        <f>D165</f>
        <v>211265.42608695652</v>
      </c>
      <c r="H52" s="552">
        <f>'Project Plan'!G28+30</f>
        <v>46095</v>
      </c>
      <c r="I52" s="692">
        <f>SUM(G52:G68)</f>
        <v>211265.42608695652</v>
      </c>
      <c r="J52" s="695">
        <f>F165</f>
        <v>264081.78260869568</v>
      </c>
      <c r="K52" s="201"/>
      <c r="L52" s="197">
        <v>6</v>
      </c>
      <c r="M52" s="330" t="s">
        <v>350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688">
        <f>J52-SUM(U52:U68)</f>
        <v>0</v>
      </c>
      <c r="W52" s="458"/>
      <c r="X52" s="692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93"/>
      <c r="J53" s="696"/>
      <c r="K53" s="205"/>
      <c r="L53" s="202">
        <v>6</v>
      </c>
      <c r="M53" s="328" t="s">
        <v>350</v>
      </c>
      <c r="N53" s="342" t="s">
        <v>98</v>
      </c>
      <c r="O53" s="438"/>
      <c r="P53" s="351"/>
      <c r="Q53" s="225">
        <v>89859.36</v>
      </c>
      <c r="R53" s="475" t="s">
        <v>351</v>
      </c>
      <c r="S53" s="505" t="s">
        <v>352</v>
      </c>
      <c r="T53" s="543">
        <v>46081</v>
      </c>
      <c r="U53" s="401">
        <f t="shared" si="9"/>
        <v>217088.32433222423</v>
      </c>
      <c r="V53" s="689"/>
      <c r="W53" s="662">
        <v>46079</v>
      </c>
      <c r="X53" s="69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93"/>
      <c r="J54" s="696"/>
      <c r="K54" s="205"/>
      <c r="L54" s="202">
        <v>6</v>
      </c>
      <c r="M54" s="328" t="s">
        <v>350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689"/>
      <c r="W54" s="459"/>
      <c r="X54" s="69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93"/>
      <c r="J55" s="696"/>
      <c r="K55" s="205"/>
      <c r="L55" s="202">
        <v>6</v>
      </c>
      <c r="M55" s="328" t="s">
        <v>350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689"/>
      <c r="W55" s="459"/>
      <c r="X55" s="69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93"/>
      <c r="J56" s="696"/>
      <c r="K56" s="205"/>
      <c r="L56" s="202">
        <v>6</v>
      </c>
      <c r="M56" s="328" t="s">
        <v>350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689"/>
      <c r="W56" s="459"/>
      <c r="X56" s="69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93"/>
      <c r="J57" s="696"/>
      <c r="K57" s="205"/>
      <c r="L57" s="202">
        <v>6</v>
      </c>
      <c r="M57" s="328" t="s">
        <v>350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689"/>
      <c r="W57" s="459"/>
      <c r="X57" s="69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93"/>
      <c r="J58" s="696"/>
      <c r="K58" s="205"/>
      <c r="L58" s="202">
        <v>6</v>
      </c>
      <c r="M58" s="328" t="s">
        <v>350</v>
      </c>
      <c r="N58" s="309" t="s">
        <v>324</v>
      </c>
      <c r="O58" s="447">
        <f>Z27</f>
        <v>19452</v>
      </c>
      <c r="P58" s="448">
        <v>0.1</v>
      </c>
      <c r="Q58" s="204">
        <f>$O$58*P58</f>
        <v>1945.2</v>
      </c>
      <c r="R58" s="667"/>
      <c r="S58" s="505" t="s">
        <v>325</v>
      </c>
      <c r="T58" s="558">
        <f>T91</f>
        <v>46053</v>
      </c>
      <c r="U58" s="653">
        <v>4699.3458276471429</v>
      </c>
      <c r="V58" s="689"/>
      <c r="W58" s="647">
        <f>W91</f>
        <v>46058</v>
      </c>
      <c r="X58" s="69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93"/>
      <c r="J59" s="696"/>
      <c r="K59" s="205"/>
      <c r="L59" s="202">
        <v>6</v>
      </c>
      <c r="M59" s="329" t="s">
        <v>350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691"/>
      <c r="S59" s="505" t="s">
        <v>327</v>
      </c>
      <c r="T59" s="558">
        <f t="shared" si="1"/>
        <v>46081</v>
      </c>
      <c r="U59" s="401">
        <f t="shared" si="9"/>
        <v>7049.0187414707143</v>
      </c>
      <c r="V59" s="689"/>
      <c r="W59" s="647">
        <f t="shared" ref="W59:W65" si="11">W92</f>
        <v>46066</v>
      </c>
      <c r="X59" s="69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93"/>
      <c r="J60" s="696"/>
      <c r="K60" s="205"/>
      <c r="L60" s="202">
        <v>6</v>
      </c>
      <c r="M60" s="329" t="s">
        <v>350</v>
      </c>
      <c r="N60" s="309" t="s">
        <v>329</v>
      </c>
      <c r="O60" s="438"/>
      <c r="P60" s="448">
        <v>0.2</v>
      </c>
      <c r="Q60" s="204">
        <f t="shared" si="10"/>
        <v>3890.4</v>
      </c>
      <c r="R60" s="691"/>
      <c r="S60" s="505" t="s">
        <v>330</v>
      </c>
      <c r="T60" s="558">
        <v>46081</v>
      </c>
      <c r="U60" s="401">
        <f t="shared" si="9"/>
        <v>9398.6916552942857</v>
      </c>
      <c r="V60" s="689"/>
      <c r="W60" s="459">
        <f t="shared" si="11"/>
        <v>46093</v>
      </c>
      <c r="X60" s="69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93"/>
      <c r="J61" s="696"/>
      <c r="K61" s="205"/>
      <c r="L61" s="202">
        <v>6</v>
      </c>
      <c r="M61" s="329" t="s">
        <v>350</v>
      </c>
      <c r="N61" s="309" t="s">
        <v>332</v>
      </c>
      <c r="O61" s="438"/>
      <c r="P61" s="448">
        <v>0.25</v>
      </c>
      <c r="Q61" s="204">
        <f t="shared" si="10"/>
        <v>4863</v>
      </c>
      <c r="R61" s="691"/>
      <c r="S61" s="505" t="s">
        <v>333</v>
      </c>
      <c r="T61" s="558">
        <v>46081</v>
      </c>
      <c r="U61" s="401">
        <f t="shared" si="9"/>
        <v>11748.364569117859</v>
      </c>
      <c r="V61" s="689"/>
      <c r="W61" s="459">
        <f t="shared" si="11"/>
        <v>46093</v>
      </c>
      <c r="X61" s="69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93"/>
      <c r="J62" s="696"/>
      <c r="K62" s="205"/>
      <c r="L62" s="202">
        <v>6</v>
      </c>
      <c r="M62" s="329" t="s">
        <v>350</v>
      </c>
      <c r="N62" s="309" t="s">
        <v>335</v>
      </c>
      <c r="O62" s="438"/>
      <c r="P62" s="448">
        <v>0.1</v>
      </c>
      <c r="Q62" s="204">
        <f t="shared" si="10"/>
        <v>1945.2</v>
      </c>
      <c r="R62" s="691"/>
      <c r="S62" s="505"/>
      <c r="T62" s="419">
        <f t="shared" si="1"/>
        <v>46112</v>
      </c>
      <c r="U62" s="401">
        <f t="shared" si="9"/>
        <v>4699.3458276471429</v>
      </c>
      <c r="V62" s="689"/>
      <c r="W62" s="459">
        <f t="shared" si="11"/>
        <v>46101</v>
      </c>
      <c r="X62" s="69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93"/>
      <c r="J63" s="696"/>
      <c r="K63" s="205"/>
      <c r="L63" s="202">
        <v>6</v>
      </c>
      <c r="M63" s="329" t="s">
        <v>350</v>
      </c>
      <c r="N63" s="309" t="s">
        <v>337</v>
      </c>
      <c r="O63" s="438"/>
      <c r="P63" s="448">
        <v>0.1</v>
      </c>
      <c r="Q63" s="204">
        <f t="shared" si="10"/>
        <v>1945.2</v>
      </c>
      <c r="R63" s="691"/>
      <c r="S63" s="509"/>
      <c r="T63" s="419">
        <f t="shared" si="1"/>
        <v>46112</v>
      </c>
      <c r="U63" s="406">
        <f t="shared" si="9"/>
        <v>4699.3458276471429</v>
      </c>
      <c r="V63" s="689"/>
      <c r="W63" s="459">
        <f t="shared" si="11"/>
        <v>46097</v>
      </c>
      <c r="X63" s="69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93"/>
      <c r="J64" s="696"/>
      <c r="K64" s="205"/>
      <c r="L64" s="202">
        <v>6</v>
      </c>
      <c r="M64" s="329" t="s">
        <v>350</v>
      </c>
      <c r="N64" s="309" t="s">
        <v>338</v>
      </c>
      <c r="O64" s="438"/>
      <c r="P64" s="448">
        <v>0.05</v>
      </c>
      <c r="Q64" s="204">
        <f t="shared" si="10"/>
        <v>972.6</v>
      </c>
      <c r="R64" s="691"/>
      <c r="S64" s="509"/>
      <c r="T64" s="419">
        <f t="shared" si="1"/>
        <v>46112</v>
      </c>
      <c r="U64" s="406">
        <f t="shared" si="9"/>
        <v>2349.6729138235714</v>
      </c>
      <c r="V64" s="689"/>
      <c r="W64" s="459">
        <f t="shared" si="11"/>
        <v>46097</v>
      </c>
      <c r="X64" s="69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93"/>
      <c r="J65" s="696"/>
      <c r="K65" s="205"/>
      <c r="L65" s="202">
        <v>6</v>
      </c>
      <c r="M65" s="329" t="s">
        <v>350</v>
      </c>
      <c r="N65" s="309" t="s">
        <v>339</v>
      </c>
      <c r="O65" s="438"/>
      <c r="P65" s="448">
        <v>0.05</v>
      </c>
      <c r="Q65" s="204">
        <f t="shared" si="10"/>
        <v>972.6</v>
      </c>
      <c r="R65" s="668"/>
      <c r="S65" s="509"/>
      <c r="T65" s="419">
        <v>46112</v>
      </c>
      <c r="U65" s="406">
        <f t="shared" si="9"/>
        <v>2349.6729138235714</v>
      </c>
      <c r="V65" s="689"/>
      <c r="W65" s="459">
        <f t="shared" si="11"/>
        <v>46120</v>
      </c>
      <c r="X65" s="69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93"/>
      <c r="J66" s="696"/>
      <c r="K66" s="205"/>
      <c r="L66" s="202">
        <v>6</v>
      </c>
      <c r="M66" s="329" t="s">
        <v>350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689"/>
      <c r="W66" s="462"/>
      <c r="X66" s="69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93"/>
      <c r="J67" s="696"/>
      <c r="K67" s="205"/>
      <c r="L67" s="202">
        <v>6</v>
      </c>
      <c r="M67" s="329" t="s">
        <v>350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689"/>
      <c r="W67" s="462"/>
      <c r="X67" s="69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94"/>
      <c r="J68" s="697"/>
      <c r="K68" s="210"/>
      <c r="L68" s="206">
        <v>6</v>
      </c>
      <c r="M68" s="331" t="s">
        <v>350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690"/>
      <c r="W68" s="460"/>
      <c r="X68" s="694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353</v>
      </c>
      <c r="D70" s="282"/>
      <c r="E70" s="360"/>
      <c r="F70" s="366"/>
      <c r="G70" s="283"/>
      <c r="H70" s="556"/>
      <c r="I70" s="673">
        <f>SUM(G70:G77)</f>
        <v>0</v>
      </c>
      <c r="J70" s="676">
        <v>0</v>
      </c>
      <c r="K70" s="189"/>
      <c r="L70" s="281">
        <v>7</v>
      </c>
      <c r="M70" s="213" t="s">
        <v>354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682">
        <f>J70-SUM(U70:U77)</f>
        <v>0</v>
      </c>
      <c r="W70" s="464"/>
      <c r="X70" s="67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74"/>
      <c r="J71" s="677"/>
      <c r="K71" s="192"/>
      <c r="L71" s="284">
        <v>7</v>
      </c>
      <c r="M71" s="285" t="s">
        <v>354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683"/>
      <c r="W71" s="455"/>
      <c r="X71" s="67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74"/>
      <c r="J72" s="677"/>
      <c r="K72" s="192"/>
      <c r="L72" s="284">
        <v>7</v>
      </c>
      <c r="M72" s="285" t="s">
        <v>354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683"/>
      <c r="W72" s="455"/>
      <c r="X72" s="67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74"/>
      <c r="J73" s="677"/>
      <c r="K73" s="192"/>
      <c r="L73" s="284">
        <v>7</v>
      </c>
      <c r="M73" s="285" t="s">
        <v>354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683"/>
      <c r="W73" s="455"/>
      <c r="X73" s="67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74"/>
      <c r="J74" s="677"/>
      <c r="K74" s="192"/>
      <c r="L74" s="284">
        <v>7</v>
      </c>
      <c r="M74" s="285" t="s">
        <v>354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683"/>
      <c r="W74" s="455"/>
      <c r="X74" s="67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74"/>
      <c r="J75" s="677"/>
      <c r="K75" s="192"/>
      <c r="L75" s="284">
        <v>7</v>
      </c>
      <c r="M75" s="285" t="s">
        <v>354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683"/>
      <c r="W75" s="455"/>
      <c r="X75" s="67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74"/>
      <c r="J76" s="677"/>
      <c r="K76" s="192"/>
      <c r="L76" s="284">
        <v>7</v>
      </c>
      <c r="M76" s="285" t="s">
        <v>354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683"/>
      <c r="W76" s="455"/>
      <c r="X76" s="67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75"/>
      <c r="J77" s="678"/>
      <c r="K77" s="193"/>
      <c r="L77" s="220">
        <v>7</v>
      </c>
      <c r="M77" s="241" t="s">
        <v>354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684"/>
      <c r="W77" s="456"/>
      <c r="X77" s="675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355</v>
      </c>
      <c r="D79" s="237" t="s">
        <v>356</v>
      </c>
      <c r="E79" s="361"/>
      <c r="F79" s="315"/>
      <c r="G79" s="238">
        <v>28591</v>
      </c>
      <c r="H79" s="552">
        <f>H90</f>
        <v>46077</v>
      </c>
      <c r="I79" s="692">
        <f>SUM(G79:G88)</f>
        <v>131091</v>
      </c>
      <c r="J79" s="695">
        <f>F169+F170+F184</f>
        <v>163169.30555555556</v>
      </c>
      <c r="K79" s="201"/>
      <c r="L79" s="236">
        <v>8</v>
      </c>
      <c r="M79" s="324" t="s">
        <v>357</v>
      </c>
      <c r="N79" s="237" t="s">
        <v>356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10">
        <f>J79-SUM(U79:U88)</f>
        <v>5313.3547320833895</v>
      </c>
      <c r="W79" s="458"/>
      <c r="X79" s="692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693"/>
      <c r="J80" s="696"/>
      <c r="K80" s="205"/>
      <c r="L80" s="226">
        <v>8</v>
      </c>
      <c r="M80" s="332" t="s">
        <v>357</v>
      </c>
      <c r="N80" s="239" t="s">
        <v>358</v>
      </c>
      <c r="O80" s="634">
        <v>62264.76</v>
      </c>
      <c r="P80" s="531">
        <v>0.5</v>
      </c>
      <c r="Q80" s="228">
        <f>O80*P80</f>
        <v>31132.38</v>
      </c>
      <c r="R80" s="667" t="s">
        <v>359</v>
      </c>
      <c r="S80" s="505" t="s">
        <v>360</v>
      </c>
      <c r="T80" s="543">
        <v>46053</v>
      </c>
      <c r="U80" s="653">
        <v>65745.99888605965</v>
      </c>
      <c r="V80" s="711"/>
      <c r="W80" s="642">
        <v>46051</v>
      </c>
      <c r="X80" s="693"/>
    </row>
    <row r="81" spans="1:24" ht="14.25" customHeight="1">
      <c r="B81" s="226">
        <v>8</v>
      </c>
      <c r="C81" s="227"/>
      <c r="D81" s="239" t="s">
        <v>361</v>
      </c>
      <c r="E81" s="314"/>
      <c r="F81" s="359"/>
      <c r="G81" s="228">
        <f>D184</f>
        <v>5000</v>
      </c>
      <c r="H81" s="543">
        <v>46081</v>
      </c>
      <c r="I81" s="693"/>
      <c r="J81" s="696"/>
      <c r="K81" s="205"/>
      <c r="L81" s="226">
        <v>8</v>
      </c>
      <c r="M81" s="332" t="s">
        <v>357</v>
      </c>
      <c r="N81" s="239" t="s">
        <v>362</v>
      </c>
      <c r="O81" s="314"/>
      <c r="P81" s="531">
        <v>0.5</v>
      </c>
      <c r="Q81" s="228">
        <v>33737.279999999999</v>
      </c>
      <c r="R81" s="668"/>
      <c r="S81" s="505" t="s">
        <v>360</v>
      </c>
      <c r="T81" s="543">
        <v>46053</v>
      </c>
      <c r="U81" s="653">
        <v>65745.99888605965</v>
      </c>
      <c r="V81" s="711"/>
      <c r="W81" s="642">
        <v>46051</v>
      </c>
      <c r="X81" s="693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93"/>
      <c r="J82" s="696"/>
      <c r="K82" s="205"/>
      <c r="L82" s="226">
        <v>8</v>
      </c>
      <c r="M82" s="332" t="s">
        <v>357</v>
      </c>
      <c r="N82" s="239" t="s">
        <v>363</v>
      </c>
      <c r="O82" s="314"/>
      <c r="P82" s="531"/>
      <c r="Q82" s="657">
        <f>O80-(Q80+Q81)</f>
        <v>-2604.9000000000015</v>
      </c>
      <c r="R82" s="656"/>
      <c r="S82" s="505" t="s">
        <v>364</v>
      </c>
      <c r="T82" s="543">
        <v>46081</v>
      </c>
      <c r="U82" s="653"/>
      <c r="V82" s="711"/>
      <c r="W82" s="458">
        <v>46081</v>
      </c>
      <c r="X82" s="693"/>
    </row>
    <row r="83" spans="1:24" ht="14.25" customHeight="1">
      <c r="B83" s="226">
        <v>8</v>
      </c>
      <c r="C83" s="227"/>
      <c r="D83" s="239" t="s">
        <v>365</v>
      </c>
      <c r="E83" s="314"/>
      <c r="F83" s="359"/>
      <c r="G83" s="228">
        <v>10000</v>
      </c>
      <c r="H83" s="543">
        <v>46081</v>
      </c>
      <c r="I83" s="693"/>
      <c r="J83" s="696"/>
      <c r="K83" s="205"/>
      <c r="L83" s="226">
        <v>8</v>
      </c>
      <c r="M83" s="332" t="s">
        <v>357</v>
      </c>
      <c r="N83" s="239" t="s">
        <v>366</v>
      </c>
      <c r="O83" s="634">
        <v>11999.13</v>
      </c>
      <c r="P83" s="531"/>
      <c r="Q83" s="228">
        <v>11999.13</v>
      </c>
      <c r="R83" s="475" t="s">
        <v>367</v>
      </c>
      <c r="S83" s="505" t="s">
        <v>368</v>
      </c>
      <c r="T83" s="543">
        <v>46081</v>
      </c>
      <c r="U83" s="401">
        <f t="shared" ref="U83:U88" si="13">(Q83/$X$79*$J$79)</f>
        <v>26363.953051352863</v>
      </c>
      <c r="V83" s="711"/>
      <c r="W83" s="660">
        <v>46079</v>
      </c>
      <c r="X83" s="69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93"/>
      <c r="J84" s="696"/>
      <c r="K84" s="205"/>
      <c r="L84" s="226">
        <v>8</v>
      </c>
      <c r="M84" s="332" t="s">
        <v>357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711"/>
      <c r="W84" s="458"/>
      <c r="X84" s="69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93"/>
      <c r="J85" s="696"/>
      <c r="K85" s="205"/>
      <c r="L85" s="226">
        <v>8</v>
      </c>
      <c r="M85" s="332" t="s">
        <v>357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11"/>
      <c r="W85" s="459"/>
      <c r="X85" s="69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93"/>
      <c r="J86" s="696"/>
      <c r="K86" s="205"/>
      <c r="L86" s="226">
        <v>8</v>
      </c>
      <c r="M86" s="332" t="s">
        <v>357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11"/>
      <c r="W86" s="459"/>
      <c r="X86" s="693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93"/>
      <c r="J87" s="696"/>
      <c r="K87" s="205"/>
      <c r="L87" s="226">
        <v>8</v>
      </c>
      <c r="M87" s="332" t="s">
        <v>357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11"/>
      <c r="W87" s="462"/>
      <c r="X87" s="693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94"/>
      <c r="J88" s="697"/>
      <c r="K88" s="210"/>
      <c r="L88" s="206">
        <v>8</v>
      </c>
      <c r="M88" s="331" t="s">
        <v>357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12"/>
      <c r="W88" s="460"/>
      <c r="X88" s="694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369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370</v>
      </c>
      <c r="D90" s="231" t="s">
        <v>371</v>
      </c>
      <c r="E90" s="218"/>
      <c r="F90" s="336"/>
      <c r="G90" s="495">
        <f>D174</f>
        <v>44530</v>
      </c>
      <c r="H90" s="540">
        <f>'Project Plan'!G25+7</f>
        <v>46077</v>
      </c>
      <c r="I90" s="704">
        <f>SUM(G90:G101)</f>
        <v>136510</v>
      </c>
      <c r="J90" s="676">
        <f>F174+F175</f>
        <v>151677.77777777778</v>
      </c>
      <c r="K90" s="192"/>
      <c r="L90" s="215">
        <v>9</v>
      </c>
      <c r="M90" s="322" t="s">
        <v>372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685">
        <f>J90-SUM(U90:U101)</f>
        <v>0</v>
      </c>
      <c r="W90" s="461"/>
      <c r="X90" s="673">
        <f>SUM(Q90:Q101)</f>
        <v>152000</v>
      </c>
    </row>
    <row r="91" spans="1:24" ht="15" customHeight="1">
      <c r="B91" s="215">
        <v>9</v>
      </c>
      <c r="C91" s="341"/>
      <c r="D91" s="232" t="s">
        <v>373</v>
      </c>
      <c r="E91" s="218"/>
      <c r="F91" s="357"/>
      <c r="G91" s="495">
        <f>D175</f>
        <v>91980</v>
      </c>
      <c r="H91" s="539">
        <f>'Project Plan'!G33+7</f>
        <v>46087</v>
      </c>
      <c r="I91" s="705"/>
      <c r="J91" s="677"/>
      <c r="K91" s="192"/>
      <c r="L91" s="215">
        <v>9</v>
      </c>
      <c r="M91" s="322" t="s">
        <v>372</v>
      </c>
      <c r="N91" s="232" t="s">
        <v>324</v>
      </c>
      <c r="O91" s="450">
        <f>Z30+Z29</f>
        <v>152000</v>
      </c>
      <c r="P91" s="451">
        <v>0.1</v>
      </c>
      <c r="Q91" s="219">
        <f>$O$91*P91</f>
        <v>15200</v>
      </c>
      <c r="R91" s="716"/>
      <c r="S91" s="500" t="s">
        <v>325</v>
      </c>
      <c r="T91" s="549">
        <v>46053</v>
      </c>
      <c r="U91" s="631">
        <v>15167.777777777779</v>
      </c>
      <c r="V91" s="686"/>
      <c r="W91" s="648">
        <f>'Project Plan'!K14+13</f>
        <v>46058</v>
      </c>
      <c r="X91" s="67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05"/>
      <c r="J92" s="677"/>
      <c r="K92" s="192"/>
      <c r="L92" s="284">
        <v>9</v>
      </c>
      <c r="M92" s="394" t="s">
        <v>372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717"/>
      <c r="S92" s="500" t="s">
        <v>327</v>
      </c>
      <c r="T92" s="549">
        <v>46081</v>
      </c>
      <c r="U92" s="397">
        <f t="shared" si="14"/>
        <v>22751.666666666668</v>
      </c>
      <c r="V92" s="686"/>
      <c r="W92" s="659">
        <v>46066</v>
      </c>
      <c r="X92" s="67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05"/>
      <c r="J93" s="677"/>
      <c r="K93" s="192"/>
      <c r="L93" s="284">
        <v>9</v>
      </c>
      <c r="M93" s="394" t="s">
        <v>372</v>
      </c>
      <c r="N93" s="286" t="s">
        <v>329</v>
      </c>
      <c r="O93" s="434"/>
      <c r="P93" s="449">
        <v>0.2</v>
      </c>
      <c r="Q93" s="219">
        <f t="shared" si="15"/>
        <v>30400</v>
      </c>
      <c r="R93" s="717"/>
      <c r="S93" s="501" t="s">
        <v>330</v>
      </c>
      <c r="T93" s="549">
        <v>46081</v>
      </c>
      <c r="U93" s="397">
        <f t="shared" si="14"/>
        <v>30335.555555555558</v>
      </c>
      <c r="V93" s="686"/>
      <c r="W93" s="455">
        <v>46093</v>
      </c>
      <c r="X93" s="67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05"/>
      <c r="J94" s="677"/>
      <c r="K94" s="192"/>
      <c r="L94" s="284">
        <v>9</v>
      </c>
      <c r="M94" s="394" t="s">
        <v>372</v>
      </c>
      <c r="N94" s="286" t="s">
        <v>332</v>
      </c>
      <c r="O94" s="434"/>
      <c r="P94" s="449">
        <v>0.25</v>
      </c>
      <c r="Q94" s="219">
        <f t="shared" si="15"/>
        <v>38000</v>
      </c>
      <c r="R94" s="717"/>
      <c r="S94" s="501" t="s">
        <v>333</v>
      </c>
      <c r="T94" s="549">
        <v>46081</v>
      </c>
      <c r="U94" s="397">
        <f t="shared" si="14"/>
        <v>37919.444444444445</v>
      </c>
      <c r="V94" s="686"/>
      <c r="W94" s="455">
        <v>46093</v>
      </c>
      <c r="X94" s="67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05"/>
      <c r="J95" s="677"/>
      <c r="K95" s="192"/>
      <c r="L95" s="284">
        <v>9</v>
      </c>
      <c r="M95" s="394" t="s">
        <v>372</v>
      </c>
      <c r="N95" s="286" t="s">
        <v>335</v>
      </c>
      <c r="O95" s="434"/>
      <c r="P95" s="449">
        <v>0.1</v>
      </c>
      <c r="Q95" s="219">
        <f t="shared" si="15"/>
        <v>15200</v>
      </c>
      <c r="R95" s="717"/>
      <c r="S95" s="501"/>
      <c r="T95" s="412">
        <f t="shared" si="12"/>
        <v>46112</v>
      </c>
      <c r="U95" s="397">
        <f t="shared" si="14"/>
        <v>15167.777777777779</v>
      </c>
      <c r="V95" s="686"/>
      <c r="W95" s="455">
        <f>'Project Plan'!K44+7</f>
        <v>46101</v>
      </c>
      <c r="X95" s="67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05"/>
      <c r="J96" s="677"/>
      <c r="K96" s="192"/>
      <c r="L96" s="284">
        <v>9</v>
      </c>
      <c r="M96" s="394" t="s">
        <v>372</v>
      </c>
      <c r="N96" s="286" t="s">
        <v>337</v>
      </c>
      <c r="O96" s="434"/>
      <c r="P96" s="449">
        <v>0.1</v>
      </c>
      <c r="Q96" s="219">
        <f t="shared" si="15"/>
        <v>15200</v>
      </c>
      <c r="R96" s="717"/>
      <c r="S96" s="501"/>
      <c r="T96" s="412">
        <f t="shared" si="12"/>
        <v>46112</v>
      </c>
      <c r="U96" s="397">
        <f t="shared" si="14"/>
        <v>15167.777777777779</v>
      </c>
      <c r="V96" s="686"/>
      <c r="W96" s="455">
        <f>'Project Plan'!K51+7</f>
        <v>46097</v>
      </c>
      <c r="X96" s="67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05"/>
      <c r="J97" s="677"/>
      <c r="K97" s="192"/>
      <c r="L97" s="284">
        <v>9</v>
      </c>
      <c r="M97" s="394" t="s">
        <v>372</v>
      </c>
      <c r="N97" s="286" t="s">
        <v>338</v>
      </c>
      <c r="O97" s="434"/>
      <c r="P97" s="449">
        <v>0.05</v>
      </c>
      <c r="Q97" s="219">
        <f t="shared" si="15"/>
        <v>7600</v>
      </c>
      <c r="R97" s="717"/>
      <c r="S97" s="501"/>
      <c r="T97" s="412">
        <f t="shared" si="12"/>
        <v>46112</v>
      </c>
      <c r="U97" s="397">
        <f t="shared" si="14"/>
        <v>7583.8888888888896</v>
      </c>
      <c r="V97" s="686"/>
      <c r="W97" s="455">
        <f>'Project Plan'!K51+7</f>
        <v>46097</v>
      </c>
      <c r="X97" s="67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05"/>
      <c r="J98" s="677"/>
      <c r="K98" s="192"/>
      <c r="L98" s="284">
        <v>9</v>
      </c>
      <c r="M98" s="394" t="s">
        <v>372</v>
      </c>
      <c r="N98" s="286" t="s">
        <v>339</v>
      </c>
      <c r="O98" s="434"/>
      <c r="P98" s="449">
        <v>0.05</v>
      </c>
      <c r="Q98" s="219">
        <f t="shared" si="15"/>
        <v>7600</v>
      </c>
      <c r="R98" s="718"/>
      <c r="S98" s="501"/>
      <c r="T98" s="412">
        <f>T97</f>
        <v>46112</v>
      </c>
      <c r="U98" s="397">
        <f t="shared" si="14"/>
        <v>7583.8888888888896</v>
      </c>
      <c r="V98" s="686"/>
      <c r="W98" s="455">
        <f>'Project Plan'!K51+30</f>
        <v>46120</v>
      </c>
      <c r="X98" s="67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05"/>
      <c r="J99" s="677"/>
      <c r="K99" s="192"/>
      <c r="L99" s="284">
        <v>9</v>
      </c>
      <c r="M99" s="394" t="s">
        <v>372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686"/>
      <c r="W99" s="455"/>
      <c r="X99" s="67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05"/>
      <c r="J100" s="677"/>
      <c r="K100" s="192"/>
      <c r="L100" s="284">
        <v>9</v>
      </c>
      <c r="M100" s="394" t="s">
        <v>372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686"/>
      <c r="W100" s="455"/>
      <c r="X100" s="67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06"/>
      <c r="J101" s="678"/>
      <c r="K101" s="267"/>
      <c r="L101" s="220">
        <v>9</v>
      </c>
      <c r="M101" s="340" t="s">
        <v>372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687"/>
      <c r="W101" s="456"/>
      <c r="X101" s="675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374</v>
      </c>
      <c r="D103" s="174" t="s">
        <v>297</v>
      </c>
      <c r="E103" s="175"/>
      <c r="F103" s="368"/>
      <c r="G103" s="242">
        <f>D178</f>
        <v>8500</v>
      </c>
      <c r="H103" s="559">
        <f>H90</f>
        <v>46077</v>
      </c>
      <c r="I103" s="698">
        <f>SUM(G103:G117)</f>
        <v>25523.90303030303</v>
      </c>
      <c r="J103" s="701">
        <f>F178+F181+F182+F180+F179</f>
        <v>28359.892255892257</v>
      </c>
      <c r="K103" s="243"/>
      <c r="L103" s="173">
        <v>10</v>
      </c>
      <c r="M103" s="333" t="s">
        <v>375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7">
        <f>J103-SUM(U103:U117)</f>
        <v>0</v>
      </c>
      <c r="W103" s="465"/>
      <c r="X103" s="698">
        <f>SUM(Q103:Q117)</f>
        <v>27550</v>
      </c>
    </row>
    <row r="104" spans="1:24" ht="14.25" customHeight="1">
      <c r="B104" s="244">
        <v>10</v>
      </c>
      <c r="C104" s="245"/>
      <c r="D104" s="245" t="s">
        <v>298</v>
      </c>
      <c r="E104" s="246"/>
      <c r="F104" s="369"/>
      <c r="G104" s="247">
        <f>D182</f>
        <v>17023.90303030303</v>
      </c>
      <c r="H104" s="560">
        <f>H90</f>
        <v>46077</v>
      </c>
      <c r="I104" s="699"/>
      <c r="J104" s="702"/>
      <c r="K104" s="176"/>
      <c r="L104" s="244">
        <v>10</v>
      </c>
      <c r="M104" s="334" t="s">
        <v>375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8"/>
      <c r="W104" s="466"/>
      <c r="X104" s="699"/>
    </row>
    <row r="105" spans="1:24" ht="14.25" customHeight="1">
      <c r="B105" s="244">
        <v>10</v>
      </c>
      <c r="C105" s="245"/>
      <c r="D105" s="245" t="s">
        <v>376</v>
      </c>
      <c r="E105" s="246"/>
      <c r="F105" s="369"/>
      <c r="G105" s="247">
        <f>D181</f>
        <v>0</v>
      </c>
      <c r="H105" s="560">
        <f>H90</f>
        <v>46077</v>
      </c>
      <c r="I105" s="699"/>
      <c r="J105" s="702"/>
      <c r="K105" s="176"/>
      <c r="L105" s="244">
        <v>10</v>
      </c>
      <c r="M105" s="334" t="s">
        <v>375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8"/>
      <c r="W105" s="466"/>
      <c r="X105" s="699"/>
    </row>
    <row r="106" spans="1:24" ht="14.25" customHeight="1">
      <c r="B106" s="244">
        <v>10</v>
      </c>
      <c r="C106" s="245"/>
      <c r="D106" s="245" t="s">
        <v>299</v>
      </c>
      <c r="E106" s="246"/>
      <c r="F106" s="369"/>
      <c r="G106" s="247">
        <f>D180</f>
        <v>0</v>
      </c>
      <c r="H106" s="560">
        <f>H90</f>
        <v>46077</v>
      </c>
      <c r="I106" s="699"/>
      <c r="J106" s="702"/>
      <c r="K106" s="176"/>
      <c r="L106" s="244">
        <v>10</v>
      </c>
      <c r="M106" s="334" t="s">
        <v>375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8"/>
      <c r="W106" s="466"/>
      <c r="X106" s="69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9"/>
      <c r="J107" s="702"/>
      <c r="K107" s="176"/>
      <c r="L107" s="244">
        <v>10</v>
      </c>
      <c r="M107" s="334" t="s">
        <v>375</v>
      </c>
      <c r="N107" s="245" t="s">
        <v>324</v>
      </c>
      <c r="O107" s="494">
        <f>SUM(Z31:Z36)</f>
        <v>27550</v>
      </c>
      <c r="P107" s="452">
        <v>0.1</v>
      </c>
      <c r="Q107" s="247">
        <f>$O$107*P107</f>
        <v>2755</v>
      </c>
      <c r="R107" s="713"/>
      <c r="S107" s="514" t="s">
        <v>325</v>
      </c>
      <c r="T107" s="561">
        <f>T91</f>
        <v>46053</v>
      </c>
      <c r="U107" s="655">
        <v>2835.989225589226</v>
      </c>
      <c r="V107" s="708"/>
      <c r="W107" s="649">
        <f>W91</f>
        <v>46058</v>
      </c>
      <c r="X107" s="69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9"/>
      <c r="J108" s="702"/>
      <c r="K108" s="176"/>
      <c r="L108" s="244">
        <v>10</v>
      </c>
      <c r="M108" s="334" t="s">
        <v>375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714"/>
      <c r="S108" s="518" t="s">
        <v>327</v>
      </c>
      <c r="T108" s="561">
        <f t="shared" ref="T108:T114" si="18">T92</f>
        <v>46081</v>
      </c>
      <c r="U108" s="409">
        <f t="shared" si="16"/>
        <v>4253.9838383838387</v>
      </c>
      <c r="V108" s="708"/>
      <c r="W108" s="649">
        <f t="shared" ref="W108:W114" si="19">W92</f>
        <v>46066</v>
      </c>
      <c r="X108" s="69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9"/>
      <c r="J109" s="702"/>
      <c r="K109" s="176"/>
      <c r="L109" s="244">
        <v>10</v>
      </c>
      <c r="M109" s="334" t="s">
        <v>375</v>
      </c>
      <c r="N109" s="245" t="s">
        <v>329</v>
      </c>
      <c r="O109" s="445"/>
      <c r="P109" s="452">
        <v>0.2</v>
      </c>
      <c r="Q109" s="247">
        <f t="shared" si="17"/>
        <v>5510</v>
      </c>
      <c r="R109" s="714"/>
      <c r="S109" s="514" t="s">
        <v>330</v>
      </c>
      <c r="T109" s="561">
        <v>46081</v>
      </c>
      <c r="U109" s="409">
        <f t="shared" si="16"/>
        <v>5671.9784511784519</v>
      </c>
      <c r="V109" s="708"/>
      <c r="W109" s="467">
        <f t="shared" si="19"/>
        <v>46093</v>
      </c>
      <c r="X109" s="69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9"/>
      <c r="J110" s="702"/>
      <c r="K110" s="176"/>
      <c r="L110" s="244">
        <v>10</v>
      </c>
      <c r="M110" s="334" t="s">
        <v>375</v>
      </c>
      <c r="N110" s="245" t="s">
        <v>332</v>
      </c>
      <c r="O110" s="445"/>
      <c r="P110" s="452">
        <v>0.25</v>
      </c>
      <c r="Q110" s="247">
        <f t="shared" si="17"/>
        <v>6887.5</v>
      </c>
      <c r="R110" s="714"/>
      <c r="S110" s="514" t="s">
        <v>333</v>
      </c>
      <c r="T110" s="561">
        <v>46081</v>
      </c>
      <c r="U110" s="409">
        <f t="shared" si="16"/>
        <v>7089.9730639730642</v>
      </c>
      <c r="V110" s="708"/>
      <c r="W110" s="467">
        <f t="shared" si="19"/>
        <v>46093</v>
      </c>
      <c r="X110" s="69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9"/>
      <c r="J111" s="702"/>
      <c r="K111" s="176"/>
      <c r="L111" s="244">
        <v>10</v>
      </c>
      <c r="M111" s="334" t="s">
        <v>375</v>
      </c>
      <c r="N111" s="245" t="s">
        <v>335</v>
      </c>
      <c r="O111" s="445"/>
      <c r="P111" s="452">
        <v>0.1</v>
      </c>
      <c r="Q111" s="247">
        <f t="shared" si="17"/>
        <v>2755</v>
      </c>
      <c r="R111" s="714"/>
      <c r="S111" s="514"/>
      <c r="T111" s="425">
        <f t="shared" si="18"/>
        <v>46112</v>
      </c>
      <c r="U111" s="409">
        <f t="shared" si="16"/>
        <v>2835.989225589226</v>
      </c>
      <c r="V111" s="708"/>
      <c r="W111" s="467">
        <f t="shared" si="19"/>
        <v>46101</v>
      </c>
      <c r="X111" s="69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9"/>
      <c r="J112" s="702"/>
      <c r="K112" s="176"/>
      <c r="L112" s="244">
        <v>10</v>
      </c>
      <c r="M112" s="334" t="s">
        <v>375</v>
      </c>
      <c r="N112" s="245" t="s">
        <v>337</v>
      </c>
      <c r="O112" s="445"/>
      <c r="P112" s="452">
        <v>0.1</v>
      </c>
      <c r="Q112" s="247">
        <f t="shared" si="17"/>
        <v>2755</v>
      </c>
      <c r="R112" s="714"/>
      <c r="S112" s="514"/>
      <c r="T112" s="425">
        <f t="shared" si="18"/>
        <v>46112</v>
      </c>
      <c r="U112" s="409">
        <f t="shared" si="16"/>
        <v>2835.989225589226</v>
      </c>
      <c r="V112" s="708"/>
      <c r="W112" s="467">
        <f t="shared" si="19"/>
        <v>46097</v>
      </c>
      <c r="X112" s="69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9"/>
      <c r="J113" s="702"/>
      <c r="K113" s="176"/>
      <c r="L113" s="244">
        <v>10</v>
      </c>
      <c r="M113" s="334" t="s">
        <v>375</v>
      </c>
      <c r="N113" s="245" t="s">
        <v>338</v>
      </c>
      <c r="O113" s="445"/>
      <c r="P113" s="452">
        <v>0.05</v>
      </c>
      <c r="Q113" s="247">
        <f t="shared" si="17"/>
        <v>1377.5</v>
      </c>
      <c r="R113" s="714"/>
      <c r="S113" s="514"/>
      <c r="T113" s="425">
        <f t="shared" si="18"/>
        <v>46112</v>
      </c>
      <c r="U113" s="409">
        <f t="shared" si="16"/>
        <v>1417.994612794613</v>
      </c>
      <c r="V113" s="708"/>
      <c r="W113" s="467">
        <f t="shared" si="19"/>
        <v>46097</v>
      </c>
      <c r="X113" s="69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9"/>
      <c r="J114" s="702"/>
      <c r="K114" s="176"/>
      <c r="L114" s="244">
        <v>10</v>
      </c>
      <c r="M114" s="334" t="s">
        <v>375</v>
      </c>
      <c r="N114" s="245" t="s">
        <v>339</v>
      </c>
      <c r="O114" s="445"/>
      <c r="P114" s="452">
        <v>0.05</v>
      </c>
      <c r="Q114" s="247">
        <f t="shared" si="17"/>
        <v>1377.5</v>
      </c>
      <c r="R114" s="715"/>
      <c r="S114" s="514"/>
      <c r="T114" s="425">
        <f t="shared" si="18"/>
        <v>46112</v>
      </c>
      <c r="U114" s="409">
        <f t="shared" si="16"/>
        <v>1417.994612794613</v>
      </c>
      <c r="V114" s="708"/>
      <c r="W114" s="467">
        <f t="shared" si="19"/>
        <v>46120</v>
      </c>
      <c r="X114" s="69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9"/>
      <c r="J115" s="702"/>
      <c r="K115" s="176"/>
      <c r="L115" s="244">
        <v>10</v>
      </c>
      <c r="M115" s="334" t="s">
        <v>375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8"/>
      <c r="W115" s="467"/>
      <c r="X115" s="69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9"/>
      <c r="J116" s="702"/>
      <c r="K116" s="176"/>
      <c r="L116" s="244">
        <v>10</v>
      </c>
      <c r="M116" s="334" t="s">
        <v>375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8"/>
      <c r="W116" s="467"/>
      <c r="X116" s="699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0"/>
      <c r="J117" s="703"/>
      <c r="K117" s="179"/>
      <c r="L117" s="177">
        <v>10</v>
      </c>
      <c r="M117" s="335" t="s">
        <v>375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09"/>
      <c r="W117" s="468"/>
      <c r="X117" s="700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377</v>
      </c>
      <c r="D119" s="255" t="s">
        <v>378</v>
      </c>
      <c r="E119" s="187"/>
      <c r="F119" s="336"/>
      <c r="G119" s="188">
        <v>11000</v>
      </c>
      <c r="H119" s="540">
        <f>'Project Plan'!G44</f>
        <v>46091</v>
      </c>
      <c r="I119" s="673">
        <f>SUM(G119:G123)</f>
        <v>89000</v>
      </c>
      <c r="J119" s="676">
        <f>F177</f>
        <v>98888.888888888891</v>
      </c>
      <c r="K119" s="189"/>
      <c r="L119" s="185">
        <v>11</v>
      </c>
      <c r="M119" s="255" t="s">
        <v>379</v>
      </c>
      <c r="N119" s="255" t="s">
        <v>378</v>
      </c>
      <c r="O119" s="187"/>
      <c r="P119" s="336"/>
      <c r="Q119" s="188">
        <v>8750</v>
      </c>
      <c r="R119" s="533"/>
      <c r="S119" s="507" t="s">
        <v>380</v>
      </c>
      <c r="T119" s="540">
        <v>46081</v>
      </c>
      <c r="U119" s="397">
        <f>(Q119/$X$119*$J$119)+1260.82</f>
        <v>13061.805751683014</v>
      </c>
      <c r="V119" s="685">
        <f>J119-SUM(U119:U123)</f>
        <v>573.57983417983633</v>
      </c>
      <c r="W119" s="461">
        <f>'Project Plan'!K44+14</f>
        <v>46108</v>
      </c>
      <c r="X119" s="673">
        <f>SUM(Q119:Q123)</f>
        <v>73322.5</v>
      </c>
    </row>
    <row r="120" spans="1:24" ht="15" customHeight="1">
      <c r="B120" s="215">
        <v>11</v>
      </c>
      <c r="C120" s="217"/>
      <c r="D120" s="217" t="s">
        <v>381</v>
      </c>
      <c r="E120" s="218"/>
      <c r="F120" s="357"/>
      <c r="G120" s="219">
        <v>18000</v>
      </c>
      <c r="H120" s="540">
        <f>H119</f>
        <v>46091</v>
      </c>
      <c r="I120" s="674"/>
      <c r="J120" s="677"/>
      <c r="K120" s="192"/>
      <c r="L120" s="215">
        <v>11</v>
      </c>
      <c r="M120" s="290" t="s">
        <v>379</v>
      </c>
      <c r="N120" s="217" t="s">
        <v>382</v>
      </c>
      <c r="O120" s="218"/>
      <c r="P120" s="357"/>
      <c r="Q120" s="219">
        <v>8572.5</v>
      </c>
      <c r="R120" s="470"/>
      <c r="S120" s="500" t="s">
        <v>383</v>
      </c>
      <c r="T120" s="629">
        <v>46022</v>
      </c>
      <c r="U120" s="631">
        <v>9727.1944922547336</v>
      </c>
      <c r="V120" s="686"/>
      <c r="W120" s="630">
        <v>45974</v>
      </c>
      <c r="X120" s="674"/>
    </row>
    <row r="121" spans="1:24" ht="15" customHeight="1">
      <c r="B121" s="215">
        <v>11</v>
      </c>
      <c r="C121" s="217"/>
      <c r="D121" s="217" t="s">
        <v>384</v>
      </c>
      <c r="E121" s="218"/>
      <c r="F121" s="357"/>
      <c r="G121" s="219">
        <v>60000</v>
      </c>
      <c r="H121" s="540">
        <f>H120</f>
        <v>46091</v>
      </c>
      <c r="I121" s="674"/>
      <c r="J121" s="677"/>
      <c r="K121" s="192"/>
      <c r="L121" s="215">
        <v>11</v>
      </c>
      <c r="M121" s="290" t="s">
        <v>379</v>
      </c>
      <c r="N121" s="217" t="s">
        <v>384</v>
      </c>
      <c r="O121" s="218"/>
      <c r="P121" s="357"/>
      <c r="Q121" s="219">
        <v>50000</v>
      </c>
      <c r="R121" s="470"/>
      <c r="S121" s="500" t="s">
        <v>385</v>
      </c>
      <c r="T121" s="539">
        <v>46081</v>
      </c>
      <c r="U121" s="397">
        <f>(Q121/$X$119*$J$119)</f>
        <v>67434.20429533151</v>
      </c>
      <c r="V121" s="686"/>
      <c r="W121" s="454">
        <f>W122</f>
        <v>46111</v>
      </c>
      <c r="X121" s="67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74"/>
      <c r="J122" s="677"/>
      <c r="K122" s="192"/>
      <c r="L122" s="215">
        <v>11</v>
      </c>
      <c r="M122" s="290" t="s">
        <v>379</v>
      </c>
      <c r="N122" s="288" t="s">
        <v>386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686"/>
      <c r="W122" s="455">
        <v>46111</v>
      </c>
      <c r="X122" s="67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75"/>
      <c r="J123" s="678"/>
      <c r="K123" s="193"/>
      <c r="L123" s="220">
        <v>11</v>
      </c>
      <c r="M123" s="318" t="s">
        <v>379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687"/>
      <c r="W123" s="456"/>
      <c r="X123" s="67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387</v>
      </c>
      <c r="D125" s="174" t="s">
        <v>388</v>
      </c>
      <c r="E125" s="175"/>
      <c r="F125" s="368"/>
      <c r="G125" s="242">
        <v>0</v>
      </c>
      <c r="H125" s="559"/>
      <c r="I125" s="698">
        <f>SUM(G125:G126)</f>
        <v>0</v>
      </c>
      <c r="J125" s="701">
        <v>0</v>
      </c>
      <c r="K125" s="719"/>
      <c r="L125" s="173">
        <v>12</v>
      </c>
      <c r="M125" s="174" t="s">
        <v>389</v>
      </c>
      <c r="N125" s="174" t="s">
        <v>388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8">
        <f>SUM(Q125:Q126)</f>
        <v>0</v>
      </c>
    </row>
    <row r="126" spans="1:24" ht="15" customHeight="1" thickBot="1">
      <c r="B126" s="177">
        <v>12</v>
      </c>
      <c r="C126" s="248" t="s">
        <v>387</v>
      </c>
      <c r="D126" s="248"/>
      <c r="E126" s="249"/>
      <c r="F126" s="370"/>
      <c r="G126" s="178"/>
      <c r="H126" s="562"/>
      <c r="I126" s="700"/>
      <c r="J126" s="703"/>
      <c r="K126" s="720"/>
      <c r="L126" s="177">
        <v>12</v>
      </c>
      <c r="M126" s="248" t="s">
        <v>389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0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390</v>
      </c>
      <c r="D128" s="255" t="s">
        <v>391</v>
      </c>
      <c r="E128" s="187"/>
      <c r="F128" s="336"/>
      <c r="G128" s="188">
        <f>D176</f>
        <v>17291.832113965746</v>
      </c>
      <c r="H128" s="540">
        <f>'Project Plan'!G53</f>
        <v>46105</v>
      </c>
      <c r="I128" s="673">
        <f>SUM(G128:G132)</f>
        <v>17291.832113965746</v>
      </c>
      <c r="J128" s="676">
        <f>F176</f>
        <v>19649.80922041562</v>
      </c>
      <c r="K128" s="189"/>
      <c r="L128" s="185">
        <v>13</v>
      </c>
      <c r="M128" s="255" t="s">
        <v>392</v>
      </c>
      <c r="N128" s="255" t="s">
        <v>393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685">
        <f>J128-SUM(U128:U133)</f>
        <v>0</v>
      </c>
      <c r="W128" s="461">
        <v>46112</v>
      </c>
      <c r="X128" s="67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74"/>
      <c r="J129" s="677"/>
      <c r="K129" s="192"/>
      <c r="L129" s="215">
        <v>13</v>
      </c>
      <c r="M129" s="290" t="s">
        <v>392</v>
      </c>
      <c r="N129" s="217" t="s">
        <v>394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686"/>
      <c r="W129" s="454">
        <f>W128</f>
        <v>46112</v>
      </c>
      <c r="X129" s="67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74"/>
      <c r="J130" s="677"/>
      <c r="K130" s="192"/>
      <c r="L130" s="215">
        <v>13</v>
      </c>
      <c r="M130" s="290" t="s">
        <v>392</v>
      </c>
      <c r="N130" s="217" t="s">
        <v>395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686"/>
      <c r="W130" s="454">
        <f t="shared" ref="W130:W132" si="21">W129</f>
        <v>46112</v>
      </c>
      <c r="X130" s="67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74"/>
      <c r="J131" s="677"/>
      <c r="K131" s="192"/>
      <c r="L131" s="215">
        <v>13</v>
      </c>
      <c r="M131" s="290" t="s">
        <v>392</v>
      </c>
      <c r="N131" s="217" t="s">
        <v>396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686"/>
      <c r="W131" s="454">
        <f t="shared" si="21"/>
        <v>46112</v>
      </c>
      <c r="X131" s="67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74"/>
      <c r="J132" s="677"/>
      <c r="K132" s="192"/>
      <c r="L132" s="215">
        <v>13</v>
      </c>
      <c r="M132" s="290" t="s">
        <v>392</v>
      </c>
      <c r="N132" s="217" t="s">
        <v>397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686"/>
      <c r="W132" s="454">
        <f t="shared" si="21"/>
        <v>46112</v>
      </c>
      <c r="X132" s="67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75"/>
      <c r="J133" s="678"/>
      <c r="K133" s="267"/>
      <c r="L133" s="220">
        <v>13</v>
      </c>
      <c r="M133" s="318" t="s">
        <v>392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687"/>
      <c r="W133" s="456"/>
      <c r="X133" s="675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398</v>
      </c>
      <c r="D135" s="174" t="s">
        <v>399</v>
      </c>
      <c r="E135" s="175"/>
      <c r="F135" s="368"/>
      <c r="G135" s="242">
        <f>D187</f>
        <v>1925</v>
      </c>
      <c r="H135" s="559">
        <f>'Project Plan'!G53</f>
        <v>46105</v>
      </c>
      <c r="I135" s="698">
        <f>SUM(G135:G146)</f>
        <v>1925</v>
      </c>
      <c r="J135" s="701">
        <f>F187</f>
        <v>2138.8888888888887</v>
      </c>
      <c r="K135" s="243"/>
      <c r="L135" s="173">
        <v>14</v>
      </c>
      <c r="M135" s="333" t="s">
        <v>400</v>
      </c>
      <c r="N135" s="174" t="s">
        <v>401</v>
      </c>
      <c r="O135" s="444"/>
      <c r="P135" s="525"/>
      <c r="Q135" s="530">
        <v>314.16000000000003</v>
      </c>
      <c r="R135" s="527"/>
      <c r="S135" s="517" t="s">
        <v>402</v>
      </c>
      <c r="T135" s="650">
        <v>46053</v>
      </c>
      <c r="U135" s="658">
        <v>382.24558329683163</v>
      </c>
      <c r="V135" s="707">
        <f>J135-SUM(U135:U146)</f>
        <v>0</v>
      </c>
      <c r="W135" s="651">
        <v>46058</v>
      </c>
      <c r="X135" s="698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9"/>
      <c r="J136" s="702"/>
      <c r="K136" s="176"/>
      <c r="L136" s="244">
        <v>14</v>
      </c>
      <c r="M136" s="334" t="s">
        <v>400</v>
      </c>
      <c r="N136" s="245" t="s">
        <v>401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8"/>
      <c r="W136" s="467">
        <f>T136+7</f>
        <v>46088</v>
      </c>
      <c r="X136" s="69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9"/>
      <c r="J137" s="702"/>
      <c r="K137" s="176"/>
      <c r="L137" s="244">
        <v>14</v>
      </c>
      <c r="M137" s="334" t="s">
        <v>400</v>
      </c>
      <c r="N137" s="245" t="s">
        <v>401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8"/>
      <c r="W137" s="467">
        <f>T137+7</f>
        <v>46119</v>
      </c>
      <c r="X137" s="69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9"/>
      <c r="J138" s="702"/>
      <c r="K138" s="176"/>
      <c r="L138" s="244">
        <v>14</v>
      </c>
      <c r="M138" s="334" t="s">
        <v>400</v>
      </c>
      <c r="N138" s="245" t="s">
        <v>401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8"/>
      <c r="W138" s="467">
        <f>T138+7</f>
        <v>46149</v>
      </c>
      <c r="X138" s="69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9"/>
      <c r="J139" s="702"/>
      <c r="K139" s="176"/>
      <c r="L139" s="244">
        <v>14</v>
      </c>
      <c r="M139" s="334" t="s">
        <v>400</v>
      </c>
      <c r="N139" s="245" t="s">
        <v>401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8"/>
      <c r="W139" s="467"/>
      <c r="X139" s="69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9"/>
      <c r="J140" s="702"/>
      <c r="K140" s="176"/>
      <c r="L140" s="244">
        <v>14</v>
      </c>
      <c r="M140" s="334" t="s">
        <v>400</v>
      </c>
      <c r="N140" s="245" t="s">
        <v>401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8"/>
      <c r="W140" s="467"/>
      <c r="X140" s="69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9"/>
      <c r="J141" s="702"/>
      <c r="K141" s="176"/>
      <c r="L141" s="244">
        <v>14</v>
      </c>
      <c r="M141" s="334" t="s">
        <v>400</v>
      </c>
      <c r="N141" s="245" t="s">
        <v>401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8"/>
      <c r="W141" s="467"/>
      <c r="X141" s="69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9"/>
      <c r="J142" s="702"/>
      <c r="K142" s="176"/>
      <c r="L142" s="244">
        <v>14</v>
      </c>
      <c r="M142" s="334" t="s">
        <v>400</v>
      </c>
      <c r="N142" s="245" t="s">
        <v>401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8"/>
      <c r="W142" s="467"/>
      <c r="X142" s="69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9"/>
      <c r="J143" s="702"/>
      <c r="K143" s="176"/>
      <c r="L143" s="244">
        <v>14</v>
      </c>
      <c r="M143" s="334" t="s">
        <v>400</v>
      </c>
      <c r="N143" s="245" t="s">
        <v>401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8"/>
      <c r="W143" s="467"/>
      <c r="X143" s="69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9"/>
      <c r="J144" s="702"/>
      <c r="K144" s="176"/>
      <c r="L144" s="244">
        <v>14</v>
      </c>
      <c r="M144" s="334" t="s">
        <v>400</v>
      </c>
      <c r="N144" s="245" t="s">
        <v>401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8"/>
      <c r="W144" s="467"/>
      <c r="X144" s="69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9"/>
      <c r="J145" s="702"/>
      <c r="K145" s="176"/>
      <c r="L145" s="244">
        <v>14</v>
      </c>
      <c r="M145" s="334" t="s">
        <v>400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8"/>
      <c r="W145" s="467"/>
      <c r="X145" s="699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0"/>
      <c r="J146" s="703"/>
      <c r="K146" s="179"/>
      <c r="L146" s="177">
        <v>14</v>
      </c>
      <c r="M146" s="335" t="s">
        <v>400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09"/>
      <c r="W146" s="468"/>
      <c r="X146" s="700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403</v>
      </c>
      <c r="D148" s="186"/>
      <c r="E148" s="187"/>
      <c r="F148" s="336"/>
      <c r="G148" s="188"/>
      <c r="H148" s="540"/>
      <c r="I148" s="673">
        <f>SUM(G148:G159)</f>
        <v>0</v>
      </c>
      <c r="J148" s="676">
        <v>0</v>
      </c>
      <c r="K148" s="189"/>
      <c r="L148" s="185">
        <v>15</v>
      </c>
      <c r="M148" s="255" t="s">
        <v>404</v>
      </c>
      <c r="N148" s="186" t="s">
        <v>405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85">
        <v>0</v>
      </c>
      <c r="W148" s="461">
        <v>46173</v>
      </c>
      <c r="X148" s="67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74"/>
      <c r="J149" s="677"/>
      <c r="K149" s="192"/>
      <c r="L149" s="215">
        <v>15</v>
      </c>
      <c r="M149" s="290" t="s">
        <v>404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686"/>
      <c r="W149" s="454"/>
      <c r="X149" s="67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74"/>
      <c r="J150" s="677"/>
      <c r="K150" s="192"/>
      <c r="L150" s="215">
        <v>15</v>
      </c>
      <c r="M150" s="290" t="s">
        <v>404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686"/>
      <c r="W150" s="454"/>
      <c r="X150" s="67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74"/>
      <c r="J151" s="677"/>
      <c r="K151" s="192"/>
      <c r="L151" s="215">
        <v>15</v>
      </c>
      <c r="M151" s="290" t="s">
        <v>404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686"/>
      <c r="W151" s="454"/>
      <c r="X151" s="67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74"/>
      <c r="J152" s="677"/>
      <c r="K152" s="192"/>
      <c r="L152" s="215">
        <v>15</v>
      </c>
      <c r="M152" s="290" t="s">
        <v>404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686"/>
      <c r="W152" s="454"/>
      <c r="X152" s="67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74"/>
      <c r="J153" s="677"/>
      <c r="K153" s="192"/>
      <c r="L153" s="215">
        <v>15</v>
      </c>
      <c r="M153" s="290" t="s">
        <v>404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686"/>
      <c r="W153" s="454"/>
      <c r="X153" s="67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74"/>
      <c r="J154" s="677"/>
      <c r="K154" s="192"/>
      <c r="L154" s="215">
        <v>15</v>
      </c>
      <c r="M154" s="290" t="s">
        <v>404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686"/>
      <c r="W154" s="454"/>
      <c r="X154" s="67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74"/>
      <c r="J155" s="677"/>
      <c r="K155" s="192"/>
      <c r="L155" s="215">
        <v>15</v>
      </c>
      <c r="M155" s="290" t="s">
        <v>404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686"/>
      <c r="W155" s="454"/>
      <c r="X155" s="67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74"/>
      <c r="J156" s="677"/>
      <c r="K156" s="192"/>
      <c r="L156" s="215">
        <v>15</v>
      </c>
      <c r="M156" s="290" t="s">
        <v>404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686"/>
      <c r="W156" s="454"/>
      <c r="X156" s="67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74"/>
      <c r="J157" s="677"/>
      <c r="K157" s="192"/>
      <c r="L157" s="215">
        <v>15</v>
      </c>
      <c r="M157" s="290" t="s">
        <v>404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686"/>
      <c r="W157" s="454"/>
      <c r="X157" s="67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74"/>
      <c r="J158" s="677"/>
      <c r="K158" s="192"/>
      <c r="L158" s="215">
        <v>15</v>
      </c>
      <c r="M158" s="290" t="s">
        <v>404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686"/>
      <c r="W158" s="454"/>
      <c r="X158" s="67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75"/>
      <c r="J159" s="678"/>
      <c r="K159" s="193"/>
      <c r="L159" s="220">
        <v>15</v>
      </c>
      <c r="M159" s="318" t="s">
        <v>404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687"/>
      <c r="W159" s="456"/>
      <c r="X159" s="67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322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349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410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411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412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420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421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422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412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4" t="s">
        <v>429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5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5"/>
      <c r="B4" s="106" t="s">
        <v>430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5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5"/>
      <c r="B6" s="110" t="s">
        <v>431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5"/>
      <c r="B7" s="115" t="s">
        <v>432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4" t="s">
        <v>123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5"/>
      <c r="B9" s="120" t="s">
        <v>433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5"/>
      <c r="B10" s="120" t="s">
        <v>434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5"/>
      <c r="B11" s="123" t="s">
        <v>435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5"/>
      <c r="B12" s="123" t="s">
        <v>436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406460.73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5"/>
      <c r="B14" s="115" t="s">
        <v>437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1190923.355916698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6"/>
      <c r="B17" s="106" t="s">
        <v>438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6"/>
      <c r="B18" s="106" t="s">
        <v>439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546875" defaultRowHeight="14.4"/>
  <cols>
    <col min="1" max="1" width="36.5546875" style="269" bestFit="1" customWidth="1"/>
    <col min="2" max="2" width="15.5546875" style="270" bestFit="1" customWidth="1"/>
    <col min="3" max="3" width="11.44140625" style="269" bestFit="1" customWidth="1"/>
    <col min="4" max="4" width="6.44140625" style="269" bestFit="1" customWidth="1"/>
    <col min="5" max="5" width="12.77734375" style="269" bestFit="1" customWidth="1"/>
    <col min="6" max="6" width="14.5546875" style="269" bestFit="1" customWidth="1"/>
    <col min="7" max="7" width="12.77734375" style="269" bestFit="1" customWidth="1"/>
    <col min="8" max="9" width="11.5546875" style="269" bestFit="1" customWidth="1"/>
    <col min="10" max="10" width="11.44140625" style="269" bestFit="1" customWidth="1"/>
    <col min="11" max="11" width="14.5546875" style="269" bestFit="1" customWidth="1"/>
    <col min="12" max="12" width="6.441406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440</v>
      </c>
      <c r="B3" s="538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442</v>
      </c>
      <c r="B4" t="s">
        <v>443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444</v>
      </c>
      <c r="L4"/>
      <c r="M4"/>
      <c r="N4"/>
      <c r="O4"/>
      <c r="P4"/>
      <c r="Q4"/>
      <c r="R4"/>
      <c r="S4"/>
      <c r="T4"/>
    </row>
    <row r="5" spans="1:20">
      <c r="A5" s="345" t="s">
        <v>443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292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304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342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350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357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372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375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44140625" bestFit="1" customWidth="1"/>
    <col min="2" max="2" width="15.5546875" style="308" bestFit="1" customWidth="1"/>
    <col min="3" max="3" width="11.44140625" style="308" bestFit="1" customWidth="1"/>
    <col min="4" max="4" width="6.44140625" style="308" bestFit="1" customWidth="1"/>
    <col min="5" max="7" width="12.77734375" style="308" bestFit="1" customWidth="1"/>
    <col min="8" max="9" width="11.5546875" style="308" bestFit="1" customWidth="1"/>
    <col min="10" max="10" width="12.777343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445</v>
      </c>
      <c r="B3" s="538" t="s">
        <v>441</v>
      </c>
      <c r="C3"/>
      <c r="D3"/>
      <c r="E3"/>
      <c r="F3"/>
      <c r="G3"/>
      <c r="H3"/>
      <c r="I3"/>
    </row>
    <row r="4" spans="1:11">
      <c r="A4" s="538" t="s">
        <v>442</v>
      </c>
      <c r="B4" t="s">
        <v>443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444</v>
      </c>
    </row>
    <row r="5" spans="1:11">
      <c r="A5" s="345" t="s">
        <v>443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284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292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304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320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342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350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357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372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375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392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400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446</v>
      </c>
      <c r="F2" s="19" t="s">
        <v>447</v>
      </c>
    </row>
    <row r="3" spans="3:8">
      <c r="C3" s="15">
        <v>45658</v>
      </c>
      <c r="D3" s="9" t="s">
        <v>448</v>
      </c>
      <c r="F3" s="17" t="s">
        <v>449</v>
      </c>
    </row>
    <row r="4" spans="3:8">
      <c r="C4" s="15">
        <v>45737</v>
      </c>
      <c r="D4" s="9" t="s">
        <v>450</v>
      </c>
      <c r="F4" s="17" t="s">
        <v>451</v>
      </c>
    </row>
    <row r="5" spans="3:8">
      <c r="C5" s="15">
        <v>45765</v>
      </c>
      <c r="D5" s="9" t="s">
        <v>452</v>
      </c>
      <c r="F5" s="17" t="s">
        <v>453</v>
      </c>
    </row>
    <row r="6" spans="3:8" ht="13.8" thickBot="1">
      <c r="C6" s="15">
        <v>45768</v>
      </c>
      <c r="D6" s="9" t="s">
        <v>454</v>
      </c>
      <c r="F6" s="18" t="s">
        <v>455</v>
      </c>
    </row>
    <row r="7" spans="3:8">
      <c r="C7" s="15">
        <v>45774</v>
      </c>
      <c r="D7" s="9" t="s">
        <v>456</v>
      </c>
    </row>
    <row r="8" spans="3:8">
      <c r="C8" s="15">
        <v>45765</v>
      </c>
      <c r="D8" s="9" t="s">
        <v>457</v>
      </c>
    </row>
    <row r="9" spans="3:8">
      <c r="C9" s="15">
        <v>45778</v>
      </c>
      <c r="D9" s="9" t="s">
        <v>458</v>
      </c>
    </row>
    <row r="10" spans="3:8">
      <c r="C10" s="15">
        <v>45824</v>
      </c>
      <c r="D10" s="9" t="s">
        <v>459</v>
      </c>
    </row>
    <row r="11" spans="3:8">
      <c r="C11" s="15">
        <v>45878</v>
      </c>
      <c r="D11" s="9" t="s">
        <v>460</v>
      </c>
    </row>
    <row r="12" spans="3:8">
      <c r="C12" s="15">
        <v>45924</v>
      </c>
      <c r="D12" s="9" t="s">
        <v>461</v>
      </c>
    </row>
    <row r="13" spans="3:8">
      <c r="C13" s="15">
        <v>46007</v>
      </c>
      <c r="D13" s="9" t="s">
        <v>462</v>
      </c>
      <c r="F13" s="20"/>
      <c r="H13" s="9" t="s">
        <v>463</v>
      </c>
    </row>
    <row r="14" spans="3:8">
      <c r="C14" s="15">
        <v>46016</v>
      </c>
      <c r="D14" s="9" t="s">
        <v>464</v>
      </c>
    </row>
    <row r="15" spans="3:8">
      <c r="C15" s="15">
        <v>46017</v>
      </c>
      <c r="D15" s="9" t="s">
        <v>465</v>
      </c>
    </row>
    <row r="16" spans="3:8">
      <c r="C16" s="15">
        <v>46006</v>
      </c>
      <c r="D16" s="9" t="s">
        <v>466</v>
      </c>
    </row>
    <row r="17" spans="3:4">
      <c r="C17" s="15">
        <v>46007</v>
      </c>
      <c r="D17" s="9" t="s">
        <v>466</v>
      </c>
    </row>
    <row r="18" spans="3:4">
      <c r="C18" s="15">
        <v>46008</v>
      </c>
      <c r="D18" s="9" t="s">
        <v>466</v>
      </c>
    </row>
    <row r="19" spans="3:4">
      <c r="C19" s="15">
        <v>46009</v>
      </c>
      <c r="D19" s="9" t="s">
        <v>466</v>
      </c>
    </row>
    <row r="20" spans="3:4">
      <c r="C20" s="15">
        <v>46010</v>
      </c>
      <c r="D20" s="9" t="s">
        <v>466</v>
      </c>
    </row>
    <row r="21" spans="3:4">
      <c r="C21" s="15">
        <v>46011</v>
      </c>
      <c r="D21" s="9" t="s">
        <v>466</v>
      </c>
    </row>
    <row r="22" spans="3:4">
      <c r="C22" s="15">
        <v>46012</v>
      </c>
      <c r="D22" s="9" t="s">
        <v>466</v>
      </c>
    </row>
    <row r="23" spans="3:4">
      <c r="C23" s="15">
        <v>46013</v>
      </c>
      <c r="D23" s="9" t="s">
        <v>466</v>
      </c>
    </row>
    <row r="24" spans="3:4">
      <c r="C24" s="15">
        <v>46014</v>
      </c>
      <c r="D24" s="9" t="s">
        <v>466</v>
      </c>
    </row>
    <row r="25" spans="3:4">
      <c r="C25" s="15">
        <v>46015</v>
      </c>
      <c r="D25" s="9" t="s">
        <v>466</v>
      </c>
    </row>
    <row r="26" spans="3:4">
      <c r="C26" s="15">
        <v>46016</v>
      </c>
      <c r="D26" s="9" t="s">
        <v>466</v>
      </c>
    </row>
    <row r="27" spans="3:4">
      <c r="C27" s="15">
        <v>46017</v>
      </c>
      <c r="D27" s="9" t="s">
        <v>466</v>
      </c>
    </row>
    <row r="28" spans="3:4">
      <c r="C28" s="15">
        <v>46018</v>
      </c>
      <c r="D28" s="9" t="s">
        <v>466</v>
      </c>
    </row>
    <row r="29" spans="3:4">
      <c r="C29" s="15">
        <v>46019</v>
      </c>
      <c r="D29" s="9" t="s">
        <v>466</v>
      </c>
    </row>
    <row r="30" spans="3:4">
      <c r="C30" s="15">
        <v>46020</v>
      </c>
      <c r="D30" s="9" t="s">
        <v>466</v>
      </c>
    </row>
    <row r="31" spans="3:4">
      <c r="C31" s="15">
        <v>46021</v>
      </c>
      <c r="D31" s="9" t="s">
        <v>466</v>
      </c>
    </row>
    <row r="32" spans="3:4">
      <c r="C32" s="15">
        <v>46022</v>
      </c>
      <c r="D32" s="9" t="s">
        <v>466</v>
      </c>
    </row>
    <row r="33" spans="3:4">
      <c r="C33" s="15">
        <v>46023</v>
      </c>
      <c r="D33" s="9" t="s">
        <v>466</v>
      </c>
    </row>
    <row r="34" spans="3:4">
      <c r="C34" s="15">
        <v>46024</v>
      </c>
      <c r="D34" s="9" t="s">
        <v>466</v>
      </c>
    </row>
    <row r="35" spans="3:4">
      <c r="C35" s="15">
        <v>46025</v>
      </c>
      <c r="D35" s="9" t="s">
        <v>466</v>
      </c>
    </row>
    <row r="36" spans="3:4">
      <c r="C36" s="15">
        <v>46026</v>
      </c>
      <c r="D36" s="9" t="s">
        <v>466</v>
      </c>
    </row>
    <row r="37" spans="3:4">
      <c r="C37" s="15">
        <v>46027</v>
      </c>
      <c r="D37" s="9" t="s">
        <v>466</v>
      </c>
    </row>
    <row r="38" spans="3:4">
      <c r="C38" s="15">
        <v>46028</v>
      </c>
      <c r="D38" s="9" t="s">
        <v>466</v>
      </c>
    </row>
    <row r="39" spans="3:4">
      <c r="C39" s="15">
        <v>46029</v>
      </c>
      <c r="D39" s="9" t="s">
        <v>466</v>
      </c>
    </row>
    <row r="40" spans="3:4">
      <c r="C40" s="15">
        <v>46030</v>
      </c>
      <c r="D40" s="9" t="s">
        <v>466</v>
      </c>
    </row>
    <row r="41" spans="3:4">
      <c r="C41" s="15"/>
      <c r="D41" s="9" t="s">
        <v>466</v>
      </c>
    </row>
    <row r="42" spans="3:4">
      <c r="C42" s="15"/>
      <c r="D42" s="9" t="s">
        <v>466</v>
      </c>
    </row>
    <row r="43" spans="3:4">
      <c r="C43" s="15"/>
      <c r="D43" s="9" t="s">
        <v>466</v>
      </c>
    </row>
    <row r="44" spans="3:4">
      <c r="C44" s="15"/>
      <c r="D44" s="9" t="s">
        <v>466</v>
      </c>
    </row>
    <row r="45" spans="3:4">
      <c r="C45" s="15"/>
      <c r="D45" s="9" t="s">
        <v>466</v>
      </c>
    </row>
    <row r="46" spans="3:4">
      <c r="C46" s="15"/>
      <c r="D46" s="9" t="s">
        <v>466</v>
      </c>
    </row>
    <row r="47" spans="3:4">
      <c r="C47" s="15"/>
      <c r="D47" s="9" t="s">
        <v>466</v>
      </c>
    </row>
    <row r="48" spans="3:4">
      <c r="C48" s="15"/>
      <c r="D48" s="9" t="s">
        <v>466</v>
      </c>
    </row>
    <row r="49" spans="3:4">
      <c r="C49" s="15">
        <v>46102</v>
      </c>
      <c r="D49" s="9" t="s">
        <v>450</v>
      </c>
    </row>
    <row r="50" spans="3:4">
      <c r="C50" s="15">
        <v>46115</v>
      </c>
      <c r="D50" s="9" t="s">
        <v>452</v>
      </c>
    </row>
    <row r="51" spans="3:4">
      <c r="C51" s="15">
        <v>46118</v>
      </c>
      <c r="D51" s="9" t="s">
        <v>454</v>
      </c>
    </row>
    <row r="52" spans="3:4">
      <c r="C52" s="15">
        <v>46139</v>
      </c>
      <c r="D52" s="9" t="s">
        <v>456</v>
      </c>
    </row>
    <row r="53" spans="3:4">
      <c r="C53" s="15">
        <v>46143</v>
      </c>
      <c r="D53" s="9" t="s">
        <v>458</v>
      </c>
    </row>
    <row r="54" spans="3:4">
      <c r="C54" s="15">
        <v>46189</v>
      </c>
      <c r="D54" s="9" t="s">
        <v>459</v>
      </c>
    </row>
    <row r="55" spans="3:4">
      <c r="C55" s="15">
        <v>46243</v>
      </c>
      <c r="D55" s="9" t="s">
        <v>460</v>
      </c>
    </row>
    <row r="56" spans="3:4">
      <c r="C56" s="15">
        <v>46244</v>
      </c>
      <c r="D56" s="9" t="s">
        <v>467</v>
      </c>
    </row>
    <row r="57" spans="3:4">
      <c r="C57" s="15">
        <v>46289</v>
      </c>
      <c r="D57" s="9" t="s">
        <v>461</v>
      </c>
    </row>
    <row r="58" spans="3:4">
      <c r="C58" s="15">
        <v>46372</v>
      </c>
      <c r="D58" s="9" t="s">
        <v>462</v>
      </c>
    </row>
    <row r="59" spans="3:4">
      <c r="C59" s="15">
        <v>46381</v>
      </c>
      <c r="D59" s="9" t="s">
        <v>464</v>
      </c>
    </row>
    <row r="60" spans="3:4" ht="13.8" thickBot="1">
      <c r="C60" s="16">
        <v>46382</v>
      </c>
      <c r="D60" s="9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2026-03-09T12:10:32Z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