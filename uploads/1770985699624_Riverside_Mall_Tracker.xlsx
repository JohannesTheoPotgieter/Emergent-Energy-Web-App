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03" documentId="13_ncr:1_{D81B22CD-1ABD-4A37-8DB0-37744E5D41CF}" xr6:coauthVersionLast="47" xr6:coauthVersionMax="47" xr10:uidLastSave="{2D47602C-08D7-4157-8973-393BA2BB4E87}"/>
  <bookViews>
    <workbookView xWindow="11040" yWindow="216" windowWidth="11628" windowHeight="11184" tabRatio="702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34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1" i="18" l="1"/>
  <c r="Q28" i="18"/>
  <c r="Q6" i="18"/>
  <c r="W121" i="18"/>
  <c r="N19" i="2"/>
  <c r="S33" i="18"/>
  <c r="S60" i="18"/>
  <c r="S108" i="18"/>
  <c r="S32" i="18"/>
  <c r="S59" i="18"/>
  <c r="S107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4" i="18"/>
  <c r="P113" i="18"/>
  <c r="P38" i="18" s="1"/>
  <c r="P112" i="18"/>
  <c r="P111" i="18"/>
  <c r="P110" i="18"/>
  <c r="P109" i="18"/>
  <c r="P108" i="18"/>
  <c r="P107" i="18"/>
  <c r="W28" i="18"/>
  <c r="W29" i="18"/>
  <c r="H5" i="5" l="1"/>
  <c r="O107" i="18" l="1"/>
  <c r="U119" i="18" l="1"/>
  <c r="W122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39" i="18"/>
  <c r="W137" i="18"/>
  <c r="W135" i="18"/>
  <c r="E31" i="2" l="1"/>
  <c r="E23" i="2"/>
  <c r="E4" i="20"/>
  <c r="G31" i="2" l="1"/>
  <c r="G23" i="2"/>
  <c r="G21" i="2" s="1"/>
  <c r="E21" i="2"/>
  <c r="X119" i="18"/>
  <c r="F21" i="2" l="1"/>
  <c r="E37" i="2"/>
  <c r="T14" i="18"/>
  <c r="T13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I25" i="2" s="1"/>
  <c r="K14" i="2"/>
  <c r="I15" i="2" s="1"/>
  <c r="E33" i="2" l="1"/>
  <c r="G35" i="2"/>
  <c r="F35" i="2" s="1"/>
  <c r="K13" i="2"/>
  <c r="I26" i="2"/>
  <c r="K26" i="2" s="1"/>
  <c r="K25" i="2"/>
  <c r="G33" i="2" l="1"/>
  <c r="G28" i="2" s="1"/>
  <c r="E28" i="2"/>
  <c r="K16" i="2"/>
  <c r="I22" i="2" s="1"/>
  <c r="K15" i="2"/>
  <c r="I11" i="2"/>
  <c r="C4" i="24"/>
  <c r="C7" i="23"/>
  <c r="C4" i="23"/>
  <c r="Q125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M48" i="2"/>
  <c r="M44" i="2"/>
  <c r="M39" i="2"/>
  <c r="M28" i="2"/>
  <c r="M35" i="2"/>
  <c r="M21" i="2"/>
  <c r="M11" i="2"/>
  <c r="E42" i="2" l="1"/>
  <c r="I37" i="2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59" i="18"/>
  <c r="O32" i="18"/>
  <c r="T7" i="18"/>
  <c r="Q13" i="18"/>
  <c r="X13" i="18" s="1"/>
  <c r="E3" i="20"/>
  <c r="G128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5" i="18"/>
  <c r="J148" i="18"/>
  <c r="G135" i="18"/>
  <c r="Q139" i="18" s="1"/>
  <c r="G105" i="18"/>
  <c r="G104" i="18"/>
  <c r="Z17" i="18" s="1"/>
  <c r="G103" i="18"/>
  <c r="Z16" i="18" s="1"/>
  <c r="G91" i="18"/>
  <c r="G90" i="18"/>
  <c r="Z14" i="18" s="1"/>
  <c r="G53" i="18"/>
  <c r="Z12" i="18" s="1"/>
  <c r="G44" i="18"/>
  <c r="I44" i="18" s="1"/>
  <c r="G29" i="18"/>
  <c r="Z13" i="18" s="1"/>
  <c r="G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I13" i="18"/>
  <c r="X21" i="18"/>
  <c r="I135" i="18" l="1"/>
  <c r="Q138" i="18"/>
  <c r="U80" i="18"/>
  <c r="U88" i="18"/>
  <c r="U82" i="18"/>
  <c r="U87" i="18"/>
  <c r="U83" i="18"/>
  <c r="U81" i="18"/>
  <c r="U86" i="18"/>
  <c r="G42" i="2"/>
  <c r="G39" i="2" s="1"/>
  <c r="E45" i="2"/>
  <c r="E39" i="2"/>
  <c r="J21" i="2"/>
  <c r="K37" i="2"/>
  <c r="I35" i="2"/>
  <c r="Q114" i="18"/>
  <c r="I6" i="18"/>
  <c r="I21" i="18"/>
  <c r="I28" i="18"/>
  <c r="F12" i="3" s="1"/>
  <c r="I128" i="18"/>
  <c r="F21" i="3" s="1"/>
  <c r="F19" i="3"/>
  <c r="J19" i="3" s="1"/>
  <c r="F10" i="3"/>
  <c r="I90" i="18"/>
  <c r="F22" i="3"/>
  <c r="Z15" i="18"/>
  <c r="Z22" i="18" s="1"/>
  <c r="Z23" i="18" s="1"/>
  <c r="Z24" i="18" s="1"/>
  <c r="J2" i="18"/>
  <c r="J4" i="18" s="1"/>
  <c r="F20" i="3"/>
  <c r="Q137" i="18"/>
  <c r="Q113" i="18"/>
  <c r="H10" i="3"/>
  <c r="I53" i="18"/>
  <c r="H20" i="3"/>
  <c r="I103" i="18"/>
  <c r="N14" i="2"/>
  <c r="J23" i="3"/>
  <c r="F18" i="5"/>
  <c r="F15" i="5"/>
  <c r="X6" i="18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U51" i="18"/>
  <c r="Q111" i="18"/>
  <c r="Q108" i="18"/>
  <c r="Q110" i="18"/>
  <c r="Q112" i="18"/>
  <c r="Q109" i="18"/>
  <c r="X128" i="18"/>
  <c r="F13" i="3"/>
  <c r="H11" i="3"/>
  <c r="U123" i="18"/>
  <c r="U122" i="18"/>
  <c r="U47" i="18"/>
  <c r="H13" i="3"/>
  <c r="H16" i="3"/>
  <c r="J16" i="3" s="1"/>
  <c r="U48" i="18"/>
  <c r="U49" i="18"/>
  <c r="U50" i="18"/>
  <c r="G45" i="2" l="1"/>
  <c r="F39" i="2"/>
  <c r="V13" i="18"/>
  <c r="I33" i="2"/>
  <c r="K35" i="2"/>
  <c r="J35" i="2" s="1"/>
  <c r="J20" i="3"/>
  <c r="X135" i="18"/>
  <c r="U139" i="18" s="1"/>
  <c r="F17" i="3"/>
  <c r="F14" i="3"/>
  <c r="J10" i="3"/>
  <c r="F11" i="3"/>
  <c r="J11" i="3" s="1"/>
  <c r="I2" i="18"/>
  <c r="F9" i="3"/>
  <c r="V119" i="18"/>
  <c r="F18" i="3"/>
  <c r="N15" i="2"/>
  <c r="J13" i="3"/>
  <c r="F21" i="5"/>
  <c r="F4" i="5" s="1"/>
  <c r="C9" i="6" s="1"/>
  <c r="H9" i="3"/>
  <c r="X53" i="18"/>
  <c r="U64" i="18" s="1"/>
  <c r="X90" i="18"/>
  <c r="H22" i="3"/>
  <c r="J22" i="3" s="1"/>
  <c r="U132" i="18"/>
  <c r="U128" i="18"/>
  <c r="H21" i="3"/>
  <c r="J21" i="3" s="1"/>
  <c r="U133" i="18"/>
  <c r="U129" i="18"/>
  <c r="U130" i="18"/>
  <c r="U131" i="18"/>
  <c r="X28" i="18"/>
  <c r="X103" i="18"/>
  <c r="V80" i="18"/>
  <c r="V44" i="18"/>
  <c r="V21" i="18"/>
  <c r="U145" i="18" l="1"/>
  <c r="U144" i="18"/>
  <c r="U142" i="18"/>
  <c r="U146" i="18"/>
  <c r="U143" i="18"/>
  <c r="U137" i="18"/>
  <c r="U140" i="18"/>
  <c r="U141" i="18"/>
  <c r="E46" i="2"/>
  <c r="U38" i="18"/>
  <c r="U65" i="18"/>
  <c r="U69" i="18"/>
  <c r="U138" i="18"/>
  <c r="K33" i="2"/>
  <c r="K28" i="2" s="1"/>
  <c r="I28" i="2"/>
  <c r="N25" i="2"/>
  <c r="N24" i="2"/>
  <c r="N26" i="2"/>
  <c r="F5" i="3"/>
  <c r="D5" i="5" s="1"/>
  <c r="D6" i="5" s="1"/>
  <c r="U98" i="18"/>
  <c r="J9" i="3"/>
  <c r="F47" i="5"/>
  <c r="F45" i="5" s="1"/>
  <c r="U34" i="18"/>
  <c r="U62" i="18"/>
  <c r="U95" i="18"/>
  <c r="U94" i="18"/>
  <c r="U97" i="18"/>
  <c r="U66" i="18"/>
  <c r="U93" i="18"/>
  <c r="U96" i="18"/>
  <c r="F25" i="3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12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V135" i="18" l="1"/>
  <c r="D7" i="5"/>
  <c r="G5" i="5"/>
  <c r="E49" i="2"/>
  <c r="G46" i="2"/>
  <c r="G44" i="2" s="1"/>
  <c r="E44" i="2"/>
  <c r="F41" i="5"/>
  <c r="F44" i="5"/>
  <c r="C5" i="6"/>
  <c r="J28" i="2"/>
  <c r="I40" i="2"/>
  <c r="F42" i="5"/>
  <c r="F43" i="5"/>
  <c r="N16" i="2"/>
  <c r="N11" i="2" s="1"/>
  <c r="V53" i="18"/>
  <c r="H5" i="3"/>
  <c r="V103" i="18"/>
  <c r="V28" i="18"/>
  <c r="V90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08" i="18"/>
  <c r="W33" i="18"/>
  <c r="W60" i="18"/>
  <c r="W107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08" i="18"/>
  <c r="T59" i="18"/>
  <c r="T107" i="18"/>
  <c r="K41" i="2"/>
  <c r="N32" i="2"/>
  <c r="N30" i="2"/>
  <c r="N31" i="2"/>
  <c r="H28" i="18"/>
  <c r="H44" i="18"/>
  <c r="H45" i="18" s="1"/>
  <c r="H15" i="5"/>
  <c r="V14" i="2"/>
  <c r="I42" i="2" l="1"/>
  <c r="H90" i="18"/>
  <c r="N23" i="2"/>
  <c r="N22" i="2"/>
  <c r="M18" i="2"/>
  <c r="H105" i="18" l="1"/>
  <c r="H80" i="18"/>
  <c r="H81" i="18"/>
  <c r="K42" i="2"/>
  <c r="K39" i="2" s="1"/>
  <c r="I45" i="2"/>
  <c r="I39" i="2"/>
  <c r="H103" i="18"/>
  <c r="H104" i="18"/>
  <c r="H106" i="18"/>
  <c r="N21" i="2"/>
  <c r="T15" i="2"/>
  <c r="W128" i="18" l="1"/>
  <c r="W119" i="18"/>
  <c r="K45" i="2"/>
  <c r="J39" i="2"/>
  <c r="J9" i="2"/>
  <c r="H91" i="18"/>
  <c r="H29" i="18"/>
  <c r="T17" i="2"/>
  <c r="U15" i="2"/>
  <c r="V15" i="2"/>
  <c r="W93" i="18"/>
  <c r="W61" i="18" l="1"/>
  <c r="T61" i="18" s="1"/>
  <c r="W109" i="18"/>
  <c r="T93" i="18"/>
  <c r="W34" i="18"/>
  <c r="I46" i="2"/>
  <c r="N37" i="2"/>
  <c r="N35" i="2" s="1"/>
  <c r="N33" i="2"/>
  <c r="T109" i="18" l="1"/>
  <c r="T34" i="18"/>
  <c r="I49" i="2"/>
  <c r="K46" i="2"/>
  <c r="K44" i="2" s="1"/>
  <c r="I44" i="2"/>
  <c r="T16" i="2"/>
  <c r="U17" i="2"/>
  <c r="V17" i="2"/>
  <c r="J44" i="2" l="1"/>
  <c r="K49" i="2"/>
  <c r="N28" i="2"/>
  <c r="I50" i="2" l="1"/>
  <c r="I51" i="2"/>
  <c r="K51" i="2" s="1"/>
  <c r="U16" i="2"/>
  <c r="W94" i="18"/>
  <c r="V16" i="2"/>
  <c r="W62" i="18" l="1"/>
  <c r="T62" i="18" s="1"/>
  <c r="T94" i="18"/>
  <c r="W110" i="18"/>
  <c r="W35" i="18"/>
  <c r="K50" i="2"/>
  <c r="K48" i="2" s="1"/>
  <c r="I48" i="2"/>
  <c r="N40" i="2"/>
  <c r="J48" i="2" l="1"/>
  <c r="T35" i="18"/>
  <c r="T110" i="18"/>
  <c r="N41" i="2"/>
  <c r="N42" i="2"/>
  <c r="H17" i="5"/>
  <c r="N45" i="2" l="1"/>
  <c r="H135" i="18"/>
  <c r="H128" i="18"/>
  <c r="N39" i="2"/>
  <c r="K2" i="2" l="1"/>
  <c r="K3" i="2" s="1"/>
  <c r="K4" i="2" s="1"/>
  <c r="T18" i="2"/>
  <c r="U18" i="2" l="1"/>
  <c r="V18" i="2"/>
  <c r="P16" i="5"/>
  <c r="W95" i="18"/>
  <c r="W111" i="18" l="1"/>
  <c r="W36" i="18"/>
  <c r="T95" i="18"/>
  <c r="W63" i="18"/>
  <c r="T63" i="18" s="1"/>
  <c r="N44" i="2"/>
  <c r="T111" i="18" l="1"/>
  <c r="T36" i="18"/>
  <c r="N46" i="2"/>
  <c r="T19" i="2"/>
  <c r="N49" i="2" l="1"/>
  <c r="W97" i="18"/>
  <c r="W98" i="18"/>
  <c r="W96" i="18"/>
  <c r="W114" i="18" l="1"/>
  <c r="W39" i="18"/>
  <c r="W66" i="18"/>
  <c r="T66" i="18" s="1"/>
  <c r="T98" i="18"/>
  <c r="W37" i="18"/>
  <c r="T96" i="18"/>
  <c r="W112" i="18"/>
  <c r="W64" i="18"/>
  <c r="T64" i="18" s="1"/>
  <c r="W113" i="18"/>
  <c r="W38" i="18"/>
  <c r="W65" i="18"/>
  <c r="T65" i="18" s="1"/>
  <c r="T97" i="18"/>
  <c r="U19" i="2"/>
  <c r="V19" i="2"/>
  <c r="T39" i="18" l="1"/>
  <c r="T114" i="18"/>
  <c r="T113" i="18"/>
  <c r="T38" i="18"/>
  <c r="T37" i="18"/>
  <c r="T112" i="18"/>
  <c r="N51" i="2"/>
  <c r="N50" i="2"/>
  <c r="P17" i="5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6" i="5"/>
  <c r="H121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28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38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<sst xmlns="http://schemas.openxmlformats.org/spreadsheetml/2006/main" count="792" uniqueCount="446">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</sst>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2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8" fillId="11" borderId="49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57</c:v>
                  </c:pt>
                  <c:pt idx="3">
                    <c:v>29</c:v>
                  </c:pt>
                  <c:pt idx="4">
                    <c:v>23</c:v>
                  </c:pt>
                  <c:pt idx="5">
                    <c:v>9</c:v>
                  </c:pt>
                  <c:pt idx="6">
                    <c:v>14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46085</c:v>
                </c:pt>
                <c:pt idx="6">
                  <c:v>46087</c:v>
                </c:pt>
                <c:pt idx="7">
                  <c:v>46092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1769809.2934343095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57964.154000000002</c:v>
                </c:pt>
                <c:pt idx="12">
                  <c:v>139587.38800000001</c:v>
                </c:pt>
                <c:pt idx="13">
                  <c:v>173302.83799999999</c:v>
                </c:pt>
                <c:pt idx="14">
                  <c:v>173302.83799999999</c:v>
                </c:pt>
                <c:pt idx="15">
                  <c:v>265719.83799999999</c:v>
                </c:pt>
                <c:pt idx="16">
                  <c:v>378519.0135</c:v>
                </c:pt>
                <c:pt idx="17">
                  <c:v>462827.05338729353</c:v>
                </c:pt>
                <c:pt idx="18">
                  <c:v>503507.77038729354</c:v>
                </c:pt>
                <c:pt idx="19">
                  <c:v>1112405.2758872937</c:v>
                </c:pt>
                <c:pt idx="20">
                  <c:v>1280518.6358872936</c:v>
                </c:pt>
                <c:pt idx="21">
                  <c:v>1280676.1358872936</c:v>
                </c:pt>
                <c:pt idx="22">
                  <c:v>1301016.4943872937</c:v>
                </c:pt>
                <c:pt idx="23">
                  <c:v>1301016.4943872937</c:v>
                </c:pt>
                <c:pt idx="24">
                  <c:v>1301016.4943872937</c:v>
                </c:pt>
                <c:pt idx="25">
                  <c:v>1301173.9943872937</c:v>
                </c:pt>
                <c:pt idx="26">
                  <c:v>1301173.9943872937</c:v>
                </c:pt>
                <c:pt idx="27">
                  <c:v>1301173.9943872937</c:v>
                </c:pt>
                <c:pt idx="28">
                  <c:v>1301173.9943872937</c:v>
                </c:pt>
                <c:pt idx="29">
                  <c:v>1301173.9943872937</c:v>
                </c:pt>
                <c:pt idx="30">
                  <c:v>1301173.9943872937</c:v>
                </c:pt>
                <c:pt idx="31">
                  <c:v>1301173.9943872937</c:v>
                </c:pt>
                <c:pt idx="32">
                  <c:v>1301173.9943872937</c:v>
                </c:pt>
                <c:pt idx="33">
                  <c:v>1301173.9943872937</c:v>
                </c:pt>
                <c:pt idx="34">
                  <c:v>1301173.9943872937</c:v>
                </c:pt>
                <c:pt idx="35">
                  <c:v>1301173.9943872937</c:v>
                </c:pt>
                <c:pt idx="36">
                  <c:v>1301173.9943872937</c:v>
                </c:pt>
                <c:pt idx="37">
                  <c:v>1301173.9943872937</c:v>
                </c:pt>
                <c:pt idx="38">
                  <c:v>1301173.9943872937</c:v>
                </c:pt>
                <c:pt idx="39">
                  <c:v>1301173.9943872937</c:v>
                </c:pt>
                <c:pt idx="40">
                  <c:v>1301173.9943872937</c:v>
                </c:pt>
                <c:pt idx="41">
                  <c:v>1301173.9943872937</c:v>
                </c:pt>
                <c:pt idx="42">
                  <c:v>1301173.9943872937</c:v>
                </c:pt>
                <c:pt idx="43">
                  <c:v>1301173.9943872937</c:v>
                </c:pt>
                <c:pt idx="44">
                  <c:v>1301173.9943872937</c:v>
                </c:pt>
                <c:pt idx="45">
                  <c:v>1301173.9943872937</c:v>
                </c:pt>
                <c:pt idx="46">
                  <c:v>1301173.9943872937</c:v>
                </c:pt>
                <c:pt idx="47">
                  <c:v>1301173.9943872937</c:v>
                </c:pt>
                <c:pt idx="48">
                  <c:v>1301173.9943872937</c:v>
                </c:pt>
                <c:pt idx="49">
                  <c:v>1301173.9943872937</c:v>
                </c:pt>
                <c:pt idx="50">
                  <c:v>1301173.9943872937</c:v>
                </c:pt>
                <c:pt idx="51">
                  <c:v>1301173.9943872937</c:v>
                </c:pt>
                <c:pt idx="52">
                  <c:v>1301173.9943872937</c:v>
                </c:pt>
                <c:pt idx="53">
                  <c:v>1301173.9943872937</c:v>
                </c:pt>
                <c:pt idx="54">
                  <c:v>1301173.9943872937</c:v>
                </c:pt>
                <c:pt idx="55">
                  <c:v>1301173.9943872937</c:v>
                </c:pt>
                <c:pt idx="56">
                  <c:v>1301173.9943872937</c:v>
                </c:pt>
                <c:pt idx="57">
                  <c:v>1301173.9943872937</c:v>
                </c:pt>
                <c:pt idx="58">
                  <c:v>1301173.9943872937</c:v>
                </c:pt>
                <c:pt idx="59">
                  <c:v>1301173.9943872937</c:v>
                </c:pt>
                <c:pt idx="60">
                  <c:v>1301173.9943872937</c:v>
                </c:pt>
                <c:pt idx="61">
                  <c:v>1301173.9943872937</c:v>
                </c:pt>
                <c:pt idx="62">
                  <c:v>1301173.9943872937</c:v>
                </c:pt>
                <c:pt idx="63">
                  <c:v>1301173.9943872937</c:v>
                </c:pt>
                <c:pt idx="64">
                  <c:v>1301173.9943872937</c:v>
                </c:pt>
                <c:pt idx="65">
                  <c:v>1301173.9943872937</c:v>
                </c:pt>
                <c:pt idx="66">
                  <c:v>1301173.9943872937</c:v>
                </c:pt>
                <c:pt idx="67">
                  <c:v>1301173.9943872937</c:v>
                </c:pt>
                <c:pt idx="68">
                  <c:v>1301173.9943872937</c:v>
                </c:pt>
                <c:pt idx="69">
                  <c:v>1301173.9943872937</c:v>
                </c:pt>
                <c:pt idx="70">
                  <c:v>1301173.9943872937</c:v>
                </c:pt>
                <c:pt idx="71">
                  <c:v>1301173.9943872937</c:v>
                </c:pt>
                <c:pt idx="72">
                  <c:v>1301173.9943872937</c:v>
                </c:pt>
                <c:pt idx="73">
                  <c:v>1301173.9943872937</c:v>
                </c:pt>
                <c:pt idx="74">
                  <c:v>1301173.9943872937</c:v>
                </c:pt>
                <c:pt idx="75">
                  <c:v>1301173.9943872937</c:v>
                </c:pt>
                <c:pt idx="76">
                  <c:v>1301173.9943872937</c:v>
                </c:pt>
                <c:pt idx="77">
                  <c:v>1301173.9943872937</c:v>
                </c:pt>
                <c:pt idx="78">
                  <c:v>1301173.9943872937</c:v>
                </c:pt>
                <c:pt idx="79">
                  <c:v>1301173.9943872937</c:v>
                </c:pt>
                <c:pt idx="80">
                  <c:v>1301173.9943872937</c:v>
                </c:pt>
                <c:pt idx="81">
                  <c:v>1301173.9943872937</c:v>
                </c:pt>
                <c:pt idx="82">
                  <c:v>1301173.9943872937</c:v>
                </c:pt>
                <c:pt idx="83">
                  <c:v>1301173.9943872937</c:v>
                </c:pt>
                <c:pt idx="84">
                  <c:v>1301173.9943872937</c:v>
                </c:pt>
                <c:pt idx="85">
                  <c:v>1301173.9943872937</c:v>
                </c:pt>
                <c:pt idx="86">
                  <c:v>1301173.9943872937</c:v>
                </c:pt>
                <c:pt idx="87">
                  <c:v>1301173.9943872937</c:v>
                </c:pt>
                <c:pt idx="88">
                  <c:v>1301173.9943872937</c:v>
                </c:pt>
                <c:pt idx="89">
                  <c:v>1301173.9943872937</c:v>
                </c:pt>
                <c:pt idx="90">
                  <c:v>1301173.9943872937</c:v>
                </c:pt>
                <c:pt idx="91">
                  <c:v>1301173.9943872937</c:v>
                </c:pt>
                <c:pt idx="92">
                  <c:v>1301173.9943872937</c:v>
                </c:pt>
                <c:pt idx="93">
                  <c:v>1301173.9943872937</c:v>
                </c:pt>
                <c:pt idx="94">
                  <c:v>1301173.9943872937</c:v>
                </c:pt>
                <c:pt idx="95">
                  <c:v>1301173.9943872937</c:v>
                </c:pt>
                <c:pt idx="96">
                  <c:v>1301173.9943872937</c:v>
                </c:pt>
                <c:pt idx="97">
                  <c:v>1301173.9943872937</c:v>
                </c:pt>
                <c:pt idx="98">
                  <c:v>1301173.9943872937</c:v>
                </c:pt>
                <c:pt idx="99">
                  <c:v>1301173.9943872937</c:v>
                </c:pt>
                <c:pt idx="100">
                  <c:v>1301173.9943872937</c:v>
                </c:pt>
                <c:pt idx="101">
                  <c:v>1301173.9943872937</c:v>
                </c:pt>
                <c:pt idx="102">
                  <c:v>1301173.9943872937</c:v>
                </c:pt>
                <c:pt idx="103">
                  <c:v>1301173.9943872937</c:v>
                </c:pt>
                <c:pt idx="104">
                  <c:v>1301173.9943872937</c:v>
                </c:pt>
                <c:pt idx="105">
                  <c:v>1301173.9943872937</c:v>
                </c:pt>
                <c:pt idx="106">
                  <c:v>1301173.9943872937</c:v>
                </c:pt>
                <c:pt idx="107">
                  <c:v>1301173.9943872937</c:v>
                </c:pt>
                <c:pt idx="108">
                  <c:v>1301173.9943872937</c:v>
                </c:pt>
                <c:pt idx="109">
                  <c:v>1301173.9943872937</c:v>
                </c:pt>
                <c:pt idx="110">
                  <c:v>1301173.9943872937</c:v>
                </c:pt>
                <c:pt idx="111">
                  <c:v>1301173.9943872937</c:v>
                </c:pt>
                <c:pt idx="112">
                  <c:v>1301173.9943872937</c:v>
                </c:pt>
                <c:pt idx="113">
                  <c:v>1301173.9943872937</c:v>
                </c:pt>
                <c:pt idx="114">
                  <c:v>1301173.9943872937</c:v>
                </c:pt>
                <c:pt idx="115">
                  <c:v>1301173.9943872937</c:v>
                </c:pt>
                <c:pt idx="116">
                  <c:v>1301173.9943872937</c:v>
                </c:pt>
                <c:pt idx="117">
                  <c:v>1301173.9943872937</c:v>
                </c:pt>
                <c:pt idx="118">
                  <c:v>1301173.9943872937</c:v>
                </c:pt>
                <c:pt idx="119">
                  <c:v>1301173.9943872937</c:v>
                </c:pt>
                <c:pt idx="120">
                  <c:v>1301173.9943872937</c:v>
                </c:pt>
                <c:pt idx="121">
                  <c:v>1301173.9943872937</c:v>
                </c:pt>
                <c:pt idx="122">
                  <c:v>1301173.9943872937</c:v>
                </c:pt>
                <c:pt idx="123">
                  <c:v>1301173.9943872937</c:v>
                </c:pt>
                <c:pt idx="124">
                  <c:v>1301173.9943872937</c:v>
                </c:pt>
                <c:pt idx="125">
                  <c:v>1301173.9943872937</c:v>
                </c:pt>
                <c:pt idx="126">
                  <c:v>1301173.9943872937</c:v>
                </c:pt>
                <c:pt idx="127">
                  <c:v>1301173.9943872937</c:v>
                </c:pt>
                <c:pt idx="128">
                  <c:v>1301173.9943872937</c:v>
                </c:pt>
                <c:pt idx="129">
                  <c:v>1301173.9943872937</c:v>
                </c:pt>
                <c:pt idx="130">
                  <c:v>1301173.9943872937</c:v>
                </c:pt>
                <c:pt idx="131">
                  <c:v>1301173.9943872937</c:v>
                </c:pt>
                <c:pt idx="132">
                  <c:v>1301173.9943872937</c:v>
                </c:pt>
                <c:pt idx="133">
                  <c:v>1301173.9943872937</c:v>
                </c:pt>
                <c:pt idx="134">
                  <c:v>1301173.9943872937</c:v>
                </c:pt>
                <c:pt idx="135">
                  <c:v>1301173.9943872937</c:v>
                </c:pt>
                <c:pt idx="136">
                  <c:v>1301173.9943872937</c:v>
                </c:pt>
                <c:pt idx="137">
                  <c:v>1301173.9943872937</c:v>
                </c:pt>
                <c:pt idx="138">
                  <c:v>1301173.9943872937</c:v>
                </c:pt>
                <c:pt idx="139">
                  <c:v>1301173.9943872937</c:v>
                </c:pt>
                <c:pt idx="140">
                  <c:v>1301173.9943872937</c:v>
                </c:pt>
                <c:pt idx="141">
                  <c:v>1301173.9943872937</c:v>
                </c:pt>
                <c:pt idx="142">
                  <c:v>1301173.9943872937</c:v>
                </c:pt>
                <c:pt idx="143">
                  <c:v>1301173.9943872937</c:v>
                </c:pt>
                <c:pt idx="144">
                  <c:v>1301173.9943872937</c:v>
                </c:pt>
                <c:pt idx="145">
                  <c:v>1301173.9943872937</c:v>
                </c:pt>
                <c:pt idx="146">
                  <c:v>1301173.9943872937</c:v>
                </c:pt>
                <c:pt idx="147">
                  <c:v>1301173.9943872937</c:v>
                </c:pt>
                <c:pt idx="148">
                  <c:v>1301173.9943872937</c:v>
                </c:pt>
                <c:pt idx="149">
                  <c:v>1301173.9943872937</c:v>
                </c:pt>
                <c:pt idx="150">
                  <c:v>1301173.9943872937</c:v>
                </c:pt>
                <c:pt idx="151">
                  <c:v>1301173.9943872937</c:v>
                </c:pt>
                <c:pt idx="152">
                  <c:v>1301173.9943872937</c:v>
                </c:pt>
                <c:pt idx="153">
                  <c:v>1301173.9943872937</c:v>
                </c:pt>
                <c:pt idx="154">
                  <c:v>1301173.9943872937</c:v>
                </c:pt>
                <c:pt idx="155">
                  <c:v>1301173.9943872937</c:v>
                </c:pt>
                <c:pt idx="156">
                  <c:v>1301173.9943872937</c:v>
                </c:pt>
                <c:pt idx="157">
                  <c:v>1301173.9943872937</c:v>
                </c:pt>
                <c:pt idx="158">
                  <c:v>1301173.9943872937</c:v>
                </c:pt>
                <c:pt idx="159">
                  <c:v>1301173.9943872937</c:v>
                </c:pt>
                <c:pt idx="160">
                  <c:v>1301173.9943872937</c:v>
                </c:pt>
                <c:pt idx="161">
                  <c:v>1301173.9943872937</c:v>
                </c:pt>
                <c:pt idx="162">
                  <c:v>1301173.9943872937</c:v>
                </c:pt>
                <c:pt idx="163">
                  <c:v>1301173.9943872937</c:v>
                </c:pt>
                <c:pt idx="164">
                  <c:v>1301173.9943872937</c:v>
                </c:pt>
                <c:pt idx="165">
                  <c:v>1301173.9943872937</c:v>
                </c:pt>
                <c:pt idx="166">
                  <c:v>1301173.9943872937</c:v>
                </c:pt>
                <c:pt idx="167">
                  <c:v>1301173.9943872937</c:v>
                </c:pt>
                <c:pt idx="168">
                  <c:v>1301173.9943872937</c:v>
                </c:pt>
                <c:pt idx="169">
                  <c:v>1301173.9943872937</c:v>
                </c:pt>
                <c:pt idx="170">
                  <c:v>1301173.9943872937</c:v>
                </c:pt>
                <c:pt idx="171">
                  <c:v>1301173.9943872937</c:v>
                </c:pt>
                <c:pt idx="172">
                  <c:v>1301173.9943872937</c:v>
                </c:pt>
                <c:pt idx="173">
                  <c:v>1301173.9943872937</c:v>
                </c:pt>
                <c:pt idx="174">
                  <c:v>1301173.9943872937</c:v>
                </c:pt>
                <c:pt idx="175">
                  <c:v>1301173.9943872937</c:v>
                </c:pt>
                <c:pt idx="176">
                  <c:v>1301173.9943872937</c:v>
                </c:pt>
                <c:pt idx="177">
                  <c:v>1301173.9943872937</c:v>
                </c:pt>
                <c:pt idx="178">
                  <c:v>1301173.9943872937</c:v>
                </c:pt>
                <c:pt idx="179">
                  <c:v>1301173.9943872937</c:v>
                </c:pt>
                <c:pt idx="180">
                  <c:v>1301173.9943872937</c:v>
                </c:pt>
                <c:pt idx="181">
                  <c:v>1301173.9943872937</c:v>
                </c:pt>
                <c:pt idx="182">
                  <c:v>1301173.9943872937</c:v>
                </c:pt>
                <c:pt idx="183">
                  <c:v>1301173.9943872937</c:v>
                </c:pt>
                <c:pt idx="184">
                  <c:v>1301173.9943872937</c:v>
                </c:pt>
                <c:pt idx="185">
                  <c:v>1301173.9943872937</c:v>
                </c:pt>
                <c:pt idx="186">
                  <c:v>1301173.9943872937</c:v>
                </c:pt>
                <c:pt idx="187">
                  <c:v>1301173.9943872937</c:v>
                </c:pt>
                <c:pt idx="188">
                  <c:v>1301173.9943872937</c:v>
                </c:pt>
                <c:pt idx="189">
                  <c:v>1301173.9943872937</c:v>
                </c:pt>
                <c:pt idx="190">
                  <c:v>1301173.9943872937</c:v>
                </c:pt>
                <c:pt idx="191">
                  <c:v>1301173.9943872937</c:v>
                </c:pt>
                <c:pt idx="192">
                  <c:v>1301173.9943872937</c:v>
                </c:pt>
                <c:pt idx="193">
                  <c:v>1301173.9943872937</c:v>
                </c:pt>
                <c:pt idx="194">
                  <c:v>1301173.9943872937</c:v>
                </c:pt>
                <c:pt idx="195">
                  <c:v>1301173.9943872937</c:v>
                </c:pt>
                <c:pt idx="196">
                  <c:v>1301173.9943872937</c:v>
                </c:pt>
                <c:pt idx="197">
                  <c:v>1301173.9943872937</c:v>
                </c:pt>
                <c:pt idx="198">
                  <c:v>1301173.9943872937</c:v>
                </c:pt>
                <c:pt idx="199">
                  <c:v>1301173.9943872937</c:v>
                </c:pt>
                <c:pt idx="200">
                  <c:v>1301173.9943872937</c:v>
                </c:pt>
                <c:pt idx="201">
                  <c:v>1301173.9943872937</c:v>
                </c:pt>
                <c:pt idx="202">
                  <c:v>1301173.9943872937</c:v>
                </c:pt>
                <c:pt idx="203">
                  <c:v>1301173.9943872937</c:v>
                </c:pt>
                <c:pt idx="204">
                  <c:v>1301173.9943872937</c:v>
                </c:pt>
                <c:pt idx="205">
                  <c:v>1301173.9943872937</c:v>
                </c:pt>
                <c:pt idx="206">
                  <c:v>1301173.9943872937</c:v>
                </c:pt>
                <c:pt idx="207">
                  <c:v>1301173.9943872937</c:v>
                </c:pt>
                <c:pt idx="208">
                  <c:v>1301173.9943872937</c:v>
                </c:pt>
                <c:pt idx="209">
                  <c:v>1301173.9943872937</c:v>
                </c:pt>
                <c:pt idx="210">
                  <c:v>1301173.9943872937</c:v>
                </c:pt>
                <c:pt idx="211">
                  <c:v>1301173.9943872937</c:v>
                </c:pt>
                <c:pt idx="212">
                  <c:v>1301173.9943872937</c:v>
                </c:pt>
                <c:pt idx="213">
                  <c:v>1301173.9943872937</c:v>
                </c:pt>
                <c:pt idx="214">
                  <c:v>1301173.9943872937</c:v>
                </c:pt>
                <c:pt idx="215">
                  <c:v>1301173.9943872937</c:v>
                </c:pt>
                <c:pt idx="216">
                  <c:v>1301173.9943872937</c:v>
                </c:pt>
                <c:pt idx="217">
                  <c:v>1301173.9943872937</c:v>
                </c:pt>
                <c:pt idx="218">
                  <c:v>1301173.9943872937</c:v>
                </c:pt>
                <c:pt idx="219">
                  <c:v>1301173.9943872937</c:v>
                </c:pt>
                <c:pt idx="220">
                  <c:v>1301173.9943872937</c:v>
                </c:pt>
                <c:pt idx="221">
                  <c:v>1301173.9943872937</c:v>
                </c:pt>
                <c:pt idx="222">
                  <c:v>1301173.9943872937</c:v>
                </c:pt>
                <c:pt idx="223">
                  <c:v>1301173.9943872937</c:v>
                </c:pt>
                <c:pt idx="224">
                  <c:v>1301173.9943872937</c:v>
                </c:pt>
                <c:pt idx="225">
                  <c:v>1301173.9943872937</c:v>
                </c:pt>
                <c:pt idx="226">
                  <c:v>1301173.9943872937</c:v>
                </c:pt>
                <c:pt idx="227">
                  <c:v>1301173.9943872937</c:v>
                </c:pt>
                <c:pt idx="228">
                  <c:v>1301173.9943872937</c:v>
                </c:pt>
                <c:pt idx="229">
                  <c:v>1301173.9943872937</c:v>
                </c:pt>
                <c:pt idx="230">
                  <c:v>1301173.9943872937</c:v>
                </c:pt>
                <c:pt idx="231">
                  <c:v>1301173.9943872937</c:v>
                </c:pt>
                <c:pt idx="232">
                  <c:v>1301173.9943872937</c:v>
                </c:pt>
                <c:pt idx="233">
                  <c:v>1301173.9943872937</c:v>
                </c:pt>
                <c:pt idx="234">
                  <c:v>1301173.9943872937</c:v>
                </c:pt>
                <c:pt idx="235">
                  <c:v>1301173.9943872937</c:v>
                </c:pt>
                <c:pt idx="236">
                  <c:v>1301173.9943872937</c:v>
                </c:pt>
                <c:pt idx="237">
                  <c:v>1301173.9943872937</c:v>
                </c:pt>
                <c:pt idx="238">
                  <c:v>1301173.9943872937</c:v>
                </c:pt>
                <c:pt idx="239">
                  <c:v>1301173.9943872937</c:v>
                </c:pt>
                <c:pt idx="240">
                  <c:v>1301173.9943872937</c:v>
                </c:pt>
                <c:pt idx="241">
                  <c:v>1301173.9943872937</c:v>
                </c:pt>
                <c:pt idx="242">
                  <c:v>1301173.9943872937</c:v>
                </c:pt>
                <c:pt idx="243">
                  <c:v>1301173.9943872937</c:v>
                </c:pt>
                <c:pt idx="244">
                  <c:v>1301173.9943872937</c:v>
                </c:pt>
                <c:pt idx="245">
                  <c:v>1301173.9943872937</c:v>
                </c:pt>
                <c:pt idx="246">
                  <c:v>1301173.9943872937</c:v>
                </c:pt>
                <c:pt idx="247">
                  <c:v>1301173.9943872937</c:v>
                </c:pt>
                <c:pt idx="248">
                  <c:v>1301173.9943872937</c:v>
                </c:pt>
                <c:pt idx="249">
                  <c:v>1301173.9943872937</c:v>
                </c:pt>
                <c:pt idx="250">
                  <c:v>1301173.9943872937</c:v>
                </c:pt>
                <c:pt idx="251">
                  <c:v>1301173.9943872937</c:v>
                </c:pt>
                <c:pt idx="252">
                  <c:v>1301173.9943872937</c:v>
                </c:pt>
                <c:pt idx="253">
                  <c:v>1301173.9943872937</c:v>
                </c:pt>
                <c:pt idx="254">
                  <c:v>1301173.9943872937</c:v>
                </c:pt>
                <c:pt idx="255">
                  <c:v>1301173.9943872937</c:v>
                </c:pt>
                <c:pt idx="256">
                  <c:v>1301173.9943872937</c:v>
                </c:pt>
                <c:pt idx="257">
                  <c:v>1301173.9943872937</c:v>
                </c:pt>
                <c:pt idx="258">
                  <c:v>1301173.9943872937</c:v>
                </c:pt>
                <c:pt idx="259">
                  <c:v>1301173.9943872937</c:v>
                </c:pt>
                <c:pt idx="260">
                  <c:v>1301173.9943872937</c:v>
                </c:pt>
                <c:pt idx="261">
                  <c:v>1301173.9943872937</c:v>
                </c:pt>
                <c:pt idx="262">
                  <c:v>1301173.9943872937</c:v>
                </c:pt>
                <c:pt idx="263">
                  <c:v>1301173.9943872937</c:v>
                </c:pt>
                <c:pt idx="264">
                  <c:v>1301173.9943872937</c:v>
                </c:pt>
                <c:pt idx="265">
                  <c:v>1301173.9943872937</c:v>
                </c:pt>
                <c:pt idx="266">
                  <c:v>1301173.9943872937</c:v>
                </c:pt>
                <c:pt idx="267">
                  <c:v>1301173.9943872937</c:v>
                </c:pt>
                <c:pt idx="268">
                  <c:v>1301173.9943872937</c:v>
                </c:pt>
                <c:pt idx="269">
                  <c:v>1301173.9943872937</c:v>
                </c:pt>
                <c:pt idx="270">
                  <c:v>1301173.9943872937</c:v>
                </c:pt>
                <c:pt idx="271">
                  <c:v>1301173.9943872937</c:v>
                </c:pt>
                <c:pt idx="272">
                  <c:v>1301173.9943872937</c:v>
                </c:pt>
                <c:pt idx="273">
                  <c:v>1301173.9943872937</c:v>
                </c:pt>
                <c:pt idx="274">
                  <c:v>1301173.9943872937</c:v>
                </c:pt>
                <c:pt idx="275">
                  <c:v>1301173.9943872937</c:v>
                </c:pt>
                <c:pt idx="276">
                  <c:v>1301173.9943872937</c:v>
                </c:pt>
                <c:pt idx="277">
                  <c:v>1301173.9943872937</c:v>
                </c:pt>
                <c:pt idx="278">
                  <c:v>1301173.9943872937</c:v>
                </c:pt>
                <c:pt idx="279">
                  <c:v>1301173.9943872937</c:v>
                </c:pt>
                <c:pt idx="280">
                  <c:v>1301173.9943872937</c:v>
                </c:pt>
                <c:pt idx="281">
                  <c:v>1301173.9943872937</c:v>
                </c:pt>
                <c:pt idx="282">
                  <c:v>1301173.9943872937</c:v>
                </c:pt>
                <c:pt idx="283">
                  <c:v>1301173.9943872937</c:v>
                </c:pt>
                <c:pt idx="284">
                  <c:v>1301173.9943872937</c:v>
                </c:pt>
                <c:pt idx="285">
                  <c:v>1301173.9943872937</c:v>
                </c:pt>
                <c:pt idx="286">
                  <c:v>1301173.9943872937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407775.13374587096</c:v>
                </c:pt>
                <c:pt idx="12">
                  <c:v>1443926.1903359611</c:v>
                </c:pt>
                <c:pt idx="13">
                  <c:v>1410210.7403359611</c:v>
                </c:pt>
                <c:pt idx="14">
                  <c:v>1410210.7403359611</c:v>
                </c:pt>
                <c:pt idx="15">
                  <c:v>1317793.7403359611</c:v>
                </c:pt>
                <c:pt idx="16">
                  <c:v>1204994.564835961</c:v>
                </c:pt>
                <c:pt idx="17">
                  <c:v>1120686.5249486675</c:v>
                </c:pt>
                <c:pt idx="18">
                  <c:v>1266301.523047016</c:v>
                </c:pt>
                <c:pt idx="19">
                  <c:v>750551.87509619002</c:v>
                </c:pt>
                <c:pt idx="20">
                  <c:v>582438.51509619015</c:v>
                </c:pt>
                <c:pt idx="21">
                  <c:v>582281.01509619015</c:v>
                </c:pt>
                <c:pt idx="22">
                  <c:v>561940.65659619006</c:v>
                </c:pt>
                <c:pt idx="23">
                  <c:v>561940.65659619006</c:v>
                </c:pt>
                <c:pt idx="24">
                  <c:v>561940.65659619006</c:v>
                </c:pt>
                <c:pt idx="25">
                  <c:v>561783.15659619006</c:v>
                </c:pt>
                <c:pt idx="26">
                  <c:v>561783.15659619006</c:v>
                </c:pt>
                <c:pt idx="27">
                  <c:v>561783.15659619006</c:v>
                </c:pt>
                <c:pt idx="28">
                  <c:v>561783.15659619006</c:v>
                </c:pt>
                <c:pt idx="29">
                  <c:v>561783.15659619006</c:v>
                </c:pt>
                <c:pt idx="30">
                  <c:v>561783.15659619006</c:v>
                </c:pt>
                <c:pt idx="31">
                  <c:v>561783.15659619006</c:v>
                </c:pt>
                <c:pt idx="32">
                  <c:v>561783.15659619006</c:v>
                </c:pt>
                <c:pt idx="33">
                  <c:v>561783.15659619006</c:v>
                </c:pt>
                <c:pt idx="34">
                  <c:v>561783.15659619006</c:v>
                </c:pt>
                <c:pt idx="35">
                  <c:v>561783.15659619006</c:v>
                </c:pt>
                <c:pt idx="36">
                  <c:v>561783.15659619006</c:v>
                </c:pt>
                <c:pt idx="37">
                  <c:v>561783.15659619006</c:v>
                </c:pt>
                <c:pt idx="38">
                  <c:v>561783.15659619006</c:v>
                </c:pt>
                <c:pt idx="39">
                  <c:v>561783.15659619006</c:v>
                </c:pt>
                <c:pt idx="40">
                  <c:v>561783.15659619006</c:v>
                </c:pt>
                <c:pt idx="41">
                  <c:v>561783.15659619006</c:v>
                </c:pt>
                <c:pt idx="42">
                  <c:v>561783.15659619006</c:v>
                </c:pt>
                <c:pt idx="43">
                  <c:v>561783.15659619006</c:v>
                </c:pt>
                <c:pt idx="44">
                  <c:v>561783.15659619006</c:v>
                </c:pt>
                <c:pt idx="45">
                  <c:v>561783.15659619006</c:v>
                </c:pt>
                <c:pt idx="46">
                  <c:v>561783.15659619006</c:v>
                </c:pt>
                <c:pt idx="47">
                  <c:v>561783.15659619006</c:v>
                </c:pt>
                <c:pt idx="48">
                  <c:v>561783.15659619006</c:v>
                </c:pt>
                <c:pt idx="49">
                  <c:v>561783.15659619006</c:v>
                </c:pt>
                <c:pt idx="50">
                  <c:v>561783.15659619006</c:v>
                </c:pt>
                <c:pt idx="51">
                  <c:v>561783.15659619006</c:v>
                </c:pt>
                <c:pt idx="52">
                  <c:v>561783.15659619006</c:v>
                </c:pt>
                <c:pt idx="53">
                  <c:v>561783.15659619006</c:v>
                </c:pt>
                <c:pt idx="54">
                  <c:v>561783.15659619006</c:v>
                </c:pt>
                <c:pt idx="55">
                  <c:v>561783.15659619006</c:v>
                </c:pt>
                <c:pt idx="56">
                  <c:v>561783.15659619006</c:v>
                </c:pt>
                <c:pt idx="57">
                  <c:v>561783.15659619006</c:v>
                </c:pt>
                <c:pt idx="58">
                  <c:v>561783.15659619006</c:v>
                </c:pt>
                <c:pt idx="59">
                  <c:v>561783.15659619006</c:v>
                </c:pt>
                <c:pt idx="60">
                  <c:v>561783.15659619006</c:v>
                </c:pt>
                <c:pt idx="61">
                  <c:v>561783.15659619006</c:v>
                </c:pt>
                <c:pt idx="62">
                  <c:v>561783.15659619006</c:v>
                </c:pt>
                <c:pt idx="63">
                  <c:v>561783.15659619006</c:v>
                </c:pt>
                <c:pt idx="64">
                  <c:v>561783.15659619006</c:v>
                </c:pt>
                <c:pt idx="65">
                  <c:v>561783.15659619006</c:v>
                </c:pt>
                <c:pt idx="66">
                  <c:v>561783.15659619006</c:v>
                </c:pt>
                <c:pt idx="67">
                  <c:v>561783.15659619006</c:v>
                </c:pt>
                <c:pt idx="68">
                  <c:v>561783.15659619006</c:v>
                </c:pt>
                <c:pt idx="69">
                  <c:v>561783.15659619006</c:v>
                </c:pt>
                <c:pt idx="70">
                  <c:v>561783.15659619006</c:v>
                </c:pt>
                <c:pt idx="71">
                  <c:v>561783.15659619006</c:v>
                </c:pt>
                <c:pt idx="72">
                  <c:v>561783.15659619006</c:v>
                </c:pt>
                <c:pt idx="73">
                  <c:v>561783.15659619006</c:v>
                </c:pt>
                <c:pt idx="74">
                  <c:v>561783.15659619006</c:v>
                </c:pt>
                <c:pt idx="75">
                  <c:v>561783.15659619006</c:v>
                </c:pt>
                <c:pt idx="76">
                  <c:v>561783.15659619006</c:v>
                </c:pt>
                <c:pt idx="77">
                  <c:v>561783.15659619006</c:v>
                </c:pt>
                <c:pt idx="78">
                  <c:v>561783.15659619006</c:v>
                </c:pt>
                <c:pt idx="79">
                  <c:v>561783.15659619006</c:v>
                </c:pt>
                <c:pt idx="80">
                  <c:v>561783.15659619006</c:v>
                </c:pt>
                <c:pt idx="81">
                  <c:v>561783.15659619006</c:v>
                </c:pt>
                <c:pt idx="82">
                  <c:v>561783.15659619006</c:v>
                </c:pt>
                <c:pt idx="83">
                  <c:v>561783.15659619006</c:v>
                </c:pt>
                <c:pt idx="84">
                  <c:v>561783.15659619006</c:v>
                </c:pt>
                <c:pt idx="85">
                  <c:v>561783.15659619006</c:v>
                </c:pt>
                <c:pt idx="86">
                  <c:v>561783.15659619006</c:v>
                </c:pt>
                <c:pt idx="87">
                  <c:v>561783.15659619006</c:v>
                </c:pt>
                <c:pt idx="88">
                  <c:v>561783.15659619006</c:v>
                </c:pt>
                <c:pt idx="89">
                  <c:v>561783.15659619006</c:v>
                </c:pt>
                <c:pt idx="90">
                  <c:v>561783.15659619006</c:v>
                </c:pt>
                <c:pt idx="91">
                  <c:v>561783.15659619006</c:v>
                </c:pt>
                <c:pt idx="92">
                  <c:v>561783.15659619006</c:v>
                </c:pt>
                <c:pt idx="93">
                  <c:v>561783.15659619006</c:v>
                </c:pt>
                <c:pt idx="94">
                  <c:v>561783.15659619006</c:v>
                </c:pt>
                <c:pt idx="95">
                  <c:v>561783.15659619006</c:v>
                </c:pt>
                <c:pt idx="96">
                  <c:v>561783.15659619006</c:v>
                </c:pt>
                <c:pt idx="97">
                  <c:v>561783.15659619006</c:v>
                </c:pt>
                <c:pt idx="98">
                  <c:v>561783.15659619006</c:v>
                </c:pt>
                <c:pt idx="99">
                  <c:v>561783.15659619006</c:v>
                </c:pt>
                <c:pt idx="100">
                  <c:v>561783.15659619006</c:v>
                </c:pt>
                <c:pt idx="101">
                  <c:v>561783.15659619006</c:v>
                </c:pt>
                <c:pt idx="102">
                  <c:v>561783.15659619006</c:v>
                </c:pt>
                <c:pt idx="103">
                  <c:v>561783.15659619006</c:v>
                </c:pt>
                <c:pt idx="104">
                  <c:v>561783.15659619006</c:v>
                </c:pt>
                <c:pt idx="105">
                  <c:v>561783.15659619006</c:v>
                </c:pt>
                <c:pt idx="106">
                  <c:v>561783.15659619006</c:v>
                </c:pt>
                <c:pt idx="107">
                  <c:v>561783.15659619006</c:v>
                </c:pt>
                <c:pt idx="108">
                  <c:v>561783.15659619006</c:v>
                </c:pt>
                <c:pt idx="109">
                  <c:v>561783.15659619006</c:v>
                </c:pt>
                <c:pt idx="110">
                  <c:v>561783.15659619006</c:v>
                </c:pt>
                <c:pt idx="111">
                  <c:v>561783.15659619006</c:v>
                </c:pt>
                <c:pt idx="112">
                  <c:v>561783.15659619006</c:v>
                </c:pt>
                <c:pt idx="113">
                  <c:v>561783.15659619006</c:v>
                </c:pt>
                <c:pt idx="114">
                  <c:v>561783.15659619006</c:v>
                </c:pt>
                <c:pt idx="115">
                  <c:v>561783.15659619006</c:v>
                </c:pt>
                <c:pt idx="116">
                  <c:v>561783.15659619006</c:v>
                </c:pt>
                <c:pt idx="117">
                  <c:v>561783.15659619006</c:v>
                </c:pt>
                <c:pt idx="118">
                  <c:v>561783.15659619006</c:v>
                </c:pt>
                <c:pt idx="119">
                  <c:v>561783.15659619006</c:v>
                </c:pt>
                <c:pt idx="120">
                  <c:v>561783.15659619006</c:v>
                </c:pt>
                <c:pt idx="121">
                  <c:v>561783.15659619006</c:v>
                </c:pt>
                <c:pt idx="122">
                  <c:v>561783.15659619006</c:v>
                </c:pt>
                <c:pt idx="123">
                  <c:v>561783.15659619006</c:v>
                </c:pt>
                <c:pt idx="124">
                  <c:v>561783.15659619006</c:v>
                </c:pt>
                <c:pt idx="125">
                  <c:v>561783.15659619006</c:v>
                </c:pt>
                <c:pt idx="126">
                  <c:v>561783.15659619006</c:v>
                </c:pt>
                <c:pt idx="127">
                  <c:v>561783.15659619006</c:v>
                </c:pt>
                <c:pt idx="128">
                  <c:v>561783.15659619006</c:v>
                </c:pt>
                <c:pt idx="129">
                  <c:v>561783.15659619006</c:v>
                </c:pt>
                <c:pt idx="130">
                  <c:v>561783.15659619006</c:v>
                </c:pt>
                <c:pt idx="131">
                  <c:v>561783.15659619006</c:v>
                </c:pt>
                <c:pt idx="132">
                  <c:v>561783.15659619006</c:v>
                </c:pt>
                <c:pt idx="133">
                  <c:v>561783.15659619006</c:v>
                </c:pt>
                <c:pt idx="134">
                  <c:v>561783.15659619006</c:v>
                </c:pt>
                <c:pt idx="135">
                  <c:v>561783.15659619006</c:v>
                </c:pt>
                <c:pt idx="136">
                  <c:v>561783.15659619006</c:v>
                </c:pt>
                <c:pt idx="137">
                  <c:v>561783.15659619006</c:v>
                </c:pt>
                <c:pt idx="138">
                  <c:v>561783.15659619006</c:v>
                </c:pt>
                <c:pt idx="139">
                  <c:v>561783.15659619006</c:v>
                </c:pt>
                <c:pt idx="140">
                  <c:v>561783.15659619006</c:v>
                </c:pt>
                <c:pt idx="141">
                  <c:v>561783.15659619006</c:v>
                </c:pt>
                <c:pt idx="142">
                  <c:v>561783.15659619006</c:v>
                </c:pt>
                <c:pt idx="143">
                  <c:v>561783.15659619006</c:v>
                </c:pt>
                <c:pt idx="144">
                  <c:v>561783.15659619006</c:v>
                </c:pt>
                <c:pt idx="145">
                  <c:v>561783.15659619006</c:v>
                </c:pt>
                <c:pt idx="146">
                  <c:v>561783.15659619006</c:v>
                </c:pt>
                <c:pt idx="147">
                  <c:v>561783.15659619006</c:v>
                </c:pt>
                <c:pt idx="148">
                  <c:v>561783.15659619006</c:v>
                </c:pt>
                <c:pt idx="149">
                  <c:v>561783.15659619006</c:v>
                </c:pt>
                <c:pt idx="150">
                  <c:v>561783.15659619006</c:v>
                </c:pt>
                <c:pt idx="151">
                  <c:v>561783.15659619006</c:v>
                </c:pt>
                <c:pt idx="152">
                  <c:v>561783.15659619006</c:v>
                </c:pt>
                <c:pt idx="153">
                  <c:v>561783.15659619006</c:v>
                </c:pt>
                <c:pt idx="154">
                  <c:v>561783.15659619006</c:v>
                </c:pt>
                <c:pt idx="155">
                  <c:v>561783.15659619006</c:v>
                </c:pt>
                <c:pt idx="156">
                  <c:v>561783.15659619006</c:v>
                </c:pt>
                <c:pt idx="157">
                  <c:v>561783.15659619006</c:v>
                </c:pt>
                <c:pt idx="158">
                  <c:v>561783.15659619006</c:v>
                </c:pt>
                <c:pt idx="159">
                  <c:v>561783.15659619006</c:v>
                </c:pt>
                <c:pt idx="160">
                  <c:v>561783.15659619006</c:v>
                </c:pt>
                <c:pt idx="161">
                  <c:v>561783.15659619006</c:v>
                </c:pt>
                <c:pt idx="162">
                  <c:v>561783.15659619006</c:v>
                </c:pt>
                <c:pt idx="163">
                  <c:v>561783.15659619006</c:v>
                </c:pt>
                <c:pt idx="164">
                  <c:v>561783.15659619006</c:v>
                </c:pt>
                <c:pt idx="165">
                  <c:v>561783.15659619006</c:v>
                </c:pt>
                <c:pt idx="166">
                  <c:v>561783.15659619006</c:v>
                </c:pt>
                <c:pt idx="167">
                  <c:v>561783.15659619006</c:v>
                </c:pt>
                <c:pt idx="168">
                  <c:v>561783.15659619006</c:v>
                </c:pt>
                <c:pt idx="169">
                  <c:v>561783.15659619006</c:v>
                </c:pt>
                <c:pt idx="170">
                  <c:v>561783.15659619006</c:v>
                </c:pt>
                <c:pt idx="171">
                  <c:v>561783.15659619006</c:v>
                </c:pt>
                <c:pt idx="172">
                  <c:v>561783.15659619006</c:v>
                </c:pt>
                <c:pt idx="173">
                  <c:v>561783.15659619006</c:v>
                </c:pt>
                <c:pt idx="174">
                  <c:v>561783.15659619006</c:v>
                </c:pt>
                <c:pt idx="175">
                  <c:v>561783.15659619006</c:v>
                </c:pt>
                <c:pt idx="176">
                  <c:v>561783.15659619006</c:v>
                </c:pt>
                <c:pt idx="177">
                  <c:v>561783.15659619006</c:v>
                </c:pt>
                <c:pt idx="178">
                  <c:v>561783.15659619006</c:v>
                </c:pt>
                <c:pt idx="179">
                  <c:v>561783.15659619006</c:v>
                </c:pt>
                <c:pt idx="180">
                  <c:v>561783.15659619006</c:v>
                </c:pt>
                <c:pt idx="181">
                  <c:v>561783.15659619006</c:v>
                </c:pt>
                <c:pt idx="182">
                  <c:v>561783.15659619006</c:v>
                </c:pt>
                <c:pt idx="183">
                  <c:v>561783.15659619006</c:v>
                </c:pt>
                <c:pt idx="184">
                  <c:v>561783.15659619006</c:v>
                </c:pt>
                <c:pt idx="185">
                  <c:v>561783.15659619006</c:v>
                </c:pt>
                <c:pt idx="186">
                  <c:v>561783.15659619006</c:v>
                </c:pt>
                <c:pt idx="187">
                  <c:v>561783.15659619006</c:v>
                </c:pt>
                <c:pt idx="188">
                  <c:v>561783.15659619006</c:v>
                </c:pt>
                <c:pt idx="189">
                  <c:v>561783.15659619006</c:v>
                </c:pt>
                <c:pt idx="190">
                  <c:v>561783.15659619006</c:v>
                </c:pt>
                <c:pt idx="191">
                  <c:v>561783.15659619006</c:v>
                </c:pt>
                <c:pt idx="192">
                  <c:v>561783.15659619006</c:v>
                </c:pt>
                <c:pt idx="193">
                  <c:v>561783.15659619006</c:v>
                </c:pt>
                <c:pt idx="194">
                  <c:v>561783.15659619006</c:v>
                </c:pt>
                <c:pt idx="195">
                  <c:v>561783.15659619006</c:v>
                </c:pt>
                <c:pt idx="196">
                  <c:v>561783.15659619006</c:v>
                </c:pt>
                <c:pt idx="197">
                  <c:v>561783.15659619006</c:v>
                </c:pt>
                <c:pt idx="198">
                  <c:v>561783.15659619006</c:v>
                </c:pt>
                <c:pt idx="199">
                  <c:v>561783.15659619006</c:v>
                </c:pt>
                <c:pt idx="200">
                  <c:v>561783.15659619006</c:v>
                </c:pt>
                <c:pt idx="201">
                  <c:v>561783.15659619006</c:v>
                </c:pt>
                <c:pt idx="202">
                  <c:v>561783.15659619006</c:v>
                </c:pt>
                <c:pt idx="203">
                  <c:v>561783.15659619006</c:v>
                </c:pt>
                <c:pt idx="204">
                  <c:v>561783.15659619006</c:v>
                </c:pt>
                <c:pt idx="205">
                  <c:v>561783.15659619006</c:v>
                </c:pt>
                <c:pt idx="206">
                  <c:v>561783.15659619006</c:v>
                </c:pt>
                <c:pt idx="207">
                  <c:v>561783.15659619006</c:v>
                </c:pt>
                <c:pt idx="208">
                  <c:v>561783.15659619006</c:v>
                </c:pt>
                <c:pt idx="209">
                  <c:v>561783.15659619006</c:v>
                </c:pt>
                <c:pt idx="210">
                  <c:v>561783.15659619006</c:v>
                </c:pt>
                <c:pt idx="211">
                  <c:v>561783.15659619006</c:v>
                </c:pt>
                <c:pt idx="212">
                  <c:v>561783.15659619006</c:v>
                </c:pt>
                <c:pt idx="213">
                  <c:v>561783.15659619006</c:v>
                </c:pt>
                <c:pt idx="214">
                  <c:v>561783.15659619006</c:v>
                </c:pt>
                <c:pt idx="215">
                  <c:v>561783.15659619006</c:v>
                </c:pt>
                <c:pt idx="216">
                  <c:v>561783.15659619006</c:v>
                </c:pt>
                <c:pt idx="217">
                  <c:v>561783.15659619006</c:v>
                </c:pt>
                <c:pt idx="218">
                  <c:v>561783.15659619006</c:v>
                </c:pt>
                <c:pt idx="219">
                  <c:v>561783.15659619006</c:v>
                </c:pt>
                <c:pt idx="220">
                  <c:v>561783.15659619006</c:v>
                </c:pt>
                <c:pt idx="221">
                  <c:v>561783.15659619006</c:v>
                </c:pt>
                <c:pt idx="222">
                  <c:v>561783.15659619006</c:v>
                </c:pt>
                <c:pt idx="223">
                  <c:v>561783.15659619006</c:v>
                </c:pt>
                <c:pt idx="224">
                  <c:v>561783.15659619006</c:v>
                </c:pt>
                <c:pt idx="225">
                  <c:v>561783.15659619006</c:v>
                </c:pt>
                <c:pt idx="226">
                  <c:v>561783.15659619006</c:v>
                </c:pt>
                <c:pt idx="227">
                  <c:v>561783.15659619006</c:v>
                </c:pt>
                <c:pt idx="228">
                  <c:v>561783.15659619006</c:v>
                </c:pt>
                <c:pt idx="229">
                  <c:v>561783.15659619006</c:v>
                </c:pt>
                <c:pt idx="230">
                  <c:v>561783.15659619006</c:v>
                </c:pt>
                <c:pt idx="231">
                  <c:v>561783.15659619006</c:v>
                </c:pt>
                <c:pt idx="232">
                  <c:v>561783.15659619006</c:v>
                </c:pt>
                <c:pt idx="233">
                  <c:v>561783.15659619006</c:v>
                </c:pt>
                <c:pt idx="234">
                  <c:v>561783.15659619006</c:v>
                </c:pt>
                <c:pt idx="235">
                  <c:v>561783.15659619006</c:v>
                </c:pt>
                <c:pt idx="236">
                  <c:v>561783.15659619006</c:v>
                </c:pt>
                <c:pt idx="237">
                  <c:v>561783.15659619006</c:v>
                </c:pt>
                <c:pt idx="238">
                  <c:v>561783.15659619006</c:v>
                </c:pt>
                <c:pt idx="239">
                  <c:v>561783.15659619006</c:v>
                </c:pt>
                <c:pt idx="240">
                  <c:v>561783.15659619006</c:v>
                </c:pt>
                <c:pt idx="241">
                  <c:v>561783.15659619006</c:v>
                </c:pt>
                <c:pt idx="242">
                  <c:v>561783.15659619006</c:v>
                </c:pt>
                <c:pt idx="243">
                  <c:v>561783.15659619006</c:v>
                </c:pt>
                <c:pt idx="244">
                  <c:v>561783.15659619006</c:v>
                </c:pt>
                <c:pt idx="245">
                  <c:v>561783.15659619006</c:v>
                </c:pt>
                <c:pt idx="246">
                  <c:v>561783.15659619006</c:v>
                </c:pt>
                <c:pt idx="247">
                  <c:v>561783.15659619006</c:v>
                </c:pt>
                <c:pt idx="248">
                  <c:v>561783.15659619006</c:v>
                </c:pt>
                <c:pt idx="249">
                  <c:v>561783.15659619006</c:v>
                </c:pt>
                <c:pt idx="250">
                  <c:v>561783.15659619006</c:v>
                </c:pt>
                <c:pt idx="251">
                  <c:v>561783.15659619006</c:v>
                </c:pt>
                <c:pt idx="252">
                  <c:v>561783.15659619006</c:v>
                </c:pt>
                <c:pt idx="253">
                  <c:v>561783.15659619006</c:v>
                </c:pt>
                <c:pt idx="254">
                  <c:v>561783.15659619006</c:v>
                </c:pt>
                <c:pt idx="255">
                  <c:v>561783.15659619006</c:v>
                </c:pt>
                <c:pt idx="256">
                  <c:v>561783.15659619006</c:v>
                </c:pt>
                <c:pt idx="257">
                  <c:v>561783.15659619006</c:v>
                </c:pt>
                <c:pt idx="258">
                  <c:v>561783.15659619006</c:v>
                </c:pt>
                <c:pt idx="259">
                  <c:v>561783.15659619006</c:v>
                </c:pt>
                <c:pt idx="260">
                  <c:v>561783.15659619006</c:v>
                </c:pt>
                <c:pt idx="261">
                  <c:v>561783.15659619006</c:v>
                </c:pt>
                <c:pt idx="262">
                  <c:v>561783.15659619006</c:v>
                </c:pt>
                <c:pt idx="263">
                  <c:v>561783.15659619006</c:v>
                </c:pt>
                <c:pt idx="264">
                  <c:v>561783.15659619006</c:v>
                </c:pt>
                <c:pt idx="265">
                  <c:v>561783.15659619006</c:v>
                </c:pt>
                <c:pt idx="266">
                  <c:v>561783.15659619006</c:v>
                </c:pt>
                <c:pt idx="267">
                  <c:v>561783.15659619006</c:v>
                </c:pt>
                <c:pt idx="268">
                  <c:v>561783.15659619006</c:v>
                </c:pt>
                <c:pt idx="269">
                  <c:v>561783.15659619006</c:v>
                </c:pt>
                <c:pt idx="270">
                  <c:v>561783.15659619006</c:v>
                </c:pt>
                <c:pt idx="271">
                  <c:v>561783.15659619006</c:v>
                </c:pt>
                <c:pt idx="272">
                  <c:v>561783.15659619006</c:v>
                </c:pt>
                <c:pt idx="273">
                  <c:v>561783.15659619006</c:v>
                </c:pt>
                <c:pt idx="274">
                  <c:v>561783.15659619006</c:v>
                </c:pt>
                <c:pt idx="275">
                  <c:v>561783.15659619006</c:v>
                </c:pt>
                <c:pt idx="276">
                  <c:v>561783.15659619006</c:v>
                </c:pt>
                <c:pt idx="277">
                  <c:v>561783.15659619006</c:v>
                </c:pt>
                <c:pt idx="278">
                  <c:v>561783.15659619006</c:v>
                </c:pt>
                <c:pt idx="279">
                  <c:v>561783.15659619006</c:v>
                </c:pt>
                <c:pt idx="280">
                  <c:v>561783.15659619006</c:v>
                </c:pt>
                <c:pt idx="281">
                  <c:v>561783.15659619006</c:v>
                </c:pt>
                <c:pt idx="282">
                  <c:v>561783.15659619006</c:v>
                </c:pt>
                <c:pt idx="283">
                  <c:v>561783.15659619006</c:v>
                </c:pt>
                <c:pt idx="284">
                  <c:v>561783.15659619006</c:v>
                </c:pt>
                <c:pt idx="285">
                  <c:v>561783.15659619006</c:v>
                </c:pt>
                <c:pt idx="286">
                  <c:v>561783.15659619006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1656228.9395324469</c:v>
                </c:pt>
                <c:pt idx="16">
                  <c:v>1656228.9395324469</c:v>
                </c:pt>
                <c:pt idx="17">
                  <c:v>1656228.9395324469</c:v>
                </c:pt>
                <c:pt idx="18">
                  <c:v>1656228.9395324469</c:v>
                </c:pt>
                <c:pt idx="19">
                  <c:v>1656228.9395324469</c:v>
                </c:pt>
                <c:pt idx="20">
                  <c:v>1949792.1282743714</c:v>
                </c:pt>
                <c:pt idx="21">
                  <c:v>1949792.1282743714</c:v>
                </c:pt>
                <c:pt idx="22">
                  <c:v>1949792.1282743714</c:v>
                </c:pt>
                <c:pt idx="23">
                  <c:v>1949792.1282743714</c:v>
                </c:pt>
                <c:pt idx="24">
                  <c:v>1973058.1214075882</c:v>
                </c:pt>
                <c:pt idx="25">
                  <c:v>1973058.1214075882</c:v>
                </c:pt>
                <c:pt idx="26">
                  <c:v>1973058.1214075882</c:v>
                </c:pt>
                <c:pt idx="27">
                  <c:v>1973058.1214075882</c:v>
                </c:pt>
                <c:pt idx="28">
                  <c:v>1973058.1214075882</c:v>
                </c:pt>
                <c:pt idx="29">
                  <c:v>1973058.1214075882</c:v>
                </c:pt>
                <c:pt idx="30">
                  <c:v>1973058.1214075882</c:v>
                </c:pt>
                <c:pt idx="31">
                  <c:v>1973058.1214075882</c:v>
                </c:pt>
                <c:pt idx="32">
                  <c:v>1973058.1214075882</c:v>
                </c:pt>
                <c:pt idx="33">
                  <c:v>1973058.1214075882</c:v>
                </c:pt>
                <c:pt idx="34">
                  <c:v>1973058.1214075882</c:v>
                </c:pt>
                <c:pt idx="35">
                  <c:v>1973058.1214075882</c:v>
                </c:pt>
                <c:pt idx="36">
                  <c:v>1973058.1214075882</c:v>
                </c:pt>
                <c:pt idx="37">
                  <c:v>1973058.1214075882</c:v>
                </c:pt>
                <c:pt idx="38">
                  <c:v>1973058.1214075882</c:v>
                </c:pt>
                <c:pt idx="39">
                  <c:v>1973058.1214075882</c:v>
                </c:pt>
                <c:pt idx="40">
                  <c:v>1973058.1214075882</c:v>
                </c:pt>
                <c:pt idx="41">
                  <c:v>1973058.1214075882</c:v>
                </c:pt>
                <c:pt idx="42">
                  <c:v>1973058.1214075882</c:v>
                </c:pt>
                <c:pt idx="43">
                  <c:v>1973058.1214075882</c:v>
                </c:pt>
                <c:pt idx="44">
                  <c:v>1973058.1214075882</c:v>
                </c:pt>
                <c:pt idx="45">
                  <c:v>1973058.1214075882</c:v>
                </c:pt>
                <c:pt idx="46">
                  <c:v>1973058.1214075882</c:v>
                </c:pt>
                <c:pt idx="47">
                  <c:v>1973058.1214075882</c:v>
                </c:pt>
                <c:pt idx="48">
                  <c:v>1973058.1214075882</c:v>
                </c:pt>
                <c:pt idx="49">
                  <c:v>1973058.1214075882</c:v>
                </c:pt>
                <c:pt idx="50">
                  <c:v>1973058.1214075882</c:v>
                </c:pt>
                <c:pt idx="51">
                  <c:v>1973058.1214075882</c:v>
                </c:pt>
                <c:pt idx="52">
                  <c:v>1973058.1214075882</c:v>
                </c:pt>
                <c:pt idx="53">
                  <c:v>1973058.1214075882</c:v>
                </c:pt>
                <c:pt idx="54">
                  <c:v>1973058.1214075882</c:v>
                </c:pt>
                <c:pt idx="55">
                  <c:v>1973058.1214075882</c:v>
                </c:pt>
                <c:pt idx="56">
                  <c:v>1973058.1214075882</c:v>
                </c:pt>
                <c:pt idx="57">
                  <c:v>1973058.1214075882</c:v>
                </c:pt>
                <c:pt idx="58">
                  <c:v>1973058.1214075882</c:v>
                </c:pt>
                <c:pt idx="59">
                  <c:v>1973058.1214075882</c:v>
                </c:pt>
                <c:pt idx="60">
                  <c:v>1973058.1214075882</c:v>
                </c:pt>
                <c:pt idx="61">
                  <c:v>1973058.1214075882</c:v>
                </c:pt>
                <c:pt idx="62">
                  <c:v>1973058.1214075882</c:v>
                </c:pt>
                <c:pt idx="63">
                  <c:v>1973058.1214075882</c:v>
                </c:pt>
                <c:pt idx="64">
                  <c:v>1973058.1214075882</c:v>
                </c:pt>
                <c:pt idx="65">
                  <c:v>1973058.1214075882</c:v>
                </c:pt>
                <c:pt idx="66">
                  <c:v>1973058.1214075882</c:v>
                </c:pt>
                <c:pt idx="67">
                  <c:v>1973058.1214075882</c:v>
                </c:pt>
                <c:pt idx="68">
                  <c:v>1973058.1214075882</c:v>
                </c:pt>
                <c:pt idx="69">
                  <c:v>1973058.1214075882</c:v>
                </c:pt>
                <c:pt idx="70">
                  <c:v>1973058.1214075882</c:v>
                </c:pt>
                <c:pt idx="71">
                  <c:v>1973058.1214075882</c:v>
                </c:pt>
                <c:pt idx="72">
                  <c:v>1973058.1214075882</c:v>
                </c:pt>
                <c:pt idx="73">
                  <c:v>1973058.1214075882</c:v>
                </c:pt>
                <c:pt idx="74">
                  <c:v>1973058.1214075882</c:v>
                </c:pt>
                <c:pt idx="75">
                  <c:v>1973058.1214075882</c:v>
                </c:pt>
                <c:pt idx="76">
                  <c:v>1973058.1214075882</c:v>
                </c:pt>
                <c:pt idx="77">
                  <c:v>1973058.1214075882</c:v>
                </c:pt>
                <c:pt idx="78">
                  <c:v>1973058.1214075882</c:v>
                </c:pt>
                <c:pt idx="79">
                  <c:v>1973058.1214075882</c:v>
                </c:pt>
                <c:pt idx="80">
                  <c:v>1973058.1214075882</c:v>
                </c:pt>
                <c:pt idx="81">
                  <c:v>1973058.1214075882</c:v>
                </c:pt>
                <c:pt idx="82">
                  <c:v>1973058.1214075882</c:v>
                </c:pt>
                <c:pt idx="83">
                  <c:v>1973058.1214075882</c:v>
                </c:pt>
                <c:pt idx="84">
                  <c:v>1973058.1214075882</c:v>
                </c:pt>
                <c:pt idx="85">
                  <c:v>1973058.1214075882</c:v>
                </c:pt>
                <c:pt idx="86">
                  <c:v>1973058.1214075882</c:v>
                </c:pt>
                <c:pt idx="87">
                  <c:v>1973058.1214075882</c:v>
                </c:pt>
                <c:pt idx="88">
                  <c:v>1973058.1214075882</c:v>
                </c:pt>
                <c:pt idx="89">
                  <c:v>1973058.1214075882</c:v>
                </c:pt>
                <c:pt idx="90">
                  <c:v>1973058.1214075882</c:v>
                </c:pt>
                <c:pt idx="91">
                  <c:v>1973058.1214075882</c:v>
                </c:pt>
                <c:pt idx="92">
                  <c:v>1973058.1214075882</c:v>
                </c:pt>
                <c:pt idx="93">
                  <c:v>1973058.1214075882</c:v>
                </c:pt>
                <c:pt idx="94">
                  <c:v>1973058.1214075882</c:v>
                </c:pt>
                <c:pt idx="95">
                  <c:v>1973058.1214075882</c:v>
                </c:pt>
                <c:pt idx="96">
                  <c:v>1973058.1214075882</c:v>
                </c:pt>
                <c:pt idx="97">
                  <c:v>1973058.1214075882</c:v>
                </c:pt>
                <c:pt idx="98">
                  <c:v>1973058.1214075882</c:v>
                </c:pt>
                <c:pt idx="99">
                  <c:v>1973058.1214075882</c:v>
                </c:pt>
                <c:pt idx="100">
                  <c:v>1973058.1214075882</c:v>
                </c:pt>
                <c:pt idx="101">
                  <c:v>1973058.1214075882</c:v>
                </c:pt>
                <c:pt idx="102">
                  <c:v>1973058.1214075882</c:v>
                </c:pt>
                <c:pt idx="103">
                  <c:v>1973058.1214075882</c:v>
                </c:pt>
                <c:pt idx="104">
                  <c:v>1973058.1214075882</c:v>
                </c:pt>
                <c:pt idx="105">
                  <c:v>1973058.1214075882</c:v>
                </c:pt>
                <c:pt idx="106">
                  <c:v>1973058.1214075882</c:v>
                </c:pt>
                <c:pt idx="107">
                  <c:v>1973058.1214075882</c:v>
                </c:pt>
                <c:pt idx="108">
                  <c:v>1973058.1214075882</c:v>
                </c:pt>
                <c:pt idx="109">
                  <c:v>1973058.1214075882</c:v>
                </c:pt>
                <c:pt idx="110">
                  <c:v>1973058.1214075882</c:v>
                </c:pt>
                <c:pt idx="111">
                  <c:v>1973058.1214075882</c:v>
                </c:pt>
                <c:pt idx="112">
                  <c:v>1973058.1214075882</c:v>
                </c:pt>
                <c:pt idx="113">
                  <c:v>1973058.1214075882</c:v>
                </c:pt>
                <c:pt idx="114">
                  <c:v>1973058.1214075882</c:v>
                </c:pt>
                <c:pt idx="115">
                  <c:v>1973058.1214075882</c:v>
                </c:pt>
                <c:pt idx="116">
                  <c:v>1973058.1214075882</c:v>
                </c:pt>
                <c:pt idx="117">
                  <c:v>1973058.1214075882</c:v>
                </c:pt>
                <c:pt idx="118">
                  <c:v>1973058.1214075882</c:v>
                </c:pt>
                <c:pt idx="119">
                  <c:v>1973058.1214075882</c:v>
                </c:pt>
                <c:pt idx="120">
                  <c:v>1973058.1214075882</c:v>
                </c:pt>
                <c:pt idx="121">
                  <c:v>1973058.1214075882</c:v>
                </c:pt>
                <c:pt idx="122">
                  <c:v>1973058.1214075882</c:v>
                </c:pt>
                <c:pt idx="123">
                  <c:v>1973058.1214075882</c:v>
                </c:pt>
                <c:pt idx="124">
                  <c:v>1973058.1214075882</c:v>
                </c:pt>
                <c:pt idx="125">
                  <c:v>1973058.1214075882</c:v>
                </c:pt>
                <c:pt idx="126">
                  <c:v>1973058.1214075882</c:v>
                </c:pt>
                <c:pt idx="127">
                  <c:v>1973058.1214075882</c:v>
                </c:pt>
                <c:pt idx="128">
                  <c:v>1973058.1214075882</c:v>
                </c:pt>
                <c:pt idx="129">
                  <c:v>1973058.1214075882</c:v>
                </c:pt>
                <c:pt idx="130">
                  <c:v>1973058.1214075882</c:v>
                </c:pt>
                <c:pt idx="131">
                  <c:v>1973058.1214075882</c:v>
                </c:pt>
                <c:pt idx="132">
                  <c:v>1973058.1214075882</c:v>
                </c:pt>
                <c:pt idx="133">
                  <c:v>1973058.1214075882</c:v>
                </c:pt>
                <c:pt idx="134">
                  <c:v>1973058.1214075882</c:v>
                </c:pt>
                <c:pt idx="135">
                  <c:v>1973058.1214075882</c:v>
                </c:pt>
                <c:pt idx="136">
                  <c:v>1973058.1214075882</c:v>
                </c:pt>
                <c:pt idx="137">
                  <c:v>1973058.1214075882</c:v>
                </c:pt>
                <c:pt idx="138">
                  <c:v>1973058.1214075882</c:v>
                </c:pt>
                <c:pt idx="139">
                  <c:v>1973058.1214075882</c:v>
                </c:pt>
                <c:pt idx="140">
                  <c:v>1973058.1214075882</c:v>
                </c:pt>
                <c:pt idx="141">
                  <c:v>1973058.1214075882</c:v>
                </c:pt>
                <c:pt idx="142">
                  <c:v>1973058.1214075882</c:v>
                </c:pt>
                <c:pt idx="143">
                  <c:v>1973058.1214075882</c:v>
                </c:pt>
                <c:pt idx="144">
                  <c:v>1973058.1214075882</c:v>
                </c:pt>
                <c:pt idx="145">
                  <c:v>1973058.1214075882</c:v>
                </c:pt>
                <c:pt idx="146">
                  <c:v>1973058.1214075882</c:v>
                </c:pt>
                <c:pt idx="147">
                  <c:v>1973058.1214075882</c:v>
                </c:pt>
                <c:pt idx="148">
                  <c:v>1973058.1214075882</c:v>
                </c:pt>
                <c:pt idx="149">
                  <c:v>1973058.1214075882</c:v>
                </c:pt>
                <c:pt idx="150">
                  <c:v>1973058.1214075882</c:v>
                </c:pt>
                <c:pt idx="151">
                  <c:v>1973058.1214075882</c:v>
                </c:pt>
                <c:pt idx="152">
                  <c:v>1973058.1214075882</c:v>
                </c:pt>
                <c:pt idx="153">
                  <c:v>1973058.1214075882</c:v>
                </c:pt>
                <c:pt idx="154">
                  <c:v>1973058.1214075882</c:v>
                </c:pt>
                <c:pt idx="155">
                  <c:v>1973058.1214075882</c:v>
                </c:pt>
                <c:pt idx="156">
                  <c:v>1973058.1214075882</c:v>
                </c:pt>
                <c:pt idx="157">
                  <c:v>1973058.1214075882</c:v>
                </c:pt>
                <c:pt idx="158">
                  <c:v>1973058.1214075882</c:v>
                </c:pt>
                <c:pt idx="159">
                  <c:v>1973058.1214075882</c:v>
                </c:pt>
                <c:pt idx="160">
                  <c:v>1973058.1214075882</c:v>
                </c:pt>
                <c:pt idx="161">
                  <c:v>1973058.1214075882</c:v>
                </c:pt>
                <c:pt idx="162">
                  <c:v>1973058.1214075882</c:v>
                </c:pt>
                <c:pt idx="163">
                  <c:v>1973058.1214075882</c:v>
                </c:pt>
                <c:pt idx="164">
                  <c:v>1973058.1214075882</c:v>
                </c:pt>
                <c:pt idx="165">
                  <c:v>1973058.1214075882</c:v>
                </c:pt>
                <c:pt idx="166">
                  <c:v>1973058.1214075882</c:v>
                </c:pt>
                <c:pt idx="167">
                  <c:v>1973058.1214075882</c:v>
                </c:pt>
                <c:pt idx="168">
                  <c:v>1973058.1214075882</c:v>
                </c:pt>
                <c:pt idx="169">
                  <c:v>1973058.1214075882</c:v>
                </c:pt>
                <c:pt idx="170">
                  <c:v>1973058.1214075882</c:v>
                </c:pt>
                <c:pt idx="171">
                  <c:v>1973058.1214075882</c:v>
                </c:pt>
                <c:pt idx="172">
                  <c:v>1973058.1214075882</c:v>
                </c:pt>
                <c:pt idx="173">
                  <c:v>1973058.1214075882</c:v>
                </c:pt>
                <c:pt idx="174">
                  <c:v>1973058.1214075882</c:v>
                </c:pt>
                <c:pt idx="175">
                  <c:v>1973058.1214075882</c:v>
                </c:pt>
                <c:pt idx="176">
                  <c:v>1973058.1214075882</c:v>
                </c:pt>
                <c:pt idx="177">
                  <c:v>1973058.1214075882</c:v>
                </c:pt>
                <c:pt idx="178">
                  <c:v>1973058.1214075882</c:v>
                </c:pt>
                <c:pt idx="179">
                  <c:v>1973058.1214075882</c:v>
                </c:pt>
                <c:pt idx="180">
                  <c:v>1973058.1214075882</c:v>
                </c:pt>
                <c:pt idx="181">
                  <c:v>1973058.1214075882</c:v>
                </c:pt>
                <c:pt idx="182">
                  <c:v>1973058.1214075882</c:v>
                </c:pt>
                <c:pt idx="183">
                  <c:v>1973058.1214075882</c:v>
                </c:pt>
                <c:pt idx="184">
                  <c:v>1973058.1214075882</c:v>
                </c:pt>
                <c:pt idx="185">
                  <c:v>1973058.1214075882</c:v>
                </c:pt>
                <c:pt idx="186">
                  <c:v>1973058.1214075882</c:v>
                </c:pt>
                <c:pt idx="187">
                  <c:v>1973058.1214075882</c:v>
                </c:pt>
                <c:pt idx="188">
                  <c:v>1973058.1214075882</c:v>
                </c:pt>
                <c:pt idx="189">
                  <c:v>1973058.1214075882</c:v>
                </c:pt>
                <c:pt idx="190">
                  <c:v>1973058.1214075882</c:v>
                </c:pt>
                <c:pt idx="191">
                  <c:v>1973058.1214075882</c:v>
                </c:pt>
                <c:pt idx="192">
                  <c:v>1973058.1214075882</c:v>
                </c:pt>
                <c:pt idx="193">
                  <c:v>1973058.1214075882</c:v>
                </c:pt>
                <c:pt idx="194">
                  <c:v>1973058.1214075882</c:v>
                </c:pt>
                <c:pt idx="195">
                  <c:v>1973058.1214075882</c:v>
                </c:pt>
                <c:pt idx="196">
                  <c:v>1973058.1214075882</c:v>
                </c:pt>
                <c:pt idx="197">
                  <c:v>1973058.1214075882</c:v>
                </c:pt>
                <c:pt idx="198">
                  <c:v>1973058.1214075882</c:v>
                </c:pt>
                <c:pt idx="199">
                  <c:v>1973058.1214075882</c:v>
                </c:pt>
                <c:pt idx="200">
                  <c:v>1973058.1214075882</c:v>
                </c:pt>
                <c:pt idx="201">
                  <c:v>1973058.1214075882</c:v>
                </c:pt>
                <c:pt idx="202">
                  <c:v>1973058.1214075882</c:v>
                </c:pt>
                <c:pt idx="203">
                  <c:v>1973058.1214075882</c:v>
                </c:pt>
                <c:pt idx="204">
                  <c:v>1973058.1214075882</c:v>
                </c:pt>
                <c:pt idx="205">
                  <c:v>1973058.1214075882</c:v>
                </c:pt>
                <c:pt idx="206">
                  <c:v>1973058.1214075882</c:v>
                </c:pt>
                <c:pt idx="207">
                  <c:v>1973058.1214075882</c:v>
                </c:pt>
                <c:pt idx="208">
                  <c:v>1973058.1214075882</c:v>
                </c:pt>
                <c:pt idx="209">
                  <c:v>1973058.1214075882</c:v>
                </c:pt>
                <c:pt idx="210">
                  <c:v>1973058.1214075882</c:v>
                </c:pt>
                <c:pt idx="211">
                  <c:v>1973058.1214075882</c:v>
                </c:pt>
                <c:pt idx="212">
                  <c:v>1973058.1214075882</c:v>
                </c:pt>
                <c:pt idx="213">
                  <c:v>1973058.1214075882</c:v>
                </c:pt>
                <c:pt idx="214">
                  <c:v>1973058.1214075882</c:v>
                </c:pt>
                <c:pt idx="215">
                  <c:v>1973058.1214075882</c:v>
                </c:pt>
                <c:pt idx="216">
                  <c:v>1973058.1214075882</c:v>
                </c:pt>
                <c:pt idx="217">
                  <c:v>1973058.1214075882</c:v>
                </c:pt>
                <c:pt idx="218">
                  <c:v>1973058.1214075882</c:v>
                </c:pt>
                <c:pt idx="219">
                  <c:v>1973058.1214075882</c:v>
                </c:pt>
                <c:pt idx="220">
                  <c:v>1973058.1214075882</c:v>
                </c:pt>
                <c:pt idx="221">
                  <c:v>1973058.1214075882</c:v>
                </c:pt>
                <c:pt idx="222">
                  <c:v>1973058.1214075882</c:v>
                </c:pt>
                <c:pt idx="223">
                  <c:v>1973058.1214075882</c:v>
                </c:pt>
                <c:pt idx="224">
                  <c:v>1973058.1214075882</c:v>
                </c:pt>
                <c:pt idx="225">
                  <c:v>1973058.1214075882</c:v>
                </c:pt>
                <c:pt idx="226">
                  <c:v>1973058.1214075882</c:v>
                </c:pt>
                <c:pt idx="227">
                  <c:v>1973058.1214075882</c:v>
                </c:pt>
                <c:pt idx="228">
                  <c:v>1973058.1214075882</c:v>
                </c:pt>
                <c:pt idx="229">
                  <c:v>1973058.1214075882</c:v>
                </c:pt>
                <c:pt idx="230">
                  <c:v>1973058.1214075882</c:v>
                </c:pt>
                <c:pt idx="231">
                  <c:v>1973058.1214075882</c:v>
                </c:pt>
                <c:pt idx="232">
                  <c:v>1973058.1214075882</c:v>
                </c:pt>
                <c:pt idx="233">
                  <c:v>1973058.1214075882</c:v>
                </c:pt>
                <c:pt idx="234">
                  <c:v>1973058.1214075882</c:v>
                </c:pt>
                <c:pt idx="235">
                  <c:v>1973058.1214075882</c:v>
                </c:pt>
                <c:pt idx="236">
                  <c:v>1973058.1214075882</c:v>
                </c:pt>
                <c:pt idx="237">
                  <c:v>1973058.1214075882</c:v>
                </c:pt>
                <c:pt idx="238">
                  <c:v>1973058.1214075882</c:v>
                </c:pt>
                <c:pt idx="239">
                  <c:v>1973058.1214075882</c:v>
                </c:pt>
                <c:pt idx="240">
                  <c:v>1973058.1214075882</c:v>
                </c:pt>
                <c:pt idx="241">
                  <c:v>1973058.1214075882</c:v>
                </c:pt>
                <c:pt idx="242">
                  <c:v>1973058.1214075882</c:v>
                </c:pt>
                <c:pt idx="243">
                  <c:v>1973058.1214075882</c:v>
                </c:pt>
                <c:pt idx="244">
                  <c:v>1973058.1214075882</c:v>
                </c:pt>
                <c:pt idx="245">
                  <c:v>1973058.1214075882</c:v>
                </c:pt>
                <c:pt idx="246">
                  <c:v>1973058.1214075882</c:v>
                </c:pt>
                <c:pt idx="247">
                  <c:v>1973058.1214075882</c:v>
                </c:pt>
                <c:pt idx="248">
                  <c:v>1973058.1214075882</c:v>
                </c:pt>
                <c:pt idx="249">
                  <c:v>1973058.1214075882</c:v>
                </c:pt>
                <c:pt idx="250">
                  <c:v>1973058.1214075882</c:v>
                </c:pt>
                <c:pt idx="251">
                  <c:v>1973058.1214075882</c:v>
                </c:pt>
                <c:pt idx="252">
                  <c:v>1973058.1214075882</c:v>
                </c:pt>
                <c:pt idx="253">
                  <c:v>1973058.1214075882</c:v>
                </c:pt>
                <c:pt idx="254">
                  <c:v>1973058.1214075882</c:v>
                </c:pt>
                <c:pt idx="255">
                  <c:v>1973058.1214075882</c:v>
                </c:pt>
                <c:pt idx="256">
                  <c:v>1973058.1214075882</c:v>
                </c:pt>
                <c:pt idx="257">
                  <c:v>1973058.1214075882</c:v>
                </c:pt>
                <c:pt idx="258">
                  <c:v>1973058.1214075882</c:v>
                </c:pt>
                <c:pt idx="259">
                  <c:v>1973058.1214075882</c:v>
                </c:pt>
                <c:pt idx="260">
                  <c:v>1973058.1214075882</c:v>
                </c:pt>
                <c:pt idx="261">
                  <c:v>1973058.1214075882</c:v>
                </c:pt>
                <c:pt idx="262">
                  <c:v>1973058.1214075882</c:v>
                </c:pt>
                <c:pt idx="263">
                  <c:v>1973058.1214075882</c:v>
                </c:pt>
                <c:pt idx="264">
                  <c:v>1973058.1214075882</c:v>
                </c:pt>
                <c:pt idx="265">
                  <c:v>1973058.1214075882</c:v>
                </c:pt>
                <c:pt idx="266">
                  <c:v>1973058.1214075882</c:v>
                </c:pt>
                <c:pt idx="267">
                  <c:v>1973058.1214075882</c:v>
                </c:pt>
                <c:pt idx="268">
                  <c:v>1973058.1214075882</c:v>
                </c:pt>
                <c:pt idx="269">
                  <c:v>1973058.1214075882</c:v>
                </c:pt>
                <c:pt idx="270">
                  <c:v>1973058.1214075882</c:v>
                </c:pt>
                <c:pt idx="271">
                  <c:v>1973058.1214075882</c:v>
                </c:pt>
                <c:pt idx="272">
                  <c:v>1973058.1214075882</c:v>
                </c:pt>
                <c:pt idx="273">
                  <c:v>1973058.1214075882</c:v>
                </c:pt>
                <c:pt idx="274">
                  <c:v>1973058.1214075882</c:v>
                </c:pt>
                <c:pt idx="275">
                  <c:v>1973058.1214075882</c:v>
                </c:pt>
                <c:pt idx="276">
                  <c:v>1973058.1214075882</c:v>
                </c:pt>
                <c:pt idx="277">
                  <c:v>1973058.1214075882</c:v>
                </c:pt>
                <c:pt idx="278">
                  <c:v>1973058.1214075882</c:v>
                </c:pt>
                <c:pt idx="279">
                  <c:v>1973058.1214075882</c:v>
                </c:pt>
                <c:pt idx="280">
                  <c:v>1973058.1214075882</c:v>
                </c:pt>
                <c:pt idx="281">
                  <c:v>1973058.1214075882</c:v>
                </c:pt>
                <c:pt idx="282">
                  <c:v>1973058.1214075882</c:v>
                </c:pt>
                <c:pt idx="283">
                  <c:v>1973058.1214075882</c:v>
                </c:pt>
                <c:pt idx="284">
                  <c:v>1973058.1214075882</c:v>
                </c:pt>
                <c:pt idx="285">
                  <c:v>1973058.1214075882</c:v>
                </c:pt>
                <c:pt idx="286">
                  <c:v>1973058.1214075882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3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3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652" t="s">
        <v>0</v>
      </c>
      <c r="C2" s="652"/>
      <c r="D2" s="652"/>
      <c r="E2" s="652"/>
      <c r="H2" s="653" t="s">
        <v>1</v>
      </c>
      <c r="I2" s="654"/>
      <c r="J2" s="654"/>
      <c r="K2" s="654"/>
      <c r="L2" s="654"/>
      <c r="M2" s="654"/>
      <c r="N2" s="654"/>
      <c r="O2" s="655"/>
    </row>
    <row r="3" spans="2:15">
      <c r="B3" s="614"/>
      <c r="H3" s="656"/>
      <c r="I3" s="657"/>
      <c r="J3" s="657"/>
      <c r="K3" s="657"/>
      <c r="L3" s="657"/>
      <c r="M3" s="657"/>
      <c r="N3" s="657"/>
      <c r="O3" s="658"/>
    </row>
    <row r="4" spans="2:15">
      <c r="B4" s="615" t="s">
        <v>2</v>
      </c>
      <c r="C4" s="616" t="str">
        <f>'Project Plan'!E2</f>
        <v>Riverside Mall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5" t="s">
        <v>3</v>
      </c>
      <c r="C5" s="616" t="s">
        <v>4</v>
      </c>
      <c r="H5" s="656"/>
      <c r="I5" s="657"/>
      <c r="J5" s="657"/>
      <c r="K5" s="657"/>
      <c r="L5" s="657"/>
      <c r="M5" s="657"/>
      <c r="N5" s="657"/>
      <c r="O5" s="658"/>
    </row>
    <row r="6" spans="2:15">
      <c r="B6" s="615" t="s">
        <v>5</v>
      </c>
      <c r="C6" s="616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5" t="s">
        <v>7</v>
      </c>
      <c r="C7" s="616" t="s">
        <v>8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4"/>
      <c r="H8" s="656"/>
      <c r="I8" s="657"/>
      <c r="J8" s="657"/>
      <c r="K8" s="657"/>
      <c r="L8" s="657"/>
      <c r="M8" s="657"/>
      <c r="N8" s="657"/>
      <c r="O8" s="658"/>
    </row>
    <row r="9" spans="2:15">
      <c r="B9" s="662" t="s">
        <v>9</v>
      </c>
      <c r="C9" s="662"/>
      <c r="D9" s="662"/>
      <c r="E9" s="662"/>
      <c r="H9" s="656"/>
      <c r="I9" s="657"/>
      <c r="J9" s="657"/>
      <c r="K9" s="657"/>
      <c r="L9" s="657"/>
      <c r="M9" s="657"/>
      <c r="N9" s="657"/>
      <c r="O9" s="658"/>
    </row>
    <row r="10" spans="2:15" ht="15" thickBot="1">
      <c r="B10" s="662" t="s">
        <v>10</v>
      </c>
      <c r="C10" s="662"/>
      <c r="D10" s="662"/>
      <c r="E10" s="662"/>
      <c r="H10" s="659"/>
      <c r="I10" s="660"/>
      <c r="J10" s="660"/>
      <c r="K10" s="660"/>
      <c r="L10" s="660"/>
      <c r="M10" s="660"/>
      <c r="N10" s="660"/>
      <c r="O10" s="661"/>
    </row>
    <row r="11" spans="2:15">
      <c r="B11" s="617" t="s">
        <v>11</v>
      </c>
      <c r="C11" s="651"/>
      <c r="D11" s="651"/>
      <c r="E11" s="651"/>
    </row>
    <row r="12" spans="2:15">
      <c r="B12" s="617" t="s">
        <v>12</v>
      </c>
      <c r="C12" s="651"/>
      <c r="D12" s="651"/>
      <c r="E12" s="651"/>
    </row>
    <row r="13" spans="2:15">
      <c r="B13" s="617" t="s">
        <v>13</v>
      </c>
      <c r="C13" s="651"/>
      <c r="D13" s="651"/>
      <c r="E13" s="651"/>
    </row>
    <row r="14" spans="2:15">
      <c r="B14" s="617" t="s">
        <v>14</v>
      </c>
      <c r="C14" s="651"/>
      <c r="D14" s="651"/>
      <c r="E14" s="651"/>
    </row>
    <row r="15" spans="2:15">
      <c r="B15" s="617" t="s">
        <v>15</v>
      </c>
      <c r="C15" s="651"/>
      <c r="D15" s="651"/>
      <c r="E15" s="651"/>
    </row>
    <row r="16" spans="2:15" ht="15" customHeight="1">
      <c r="B16" s="617" t="s">
        <v>16</v>
      </c>
      <c r="C16" s="651"/>
      <c r="D16" s="651"/>
      <c r="E16" s="651"/>
    </row>
    <row r="17" spans="2:5">
      <c r="B17" s="614"/>
    </row>
    <row r="18" spans="2:5">
      <c r="B18" s="663" t="s">
        <v>17</v>
      </c>
      <c r="C18" s="663"/>
      <c r="D18" s="663"/>
      <c r="E18" s="663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652" t="s">
        <v>22</v>
      </c>
      <c r="C2" s="652"/>
      <c r="D2" s="652"/>
      <c r="E2" s="652"/>
      <c r="H2" s="653" t="s">
        <v>23</v>
      </c>
      <c r="I2" s="654"/>
      <c r="J2" s="654"/>
      <c r="K2" s="654"/>
      <c r="L2" s="654"/>
      <c r="M2" s="654"/>
      <c r="N2" s="654"/>
      <c r="O2" s="655"/>
    </row>
    <row r="3" spans="2:15">
      <c r="B3" s="614"/>
      <c r="H3" s="656"/>
      <c r="I3" s="657"/>
      <c r="J3" s="657"/>
      <c r="K3" s="657"/>
      <c r="L3" s="657"/>
      <c r="M3" s="657"/>
      <c r="N3" s="657"/>
      <c r="O3" s="658"/>
    </row>
    <row r="4" spans="2:15">
      <c r="B4" s="615" t="s">
        <v>2</v>
      </c>
      <c r="C4" s="616" t="str">
        <f>'Project Plan'!E2</f>
        <v>Riverside Mall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5" t="s">
        <v>24</v>
      </c>
      <c r="C5" s="616"/>
      <c r="H5" s="656"/>
      <c r="I5" s="657"/>
      <c r="J5" s="657"/>
      <c r="K5" s="657"/>
      <c r="L5" s="657"/>
      <c r="M5" s="657"/>
      <c r="N5" s="657"/>
      <c r="O5" s="658"/>
    </row>
    <row r="6" spans="2:15">
      <c r="B6" s="615" t="s">
        <v>5</v>
      </c>
      <c r="C6" s="616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5" t="s">
        <v>25</v>
      </c>
      <c r="C7" s="616" t="str">
        <f>'Project Plan'!E5</f>
        <v>Justin Franke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5" t="s">
        <v>26</v>
      </c>
      <c r="C8" s="616"/>
      <c r="H8" s="656"/>
      <c r="I8" s="657"/>
      <c r="J8" s="657"/>
      <c r="K8" s="657"/>
      <c r="L8" s="657"/>
      <c r="M8" s="657"/>
      <c r="N8" s="657"/>
      <c r="O8" s="658"/>
    </row>
    <row r="9" spans="2:15">
      <c r="B9" s="614"/>
      <c r="H9" s="656"/>
      <c r="I9" s="657"/>
      <c r="J9" s="657"/>
      <c r="K9" s="657"/>
      <c r="L9" s="657"/>
      <c r="M9" s="657"/>
      <c r="N9" s="657"/>
      <c r="O9" s="658"/>
    </row>
    <row r="10" spans="2:15">
      <c r="B10" s="662" t="s">
        <v>9</v>
      </c>
      <c r="C10" s="662"/>
      <c r="D10" s="662"/>
      <c r="E10" s="662"/>
      <c r="H10" s="656"/>
      <c r="I10" s="657"/>
      <c r="J10" s="657"/>
      <c r="K10" s="657"/>
      <c r="L10" s="657"/>
      <c r="M10" s="657"/>
      <c r="N10" s="657"/>
      <c r="O10" s="658"/>
    </row>
    <row r="11" spans="2:15" ht="15" thickBot="1">
      <c r="B11" s="662" t="s">
        <v>10</v>
      </c>
      <c r="C11" s="662"/>
      <c r="D11" s="662"/>
      <c r="E11" s="662"/>
      <c r="H11" s="659"/>
      <c r="I11" s="660"/>
      <c r="J11" s="660"/>
      <c r="K11" s="660"/>
      <c r="L11" s="660"/>
      <c r="M11" s="660"/>
      <c r="N11" s="660"/>
      <c r="O11" s="661"/>
    </row>
    <row r="12" spans="2:15" ht="26.45">
      <c r="B12" s="617" t="s">
        <v>27</v>
      </c>
      <c r="C12" s="651"/>
      <c r="D12" s="651"/>
      <c r="E12" s="651"/>
    </row>
    <row r="13" spans="2:15">
      <c r="B13" s="617" t="s">
        <v>28</v>
      </c>
      <c r="C13" s="651"/>
      <c r="D13" s="651"/>
      <c r="E13" s="651"/>
    </row>
    <row r="14" spans="2:15">
      <c r="B14" s="617" t="s">
        <v>29</v>
      </c>
      <c r="C14" s="651"/>
      <c r="D14" s="651"/>
      <c r="E14" s="651"/>
    </row>
    <row r="15" spans="2:15">
      <c r="B15" s="617" t="s">
        <v>30</v>
      </c>
      <c r="C15" s="651"/>
      <c r="D15" s="651"/>
      <c r="E15" s="651"/>
    </row>
    <row r="16" spans="2:15" ht="26.45">
      <c r="B16" s="617" t="s">
        <v>31</v>
      </c>
      <c r="C16" s="651"/>
      <c r="D16" s="651"/>
      <c r="E16" s="651"/>
    </row>
    <row r="17" spans="2:5">
      <c r="B17" s="617" t="s">
        <v>32</v>
      </c>
      <c r="C17" s="651"/>
      <c r="D17" s="651"/>
      <c r="E17" s="651"/>
    </row>
    <row r="18" spans="2:5">
      <c r="B18" s="617" t="s">
        <v>33</v>
      </c>
      <c r="C18" s="651"/>
      <c r="D18" s="651"/>
      <c r="E18" s="651"/>
    </row>
    <row r="19" spans="2:5">
      <c r="B19" s="617" t="s">
        <v>34</v>
      </c>
      <c r="C19" s="651"/>
      <c r="D19" s="651"/>
      <c r="E19" s="651"/>
    </row>
    <row r="20" spans="2:5">
      <c r="B20" s="617" t="s">
        <v>35</v>
      </c>
      <c r="C20" s="651"/>
      <c r="D20" s="651"/>
      <c r="E20" s="651"/>
    </row>
    <row r="21" spans="2:5">
      <c r="B21" s="617" t="s">
        <v>36</v>
      </c>
      <c r="C21" s="651"/>
      <c r="D21" s="651"/>
      <c r="E21" s="651"/>
    </row>
    <row r="22" spans="2:5" ht="15" customHeight="1">
      <c r="B22" s="617" t="s">
        <v>16</v>
      </c>
      <c r="C22" s="651"/>
      <c r="D22" s="651"/>
      <c r="E22" s="651"/>
    </row>
    <row r="23" spans="2:5">
      <c r="B23" s="614"/>
    </row>
    <row r="24" spans="2:5">
      <c r="B24" s="663" t="s">
        <v>17</v>
      </c>
      <c r="C24" s="663"/>
      <c r="D24" s="663"/>
      <c r="E24" s="663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28515625" customWidth="1"/>
    <col min="4" max="4" width="17.2851562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.28515625" bestFit="1" customWidth="1"/>
    <col min="10" max="10" width="14.28515625" customWidth="1"/>
    <col min="11" max="11" width="77.7109375" customWidth="1"/>
  </cols>
  <sheetData>
    <row r="1" spans="2:15">
      <c r="B1" s="666"/>
      <c r="C1" s="667"/>
      <c r="D1" s="667"/>
      <c r="E1" s="667"/>
      <c r="F1" s="664" t="s">
        <v>37</v>
      </c>
      <c r="G1" s="664"/>
      <c r="H1" s="664"/>
      <c r="I1" s="664"/>
      <c r="J1" s="664"/>
      <c r="K1" s="665"/>
      <c r="L1" s="13"/>
      <c r="M1" s="13"/>
      <c r="N1" s="13"/>
      <c r="O1" s="13"/>
    </row>
    <row r="2" spans="2:15" ht="6.75" customHeight="1"/>
    <row r="3" spans="2:15" s="621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8" sqref="E8"/>
      <selection activeCell="B9" sqref="B2:O51"/>
    </sheetView>
  </sheetViews>
  <sheetFormatPr defaultColWidth="8.28515625" defaultRowHeight="13.9"/>
  <cols>
    <col min="1" max="1" width="1.28515625" style="4" customWidth="1"/>
    <col min="2" max="2" width="30.7109375" style="4" bestFit="1" customWidth="1"/>
    <col min="3" max="3" width="24.7109375" style="4" customWidth="1"/>
    <col min="4" max="4" width="41.28515625" style="4" customWidth="1"/>
    <col min="5" max="5" width="9.7109375" style="4" customWidth="1"/>
    <col min="6" max="6" width="63.28515625" style="4" customWidth="1"/>
    <col min="7" max="16384" width="8.28515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668" t="s">
        <v>117</v>
      </c>
      <c r="C2" s="669"/>
      <c r="D2" s="669"/>
      <c r="E2" s="669"/>
      <c r="F2" s="670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8" t="s">
        <v>127</v>
      </c>
      <c r="C16" s="669"/>
      <c r="D16" s="669"/>
      <c r="E16" s="669"/>
      <c r="F16" s="670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22" zoomScaleNormal="100" workbookViewId="0">
      <selection activeCell="O22" sqref="O22"/>
    </sheetView>
  </sheetViews>
  <sheetFormatPr defaultColWidth="8.28515625" defaultRowHeight="13.9"/>
  <cols>
    <col min="1" max="1" width="1.28515625" style="26" customWidth="1"/>
    <col min="2" max="2" width="6.28515625" style="83" bestFit="1" customWidth="1"/>
    <col min="3" max="3" width="44.7109375" style="4" customWidth="1"/>
    <col min="4" max="4" width="3.28515625" style="26" customWidth="1"/>
    <col min="5" max="5" width="14.7109375" style="4" customWidth="1"/>
    <col min="6" max="6" width="10.28515625" style="80" customWidth="1"/>
    <col min="7" max="7" width="13.7109375" style="5" customWidth="1"/>
    <col min="8" max="8" width="5" style="26" customWidth="1"/>
    <col min="9" max="9" width="13.28515625" style="26" customWidth="1"/>
    <col min="10" max="10" width="11.28515625" style="27" customWidth="1"/>
    <col min="11" max="11" width="14.7109375" style="26" customWidth="1"/>
    <col min="12" max="12" width="2.28515625" style="26" customWidth="1"/>
    <col min="13" max="13" width="12.28515625" style="26" customWidth="1"/>
    <col min="14" max="14" width="11.28515625" style="26" bestFit="1" customWidth="1"/>
    <col min="15" max="15" width="39.28515625" style="26" bestFit="1" customWidth="1"/>
    <col min="16" max="16" width="1.28515625" style="26" customWidth="1"/>
    <col min="17" max="17" width="5.28515625" style="1" customWidth="1"/>
    <col min="18" max="18" width="8.28515625" style="26"/>
    <col min="19" max="19" width="21.7109375" style="26" customWidth="1"/>
    <col min="20" max="22" width="12.28515625" style="26" customWidth="1"/>
    <col min="23" max="23" width="8.28515625" style="26"/>
    <col min="24" max="25" width="10.7109375" style="26" bestFit="1" customWidth="1"/>
    <col min="26" max="16384" width="8.28515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46066</v>
      </c>
      <c r="O1" s="305">
        <f ca="1">TODAY()</f>
        <v>46066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71" t="s">
        <v>132</v>
      </c>
      <c r="J2" s="672"/>
      <c r="K2" s="587">
        <f>NETWORKDAYS(I18,K39,Data!C3:C60)</f>
        <v>29</v>
      </c>
      <c r="N2" s="306">
        <v>0</v>
      </c>
      <c r="O2" s="306">
        <v>1</v>
      </c>
    </row>
    <row r="3" spans="2:28" s="26" customFormat="1" ht="14.45" thickBot="1">
      <c r="B3" s="91"/>
      <c r="C3" s="92" t="s">
        <v>133</v>
      </c>
      <c r="D3" s="90"/>
      <c r="E3" s="312">
        <v>184</v>
      </c>
      <c r="F3" s="93"/>
      <c r="G3" s="94"/>
      <c r="H3" s="94"/>
      <c r="I3" s="671" t="s">
        <v>134</v>
      </c>
      <c r="J3" s="672"/>
      <c r="K3" s="587">
        <f>K2/5</f>
        <v>5.8</v>
      </c>
      <c r="Q3" s="1"/>
    </row>
    <row r="4" spans="2:28" s="26" customFormat="1" ht="14.4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71" t="s">
        <v>137</v>
      </c>
      <c r="J4" s="672"/>
      <c r="K4" s="588">
        <f>E3/K3</f>
        <v>31.724137931034484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75" t="s">
        <v>145</v>
      </c>
      <c r="C8" s="676" t="s">
        <v>146</v>
      </c>
      <c r="D8" s="126"/>
      <c r="E8" s="677" t="s">
        <v>147</v>
      </c>
      <c r="F8" s="148" t="s">
        <v>148</v>
      </c>
      <c r="G8" s="677" t="s">
        <v>149</v>
      </c>
      <c r="H8" s="149"/>
      <c r="I8" s="677" t="s">
        <v>150</v>
      </c>
      <c r="J8" s="148" t="s">
        <v>148</v>
      </c>
      <c r="K8" s="677" t="s">
        <v>151</v>
      </c>
      <c r="M8" s="584" t="s">
        <v>44</v>
      </c>
      <c r="N8" s="585" t="s">
        <v>152</v>
      </c>
      <c r="O8" s="673" t="s">
        <v>153</v>
      </c>
      <c r="Z8" s="26"/>
      <c r="AA8" s="26"/>
      <c r="AB8" s="26"/>
    </row>
    <row r="9" spans="2:28">
      <c r="B9" s="675"/>
      <c r="C9" s="676"/>
      <c r="D9" s="126"/>
      <c r="E9" s="677"/>
      <c r="F9" s="40">
        <f>G39-E19</f>
        <v>35</v>
      </c>
      <c r="G9" s="677"/>
      <c r="H9" s="149"/>
      <c r="I9" s="677"/>
      <c r="J9" s="41">
        <f>K39-I19</f>
        <v>38</v>
      </c>
      <c r="K9" s="677"/>
      <c r="M9" s="265">
        <f>AVERAGE(M11,M18,M21,M28,M35,M39,M48,M44)</f>
        <v>0.37947635135135138</v>
      </c>
      <c r="N9" s="265">
        <f ca="1">AVERAGE(N11,N18,N21,N28,N35,N39,N48,N44)</f>
        <v>0.47214045489951767</v>
      </c>
      <c r="O9" s="674"/>
      <c r="S9" s="586">
        <f ca="1">TODAY()</f>
        <v>46066</v>
      </c>
      <c r="T9" s="586">
        <f ca="1">TODAY()</f>
        <v>46066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</row>
    <row r="13" spans="2:28" s="26" customFormat="1">
      <c r="B13" s="157" t="s">
        <v>160</v>
      </c>
      <c r="C13" s="158" t="s">
        <v>161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</row>
    <row r="14" spans="2:28" s="26" customFormat="1">
      <c r="B14" s="157" t="s">
        <v>162</v>
      </c>
      <c r="C14" s="158" t="s">
        <v>163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</row>
    <row r="15" spans="2:28" s="26" customFormat="1">
      <c r="B15" s="157" t="s">
        <v>164</v>
      </c>
      <c r="C15" s="158" t="s">
        <v>165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57</v>
      </c>
      <c r="V15" s="538">
        <f>K21</f>
        <v>46077</v>
      </c>
    </row>
    <row r="16" spans="2:28" s="26" customFormat="1">
      <c r="B16" s="157" t="s">
        <v>166</v>
      </c>
      <c r="C16" s="158" t="s">
        <v>167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29</v>
      </c>
      <c r="V16" s="538">
        <f>K28</f>
        <v>46085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23</v>
      </c>
      <c r="V17" s="538">
        <f>K35</f>
        <v>46079</v>
      </c>
    </row>
    <row r="18" spans="2:28" s="28" customFormat="1">
      <c r="B18" s="155">
        <v>2</v>
      </c>
      <c r="C18" s="156" t="s">
        <v>168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46085</v>
      </c>
      <c r="U18" s="539">
        <f>J39</f>
        <v>9</v>
      </c>
      <c r="V18" s="538">
        <f>K39</f>
        <v>46094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169</v>
      </c>
      <c r="C19" s="158" t="s">
        <v>170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46087</v>
      </c>
      <c r="U19" s="539">
        <f>J44</f>
        <v>14</v>
      </c>
      <c r="V19" s="538">
        <f>K44</f>
        <v>46101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46092</v>
      </c>
      <c r="U20" s="539">
        <f>J48</f>
        <v>16</v>
      </c>
      <c r="V20" s="538">
        <f>K48</f>
        <v>46108</v>
      </c>
    </row>
    <row r="21" spans="2:28" s="28" customFormat="1">
      <c r="B21" s="155">
        <v>3</v>
      </c>
      <c r="C21" s="156" t="s">
        <v>171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57</v>
      </c>
      <c r="K21" s="571">
        <f>MAX(K22:K27)</f>
        <v>46077</v>
      </c>
      <c r="L21" s="574"/>
      <c r="M21" s="575">
        <f>(J22*M22+J23*M23+J24*M24+J25*M25+J26*M26)/SUM(J22:J26)</f>
        <v>0.61081081081081079</v>
      </c>
      <c r="N21" s="575">
        <f ca="1">(J22*N22+J23*N23+J24*N24+J25*N25+J26*N26)/SUM(J22:J26)</f>
        <v>0.77729729729729735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172</v>
      </c>
      <c r="C22" s="158" t="s">
        <v>173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174</v>
      </c>
      <c r="C23" s="158" t="s">
        <v>175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176</v>
      </c>
      <c r="C24" s="158" t="s">
        <v>177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28</v>
      </c>
      <c r="K24" s="576">
        <f>WORKDAY.INTL(I24,J24,1,Data!$C$3:$C$60)</f>
        <v>46070</v>
      </c>
      <c r="L24" s="77"/>
      <c r="M24" s="579">
        <v>0.7</v>
      </c>
      <c r="N24" s="579">
        <f t="shared" ca="1" si="1"/>
        <v>0.92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178</v>
      </c>
      <c r="C25" s="158" t="s">
        <v>179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f>WORKDAY.INTL(K24,0,1,Data!$C$3:$C$60)</f>
        <v>46070</v>
      </c>
      <c r="J25" s="577">
        <v>5</v>
      </c>
      <c r="K25" s="576">
        <f>WORKDAY.INTL(I25,J25,1,Data!$C$3:$C$60)</f>
        <v>46077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180</v>
      </c>
      <c r="C26" s="158" t="s">
        <v>181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f>WORKDAY.INTL(I25,0,1,Data!$C$3:$C$60)</f>
        <v>46070</v>
      </c>
      <c r="J26" s="577">
        <v>1</v>
      </c>
      <c r="K26" s="576">
        <f>WORKDAY.INTL(I26,J26,1,Data!$C$3:$C$60)</f>
        <v>46071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182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29</v>
      </c>
      <c r="K28" s="571">
        <f>MAX(K30:K34)</f>
        <v>46085</v>
      </c>
      <c r="L28" s="574"/>
      <c r="M28" s="575">
        <f>(J30*M30+J31*M31+J33*M33)/SUM(J30:J33)</f>
        <v>0.32500000000000001</v>
      </c>
      <c r="N28" s="575">
        <f ca="1">(K30*N30+K31*N31+K33*N33)/SUM(K30:K33)</f>
        <v>0.49994573062854786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183</v>
      </c>
      <c r="C30" s="158" t="s">
        <v>184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185</v>
      </c>
      <c r="C31" s="158" t="s">
        <v>186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0.6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187</v>
      </c>
      <c r="C32" s="158" t="s">
        <v>188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189</v>
      </c>
      <c r="C33" s="154" t="s">
        <v>190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WORKDAY.INTL(K37,0,1,Data!$C$3:$C$60)-3</f>
        <v>46076</v>
      </c>
      <c r="J33" s="577">
        <v>7</v>
      </c>
      <c r="K33" s="582">
        <f>WORKDAY.INTL(I33,J33,1,Data!$C$3:$C$60)</f>
        <v>46085</v>
      </c>
      <c r="L33" s="77"/>
      <c r="M33" s="579">
        <v>0</v>
      </c>
      <c r="N33" s="579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191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23</v>
      </c>
      <c r="K35" s="571">
        <f>MAX(K36:K38)</f>
        <v>46079</v>
      </c>
      <c r="L35" s="574"/>
      <c r="M35" s="575">
        <f>(J36*M36+J37*M37)/SUM(J36:J37)</f>
        <v>0.1</v>
      </c>
      <c r="N35" s="575">
        <f ca="1">(K36*N36+K37*N37)/SUM(K36:K37)</f>
        <v>0.49988061127029609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194</v>
      </c>
      <c r="C37" s="158" t="s">
        <v>195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f>K31</f>
        <v>46066</v>
      </c>
      <c r="J37" s="577">
        <v>9</v>
      </c>
      <c r="K37" s="576">
        <f>WORKDAY.INTL(I37,J37,1,Data!$C$3:$C$60)</f>
        <v>46079</v>
      </c>
      <c r="L37" s="77"/>
      <c r="M37" s="579">
        <v>0</v>
      </c>
      <c r="N37" s="579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196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46085</v>
      </c>
      <c r="J39" s="572">
        <f>K39-I39</f>
        <v>9</v>
      </c>
      <c r="K39" s="571">
        <f>MAX(K40:K43)</f>
        <v>46094</v>
      </c>
      <c r="L39" s="574"/>
      <c r="M39" s="575">
        <f>(J40*M40+J41*M41+J42*M42)/SUM(J40:J42)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197</v>
      </c>
      <c r="C40" s="154" t="s">
        <v>196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f>WORKDAY.INTL(MAX(K21,K28,K35),0,1,Data!$C$3:$C$60)</f>
        <v>46085</v>
      </c>
      <c r="J40" s="577">
        <v>1</v>
      </c>
      <c r="K40" s="582">
        <f>WORKDAY.INTL(I40,J40,1,Data!$C$3:$C$60)</f>
        <v>46086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198</v>
      </c>
      <c r="C41" s="154" t="s">
        <v>199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46086</v>
      </c>
      <c r="J41" s="577">
        <v>1</v>
      </c>
      <c r="K41" s="582">
        <f>WORKDAY.INTL(I41,J41,1,Data!$C$3:$C$60)</f>
        <v>46087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200</v>
      </c>
      <c r="C42" s="154" t="s">
        <v>201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46087</v>
      </c>
      <c r="J42" s="577">
        <v>5</v>
      </c>
      <c r="K42" s="582">
        <f>WORKDAY.INTL(I42,J42,1,Data!$C$3:$C$60)</f>
        <v>46094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202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46087</v>
      </c>
      <c r="J44" s="572">
        <f>K44-I44</f>
        <v>14</v>
      </c>
      <c r="K44" s="571">
        <f>MAX(K45:K47)</f>
        <v>46101</v>
      </c>
      <c r="L44" s="574"/>
      <c r="M44" s="575">
        <f>(J45*M45+J46*M46)/SUM(J45:J46)</f>
        <v>0</v>
      </c>
      <c r="N44" s="575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203</v>
      </c>
      <c r="C45" s="154" t="s">
        <v>204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46087</v>
      </c>
      <c r="J45" s="577">
        <v>3</v>
      </c>
      <c r="K45" s="582">
        <f>WORKDAY.INTL(I45,J45,1,Data!$C$3:$C$60)</f>
        <v>46092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46092</v>
      </c>
      <c r="J46" s="577">
        <v>7</v>
      </c>
      <c r="K46" s="582">
        <f>WORKDAY.INTL(I46,J46,1,Data!$C$3:$C$60)</f>
        <v>46101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207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46092</v>
      </c>
      <c r="J48" s="572">
        <f>K48-I48</f>
        <v>16</v>
      </c>
      <c r="K48" s="571">
        <f>MAX(K49:K51)</f>
        <v>46108</v>
      </c>
      <c r="L48" s="574"/>
      <c r="M48" s="575">
        <f>(J49*M49+J50*M50+J51*M51)/SUM(J49:J51)</f>
        <v>0</v>
      </c>
      <c r="N48" s="575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46092</v>
      </c>
      <c r="J49" s="577">
        <v>7</v>
      </c>
      <c r="K49" s="582">
        <f>WORKDAY.INTL(I49,J49,1,Data!$C$3:$C$60)</f>
        <v>46101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46101</v>
      </c>
      <c r="J50" s="577">
        <v>1</v>
      </c>
      <c r="K50" s="582">
        <f>WORKDAY.INTL(I50,J50,1,Data!$C$3:$C$60)</f>
        <v>46104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212</v>
      </c>
      <c r="C51" s="154" t="s">
        <v>213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46101</v>
      </c>
      <c r="J51" s="577">
        <v>5</v>
      </c>
      <c r="K51" s="582">
        <f>WORKDAY.INTL(I51,J51,1,Data!$C$3:$C$60)</f>
        <v>46108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28515625" defaultRowHeight="14.45"/>
  <cols>
    <col min="1" max="1" width="5.28515625" style="24" customWidth="1"/>
    <col min="2" max="2" width="5.28515625" style="45" customWidth="1"/>
    <col min="3" max="4" width="23.28515625" style="43" customWidth="1"/>
    <col min="5" max="5" width="6.7109375" style="43" customWidth="1"/>
    <col min="6" max="6" width="16.28515625" style="43" customWidth="1"/>
    <col min="7" max="7" width="13" style="43" customWidth="1"/>
    <col min="8" max="8" width="17.28515625" style="43" customWidth="1"/>
    <col min="9" max="9" width="1.7109375" style="43" customWidth="1"/>
    <col min="10" max="10" width="3.28515625" style="24" customWidth="1"/>
    <col min="11" max="11" width="1.7109375" style="87" customWidth="1"/>
    <col min="12" max="12" width="29.28515625" style="24" customWidth="1"/>
    <col min="13" max="13" width="1.7109375" style="43" customWidth="1"/>
    <col min="14" max="14" width="29.285156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4.28515625" style="43" customWidth="1"/>
    <col min="20" max="20" width="14.28515625" style="43" customWidth="1"/>
    <col min="21" max="21" width="10.28515625" style="24" bestFit="1" customWidth="1"/>
    <col min="22" max="23" width="8.28515625" style="24"/>
    <col min="24" max="24" width="18.7109375" style="24" bestFit="1" customWidth="1"/>
    <col min="25" max="25" width="15.7109375" style="24" bestFit="1" customWidth="1"/>
    <col min="26" max="26" width="17.7109375" style="24" bestFit="1" customWidth="1"/>
    <col min="27" max="27" width="14.7109375" style="24" bestFit="1" customWidth="1"/>
    <col min="28" max="28" width="8.28515625" style="43"/>
    <col min="29" max="29" width="12.28515625" style="43" bestFit="1" customWidth="1"/>
    <col min="30" max="40" width="8.28515625" style="43"/>
    <col min="41" max="41" width="9.28515625" style="43" bestFit="1" customWidth="1"/>
    <col min="42" max="16384" width="8.28515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</row>
    <row r="4" spans="1:41" s="24" customFormat="1" ht="13.15">
      <c r="B4" s="256">
        <v>1</v>
      </c>
      <c r="C4" s="257" t="s">
        <v>219</v>
      </c>
      <c r="D4" s="258">
        <f>'Project Plan'!E6</f>
        <v>1862957.1509834838</v>
      </c>
      <c r="E4" s="259"/>
      <c r="F4" s="258">
        <f>F21</f>
        <v>1862957.150983484</v>
      </c>
      <c r="G4" s="637" t="s">
        <v>220</v>
      </c>
      <c r="H4" s="637" t="s">
        <v>221</v>
      </c>
      <c r="J4" s="53"/>
      <c r="L4" s="276"/>
      <c r="N4" s="276" t="s">
        <v>158</v>
      </c>
      <c r="Q4" s="44"/>
      <c r="S4" s="53"/>
      <c r="X4" s="624" t="s">
        <v>222</v>
      </c>
      <c r="Y4" s="624" t="s">
        <v>223</v>
      </c>
      <c r="Z4" s="624" t="s">
        <v>224</v>
      </c>
      <c r="AA4" s="624" t="s">
        <v>225</v>
      </c>
    </row>
    <row r="5" spans="1:41" s="24" customFormat="1" ht="15" customHeight="1">
      <c r="B5" s="256">
        <v>2</v>
      </c>
      <c r="C5" s="257" t="s">
        <v>226</v>
      </c>
      <c r="D5" s="258">
        <f>+'Expenditure Tracking'!F5</f>
        <v>1520558.8732336955</v>
      </c>
      <c r="E5" s="259"/>
      <c r="F5" s="258">
        <f>+'Expenditure Tracking'!H5</f>
        <v>1301173.9943872935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1973058.1214075878</v>
      </c>
      <c r="Y5" s="625">
        <f>SUMIFS('Expenditure Breakdown'!$Q:$Q,
        'Expenditure Breakdown'!$T:$T, "&gt;"&amp;DATE(2025,8,31),
        'Expenditure Breakdown'!$T:$T, "&lt;="&amp;DATE(2026,8,31))</f>
        <v>1301173.9943872939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1336347.6513365244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871330.228</v>
      </c>
    </row>
    <row r="6" spans="1:41" s="24" customFormat="1" ht="15" customHeight="1">
      <c r="B6" s="256">
        <v>3</v>
      </c>
      <c r="C6" s="257" t="s">
        <v>227</v>
      </c>
      <c r="D6" s="258">
        <f>+D4-D5</f>
        <v>342398.27774978825</v>
      </c>
      <c r="E6" s="259"/>
      <c r="F6" s="258">
        <f>+F4-F5</f>
        <v>561783.15659619053</v>
      </c>
      <c r="J6" s="53"/>
      <c r="L6" s="276"/>
      <c r="N6" s="276" t="s">
        <v>228</v>
      </c>
      <c r="S6" s="53"/>
    </row>
    <row r="7" spans="1:41" s="24" customFormat="1" ht="15" customHeight="1" thickBot="1">
      <c r="B7" s="256">
        <v>4</v>
      </c>
      <c r="C7" s="257" t="s">
        <v>229</v>
      </c>
      <c r="D7" s="260">
        <f>+D6/D4</f>
        <v>0.18379288947629896</v>
      </c>
      <c r="E7" s="259"/>
      <c r="F7" s="260">
        <f>+F6/F4</f>
        <v>0.30155452383841275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230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5">
      <c r="B12" s="46" t="s">
        <v>145</v>
      </c>
      <c r="C12" s="47" t="s">
        <v>231</v>
      </c>
      <c r="D12" s="48"/>
      <c r="E12" s="46" t="s">
        <v>232</v>
      </c>
      <c r="F12" s="46" t="s">
        <v>233</v>
      </c>
      <c r="H12" s="261" t="s">
        <v>234</v>
      </c>
      <c r="J12" s="53"/>
      <c r="L12" s="78" t="s">
        <v>235</v>
      </c>
      <c r="M12" s="49"/>
      <c r="N12" s="78" t="s">
        <v>236</v>
      </c>
      <c r="O12" s="49"/>
      <c r="P12" s="78" t="s">
        <v>237</v>
      </c>
      <c r="R12" s="279" t="s">
        <v>238</v>
      </c>
      <c r="S12" s="53"/>
    </row>
    <row r="13" spans="1:41" s="24" customFormat="1" ht="13.15">
      <c r="B13" s="589">
        <v>1</v>
      </c>
      <c r="C13" s="680" t="s">
        <v>239</v>
      </c>
      <c r="D13" s="681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240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3.15">
      <c r="B14" s="599">
        <v>2</v>
      </c>
      <c r="C14" s="680" t="s">
        <v>241</v>
      </c>
      <c r="D14" s="681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242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3.15">
      <c r="B15" s="589">
        <v>3</v>
      </c>
      <c r="C15" s="680" t="s">
        <v>243</v>
      </c>
      <c r="D15" s="681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242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3.15">
      <c r="B16" s="589">
        <v>4</v>
      </c>
      <c r="C16" s="678" t="s">
        <v>199</v>
      </c>
      <c r="D16" s="679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46101</v>
      </c>
      <c r="R16" s="280"/>
      <c r="S16" s="53"/>
    </row>
    <row r="17" spans="2:19" s="24" customFormat="1" ht="13.15">
      <c r="B17" s="589">
        <v>5</v>
      </c>
      <c r="C17" s="678" t="s">
        <v>244</v>
      </c>
      <c r="D17" s="679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46108</v>
      </c>
      <c r="R17" s="280"/>
      <c r="S17" s="53"/>
    </row>
    <row r="18" spans="2:19" s="24" customFormat="1" ht="13.15">
      <c r="B18" s="589">
        <v>6</v>
      </c>
      <c r="C18" s="678" t="s">
        <v>245</v>
      </c>
      <c r="D18" s="67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15">
      <c r="B19" s="589">
        <v>7</v>
      </c>
      <c r="C19" s="680" t="s">
        <v>245</v>
      </c>
      <c r="D19" s="68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246</v>
      </c>
      <c r="C23" s="57" t="s">
        <v>247</v>
      </c>
      <c r="D23" s="57"/>
      <c r="F23" s="58"/>
      <c r="H23" s="30"/>
    </row>
    <row r="24" spans="2:19" s="24" customFormat="1" ht="13.15">
      <c r="C24" s="59" t="s">
        <v>248</v>
      </c>
      <c r="D24" s="60"/>
      <c r="F24" s="61"/>
    </row>
    <row r="25" spans="2:19" s="24" customFormat="1" ht="13.15">
      <c r="C25" s="59" t="s">
        <v>249</v>
      </c>
      <c r="D25" s="60"/>
    </row>
    <row r="26" spans="2:19" s="24" customFormat="1" ht="13.15">
      <c r="C26" s="62" t="s">
        <v>250</v>
      </c>
      <c r="D26" s="63"/>
    </row>
    <row r="27" spans="2:19" s="24" customFormat="1" ht="13.15">
      <c r="C27" s="64" t="s">
        <v>251</v>
      </c>
      <c r="D27" s="60"/>
    </row>
    <row r="28" spans="2:19" s="24" customFormat="1" ht="13.15">
      <c r="B28" s="31"/>
      <c r="C28" s="64" t="s">
        <v>252</v>
      </c>
      <c r="D28" s="60"/>
    </row>
    <row r="29" spans="2:19" s="24" customFormat="1" ht="13.15">
      <c r="B29" s="31"/>
      <c r="C29" s="24" t="s">
        <v>253</v>
      </c>
    </row>
    <row r="30" spans="2:19" s="24" customFormat="1" ht="27.75" customHeight="1">
      <c r="B30" s="31"/>
      <c r="C30" s="65" t="s">
        <v>254</v>
      </c>
      <c r="D30" s="65"/>
      <c r="F30" s="61"/>
    </row>
    <row r="31" spans="2:19" s="24" customFormat="1" ht="13.15">
      <c r="B31" s="31"/>
      <c r="F31" s="58"/>
      <c r="N31" s="543"/>
    </row>
    <row r="32" spans="2:19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231</v>
      </c>
      <c r="D40" s="48"/>
      <c r="E40" s="46" t="s">
        <v>232</v>
      </c>
      <c r="F40" s="46" t="s">
        <v>233</v>
      </c>
    </row>
    <row r="41" spans="2:6" s="24" customFormat="1" ht="12.75" hidden="1" customHeight="1">
      <c r="B41" s="66">
        <v>1</v>
      </c>
      <c r="C41" s="67" t="s">
        <v>255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241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256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244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257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8" activePane="bottomLeft" state="frozen"/>
      <selection pane="bottomLeft" activeCell="A13" sqref="A13:XFD13"/>
      <selection activeCell="X33" sqref="X33"/>
    </sheetView>
  </sheetViews>
  <sheetFormatPr defaultColWidth="8.28515625" defaultRowHeight="13.9"/>
  <cols>
    <col min="1" max="1" width="1.28515625" style="4" customWidth="1"/>
    <col min="2" max="2" width="8.28515625" style="5"/>
    <col min="3" max="3" width="2.28515625" style="5" customWidth="1"/>
    <col min="4" max="4" width="21.28515625" style="4" customWidth="1"/>
    <col min="5" max="5" width="1.28515625" style="4" customWidth="1"/>
    <col min="6" max="6" width="19.7109375" style="4" customWidth="1"/>
    <col min="7" max="7" width="1.28515625" style="4" customWidth="1"/>
    <col min="8" max="8" width="18.28515625" style="4" customWidth="1"/>
    <col min="9" max="9" width="3.28515625" style="4" customWidth="1"/>
    <col min="10" max="10" width="24.28515625" style="4" customWidth="1"/>
    <col min="11" max="11" width="2" style="4" customWidth="1"/>
    <col min="12" max="12" width="53.28515625" style="4" customWidth="1"/>
    <col min="13" max="16384" width="8.28515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2"/>
      <c r="C4" s="682"/>
      <c r="D4" s="682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45" thickBot="1">
      <c r="A5" s="126"/>
      <c r="B5" s="683" t="s">
        <v>260</v>
      </c>
      <c r="C5" s="683"/>
      <c r="D5" s="683"/>
      <c r="E5" s="313"/>
      <c r="F5" s="133">
        <f>SUM(F9:F23)</f>
        <v>1520558.8732336955</v>
      </c>
      <c r="G5" s="128"/>
      <c r="H5" s="133">
        <f>SUM(H9:H23)</f>
        <v>1301173.9943872935</v>
      </c>
      <c r="I5" s="126"/>
      <c r="J5" s="134">
        <f>SUM(J9:J23)</f>
        <v>219384.87884640219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145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79978.17</v>
      </c>
      <c r="I16" s="23"/>
      <c r="J16" s="143">
        <f t="shared" si="0"/>
        <v>107521.83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147225</v>
      </c>
      <c r="G17" s="21"/>
      <c r="H17" s="142">
        <f>'Expenditure Breakdown'!X90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34366.266666666663</v>
      </c>
      <c r="G18" s="21"/>
      <c r="H18" s="142">
        <f>'Expenditure Breakdown'!X103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16449.739175724637</v>
      </c>
      <c r="G21" s="21"/>
      <c r="H21" s="142">
        <f>'Expenditure Breakdown'!X128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630</v>
      </c>
      <c r="G22" s="21"/>
      <c r="H22" s="142">
        <f>'Expenditure Breakdown'!X135</f>
        <v>734.3</v>
      </c>
      <c r="I22" s="23"/>
      <c r="J22" s="143">
        <f t="shared" si="0"/>
        <v>-104.29999999999995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T1" zoomScale="80" zoomScaleNormal="80" workbookViewId="0">
      <pane ySplit="4" topLeftCell="I40" activePane="bottomLeft" state="frozen"/>
      <selection pane="bottomLeft" activeCell="N48" sqref="N48"/>
      <selection activeCell="X33" sqref="X33"/>
    </sheetView>
  </sheetViews>
  <sheetFormatPr defaultColWidth="9.140625" defaultRowHeight="13.9"/>
  <cols>
    <col min="1" max="1" width="2.28515625" style="26" hidden="1" customWidth="1"/>
    <col min="2" max="2" width="6.28515625" style="4" hidden="1" customWidth="1"/>
    <col min="3" max="3" width="20.28515625" style="4" hidden="1" customWidth="1"/>
    <col min="4" max="4" width="51.7109375" style="4" hidden="1" customWidth="1"/>
    <col min="5" max="5" width="13" style="6" hidden="1" customWidth="1"/>
    <col min="6" max="6" width="16.7109375" style="372" hidden="1" customWidth="1"/>
    <col min="7" max="8" width="17.28515625" style="4" hidden="1" customWidth="1"/>
    <col min="9" max="10" width="22.28515625" style="254" customWidth="1"/>
    <col min="11" max="12" width="5.28515625" style="26" customWidth="1"/>
    <col min="13" max="13" width="25.7109375" style="26" customWidth="1"/>
    <col min="14" max="14" width="48.28515625" style="26" customWidth="1"/>
    <col min="15" max="15" width="15.7109375" style="26" customWidth="1"/>
    <col min="16" max="17" width="17.28515625" style="26" customWidth="1"/>
    <col min="18" max="18" width="33.7109375" style="26" customWidth="1"/>
    <col min="19" max="19" width="31.28515625" style="26" bestFit="1" customWidth="1"/>
    <col min="20" max="21" width="17.28515625" style="431" customWidth="1"/>
    <col min="22" max="22" width="17.28515625" style="26" customWidth="1"/>
    <col min="23" max="23" width="17.28515625" style="431" customWidth="1"/>
    <col min="24" max="24" width="21.28515625" style="26" customWidth="1"/>
    <col min="25" max="25" width="29.28515625" style="26" bestFit="1" customWidth="1"/>
    <col min="26" max="26" width="24.28515625" style="26" customWidth="1"/>
    <col min="27" max="76" width="17.28515625" style="26" customWidth="1"/>
    <col min="77" max="16384" width="9.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1" t="s">
        <v>266</v>
      </c>
      <c r="C2" s="732"/>
      <c r="D2" s="732"/>
      <c r="E2" s="732"/>
      <c r="F2" s="732"/>
      <c r="G2" s="732"/>
      <c r="H2" s="395"/>
      <c r="I2" s="162">
        <f>SUM(I6:I160)</f>
        <v>1520558.8732336955</v>
      </c>
      <c r="J2" s="162">
        <f>SUM(J6:J160)</f>
        <v>1862957.1509834835</v>
      </c>
      <c r="L2" s="733" t="s">
        <v>267</v>
      </c>
      <c r="M2" s="734"/>
      <c r="N2" s="734"/>
      <c r="O2" s="734"/>
      <c r="P2" s="734"/>
      <c r="Q2" s="734"/>
      <c r="R2" s="735" t="s">
        <v>268</v>
      </c>
      <c r="S2" s="736"/>
      <c r="T2" s="736"/>
      <c r="U2" s="736"/>
      <c r="V2" s="736"/>
      <c r="W2" s="737"/>
      <c r="X2" s="162">
        <f>SUM(X6:X160)</f>
        <v>1301173.9943872935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ERROR on REV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7" t="s">
        <v>279</v>
      </c>
      <c r="S4" s="498" t="s">
        <v>235</v>
      </c>
      <c r="T4" s="521" t="s">
        <v>236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D161</f>
        <v>408885.35</v>
      </c>
      <c r="H6" s="550">
        <f>'Project Plan'!E36+60</f>
        <v>46111</v>
      </c>
      <c r="I6" s="684">
        <f>SUM(G6:G11)</f>
        <v>408885.35</v>
      </c>
      <c r="J6" s="687">
        <f>F161</f>
        <v>511106.6875</v>
      </c>
      <c r="K6" s="289"/>
      <c r="L6" s="185">
        <v>1</v>
      </c>
      <c r="M6" s="316" t="s">
        <v>285</v>
      </c>
      <c r="N6" s="186" t="s">
        <v>286</v>
      </c>
      <c r="O6" s="520">
        <v>302</v>
      </c>
      <c r="P6" s="336">
        <v>1220</v>
      </c>
      <c r="Q6" s="292">
        <f>O6*P6</f>
        <v>368440</v>
      </c>
      <c r="R6" s="469"/>
      <c r="S6" s="500" t="s">
        <v>287</v>
      </c>
      <c r="T6" s="541">
        <v>46053</v>
      </c>
      <c r="U6" s="626">
        <v>511106.6875</v>
      </c>
      <c r="V6" s="696">
        <f>J6-SUM(U6:U11)</f>
        <v>0</v>
      </c>
      <c r="W6" s="453">
        <v>46109</v>
      </c>
      <c r="X6" s="684">
        <f>SUM(Q6:Q11)</f>
        <v>368440</v>
      </c>
    </row>
    <row r="7" spans="1:76" ht="15" customHeight="1">
      <c r="B7" s="215">
        <v>1</v>
      </c>
      <c r="C7" s="317"/>
      <c r="D7" s="290" t="s">
        <v>288</v>
      </c>
      <c r="E7" s="291"/>
      <c r="F7" s="357"/>
      <c r="G7" s="219"/>
      <c r="H7" s="541"/>
      <c r="I7" s="685"/>
      <c r="J7" s="688"/>
      <c r="K7" s="192"/>
      <c r="L7" s="215">
        <v>1</v>
      </c>
      <c r="M7" s="217" t="s">
        <v>285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97"/>
      <c r="W7" s="454"/>
      <c r="X7" s="68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85"/>
      <c r="J8" s="688"/>
      <c r="K8" s="192"/>
      <c r="L8" s="215">
        <v>1</v>
      </c>
      <c r="M8" s="217" t="s">
        <v>285</v>
      </c>
      <c r="N8" s="379"/>
      <c r="O8" s="434"/>
      <c r="P8" s="343"/>
      <c r="Q8" s="219"/>
      <c r="R8" s="470"/>
      <c r="S8" s="501"/>
      <c r="T8" s="411"/>
      <c r="U8" s="626">
        <v>0</v>
      </c>
      <c r="V8" s="697"/>
      <c r="W8" s="454"/>
      <c r="X8" s="68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85"/>
      <c r="J9" s="688"/>
      <c r="K9" s="192"/>
      <c r="L9" s="215">
        <v>1</v>
      </c>
      <c r="M9" s="217" t="s">
        <v>285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97"/>
      <c r="W9" s="455"/>
      <c r="X9" s="68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85"/>
      <c r="J10" s="688"/>
      <c r="K10" s="192"/>
      <c r="L10" s="215">
        <v>1</v>
      </c>
      <c r="M10" s="217" t="s">
        <v>285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97"/>
      <c r="W10" s="455"/>
      <c r="X10" s="68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86"/>
      <c r="J11" s="689"/>
      <c r="K11" s="193"/>
      <c r="L11" s="220">
        <v>1</v>
      </c>
      <c r="M11" s="318" t="s">
        <v>285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698"/>
      <c r="W11" s="456"/>
      <c r="X11" s="686"/>
      <c r="Y11" s="606" t="s">
        <v>289</v>
      </c>
      <c r="Z11" s="487" t="s">
        <v>290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291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292</v>
      </c>
      <c r="E13" s="268"/>
      <c r="F13" s="355"/>
      <c r="G13" s="200">
        <f>D162</f>
        <v>113600</v>
      </c>
      <c r="H13" s="554">
        <f>'Project Plan'!E22+60</f>
        <v>46111</v>
      </c>
      <c r="I13" s="713">
        <f>SUM(G13:G19)</f>
        <v>113600</v>
      </c>
      <c r="J13" s="716">
        <f>F162</f>
        <v>143797.46835443037</v>
      </c>
      <c r="K13" s="201"/>
      <c r="L13" s="197">
        <v>2</v>
      </c>
      <c r="M13" s="319" t="s">
        <v>293</v>
      </c>
      <c r="N13" s="223" t="s">
        <v>294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287</v>
      </c>
      <c r="T13" s="554">
        <f>T6</f>
        <v>46053</v>
      </c>
      <c r="U13" s="643">
        <v>88048.509138168272</v>
      </c>
      <c r="V13" s="728">
        <f>J13-SUM(U13:U19)</f>
        <v>0</v>
      </c>
      <c r="W13" s="458">
        <f>W6</f>
        <v>46109</v>
      </c>
      <c r="X13" s="713">
        <f>SUM(Q13:Q19)</f>
        <v>112476.43000000001</v>
      </c>
      <c r="Y13" s="607" t="s">
        <v>295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14"/>
      <c r="J14" s="717"/>
      <c r="K14" s="205"/>
      <c r="L14" s="202">
        <v>2</v>
      </c>
      <c r="M14" s="325" t="s">
        <v>293</v>
      </c>
      <c r="N14" s="309" t="s">
        <v>296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287</v>
      </c>
      <c r="T14" s="545">
        <f>T6</f>
        <v>46053</v>
      </c>
      <c r="U14" s="643">
        <v>55748.959216262105</v>
      </c>
      <c r="V14" s="729"/>
      <c r="W14" s="459">
        <f>W13</f>
        <v>46109</v>
      </c>
      <c r="X14" s="714"/>
      <c r="Y14" s="607" t="s">
        <v>297</v>
      </c>
      <c r="Z14" s="488">
        <f>G90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14"/>
      <c r="J15" s="717"/>
      <c r="K15" s="205"/>
      <c r="L15" s="202">
        <v>2</v>
      </c>
      <c r="M15" s="325" t="s">
        <v>293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29"/>
      <c r="W15" s="459"/>
      <c r="X15" s="714"/>
      <c r="Y15" s="607" t="s">
        <v>298</v>
      </c>
      <c r="Z15" s="488">
        <f>G91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14"/>
      <c r="J16" s="717"/>
      <c r="K16" s="205"/>
      <c r="L16" s="202">
        <v>2</v>
      </c>
      <c r="M16" s="325" t="s">
        <v>293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29"/>
      <c r="W16" s="459"/>
      <c r="X16" s="714"/>
      <c r="Y16" s="607" t="s">
        <v>299</v>
      </c>
      <c r="Z16" s="488">
        <f>G103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14"/>
      <c r="J17" s="717"/>
      <c r="K17" s="205"/>
      <c r="L17" s="202">
        <v>2</v>
      </c>
      <c r="M17" s="325" t="s">
        <v>293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29"/>
      <c r="W17" s="459"/>
      <c r="X17" s="714"/>
      <c r="Y17" s="607" t="s">
        <v>300</v>
      </c>
      <c r="Z17" s="488">
        <f>G104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14"/>
      <c r="J18" s="717"/>
      <c r="K18" s="205"/>
      <c r="L18" s="202">
        <v>2</v>
      </c>
      <c r="M18" s="325" t="s">
        <v>293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29"/>
      <c r="W18" s="459"/>
      <c r="X18" s="714"/>
      <c r="Y18" s="607" t="s">
        <v>301</v>
      </c>
      <c r="Z18" s="488">
        <f>G106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15"/>
      <c r="J19" s="718"/>
      <c r="K19" s="210"/>
      <c r="L19" s="296">
        <v>2</v>
      </c>
      <c r="M19" s="320" t="s">
        <v>293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30"/>
      <c r="W19" s="460"/>
      <c r="X19" s="715"/>
      <c r="Y19" s="607" t="s">
        <v>302</v>
      </c>
      <c r="Z19" s="488">
        <v>0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303</v>
      </c>
      <c r="D21" s="231" t="s">
        <v>304</v>
      </c>
      <c r="E21" s="187"/>
      <c r="F21" s="336"/>
      <c r="G21" s="188">
        <f>D163</f>
        <v>84258</v>
      </c>
      <c r="H21" s="542">
        <f>'Project Plan'!E30+30</f>
        <v>46081</v>
      </c>
      <c r="I21" s="684">
        <f>SUM(G21:G26)</f>
        <v>84258</v>
      </c>
      <c r="J21" s="687">
        <f>F163</f>
        <v>105322.5</v>
      </c>
      <c r="K21" s="189"/>
      <c r="L21" s="185">
        <v>3</v>
      </c>
      <c r="M21" s="321" t="s">
        <v>305</v>
      </c>
      <c r="N21" s="231" t="s">
        <v>306</v>
      </c>
      <c r="O21" s="432"/>
      <c r="P21" s="336"/>
      <c r="Q21" s="188">
        <v>51620.6</v>
      </c>
      <c r="R21" s="477" t="s">
        <v>307</v>
      </c>
      <c r="S21" s="508" t="s">
        <v>308</v>
      </c>
      <c r="T21" s="542">
        <v>46053</v>
      </c>
      <c r="U21" s="626">
        <v>105322.5</v>
      </c>
      <c r="V21" s="696">
        <f>J21-SUM(U21:U26)</f>
        <v>0</v>
      </c>
      <c r="W21" s="461">
        <f>T21+30</f>
        <v>46083</v>
      </c>
      <c r="X21" s="684">
        <f>SUM(Q21:Q26)</f>
        <v>51620.6</v>
      </c>
      <c r="Y21" s="607" t="s">
        <v>309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85"/>
      <c r="J22" s="688"/>
      <c r="K22" s="192"/>
      <c r="L22" s="215">
        <v>3</v>
      </c>
      <c r="M22" s="322" t="s">
        <v>305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97"/>
      <c r="W22" s="454"/>
      <c r="X22" s="685"/>
      <c r="Y22" s="607" t="s">
        <v>257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85"/>
      <c r="J23" s="688"/>
      <c r="K23" s="192"/>
      <c r="L23" s="215">
        <v>3</v>
      </c>
      <c r="M23" s="322" t="s">
        <v>305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97"/>
      <c r="W23" s="454"/>
      <c r="X23" s="685"/>
      <c r="Y23" s="607" t="s">
        <v>310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85"/>
      <c r="J24" s="688"/>
      <c r="K24" s="192"/>
      <c r="L24" s="215">
        <v>3</v>
      </c>
      <c r="M24" s="322" t="s">
        <v>305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97"/>
      <c r="W24" s="455"/>
      <c r="X24" s="685"/>
      <c r="Y24" s="608" t="s">
        <v>311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85"/>
      <c r="J25" s="688"/>
      <c r="K25" s="192"/>
      <c r="L25" s="215">
        <v>3</v>
      </c>
      <c r="M25" s="322" t="s">
        <v>305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97"/>
      <c r="W25" s="455"/>
      <c r="X25" s="68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86"/>
      <c r="J26" s="689"/>
      <c r="K26" s="193"/>
      <c r="L26" s="220">
        <v>3</v>
      </c>
      <c r="M26" s="323" t="s">
        <v>305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698"/>
      <c r="W26" s="456"/>
      <c r="X26" s="686"/>
      <c r="Y26" s="609" t="s">
        <v>216</v>
      </c>
      <c r="Z26" s="492" t="s">
        <v>312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295</v>
      </c>
      <c r="D28" s="198" t="s">
        <v>313</v>
      </c>
      <c r="E28" s="268">
        <v>3875</v>
      </c>
      <c r="F28" s="355"/>
      <c r="G28" s="200">
        <v>54250</v>
      </c>
      <c r="H28" s="554">
        <f>'Project Plan'!E32+60</f>
        <v>46111</v>
      </c>
      <c r="I28" s="713">
        <f>SUM(G28:G42)</f>
        <v>155045.70000000001</v>
      </c>
      <c r="J28" s="716">
        <f>F164</f>
        <v>193807.125</v>
      </c>
      <c r="K28" s="201"/>
      <c r="L28" s="197">
        <v>4</v>
      </c>
      <c r="M28" s="324" t="s">
        <v>314</v>
      </c>
      <c r="N28" s="198" t="s">
        <v>315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287</v>
      </c>
      <c r="T28" s="554">
        <v>46053</v>
      </c>
      <c r="U28" s="643">
        <v>69733.17127227415</v>
      </c>
      <c r="V28" s="728">
        <f>J28-SUM(U28:U42)</f>
        <v>0</v>
      </c>
      <c r="W28" s="458">
        <f>W6</f>
        <v>46109</v>
      </c>
      <c r="X28" s="713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316</v>
      </c>
      <c r="E29" s="295"/>
      <c r="F29" s="351"/>
      <c r="G29" s="517">
        <f>D164-G28</f>
        <v>100795.70000000001</v>
      </c>
      <c r="H29" s="545">
        <f>'Project Plan'!G28</f>
        <v>46077</v>
      </c>
      <c r="I29" s="714"/>
      <c r="J29" s="717"/>
      <c r="K29" s="205"/>
      <c r="L29" s="202">
        <v>4</v>
      </c>
      <c r="M29" s="325" t="s">
        <v>314</v>
      </c>
      <c r="N29" s="309"/>
      <c r="O29" s="430"/>
      <c r="P29" s="351"/>
      <c r="Q29" s="204"/>
      <c r="R29" s="475"/>
      <c r="S29" s="506"/>
      <c r="T29" s="416">
        <f t="shared" si="0"/>
        <v>46112</v>
      </c>
      <c r="U29" s="401">
        <f t="shared" ref="U28:U42" si="2">(Q29/$X$28*$J$28)</f>
        <v>0</v>
      </c>
      <c r="V29" s="729"/>
      <c r="W29" s="459">
        <f>W6</f>
        <v>46109</v>
      </c>
      <c r="X29" s="714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14"/>
      <c r="J30" s="717"/>
      <c r="K30" s="205"/>
      <c r="L30" s="202">
        <v>4</v>
      </c>
      <c r="M30" s="325" t="s">
        <v>314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29"/>
      <c r="W30" s="459"/>
      <c r="X30" s="714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14"/>
      <c r="J31" s="717"/>
      <c r="K31" s="205"/>
      <c r="L31" s="202">
        <v>4</v>
      </c>
      <c r="M31" s="325" t="s">
        <v>314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29"/>
      <c r="W31" s="459"/>
      <c r="X31" s="714"/>
      <c r="Y31" s="610" t="s">
        <v>299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14"/>
      <c r="J32" s="717"/>
      <c r="K32" s="205"/>
      <c r="L32" s="202">
        <v>4</v>
      </c>
      <c r="M32" s="325" t="s">
        <v>314</v>
      </c>
      <c r="N32" s="309" t="s">
        <v>317</v>
      </c>
      <c r="O32" s="447">
        <f>Z28</f>
        <v>99567.8</v>
      </c>
      <c r="P32" s="448">
        <f t="shared" ref="P32:P37" si="3">P91</f>
        <v>0.2</v>
      </c>
      <c r="Q32" s="204">
        <f>$O$32*P32</f>
        <v>19913.560000000001</v>
      </c>
      <c r="R32" s="710"/>
      <c r="S32" s="506" t="str">
        <f>S91</f>
        <v>Leading Edge Power INV-0182</v>
      </c>
      <c r="T32" s="545">
        <v>46053</v>
      </c>
      <c r="U32" s="643">
        <v>24814.790745545168</v>
      </c>
      <c r="V32" s="729"/>
      <c r="W32" s="638">
        <f>W91</f>
        <v>46051</v>
      </c>
      <c r="X32" s="714"/>
      <c r="Y32" s="610" t="s">
        <v>318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14"/>
      <c r="J33" s="717"/>
      <c r="K33" s="205"/>
      <c r="L33" s="202">
        <v>4</v>
      </c>
      <c r="M33" s="325" t="s">
        <v>314</v>
      </c>
      <c r="N33" s="309" t="s">
        <v>168</v>
      </c>
      <c r="O33" s="438"/>
      <c r="P33" s="448">
        <f t="shared" si="3"/>
        <v>0.2</v>
      </c>
      <c r="Q33" s="204">
        <f t="shared" ref="Q33:Q39" si="4">$O$32*P33</f>
        <v>19913.560000000001</v>
      </c>
      <c r="R33" s="711"/>
      <c r="S33" s="506" t="str">
        <f>S92</f>
        <v>Leading Edge Power INV-0183</v>
      </c>
      <c r="T33" s="545">
        <v>46053</v>
      </c>
      <c r="U33" s="643">
        <v>24814.790745545168</v>
      </c>
      <c r="V33" s="729"/>
      <c r="W33" s="638">
        <f t="shared" ref="W33:W39" si="5">W92</f>
        <v>46058</v>
      </c>
      <c r="X33" s="714"/>
      <c r="Y33" s="610" t="s">
        <v>319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14"/>
      <c r="J34" s="717"/>
      <c r="K34" s="205"/>
      <c r="L34" s="202">
        <v>4</v>
      </c>
      <c r="M34" s="325" t="s">
        <v>314</v>
      </c>
      <c r="N34" s="309" t="s">
        <v>320</v>
      </c>
      <c r="O34" s="438"/>
      <c r="P34" s="448">
        <f t="shared" si="3"/>
        <v>0.15</v>
      </c>
      <c r="Q34" s="204">
        <f t="shared" si="4"/>
        <v>14935.17</v>
      </c>
      <c r="R34" s="711"/>
      <c r="S34" s="506"/>
      <c r="T34" s="416">
        <f t="shared" ref="T34:T39" si="6">T93</f>
        <v>46112</v>
      </c>
      <c r="U34" s="401">
        <f t="shared" si="2"/>
        <v>18611.093059158877</v>
      </c>
      <c r="V34" s="729"/>
      <c r="W34" s="459">
        <f t="shared" si="5"/>
        <v>46084</v>
      </c>
      <c r="X34" s="714"/>
      <c r="Y34" s="610" t="s">
        <v>321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14"/>
      <c r="J35" s="717"/>
      <c r="K35" s="205"/>
      <c r="L35" s="202">
        <v>4</v>
      </c>
      <c r="M35" s="325" t="s">
        <v>314</v>
      </c>
      <c r="N35" s="309" t="s">
        <v>322</v>
      </c>
      <c r="O35" s="438"/>
      <c r="P35" s="448">
        <f t="shared" si="3"/>
        <v>0.15</v>
      </c>
      <c r="Q35" s="204">
        <f t="shared" si="4"/>
        <v>14935.17</v>
      </c>
      <c r="R35" s="711"/>
      <c r="S35" s="506"/>
      <c r="T35" s="416">
        <f t="shared" si="6"/>
        <v>46112</v>
      </c>
      <c r="U35" s="401">
        <f t="shared" si="2"/>
        <v>18611.093059158877</v>
      </c>
      <c r="V35" s="729"/>
      <c r="W35" s="459">
        <f t="shared" si="5"/>
        <v>46092</v>
      </c>
      <c r="X35" s="714"/>
      <c r="Y35" s="610" t="s">
        <v>323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14"/>
      <c r="J36" s="717"/>
      <c r="K36" s="205"/>
      <c r="L36" s="202">
        <v>4</v>
      </c>
      <c r="M36" s="325" t="s">
        <v>314</v>
      </c>
      <c r="N36" s="309" t="s">
        <v>324</v>
      </c>
      <c r="O36" s="438"/>
      <c r="P36" s="448">
        <f t="shared" si="3"/>
        <v>0.1</v>
      </c>
      <c r="Q36" s="204">
        <f t="shared" si="4"/>
        <v>9956.7800000000007</v>
      </c>
      <c r="R36" s="711"/>
      <c r="S36" s="506"/>
      <c r="T36" s="416">
        <f t="shared" si="6"/>
        <v>46112</v>
      </c>
      <c r="U36" s="401">
        <f t="shared" si="2"/>
        <v>12407.395372772584</v>
      </c>
      <c r="V36" s="729"/>
      <c r="W36" s="459">
        <f t="shared" si="5"/>
        <v>46101</v>
      </c>
      <c r="X36" s="714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14"/>
      <c r="J37" s="717"/>
      <c r="K37" s="205"/>
      <c r="L37" s="202">
        <v>4</v>
      </c>
      <c r="M37" s="325" t="s">
        <v>314</v>
      </c>
      <c r="N37" s="309" t="s">
        <v>325</v>
      </c>
      <c r="O37" s="438"/>
      <c r="P37" s="448">
        <f t="shared" si="3"/>
        <v>0.1</v>
      </c>
      <c r="Q37" s="204">
        <f t="shared" si="4"/>
        <v>9956.7800000000007</v>
      </c>
      <c r="R37" s="711"/>
      <c r="S37" s="506"/>
      <c r="T37" s="416">
        <f t="shared" si="6"/>
        <v>46112</v>
      </c>
      <c r="U37" s="401">
        <f t="shared" si="2"/>
        <v>12407.395372772584</v>
      </c>
      <c r="V37" s="729"/>
      <c r="W37" s="459">
        <f t="shared" si="5"/>
        <v>46108</v>
      </c>
      <c r="X37" s="714"/>
      <c r="Y37" s="610" t="s">
        <v>309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14"/>
      <c r="J38" s="717"/>
      <c r="K38" s="205"/>
      <c r="L38" s="202">
        <v>4</v>
      </c>
      <c r="M38" s="325" t="s">
        <v>314</v>
      </c>
      <c r="N38" s="309" t="s">
        <v>326</v>
      </c>
      <c r="O38" s="438"/>
      <c r="P38" s="448">
        <f>P113</f>
        <v>0.05</v>
      </c>
      <c r="Q38" s="204">
        <f t="shared" si="4"/>
        <v>4978.3900000000003</v>
      </c>
      <c r="R38" s="711"/>
      <c r="S38" s="506"/>
      <c r="T38" s="416">
        <f t="shared" si="6"/>
        <v>46112</v>
      </c>
      <c r="U38" s="401">
        <f t="shared" si="2"/>
        <v>6203.6976863862919</v>
      </c>
      <c r="V38" s="729"/>
      <c r="W38" s="459">
        <f t="shared" si="5"/>
        <v>46108</v>
      </c>
      <c r="X38" s="714"/>
      <c r="Y38" s="610" t="s">
        <v>257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14"/>
      <c r="J39" s="717"/>
      <c r="K39" s="205"/>
      <c r="L39" s="202">
        <v>4</v>
      </c>
      <c r="M39" s="325" t="s">
        <v>314</v>
      </c>
      <c r="N39" s="309" t="s">
        <v>327</v>
      </c>
      <c r="O39" s="438"/>
      <c r="P39" s="448">
        <f>P98</f>
        <v>0.05</v>
      </c>
      <c r="Q39" s="204">
        <f t="shared" si="4"/>
        <v>4978.3900000000003</v>
      </c>
      <c r="R39" s="712"/>
      <c r="S39" s="506"/>
      <c r="T39" s="416">
        <f t="shared" si="6"/>
        <v>46142</v>
      </c>
      <c r="U39" s="401">
        <f t="shared" si="2"/>
        <v>6203.6976863862919</v>
      </c>
      <c r="V39" s="729"/>
      <c r="W39" s="459">
        <f t="shared" si="5"/>
        <v>46131</v>
      </c>
      <c r="X39" s="714"/>
      <c r="Y39" s="611" t="s">
        <v>311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14"/>
      <c r="J40" s="717"/>
      <c r="K40" s="205"/>
      <c r="L40" s="202">
        <v>4</v>
      </c>
      <c r="M40" s="325" t="s">
        <v>314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29"/>
      <c r="W40" s="459"/>
      <c r="X40" s="71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14"/>
      <c r="J41" s="717"/>
      <c r="K41" s="205"/>
      <c r="L41" s="202">
        <v>4</v>
      </c>
      <c r="M41" s="325" t="s">
        <v>314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29"/>
      <c r="W41" s="459"/>
      <c r="X41" s="71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15"/>
      <c r="J42" s="718"/>
      <c r="K42" s="210"/>
      <c r="L42" s="206">
        <v>4</v>
      </c>
      <c r="M42" s="326" t="s">
        <v>314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30"/>
      <c r="W42" s="460"/>
      <c r="X42" s="715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328</v>
      </c>
      <c r="D44" s="231" t="s">
        <v>329</v>
      </c>
      <c r="E44" s="187"/>
      <c r="F44" s="336"/>
      <c r="G44" s="188">
        <f>D166-G45</f>
        <v>19000</v>
      </c>
      <c r="H44" s="542">
        <f>H13</f>
        <v>46111</v>
      </c>
      <c r="I44" s="684">
        <f>SUM(G44:G51)</f>
        <v>34000</v>
      </c>
      <c r="J44" s="687">
        <f>F166</f>
        <v>42500</v>
      </c>
      <c r="K44" s="189"/>
      <c r="L44" s="185">
        <v>5</v>
      </c>
      <c r="M44" s="321" t="s">
        <v>330</v>
      </c>
      <c r="N44" s="231" t="s">
        <v>331</v>
      </c>
      <c r="O44" s="432"/>
      <c r="P44" s="336"/>
      <c r="Q44" s="188">
        <v>8598.34</v>
      </c>
      <c r="R44" s="477"/>
      <c r="S44" s="508" t="s">
        <v>332</v>
      </c>
      <c r="T44" s="542">
        <v>46053</v>
      </c>
      <c r="U44" s="646">
        <v>9671.8364739124972</v>
      </c>
      <c r="V44" s="696">
        <f>J44-SUM(U44:U51)</f>
        <v>0</v>
      </c>
      <c r="W44" s="461">
        <v>46111</v>
      </c>
      <c r="X44" s="684">
        <f>SUM(Q44:Q51)</f>
        <v>37782.839999999997</v>
      </c>
    </row>
    <row r="45" spans="1:26" ht="14.25" customHeight="1">
      <c r="B45" s="190">
        <v>5</v>
      </c>
      <c r="C45" s="214"/>
      <c r="D45" s="217" t="s">
        <v>333</v>
      </c>
      <c r="E45" s="349"/>
      <c r="F45" s="350"/>
      <c r="G45" s="219">
        <v>15000</v>
      </c>
      <c r="H45" s="541">
        <f>H44</f>
        <v>46111</v>
      </c>
      <c r="I45" s="685"/>
      <c r="J45" s="688"/>
      <c r="K45" s="192"/>
      <c r="L45" s="190">
        <v>5</v>
      </c>
      <c r="M45" s="327" t="s">
        <v>330</v>
      </c>
      <c r="N45" s="191" t="s">
        <v>334</v>
      </c>
      <c r="O45" s="440"/>
      <c r="P45" s="350"/>
      <c r="Q45" s="219">
        <v>12417</v>
      </c>
      <c r="R45" s="518" t="s">
        <v>335</v>
      </c>
      <c r="S45" s="501" t="s">
        <v>336</v>
      </c>
      <c r="T45" s="630">
        <v>46053</v>
      </c>
      <c r="U45" s="646">
        <v>13967.253388046003</v>
      </c>
      <c r="V45" s="697"/>
      <c r="W45" s="454">
        <v>46080</v>
      </c>
      <c r="X45" s="685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85"/>
      <c r="J46" s="688"/>
      <c r="K46" s="192"/>
      <c r="L46" s="190">
        <v>5</v>
      </c>
      <c r="M46" s="327" t="s">
        <v>330</v>
      </c>
      <c r="N46" s="191" t="s">
        <v>337</v>
      </c>
      <c r="O46" s="440"/>
      <c r="P46" s="350"/>
      <c r="Q46" s="219">
        <v>1767.5</v>
      </c>
      <c r="R46" s="518"/>
      <c r="S46" s="501" t="s">
        <v>338</v>
      </c>
      <c r="T46" s="630">
        <v>46053</v>
      </c>
      <c r="U46" s="646">
        <v>1988.1710850746003</v>
      </c>
      <c r="V46" s="697"/>
      <c r="W46" s="631">
        <v>46053</v>
      </c>
      <c r="X46" s="685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85"/>
      <c r="J47" s="688"/>
      <c r="K47" s="192"/>
      <c r="L47" s="190">
        <v>5</v>
      </c>
      <c r="M47" s="327" t="s">
        <v>330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ref="U44:U51" si="7">(Q47/$X$44*$J$44)</f>
        <v>16872.739052966903</v>
      </c>
      <c r="V47" s="697"/>
      <c r="W47" s="454">
        <f>T47+30</f>
        <v>46111</v>
      </c>
      <c r="X47" s="685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85"/>
      <c r="J48" s="688"/>
      <c r="K48" s="192"/>
      <c r="L48" s="215">
        <v>5</v>
      </c>
      <c r="M48" s="327" t="s">
        <v>330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97"/>
      <c r="W48" s="454"/>
      <c r="X48" s="68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85"/>
      <c r="J49" s="688"/>
      <c r="K49" s="192"/>
      <c r="L49" s="215">
        <v>5</v>
      </c>
      <c r="M49" s="327" t="s">
        <v>330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97"/>
      <c r="W49" s="455"/>
      <c r="X49" s="685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85"/>
      <c r="J50" s="688"/>
      <c r="K50" s="192"/>
      <c r="L50" s="215">
        <v>5</v>
      </c>
      <c r="M50" s="327" t="s">
        <v>330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97"/>
      <c r="W50" s="455"/>
      <c r="X50" s="685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86"/>
      <c r="J51" s="689"/>
      <c r="K51" s="193"/>
      <c r="L51" s="220">
        <v>5</v>
      </c>
      <c r="M51" s="323" t="s">
        <v>330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698"/>
      <c r="W51" s="456"/>
      <c r="X51" s="686"/>
    </row>
    <row r="52" spans="1:24" ht="14.4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291</v>
      </c>
      <c r="D53" s="199" t="s">
        <v>339</v>
      </c>
      <c r="E53" s="373"/>
      <c r="F53" s="355"/>
      <c r="G53" s="200">
        <f>D165</f>
        <v>249598.81739130436</v>
      </c>
      <c r="H53" s="554">
        <f>'Project Plan'!G24+30</f>
        <v>46095</v>
      </c>
      <c r="I53" s="713">
        <f>SUM(G53:G69)</f>
        <v>249598.81739130436</v>
      </c>
      <c r="J53" s="716">
        <f>F165</f>
        <v>311998.52173913043</v>
      </c>
      <c r="K53" s="201"/>
      <c r="L53" s="197">
        <v>6</v>
      </c>
      <c r="M53" s="330" t="s">
        <v>340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28">
        <f>J53-SUM(U53:U69)</f>
        <v>-2802.5686156457523</v>
      </c>
      <c r="W53" s="458"/>
      <c r="X53" s="713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14"/>
      <c r="J54" s="717"/>
      <c r="K54" s="205"/>
      <c r="L54" s="202">
        <v>6</v>
      </c>
      <c r="M54" s="328" t="s">
        <v>340</v>
      </c>
      <c r="N54" s="342" t="s">
        <v>110</v>
      </c>
      <c r="O54" s="438"/>
      <c r="P54" s="351"/>
      <c r="Q54" s="225">
        <v>88515.02</v>
      </c>
      <c r="R54" s="475"/>
      <c r="S54" s="506" t="s">
        <v>341</v>
      </c>
      <c r="T54" s="741">
        <v>46081</v>
      </c>
      <c r="U54" s="401">
        <f t="shared" si="8"/>
        <v>175523.5467431336</v>
      </c>
      <c r="V54" s="729"/>
      <c r="W54" s="459">
        <f>T54+30</f>
        <v>46111</v>
      </c>
      <c r="X54" s="71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14"/>
      <c r="J55" s="717"/>
      <c r="K55" s="205"/>
      <c r="L55" s="202">
        <v>6</v>
      </c>
      <c r="M55" s="328" t="s">
        <v>340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29"/>
      <c r="W55" s="459"/>
      <c r="X55" s="71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14"/>
      <c r="J56" s="717"/>
      <c r="K56" s="205"/>
      <c r="L56" s="202">
        <v>6</v>
      </c>
      <c r="M56" s="328" t="s">
        <v>340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29"/>
      <c r="W56" s="459"/>
      <c r="X56" s="71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14"/>
      <c r="J57" s="717"/>
      <c r="K57" s="205"/>
      <c r="L57" s="202">
        <v>6</v>
      </c>
      <c r="M57" s="328" t="s">
        <v>340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29"/>
      <c r="W57" s="459"/>
      <c r="X57" s="714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14"/>
      <c r="J58" s="717"/>
      <c r="K58" s="205"/>
      <c r="L58" s="202">
        <v>6</v>
      </c>
      <c r="M58" s="328" t="s">
        <v>340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29"/>
      <c r="W58" s="459"/>
      <c r="X58" s="714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714"/>
      <c r="J59" s="717"/>
      <c r="K59" s="205"/>
      <c r="L59" s="202">
        <v>6</v>
      </c>
      <c r="M59" s="328" t="s">
        <v>340</v>
      </c>
      <c r="N59" s="309" t="s">
        <v>317</v>
      </c>
      <c r="O59" s="447">
        <f>Z27</f>
        <v>68823.16</v>
      </c>
      <c r="P59" s="448">
        <f t="shared" ref="P59:P64" si="9">P91</f>
        <v>0.2</v>
      </c>
      <c r="Q59" s="204">
        <f>$O$59*P59</f>
        <v>13764.632000000001</v>
      </c>
      <c r="R59" s="710"/>
      <c r="S59" s="506" t="str">
        <f>S91</f>
        <v>Leading Edge Power INV-0182</v>
      </c>
      <c r="T59" s="560">
        <f>T91</f>
        <v>46053</v>
      </c>
      <c r="U59" s="643">
        <v>28696.279307022203</v>
      </c>
      <c r="V59" s="729"/>
      <c r="W59" s="638">
        <f>W91</f>
        <v>46051</v>
      </c>
      <c r="X59" s="71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14"/>
      <c r="J60" s="717"/>
      <c r="K60" s="205"/>
      <c r="L60" s="202">
        <v>6</v>
      </c>
      <c r="M60" s="329" t="s">
        <v>340</v>
      </c>
      <c r="N60" s="309" t="s">
        <v>168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11"/>
      <c r="S60" s="506" t="str">
        <f>S92</f>
        <v>Leading Edge Power INV-0183</v>
      </c>
      <c r="T60" s="560">
        <v>46053</v>
      </c>
      <c r="U60" s="643">
        <v>28696.279307022203</v>
      </c>
      <c r="V60" s="729"/>
      <c r="W60" s="638">
        <f t="shared" ref="W60:W66" si="11">W92</f>
        <v>46058</v>
      </c>
      <c r="X60" s="71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14"/>
      <c r="J61" s="717"/>
      <c r="K61" s="205"/>
      <c r="L61" s="202">
        <v>6</v>
      </c>
      <c r="M61" s="329" t="s">
        <v>340</v>
      </c>
      <c r="N61" s="309" t="s">
        <v>320</v>
      </c>
      <c r="O61" s="438"/>
      <c r="P61" s="448">
        <f t="shared" si="9"/>
        <v>0.15</v>
      </c>
      <c r="Q61" s="204">
        <f t="shared" si="10"/>
        <v>10323.474</v>
      </c>
      <c r="R61" s="711"/>
      <c r="S61" s="506"/>
      <c r="T61" s="419">
        <f t="shared" si="0"/>
        <v>46112</v>
      </c>
      <c r="U61" s="401">
        <f t="shared" si="8"/>
        <v>20471.24624939953</v>
      </c>
      <c r="V61" s="729"/>
      <c r="W61" s="459">
        <f t="shared" si="11"/>
        <v>46084</v>
      </c>
      <c r="X61" s="71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14"/>
      <c r="J62" s="717"/>
      <c r="K62" s="205"/>
      <c r="L62" s="202">
        <v>6</v>
      </c>
      <c r="M62" s="329" t="s">
        <v>340</v>
      </c>
      <c r="N62" s="309" t="s">
        <v>322</v>
      </c>
      <c r="O62" s="438"/>
      <c r="P62" s="448">
        <f t="shared" si="9"/>
        <v>0.15</v>
      </c>
      <c r="Q62" s="204">
        <f t="shared" si="10"/>
        <v>10323.474</v>
      </c>
      <c r="R62" s="711"/>
      <c r="S62" s="506"/>
      <c r="T62" s="419">
        <f t="shared" si="0"/>
        <v>46112</v>
      </c>
      <c r="U62" s="401">
        <f t="shared" si="8"/>
        <v>20471.24624939953</v>
      </c>
      <c r="V62" s="729"/>
      <c r="W62" s="459">
        <f t="shared" si="11"/>
        <v>46092</v>
      </c>
      <c r="X62" s="714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14"/>
      <c r="J63" s="717"/>
      <c r="K63" s="205"/>
      <c r="L63" s="202">
        <v>6</v>
      </c>
      <c r="M63" s="329" t="s">
        <v>340</v>
      </c>
      <c r="N63" s="309" t="s">
        <v>324</v>
      </c>
      <c r="O63" s="438"/>
      <c r="P63" s="448">
        <f t="shared" si="9"/>
        <v>0.1</v>
      </c>
      <c r="Q63" s="204">
        <f t="shared" si="10"/>
        <v>6882.3160000000007</v>
      </c>
      <c r="R63" s="711"/>
      <c r="S63" s="506"/>
      <c r="T63" s="419">
        <f t="shared" si="0"/>
        <v>46112</v>
      </c>
      <c r="U63" s="401">
        <f t="shared" si="8"/>
        <v>13647.497499599689</v>
      </c>
      <c r="V63" s="729"/>
      <c r="W63" s="459">
        <f t="shared" si="11"/>
        <v>46101</v>
      </c>
      <c r="X63" s="71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14"/>
      <c r="J64" s="717"/>
      <c r="K64" s="205"/>
      <c r="L64" s="202">
        <v>6</v>
      </c>
      <c r="M64" s="329" t="s">
        <v>340</v>
      </c>
      <c r="N64" s="309" t="s">
        <v>325</v>
      </c>
      <c r="O64" s="438"/>
      <c r="P64" s="448">
        <f t="shared" si="9"/>
        <v>0.1</v>
      </c>
      <c r="Q64" s="204">
        <f t="shared" si="10"/>
        <v>6882.3160000000007</v>
      </c>
      <c r="R64" s="711"/>
      <c r="S64" s="510"/>
      <c r="T64" s="419">
        <f t="shared" si="0"/>
        <v>46112</v>
      </c>
      <c r="U64" s="406">
        <f t="shared" si="8"/>
        <v>13647.497499599689</v>
      </c>
      <c r="V64" s="729"/>
      <c r="W64" s="459">
        <f t="shared" si="11"/>
        <v>46108</v>
      </c>
      <c r="X64" s="71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14"/>
      <c r="J65" s="717"/>
      <c r="K65" s="205"/>
      <c r="L65" s="202">
        <v>6</v>
      </c>
      <c r="M65" s="329" t="s">
        <v>340</v>
      </c>
      <c r="N65" s="309" t="s">
        <v>326</v>
      </c>
      <c r="O65" s="438"/>
      <c r="P65" s="448">
        <f>P98</f>
        <v>0.05</v>
      </c>
      <c r="Q65" s="204">
        <f t="shared" si="10"/>
        <v>3441.1580000000004</v>
      </c>
      <c r="R65" s="711"/>
      <c r="S65" s="510"/>
      <c r="T65" s="419">
        <f t="shared" si="0"/>
        <v>46112</v>
      </c>
      <c r="U65" s="406">
        <f t="shared" si="8"/>
        <v>6823.7487497998445</v>
      </c>
      <c r="V65" s="729"/>
      <c r="W65" s="459">
        <f t="shared" si="11"/>
        <v>46108</v>
      </c>
      <c r="X65" s="71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14"/>
      <c r="J66" s="717"/>
      <c r="K66" s="205"/>
      <c r="L66" s="202">
        <v>6</v>
      </c>
      <c r="M66" s="329" t="s">
        <v>340</v>
      </c>
      <c r="N66" s="309" t="s">
        <v>327</v>
      </c>
      <c r="O66" s="438"/>
      <c r="P66" s="448">
        <f>P98</f>
        <v>0.05</v>
      </c>
      <c r="Q66" s="204">
        <f t="shared" si="10"/>
        <v>3441.1580000000004</v>
      </c>
      <c r="R66" s="712"/>
      <c r="S66" s="510"/>
      <c r="T66" s="419">
        <f t="shared" si="0"/>
        <v>46142</v>
      </c>
      <c r="U66" s="406">
        <f t="shared" si="8"/>
        <v>6823.7487497998445</v>
      </c>
      <c r="V66" s="729"/>
      <c r="W66" s="459">
        <f t="shared" si="11"/>
        <v>46131</v>
      </c>
      <c r="X66" s="71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14"/>
      <c r="J67" s="717"/>
      <c r="K67" s="205"/>
      <c r="L67" s="202">
        <v>6</v>
      </c>
      <c r="M67" s="329" t="s">
        <v>340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29"/>
      <c r="W67" s="462"/>
      <c r="X67" s="714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14"/>
      <c r="J68" s="717"/>
      <c r="K68" s="205"/>
      <c r="L68" s="202">
        <v>6</v>
      </c>
      <c r="M68" s="329" t="s">
        <v>340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29"/>
      <c r="W68" s="462"/>
      <c r="X68" s="714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715"/>
      <c r="J69" s="718"/>
      <c r="K69" s="210"/>
      <c r="L69" s="206">
        <v>6</v>
      </c>
      <c r="M69" s="331" t="s">
        <v>340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30"/>
      <c r="W69" s="460"/>
      <c r="X69" s="715"/>
    </row>
    <row r="70" spans="1:24" ht="14.45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342</v>
      </c>
      <c r="D71" s="282"/>
      <c r="E71" s="360"/>
      <c r="F71" s="366"/>
      <c r="G71" s="283"/>
      <c r="H71" s="558"/>
      <c r="I71" s="684">
        <f>SUM(G71:G78)</f>
        <v>0</v>
      </c>
      <c r="J71" s="687">
        <f>F170</f>
        <v>0</v>
      </c>
      <c r="K71" s="189"/>
      <c r="L71" s="281">
        <v>7</v>
      </c>
      <c r="M71" s="213" t="s">
        <v>343</v>
      </c>
      <c r="N71" s="282"/>
      <c r="O71" s="360"/>
      <c r="P71" s="366"/>
      <c r="Q71" s="283"/>
      <c r="R71" s="481"/>
      <c r="S71" s="512"/>
      <c r="T71" s="421" t="str">
        <f t="shared" ref="T71:T134" si="12">IF(W71&gt;1,EOMONTH(W71,0),"")</f>
        <v/>
      </c>
      <c r="U71" s="524"/>
      <c r="V71" s="725">
        <f>J71-SUM(U71:U78)</f>
        <v>0</v>
      </c>
      <c r="W71" s="464"/>
      <c r="X71" s="684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85"/>
      <c r="J72" s="688"/>
      <c r="K72" s="192"/>
      <c r="L72" s="284">
        <v>7</v>
      </c>
      <c r="M72" s="285" t="s">
        <v>343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26"/>
      <c r="W72" s="455"/>
      <c r="X72" s="68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85"/>
      <c r="J73" s="688"/>
      <c r="K73" s="192"/>
      <c r="L73" s="284">
        <v>7</v>
      </c>
      <c r="M73" s="285" t="s">
        <v>343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26"/>
      <c r="W73" s="455"/>
      <c r="X73" s="68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85"/>
      <c r="J74" s="688"/>
      <c r="K74" s="192"/>
      <c r="L74" s="284">
        <v>7</v>
      </c>
      <c r="M74" s="285" t="s">
        <v>343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26"/>
      <c r="W74" s="455"/>
      <c r="X74" s="68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85"/>
      <c r="J75" s="688"/>
      <c r="K75" s="192"/>
      <c r="L75" s="284">
        <v>7</v>
      </c>
      <c r="M75" s="285" t="s">
        <v>343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26"/>
      <c r="W75" s="455"/>
      <c r="X75" s="68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85"/>
      <c r="J76" s="688"/>
      <c r="K76" s="192"/>
      <c r="L76" s="284">
        <v>7</v>
      </c>
      <c r="M76" s="285" t="s">
        <v>343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26"/>
      <c r="W76" s="455"/>
      <c r="X76" s="685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85"/>
      <c r="J77" s="688"/>
      <c r="K77" s="192"/>
      <c r="L77" s="284">
        <v>7</v>
      </c>
      <c r="M77" s="285" t="s">
        <v>343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26"/>
      <c r="W77" s="455"/>
      <c r="X77" s="685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86"/>
      <c r="J78" s="689"/>
      <c r="K78" s="193"/>
      <c r="L78" s="220">
        <v>7</v>
      </c>
      <c r="M78" s="241" t="s">
        <v>343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27"/>
      <c r="W78" s="456"/>
      <c r="X78" s="686"/>
    </row>
    <row r="79" spans="1:24" ht="14.45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344</v>
      </c>
      <c r="D80" s="237" t="s">
        <v>345</v>
      </c>
      <c r="E80" s="361"/>
      <c r="F80" s="315"/>
      <c r="G80" s="238">
        <v>100000</v>
      </c>
      <c r="H80" s="554">
        <f>H90</f>
        <v>46079</v>
      </c>
      <c r="I80" s="713">
        <f>SUM(G80:G88)</f>
        <v>187500</v>
      </c>
      <c r="J80" s="716">
        <f>F169</f>
        <v>234375</v>
      </c>
      <c r="K80" s="201"/>
      <c r="L80" s="236">
        <v>8</v>
      </c>
      <c r="M80" s="324" t="s">
        <v>346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22">
        <f>J80-SUM(U80:U88)</f>
        <v>-107298.3999504504</v>
      </c>
      <c r="W80" s="458"/>
      <c r="X80" s="713">
        <f>SUM(Q80:Q88)</f>
        <v>79978.17</v>
      </c>
    </row>
    <row r="81" spans="1:24" ht="14.25" customHeight="1">
      <c r="B81" s="226">
        <v>8</v>
      </c>
      <c r="C81" s="227"/>
      <c r="D81" s="239" t="s">
        <v>347</v>
      </c>
      <c r="E81" s="314"/>
      <c r="F81" s="359"/>
      <c r="G81" s="228">
        <v>87500</v>
      </c>
      <c r="H81" s="545">
        <f>H90</f>
        <v>46079</v>
      </c>
      <c r="I81" s="714"/>
      <c r="J81" s="717"/>
      <c r="K81" s="205"/>
      <c r="L81" s="226">
        <v>8</v>
      </c>
      <c r="M81" s="332" t="s">
        <v>346</v>
      </c>
      <c r="N81" s="239" t="s">
        <v>345</v>
      </c>
      <c r="O81" s="314"/>
      <c r="P81" s="359"/>
      <c r="Q81" s="228">
        <v>80000</v>
      </c>
      <c r="R81" s="475"/>
      <c r="S81" s="506"/>
      <c r="T81" s="416">
        <v>46081</v>
      </c>
      <c r="U81" s="401">
        <f t="shared" ref="U81:U88" si="13">(Q81/$X$80*$J$80)</f>
        <v>234438.97253463036</v>
      </c>
      <c r="V81" s="723"/>
      <c r="W81" s="459">
        <f>T81</f>
        <v>46081</v>
      </c>
      <c r="X81" s="714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714"/>
      <c r="J82" s="717"/>
      <c r="K82" s="205"/>
      <c r="L82" s="226">
        <v>8</v>
      </c>
      <c r="M82" s="332" t="s">
        <v>346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si="13"/>
        <v>0</v>
      </c>
      <c r="V82" s="723"/>
      <c r="W82" s="459"/>
      <c r="X82" s="71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14"/>
      <c r="J83" s="717"/>
      <c r="K83" s="205"/>
      <c r="L83" s="226">
        <v>8</v>
      </c>
      <c r="M83" s="332" t="s">
        <v>346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23"/>
      <c r="W83" s="459"/>
      <c r="X83" s="71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14"/>
      <c r="J84" s="717"/>
      <c r="K84" s="205"/>
      <c r="L84" s="226">
        <v>8</v>
      </c>
      <c r="M84" s="332" t="s">
        <v>346</v>
      </c>
      <c r="N84" s="239" t="s">
        <v>348</v>
      </c>
      <c r="O84" s="634">
        <v>67474.559999999998</v>
      </c>
      <c r="P84" s="533">
        <v>0.5</v>
      </c>
      <c r="Q84" s="228">
        <v>-33737.279999999999</v>
      </c>
      <c r="R84" s="649" t="s">
        <v>349</v>
      </c>
      <c r="S84" s="506" t="s">
        <v>350</v>
      </c>
      <c r="T84" s="545">
        <v>46053</v>
      </c>
      <c r="U84" s="643">
        <v>53617.213707910028</v>
      </c>
      <c r="V84" s="723"/>
      <c r="W84" s="638">
        <v>46051</v>
      </c>
      <c r="X84" s="71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14"/>
      <c r="J85" s="717"/>
      <c r="K85" s="205"/>
      <c r="L85" s="226">
        <v>8</v>
      </c>
      <c r="M85" s="332" t="s">
        <v>346</v>
      </c>
      <c r="N85" s="239" t="s">
        <v>351</v>
      </c>
      <c r="O85" s="314"/>
      <c r="P85" s="533"/>
      <c r="Q85" s="228">
        <v>33715.449999999997</v>
      </c>
      <c r="R85" s="650"/>
      <c r="S85" s="506" t="s">
        <v>352</v>
      </c>
      <c r="T85" s="545">
        <v>46081</v>
      </c>
      <c r="U85" s="643">
        <v>53617.213707910028</v>
      </c>
      <c r="V85" s="723"/>
      <c r="W85" s="459">
        <v>46065</v>
      </c>
      <c r="X85" s="71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14"/>
      <c r="J86" s="717"/>
      <c r="K86" s="205"/>
      <c r="L86" s="226">
        <v>8</v>
      </c>
      <c r="M86" s="332" t="s">
        <v>346</v>
      </c>
      <c r="N86" s="239"/>
      <c r="O86" s="441"/>
      <c r="P86" s="359"/>
      <c r="Q86" s="228"/>
      <c r="R86" s="475"/>
      <c r="S86" s="506"/>
      <c r="T86" s="545"/>
      <c r="U86" s="401">
        <f t="shared" si="13"/>
        <v>0</v>
      </c>
      <c r="V86" s="723"/>
      <c r="W86" s="459"/>
      <c r="X86" s="71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0"/>
      <c r="I87" s="714"/>
      <c r="J87" s="717"/>
      <c r="K87" s="205"/>
      <c r="L87" s="226">
        <v>8</v>
      </c>
      <c r="M87" s="332" t="s">
        <v>346</v>
      </c>
      <c r="N87" s="239"/>
      <c r="O87" s="441"/>
      <c r="P87" s="359"/>
      <c r="Q87" s="228"/>
      <c r="R87" s="479"/>
      <c r="S87" s="510"/>
      <c r="T87" s="560"/>
      <c r="U87" s="406">
        <f t="shared" si="13"/>
        <v>0</v>
      </c>
      <c r="V87" s="723"/>
      <c r="W87" s="462"/>
      <c r="X87" s="714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5"/>
      <c r="I88" s="715"/>
      <c r="J88" s="718"/>
      <c r="K88" s="210"/>
      <c r="L88" s="206">
        <v>8</v>
      </c>
      <c r="M88" s="331" t="s">
        <v>346</v>
      </c>
      <c r="N88" s="208"/>
      <c r="O88" s="442"/>
      <c r="P88" s="353"/>
      <c r="Q88" s="209"/>
      <c r="R88" s="476"/>
      <c r="S88" s="507"/>
      <c r="T88" s="417" t="str">
        <f t="shared" si="12"/>
        <v/>
      </c>
      <c r="U88" s="402">
        <f t="shared" si="13"/>
        <v>0</v>
      </c>
      <c r="V88" s="724"/>
      <c r="W88" s="460"/>
      <c r="X88" s="715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353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2"/>
        <v/>
      </c>
      <c r="U89" s="387"/>
      <c r="V89" s="387"/>
      <c r="W89" s="427"/>
      <c r="X89" s="613"/>
    </row>
    <row r="90" spans="1:24" ht="15" customHeight="1">
      <c r="B90" s="215">
        <v>9</v>
      </c>
      <c r="C90" s="341" t="s">
        <v>354</v>
      </c>
      <c r="D90" s="231" t="s">
        <v>355</v>
      </c>
      <c r="E90" s="218"/>
      <c r="F90" s="336"/>
      <c r="G90" s="496">
        <f>D174</f>
        <v>46810</v>
      </c>
      <c r="H90" s="542">
        <f>'Project Plan'!G21+7</f>
        <v>46079</v>
      </c>
      <c r="I90" s="719">
        <f>SUM(G90:G101)</f>
        <v>147225</v>
      </c>
      <c r="J90" s="687">
        <f>F174+F175</f>
        <v>163583.33333333334</v>
      </c>
      <c r="K90" s="192"/>
      <c r="L90" s="215">
        <v>9</v>
      </c>
      <c r="M90" s="322" t="s">
        <v>356</v>
      </c>
      <c r="N90" s="231"/>
      <c r="O90" s="433"/>
      <c r="P90" s="336"/>
      <c r="Q90" s="219"/>
      <c r="R90" s="477"/>
      <c r="S90" s="508"/>
      <c r="T90" s="418" t="str">
        <f t="shared" si="12"/>
        <v/>
      </c>
      <c r="U90" s="404">
        <f t="shared" ref="U90:U101" si="14">(Q90/$X$90*$J$90)</f>
        <v>0</v>
      </c>
      <c r="V90" s="696">
        <f>J90-SUM(U90:U101)</f>
        <v>0</v>
      </c>
      <c r="W90" s="461"/>
      <c r="X90" s="684">
        <f>SUM(Q90:Q101)</f>
        <v>194250.00999999998</v>
      </c>
    </row>
    <row r="91" spans="1:24" ht="15" customHeight="1">
      <c r="B91" s="215">
        <v>9</v>
      </c>
      <c r="C91" s="341"/>
      <c r="D91" s="232" t="s">
        <v>357</v>
      </c>
      <c r="E91" s="218"/>
      <c r="F91" s="357"/>
      <c r="G91" s="496">
        <f>D175</f>
        <v>100415.00000000001</v>
      </c>
      <c r="H91" s="541">
        <f>'Project Plan'!G28+7</f>
        <v>46084</v>
      </c>
      <c r="I91" s="720"/>
      <c r="J91" s="688"/>
      <c r="K91" s="192"/>
      <c r="L91" s="215">
        <v>9</v>
      </c>
      <c r="M91" s="322" t="s">
        <v>356</v>
      </c>
      <c r="N91" s="232" t="s">
        <v>317</v>
      </c>
      <c r="O91" s="450">
        <f>Z30+Z29</f>
        <v>194250.01</v>
      </c>
      <c r="P91" s="451">
        <v>0.2</v>
      </c>
      <c r="Q91" s="219">
        <f>$O$91*P91</f>
        <v>38850.002</v>
      </c>
      <c r="R91" s="705"/>
      <c r="S91" s="501" t="s">
        <v>358</v>
      </c>
      <c r="T91" s="551">
        <v>46053</v>
      </c>
      <c r="U91" s="626">
        <v>32716.666666666672</v>
      </c>
      <c r="V91" s="697"/>
      <c r="W91" s="640">
        <v>46051</v>
      </c>
      <c r="X91" s="68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20"/>
      <c r="J92" s="688"/>
      <c r="K92" s="192"/>
      <c r="L92" s="284">
        <v>9</v>
      </c>
      <c r="M92" s="394" t="s">
        <v>356</v>
      </c>
      <c r="N92" s="286" t="s">
        <v>168</v>
      </c>
      <c r="O92" s="434"/>
      <c r="P92" s="449">
        <v>0.2</v>
      </c>
      <c r="Q92" s="219">
        <f t="shared" ref="Q92:Q98" si="15">$O$91*P92</f>
        <v>38850.002</v>
      </c>
      <c r="R92" s="706"/>
      <c r="S92" s="501" t="s">
        <v>359</v>
      </c>
      <c r="T92" s="551">
        <v>46053</v>
      </c>
      <c r="U92" s="626">
        <v>32716.666666666672</v>
      </c>
      <c r="V92" s="697"/>
      <c r="W92" s="641">
        <v>46058</v>
      </c>
      <c r="X92" s="68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20"/>
      <c r="J93" s="688"/>
      <c r="K93" s="192"/>
      <c r="L93" s="284">
        <v>9</v>
      </c>
      <c r="M93" s="394" t="s">
        <v>356</v>
      </c>
      <c r="N93" s="286" t="s">
        <v>320</v>
      </c>
      <c r="O93" s="434"/>
      <c r="P93" s="449">
        <v>0.15</v>
      </c>
      <c r="Q93" s="219">
        <f t="shared" si="15"/>
        <v>29137.501500000002</v>
      </c>
      <c r="R93" s="706"/>
      <c r="S93" s="502"/>
      <c r="T93" s="412">
        <f t="shared" si="12"/>
        <v>46112</v>
      </c>
      <c r="U93" s="397">
        <f t="shared" si="14"/>
        <v>24537.500000000004</v>
      </c>
      <c r="V93" s="697"/>
      <c r="W93" s="455">
        <f>'Project Plan'!K21+7</f>
        <v>46084</v>
      </c>
      <c r="X93" s="68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0"/>
      <c r="J94" s="688"/>
      <c r="K94" s="192"/>
      <c r="L94" s="284">
        <v>9</v>
      </c>
      <c r="M94" s="394" t="s">
        <v>356</v>
      </c>
      <c r="N94" s="286" t="s">
        <v>322</v>
      </c>
      <c r="O94" s="434"/>
      <c r="P94" s="449">
        <v>0.15</v>
      </c>
      <c r="Q94" s="219">
        <f t="shared" si="15"/>
        <v>29137.501500000002</v>
      </c>
      <c r="R94" s="706"/>
      <c r="S94" s="502"/>
      <c r="T94" s="412">
        <f t="shared" si="12"/>
        <v>46112</v>
      </c>
      <c r="U94" s="397">
        <f t="shared" si="14"/>
        <v>24537.500000000004</v>
      </c>
      <c r="V94" s="697"/>
      <c r="W94" s="455">
        <f>'Project Plan'!K28+7</f>
        <v>46092</v>
      </c>
      <c r="X94" s="68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0"/>
      <c r="J95" s="688"/>
      <c r="K95" s="192"/>
      <c r="L95" s="284">
        <v>9</v>
      </c>
      <c r="M95" s="394" t="s">
        <v>356</v>
      </c>
      <c r="N95" s="286" t="s">
        <v>324</v>
      </c>
      <c r="O95" s="434"/>
      <c r="P95" s="449">
        <v>0.1</v>
      </c>
      <c r="Q95" s="219">
        <f t="shared" si="15"/>
        <v>19425.001</v>
      </c>
      <c r="R95" s="706"/>
      <c r="S95" s="502"/>
      <c r="T95" s="412">
        <f t="shared" si="12"/>
        <v>46112</v>
      </c>
      <c r="U95" s="397">
        <f t="shared" si="14"/>
        <v>16358.333333333336</v>
      </c>
      <c r="V95" s="697"/>
      <c r="W95" s="455">
        <f>'Project Plan'!K39+7</f>
        <v>46101</v>
      </c>
      <c r="X95" s="68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0"/>
      <c r="J96" s="688"/>
      <c r="K96" s="192"/>
      <c r="L96" s="284">
        <v>9</v>
      </c>
      <c r="M96" s="394" t="s">
        <v>356</v>
      </c>
      <c r="N96" s="286" t="s">
        <v>325</v>
      </c>
      <c r="O96" s="434"/>
      <c r="P96" s="449">
        <v>0.1</v>
      </c>
      <c r="Q96" s="219">
        <f t="shared" si="15"/>
        <v>19425.001</v>
      </c>
      <c r="R96" s="706"/>
      <c r="S96" s="502"/>
      <c r="T96" s="412">
        <f t="shared" si="12"/>
        <v>46112</v>
      </c>
      <c r="U96" s="397">
        <f t="shared" si="14"/>
        <v>16358.333333333336</v>
      </c>
      <c r="V96" s="697"/>
      <c r="W96" s="455">
        <f>'Project Plan'!K46+7</f>
        <v>46108</v>
      </c>
      <c r="X96" s="68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0"/>
      <c r="J97" s="688"/>
      <c r="K97" s="192"/>
      <c r="L97" s="284">
        <v>9</v>
      </c>
      <c r="M97" s="394" t="s">
        <v>356</v>
      </c>
      <c r="N97" s="286" t="s">
        <v>326</v>
      </c>
      <c r="O97" s="434"/>
      <c r="P97" s="449">
        <v>0.05</v>
      </c>
      <c r="Q97" s="219">
        <f t="shared" si="15"/>
        <v>9712.5005000000001</v>
      </c>
      <c r="R97" s="706"/>
      <c r="S97" s="502"/>
      <c r="T97" s="412">
        <f t="shared" si="12"/>
        <v>46112</v>
      </c>
      <c r="U97" s="397">
        <f t="shared" si="14"/>
        <v>8179.1666666666679</v>
      </c>
      <c r="V97" s="697"/>
      <c r="W97" s="455">
        <f>'Project Plan'!K46+7</f>
        <v>46108</v>
      </c>
      <c r="X97" s="68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0"/>
      <c r="J98" s="688"/>
      <c r="K98" s="192"/>
      <c r="L98" s="284">
        <v>9</v>
      </c>
      <c r="M98" s="394" t="s">
        <v>356</v>
      </c>
      <c r="N98" s="286" t="s">
        <v>327</v>
      </c>
      <c r="O98" s="434"/>
      <c r="P98" s="449">
        <v>0.05</v>
      </c>
      <c r="Q98" s="219">
        <f t="shared" si="15"/>
        <v>9712.5005000000001</v>
      </c>
      <c r="R98" s="707"/>
      <c r="S98" s="502"/>
      <c r="T98" s="412">
        <f t="shared" si="12"/>
        <v>46142</v>
      </c>
      <c r="U98" s="397">
        <f t="shared" si="14"/>
        <v>8179.1666666666679</v>
      </c>
      <c r="V98" s="697"/>
      <c r="W98" s="455">
        <f>'Project Plan'!K46+30</f>
        <v>46131</v>
      </c>
      <c r="X98" s="68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0"/>
      <c r="J99" s="688"/>
      <c r="K99" s="192"/>
      <c r="L99" s="284">
        <v>9</v>
      </c>
      <c r="M99" s="394" t="s">
        <v>356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4"/>
        <v>0</v>
      </c>
      <c r="V99" s="697"/>
      <c r="W99" s="455"/>
      <c r="X99" s="68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0"/>
      <c r="J100" s="688"/>
      <c r="K100" s="192"/>
      <c r="L100" s="284">
        <v>9</v>
      </c>
      <c r="M100" s="394" t="s">
        <v>356</v>
      </c>
      <c r="N100" s="286"/>
      <c r="O100" s="434"/>
      <c r="P100" s="343"/>
      <c r="Q100" s="287"/>
      <c r="R100" s="471"/>
      <c r="S100" s="502"/>
      <c r="T100" s="412" t="str">
        <f t="shared" si="12"/>
        <v/>
      </c>
      <c r="U100" s="397">
        <f t="shared" si="14"/>
        <v>0</v>
      </c>
      <c r="V100" s="697"/>
      <c r="W100" s="455"/>
      <c r="X100" s="685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2"/>
      <c r="I101" s="721"/>
      <c r="J101" s="689"/>
      <c r="K101" s="267"/>
      <c r="L101" s="220">
        <v>9</v>
      </c>
      <c r="M101" s="340" t="s">
        <v>356</v>
      </c>
      <c r="N101" s="233"/>
      <c r="O101" s="435"/>
      <c r="P101" s="358"/>
      <c r="Q101" s="234"/>
      <c r="R101" s="472"/>
      <c r="S101" s="503"/>
      <c r="T101" s="413" t="str">
        <f t="shared" si="12"/>
        <v/>
      </c>
      <c r="U101" s="398">
        <f t="shared" si="14"/>
        <v>0</v>
      </c>
      <c r="V101" s="698"/>
      <c r="W101" s="456"/>
      <c r="X101" s="686"/>
    </row>
    <row r="102" spans="1:24" ht="14.45" thickBot="1">
      <c r="A102" s="4"/>
      <c r="B102" s="194"/>
      <c r="C102" s="211"/>
      <c r="D102" s="212"/>
      <c r="E102" s="195"/>
      <c r="F102" s="354"/>
      <c r="G102" s="196"/>
      <c r="H102" s="553"/>
      <c r="I102" s="547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2"/>
        <v/>
      </c>
      <c r="U102" s="403"/>
      <c r="V102" s="385"/>
      <c r="W102" s="457"/>
      <c r="X102" s="547"/>
    </row>
    <row r="103" spans="1:24" ht="14.25" customHeight="1">
      <c r="B103" s="173">
        <v>10</v>
      </c>
      <c r="C103" s="174" t="s">
        <v>360</v>
      </c>
      <c r="D103" s="174" t="s">
        <v>299</v>
      </c>
      <c r="E103" s="175"/>
      <c r="F103" s="368"/>
      <c r="G103" s="242">
        <f>D178</f>
        <v>8500</v>
      </c>
      <c r="H103" s="561">
        <f>H90</f>
        <v>46079</v>
      </c>
      <c r="I103" s="690">
        <f>SUM(G103:G117)</f>
        <v>34366.266666666663</v>
      </c>
      <c r="J103" s="693">
        <f>F178+F181+F182+F180+F179</f>
        <v>38184.740740740745</v>
      </c>
      <c r="K103" s="243"/>
      <c r="L103" s="173">
        <v>10</v>
      </c>
      <c r="M103" s="333" t="s">
        <v>361</v>
      </c>
      <c r="N103" s="174"/>
      <c r="O103" s="444"/>
      <c r="P103" s="368"/>
      <c r="Q103" s="242"/>
      <c r="R103" s="483"/>
      <c r="S103" s="513"/>
      <c r="T103" s="423" t="str">
        <f t="shared" si="12"/>
        <v/>
      </c>
      <c r="U103" s="408">
        <f t="shared" ref="U103:U116" si="16">(Q103/$X$103*$J$103)</f>
        <v>0</v>
      </c>
      <c r="V103" s="699">
        <f>J103-SUM(U103:U117)</f>
        <v>0</v>
      </c>
      <c r="W103" s="465"/>
      <c r="X103" s="690">
        <f>SUM(Q103:Q117)</f>
        <v>44166.2</v>
      </c>
    </row>
    <row r="104" spans="1:24" ht="14.25" customHeight="1">
      <c r="B104" s="244">
        <v>10</v>
      </c>
      <c r="C104" s="245"/>
      <c r="D104" s="245" t="s">
        <v>300</v>
      </c>
      <c r="E104" s="246"/>
      <c r="F104" s="369"/>
      <c r="G104" s="247">
        <f>D182</f>
        <v>11466.266666666666</v>
      </c>
      <c r="H104" s="562">
        <f>H90</f>
        <v>46079</v>
      </c>
      <c r="I104" s="691"/>
      <c r="J104" s="694"/>
      <c r="K104" s="176"/>
      <c r="L104" s="244">
        <v>10</v>
      </c>
      <c r="M104" s="334" t="s">
        <v>361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523">
        <f t="shared" si="16"/>
        <v>0</v>
      </c>
      <c r="V104" s="700"/>
      <c r="W104" s="466"/>
      <c r="X104" s="691"/>
    </row>
    <row r="105" spans="1:24" ht="14.25" customHeight="1">
      <c r="B105" s="244">
        <v>10</v>
      </c>
      <c r="C105" s="245"/>
      <c r="D105" s="245" t="s">
        <v>362</v>
      </c>
      <c r="E105" s="246"/>
      <c r="F105" s="369"/>
      <c r="G105" s="247">
        <f>D181</f>
        <v>14400</v>
      </c>
      <c r="H105" s="562">
        <f>H90</f>
        <v>46079</v>
      </c>
      <c r="I105" s="691"/>
      <c r="J105" s="694"/>
      <c r="K105" s="176"/>
      <c r="L105" s="244">
        <v>10</v>
      </c>
      <c r="M105" s="334" t="s">
        <v>361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6"/>
        <v>0</v>
      </c>
      <c r="V105" s="700"/>
      <c r="W105" s="466"/>
      <c r="X105" s="691"/>
    </row>
    <row r="106" spans="1:24" ht="14.25" customHeight="1">
      <c r="B106" s="244">
        <v>10</v>
      </c>
      <c r="C106" s="245"/>
      <c r="D106" s="245" t="s">
        <v>301</v>
      </c>
      <c r="E106" s="246"/>
      <c r="F106" s="369"/>
      <c r="G106" s="247">
        <f>D180</f>
        <v>0</v>
      </c>
      <c r="H106" s="562">
        <f>H90</f>
        <v>46079</v>
      </c>
      <c r="I106" s="691"/>
      <c r="J106" s="694"/>
      <c r="K106" s="176"/>
      <c r="L106" s="244">
        <v>10</v>
      </c>
      <c r="M106" s="334" t="s">
        <v>361</v>
      </c>
      <c r="N106" s="245"/>
      <c r="O106" s="445"/>
      <c r="P106" s="369"/>
      <c r="Q106" s="247"/>
      <c r="R106" s="484"/>
      <c r="S106" s="514"/>
      <c r="T106" s="424" t="str">
        <f t="shared" si="12"/>
        <v/>
      </c>
      <c r="U106" s="409">
        <f t="shared" si="16"/>
        <v>0</v>
      </c>
      <c r="V106" s="700"/>
      <c r="W106" s="466"/>
      <c r="X106" s="691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1"/>
      <c r="J107" s="694"/>
      <c r="K107" s="176"/>
      <c r="L107" s="244">
        <v>10</v>
      </c>
      <c r="M107" s="334" t="s">
        <v>361</v>
      </c>
      <c r="N107" s="245" t="s">
        <v>317</v>
      </c>
      <c r="O107" s="495">
        <f>SUM(Z31:Z36)</f>
        <v>44166.2</v>
      </c>
      <c r="P107" s="452">
        <f t="shared" ref="P107:P114" si="17">P91</f>
        <v>0.2</v>
      </c>
      <c r="Q107" s="247">
        <f>$O$107*P107</f>
        <v>8833.24</v>
      </c>
      <c r="R107" s="702"/>
      <c r="S107" s="515" t="str">
        <f>S91</f>
        <v>Leading Edge Power INV-0182</v>
      </c>
      <c r="T107" s="563">
        <f>T91</f>
        <v>46053</v>
      </c>
      <c r="U107" s="647">
        <v>7636.9481481481489</v>
      </c>
      <c r="V107" s="700"/>
      <c r="W107" s="639">
        <f>W91</f>
        <v>46051</v>
      </c>
      <c r="X107" s="691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1"/>
      <c r="J108" s="694"/>
      <c r="K108" s="176"/>
      <c r="L108" s="244">
        <v>10</v>
      </c>
      <c r="M108" s="334" t="s">
        <v>361</v>
      </c>
      <c r="N108" s="245" t="s">
        <v>168</v>
      </c>
      <c r="O108" s="445"/>
      <c r="P108" s="452">
        <f t="shared" si="17"/>
        <v>0.2</v>
      </c>
      <c r="Q108" s="247">
        <f t="shared" ref="Q108:Q114" si="18">$O$107*P108</f>
        <v>8833.24</v>
      </c>
      <c r="R108" s="703"/>
      <c r="S108" s="515" t="str">
        <f>S92</f>
        <v>Leading Edge Power INV-0183</v>
      </c>
      <c r="T108" s="563">
        <f t="shared" ref="T108:T114" si="19">T92</f>
        <v>46053</v>
      </c>
      <c r="U108" s="647">
        <v>7636.9481481481489</v>
      </c>
      <c r="V108" s="700"/>
      <c r="W108" s="639">
        <f t="shared" ref="W108:W114" si="20">W92</f>
        <v>46058</v>
      </c>
      <c r="X108" s="691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1"/>
      <c r="J109" s="694"/>
      <c r="K109" s="176"/>
      <c r="L109" s="244">
        <v>10</v>
      </c>
      <c r="M109" s="334" t="s">
        <v>361</v>
      </c>
      <c r="N109" s="245" t="s">
        <v>320</v>
      </c>
      <c r="O109" s="445"/>
      <c r="P109" s="452">
        <f t="shared" si="17"/>
        <v>0.15</v>
      </c>
      <c r="Q109" s="247">
        <f t="shared" si="18"/>
        <v>6624.9299999999994</v>
      </c>
      <c r="R109" s="703"/>
      <c r="S109" s="515"/>
      <c r="T109" s="425">
        <f t="shared" si="19"/>
        <v>46112</v>
      </c>
      <c r="U109" s="409">
        <f t="shared" si="16"/>
        <v>5727.7111111111117</v>
      </c>
      <c r="V109" s="700"/>
      <c r="W109" s="467">
        <f t="shared" si="20"/>
        <v>46084</v>
      </c>
      <c r="X109" s="69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1"/>
      <c r="J110" s="694"/>
      <c r="K110" s="176"/>
      <c r="L110" s="244">
        <v>10</v>
      </c>
      <c r="M110" s="334" t="s">
        <v>361</v>
      </c>
      <c r="N110" s="245" t="s">
        <v>322</v>
      </c>
      <c r="O110" s="445"/>
      <c r="P110" s="452">
        <f t="shared" si="17"/>
        <v>0.15</v>
      </c>
      <c r="Q110" s="247">
        <f t="shared" si="18"/>
        <v>6624.9299999999994</v>
      </c>
      <c r="R110" s="703"/>
      <c r="S110" s="515"/>
      <c r="T110" s="425">
        <f t="shared" si="19"/>
        <v>46112</v>
      </c>
      <c r="U110" s="409">
        <f t="shared" si="16"/>
        <v>5727.7111111111117</v>
      </c>
      <c r="V110" s="700"/>
      <c r="W110" s="467">
        <f t="shared" si="20"/>
        <v>46092</v>
      </c>
      <c r="X110" s="69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1"/>
      <c r="J111" s="694"/>
      <c r="K111" s="176"/>
      <c r="L111" s="244">
        <v>10</v>
      </c>
      <c r="M111" s="334" t="s">
        <v>361</v>
      </c>
      <c r="N111" s="245" t="s">
        <v>324</v>
      </c>
      <c r="O111" s="445"/>
      <c r="P111" s="452">
        <f t="shared" si="17"/>
        <v>0.1</v>
      </c>
      <c r="Q111" s="247">
        <f t="shared" si="18"/>
        <v>4416.62</v>
      </c>
      <c r="R111" s="703"/>
      <c r="S111" s="515"/>
      <c r="T111" s="425">
        <f t="shared" si="19"/>
        <v>46112</v>
      </c>
      <c r="U111" s="409">
        <f t="shared" si="16"/>
        <v>3818.4740740740745</v>
      </c>
      <c r="V111" s="700"/>
      <c r="W111" s="467">
        <f t="shared" si="20"/>
        <v>46101</v>
      </c>
      <c r="X111" s="69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1"/>
      <c r="J112" s="694"/>
      <c r="K112" s="176"/>
      <c r="L112" s="244">
        <v>10</v>
      </c>
      <c r="M112" s="334" t="s">
        <v>361</v>
      </c>
      <c r="N112" s="245" t="s">
        <v>325</v>
      </c>
      <c r="O112" s="445"/>
      <c r="P112" s="452">
        <f t="shared" si="17"/>
        <v>0.1</v>
      </c>
      <c r="Q112" s="247">
        <f t="shared" si="18"/>
        <v>4416.62</v>
      </c>
      <c r="R112" s="703"/>
      <c r="S112" s="515"/>
      <c r="T112" s="425">
        <f t="shared" si="19"/>
        <v>46112</v>
      </c>
      <c r="U112" s="409">
        <f t="shared" si="16"/>
        <v>3818.4740740740745</v>
      </c>
      <c r="V112" s="700"/>
      <c r="W112" s="467">
        <f t="shared" si="20"/>
        <v>46108</v>
      </c>
      <c r="X112" s="69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1"/>
      <c r="J113" s="694"/>
      <c r="K113" s="176"/>
      <c r="L113" s="244">
        <v>10</v>
      </c>
      <c r="M113" s="334" t="s">
        <v>361</v>
      </c>
      <c r="N113" s="245" t="s">
        <v>326</v>
      </c>
      <c r="O113" s="445"/>
      <c r="P113" s="452">
        <f t="shared" si="17"/>
        <v>0.05</v>
      </c>
      <c r="Q113" s="247">
        <f t="shared" si="18"/>
        <v>2208.31</v>
      </c>
      <c r="R113" s="703"/>
      <c r="S113" s="515"/>
      <c r="T113" s="425">
        <f t="shared" si="19"/>
        <v>46112</v>
      </c>
      <c r="U113" s="409">
        <f t="shared" si="16"/>
        <v>1909.2370370370372</v>
      </c>
      <c r="V113" s="700"/>
      <c r="W113" s="467">
        <f t="shared" si="20"/>
        <v>46108</v>
      </c>
      <c r="X113" s="69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1"/>
      <c r="J114" s="694"/>
      <c r="K114" s="176"/>
      <c r="L114" s="244">
        <v>10</v>
      </c>
      <c r="M114" s="334" t="s">
        <v>361</v>
      </c>
      <c r="N114" s="245" t="s">
        <v>327</v>
      </c>
      <c r="O114" s="445"/>
      <c r="P114" s="452">
        <f t="shared" si="17"/>
        <v>0.05</v>
      </c>
      <c r="Q114" s="247">
        <f t="shared" si="18"/>
        <v>2208.31</v>
      </c>
      <c r="R114" s="704"/>
      <c r="S114" s="515"/>
      <c r="T114" s="425">
        <f t="shared" si="19"/>
        <v>46142</v>
      </c>
      <c r="U114" s="409">
        <f t="shared" si="16"/>
        <v>1909.2370370370372</v>
      </c>
      <c r="V114" s="700"/>
      <c r="W114" s="467">
        <f t="shared" si="20"/>
        <v>46131</v>
      </c>
      <c r="X114" s="69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1"/>
      <c r="J115" s="694"/>
      <c r="K115" s="176"/>
      <c r="L115" s="244">
        <v>10</v>
      </c>
      <c r="M115" s="334" t="s">
        <v>361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6"/>
        <v>0</v>
      </c>
      <c r="V115" s="700"/>
      <c r="W115" s="467"/>
      <c r="X115" s="691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91"/>
      <c r="J116" s="694"/>
      <c r="K116" s="176"/>
      <c r="L116" s="244">
        <v>10</v>
      </c>
      <c r="M116" s="334" t="s">
        <v>361</v>
      </c>
      <c r="N116" s="245"/>
      <c r="O116" s="445"/>
      <c r="P116" s="369"/>
      <c r="Q116" s="247"/>
      <c r="R116" s="485"/>
      <c r="S116" s="515"/>
      <c r="T116" s="425" t="str">
        <f t="shared" si="12"/>
        <v/>
      </c>
      <c r="U116" s="409">
        <f t="shared" si="16"/>
        <v>0</v>
      </c>
      <c r="V116" s="700"/>
      <c r="W116" s="467"/>
      <c r="X116" s="691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4"/>
      <c r="I117" s="692"/>
      <c r="J117" s="695"/>
      <c r="K117" s="179"/>
      <c r="L117" s="177">
        <v>10</v>
      </c>
      <c r="M117" s="335" t="s">
        <v>361</v>
      </c>
      <c r="N117" s="248"/>
      <c r="O117" s="446"/>
      <c r="P117" s="370"/>
      <c r="Q117" s="178"/>
      <c r="R117" s="486"/>
      <c r="S117" s="516"/>
      <c r="T117" s="426" t="str">
        <f t="shared" si="12"/>
        <v/>
      </c>
      <c r="U117" s="410"/>
      <c r="V117" s="701"/>
      <c r="W117" s="468"/>
      <c r="X117" s="692"/>
    </row>
    <row r="118" spans="1:24" ht="14.45" thickBot="1">
      <c r="A118" s="4"/>
      <c r="B118" s="180"/>
      <c r="C118" s="181"/>
      <c r="D118" s="181"/>
      <c r="E118" s="195"/>
      <c r="F118" s="354"/>
      <c r="G118" s="183"/>
      <c r="H118" s="556"/>
      <c r="I118" s="547"/>
      <c r="J118" s="303"/>
      <c r="K118" s="4"/>
      <c r="L118" s="180"/>
      <c r="M118" s="181"/>
      <c r="N118" s="181"/>
      <c r="O118" s="436"/>
      <c r="P118" s="354"/>
      <c r="Q118" s="534"/>
      <c r="R118" s="478"/>
      <c r="S118" s="509"/>
      <c r="T118" s="414" t="str">
        <f t="shared" si="12"/>
        <v/>
      </c>
      <c r="U118" s="399"/>
      <c r="V118" s="386"/>
      <c r="W118" s="457"/>
      <c r="X118" s="547"/>
    </row>
    <row r="119" spans="1:24" ht="14.25" customHeight="1">
      <c r="B119" s="185">
        <v>11</v>
      </c>
      <c r="C119" s="186" t="s">
        <v>363</v>
      </c>
      <c r="D119" s="255" t="s">
        <v>364</v>
      </c>
      <c r="E119" s="187"/>
      <c r="F119" s="336"/>
      <c r="G119" s="188">
        <v>11000</v>
      </c>
      <c r="H119" s="542">
        <f>'Project Plan'!G39</f>
        <v>46086</v>
      </c>
      <c r="I119" s="684">
        <f>SUM(G119:G123)</f>
        <v>89000</v>
      </c>
      <c r="J119" s="687">
        <f>F177</f>
        <v>98888.888888888891</v>
      </c>
      <c r="K119" s="189"/>
      <c r="L119" s="185">
        <v>11</v>
      </c>
      <c r="M119" s="255" t="s">
        <v>365</v>
      </c>
      <c r="N119" s="255" t="s">
        <v>364</v>
      </c>
      <c r="O119" s="187"/>
      <c r="P119" s="336"/>
      <c r="Q119" s="188">
        <v>11000</v>
      </c>
      <c r="R119" s="535"/>
      <c r="S119" s="508"/>
      <c r="T119" s="418">
        <v>46112</v>
      </c>
      <c r="U119" s="397">
        <f>10023.6483490496+2570.98</f>
        <v>12594.628349049599</v>
      </c>
      <c r="V119" s="696">
        <f>J119-SUM(U119:U123)</f>
        <v>-1.8580082105472684E-3</v>
      </c>
      <c r="W119" s="461">
        <f>'Project Plan'!K39+14</f>
        <v>46108</v>
      </c>
      <c r="X119" s="684">
        <f>SUM(Q119:Q123)</f>
        <v>75572.5</v>
      </c>
    </row>
    <row r="120" spans="1:24" ht="15" customHeight="1">
      <c r="B120" s="215">
        <v>11</v>
      </c>
      <c r="C120" s="217"/>
      <c r="D120" s="217" t="s">
        <v>366</v>
      </c>
      <c r="E120" s="218"/>
      <c r="F120" s="357"/>
      <c r="G120" s="219">
        <v>18000</v>
      </c>
      <c r="H120" s="542">
        <f>H119</f>
        <v>46086</v>
      </c>
      <c r="I120" s="685"/>
      <c r="J120" s="688"/>
      <c r="K120" s="192"/>
      <c r="L120" s="215">
        <v>11</v>
      </c>
      <c r="M120" s="290" t="s">
        <v>365</v>
      </c>
      <c r="N120" s="217" t="s">
        <v>367</v>
      </c>
      <c r="O120" s="218"/>
      <c r="P120" s="357"/>
      <c r="Q120" s="219">
        <v>8572.5</v>
      </c>
      <c r="R120" s="518"/>
      <c r="S120" s="501" t="s">
        <v>368</v>
      </c>
      <c r="T120" s="630">
        <v>45991</v>
      </c>
      <c r="U120" s="626">
        <v>10023.648349049632</v>
      </c>
      <c r="V120" s="697"/>
      <c r="W120" s="631">
        <v>45974</v>
      </c>
      <c r="X120" s="685"/>
    </row>
    <row r="121" spans="1:24" ht="15" customHeight="1">
      <c r="B121" s="215">
        <v>11</v>
      </c>
      <c r="C121" s="217"/>
      <c r="D121" s="217" t="s">
        <v>369</v>
      </c>
      <c r="E121" s="218"/>
      <c r="F121" s="357"/>
      <c r="G121" s="219">
        <v>60000</v>
      </c>
      <c r="H121" s="542">
        <f>H119</f>
        <v>46086</v>
      </c>
      <c r="I121" s="685"/>
      <c r="J121" s="688"/>
      <c r="K121" s="192"/>
      <c r="L121" s="215">
        <v>11</v>
      </c>
      <c r="M121" s="290" t="s">
        <v>365</v>
      </c>
      <c r="N121" s="217" t="s">
        <v>369</v>
      </c>
      <c r="O121" s="218"/>
      <c r="P121" s="357"/>
      <c r="Q121" s="219">
        <v>50000</v>
      </c>
      <c r="R121" s="470" t="s">
        <v>370</v>
      </c>
      <c r="S121" s="501"/>
      <c r="T121" s="411">
        <v>46081</v>
      </c>
      <c r="U121" s="397">
        <f>(Q121/$X$119*$J$119)+2992.93</f>
        <v>68419.433614998095</v>
      </c>
      <c r="V121" s="697"/>
      <c r="W121" s="454">
        <f>T121+30</f>
        <v>46111</v>
      </c>
      <c r="X121" s="685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1"/>
      <c r="I122" s="685"/>
      <c r="J122" s="688"/>
      <c r="K122" s="192"/>
      <c r="L122" s="215">
        <v>11</v>
      </c>
      <c r="M122" s="290" t="s">
        <v>365</v>
      </c>
      <c r="N122" s="288" t="s">
        <v>371</v>
      </c>
      <c r="O122" s="434"/>
      <c r="P122" s="343"/>
      <c r="Q122" s="287">
        <v>6000</v>
      </c>
      <c r="R122" s="471"/>
      <c r="S122" s="502"/>
      <c r="T122" s="411">
        <v>46112</v>
      </c>
      <c r="U122" s="397">
        <f>(Q122/$X$119*$J$119)</f>
        <v>7851.1804337997728</v>
      </c>
      <c r="V122" s="697"/>
      <c r="W122" s="454">
        <f>T122</f>
        <v>46112</v>
      </c>
      <c r="X122" s="685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2"/>
      <c r="I123" s="686"/>
      <c r="J123" s="689"/>
      <c r="K123" s="193"/>
      <c r="L123" s="220">
        <v>11</v>
      </c>
      <c r="M123" s="318" t="s">
        <v>365</v>
      </c>
      <c r="N123" s="221"/>
      <c r="O123" s="222"/>
      <c r="P123" s="358"/>
      <c r="Q123" s="234"/>
      <c r="R123" s="472"/>
      <c r="S123" s="503"/>
      <c r="T123" s="413" t="str">
        <f t="shared" si="12"/>
        <v/>
      </c>
      <c r="U123" s="398">
        <f>(Q123/$X$119*$J$119)</f>
        <v>0</v>
      </c>
      <c r="V123" s="698"/>
      <c r="W123" s="456"/>
      <c r="X123" s="686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3"/>
      <c r="I124" s="547"/>
      <c r="J124" s="184"/>
      <c r="K124" s="4"/>
      <c r="L124" s="194"/>
      <c r="M124" s="181"/>
      <c r="N124" s="181"/>
      <c r="O124" s="436"/>
      <c r="P124" s="354"/>
      <c r="Q124" s="196"/>
      <c r="R124" s="473"/>
      <c r="S124" s="504"/>
      <c r="T124" s="414" t="str">
        <f t="shared" si="12"/>
        <v/>
      </c>
      <c r="U124" s="403"/>
      <c r="V124" s="385"/>
      <c r="W124" s="457"/>
      <c r="X124" s="547"/>
    </row>
    <row r="125" spans="1:24">
      <c r="B125" s="173">
        <v>12</v>
      </c>
      <c r="C125" s="174" t="s">
        <v>372</v>
      </c>
      <c r="D125" s="174" t="s">
        <v>373</v>
      </c>
      <c r="E125" s="175"/>
      <c r="F125" s="368"/>
      <c r="G125" s="242">
        <v>0</v>
      </c>
      <c r="H125" s="561"/>
      <c r="I125" s="690">
        <f>SUM(G125:G126)</f>
        <v>0</v>
      </c>
      <c r="J125" s="693">
        <v>0</v>
      </c>
      <c r="K125" s="708"/>
      <c r="L125" s="173">
        <v>12</v>
      </c>
      <c r="M125" s="174" t="s">
        <v>374</v>
      </c>
      <c r="N125" s="174" t="s">
        <v>373</v>
      </c>
      <c r="O125" s="444"/>
      <c r="P125" s="368"/>
      <c r="Q125" s="242">
        <f>G125</f>
        <v>0</v>
      </c>
      <c r="R125" s="483"/>
      <c r="S125" s="513"/>
      <c r="T125" s="423" t="str">
        <f t="shared" si="12"/>
        <v/>
      </c>
      <c r="U125" s="408"/>
      <c r="V125" s="384"/>
      <c r="W125" s="465"/>
      <c r="X125" s="690">
        <f>SUM(Q125:Q126)</f>
        <v>0</v>
      </c>
    </row>
    <row r="126" spans="1:24" ht="15" customHeight="1" thickBot="1">
      <c r="B126" s="177">
        <v>12</v>
      </c>
      <c r="C126" s="248" t="s">
        <v>372</v>
      </c>
      <c r="D126" s="248"/>
      <c r="E126" s="249"/>
      <c r="F126" s="370"/>
      <c r="G126" s="178"/>
      <c r="H126" s="564"/>
      <c r="I126" s="692"/>
      <c r="J126" s="695"/>
      <c r="K126" s="709"/>
      <c r="L126" s="177">
        <v>12</v>
      </c>
      <c r="M126" s="248" t="s">
        <v>374</v>
      </c>
      <c r="N126" s="248"/>
      <c r="O126" s="446"/>
      <c r="P126" s="370"/>
      <c r="Q126" s="178"/>
      <c r="R126" s="486"/>
      <c r="S126" s="516"/>
      <c r="T126" s="426" t="str">
        <f t="shared" si="12"/>
        <v/>
      </c>
      <c r="U126" s="410"/>
      <c r="V126" s="383"/>
      <c r="W126" s="468"/>
      <c r="X126" s="692"/>
    </row>
    <row r="127" spans="1:24" ht="14.45" thickBot="1">
      <c r="A127" s="4"/>
      <c r="B127" s="194"/>
      <c r="C127" s="181"/>
      <c r="D127" s="181"/>
      <c r="E127" s="195"/>
      <c r="F127" s="354"/>
      <c r="G127" s="196"/>
      <c r="H127" s="553"/>
      <c r="I127" s="548"/>
      <c r="J127" s="230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8"/>
    </row>
    <row r="128" spans="1:24" ht="15.75" customHeight="1">
      <c r="B128" s="185">
        <v>13</v>
      </c>
      <c r="C128" s="186" t="s">
        <v>375</v>
      </c>
      <c r="D128" s="255" t="s">
        <v>376</v>
      </c>
      <c r="E128" s="187"/>
      <c r="F128" s="336"/>
      <c r="G128" s="188">
        <f>D176</f>
        <v>16449.739175724637</v>
      </c>
      <c r="H128" s="542">
        <f>'Project Plan'!G48</f>
        <v>46100</v>
      </c>
      <c r="I128" s="684">
        <f>SUM(G128:G132)</f>
        <v>16449.739175724637</v>
      </c>
      <c r="J128" s="687">
        <f>F176</f>
        <v>18692.885426959816</v>
      </c>
      <c r="K128" s="189"/>
      <c r="L128" s="185">
        <v>13</v>
      </c>
      <c r="M128" s="255" t="s">
        <v>377</v>
      </c>
      <c r="N128" s="255" t="s">
        <v>378</v>
      </c>
      <c r="O128" s="432"/>
      <c r="P128" s="336"/>
      <c r="Q128" s="188">
        <f>'Project Plan'!$E$6*1.25%</f>
        <v>23286.964387293548</v>
      </c>
      <c r="R128" s="477"/>
      <c r="S128" s="508"/>
      <c r="T128" s="418">
        <f t="shared" si="12"/>
        <v>46112</v>
      </c>
      <c r="U128" s="404">
        <f t="shared" ref="U128:U133" si="21">(Q128/$X$128*$J$128)</f>
        <v>18692.885426959816</v>
      </c>
      <c r="V128" s="696">
        <f>J128-SUM(U128:U133)</f>
        <v>0</v>
      </c>
      <c r="W128" s="461">
        <f>'Project Plan'!K39</f>
        <v>46094</v>
      </c>
      <c r="X128" s="684">
        <f>SUM(Q128:Q133)</f>
        <v>23286.964387293548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85"/>
      <c r="J129" s="688"/>
      <c r="K129" s="192"/>
      <c r="L129" s="215">
        <v>13</v>
      </c>
      <c r="M129" s="290" t="s">
        <v>377</v>
      </c>
      <c r="N129" s="217"/>
      <c r="O129" s="433"/>
      <c r="P129" s="357"/>
      <c r="Q129" s="219"/>
      <c r="R129" s="470"/>
      <c r="S129" s="501"/>
      <c r="T129" s="411" t="str">
        <f t="shared" si="12"/>
        <v/>
      </c>
      <c r="U129" s="396">
        <f t="shared" si="21"/>
        <v>0</v>
      </c>
      <c r="V129" s="697"/>
      <c r="W129" s="454"/>
      <c r="X129" s="68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85"/>
      <c r="J130" s="688"/>
      <c r="K130" s="192"/>
      <c r="L130" s="215">
        <v>13</v>
      </c>
      <c r="M130" s="290" t="s">
        <v>377</v>
      </c>
      <c r="N130" s="217"/>
      <c r="O130" s="433"/>
      <c r="P130" s="357"/>
      <c r="Q130" s="219"/>
      <c r="R130" s="470"/>
      <c r="S130" s="501"/>
      <c r="T130" s="411" t="str">
        <f t="shared" si="12"/>
        <v/>
      </c>
      <c r="U130" s="396">
        <f t="shared" si="21"/>
        <v>0</v>
      </c>
      <c r="V130" s="697"/>
      <c r="W130" s="454"/>
      <c r="X130" s="68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85"/>
      <c r="J131" s="688"/>
      <c r="K131" s="192"/>
      <c r="L131" s="215">
        <v>13</v>
      </c>
      <c r="M131" s="290" t="s">
        <v>377</v>
      </c>
      <c r="N131" s="217"/>
      <c r="O131" s="433"/>
      <c r="P131" s="357"/>
      <c r="Q131" s="219"/>
      <c r="R131" s="470"/>
      <c r="S131" s="501"/>
      <c r="T131" s="411" t="str">
        <f t="shared" si="12"/>
        <v/>
      </c>
      <c r="U131" s="396">
        <f t="shared" si="21"/>
        <v>0</v>
      </c>
      <c r="V131" s="697"/>
      <c r="W131" s="454"/>
      <c r="X131" s="685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85"/>
      <c r="J132" s="688"/>
      <c r="K132" s="192"/>
      <c r="L132" s="215">
        <v>13</v>
      </c>
      <c r="M132" s="290" t="s">
        <v>377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97"/>
      <c r="W132" s="454"/>
      <c r="X132" s="685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2"/>
      <c r="I133" s="686"/>
      <c r="J133" s="689"/>
      <c r="K133" s="267"/>
      <c r="L133" s="220">
        <v>13</v>
      </c>
      <c r="M133" s="318" t="s">
        <v>377</v>
      </c>
      <c r="N133" s="221"/>
      <c r="O133" s="435"/>
      <c r="P133" s="358"/>
      <c r="Q133" s="234"/>
      <c r="R133" s="472"/>
      <c r="S133" s="503"/>
      <c r="T133" s="413" t="str">
        <f t="shared" si="12"/>
        <v/>
      </c>
      <c r="U133" s="398">
        <f t="shared" si="21"/>
        <v>0</v>
      </c>
      <c r="V133" s="698"/>
      <c r="W133" s="456"/>
      <c r="X133" s="686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3"/>
      <c r="I134" s="547"/>
      <c r="J134" s="184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2"/>
        <v/>
      </c>
      <c r="U134" s="403"/>
      <c r="V134" s="385"/>
      <c r="W134" s="457"/>
      <c r="X134" s="548"/>
    </row>
    <row r="135" spans="1:24" ht="14.25" customHeight="1">
      <c r="B135" s="173">
        <v>14</v>
      </c>
      <c r="C135" s="174" t="s">
        <v>379</v>
      </c>
      <c r="D135" s="174" t="s">
        <v>380</v>
      </c>
      <c r="E135" s="175"/>
      <c r="F135" s="368"/>
      <c r="G135" s="242">
        <f>D187</f>
        <v>630</v>
      </c>
      <c r="H135" s="561">
        <f>'Project Plan'!G48</f>
        <v>46100</v>
      </c>
      <c r="I135" s="690">
        <f>SUM(G135:G146)</f>
        <v>630</v>
      </c>
      <c r="J135" s="693">
        <f>F187</f>
        <v>700</v>
      </c>
      <c r="K135" s="243"/>
      <c r="L135" s="173">
        <v>14</v>
      </c>
      <c r="M135" s="333" t="s">
        <v>381</v>
      </c>
      <c r="N135" s="174" t="s">
        <v>382</v>
      </c>
      <c r="O135" s="444"/>
      <c r="P135" s="527"/>
      <c r="Q135" s="532">
        <v>0</v>
      </c>
      <c r="R135" s="529"/>
      <c r="S135" s="519" t="s">
        <v>383</v>
      </c>
      <c r="T135" s="632">
        <v>46022</v>
      </c>
      <c r="U135" s="648">
        <v>0</v>
      </c>
      <c r="V135" s="699">
        <f>J135-SUM(U135:U146)</f>
        <v>0</v>
      </c>
      <c r="W135" s="633">
        <f>T135+7</f>
        <v>46029</v>
      </c>
      <c r="X135" s="690">
        <f>SUM(Q135:Q146)</f>
        <v>734.3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1"/>
      <c r="J136" s="694"/>
      <c r="K136" s="176"/>
      <c r="L136" s="244">
        <v>14</v>
      </c>
      <c r="M136" s="334" t="s">
        <v>381</v>
      </c>
      <c r="N136" s="245" t="s">
        <v>382</v>
      </c>
      <c r="O136" s="445"/>
      <c r="P136" s="528"/>
      <c r="Q136" s="531">
        <v>261.8</v>
      </c>
      <c r="R136" s="530"/>
      <c r="S136" s="519" t="s">
        <v>383</v>
      </c>
      <c r="T136" s="642">
        <v>46053</v>
      </c>
      <c r="U136" s="647">
        <v>249.57102001906583</v>
      </c>
      <c r="V136" s="700"/>
      <c r="W136" s="633">
        <v>46058</v>
      </c>
      <c r="X136" s="691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1"/>
      <c r="J137" s="694"/>
      <c r="K137" s="176"/>
      <c r="L137" s="244">
        <v>14</v>
      </c>
      <c r="M137" s="334" t="s">
        <v>381</v>
      </c>
      <c r="N137" s="245" t="s">
        <v>382</v>
      </c>
      <c r="O137" s="445"/>
      <c r="P137" s="369"/>
      <c r="Q137" s="247">
        <f>$G$135/4</f>
        <v>157.5</v>
      </c>
      <c r="R137" s="485"/>
      <c r="S137" s="519"/>
      <c r="T137" s="425">
        <v>46081</v>
      </c>
      <c r="U137" s="409">
        <f t="shared" ref="U136:U146" si="22">(Q137/$X$135*$J$135)</f>
        <v>150.14299332697809</v>
      </c>
      <c r="V137" s="700"/>
      <c r="W137" s="467">
        <f t="shared" ref="W137:W139" si="23">T137+7</f>
        <v>46088</v>
      </c>
      <c r="X137" s="691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1"/>
      <c r="J138" s="694"/>
      <c r="K138" s="176"/>
      <c r="L138" s="244">
        <v>14</v>
      </c>
      <c r="M138" s="334" t="s">
        <v>381</v>
      </c>
      <c r="N138" s="245" t="s">
        <v>382</v>
      </c>
      <c r="O138" s="445"/>
      <c r="P138" s="369"/>
      <c r="Q138" s="247">
        <f>$G$135/4</f>
        <v>157.5</v>
      </c>
      <c r="R138" s="485"/>
      <c r="S138" s="513"/>
      <c r="T138" s="425">
        <v>46112</v>
      </c>
      <c r="U138" s="409">
        <f t="shared" si="22"/>
        <v>150.14299332697809</v>
      </c>
      <c r="V138" s="700"/>
      <c r="W138" s="467">
        <f t="shared" si="23"/>
        <v>46119</v>
      </c>
      <c r="X138" s="691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1"/>
      <c r="J139" s="694"/>
      <c r="K139" s="176"/>
      <c r="L139" s="244">
        <v>14</v>
      </c>
      <c r="M139" s="334" t="s">
        <v>381</v>
      </c>
      <c r="N139" s="245" t="s">
        <v>382</v>
      </c>
      <c r="O139" s="445"/>
      <c r="P139" s="369"/>
      <c r="Q139" s="247">
        <f>$G$135/4</f>
        <v>157.5</v>
      </c>
      <c r="R139" s="485"/>
      <c r="S139" s="513"/>
      <c r="T139" s="425">
        <v>46142</v>
      </c>
      <c r="U139" s="409">
        <f t="shared" si="22"/>
        <v>150.14299332697809</v>
      </c>
      <c r="V139" s="700"/>
      <c r="W139" s="467">
        <f t="shared" si="23"/>
        <v>46149</v>
      </c>
      <c r="X139" s="691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1"/>
      <c r="J140" s="694"/>
      <c r="K140" s="176"/>
      <c r="L140" s="244">
        <v>14</v>
      </c>
      <c r="M140" s="334" t="s">
        <v>381</v>
      </c>
      <c r="N140" s="245" t="s">
        <v>382</v>
      </c>
      <c r="O140" s="445"/>
      <c r="P140" s="369"/>
      <c r="Q140" s="247"/>
      <c r="R140" s="485"/>
      <c r="S140" s="513"/>
      <c r="T140" s="425" t="str">
        <f t="shared" ref="T140:T159" si="24">IF(W140&gt;1,EOMONTH(W140,0),"")</f>
        <v/>
      </c>
      <c r="U140" s="409">
        <f t="shared" si="22"/>
        <v>0</v>
      </c>
      <c r="V140" s="700"/>
      <c r="W140" s="467"/>
      <c r="X140" s="69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1"/>
      <c r="J141" s="694"/>
      <c r="K141" s="176"/>
      <c r="L141" s="244">
        <v>14</v>
      </c>
      <c r="M141" s="334" t="s">
        <v>381</v>
      </c>
      <c r="N141" s="245" t="s">
        <v>382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2"/>
        <v>0</v>
      </c>
      <c r="V141" s="700"/>
      <c r="W141" s="467"/>
      <c r="X141" s="69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1"/>
      <c r="J142" s="694"/>
      <c r="K142" s="176"/>
      <c r="L142" s="244">
        <v>14</v>
      </c>
      <c r="M142" s="334" t="s">
        <v>381</v>
      </c>
      <c r="N142" s="245" t="s">
        <v>382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2"/>
        <v>0</v>
      </c>
      <c r="V142" s="700"/>
      <c r="W142" s="467"/>
      <c r="X142" s="69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1"/>
      <c r="J143" s="694"/>
      <c r="K143" s="176"/>
      <c r="L143" s="244">
        <v>14</v>
      </c>
      <c r="M143" s="334" t="s">
        <v>381</v>
      </c>
      <c r="N143" s="245" t="s">
        <v>382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2"/>
        <v>0</v>
      </c>
      <c r="V143" s="700"/>
      <c r="W143" s="467"/>
      <c r="X143" s="69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1"/>
      <c r="J144" s="694"/>
      <c r="K144" s="176"/>
      <c r="L144" s="244">
        <v>14</v>
      </c>
      <c r="M144" s="334" t="s">
        <v>381</v>
      </c>
      <c r="N144" s="245" t="s">
        <v>382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00"/>
      <c r="W144" s="467"/>
      <c r="X144" s="691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91"/>
      <c r="J145" s="694"/>
      <c r="K145" s="176"/>
      <c r="L145" s="244">
        <v>14</v>
      </c>
      <c r="M145" s="334" t="s">
        <v>381</v>
      </c>
      <c r="N145" s="245"/>
      <c r="O145" s="445"/>
      <c r="P145" s="369"/>
      <c r="Q145" s="247"/>
      <c r="R145" s="485"/>
      <c r="S145" s="515"/>
      <c r="T145" s="425" t="str">
        <f t="shared" si="24"/>
        <v/>
      </c>
      <c r="U145" s="409">
        <f t="shared" si="22"/>
        <v>0</v>
      </c>
      <c r="V145" s="700"/>
      <c r="W145" s="467"/>
      <c r="X145" s="691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4"/>
      <c r="I146" s="692"/>
      <c r="J146" s="695"/>
      <c r="K146" s="179"/>
      <c r="L146" s="177">
        <v>14</v>
      </c>
      <c r="M146" s="335" t="s">
        <v>381</v>
      </c>
      <c r="N146" s="248"/>
      <c r="O146" s="446"/>
      <c r="P146" s="370"/>
      <c r="Q146" s="178"/>
      <c r="R146" s="486"/>
      <c r="S146" s="516"/>
      <c r="T146" s="426" t="str">
        <f t="shared" si="24"/>
        <v/>
      </c>
      <c r="U146" s="410">
        <f t="shared" si="22"/>
        <v>0</v>
      </c>
      <c r="V146" s="701"/>
      <c r="W146" s="468"/>
      <c r="X146" s="692"/>
    </row>
    <row r="147" spans="1:24" ht="14.45" thickBot="1">
      <c r="A147" s="4"/>
      <c r="B147" s="194"/>
      <c r="C147" s="181"/>
      <c r="D147" s="181"/>
      <c r="E147" s="195"/>
      <c r="F147" s="354"/>
      <c r="G147" s="196"/>
      <c r="H147" s="553"/>
      <c r="I147" s="549"/>
      <c r="J147" s="25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 t="str">
        <f t="shared" si="24"/>
        <v/>
      </c>
      <c r="U147" s="403"/>
      <c r="V147" s="385"/>
      <c r="W147" s="457"/>
      <c r="X147" s="549"/>
    </row>
    <row r="148" spans="1:24">
      <c r="B148" s="185">
        <v>15</v>
      </c>
      <c r="C148" s="186" t="s">
        <v>384</v>
      </c>
      <c r="D148" s="186"/>
      <c r="E148" s="187"/>
      <c r="F148" s="336"/>
      <c r="G148" s="188"/>
      <c r="H148" s="542"/>
      <c r="I148" s="684">
        <f>SUM(G148:G159)</f>
        <v>0</v>
      </c>
      <c r="J148" s="687">
        <f>F184</f>
        <v>0</v>
      </c>
      <c r="K148" s="189"/>
      <c r="L148" s="185">
        <v>15</v>
      </c>
      <c r="M148" s="255" t="s">
        <v>385</v>
      </c>
      <c r="N148" s="186"/>
      <c r="O148" s="187"/>
      <c r="P148" s="336"/>
      <c r="Q148" s="188"/>
      <c r="R148" s="477"/>
      <c r="S148" s="508"/>
      <c r="T148" s="418" t="str">
        <f t="shared" si="24"/>
        <v/>
      </c>
      <c r="U148" s="404"/>
      <c r="V148" s="696">
        <v>0</v>
      </c>
      <c r="W148" s="461"/>
      <c r="X148" s="684">
        <f>SUM(Q148:Q159)</f>
        <v>0</v>
      </c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85"/>
      <c r="J149" s="688"/>
      <c r="K149" s="192"/>
      <c r="L149" s="215">
        <v>15</v>
      </c>
      <c r="M149" s="290" t="s">
        <v>385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97"/>
      <c r="W149" s="454"/>
      <c r="X149" s="685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85"/>
      <c r="J150" s="688"/>
      <c r="K150" s="192"/>
      <c r="L150" s="215">
        <v>15</v>
      </c>
      <c r="M150" s="290" t="s">
        <v>385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97"/>
      <c r="W150" s="454"/>
      <c r="X150" s="685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85"/>
      <c r="J151" s="688"/>
      <c r="K151" s="192"/>
      <c r="L151" s="215">
        <v>15</v>
      </c>
      <c r="M151" s="290" t="s">
        <v>385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97"/>
      <c r="W151" s="454"/>
      <c r="X151" s="685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85"/>
      <c r="J152" s="688"/>
      <c r="K152" s="192"/>
      <c r="L152" s="215">
        <v>15</v>
      </c>
      <c r="M152" s="290" t="s">
        <v>385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97"/>
      <c r="W152" s="454"/>
      <c r="X152" s="68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85"/>
      <c r="J153" s="688"/>
      <c r="K153" s="192"/>
      <c r="L153" s="215">
        <v>15</v>
      </c>
      <c r="M153" s="290" t="s">
        <v>385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97"/>
      <c r="W153" s="454"/>
      <c r="X153" s="68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85"/>
      <c r="J154" s="688"/>
      <c r="K154" s="192"/>
      <c r="L154" s="215">
        <v>15</v>
      </c>
      <c r="M154" s="290" t="s">
        <v>385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97"/>
      <c r="W154" s="454"/>
      <c r="X154" s="68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85"/>
      <c r="J155" s="688"/>
      <c r="K155" s="192"/>
      <c r="L155" s="215">
        <v>15</v>
      </c>
      <c r="M155" s="290" t="s">
        <v>385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97"/>
      <c r="W155" s="454"/>
      <c r="X155" s="68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85"/>
      <c r="J156" s="688"/>
      <c r="K156" s="192"/>
      <c r="L156" s="215">
        <v>15</v>
      </c>
      <c r="M156" s="290" t="s">
        <v>385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97"/>
      <c r="W156" s="454"/>
      <c r="X156" s="68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85"/>
      <c r="J157" s="688"/>
      <c r="K157" s="192"/>
      <c r="L157" s="215">
        <v>15</v>
      </c>
      <c r="M157" s="290" t="s">
        <v>385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97"/>
      <c r="W157" s="454"/>
      <c r="X157" s="68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85"/>
      <c r="J158" s="688"/>
      <c r="K158" s="192"/>
      <c r="L158" s="215">
        <v>15</v>
      </c>
      <c r="M158" s="290" t="s">
        <v>385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97"/>
      <c r="W158" s="454"/>
      <c r="X158" s="685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2"/>
      <c r="I159" s="686"/>
      <c r="J159" s="689"/>
      <c r="K159" s="193"/>
      <c r="L159" s="220">
        <v>15</v>
      </c>
      <c r="M159" s="318" t="s">
        <v>385</v>
      </c>
      <c r="N159" s="221"/>
      <c r="O159" s="435"/>
      <c r="P159" s="358"/>
      <c r="Q159" s="234"/>
      <c r="R159" s="472"/>
      <c r="S159" s="503"/>
      <c r="T159" s="413" t="str">
        <f t="shared" si="24"/>
        <v/>
      </c>
      <c r="U159" s="398"/>
      <c r="V159" s="698"/>
      <c r="W159" s="456"/>
      <c r="X159" s="686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386</v>
      </c>
      <c r="D161" s="4">
        <v>408885.35</v>
      </c>
      <c r="E161" s="77"/>
      <c r="F161" s="431">
        <v>511106.6875</v>
      </c>
      <c r="G161" s="26"/>
      <c r="H161" s="26"/>
      <c r="I161" s="160"/>
      <c r="J161" s="160"/>
    </row>
    <row r="162" spans="2:23">
      <c r="B162" s="26"/>
      <c r="C162" s="431" t="s">
        <v>387</v>
      </c>
      <c r="D162" s="4">
        <v>113600</v>
      </c>
      <c r="E162" s="77"/>
      <c r="F162" s="431">
        <v>143797.46835443037</v>
      </c>
      <c r="G162" s="26"/>
      <c r="H162" s="26"/>
      <c r="I162" s="160"/>
      <c r="J162" s="160"/>
    </row>
    <row r="163" spans="2:23">
      <c r="B163" s="26"/>
      <c r="C163" s="431" t="s">
        <v>388</v>
      </c>
      <c r="D163" s="4">
        <v>84258</v>
      </c>
      <c r="E163" s="77"/>
      <c r="F163" s="431">
        <v>105322.5</v>
      </c>
      <c r="G163" s="26"/>
      <c r="H163" s="26"/>
      <c r="I163" s="253"/>
      <c r="J163" s="253"/>
    </row>
    <row r="164" spans="2:23">
      <c r="B164" s="26"/>
      <c r="C164" s="431" t="s">
        <v>316</v>
      </c>
      <c r="D164" s="4">
        <v>155045.70000000001</v>
      </c>
      <c r="E164" s="77"/>
      <c r="F164" s="431">
        <v>193807.125</v>
      </c>
      <c r="G164" s="26"/>
      <c r="H164" s="26"/>
      <c r="I164" s="160"/>
      <c r="J164" s="160"/>
    </row>
    <row r="165" spans="2:23">
      <c r="B165" s="26"/>
      <c r="C165" s="431" t="s">
        <v>339</v>
      </c>
      <c r="D165" s="4">
        <v>249598.81739130436</v>
      </c>
      <c r="E165" s="77"/>
      <c r="F165" s="431">
        <v>311998.52173913043</v>
      </c>
      <c r="G165" s="26"/>
      <c r="H165" s="26"/>
      <c r="I165" s="253"/>
      <c r="J165" s="253"/>
    </row>
    <row r="166" spans="2:23">
      <c r="B166" s="26"/>
      <c r="C166" s="431" t="s">
        <v>329</v>
      </c>
      <c r="D166" s="4">
        <v>34000</v>
      </c>
      <c r="E166" s="77"/>
      <c r="F166" s="431">
        <v>42500</v>
      </c>
      <c r="G166" s="26"/>
      <c r="H166" s="26"/>
      <c r="I166" s="160"/>
      <c r="J166" s="160"/>
    </row>
    <row r="167" spans="2:23">
      <c r="B167" s="26"/>
      <c r="C167" s="431" t="s">
        <v>389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390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391</v>
      </c>
      <c r="D169" s="4">
        <v>187500</v>
      </c>
      <c r="E169" s="77"/>
      <c r="F169" s="431">
        <v>234375</v>
      </c>
      <c r="G169" s="26"/>
      <c r="H169" s="26"/>
      <c r="I169" s="160"/>
      <c r="J169" s="160"/>
    </row>
    <row r="170" spans="2:23">
      <c r="B170" s="26"/>
      <c r="C170" s="431" t="s">
        <v>392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393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394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395</v>
      </c>
      <c r="D174" s="26">
        <v>46810</v>
      </c>
      <c r="E174" s="77"/>
      <c r="F174" s="431">
        <v>52011.111111111109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396</v>
      </c>
      <c r="D175" s="26">
        <v>100415.00000000001</v>
      </c>
      <c r="E175" s="77"/>
      <c r="F175" s="431">
        <v>111572.22222222223</v>
      </c>
      <c r="I175" s="160"/>
      <c r="J175" s="160"/>
      <c r="T175" s="431"/>
      <c r="U175" s="431"/>
      <c r="W175" s="431"/>
    </row>
    <row r="176" spans="2:23" s="26" customFormat="1">
      <c r="C176" s="431" t="s">
        <v>397</v>
      </c>
      <c r="D176" s="26">
        <v>16449.739175724637</v>
      </c>
      <c r="E176" s="77"/>
      <c r="F176" s="431">
        <v>18692.885426959816</v>
      </c>
      <c r="I176" s="160"/>
      <c r="J176" s="160"/>
      <c r="T176" s="431"/>
      <c r="U176" s="431"/>
      <c r="W176" s="431"/>
    </row>
    <row r="177" spans="3:23" s="26" customFormat="1">
      <c r="C177" s="431" t="s">
        <v>398</v>
      </c>
      <c r="D177" s="26">
        <v>89000</v>
      </c>
      <c r="E177" s="77"/>
      <c r="F177" s="431">
        <v>98888.888888888891</v>
      </c>
      <c r="I177" s="160"/>
      <c r="J177" s="160"/>
      <c r="T177" s="431"/>
      <c r="U177" s="431"/>
      <c r="W177" s="431"/>
    </row>
    <row r="178" spans="3:23" s="26" customFormat="1">
      <c r="C178" s="431" t="s">
        <v>399</v>
      </c>
      <c r="D178" s="26">
        <v>8500</v>
      </c>
      <c r="E178" s="77"/>
      <c r="F178" s="431">
        <v>9444.4444444444453</v>
      </c>
      <c r="I178" s="160"/>
      <c r="J178" s="160"/>
      <c r="T178" s="431"/>
      <c r="U178" s="431"/>
      <c r="W178" s="431"/>
    </row>
    <row r="179" spans="3:23" s="26" customFormat="1">
      <c r="C179" s="431" t="s">
        <v>400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401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402</v>
      </c>
      <c r="D181" s="26">
        <v>14400</v>
      </c>
      <c r="E181" s="77"/>
      <c r="F181" s="431">
        <v>16000</v>
      </c>
      <c r="I181" s="160"/>
      <c r="J181" s="160"/>
      <c r="T181" s="431"/>
      <c r="U181" s="431"/>
      <c r="W181" s="431"/>
    </row>
    <row r="182" spans="3:23" s="26" customFormat="1">
      <c r="C182" s="431" t="s">
        <v>403</v>
      </c>
      <c r="D182" s="26">
        <v>11466.266666666666</v>
      </c>
      <c r="E182" s="77"/>
      <c r="F182" s="431">
        <v>12740.296296296296</v>
      </c>
      <c r="I182" s="160"/>
      <c r="J182" s="160"/>
      <c r="T182" s="431"/>
      <c r="U182" s="431"/>
      <c r="W182" s="431"/>
    </row>
    <row r="183" spans="3:23" s="26" customFormat="1">
      <c r="C183" s="431" t="s">
        <v>404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391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405</v>
      </c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406</v>
      </c>
      <c r="D187" s="26">
        <v>630</v>
      </c>
      <c r="E187" s="77"/>
      <c r="F187" s="431">
        <v>700</v>
      </c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F24" sqref="F24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7109375" customWidth="1"/>
    <col min="3" max="3" width="18.710937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292" width="15.28515625" bestFit="1" customWidth="1"/>
    <col min="293" max="293" width="9.28515625" style="102"/>
  </cols>
  <sheetData>
    <row r="1" spans="1:770">
      <c r="D1" s="98" t="s">
        <v>407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8" t="s">
        <v>408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9"/>
      <c r="B3" s="106" t="s">
        <v>219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9"/>
      <c r="B4" s="106" t="s">
        <v>409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39"/>
      <c r="B5" s="110" t="s">
        <v>226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453729.96666666667</v>
      </c>
      <c r="V5" s="112">
        <f>SUMIFS('Expenditure Breakdown'!$G$6:$G$167, 'Expenditure Breakdown'!$H$6:$H$167, "&gt;="&amp;V1,'Expenditure Breakdown'!$H$6:$H$167, "&lt;"&amp;W1)</f>
        <v>189415</v>
      </c>
      <c r="W5" s="112">
        <f>SUMIFS('Expenditure Breakdown'!$G$6:$G$167, 'Expenditure Breakdown'!$H$6:$H$167, "&gt;="&amp;W1,'Expenditure Breakdown'!$H$6:$H$167, "&lt;"&amp;X1)</f>
        <v>249598.81739130436</v>
      </c>
      <c r="X5" s="112">
        <f>SUMIFS('Expenditure Breakdown'!$G$6:$G$167, 'Expenditure Breakdown'!$H$6:$H$167, "&gt;="&amp;X1,'Expenditure Breakdown'!$H$6:$H$167, "&lt;"&amp;Y1)</f>
        <v>17079.739175724637</v>
      </c>
      <c r="Y5" s="112">
        <f>SUMIFS('Expenditure Breakdown'!$G$6:$G$167, 'Expenditure Breakdown'!$H$6:$H$167, "&gt;="&amp;Y1,'Expenditure Breakdown'!$H$6:$H$167, "&lt;"&amp;Z1)</f>
        <v>0</v>
      </c>
      <c r="Z5" s="112">
        <f>SUMIFS('Expenditure Breakdown'!$G$6:$G$167, 'Expenditure Breakdown'!$H$6:$H$167, "&gt;="&amp;Z1,'Expenditure Breakdown'!$H$6:$H$167, "&lt;"&amp;AA1)</f>
        <v>610735.35</v>
      </c>
      <c r="AA5" s="112">
        <f>SUMIFS('Expenditure Breakdown'!$G$6:$G$167, 'Expenditure Breakdown'!$H$6:$H$167, "&gt;="&amp;AA1,'Expenditure Breakdown'!$H$6:$H$167, "&lt;"&amp;AB1)</f>
        <v>0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39"/>
      <c r="B6" s="110" t="s">
        <v>410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39"/>
      <c r="B7" s="115" t="s">
        <v>411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38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9"/>
      <c r="B9" s="120" t="s">
        <v>412</v>
      </c>
      <c r="C9" s="121">
        <f>'Revenue Tracking'!F4</f>
        <v>1862957.150983484</v>
      </c>
      <c r="D9" s="121">
        <f>SUM(F9:KF9)</f>
        <v>1862957.1509834838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186295.71509834839</v>
      </c>
      <c r="Y9" s="122">
        <f>SUMIFS('Revenue Tracking'!$F$13:$F$19, 'Revenue Tracking'!$P$13:$P$19, "&gt;="&amp;Y1,'Revenue Tracking'!$P$13:$P$19, "&lt;"&amp;Z1)</f>
        <v>93147.857549174194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9"/>
      <c r="B10" s="120" t="s">
        <v>413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1769809.2934343095</v>
      </c>
      <c r="Y10" s="122">
        <f t="shared" si="21"/>
        <v>1862957.1509834838</v>
      </c>
      <c r="Z10" s="122">
        <f t="shared" si="21"/>
        <v>1862957.1509834838</v>
      </c>
      <c r="AA10" s="122">
        <f t="shared" si="21"/>
        <v>1862957.1509834838</v>
      </c>
      <c r="AB10" s="122">
        <f t="shared" si="21"/>
        <v>1862957.1509834838</v>
      </c>
      <c r="AC10" s="122">
        <f t="shared" si="21"/>
        <v>1862957.1509834838</v>
      </c>
      <c r="AD10" s="122">
        <f>AC10+AD9</f>
        <v>1862957.1509834838</v>
      </c>
      <c r="AE10" s="122">
        <f t="shared" si="21"/>
        <v>1862957.1509834838</v>
      </c>
      <c r="AF10" s="122">
        <f t="shared" si="21"/>
        <v>1862957.1509834838</v>
      </c>
      <c r="AG10" s="122">
        <f t="shared" si="21"/>
        <v>1862957.1509834838</v>
      </c>
      <c r="AH10" s="122">
        <f t="shared" si="21"/>
        <v>1862957.1509834838</v>
      </c>
      <c r="AI10" s="122">
        <f t="shared" si="21"/>
        <v>1862957.1509834838</v>
      </c>
      <c r="AJ10" s="122">
        <f t="shared" si="21"/>
        <v>1862957.1509834838</v>
      </c>
      <c r="AK10" s="122">
        <f t="shared" si="21"/>
        <v>1862957.1509834838</v>
      </c>
      <c r="AL10" s="122">
        <f t="shared" si="21"/>
        <v>1862957.1509834838</v>
      </c>
      <c r="AM10" s="122">
        <f t="shared" si="21"/>
        <v>1862957.1509834838</v>
      </c>
      <c r="AN10" s="122">
        <f t="shared" si="21"/>
        <v>1862957.1509834838</v>
      </c>
      <c r="AO10" s="122">
        <f t="shared" si="21"/>
        <v>1862957.1509834838</v>
      </c>
      <c r="AP10" s="122">
        <f t="shared" si="21"/>
        <v>1862957.1509834838</v>
      </c>
      <c r="AQ10" s="122">
        <f t="shared" si="21"/>
        <v>1862957.1509834838</v>
      </c>
      <c r="AR10" s="122">
        <f t="shared" si="21"/>
        <v>1862957.1509834838</v>
      </c>
      <c r="AS10" s="122">
        <f t="shared" si="21"/>
        <v>1862957.1509834838</v>
      </c>
      <c r="AT10" s="122">
        <f t="shared" si="21"/>
        <v>1862957.1509834838</v>
      </c>
      <c r="AU10" s="122">
        <f t="shared" si="21"/>
        <v>1862957.1509834838</v>
      </c>
      <c r="AV10" s="122">
        <f t="shared" si="21"/>
        <v>1862957.1509834838</v>
      </c>
      <c r="AW10" s="122">
        <f t="shared" si="21"/>
        <v>1862957.1509834838</v>
      </c>
      <c r="AX10" s="122">
        <f t="shared" si="21"/>
        <v>1862957.1509834838</v>
      </c>
      <c r="AY10" s="122">
        <f t="shared" si="21"/>
        <v>1862957.1509834838</v>
      </c>
      <c r="AZ10" s="122">
        <f t="shared" si="21"/>
        <v>1862957.1509834838</v>
      </c>
      <c r="BA10" s="122">
        <f t="shared" si="21"/>
        <v>1862957.1509834838</v>
      </c>
      <c r="BB10" s="122">
        <f t="shared" si="21"/>
        <v>1862957.1509834838</v>
      </c>
      <c r="BC10" s="122">
        <f t="shared" si="21"/>
        <v>1862957.1509834838</v>
      </c>
      <c r="BD10" s="122">
        <f t="shared" si="21"/>
        <v>1862957.1509834838</v>
      </c>
      <c r="BE10" s="122">
        <f t="shared" si="21"/>
        <v>1862957.1509834838</v>
      </c>
      <c r="BF10" s="122">
        <f t="shared" si="21"/>
        <v>1862957.1509834838</v>
      </c>
      <c r="BG10" s="122">
        <f t="shared" si="21"/>
        <v>1862957.1509834838</v>
      </c>
      <c r="BH10" s="122">
        <f t="shared" si="21"/>
        <v>1862957.1509834838</v>
      </c>
      <c r="BI10" s="122">
        <f t="shared" si="21"/>
        <v>1862957.1509834838</v>
      </c>
      <c r="BJ10" s="122">
        <f t="shared" si="21"/>
        <v>1862957.1509834838</v>
      </c>
      <c r="BK10" s="122">
        <f t="shared" si="21"/>
        <v>1862957.1509834838</v>
      </c>
      <c r="BL10" s="122">
        <f t="shared" si="21"/>
        <v>1862957.1509834838</v>
      </c>
      <c r="BM10" s="122">
        <f t="shared" si="21"/>
        <v>1862957.1509834838</v>
      </c>
      <c r="BN10" s="122">
        <f t="shared" si="21"/>
        <v>1862957.1509834838</v>
      </c>
      <c r="BO10" s="122">
        <f t="shared" si="21"/>
        <v>1862957.1509834838</v>
      </c>
      <c r="BP10" s="122">
        <f t="shared" si="21"/>
        <v>1862957.1509834838</v>
      </c>
      <c r="BQ10" s="122">
        <f t="shared" si="21"/>
        <v>1862957.1509834838</v>
      </c>
      <c r="BR10" s="122">
        <f t="shared" si="21"/>
        <v>1862957.1509834838</v>
      </c>
      <c r="BS10" s="122">
        <f t="shared" si="21"/>
        <v>1862957.1509834838</v>
      </c>
      <c r="BT10" s="122">
        <f t="shared" si="21"/>
        <v>1862957.1509834838</v>
      </c>
      <c r="BU10" s="122">
        <f t="shared" ref="BU10:EF10" si="22">BT10+BU9</f>
        <v>1862957.1509834838</v>
      </c>
      <c r="BV10" s="122">
        <f t="shared" si="22"/>
        <v>1862957.1509834838</v>
      </c>
      <c r="BW10" s="122">
        <f t="shared" si="22"/>
        <v>1862957.1509834838</v>
      </c>
      <c r="BX10" s="122">
        <f t="shared" si="22"/>
        <v>1862957.1509834838</v>
      </c>
      <c r="BY10" s="122">
        <f t="shared" si="22"/>
        <v>1862957.1509834838</v>
      </c>
      <c r="BZ10" s="122">
        <f t="shared" si="22"/>
        <v>1862957.1509834838</v>
      </c>
      <c r="CA10" s="122">
        <f t="shared" si="22"/>
        <v>1862957.1509834838</v>
      </c>
      <c r="CB10" s="122">
        <f t="shared" si="22"/>
        <v>1862957.1509834838</v>
      </c>
      <c r="CC10" s="122">
        <f t="shared" si="22"/>
        <v>1862957.1509834838</v>
      </c>
      <c r="CD10" s="122">
        <f t="shared" si="22"/>
        <v>1862957.1509834838</v>
      </c>
      <c r="CE10" s="122">
        <f t="shared" si="22"/>
        <v>1862957.1509834838</v>
      </c>
      <c r="CF10" s="122">
        <f t="shared" si="22"/>
        <v>1862957.1509834838</v>
      </c>
      <c r="CG10" s="122">
        <f t="shared" si="22"/>
        <v>1862957.1509834838</v>
      </c>
      <c r="CH10" s="122">
        <f t="shared" si="22"/>
        <v>1862957.1509834838</v>
      </c>
      <c r="CI10" s="122">
        <f t="shared" si="22"/>
        <v>1862957.1509834838</v>
      </c>
      <c r="CJ10" s="122">
        <f t="shared" si="22"/>
        <v>1862957.1509834838</v>
      </c>
      <c r="CK10" s="122">
        <f t="shared" si="22"/>
        <v>1862957.1509834838</v>
      </c>
      <c r="CL10" s="122">
        <f t="shared" si="22"/>
        <v>1862957.1509834838</v>
      </c>
      <c r="CM10" s="122">
        <f t="shared" si="22"/>
        <v>1862957.1509834838</v>
      </c>
      <c r="CN10" s="122">
        <f t="shared" si="22"/>
        <v>1862957.1509834838</v>
      </c>
      <c r="CO10" s="122">
        <f t="shared" si="22"/>
        <v>1862957.1509834838</v>
      </c>
      <c r="CP10" s="122">
        <f t="shared" si="22"/>
        <v>1862957.1509834838</v>
      </c>
      <c r="CQ10" s="122">
        <f t="shared" si="22"/>
        <v>1862957.1509834838</v>
      </c>
      <c r="CR10" s="122">
        <f t="shared" si="22"/>
        <v>1862957.1509834838</v>
      </c>
      <c r="CS10" s="122">
        <f t="shared" si="22"/>
        <v>1862957.1509834838</v>
      </c>
      <c r="CT10" s="122">
        <f t="shared" si="22"/>
        <v>1862957.1509834838</v>
      </c>
      <c r="CU10" s="122">
        <f t="shared" si="22"/>
        <v>1862957.1509834838</v>
      </c>
      <c r="CV10" s="122">
        <f t="shared" si="22"/>
        <v>1862957.1509834838</v>
      </c>
      <c r="CW10" s="122">
        <f t="shared" si="22"/>
        <v>1862957.1509834838</v>
      </c>
      <c r="CX10" s="122">
        <f t="shared" si="22"/>
        <v>1862957.1509834838</v>
      </c>
      <c r="CY10" s="122">
        <f t="shared" si="22"/>
        <v>1862957.1509834838</v>
      </c>
      <c r="CZ10" s="122">
        <f t="shared" si="22"/>
        <v>1862957.1509834838</v>
      </c>
      <c r="DA10" s="122">
        <f t="shared" si="22"/>
        <v>1862957.1509834838</v>
      </c>
      <c r="DB10" s="122">
        <f t="shared" si="22"/>
        <v>1862957.1509834838</v>
      </c>
      <c r="DC10" s="122">
        <f t="shared" si="22"/>
        <v>1862957.1509834838</v>
      </c>
      <c r="DD10" s="122">
        <f t="shared" si="22"/>
        <v>1862957.1509834838</v>
      </c>
      <c r="DE10" s="122">
        <f t="shared" si="22"/>
        <v>1862957.1509834838</v>
      </c>
      <c r="DF10" s="122">
        <f t="shared" si="22"/>
        <v>1862957.1509834838</v>
      </c>
      <c r="DG10" s="122">
        <f t="shared" si="22"/>
        <v>1862957.1509834838</v>
      </c>
      <c r="DH10" s="122">
        <f t="shared" si="22"/>
        <v>1862957.1509834838</v>
      </c>
      <c r="DI10" s="122">
        <f t="shared" si="22"/>
        <v>1862957.1509834838</v>
      </c>
      <c r="DJ10" s="122">
        <f t="shared" si="22"/>
        <v>1862957.1509834838</v>
      </c>
      <c r="DK10" s="122">
        <f t="shared" si="22"/>
        <v>1862957.1509834838</v>
      </c>
      <c r="DL10" s="122">
        <f t="shared" si="22"/>
        <v>1862957.1509834838</v>
      </c>
      <c r="DM10" s="122">
        <f t="shared" si="22"/>
        <v>1862957.1509834838</v>
      </c>
      <c r="DN10" s="122">
        <f t="shared" si="22"/>
        <v>1862957.1509834838</v>
      </c>
      <c r="DO10" s="122">
        <f t="shared" si="22"/>
        <v>1862957.1509834838</v>
      </c>
      <c r="DP10" s="122">
        <f t="shared" si="22"/>
        <v>1862957.1509834838</v>
      </c>
      <c r="DQ10" s="122">
        <f t="shared" si="22"/>
        <v>1862957.1509834838</v>
      </c>
      <c r="DR10" s="122">
        <f t="shared" si="22"/>
        <v>1862957.1509834838</v>
      </c>
      <c r="DS10" s="122">
        <f t="shared" si="22"/>
        <v>1862957.1509834838</v>
      </c>
      <c r="DT10" s="122">
        <f t="shared" si="22"/>
        <v>1862957.1509834838</v>
      </c>
      <c r="DU10" s="122">
        <f t="shared" si="22"/>
        <v>1862957.1509834838</v>
      </c>
      <c r="DV10" s="122">
        <f t="shared" si="22"/>
        <v>1862957.1509834838</v>
      </c>
      <c r="DW10" s="122">
        <f t="shared" si="22"/>
        <v>1862957.1509834838</v>
      </c>
      <c r="DX10" s="122">
        <f t="shared" si="22"/>
        <v>1862957.1509834838</v>
      </c>
      <c r="DY10" s="122">
        <f t="shared" si="22"/>
        <v>1862957.1509834838</v>
      </c>
      <c r="DZ10" s="122">
        <f t="shared" si="22"/>
        <v>1862957.1509834838</v>
      </c>
      <c r="EA10" s="122">
        <f t="shared" si="22"/>
        <v>1862957.1509834838</v>
      </c>
      <c r="EB10" s="122">
        <f t="shared" si="22"/>
        <v>1862957.1509834838</v>
      </c>
      <c r="EC10" s="122">
        <f t="shared" si="22"/>
        <v>1862957.1509834838</v>
      </c>
      <c r="ED10" s="122">
        <f t="shared" si="22"/>
        <v>1862957.1509834838</v>
      </c>
      <c r="EE10" s="122">
        <f t="shared" si="22"/>
        <v>1862957.1509834838</v>
      </c>
      <c r="EF10" s="122">
        <f t="shared" si="22"/>
        <v>1862957.1509834838</v>
      </c>
      <c r="EG10" s="122">
        <f t="shared" ref="EG10:GR10" si="23">EF10+EG9</f>
        <v>1862957.1509834838</v>
      </c>
      <c r="EH10" s="122">
        <f t="shared" si="23"/>
        <v>1862957.1509834838</v>
      </c>
      <c r="EI10" s="122">
        <f t="shared" si="23"/>
        <v>1862957.1509834838</v>
      </c>
      <c r="EJ10" s="122">
        <f t="shared" si="23"/>
        <v>1862957.1509834838</v>
      </c>
      <c r="EK10" s="122">
        <f t="shared" si="23"/>
        <v>1862957.1509834838</v>
      </c>
      <c r="EL10" s="122">
        <f t="shared" si="23"/>
        <v>1862957.1509834838</v>
      </c>
      <c r="EM10" s="122">
        <f t="shared" si="23"/>
        <v>1862957.1509834838</v>
      </c>
      <c r="EN10" s="122">
        <f t="shared" si="23"/>
        <v>1862957.1509834838</v>
      </c>
      <c r="EO10" s="122">
        <f t="shared" si="23"/>
        <v>1862957.1509834838</v>
      </c>
      <c r="EP10" s="122">
        <f t="shared" si="23"/>
        <v>1862957.1509834838</v>
      </c>
      <c r="EQ10" s="122">
        <f t="shared" si="23"/>
        <v>1862957.1509834838</v>
      </c>
      <c r="ER10" s="122">
        <f t="shared" si="23"/>
        <v>1862957.1509834838</v>
      </c>
      <c r="ES10" s="122">
        <f t="shared" si="23"/>
        <v>1862957.1509834838</v>
      </c>
      <c r="ET10" s="122">
        <f t="shared" si="23"/>
        <v>1862957.1509834838</v>
      </c>
      <c r="EU10" s="122">
        <f t="shared" si="23"/>
        <v>1862957.1509834838</v>
      </c>
      <c r="EV10" s="122">
        <f t="shared" si="23"/>
        <v>1862957.1509834838</v>
      </c>
      <c r="EW10" s="122">
        <f t="shared" si="23"/>
        <v>1862957.1509834838</v>
      </c>
      <c r="EX10" s="122">
        <f t="shared" si="23"/>
        <v>1862957.1509834838</v>
      </c>
      <c r="EY10" s="122">
        <f t="shared" si="23"/>
        <v>1862957.1509834838</v>
      </c>
      <c r="EZ10" s="122">
        <f t="shared" si="23"/>
        <v>1862957.1509834838</v>
      </c>
      <c r="FA10" s="122">
        <f t="shared" si="23"/>
        <v>1862957.1509834838</v>
      </c>
      <c r="FB10" s="122">
        <f t="shared" si="23"/>
        <v>1862957.1509834838</v>
      </c>
      <c r="FC10" s="122">
        <f t="shared" si="23"/>
        <v>1862957.1509834838</v>
      </c>
      <c r="FD10" s="122">
        <f t="shared" si="23"/>
        <v>1862957.1509834838</v>
      </c>
      <c r="FE10" s="122">
        <f t="shared" si="23"/>
        <v>1862957.1509834838</v>
      </c>
      <c r="FF10" s="122">
        <f t="shared" si="23"/>
        <v>1862957.1509834838</v>
      </c>
      <c r="FG10" s="122">
        <f t="shared" si="23"/>
        <v>1862957.1509834838</v>
      </c>
      <c r="FH10" s="122">
        <f t="shared" si="23"/>
        <v>1862957.1509834838</v>
      </c>
      <c r="FI10" s="122">
        <f t="shared" si="23"/>
        <v>1862957.1509834838</v>
      </c>
      <c r="FJ10" s="122">
        <f t="shared" si="23"/>
        <v>1862957.1509834838</v>
      </c>
      <c r="FK10" s="122">
        <f t="shared" si="23"/>
        <v>1862957.1509834838</v>
      </c>
      <c r="FL10" s="122">
        <f t="shared" si="23"/>
        <v>1862957.1509834838</v>
      </c>
      <c r="FM10" s="122">
        <f t="shared" si="23"/>
        <v>1862957.1509834838</v>
      </c>
      <c r="FN10" s="122">
        <f t="shared" si="23"/>
        <v>1862957.1509834838</v>
      </c>
      <c r="FO10" s="122">
        <f t="shared" si="23"/>
        <v>1862957.1509834838</v>
      </c>
      <c r="FP10" s="122">
        <f t="shared" si="23"/>
        <v>1862957.1509834838</v>
      </c>
      <c r="FQ10" s="122">
        <f t="shared" si="23"/>
        <v>1862957.1509834838</v>
      </c>
      <c r="FR10" s="122">
        <f t="shared" si="23"/>
        <v>1862957.1509834838</v>
      </c>
      <c r="FS10" s="122">
        <f t="shared" si="23"/>
        <v>1862957.1509834838</v>
      </c>
      <c r="FT10" s="122">
        <f t="shared" si="23"/>
        <v>1862957.1509834838</v>
      </c>
      <c r="FU10" s="122">
        <f t="shared" si="23"/>
        <v>1862957.1509834838</v>
      </c>
      <c r="FV10" s="122">
        <f t="shared" si="23"/>
        <v>1862957.1509834838</v>
      </c>
      <c r="FW10" s="122">
        <f t="shared" si="23"/>
        <v>1862957.1509834838</v>
      </c>
      <c r="FX10" s="122">
        <f t="shared" si="23"/>
        <v>1862957.1509834838</v>
      </c>
      <c r="FY10" s="122">
        <f t="shared" si="23"/>
        <v>1862957.1509834838</v>
      </c>
      <c r="FZ10" s="122">
        <f t="shared" si="23"/>
        <v>1862957.1509834838</v>
      </c>
      <c r="GA10" s="122">
        <f t="shared" si="23"/>
        <v>1862957.1509834838</v>
      </c>
      <c r="GB10" s="122">
        <f t="shared" si="23"/>
        <v>1862957.1509834838</v>
      </c>
      <c r="GC10" s="122">
        <f t="shared" si="23"/>
        <v>1862957.1509834838</v>
      </c>
      <c r="GD10" s="122">
        <f t="shared" si="23"/>
        <v>1862957.1509834838</v>
      </c>
      <c r="GE10" s="122">
        <f t="shared" si="23"/>
        <v>1862957.1509834838</v>
      </c>
      <c r="GF10" s="122">
        <f t="shared" si="23"/>
        <v>1862957.1509834838</v>
      </c>
      <c r="GG10" s="122">
        <f t="shared" si="23"/>
        <v>1862957.1509834838</v>
      </c>
      <c r="GH10" s="122">
        <f t="shared" si="23"/>
        <v>1862957.1509834838</v>
      </c>
      <c r="GI10" s="122">
        <f t="shared" si="23"/>
        <v>1862957.1509834838</v>
      </c>
      <c r="GJ10" s="122">
        <f t="shared" si="23"/>
        <v>1862957.1509834838</v>
      </c>
      <c r="GK10" s="122">
        <f t="shared" si="23"/>
        <v>1862957.1509834838</v>
      </c>
      <c r="GL10" s="122">
        <f t="shared" si="23"/>
        <v>1862957.1509834838</v>
      </c>
      <c r="GM10" s="122">
        <f t="shared" si="23"/>
        <v>1862957.1509834838</v>
      </c>
      <c r="GN10" s="122">
        <f t="shared" si="23"/>
        <v>1862957.1509834838</v>
      </c>
      <c r="GO10" s="122">
        <f t="shared" si="23"/>
        <v>1862957.1509834838</v>
      </c>
      <c r="GP10" s="122">
        <f t="shared" si="23"/>
        <v>1862957.1509834838</v>
      </c>
      <c r="GQ10" s="122">
        <f t="shared" si="23"/>
        <v>1862957.1509834838</v>
      </c>
      <c r="GR10" s="122">
        <f t="shared" si="23"/>
        <v>1862957.1509834838</v>
      </c>
      <c r="GS10" s="122">
        <f t="shared" ref="GS10:JD10" si="24">GR10+GS9</f>
        <v>1862957.1509834838</v>
      </c>
      <c r="GT10" s="122">
        <f t="shared" si="24"/>
        <v>1862957.1509834838</v>
      </c>
      <c r="GU10" s="122">
        <f t="shared" si="24"/>
        <v>1862957.1509834838</v>
      </c>
      <c r="GV10" s="122">
        <f t="shared" si="24"/>
        <v>1862957.1509834838</v>
      </c>
      <c r="GW10" s="122">
        <f t="shared" si="24"/>
        <v>1862957.1509834838</v>
      </c>
      <c r="GX10" s="122">
        <f t="shared" si="24"/>
        <v>1862957.1509834838</v>
      </c>
      <c r="GY10" s="122">
        <f t="shared" si="24"/>
        <v>1862957.1509834838</v>
      </c>
      <c r="GZ10" s="122">
        <f t="shared" si="24"/>
        <v>1862957.1509834838</v>
      </c>
      <c r="HA10" s="122">
        <f t="shared" si="24"/>
        <v>1862957.1509834838</v>
      </c>
      <c r="HB10" s="122">
        <f t="shared" si="24"/>
        <v>1862957.1509834838</v>
      </c>
      <c r="HC10" s="122">
        <f t="shared" si="24"/>
        <v>1862957.1509834838</v>
      </c>
      <c r="HD10" s="122">
        <f t="shared" si="24"/>
        <v>1862957.1509834838</v>
      </c>
      <c r="HE10" s="122">
        <f t="shared" si="24"/>
        <v>1862957.1509834838</v>
      </c>
      <c r="HF10" s="122">
        <f t="shared" si="24"/>
        <v>1862957.1509834838</v>
      </c>
      <c r="HG10" s="122">
        <f t="shared" si="24"/>
        <v>1862957.1509834838</v>
      </c>
      <c r="HH10" s="122">
        <f t="shared" si="24"/>
        <v>1862957.1509834838</v>
      </c>
      <c r="HI10" s="122">
        <f t="shared" si="24"/>
        <v>1862957.1509834838</v>
      </c>
      <c r="HJ10" s="122">
        <f t="shared" si="24"/>
        <v>1862957.1509834838</v>
      </c>
      <c r="HK10" s="122">
        <f t="shared" si="24"/>
        <v>1862957.1509834838</v>
      </c>
      <c r="HL10" s="122">
        <f t="shared" si="24"/>
        <v>1862957.1509834838</v>
      </c>
      <c r="HM10" s="122">
        <f t="shared" si="24"/>
        <v>1862957.1509834838</v>
      </c>
      <c r="HN10" s="122">
        <f t="shared" si="24"/>
        <v>1862957.1509834838</v>
      </c>
      <c r="HO10" s="122">
        <f t="shared" si="24"/>
        <v>1862957.1509834838</v>
      </c>
      <c r="HP10" s="122">
        <f t="shared" si="24"/>
        <v>1862957.1509834838</v>
      </c>
      <c r="HQ10" s="122">
        <f t="shared" si="24"/>
        <v>1862957.1509834838</v>
      </c>
      <c r="HR10" s="122">
        <f t="shared" si="24"/>
        <v>1862957.1509834838</v>
      </c>
      <c r="HS10" s="122">
        <f t="shared" si="24"/>
        <v>1862957.1509834838</v>
      </c>
      <c r="HT10" s="122">
        <f t="shared" si="24"/>
        <v>1862957.1509834838</v>
      </c>
      <c r="HU10" s="122">
        <f t="shared" si="24"/>
        <v>1862957.1509834838</v>
      </c>
      <c r="HV10" s="122">
        <f t="shared" si="24"/>
        <v>1862957.1509834838</v>
      </c>
      <c r="HW10" s="122">
        <f t="shared" si="24"/>
        <v>1862957.1509834838</v>
      </c>
      <c r="HX10" s="122">
        <f t="shared" si="24"/>
        <v>1862957.1509834838</v>
      </c>
      <c r="HY10" s="122">
        <f t="shared" si="24"/>
        <v>1862957.1509834838</v>
      </c>
      <c r="HZ10" s="122">
        <f t="shared" si="24"/>
        <v>1862957.1509834838</v>
      </c>
      <c r="IA10" s="122">
        <f t="shared" si="24"/>
        <v>1862957.1509834838</v>
      </c>
      <c r="IB10" s="122">
        <f t="shared" si="24"/>
        <v>1862957.1509834838</v>
      </c>
      <c r="IC10" s="122">
        <f t="shared" si="24"/>
        <v>1862957.1509834838</v>
      </c>
      <c r="ID10" s="122">
        <f t="shared" si="24"/>
        <v>1862957.1509834838</v>
      </c>
      <c r="IE10" s="122">
        <f t="shared" si="24"/>
        <v>1862957.1509834838</v>
      </c>
      <c r="IF10" s="122">
        <f t="shared" si="24"/>
        <v>1862957.1509834838</v>
      </c>
      <c r="IG10" s="122">
        <f t="shared" si="24"/>
        <v>1862957.1509834838</v>
      </c>
      <c r="IH10" s="122">
        <f t="shared" si="24"/>
        <v>1862957.1509834838</v>
      </c>
      <c r="II10" s="122">
        <f t="shared" si="24"/>
        <v>1862957.1509834838</v>
      </c>
      <c r="IJ10" s="122">
        <f t="shared" si="24"/>
        <v>1862957.1509834838</v>
      </c>
      <c r="IK10" s="122">
        <f t="shared" si="24"/>
        <v>1862957.1509834838</v>
      </c>
      <c r="IL10" s="122">
        <f t="shared" si="24"/>
        <v>1862957.1509834838</v>
      </c>
      <c r="IM10" s="122">
        <f t="shared" si="24"/>
        <v>1862957.1509834838</v>
      </c>
      <c r="IN10" s="122">
        <f t="shared" si="24"/>
        <v>1862957.1509834838</v>
      </c>
      <c r="IO10" s="122">
        <f t="shared" si="24"/>
        <v>1862957.1509834838</v>
      </c>
      <c r="IP10" s="122">
        <f t="shared" si="24"/>
        <v>1862957.1509834838</v>
      </c>
      <c r="IQ10" s="122">
        <f t="shared" si="24"/>
        <v>1862957.1509834838</v>
      </c>
      <c r="IR10" s="122">
        <f t="shared" si="24"/>
        <v>1862957.1509834838</v>
      </c>
      <c r="IS10" s="122">
        <f t="shared" si="24"/>
        <v>1862957.1509834838</v>
      </c>
      <c r="IT10" s="122">
        <f t="shared" si="24"/>
        <v>1862957.1509834838</v>
      </c>
      <c r="IU10" s="122">
        <f t="shared" si="24"/>
        <v>1862957.1509834838</v>
      </c>
      <c r="IV10" s="122">
        <f t="shared" si="24"/>
        <v>1862957.1509834838</v>
      </c>
      <c r="IW10" s="122">
        <f t="shared" si="24"/>
        <v>1862957.1509834838</v>
      </c>
      <c r="IX10" s="122">
        <f t="shared" si="24"/>
        <v>1862957.1509834838</v>
      </c>
      <c r="IY10" s="122">
        <f t="shared" si="24"/>
        <v>1862957.1509834838</v>
      </c>
      <c r="IZ10" s="122">
        <f t="shared" si="24"/>
        <v>1862957.1509834838</v>
      </c>
      <c r="JA10" s="122">
        <f t="shared" si="24"/>
        <v>1862957.1509834838</v>
      </c>
      <c r="JB10" s="122">
        <f t="shared" si="24"/>
        <v>1862957.1509834838</v>
      </c>
      <c r="JC10" s="122">
        <f t="shared" si="24"/>
        <v>1862957.1509834838</v>
      </c>
      <c r="JD10" s="122">
        <f t="shared" si="24"/>
        <v>1862957.1509834838</v>
      </c>
      <c r="JE10" s="122">
        <f t="shared" ref="JE10:KF10" si="25">JD10+JE9</f>
        <v>1862957.1509834838</v>
      </c>
      <c r="JF10" s="122">
        <f t="shared" si="25"/>
        <v>1862957.1509834838</v>
      </c>
      <c r="JG10" s="122">
        <f t="shared" si="25"/>
        <v>1862957.1509834838</v>
      </c>
      <c r="JH10" s="122">
        <f t="shared" si="25"/>
        <v>1862957.1509834838</v>
      </c>
      <c r="JI10" s="122">
        <f t="shared" si="25"/>
        <v>1862957.1509834838</v>
      </c>
      <c r="JJ10" s="122">
        <f t="shared" si="25"/>
        <v>1862957.1509834838</v>
      </c>
      <c r="JK10" s="122">
        <f t="shared" si="25"/>
        <v>1862957.1509834838</v>
      </c>
      <c r="JL10" s="122">
        <f t="shared" si="25"/>
        <v>1862957.1509834838</v>
      </c>
      <c r="JM10" s="122">
        <f t="shared" si="25"/>
        <v>1862957.1509834838</v>
      </c>
      <c r="JN10" s="122">
        <f t="shared" si="25"/>
        <v>1862957.1509834838</v>
      </c>
      <c r="JO10" s="122">
        <f t="shared" si="25"/>
        <v>1862957.1509834838</v>
      </c>
      <c r="JP10" s="122">
        <f t="shared" si="25"/>
        <v>1862957.1509834838</v>
      </c>
      <c r="JQ10" s="122">
        <f t="shared" si="25"/>
        <v>1862957.1509834838</v>
      </c>
      <c r="JR10" s="122">
        <f t="shared" si="25"/>
        <v>1862957.1509834838</v>
      </c>
      <c r="JS10" s="122">
        <f t="shared" si="25"/>
        <v>1862957.1509834838</v>
      </c>
      <c r="JT10" s="122">
        <f t="shared" si="25"/>
        <v>1862957.1509834838</v>
      </c>
      <c r="JU10" s="122">
        <f t="shared" si="25"/>
        <v>1862957.1509834838</v>
      </c>
      <c r="JV10" s="122">
        <f t="shared" si="25"/>
        <v>1862957.1509834838</v>
      </c>
      <c r="JW10" s="122">
        <f t="shared" si="25"/>
        <v>1862957.1509834838</v>
      </c>
      <c r="JX10" s="122">
        <f t="shared" si="25"/>
        <v>1862957.1509834838</v>
      </c>
      <c r="JY10" s="122">
        <f t="shared" si="25"/>
        <v>1862957.1509834838</v>
      </c>
      <c r="JZ10" s="122">
        <f t="shared" si="25"/>
        <v>1862957.1509834838</v>
      </c>
      <c r="KA10" s="122">
        <f t="shared" si="25"/>
        <v>1862957.1509834838</v>
      </c>
      <c r="KB10" s="122">
        <f t="shared" si="25"/>
        <v>1862957.1509834838</v>
      </c>
      <c r="KC10" s="122">
        <f t="shared" si="25"/>
        <v>1862957.1509834838</v>
      </c>
      <c r="KD10" s="122">
        <f t="shared" si="25"/>
        <v>1862957.1509834838</v>
      </c>
      <c r="KE10" s="122">
        <f t="shared" si="25"/>
        <v>1862957.1509834838</v>
      </c>
      <c r="KF10" s="122">
        <f t="shared" si="25"/>
        <v>1862957.1509834838</v>
      </c>
    </row>
    <row r="11" spans="1:770" s="114" customFormat="1">
      <c r="A11" s="739"/>
      <c r="B11" s="123" t="s">
        <v>414</v>
      </c>
      <c r="C11" s="124">
        <f>'Revenue Tracking'!F5</f>
        <v>1301173.9943872935</v>
      </c>
      <c r="D11" s="124">
        <f>SUM(F11:KF11)</f>
        <v>1301173.9943872937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49391.654000000002</v>
      </c>
      <c r="R11" s="125">
        <f>SUMIFS('Expenditure Breakdown'!$Q$6:$Q$167, 'Expenditure Breakdown'!$W$6:$W$167, "&gt;="&amp;R1,'Expenditure Breakdown'!$W$6:$W$167, "&lt;"&amp;S1)</f>
        <v>81623.234000000011</v>
      </c>
      <c r="S11" s="125">
        <f>SUMIFS('Expenditure Breakdown'!$Q$6:$Q$167, 'Expenditure Breakdown'!$W$6:$W$167, "&gt;="&amp;S1,'Expenditure Breakdown'!$W$6:$W$167, "&lt;"&amp;T1)</f>
        <v>33715.449999999997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92417</v>
      </c>
      <c r="V11" s="125">
        <f>SUMIFS('Expenditure Breakdown'!$Q$6:$Q$167, 'Expenditure Breakdown'!$W$6:$W$167, "&gt;="&amp;V1,'Expenditure Breakdown'!$W$6:$W$167, "&lt;"&amp;W1)</f>
        <v>112799.1755</v>
      </c>
      <c r="W11" s="125">
        <f>SUMIFS('Expenditure Breakdown'!$Q$6:$Q$167, 'Expenditure Breakdown'!$W$6:$W$167, "&gt;="&amp;W1,'Expenditure Breakdown'!$W$6:$W$167, "&lt;"&amp;X1)</f>
        <v>84308.039887293548</v>
      </c>
      <c r="X11" s="125">
        <f>SUMIFS('Expenditure Breakdown'!$Q$6:$Q$167, 'Expenditure Breakdown'!$W$6:$W$167, "&gt;="&amp;X1,'Expenditure Breakdown'!$W$6:$W$167, "&lt;"&amp;Y1)</f>
        <v>40680.717000000004</v>
      </c>
      <c r="Y11" s="125">
        <f>SUMIFS('Expenditure Breakdown'!$Q$6:$Q$167, 'Expenditure Breakdown'!$W$6:$W$167, "&gt;="&amp;Y1,'Expenditure Breakdown'!$W$6:$W$167, "&lt;"&amp;Z1)</f>
        <v>608897.50550000009</v>
      </c>
      <c r="Z11" s="125">
        <f>SUMIFS('Expenditure Breakdown'!$Q$6:$Q$167, 'Expenditure Breakdown'!$W$6:$W$167, "&gt;="&amp;Z1,'Expenditure Breakdown'!$W$6:$W$167, "&lt;"&amp;AA1)</f>
        <v>168113.36</v>
      </c>
      <c r="AA11" s="125">
        <f>SUMIFS('Expenditure Breakdown'!$Q$6:$Q$167, 'Expenditure Breakdown'!$W$6:$W$167, "&gt;="&amp;AA1,'Expenditure Breakdown'!$W$6:$W$167, "&lt;"&amp;AB1)</f>
        <v>157.5</v>
      </c>
      <c r="AB11" s="125">
        <f>SUMIFS('Expenditure Breakdown'!$Q$6:$Q$167, 'Expenditure Breakdown'!$W$6:$W$167, "&gt;="&amp;AB1,'Expenditure Breakdown'!$W$6:$W$167, "&lt;"&amp;AC1)</f>
        <v>20340.358500000002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157.5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39"/>
      <c r="B12" s="123" t="s">
        <v>415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57964.154000000002</v>
      </c>
      <c r="R12" s="125">
        <f t="shared" si="26"/>
        <v>139587.38800000001</v>
      </c>
      <c r="S12" s="125">
        <f t="shared" si="26"/>
        <v>173302.83799999999</v>
      </c>
      <c r="T12" s="125">
        <f t="shared" si="26"/>
        <v>173302.83799999999</v>
      </c>
      <c r="U12" s="125">
        <f t="shared" si="26"/>
        <v>265719.83799999999</v>
      </c>
      <c r="V12" s="125">
        <f t="shared" si="26"/>
        <v>378519.0135</v>
      </c>
      <c r="W12" s="125">
        <f t="shared" si="26"/>
        <v>462827.05338729353</v>
      </c>
      <c r="X12" s="125">
        <f t="shared" si="26"/>
        <v>503507.77038729354</v>
      </c>
      <c r="Y12" s="125">
        <f t="shared" si="26"/>
        <v>1112405.2758872937</v>
      </c>
      <c r="Z12" s="125">
        <f t="shared" si="26"/>
        <v>1280518.6358872936</v>
      </c>
      <c r="AA12" s="125">
        <f t="shared" si="26"/>
        <v>1280676.1358872936</v>
      </c>
      <c r="AB12" s="125">
        <f t="shared" si="26"/>
        <v>1301016.4943872937</v>
      </c>
      <c r="AC12" s="125">
        <f t="shared" si="26"/>
        <v>1301016.4943872937</v>
      </c>
      <c r="AD12" s="125">
        <f>AC12+AD11</f>
        <v>1301016.4943872937</v>
      </c>
      <c r="AE12" s="125">
        <f t="shared" si="26"/>
        <v>1301173.9943872937</v>
      </c>
      <c r="AF12" s="125">
        <f t="shared" si="26"/>
        <v>1301173.9943872937</v>
      </c>
      <c r="AG12" s="125">
        <f t="shared" si="26"/>
        <v>1301173.9943872937</v>
      </c>
      <c r="AH12" s="125">
        <f t="shared" si="26"/>
        <v>1301173.9943872937</v>
      </c>
      <c r="AI12" s="125">
        <f t="shared" si="26"/>
        <v>1301173.9943872937</v>
      </c>
      <c r="AJ12" s="125">
        <f t="shared" si="26"/>
        <v>1301173.9943872937</v>
      </c>
      <c r="AK12" s="125">
        <f t="shared" si="26"/>
        <v>1301173.9943872937</v>
      </c>
      <c r="AL12" s="125">
        <f t="shared" si="26"/>
        <v>1301173.9943872937</v>
      </c>
      <c r="AM12" s="125">
        <f t="shared" si="26"/>
        <v>1301173.9943872937</v>
      </c>
      <c r="AN12" s="125">
        <f t="shared" si="26"/>
        <v>1301173.9943872937</v>
      </c>
      <c r="AO12" s="125">
        <f t="shared" si="26"/>
        <v>1301173.9943872937</v>
      </c>
      <c r="AP12" s="125">
        <f t="shared" si="26"/>
        <v>1301173.9943872937</v>
      </c>
      <c r="AQ12" s="125">
        <f t="shared" si="26"/>
        <v>1301173.9943872937</v>
      </c>
      <c r="AR12" s="125">
        <f t="shared" si="26"/>
        <v>1301173.9943872937</v>
      </c>
      <c r="AS12" s="125">
        <f t="shared" si="26"/>
        <v>1301173.9943872937</v>
      </c>
      <c r="AT12" s="125">
        <f t="shared" si="26"/>
        <v>1301173.9943872937</v>
      </c>
      <c r="AU12" s="125">
        <f t="shared" si="26"/>
        <v>1301173.9943872937</v>
      </c>
      <c r="AV12" s="125">
        <f t="shared" si="26"/>
        <v>1301173.9943872937</v>
      </c>
      <c r="AW12" s="125">
        <f t="shared" si="26"/>
        <v>1301173.9943872937</v>
      </c>
      <c r="AX12" s="125">
        <f t="shared" si="26"/>
        <v>1301173.9943872937</v>
      </c>
      <c r="AY12" s="125">
        <f t="shared" si="26"/>
        <v>1301173.9943872937</v>
      </c>
      <c r="AZ12" s="125">
        <f t="shared" si="26"/>
        <v>1301173.9943872937</v>
      </c>
      <c r="BA12" s="125">
        <f t="shared" si="26"/>
        <v>1301173.9943872937</v>
      </c>
      <c r="BB12" s="125">
        <f t="shared" si="26"/>
        <v>1301173.9943872937</v>
      </c>
      <c r="BC12" s="125">
        <f t="shared" si="26"/>
        <v>1301173.9943872937</v>
      </c>
      <c r="BD12" s="125">
        <f t="shared" si="26"/>
        <v>1301173.9943872937</v>
      </c>
      <c r="BE12" s="125">
        <f t="shared" si="26"/>
        <v>1301173.9943872937</v>
      </c>
      <c r="BF12" s="125">
        <f t="shared" si="26"/>
        <v>1301173.9943872937</v>
      </c>
      <c r="BG12" s="125">
        <f t="shared" si="26"/>
        <v>1301173.9943872937</v>
      </c>
      <c r="BH12" s="125">
        <f t="shared" si="26"/>
        <v>1301173.9943872937</v>
      </c>
      <c r="BI12" s="125">
        <f t="shared" si="26"/>
        <v>1301173.9943872937</v>
      </c>
      <c r="BJ12" s="125">
        <f t="shared" si="26"/>
        <v>1301173.9943872937</v>
      </c>
      <c r="BK12" s="125">
        <f t="shared" si="26"/>
        <v>1301173.9943872937</v>
      </c>
      <c r="BL12" s="125">
        <f t="shared" si="26"/>
        <v>1301173.9943872937</v>
      </c>
      <c r="BM12" s="125">
        <f t="shared" si="26"/>
        <v>1301173.9943872937</v>
      </c>
      <c r="BN12" s="125">
        <f t="shared" si="26"/>
        <v>1301173.9943872937</v>
      </c>
      <c r="BO12" s="125">
        <f t="shared" si="26"/>
        <v>1301173.9943872937</v>
      </c>
      <c r="BP12" s="125">
        <f t="shared" si="26"/>
        <v>1301173.9943872937</v>
      </c>
      <c r="BQ12" s="125">
        <f t="shared" si="26"/>
        <v>1301173.9943872937</v>
      </c>
      <c r="BR12" s="125">
        <f t="shared" si="26"/>
        <v>1301173.9943872937</v>
      </c>
      <c r="BS12" s="125">
        <f t="shared" si="26"/>
        <v>1301173.9943872937</v>
      </c>
      <c r="BT12" s="125">
        <f t="shared" si="26"/>
        <v>1301173.9943872937</v>
      </c>
      <c r="BU12" s="125">
        <f t="shared" ref="BU12:EF12" si="27">BT12+BU11</f>
        <v>1301173.9943872937</v>
      </c>
      <c r="BV12" s="125">
        <f t="shared" si="27"/>
        <v>1301173.9943872937</v>
      </c>
      <c r="BW12" s="125">
        <f t="shared" si="27"/>
        <v>1301173.9943872937</v>
      </c>
      <c r="BX12" s="125">
        <f t="shared" si="27"/>
        <v>1301173.9943872937</v>
      </c>
      <c r="BY12" s="125">
        <f t="shared" si="27"/>
        <v>1301173.9943872937</v>
      </c>
      <c r="BZ12" s="125">
        <f t="shared" si="27"/>
        <v>1301173.9943872937</v>
      </c>
      <c r="CA12" s="125">
        <f t="shared" si="27"/>
        <v>1301173.9943872937</v>
      </c>
      <c r="CB12" s="125">
        <f t="shared" si="27"/>
        <v>1301173.9943872937</v>
      </c>
      <c r="CC12" s="125">
        <f t="shared" si="27"/>
        <v>1301173.9943872937</v>
      </c>
      <c r="CD12" s="125">
        <f t="shared" si="27"/>
        <v>1301173.9943872937</v>
      </c>
      <c r="CE12" s="125">
        <f t="shared" si="27"/>
        <v>1301173.9943872937</v>
      </c>
      <c r="CF12" s="125">
        <f t="shared" si="27"/>
        <v>1301173.9943872937</v>
      </c>
      <c r="CG12" s="125">
        <f t="shared" si="27"/>
        <v>1301173.9943872937</v>
      </c>
      <c r="CH12" s="125">
        <f t="shared" si="27"/>
        <v>1301173.9943872937</v>
      </c>
      <c r="CI12" s="125">
        <f t="shared" si="27"/>
        <v>1301173.9943872937</v>
      </c>
      <c r="CJ12" s="125">
        <f t="shared" si="27"/>
        <v>1301173.9943872937</v>
      </c>
      <c r="CK12" s="125">
        <f t="shared" si="27"/>
        <v>1301173.9943872937</v>
      </c>
      <c r="CL12" s="125">
        <f t="shared" si="27"/>
        <v>1301173.9943872937</v>
      </c>
      <c r="CM12" s="125">
        <f t="shared" si="27"/>
        <v>1301173.9943872937</v>
      </c>
      <c r="CN12" s="125">
        <f t="shared" si="27"/>
        <v>1301173.9943872937</v>
      </c>
      <c r="CO12" s="125">
        <f t="shared" si="27"/>
        <v>1301173.9943872937</v>
      </c>
      <c r="CP12" s="125">
        <f t="shared" si="27"/>
        <v>1301173.9943872937</v>
      </c>
      <c r="CQ12" s="125">
        <f t="shared" si="27"/>
        <v>1301173.9943872937</v>
      </c>
      <c r="CR12" s="125">
        <f t="shared" si="27"/>
        <v>1301173.9943872937</v>
      </c>
      <c r="CS12" s="125">
        <f t="shared" si="27"/>
        <v>1301173.9943872937</v>
      </c>
      <c r="CT12" s="125">
        <f t="shared" si="27"/>
        <v>1301173.9943872937</v>
      </c>
      <c r="CU12" s="125">
        <f t="shared" si="27"/>
        <v>1301173.9943872937</v>
      </c>
      <c r="CV12" s="125">
        <f t="shared" si="27"/>
        <v>1301173.9943872937</v>
      </c>
      <c r="CW12" s="125">
        <f t="shared" si="27"/>
        <v>1301173.9943872937</v>
      </c>
      <c r="CX12" s="125">
        <f t="shared" si="27"/>
        <v>1301173.9943872937</v>
      </c>
      <c r="CY12" s="125">
        <f t="shared" si="27"/>
        <v>1301173.9943872937</v>
      </c>
      <c r="CZ12" s="125">
        <f t="shared" si="27"/>
        <v>1301173.9943872937</v>
      </c>
      <c r="DA12" s="125">
        <f t="shared" si="27"/>
        <v>1301173.9943872937</v>
      </c>
      <c r="DB12" s="125">
        <f t="shared" si="27"/>
        <v>1301173.9943872937</v>
      </c>
      <c r="DC12" s="125">
        <f t="shared" si="27"/>
        <v>1301173.9943872937</v>
      </c>
      <c r="DD12" s="125">
        <f t="shared" si="27"/>
        <v>1301173.9943872937</v>
      </c>
      <c r="DE12" s="125">
        <f t="shared" si="27"/>
        <v>1301173.9943872937</v>
      </c>
      <c r="DF12" s="125">
        <f t="shared" si="27"/>
        <v>1301173.9943872937</v>
      </c>
      <c r="DG12" s="125">
        <f t="shared" si="27"/>
        <v>1301173.9943872937</v>
      </c>
      <c r="DH12" s="125">
        <f t="shared" si="27"/>
        <v>1301173.9943872937</v>
      </c>
      <c r="DI12" s="125">
        <f t="shared" si="27"/>
        <v>1301173.9943872937</v>
      </c>
      <c r="DJ12" s="125">
        <f t="shared" si="27"/>
        <v>1301173.9943872937</v>
      </c>
      <c r="DK12" s="125">
        <f t="shared" si="27"/>
        <v>1301173.9943872937</v>
      </c>
      <c r="DL12" s="125">
        <f t="shared" si="27"/>
        <v>1301173.9943872937</v>
      </c>
      <c r="DM12" s="125">
        <f t="shared" si="27"/>
        <v>1301173.9943872937</v>
      </c>
      <c r="DN12" s="125">
        <f t="shared" si="27"/>
        <v>1301173.9943872937</v>
      </c>
      <c r="DO12" s="125">
        <f t="shared" si="27"/>
        <v>1301173.9943872937</v>
      </c>
      <c r="DP12" s="125">
        <f t="shared" si="27"/>
        <v>1301173.9943872937</v>
      </c>
      <c r="DQ12" s="125">
        <f t="shared" si="27"/>
        <v>1301173.9943872937</v>
      </c>
      <c r="DR12" s="125">
        <f t="shared" si="27"/>
        <v>1301173.9943872937</v>
      </c>
      <c r="DS12" s="125">
        <f t="shared" si="27"/>
        <v>1301173.9943872937</v>
      </c>
      <c r="DT12" s="125">
        <f t="shared" si="27"/>
        <v>1301173.9943872937</v>
      </c>
      <c r="DU12" s="125">
        <f t="shared" si="27"/>
        <v>1301173.9943872937</v>
      </c>
      <c r="DV12" s="125">
        <f t="shared" si="27"/>
        <v>1301173.9943872937</v>
      </c>
      <c r="DW12" s="125">
        <f t="shared" si="27"/>
        <v>1301173.9943872937</v>
      </c>
      <c r="DX12" s="125">
        <f t="shared" si="27"/>
        <v>1301173.9943872937</v>
      </c>
      <c r="DY12" s="125">
        <f t="shared" si="27"/>
        <v>1301173.9943872937</v>
      </c>
      <c r="DZ12" s="125">
        <f t="shared" si="27"/>
        <v>1301173.9943872937</v>
      </c>
      <c r="EA12" s="125">
        <f t="shared" si="27"/>
        <v>1301173.9943872937</v>
      </c>
      <c r="EB12" s="125">
        <f t="shared" si="27"/>
        <v>1301173.9943872937</v>
      </c>
      <c r="EC12" s="125">
        <f t="shared" si="27"/>
        <v>1301173.9943872937</v>
      </c>
      <c r="ED12" s="125">
        <f t="shared" si="27"/>
        <v>1301173.9943872937</v>
      </c>
      <c r="EE12" s="125">
        <f t="shared" si="27"/>
        <v>1301173.9943872937</v>
      </c>
      <c r="EF12" s="125">
        <f t="shared" si="27"/>
        <v>1301173.9943872937</v>
      </c>
      <c r="EG12" s="125">
        <f t="shared" ref="EG12:GR12" si="28">EF12+EG11</f>
        <v>1301173.9943872937</v>
      </c>
      <c r="EH12" s="125">
        <f t="shared" si="28"/>
        <v>1301173.9943872937</v>
      </c>
      <c r="EI12" s="125">
        <f t="shared" si="28"/>
        <v>1301173.9943872937</v>
      </c>
      <c r="EJ12" s="125">
        <f t="shared" si="28"/>
        <v>1301173.9943872937</v>
      </c>
      <c r="EK12" s="125">
        <f t="shared" si="28"/>
        <v>1301173.9943872937</v>
      </c>
      <c r="EL12" s="125">
        <f t="shared" si="28"/>
        <v>1301173.9943872937</v>
      </c>
      <c r="EM12" s="125">
        <f t="shared" si="28"/>
        <v>1301173.9943872937</v>
      </c>
      <c r="EN12" s="125">
        <f t="shared" si="28"/>
        <v>1301173.9943872937</v>
      </c>
      <c r="EO12" s="125">
        <f t="shared" si="28"/>
        <v>1301173.9943872937</v>
      </c>
      <c r="EP12" s="125">
        <f t="shared" si="28"/>
        <v>1301173.9943872937</v>
      </c>
      <c r="EQ12" s="125">
        <f t="shared" si="28"/>
        <v>1301173.9943872937</v>
      </c>
      <c r="ER12" s="125">
        <f t="shared" si="28"/>
        <v>1301173.9943872937</v>
      </c>
      <c r="ES12" s="125">
        <f t="shared" si="28"/>
        <v>1301173.9943872937</v>
      </c>
      <c r="ET12" s="125">
        <f t="shared" si="28"/>
        <v>1301173.9943872937</v>
      </c>
      <c r="EU12" s="125">
        <f t="shared" si="28"/>
        <v>1301173.9943872937</v>
      </c>
      <c r="EV12" s="125">
        <f t="shared" si="28"/>
        <v>1301173.9943872937</v>
      </c>
      <c r="EW12" s="125">
        <f t="shared" si="28"/>
        <v>1301173.9943872937</v>
      </c>
      <c r="EX12" s="125">
        <f t="shared" si="28"/>
        <v>1301173.9943872937</v>
      </c>
      <c r="EY12" s="125">
        <f t="shared" si="28"/>
        <v>1301173.9943872937</v>
      </c>
      <c r="EZ12" s="125">
        <f t="shared" si="28"/>
        <v>1301173.9943872937</v>
      </c>
      <c r="FA12" s="125">
        <f t="shared" si="28"/>
        <v>1301173.9943872937</v>
      </c>
      <c r="FB12" s="125">
        <f t="shared" si="28"/>
        <v>1301173.9943872937</v>
      </c>
      <c r="FC12" s="125">
        <f t="shared" si="28"/>
        <v>1301173.9943872937</v>
      </c>
      <c r="FD12" s="125">
        <f t="shared" si="28"/>
        <v>1301173.9943872937</v>
      </c>
      <c r="FE12" s="125">
        <f t="shared" si="28"/>
        <v>1301173.9943872937</v>
      </c>
      <c r="FF12" s="125">
        <f t="shared" si="28"/>
        <v>1301173.9943872937</v>
      </c>
      <c r="FG12" s="125">
        <f t="shared" si="28"/>
        <v>1301173.9943872937</v>
      </c>
      <c r="FH12" s="125">
        <f t="shared" si="28"/>
        <v>1301173.9943872937</v>
      </c>
      <c r="FI12" s="125">
        <f t="shared" si="28"/>
        <v>1301173.9943872937</v>
      </c>
      <c r="FJ12" s="125">
        <f t="shared" si="28"/>
        <v>1301173.9943872937</v>
      </c>
      <c r="FK12" s="125">
        <f t="shared" si="28"/>
        <v>1301173.9943872937</v>
      </c>
      <c r="FL12" s="125">
        <f t="shared" si="28"/>
        <v>1301173.9943872937</v>
      </c>
      <c r="FM12" s="125">
        <f t="shared" si="28"/>
        <v>1301173.9943872937</v>
      </c>
      <c r="FN12" s="125">
        <f t="shared" si="28"/>
        <v>1301173.9943872937</v>
      </c>
      <c r="FO12" s="125">
        <f t="shared" si="28"/>
        <v>1301173.9943872937</v>
      </c>
      <c r="FP12" s="125">
        <f t="shared" si="28"/>
        <v>1301173.9943872937</v>
      </c>
      <c r="FQ12" s="125">
        <f t="shared" si="28"/>
        <v>1301173.9943872937</v>
      </c>
      <c r="FR12" s="125">
        <f t="shared" si="28"/>
        <v>1301173.9943872937</v>
      </c>
      <c r="FS12" s="125">
        <f t="shared" si="28"/>
        <v>1301173.9943872937</v>
      </c>
      <c r="FT12" s="125">
        <f t="shared" si="28"/>
        <v>1301173.9943872937</v>
      </c>
      <c r="FU12" s="125">
        <f t="shared" si="28"/>
        <v>1301173.9943872937</v>
      </c>
      <c r="FV12" s="125">
        <f t="shared" si="28"/>
        <v>1301173.9943872937</v>
      </c>
      <c r="FW12" s="125">
        <f t="shared" si="28"/>
        <v>1301173.9943872937</v>
      </c>
      <c r="FX12" s="125">
        <f t="shared" si="28"/>
        <v>1301173.9943872937</v>
      </c>
      <c r="FY12" s="125">
        <f t="shared" si="28"/>
        <v>1301173.9943872937</v>
      </c>
      <c r="FZ12" s="125">
        <f t="shared" si="28"/>
        <v>1301173.9943872937</v>
      </c>
      <c r="GA12" s="125">
        <f t="shared" si="28"/>
        <v>1301173.9943872937</v>
      </c>
      <c r="GB12" s="125">
        <f t="shared" si="28"/>
        <v>1301173.9943872937</v>
      </c>
      <c r="GC12" s="125">
        <f t="shared" si="28"/>
        <v>1301173.9943872937</v>
      </c>
      <c r="GD12" s="125">
        <f t="shared" si="28"/>
        <v>1301173.9943872937</v>
      </c>
      <c r="GE12" s="125">
        <f t="shared" si="28"/>
        <v>1301173.9943872937</v>
      </c>
      <c r="GF12" s="125">
        <f t="shared" si="28"/>
        <v>1301173.9943872937</v>
      </c>
      <c r="GG12" s="125">
        <f t="shared" si="28"/>
        <v>1301173.9943872937</v>
      </c>
      <c r="GH12" s="125">
        <f t="shared" si="28"/>
        <v>1301173.9943872937</v>
      </c>
      <c r="GI12" s="125">
        <f t="shared" si="28"/>
        <v>1301173.9943872937</v>
      </c>
      <c r="GJ12" s="125">
        <f t="shared" si="28"/>
        <v>1301173.9943872937</v>
      </c>
      <c r="GK12" s="125">
        <f t="shared" si="28"/>
        <v>1301173.9943872937</v>
      </c>
      <c r="GL12" s="125">
        <f t="shared" si="28"/>
        <v>1301173.9943872937</v>
      </c>
      <c r="GM12" s="125">
        <f t="shared" si="28"/>
        <v>1301173.9943872937</v>
      </c>
      <c r="GN12" s="125">
        <f t="shared" si="28"/>
        <v>1301173.9943872937</v>
      </c>
      <c r="GO12" s="125">
        <f t="shared" si="28"/>
        <v>1301173.9943872937</v>
      </c>
      <c r="GP12" s="125">
        <f t="shared" si="28"/>
        <v>1301173.9943872937</v>
      </c>
      <c r="GQ12" s="125">
        <f t="shared" si="28"/>
        <v>1301173.9943872937</v>
      </c>
      <c r="GR12" s="125">
        <f t="shared" si="28"/>
        <v>1301173.9943872937</v>
      </c>
      <c r="GS12" s="125">
        <f t="shared" ref="GS12:JD12" si="29">GR12+GS11</f>
        <v>1301173.9943872937</v>
      </c>
      <c r="GT12" s="125">
        <f t="shared" si="29"/>
        <v>1301173.9943872937</v>
      </c>
      <c r="GU12" s="125">
        <f t="shared" si="29"/>
        <v>1301173.9943872937</v>
      </c>
      <c r="GV12" s="125">
        <f t="shared" si="29"/>
        <v>1301173.9943872937</v>
      </c>
      <c r="GW12" s="125">
        <f t="shared" si="29"/>
        <v>1301173.9943872937</v>
      </c>
      <c r="GX12" s="125">
        <f t="shared" si="29"/>
        <v>1301173.9943872937</v>
      </c>
      <c r="GY12" s="125">
        <f t="shared" si="29"/>
        <v>1301173.9943872937</v>
      </c>
      <c r="GZ12" s="125">
        <f t="shared" si="29"/>
        <v>1301173.9943872937</v>
      </c>
      <c r="HA12" s="125">
        <f t="shared" si="29"/>
        <v>1301173.9943872937</v>
      </c>
      <c r="HB12" s="125">
        <f t="shared" si="29"/>
        <v>1301173.9943872937</v>
      </c>
      <c r="HC12" s="125">
        <f t="shared" si="29"/>
        <v>1301173.9943872937</v>
      </c>
      <c r="HD12" s="125">
        <f t="shared" si="29"/>
        <v>1301173.9943872937</v>
      </c>
      <c r="HE12" s="125">
        <f t="shared" si="29"/>
        <v>1301173.9943872937</v>
      </c>
      <c r="HF12" s="125">
        <f t="shared" si="29"/>
        <v>1301173.9943872937</v>
      </c>
      <c r="HG12" s="125">
        <f t="shared" si="29"/>
        <v>1301173.9943872937</v>
      </c>
      <c r="HH12" s="125">
        <f t="shared" si="29"/>
        <v>1301173.9943872937</v>
      </c>
      <c r="HI12" s="125">
        <f t="shared" si="29"/>
        <v>1301173.9943872937</v>
      </c>
      <c r="HJ12" s="125">
        <f t="shared" si="29"/>
        <v>1301173.9943872937</v>
      </c>
      <c r="HK12" s="125">
        <f t="shared" si="29"/>
        <v>1301173.9943872937</v>
      </c>
      <c r="HL12" s="125">
        <f t="shared" si="29"/>
        <v>1301173.9943872937</v>
      </c>
      <c r="HM12" s="125">
        <f t="shared" si="29"/>
        <v>1301173.9943872937</v>
      </c>
      <c r="HN12" s="125">
        <f t="shared" si="29"/>
        <v>1301173.9943872937</v>
      </c>
      <c r="HO12" s="125">
        <f t="shared" si="29"/>
        <v>1301173.9943872937</v>
      </c>
      <c r="HP12" s="125">
        <f t="shared" si="29"/>
        <v>1301173.9943872937</v>
      </c>
      <c r="HQ12" s="125">
        <f t="shared" si="29"/>
        <v>1301173.9943872937</v>
      </c>
      <c r="HR12" s="125">
        <f t="shared" si="29"/>
        <v>1301173.9943872937</v>
      </c>
      <c r="HS12" s="125">
        <f t="shared" si="29"/>
        <v>1301173.9943872937</v>
      </c>
      <c r="HT12" s="125">
        <f t="shared" si="29"/>
        <v>1301173.9943872937</v>
      </c>
      <c r="HU12" s="125">
        <f t="shared" si="29"/>
        <v>1301173.9943872937</v>
      </c>
      <c r="HV12" s="125">
        <f t="shared" si="29"/>
        <v>1301173.9943872937</v>
      </c>
      <c r="HW12" s="125">
        <f t="shared" si="29"/>
        <v>1301173.9943872937</v>
      </c>
      <c r="HX12" s="125">
        <f t="shared" si="29"/>
        <v>1301173.9943872937</v>
      </c>
      <c r="HY12" s="125">
        <f t="shared" si="29"/>
        <v>1301173.9943872937</v>
      </c>
      <c r="HZ12" s="125">
        <f t="shared" si="29"/>
        <v>1301173.9943872937</v>
      </c>
      <c r="IA12" s="125">
        <f t="shared" si="29"/>
        <v>1301173.9943872937</v>
      </c>
      <c r="IB12" s="125">
        <f t="shared" si="29"/>
        <v>1301173.9943872937</v>
      </c>
      <c r="IC12" s="125">
        <f t="shared" si="29"/>
        <v>1301173.9943872937</v>
      </c>
      <c r="ID12" s="125">
        <f t="shared" si="29"/>
        <v>1301173.9943872937</v>
      </c>
      <c r="IE12" s="125">
        <f t="shared" si="29"/>
        <v>1301173.9943872937</v>
      </c>
      <c r="IF12" s="125">
        <f t="shared" si="29"/>
        <v>1301173.9943872937</v>
      </c>
      <c r="IG12" s="125">
        <f t="shared" si="29"/>
        <v>1301173.9943872937</v>
      </c>
      <c r="IH12" s="125">
        <f t="shared" si="29"/>
        <v>1301173.9943872937</v>
      </c>
      <c r="II12" s="125">
        <f t="shared" si="29"/>
        <v>1301173.9943872937</v>
      </c>
      <c r="IJ12" s="125">
        <f t="shared" si="29"/>
        <v>1301173.9943872937</v>
      </c>
      <c r="IK12" s="125">
        <f t="shared" si="29"/>
        <v>1301173.9943872937</v>
      </c>
      <c r="IL12" s="125">
        <f t="shared" si="29"/>
        <v>1301173.9943872937</v>
      </c>
      <c r="IM12" s="125">
        <f t="shared" si="29"/>
        <v>1301173.9943872937</v>
      </c>
      <c r="IN12" s="125">
        <f t="shared" si="29"/>
        <v>1301173.9943872937</v>
      </c>
      <c r="IO12" s="125">
        <f t="shared" si="29"/>
        <v>1301173.9943872937</v>
      </c>
      <c r="IP12" s="125">
        <f t="shared" si="29"/>
        <v>1301173.9943872937</v>
      </c>
      <c r="IQ12" s="125">
        <f t="shared" si="29"/>
        <v>1301173.9943872937</v>
      </c>
      <c r="IR12" s="125">
        <f t="shared" si="29"/>
        <v>1301173.9943872937</v>
      </c>
      <c r="IS12" s="125">
        <f t="shared" si="29"/>
        <v>1301173.9943872937</v>
      </c>
      <c r="IT12" s="125">
        <f t="shared" si="29"/>
        <v>1301173.9943872937</v>
      </c>
      <c r="IU12" s="125">
        <f t="shared" si="29"/>
        <v>1301173.9943872937</v>
      </c>
      <c r="IV12" s="125">
        <f t="shared" si="29"/>
        <v>1301173.9943872937</v>
      </c>
      <c r="IW12" s="125">
        <f t="shared" si="29"/>
        <v>1301173.9943872937</v>
      </c>
      <c r="IX12" s="125">
        <f t="shared" si="29"/>
        <v>1301173.9943872937</v>
      </c>
      <c r="IY12" s="125">
        <f t="shared" si="29"/>
        <v>1301173.9943872937</v>
      </c>
      <c r="IZ12" s="125">
        <f t="shared" si="29"/>
        <v>1301173.9943872937</v>
      </c>
      <c r="JA12" s="125">
        <f t="shared" si="29"/>
        <v>1301173.9943872937</v>
      </c>
      <c r="JB12" s="125">
        <f t="shared" si="29"/>
        <v>1301173.9943872937</v>
      </c>
      <c r="JC12" s="125">
        <f t="shared" si="29"/>
        <v>1301173.9943872937</v>
      </c>
      <c r="JD12" s="125">
        <f t="shared" si="29"/>
        <v>1301173.9943872937</v>
      </c>
      <c r="JE12" s="125">
        <f t="shared" ref="JE12:KF12" si="30">JD12+JE11</f>
        <v>1301173.9943872937</v>
      </c>
      <c r="JF12" s="125">
        <f t="shared" si="30"/>
        <v>1301173.9943872937</v>
      </c>
      <c r="JG12" s="125">
        <f t="shared" si="30"/>
        <v>1301173.9943872937</v>
      </c>
      <c r="JH12" s="125">
        <f t="shared" si="30"/>
        <v>1301173.9943872937</v>
      </c>
      <c r="JI12" s="125">
        <f t="shared" si="30"/>
        <v>1301173.9943872937</v>
      </c>
      <c r="JJ12" s="125">
        <f t="shared" si="30"/>
        <v>1301173.9943872937</v>
      </c>
      <c r="JK12" s="125">
        <f t="shared" si="30"/>
        <v>1301173.9943872937</v>
      </c>
      <c r="JL12" s="125">
        <f t="shared" si="30"/>
        <v>1301173.9943872937</v>
      </c>
      <c r="JM12" s="125">
        <f t="shared" si="30"/>
        <v>1301173.9943872937</v>
      </c>
      <c r="JN12" s="125">
        <f t="shared" si="30"/>
        <v>1301173.9943872937</v>
      </c>
      <c r="JO12" s="125">
        <f t="shared" si="30"/>
        <v>1301173.9943872937</v>
      </c>
      <c r="JP12" s="125">
        <f t="shared" si="30"/>
        <v>1301173.9943872937</v>
      </c>
      <c r="JQ12" s="125">
        <f t="shared" si="30"/>
        <v>1301173.9943872937</v>
      </c>
      <c r="JR12" s="125">
        <f t="shared" si="30"/>
        <v>1301173.9943872937</v>
      </c>
      <c r="JS12" s="125">
        <f t="shared" si="30"/>
        <v>1301173.9943872937</v>
      </c>
      <c r="JT12" s="125">
        <f t="shared" si="30"/>
        <v>1301173.9943872937</v>
      </c>
      <c r="JU12" s="125">
        <f t="shared" si="30"/>
        <v>1301173.9943872937</v>
      </c>
      <c r="JV12" s="125">
        <f t="shared" si="30"/>
        <v>1301173.9943872937</v>
      </c>
      <c r="JW12" s="125">
        <f t="shared" si="30"/>
        <v>1301173.9943872937</v>
      </c>
      <c r="JX12" s="125">
        <f t="shared" si="30"/>
        <v>1301173.9943872937</v>
      </c>
      <c r="JY12" s="125">
        <f t="shared" si="30"/>
        <v>1301173.9943872937</v>
      </c>
      <c r="JZ12" s="125">
        <f t="shared" si="30"/>
        <v>1301173.9943872937</v>
      </c>
      <c r="KA12" s="125">
        <f t="shared" si="30"/>
        <v>1301173.9943872937</v>
      </c>
      <c r="KB12" s="125">
        <f t="shared" si="30"/>
        <v>1301173.9943872937</v>
      </c>
      <c r="KC12" s="125">
        <f t="shared" si="30"/>
        <v>1301173.9943872937</v>
      </c>
      <c r="KD12" s="125">
        <f t="shared" si="30"/>
        <v>1301173.9943872937</v>
      </c>
      <c r="KE12" s="125">
        <f t="shared" si="30"/>
        <v>1301173.9943872937</v>
      </c>
      <c r="KF12" s="125">
        <f t="shared" si="30"/>
        <v>1301173.9943872937</v>
      </c>
      <c r="KG12" s="102"/>
      <c r="KH12" s="113"/>
    </row>
    <row r="13" spans="1:770" s="102" customFormat="1">
      <c r="A13" s="73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9"/>
      <c r="B14" s="115" t="s">
        <v>416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407775.13374587096</v>
      </c>
      <c r="R14" s="118">
        <f t="shared" si="32"/>
        <v>1443926.1903359611</v>
      </c>
      <c r="S14" s="118">
        <f t="shared" si="32"/>
        <v>1410210.7403359611</v>
      </c>
      <c r="T14" s="118">
        <f t="shared" si="32"/>
        <v>1410210.7403359611</v>
      </c>
      <c r="U14" s="118">
        <f t="shared" si="32"/>
        <v>1317793.7403359611</v>
      </c>
      <c r="V14" s="118">
        <f t="shared" si="32"/>
        <v>1204994.564835961</v>
      </c>
      <c r="W14" s="118">
        <f t="shared" si="32"/>
        <v>1120686.5249486675</v>
      </c>
      <c r="X14" s="118">
        <f t="shared" si="32"/>
        <v>1266301.523047016</v>
      </c>
      <c r="Y14" s="118">
        <f t="shared" si="32"/>
        <v>750551.87509619002</v>
      </c>
      <c r="Z14" s="118">
        <f t="shared" si="32"/>
        <v>582438.51509619015</v>
      </c>
      <c r="AA14" s="118">
        <f t="shared" si="32"/>
        <v>582281.01509619015</v>
      </c>
      <c r="AB14" s="118">
        <f t="shared" si="32"/>
        <v>561940.65659619006</v>
      </c>
      <c r="AC14" s="118">
        <f t="shared" si="32"/>
        <v>561940.65659619006</v>
      </c>
      <c r="AD14" s="118">
        <f t="shared" si="32"/>
        <v>561940.65659619006</v>
      </c>
      <c r="AE14" s="118">
        <f t="shared" si="32"/>
        <v>561783.15659619006</v>
      </c>
      <c r="AF14" s="118">
        <f t="shared" si="32"/>
        <v>561783.15659619006</v>
      </c>
      <c r="AG14" s="118">
        <f t="shared" si="32"/>
        <v>561783.15659619006</v>
      </c>
      <c r="AH14" s="118">
        <f t="shared" si="32"/>
        <v>561783.15659619006</v>
      </c>
      <c r="AI14" s="118">
        <f t="shared" si="32"/>
        <v>561783.15659619006</v>
      </c>
      <c r="AJ14" s="118">
        <f t="shared" si="32"/>
        <v>561783.15659619006</v>
      </c>
      <c r="AK14" s="118">
        <f t="shared" si="32"/>
        <v>561783.15659619006</v>
      </c>
      <c r="AL14" s="118">
        <f t="shared" si="32"/>
        <v>561783.15659619006</v>
      </c>
      <c r="AM14" s="118">
        <f t="shared" si="32"/>
        <v>561783.15659619006</v>
      </c>
      <c r="AN14" s="118">
        <f t="shared" si="32"/>
        <v>561783.15659619006</v>
      </c>
      <c r="AO14" s="118">
        <f t="shared" si="32"/>
        <v>561783.15659619006</v>
      </c>
      <c r="AP14" s="118">
        <f t="shared" si="32"/>
        <v>561783.15659619006</v>
      </c>
      <c r="AQ14" s="118">
        <f t="shared" si="32"/>
        <v>561783.15659619006</v>
      </c>
      <c r="AR14" s="118">
        <f t="shared" si="32"/>
        <v>561783.15659619006</v>
      </c>
      <c r="AS14" s="118">
        <f t="shared" si="32"/>
        <v>561783.15659619006</v>
      </c>
      <c r="AT14" s="118">
        <f t="shared" si="32"/>
        <v>561783.15659619006</v>
      </c>
      <c r="AU14" s="118">
        <f t="shared" si="32"/>
        <v>561783.15659619006</v>
      </c>
      <c r="AV14" s="118">
        <f t="shared" si="32"/>
        <v>561783.15659619006</v>
      </c>
      <c r="AW14" s="118">
        <f t="shared" si="32"/>
        <v>561783.15659619006</v>
      </c>
      <c r="AX14" s="118">
        <f t="shared" si="32"/>
        <v>561783.15659619006</v>
      </c>
      <c r="AY14" s="118">
        <f t="shared" si="32"/>
        <v>561783.15659619006</v>
      </c>
      <c r="AZ14" s="118">
        <f t="shared" si="32"/>
        <v>561783.15659619006</v>
      </c>
      <c r="BA14" s="118">
        <f t="shared" si="32"/>
        <v>561783.15659619006</v>
      </c>
      <c r="BB14" s="118">
        <f t="shared" si="32"/>
        <v>561783.15659619006</v>
      </c>
      <c r="BC14" s="118">
        <f t="shared" si="32"/>
        <v>561783.15659619006</v>
      </c>
      <c r="BD14" s="118">
        <f t="shared" si="32"/>
        <v>561783.15659619006</v>
      </c>
      <c r="BE14" s="118">
        <f t="shared" si="32"/>
        <v>561783.15659619006</v>
      </c>
      <c r="BF14" s="118">
        <f t="shared" si="32"/>
        <v>561783.15659619006</v>
      </c>
      <c r="BG14" s="118">
        <f t="shared" si="32"/>
        <v>561783.15659619006</v>
      </c>
      <c r="BH14" s="118">
        <f t="shared" si="32"/>
        <v>561783.15659619006</v>
      </c>
      <c r="BI14" s="118">
        <f t="shared" si="32"/>
        <v>561783.15659619006</v>
      </c>
      <c r="BJ14" s="118">
        <f t="shared" si="32"/>
        <v>561783.15659619006</v>
      </c>
      <c r="BK14" s="118">
        <f t="shared" si="32"/>
        <v>561783.15659619006</v>
      </c>
      <c r="BL14" s="118">
        <f t="shared" si="32"/>
        <v>561783.15659619006</v>
      </c>
      <c r="BM14" s="118">
        <f t="shared" si="32"/>
        <v>561783.15659619006</v>
      </c>
      <c r="BN14" s="118">
        <f t="shared" si="32"/>
        <v>561783.15659619006</v>
      </c>
      <c r="BO14" s="118">
        <f t="shared" si="32"/>
        <v>561783.15659619006</v>
      </c>
      <c r="BP14" s="118">
        <f t="shared" si="32"/>
        <v>561783.15659619006</v>
      </c>
      <c r="BQ14" s="118">
        <f t="shared" si="32"/>
        <v>561783.15659619006</v>
      </c>
      <c r="BR14" s="118">
        <f t="shared" si="32"/>
        <v>561783.15659619006</v>
      </c>
      <c r="BS14" s="118">
        <f t="shared" si="32"/>
        <v>561783.15659619006</v>
      </c>
      <c r="BT14" s="118">
        <f t="shared" si="32"/>
        <v>561783.15659619006</v>
      </c>
      <c r="BU14" s="118">
        <f t="shared" ref="BU14:EF14" si="33">BU10-BU12</f>
        <v>561783.15659619006</v>
      </c>
      <c r="BV14" s="118">
        <f t="shared" si="33"/>
        <v>561783.15659619006</v>
      </c>
      <c r="BW14" s="118">
        <f t="shared" si="33"/>
        <v>561783.15659619006</v>
      </c>
      <c r="BX14" s="118">
        <f t="shared" si="33"/>
        <v>561783.15659619006</v>
      </c>
      <c r="BY14" s="118">
        <f t="shared" si="33"/>
        <v>561783.15659619006</v>
      </c>
      <c r="BZ14" s="118">
        <f t="shared" si="33"/>
        <v>561783.15659619006</v>
      </c>
      <c r="CA14" s="118">
        <f t="shared" si="33"/>
        <v>561783.15659619006</v>
      </c>
      <c r="CB14" s="118">
        <f t="shared" si="33"/>
        <v>561783.15659619006</v>
      </c>
      <c r="CC14" s="118">
        <f t="shared" si="33"/>
        <v>561783.15659619006</v>
      </c>
      <c r="CD14" s="118">
        <f t="shared" si="33"/>
        <v>561783.15659619006</v>
      </c>
      <c r="CE14" s="118">
        <f t="shared" si="33"/>
        <v>561783.15659619006</v>
      </c>
      <c r="CF14" s="118">
        <f t="shared" si="33"/>
        <v>561783.15659619006</v>
      </c>
      <c r="CG14" s="118">
        <f t="shared" si="33"/>
        <v>561783.15659619006</v>
      </c>
      <c r="CH14" s="118">
        <f t="shared" si="33"/>
        <v>561783.15659619006</v>
      </c>
      <c r="CI14" s="118">
        <f t="shared" si="33"/>
        <v>561783.15659619006</v>
      </c>
      <c r="CJ14" s="118">
        <f t="shared" si="33"/>
        <v>561783.15659619006</v>
      </c>
      <c r="CK14" s="118">
        <f t="shared" si="33"/>
        <v>561783.15659619006</v>
      </c>
      <c r="CL14" s="118">
        <f t="shared" si="33"/>
        <v>561783.15659619006</v>
      </c>
      <c r="CM14" s="118">
        <f t="shared" si="33"/>
        <v>561783.15659619006</v>
      </c>
      <c r="CN14" s="118">
        <f t="shared" si="33"/>
        <v>561783.15659619006</v>
      </c>
      <c r="CO14" s="118">
        <f t="shared" si="33"/>
        <v>561783.15659619006</v>
      </c>
      <c r="CP14" s="118">
        <f t="shared" si="33"/>
        <v>561783.15659619006</v>
      </c>
      <c r="CQ14" s="118">
        <f t="shared" si="33"/>
        <v>561783.15659619006</v>
      </c>
      <c r="CR14" s="118">
        <f t="shared" si="33"/>
        <v>561783.15659619006</v>
      </c>
      <c r="CS14" s="118">
        <f t="shared" si="33"/>
        <v>561783.15659619006</v>
      </c>
      <c r="CT14" s="118">
        <f t="shared" si="33"/>
        <v>561783.15659619006</v>
      </c>
      <c r="CU14" s="118">
        <f t="shared" si="33"/>
        <v>561783.15659619006</v>
      </c>
      <c r="CV14" s="118">
        <f t="shared" si="33"/>
        <v>561783.15659619006</v>
      </c>
      <c r="CW14" s="118">
        <f t="shared" si="33"/>
        <v>561783.15659619006</v>
      </c>
      <c r="CX14" s="118">
        <f t="shared" si="33"/>
        <v>561783.15659619006</v>
      </c>
      <c r="CY14" s="118">
        <f t="shared" si="33"/>
        <v>561783.15659619006</v>
      </c>
      <c r="CZ14" s="118">
        <f t="shared" si="33"/>
        <v>561783.15659619006</v>
      </c>
      <c r="DA14" s="118">
        <f t="shared" si="33"/>
        <v>561783.15659619006</v>
      </c>
      <c r="DB14" s="118">
        <f t="shared" si="33"/>
        <v>561783.15659619006</v>
      </c>
      <c r="DC14" s="118">
        <f t="shared" si="33"/>
        <v>561783.15659619006</v>
      </c>
      <c r="DD14" s="118">
        <f t="shared" si="33"/>
        <v>561783.15659619006</v>
      </c>
      <c r="DE14" s="118">
        <f t="shared" si="33"/>
        <v>561783.15659619006</v>
      </c>
      <c r="DF14" s="118">
        <f t="shared" si="33"/>
        <v>561783.15659619006</v>
      </c>
      <c r="DG14" s="118">
        <f t="shared" si="33"/>
        <v>561783.15659619006</v>
      </c>
      <c r="DH14" s="118">
        <f t="shared" si="33"/>
        <v>561783.15659619006</v>
      </c>
      <c r="DI14" s="118">
        <f t="shared" si="33"/>
        <v>561783.15659619006</v>
      </c>
      <c r="DJ14" s="118">
        <f t="shared" si="33"/>
        <v>561783.15659619006</v>
      </c>
      <c r="DK14" s="118">
        <f t="shared" si="33"/>
        <v>561783.15659619006</v>
      </c>
      <c r="DL14" s="118">
        <f t="shared" si="33"/>
        <v>561783.15659619006</v>
      </c>
      <c r="DM14" s="118">
        <f t="shared" si="33"/>
        <v>561783.15659619006</v>
      </c>
      <c r="DN14" s="118">
        <f t="shared" si="33"/>
        <v>561783.15659619006</v>
      </c>
      <c r="DO14" s="118">
        <f t="shared" si="33"/>
        <v>561783.15659619006</v>
      </c>
      <c r="DP14" s="118">
        <f t="shared" si="33"/>
        <v>561783.15659619006</v>
      </c>
      <c r="DQ14" s="118">
        <f t="shared" si="33"/>
        <v>561783.15659619006</v>
      </c>
      <c r="DR14" s="118">
        <f t="shared" si="33"/>
        <v>561783.15659619006</v>
      </c>
      <c r="DS14" s="118">
        <f t="shared" si="33"/>
        <v>561783.15659619006</v>
      </c>
      <c r="DT14" s="118">
        <f t="shared" si="33"/>
        <v>561783.15659619006</v>
      </c>
      <c r="DU14" s="118">
        <f t="shared" si="33"/>
        <v>561783.15659619006</v>
      </c>
      <c r="DV14" s="118">
        <f t="shared" si="33"/>
        <v>561783.15659619006</v>
      </c>
      <c r="DW14" s="118">
        <f t="shared" si="33"/>
        <v>561783.15659619006</v>
      </c>
      <c r="DX14" s="118">
        <f t="shared" si="33"/>
        <v>561783.15659619006</v>
      </c>
      <c r="DY14" s="118">
        <f t="shared" si="33"/>
        <v>561783.15659619006</v>
      </c>
      <c r="DZ14" s="118">
        <f t="shared" si="33"/>
        <v>561783.15659619006</v>
      </c>
      <c r="EA14" s="118">
        <f t="shared" si="33"/>
        <v>561783.15659619006</v>
      </c>
      <c r="EB14" s="118">
        <f t="shared" si="33"/>
        <v>561783.15659619006</v>
      </c>
      <c r="EC14" s="118">
        <f t="shared" si="33"/>
        <v>561783.15659619006</v>
      </c>
      <c r="ED14" s="118">
        <f t="shared" si="33"/>
        <v>561783.15659619006</v>
      </c>
      <c r="EE14" s="118">
        <f t="shared" si="33"/>
        <v>561783.15659619006</v>
      </c>
      <c r="EF14" s="118">
        <f t="shared" si="33"/>
        <v>561783.15659619006</v>
      </c>
      <c r="EG14" s="118">
        <f t="shared" ref="EG14:GR14" si="34">EG10-EG12</f>
        <v>561783.15659619006</v>
      </c>
      <c r="EH14" s="118">
        <f t="shared" si="34"/>
        <v>561783.15659619006</v>
      </c>
      <c r="EI14" s="118">
        <f t="shared" si="34"/>
        <v>561783.15659619006</v>
      </c>
      <c r="EJ14" s="118">
        <f t="shared" si="34"/>
        <v>561783.15659619006</v>
      </c>
      <c r="EK14" s="118">
        <f t="shared" si="34"/>
        <v>561783.15659619006</v>
      </c>
      <c r="EL14" s="118">
        <f t="shared" si="34"/>
        <v>561783.15659619006</v>
      </c>
      <c r="EM14" s="118">
        <f t="shared" si="34"/>
        <v>561783.15659619006</v>
      </c>
      <c r="EN14" s="118">
        <f t="shared" si="34"/>
        <v>561783.15659619006</v>
      </c>
      <c r="EO14" s="118">
        <f t="shared" si="34"/>
        <v>561783.15659619006</v>
      </c>
      <c r="EP14" s="118">
        <f t="shared" si="34"/>
        <v>561783.15659619006</v>
      </c>
      <c r="EQ14" s="118">
        <f t="shared" si="34"/>
        <v>561783.15659619006</v>
      </c>
      <c r="ER14" s="118">
        <f t="shared" si="34"/>
        <v>561783.15659619006</v>
      </c>
      <c r="ES14" s="118">
        <f t="shared" si="34"/>
        <v>561783.15659619006</v>
      </c>
      <c r="ET14" s="118">
        <f t="shared" si="34"/>
        <v>561783.15659619006</v>
      </c>
      <c r="EU14" s="118">
        <f t="shared" si="34"/>
        <v>561783.15659619006</v>
      </c>
      <c r="EV14" s="118">
        <f t="shared" si="34"/>
        <v>561783.15659619006</v>
      </c>
      <c r="EW14" s="118">
        <f t="shared" si="34"/>
        <v>561783.15659619006</v>
      </c>
      <c r="EX14" s="118">
        <f t="shared" si="34"/>
        <v>561783.15659619006</v>
      </c>
      <c r="EY14" s="118">
        <f t="shared" si="34"/>
        <v>561783.15659619006</v>
      </c>
      <c r="EZ14" s="118">
        <f t="shared" si="34"/>
        <v>561783.15659619006</v>
      </c>
      <c r="FA14" s="118">
        <f t="shared" si="34"/>
        <v>561783.15659619006</v>
      </c>
      <c r="FB14" s="118">
        <f t="shared" si="34"/>
        <v>561783.15659619006</v>
      </c>
      <c r="FC14" s="118">
        <f t="shared" si="34"/>
        <v>561783.15659619006</v>
      </c>
      <c r="FD14" s="118">
        <f t="shared" si="34"/>
        <v>561783.15659619006</v>
      </c>
      <c r="FE14" s="118">
        <f t="shared" si="34"/>
        <v>561783.15659619006</v>
      </c>
      <c r="FF14" s="118">
        <f t="shared" si="34"/>
        <v>561783.15659619006</v>
      </c>
      <c r="FG14" s="118">
        <f t="shared" si="34"/>
        <v>561783.15659619006</v>
      </c>
      <c r="FH14" s="118">
        <f t="shared" si="34"/>
        <v>561783.15659619006</v>
      </c>
      <c r="FI14" s="118">
        <f t="shared" si="34"/>
        <v>561783.15659619006</v>
      </c>
      <c r="FJ14" s="118">
        <f t="shared" si="34"/>
        <v>561783.15659619006</v>
      </c>
      <c r="FK14" s="118">
        <f t="shared" si="34"/>
        <v>561783.15659619006</v>
      </c>
      <c r="FL14" s="118">
        <f t="shared" si="34"/>
        <v>561783.15659619006</v>
      </c>
      <c r="FM14" s="118">
        <f t="shared" si="34"/>
        <v>561783.15659619006</v>
      </c>
      <c r="FN14" s="118">
        <f t="shared" si="34"/>
        <v>561783.15659619006</v>
      </c>
      <c r="FO14" s="118">
        <f t="shared" si="34"/>
        <v>561783.15659619006</v>
      </c>
      <c r="FP14" s="118">
        <f t="shared" si="34"/>
        <v>561783.15659619006</v>
      </c>
      <c r="FQ14" s="118">
        <f t="shared" si="34"/>
        <v>561783.15659619006</v>
      </c>
      <c r="FR14" s="118">
        <f t="shared" si="34"/>
        <v>561783.15659619006</v>
      </c>
      <c r="FS14" s="118">
        <f t="shared" si="34"/>
        <v>561783.15659619006</v>
      </c>
      <c r="FT14" s="118">
        <f t="shared" si="34"/>
        <v>561783.15659619006</v>
      </c>
      <c r="FU14" s="118">
        <f t="shared" si="34"/>
        <v>561783.15659619006</v>
      </c>
      <c r="FV14" s="118">
        <f t="shared" si="34"/>
        <v>561783.15659619006</v>
      </c>
      <c r="FW14" s="118">
        <f t="shared" si="34"/>
        <v>561783.15659619006</v>
      </c>
      <c r="FX14" s="118">
        <f t="shared" si="34"/>
        <v>561783.15659619006</v>
      </c>
      <c r="FY14" s="118">
        <f t="shared" si="34"/>
        <v>561783.15659619006</v>
      </c>
      <c r="FZ14" s="118">
        <f t="shared" si="34"/>
        <v>561783.15659619006</v>
      </c>
      <c r="GA14" s="118">
        <f t="shared" si="34"/>
        <v>561783.15659619006</v>
      </c>
      <c r="GB14" s="118">
        <f t="shared" si="34"/>
        <v>561783.15659619006</v>
      </c>
      <c r="GC14" s="118">
        <f t="shared" si="34"/>
        <v>561783.15659619006</v>
      </c>
      <c r="GD14" s="118">
        <f t="shared" si="34"/>
        <v>561783.15659619006</v>
      </c>
      <c r="GE14" s="118">
        <f t="shared" si="34"/>
        <v>561783.15659619006</v>
      </c>
      <c r="GF14" s="118">
        <f t="shared" si="34"/>
        <v>561783.15659619006</v>
      </c>
      <c r="GG14" s="118">
        <f t="shared" si="34"/>
        <v>561783.15659619006</v>
      </c>
      <c r="GH14" s="118">
        <f t="shared" si="34"/>
        <v>561783.15659619006</v>
      </c>
      <c r="GI14" s="118">
        <f t="shared" si="34"/>
        <v>561783.15659619006</v>
      </c>
      <c r="GJ14" s="118">
        <f t="shared" si="34"/>
        <v>561783.15659619006</v>
      </c>
      <c r="GK14" s="118">
        <f t="shared" si="34"/>
        <v>561783.15659619006</v>
      </c>
      <c r="GL14" s="118">
        <f t="shared" si="34"/>
        <v>561783.15659619006</v>
      </c>
      <c r="GM14" s="118">
        <f t="shared" si="34"/>
        <v>561783.15659619006</v>
      </c>
      <c r="GN14" s="118">
        <f t="shared" si="34"/>
        <v>561783.15659619006</v>
      </c>
      <c r="GO14" s="118">
        <f t="shared" si="34"/>
        <v>561783.15659619006</v>
      </c>
      <c r="GP14" s="118">
        <f t="shared" si="34"/>
        <v>561783.15659619006</v>
      </c>
      <c r="GQ14" s="118">
        <f t="shared" si="34"/>
        <v>561783.15659619006</v>
      </c>
      <c r="GR14" s="118">
        <f t="shared" si="34"/>
        <v>561783.15659619006</v>
      </c>
      <c r="GS14" s="118">
        <f t="shared" ref="GS14:JD14" si="35">GS10-GS12</f>
        <v>561783.15659619006</v>
      </c>
      <c r="GT14" s="118">
        <f t="shared" si="35"/>
        <v>561783.15659619006</v>
      </c>
      <c r="GU14" s="118">
        <f t="shared" si="35"/>
        <v>561783.15659619006</v>
      </c>
      <c r="GV14" s="118">
        <f t="shared" si="35"/>
        <v>561783.15659619006</v>
      </c>
      <c r="GW14" s="118">
        <f t="shared" si="35"/>
        <v>561783.15659619006</v>
      </c>
      <c r="GX14" s="118">
        <f t="shared" si="35"/>
        <v>561783.15659619006</v>
      </c>
      <c r="GY14" s="118">
        <f t="shared" si="35"/>
        <v>561783.15659619006</v>
      </c>
      <c r="GZ14" s="118">
        <f t="shared" si="35"/>
        <v>561783.15659619006</v>
      </c>
      <c r="HA14" s="118">
        <f t="shared" si="35"/>
        <v>561783.15659619006</v>
      </c>
      <c r="HB14" s="118">
        <f t="shared" si="35"/>
        <v>561783.15659619006</v>
      </c>
      <c r="HC14" s="118">
        <f t="shared" si="35"/>
        <v>561783.15659619006</v>
      </c>
      <c r="HD14" s="118">
        <f t="shared" si="35"/>
        <v>561783.15659619006</v>
      </c>
      <c r="HE14" s="118">
        <f t="shared" si="35"/>
        <v>561783.15659619006</v>
      </c>
      <c r="HF14" s="118">
        <f t="shared" si="35"/>
        <v>561783.15659619006</v>
      </c>
      <c r="HG14" s="118">
        <f t="shared" si="35"/>
        <v>561783.15659619006</v>
      </c>
      <c r="HH14" s="118">
        <f t="shared" si="35"/>
        <v>561783.15659619006</v>
      </c>
      <c r="HI14" s="118">
        <f t="shared" si="35"/>
        <v>561783.15659619006</v>
      </c>
      <c r="HJ14" s="118">
        <f t="shared" si="35"/>
        <v>561783.15659619006</v>
      </c>
      <c r="HK14" s="118">
        <f t="shared" si="35"/>
        <v>561783.15659619006</v>
      </c>
      <c r="HL14" s="118">
        <f t="shared" si="35"/>
        <v>561783.15659619006</v>
      </c>
      <c r="HM14" s="118">
        <f t="shared" si="35"/>
        <v>561783.15659619006</v>
      </c>
      <c r="HN14" s="118">
        <f t="shared" si="35"/>
        <v>561783.15659619006</v>
      </c>
      <c r="HO14" s="118">
        <f t="shared" si="35"/>
        <v>561783.15659619006</v>
      </c>
      <c r="HP14" s="118">
        <f t="shared" si="35"/>
        <v>561783.15659619006</v>
      </c>
      <c r="HQ14" s="118">
        <f t="shared" si="35"/>
        <v>561783.15659619006</v>
      </c>
      <c r="HR14" s="118">
        <f t="shared" si="35"/>
        <v>561783.15659619006</v>
      </c>
      <c r="HS14" s="118">
        <f t="shared" si="35"/>
        <v>561783.15659619006</v>
      </c>
      <c r="HT14" s="118">
        <f t="shared" si="35"/>
        <v>561783.15659619006</v>
      </c>
      <c r="HU14" s="118">
        <f t="shared" si="35"/>
        <v>561783.15659619006</v>
      </c>
      <c r="HV14" s="118">
        <f t="shared" si="35"/>
        <v>561783.15659619006</v>
      </c>
      <c r="HW14" s="118">
        <f t="shared" si="35"/>
        <v>561783.15659619006</v>
      </c>
      <c r="HX14" s="118">
        <f t="shared" si="35"/>
        <v>561783.15659619006</v>
      </c>
      <c r="HY14" s="118">
        <f t="shared" si="35"/>
        <v>561783.15659619006</v>
      </c>
      <c r="HZ14" s="118">
        <f t="shared" si="35"/>
        <v>561783.15659619006</v>
      </c>
      <c r="IA14" s="118">
        <f t="shared" si="35"/>
        <v>561783.15659619006</v>
      </c>
      <c r="IB14" s="118">
        <f t="shared" si="35"/>
        <v>561783.15659619006</v>
      </c>
      <c r="IC14" s="118">
        <f t="shared" si="35"/>
        <v>561783.15659619006</v>
      </c>
      <c r="ID14" s="118">
        <f t="shared" si="35"/>
        <v>561783.15659619006</v>
      </c>
      <c r="IE14" s="118">
        <f t="shared" si="35"/>
        <v>561783.15659619006</v>
      </c>
      <c r="IF14" s="118">
        <f t="shared" si="35"/>
        <v>561783.15659619006</v>
      </c>
      <c r="IG14" s="118">
        <f t="shared" si="35"/>
        <v>561783.15659619006</v>
      </c>
      <c r="IH14" s="118">
        <f t="shared" si="35"/>
        <v>561783.15659619006</v>
      </c>
      <c r="II14" s="118">
        <f t="shared" si="35"/>
        <v>561783.15659619006</v>
      </c>
      <c r="IJ14" s="118">
        <f t="shared" si="35"/>
        <v>561783.15659619006</v>
      </c>
      <c r="IK14" s="118">
        <f t="shared" si="35"/>
        <v>561783.15659619006</v>
      </c>
      <c r="IL14" s="118">
        <f t="shared" si="35"/>
        <v>561783.15659619006</v>
      </c>
      <c r="IM14" s="118">
        <f t="shared" si="35"/>
        <v>561783.15659619006</v>
      </c>
      <c r="IN14" s="118">
        <f t="shared" si="35"/>
        <v>561783.15659619006</v>
      </c>
      <c r="IO14" s="118">
        <f t="shared" si="35"/>
        <v>561783.15659619006</v>
      </c>
      <c r="IP14" s="118">
        <f t="shared" si="35"/>
        <v>561783.15659619006</v>
      </c>
      <c r="IQ14" s="118">
        <f t="shared" si="35"/>
        <v>561783.15659619006</v>
      </c>
      <c r="IR14" s="118">
        <f t="shared" si="35"/>
        <v>561783.15659619006</v>
      </c>
      <c r="IS14" s="118">
        <f t="shared" si="35"/>
        <v>561783.15659619006</v>
      </c>
      <c r="IT14" s="118">
        <f t="shared" si="35"/>
        <v>561783.15659619006</v>
      </c>
      <c r="IU14" s="118">
        <f t="shared" si="35"/>
        <v>561783.15659619006</v>
      </c>
      <c r="IV14" s="118">
        <f t="shared" si="35"/>
        <v>561783.15659619006</v>
      </c>
      <c r="IW14" s="118">
        <f t="shared" si="35"/>
        <v>561783.15659619006</v>
      </c>
      <c r="IX14" s="118">
        <f t="shared" si="35"/>
        <v>561783.15659619006</v>
      </c>
      <c r="IY14" s="118">
        <f t="shared" si="35"/>
        <v>561783.15659619006</v>
      </c>
      <c r="IZ14" s="118">
        <f t="shared" si="35"/>
        <v>561783.15659619006</v>
      </c>
      <c r="JA14" s="118">
        <f t="shared" si="35"/>
        <v>561783.15659619006</v>
      </c>
      <c r="JB14" s="118">
        <f t="shared" si="35"/>
        <v>561783.15659619006</v>
      </c>
      <c r="JC14" s="118">
        <f t="shared" si="35"/>
        <v>561783.15659619006</v>
      </c>
      <c r="JD14" s="118">
        <f t="shared" si="35"/>
        <v>561783.15659619006</v>
      </c>
      <c r="JE14" s="118">
        <f t="shared" ref="JE14:KF14" si="36">JE10-JE12</f>
        <v>561783.15659619006</v>
      </c>
      <c r="JF14" s="118">
        <f t="shared" si="36"/>
        <v>561783.15659619006</v>
      </c>
      <c r="JG14" s="118">
        <f t="shared" si="36"/>
        <v>561783.15659619006</v>
      </c>
      <c r="JH14" s="118">
        <f t="shared" si="36"/>
        <v>561783.15659619006</v>
      </c>
      <c r="JI14" s="118">
        <f t="shared" si="36"/>
        <v>561783.15659619006</v>
      </c>
      <c r="JJ14" s="118">
        <f t="shared" si="36"/>
        <v>561783.15659619006</v>
      </c>
      <c r="JK14" s="118">
        <f t="shared" si="36"/>
        <v>561783.15659619006</v>
      </c>
      <c r="JL14" s="118">
        <f t="shared" si="36"/>
        <v>561783.15659619006</v>
      </c>
      <c r="JM14" s="118">
        <f t="shared" si="36"/>
        <v>561783.15659619006</v>
      </c>
      <c r="JN14" s="118">
        <f t="shared" si="36"/>
        <v>561783.15659619006</v>
      </c>
      <c r="JO14" s="118">
        <f t="shared" si="36"/>
        <v>561783.15659619006</v>
      </c>
      <c r="JP14" s="118">
        <f t="shared" si="36"/>
        <v>561783.15659619006</v>
      </c>
      <c r="JQ14" s="118">
        <f t="shared" si="36"/>
        <v>561783.15659619006</v>
      </c>
      <c r="JR14" s="118">
        <f t="shared" si="36"/>
        <v>561783.15659619006</v>
      </c>
      <c r="JS14" s="118">
        <f t="shared" si="36"/>
        <v>561783.15659619006</v>
      </c>
      <c r="JT14" s="118">
        <f t="shared" si="36"/>
        <v>561783.15659619006</v>
      </c>
      <c r="JU14" s="118">
        <f t="shared" si="36"/>
        <v>561783.15659619006</v>
      </c>
      <c r="JV14" s="118">
        <f t="shared" si="36"/>
        <v>561783.15659619006</v>
      </c>
      <c r="JW14" s="118">
        <f t="shared" si="36"/>
        <v>561783.15659619006</v>
      </c>
      <c r="JX14" s="118">
        <f t="shared" si="36"/>
        <v>561783.15659619006</v>
      </c>
      <c r="JY14" s="118">
        <f t="shared" si="36"/>
        <v>561783.15659619006</v>
      </c>
      <c r="JZ14" s="118">
        <f t="shared" si="36"/>
        <v>561783.15659619006</v>
      </c>
      <c r="KA14" s="118">
        <f t="shared" si="36"/>
        <v>561783.15659619006</v>
      </c>
      <c r="KB14" s="118">
        <f t="shared" si="36"/>
        <v>561783.15659619006</v>
      </c>
      <c r="KC14" s="118">
        <f t="shared" si="36"/>
        <v>561783.15659619006</v>
      </c>
      <c r="KD14" s="118">
        <f t="shared" si="36"/>
        <v>561783.15659619006</v>
      </c>
      <c r="KE14" s="118">
        <f t="shared" si="36"/>
        <v>561783.15659619006</v>
      </c>
      <c r="KF14" s="118">
        <f t="shared" si="36"/>
        <v>561783.15659619006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40"/>
      <c r="B17" s="106" t="s">
        <v>417</v>
      </c>
      <c r="C17" s="275">
        <f>C3-D17</f>
        <v>-110100.97042410448</v>
      </c>
      <c r="D17" s="107">
        <f>SUM(F17:KF17)</f>
        <v>1973058.1214075882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10023.648349049632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0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1097183.2425364312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549022.048646966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293563.18874192436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23265.99313321682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0"/>
      <c r="B18" s="106" t="s">
        <v>418</v>
      </c>
      <c r="C18" s="275">
        <f>D17-D18</f>
        <v>0</v>
      </c>
      <c r="D18" s="107">
        <f>MAX(F18:KF18)</f>
        <v>1973058.1214075882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1656228.9395324469</v>
      </c>
      <c r="V18" s="125">
        <f t="shared" si="37"/>
        <v>1656228.9395324469</v>
      </c>
      <c r="W18" s="125">
        <f t="shared" si="37"/>
        <v>1656228.9395324469</v>
      </c>
      <c r="X18" s="125">
        <f t="shared" si="37"/>
        <v>1656228.9395324469</v>
      </c>
      <c r="Y18" s="125">
        <f t="shared" si="37"/>
        <v>1656228.9395324469</v>
      </c>
      <c r="Z18" s="125">
        <f t="shared" si="37"/>
        <v>1949792.1282743714</v>
      </c>
      <c r="AA18" s="125">
        <f t="shared" si="37"/>
        <v>1949792.1282743714</v>
      </c>
      <c r="AB18" s="125">
        <f t="shared" si="37"/>
        <v>1949792.1282743714</v>
      </c>
      <c r="AC18" s="125">
        <f t="shared" si="37"/>
        <v>1949792.1282743714</v>
      </c>
      <c r="AD18" s="125">
        <f>AC18+AD17</f>
        <v>1973058.1214075882</v>
      </c>
      <c r="AE18" s="125">
        <f t="shared" si="37"/>
        <v>1973058.1214075882</v>
      </c>
      <c r="AF18" s="125">
        <f t="shared" si="37"/>
        <v>1973058.1214075882</v>
      </c>
      <c r="AG18" s="125">
        <f t="shared" si="37"/>
        <v>1973058.1214075882</v>
      </c>
      <c r="AH18" s="125">
        <f t="shared" si="37"/>
        <v>1973058.1214075882</v>
      </c>
      <c r="AI18" s="125">
        <f t="shared" si="37"/>
        <v>1973058.1214075882</v>
      </c>
      <c r="AJ18" s="125">
        <f t="shared" si="37"/>
        <v>1973058.1214075882</v>
      </c>
      <c r="AK18" s="125">
        <f t="shared" si="37"/>
        <v>1973058.1214075882</v>
      </c>
      <c r="AL18" s="125">
        <f t="shared" si="37"/>
        <v>1973058.1214075882</v>
      </c>
      <c r="AM18" s="125">
        <f t="shared" si="37"/>
        <v>1973058.1214075882</v>
      </c>
      <c r="AN18" s="125">
        <f t="shared" si="37"/>
        <v>1973058.1214075882</v>
      </c>
      <c r="AO18" s="125">
        <f t="shared" si="37"/>
        <v>1973058.1214075882</v>
      </c>
      <c r="AP18" s="125">
        <f t="shared" si="37"/>
        <v>1973058.1214075882</v>
      </c>
      <c r="AQ18" s="125">
        <f t="shared" si="37"/>
        <v>1973058.1214075882</v>
      </c>
      <c r="AR18" s="125">
        <f t="shared" si="37"/>
        <v>1973058.1214075882</v>
      </c>
      <c r="AS18" s="125">
        <f t="shared" si="37"/>
        <v>1973058.1214075882</v>
      </c>
      <c r="AT18" s="125">
        <f t="shared" si="37"/>
        <v>1973058.1214075882</v>
      </c>
      <c r="AU18" s="125">
        <f t="shared" si="37"/>
        <v>1973058.1214075882</v>
      </c>
      <c r="AV18" s="125">
        <f t="shared" si="37"/>
        <v>1973058.1214075882</v>
      </c>
      <c r="AW18" s="125">
        <f t="shared" si="37"/>
        <v>1973058.1214075882</v>
      </c>
      <c r="AX18" s="125">
        <f t="shared" si="37"/>
        <v>1973058.1214075882</v>
      </c>
      <c r="AY18" s="125">
        <f t="shared" si="37"/>
        <v>1973058.1214075882</v>
      </c>
      <c r="AZ18" s="125">
        <f t="shared" si="37"/>
        <v>1973058.1214075882</v>
      </c>
      <c r="BA18" s="125">
        <f t="shared" si="37"/>
        <v>1973058.1214075882</v>
      </c>
      <c r="BB18" s="125">
        <f t="shared" si="37"/>
        <v>1973058.1214075882</v>
      </c>
      <c r="BC18" s="125">
        <f t="shared" si="37"/>
        <v>1973058.1214075882</v>
      </c>
      <c r="BD18" s="125">
        <f t="shared" si="37"/>
        <v>1973058.1214075882</v>
      </c>
      <c r="BE18" s="125">
        <f t="shared" si="37"/>
        <v>1973058.1214075882</v>
      </c>
      <c r="BF18" s="125">
        <f t="shared" si="37"/>
        <v>1973058.1214075882</v>
      </c>
      <c r="BG18" s="125">
        <f t="shared" si="37"/>
        <v>1973058.1214075882</v>
      </c>
      <c r="BH18" s="125">
        <f t="shared" si="37"/>
        <v>1973058.1214075882</v>
      </c>
      <c r="BI18" s="125">
        <f t="shared" si="37"/>
        <v>1973058.1214075882</v>
      </c>
      <c r="BJ18" s="125">
        <f t="shared" si="37"/>
        <v>1973058.1214075882</v>
      </c>
      <c r="BK18" s="125">
        <f t="shared" si="37"/>
        <v>1973058.1214075882</v>
      </c>
      <c r="BL18" s="125">
        <f t="shared" si="37"/>
        <v>1973058.1214075882</v>
      </c>
      <c r="BM18" s="125">
        <f t="shared" si="37"/>
        <v>1973058.1214075882</v>
      </c>
      <c r="BN18" s="125">
        <f t="shared" si="37"/>
        <v>1973058.1214075882</v>
      </c>
      <c r="BO18" s="125">
        <f t="shared" si="37"/>
        <v>1973058.1214075882</v>
      </c>
      <c r="BP18" s="125">
        <f t="shared" si="37"/>
        <v>1973058.1214075882</v>
      </c>
      <c r="BQ18" s="125">
        <f t="shared" si="37"/>
        <v>1973058.1214075882</v>
      </c>
      <c r="BR18" s="125">
        <f t="shared" si="37"/>
        <v>1973058.1214075882</v>
      </c>
      <c r="BS18" s="125">
        <f t="shared" si="37"/>
        <v>1973058.1214075882</v>
      </c>
      <c r="BT18" s="125">
        <f t="shared" si="37"/>
        <v>1973058.1214075882</v>
      </c>
      <c r="BU18" s="125">
        <f t="shared" ref="BU18:EF18" si="38">BT18+BU17</f>
        <v>1973058.1214075882</v>
      </c>
      <c r="BV18" s="125">
        <f t="shared" si="38"/>
        <v>1973058.1214075882</v>
      </c>
      <c r="BW18" s="125">
        <f t="shared" si="38"/>
        <v>1973058.1214075882</v>
      </c>
      <c r="BX18" s="125">
        <f t="shared" si="38"/>
        <v>1973058.1214075882</v>
      </c>
      <c r="BY18" s="125">
        <f t="shared" si="38"/>
        <v>1973058.1214075882</v>
      </c>
      <c r="BZ18" s="125">
        <f t="shared" si="38"/>
        <v>1973058.1214075882</v>
      </c>
      <c r="CA18" s="125">
        <f t="shared" si="38"/>
        <v>1973058.1214075882</v>
      </c>
      <c r="CB18" s="125">
        <f t="shared" si="38"/>
        <v>1973058.1214075882</v>
      </c>
      <c r="CC18" s="125">
        <f t="shared" si="38"/>
        <v>1973058.1214075882</v>
      </c>
      <c r="CD18" s="125">
        <f t="shared" si="38"/>
        <v>1973058.1214075882</v>
      </c>
      <c r="CE18" s="125">
        <f t="shared" si="38"/>
        <v>1973058.1214075882</v>
      </c>
      <c r="CF18" s="125">
        <f t="shared" si="38"/>
        <v>1973058.1214075882</v>
      </c>
      <c r="CG18" s="125">
        <f t="shared" si="38"/>
        <v>1973058.1214075882</v>
      </c>
      <c r="CH18" s="125">
        <f t="shared" si="38"/>
        <v>1973058.1214075882</v>
      </c>
      <c r="CI18" s="125">
        <f t="shared" si="38"/>
        <v>1973058.1214075882</v>
      </c>
      <c r="CJ18" s="125">
        <f t="shared" si="38"/>
        <v>1973058.1214075882</v>
      </c>
      <c r="CK18" s="125">
        <f t="shared" si="38"/>
        <v>1973058.1214075882</v>
      </c>
      <c r="CL18" s="125">
        <f t="shared" si="38"/>
        <v>1973058.1214075882</v>
      </c>
      <c r="CM18" s="125">
        <f t="shared" si="38"/>
        <v>1973058.1214075882</v>
      </c>
      <c r="CN18" s="125">
        <f t="shared" si="38"/>
        <v>1973058.1214075882</v>
      </c>
      <c r="CO18" s="125">
        <f t="shared" si="38"/>
        <v>1973058.1214075882</v>
      </c>
      <c r="CP18" s="125">
        <f t="shared" si="38"/>
        <v>1973058.1214075882</v>
      </c>
      <c r="CQ18" s="125">
        <f t="shared" si="38"/>
        <v>1973058.1214075882</v>
      </c>
      <c r="CR18" s="125">
        <f t="shared" si="38"/>
        <v>1973058.1214075882</v>
      </c>
      <c r="CS18" s="125">
        <f t="shared" si="38"/>
        <v>1973058.1214075882</v>
      </c>
      <c r="CT18" s="125">
        <f t="shared" si="38"/>
        <v>1973058.1214075882</v>
      </c>
      <c r="CU18" s="125">
        <f t="shared" si="38"/>
        <v>1973058.1214075882</v>
      </c>
      <c r="CV18" s="125">
        <f t="shared" si="38"/>
        <v>1973058.1214075882</v>
      </c>
      <c r="CW18" s="125">
        <f t="shared" si="38"/>
        <v>1973058.1214075882</v>
      </c>
      <c r="CX18" s="125">
        <f t="shared" si="38"/>
        <v>1973058.1214075882</v>
      </c>
      <c r="CY18" s="125">
        <f t="shared" si="38"/>
        <v>1973058.1214075882</v>
      </c>
      <c r="CZ18" s="125">
        <f t="shared" si="38"/>
        <v>1973058.1214075882</v>
      </c>
      <c r="DA18" s="125">
        <f t="shared" si="38"/>
        <v>1973058.1214075882</v>
      </c>
      <c r="DB18" s="125">
        <f t="shared" si="38"/>
        <v>1973058.1214075882</v>
      </c>
      <c r="DC18" s="125">
        <f t="shared" si="38"/>
        <v>1973058.1214075882</v>
      </c>
      <c r="DD18" s="125">
        <f t="shared" si="38"/>
        <v>1973058.1214075882</v>
      </c>
      <c r="DE18" s="125">
        <f t="shared" si="38"/>
        <v>1973058.1214075882</v>
      </c>
      <c r="DF18" s="125">
        <f t="shared" si="38"/>
        <v>1973058.1214075882</v>
      </c>
      <c r="DG18" s="125">
        <f t="shared" si="38"/>
        <v>1973058.1214075882</v>
      </c>
      <c r="DH18" s="125">
        <f t="shared" si="38"/>
        <v>1973058.1214075882</v>
      </c>
      <c r="DI18" s="125">
        <f t="shared" si="38"/>
        <v>1973058.1214075882</v>
      </c>
      <c r="DJ18" s="125">
        <f t="shared" si="38"/>
        <v>1973058.1214075882</v>
      </c>
      <c r="DK18" s="125">
        <f t="shared" si="38"/>
        <v>1973058.1214075882</v>
      </c>
      <c r="DL18" s="125">
        <f t="shared" si="38"/>
        <v>1973058.1214075882</v>
      </c>
      <c r="DM18" s="125">
        <f t="shared" si="38"/>
        <v>1973058.1214075882</v>
      </c>
      <c r="DN18" s="125">
        <f t="shared" si="38"/>
        <v>1973058.1214075882</v>
      </c>
      <c r="DO18" s="125">
        <f t="shared" si="38"/>
        <v>1973058.1214075882</v>
      </c>
      <c r="DP18" s="125">
        <f t="shared" si="38"/>
        <v>1973058.1214075882</v>
      </c>
      <c r="DQ18" s="125">
        <f t="shared" si="38"/>
        <v>1973058.1214075882</v>
      </c>
      <c r="DR18" s="125">
        <f t="shared" si="38"/>
        <v>1973058.1214075882</v>
      </c>
      <c r="DS18" s="125">
        <f t="shared" si="38"/>
        <v>1973058.1214075882</v>
      </c>
      <c r="DT18" s="125">
        <f t="shared" si="38"/>
        <v>1973058.1214075882</v>
      </c>
      <c r="DU18" s="125">
        <f t="shared" si="38"/>
        <v>1973058.1214075882</v>
      </c>
      <c r="DV18" s="125">
        <f t="shared" si="38"/>
        <v>1973058.1214075882</v>
      </c>
      <c r="DW18" s="125">
        <f t="shared" si="38"/>
        <v>1973058.1214075882</v>
      </c>
      <c r="DX18" s="125">
        <f t="shared" si="38"/>
        <v>1973058.1214075882</v>
      </c>
      <c r="DY18" s="125">
        <f t="shared" si="38"/>
        <v>1973058.1214075882</v>
      </c>
      <c r="DZ18" s="125">
        <f t="shared" si="38"/>
        <v>1973058.1214075882</v>
      </c>
      <c r="EA18" s="125">
        <f t="shared" si="38"/>
        <v>1973058.1214075882</v>
      </c>
      <c r="EB18" s="125">
        <f t="shared" si="38"/>
        <v>1973058.1214075882</v>
      </c>
      <c r="EC18" s="125">
        <f t="shared" si="38"/>
        <v>1973058.1214075882</v>
      </c>
      <c r="ED18" s="125">
        <f t="shared" si="38"/>
        <v>1973058.1214075882</v>
      </c>
      <c r="EE18" s="125">
        <f t="shared" si="38"/>
        <v>1973058.1214075882</v>
      </c>
      <c r="EF18" s="125">
        <f t="shared" si="38"/>
        <v>1973058.1214075882</v>
      </c>
      <c r="EG18" s="125">
        <f t="shared" ref="EG18:GR18" si="39">EF18+EG17</f>
        <v>1973058.1214075882</v>
      </c>
      <c r="EH18" s="125">
        <f t="shared" si="39"/>
        <v>1973058.1214075882</v>
      </c>
      <c r="EI18" s="125">
        <f t="shared" si="39"/>
        <v>1973058.1214075882</v>
      </c>
      <c r="EJ18" s="125">
        <f t="shared" si="39"/>
        <v>1973058.1214075882</v>
      </c>
      <c r="EK18" s="125">
        <f t="shared" si="39"/>
        <v>1973058.1214075882</v>
      </c>
      <c r="EL18" s="125">
        <f t="shared" si="39"/>
        <v>1973058.1214075882</v>
      </c>
      <c r="EM18" s="125">
        <f t="shared" si="39"/>
        <v>1973058.1214075882</v>
      </c>
      <c r="EN18" s="125">
        <f t="shared" si="39"/>
        <v>1973058.1214075882</v>
      </c>
      <c r="EO18" s="125">
        <f t="shared" si="39"/>
        <v>1973058.1214075882</v>
      </c>
      <c r="EP18" s="125">
        <f t="shared" si="39"/>
        <v>1973058.1214075882</v>
      </c>
      <c r="EQ18" s="125">
        <f t="shared" si="39"/>
        <v>1973058.1214075882</v>
      </c>
      <c r="ER18" s="125">
        <f t="shared" si="39"/>
        <v>1973058.1214075882</v>
      </c>
      <c r="ES18" s="125">
        <f t="shared" si="39"/>
        <v>1973058.1214075882</v>
      </c>
      <c r="ET18" s="125">
        <f t="shared" si="39"/>
        <v>1973058.1214075882</v>
      </c>
      <c r="EU18" s="125">
        <f t="shared" si="39"/>
        <v>1973058.1214075882</v>
      </c>
      <c r="EV18" s="125">
        <f t="shared" si="39"/>
        <v>1973058.1214075882</v>
      </c>
      <c r="EW18" s="125">
        <f t="shared" si="39"/>
        <v>1973058.1214075882</v>
      </c>
      <c r="EX18" s="125">
        <f t="shared" si="39"/>
        <v>1973058.1214075882</v>
      </c>
      <c r="EY18" s="125">
        <f t="shared" si="39"/>
        <v>1973058.1214075882</v>
      </c>
      <c r="EZ18" s="125">
        <f t="shared" si="39"/>
        <v>1973058.1214075882</v>
      </c>
      <c r="FA18" s="125">
        <f t="shared" si="39"/>
        <v>1973058.1214075882</v>
      </c>
      <c r="FB18" s="125">
        <f t="shared" si="39"/>
        <v>1973058.1214075882</v>
      </c>
      <c r="FC18" s="125">
        <f t="shared" si="39"/>
        <v>1973058.1214075882</v>
      </c>
      <c r="FD18" s="125">
        <f t="shared" si="39"/>
        <v>1973058.1214075882</v>
      </c>
      <c r="FE18" s="125">
        <f t="shared" si="39"/>
        <v>1973058.1214075882</v>
      </c>
      <c r="FF18" s="125">
        <f t="shared" si="39"/>
        <v>1973058.1214075882</v>
      </c>
      <c r="FG18" s="125">
        <f t="shared" si="39"/>
        <v>1973058.1214075882</v>
      </c>
      <c r="FH18" s="125">
        <f t="shared" si="39"/>
        <v>1973058.1214075882</v>
      </c>
      <c r="FI18" s="125">
        <f t="shared" si="39"/>
        <v>1973058.1214075882</v>
      </c>
      <c r="FJ18" s="125">
        <f t="shared" si="39"/>
        <v>1973058.1214075882</v>
      </c>
      <c r="FK18" s="125">
        <f t="shared" si="39"/>
        <v>1973058.1214075882</v>
      </c>
      <c r="FL18" s="125">
        <f t="shared" si="39"/>
        <v>1973058.1214075882</v>
      </c>
      <c r="FM18" s="125">
        <f t="shared" si="39"/>
        <v>1973058.1214075882</v>
      </c>
      <c r="FN18" s="125">
        <f t="shared" si="39"/>
        <v>1973058.1214075882</v>
      </c>
      <c r="FO18" s="125">
        <f t="shared" si="39"/>
        <v>1973058.1214075882</v>
      </c>
      <c r="FP18" s="125">
        <f t="shared" si="39"/>
        <v>1973058.1214075882</v>
      </c>
      <c r="FQ18" s="125">
        <f t="shared" si="39"/>
        <v>1973058.1214075882</v>
      </c>
      <c r="FR18" s="125">
        <f t="shared" si="39"/>
        <v>1973058.1214075882</v>
      </c>
      <c r="FS18" s="125">
        <f t="shared" si="39"/>
        <v>1973058.1214075882</v>
      </c>
      <c r="FT18" s="125">
        <f t="shared" si="39"/>
        <v>1973058.1214075882</v>
      </c>
      <c r="FU18" s="125">
        <f t="shared" si="39"/>
        <v>1973058.1214075882</v>
      </c>
      <c r="FV18" s="125">
        <f t="shared" si="39"/>
        <v>1973058.1214075882</v>
      </c>
      <c r="FW18" s="125">
        <f t="shared" si="39"/>
        <v>1973058.1214075882</v>
      </c>
      <c r="FX18" s="125">
        <f t="shared" si="39"/>
        <v>1973058.1214075882</v>
      </c>
      <c r="FY18" s="125">
        <f t="shared" si="39"/>
        <v>1973058.1214075882</v>
      </c>
      <c r="FZ18" s="125">
        <f t="shared" si="39"/>
        <v>1973058.1214075882</v>
      </c>
      <c r="GA18" s="125">
        <f t="shared" si="39"/>
        <v>1973058.1214075882</v>
      </c>
      <c r="GB18" s="125">
        <f t="shared" si="39"/>
        <v>1973058.1214075882</v>
      </c>
      <c r="GC18" s="125">
        <f t="shared" si="39"/>
        <v>1973058.1214075882</v>
      </c>
      <c r="GD18" s="125">
        <f t="shared" si="39"/>
        <v>1973058.1214075882</v>
      </c>
      <c r="GE18" s="125">
        <f t="shared" si="39"/>
        <v>1973058.1214075882</v>
      </c>
      <c r="GF18" s="125">
        <f t="shared" si="39"/>
        <v>1973058.1214075882</v>
      </c>
      <c r="GG18" s="125">
        <f t="shared" si="39"/>
        <v>1973058.1214075882</v>
      </c>
      <c r="GH18" s="125">
        <f t="shared" si="39"/>
        <v>1973058.1214075882</v>
      </c>
      <c r="GI18" s="125">
        <f t="shared" si="39"/>
        <v>1973058.1214075882</v>
      </c>
      <c r="GJ18" s="125">
        <f t="shared" si="39"/>
        <v>1973058.1214075882</v>
      </c>
      <c r="GK18" s="125">
        <f t="shared" si="39"/>
        <v>1973058.1214075882</v>
      </c>
      <c r="GL18" s="125">
        <f t="shared" si="39"/>
        <v>1973058.1214075882</v>
      </c>
      <c r="GM18" s="125">
        <f t="shared" si="39"/>
        <v>1973058.1214075882</v>
      </c>
      <c r="GN18" s="125">
        <f t="shared" si="39"/>
        <v>1973058.1214075882</v>
      </c>
      <c r="GO18" s="125">
        <f t="shared" si="39"/>
        <v>1973058.1214075882</v>
      </c>
      <c r="GP18" s="125">
        <f t="shared" si="39"/>
        <v>1973058.1214075882</v>
      </c>
      <c r="GQ18" s="125">
        <f t="shared" si="39"/>
        <v>1973058.1214075882</v>
      </c>
      <c r="GR18" s="125">
        <f t="shared" si="39"/>
        <v>1973058.1214075882</v>
      </c>
      <c r="GS18" s="125">
        <f t="shared" ref="GS18:JD18" si="40">GR18+GS17</f>
        <v>1973058.1214075882</v>
      </c>
      <c r="GT18" s="125">
        <f t="shared" si="40"/>
        <v>1973058.1214075882</v>
      </c>
      <c r="GU18" s="125">
        <f t="shared" si="40"/>
        <v>1973058.1214075882</v>
      </c>
      <c r="GV18" s="125">
        <f t="shared" si="40"/>
        <v>1973058.1214075882</v>
      </c>
      <c r="GW18" s="125">
        <f t="shared" si="40"/>
        <v>1973058.1214075882</v>
      </c>
      <c r="GX18" s="125">
        <f t="shared" si="40"/>
        <v>1973058.1214075882</v>
      </c>
      <c r="GY18" s="125">
        <f t="shared" si="40"/>
        <v>1973058.1214075882</v>
      </c>
      <c r="GZ18" s="125">
        <f t="shared" si="40"/>
        <v>1973058.1214075882</v>
      </c>
      <c r="HA18" s="125">
        <f t="shared" si="40"/>
        <v>1973058.1214075882</v>
      </c>
      <c r="HB18" s="125">
        <f t="shared" si="40"/>
        <v>1973058.1214075882</v>
      </c>
      <c r="HC18" s="125">
        <f t="shared" si="40"/>
        <v>1973058.1214075882</v>
      </c>
      <c r="HD18" s="125">
        <f t="shared" si="40"/>
        <v>1973058.1214075882</v>
      </c>
      <c r="HE18" s="125">
        <f t="shared" si="40"/>
        <v>1973058.1214075882</v>
      </c>
      <c r="HF18" s="125">
        <f t="shared" si="40"/>
        <v>1973058.1214075882</v>
      </c>
      <c r="HG18" s="125">
        <f t="shared" si="40"/>
        <v>1973058.1214075882</v>
      </c>
      <c r="HH18" s="125">
        <f t="shared" si="40"/>
        <v>1973058.1214075882</v>
      </c>
      <c r="HI18" s="125">
        <f t="shared" si="40"/>
        <v>1973058.1214075882</v>
      </c>
      <c r="HJ18" s="125">
        <f t="shared" si="40"/>
        <v>1973058.1214075882</v>
      </c>
      <c r="HK18" s="125">
        <f t="shared" si="40"/>
        <v>1973058.1214075882</v>
      </c>
      <c r="HL18" s="125">
        <f t="shared" si="40"/>
        <v>1973058.1214075882</v>
      </c>
      <c r="HM18" s="125">
        <f t="shared" si="40"/>
        <v>1973058.1214075882</v>
      </c>
      <c r="HN18" s="125">
        <f t="shared" si="40"/>
        <v>1973058.1214075882</v>
      </c>
      <c r="HO18" s="125">
        <f t="shared" si="40"/>
        <v>1973058.1214075882</v>
      </c>
      <c r="HP18" s="125">
        <f t="shared" si="40"/>
        <v>1973058.1214075882</v>
      </c>
      <c r="HQ18" s="125">
        <f t="shared" si="40"/>
        <v>1973058.1214075882</v>
      </c>
      <c r="HR18" s="125">
        <f t="shared" si="40"/>
        <v>1973058.1214075882</v>
      </c>
      <c r="HS18" s="125">
        <f t="shared" si="40"/>
        <v>1973058.1214075882</v>
      </c>
      <c r="HT18" s="125">
        <f t="shared" si="40"/>
        <v>1973058.1214075882</v>
      </c>
      <c r="HU18" s="125">
        <f t="shared" si="40"/>
        <v>1973058.1214075882</v>
      </c>
      <c r="HV18" s="125">
        <f t="shared" si="40"/>
        <v>1973058.1214075882</v>
      </c>
      <c r="HW18" s="125">
        <f t="shared" si="40"/>
        <v>1973058.1214075882</v>
      </c>
      <c r="HX18" s="125">
        <f t="shared" si="40"/>
        <v>1973058.1214075882</v>
      </c>
      <c r="HY18" s="125">
        <f t="shared" si="40"/>
        <v>1973058.1214075882</v>
      </c>
      <c r="HZ18" s="125">
        <f t="shared" si="40"/>
        <v>1973058.1214075882</v>
      </c>
      <c r="IA18" s="125">
        <f t="shared" si="40"/>
        <v>1973058.1214075882</v>
      </c>
      <c r="IB18" s="125">
        <f t="shared" si="40"/>
        <v>1973058.1214075882</v>
      </c>
      <c r="IC18" s="125">
        <f t="shared" si="40"/>
        <v>1973058.1214075882</v>
      </c>
      <c r="ID18" s="125">
        <f t="shared" si="40"/>
        <v>1973058.1214075882</v>
      </c>
      <c r="IE18" s="125">
        <f t="shared" si="40"/>
        <v>1973058.1214075882</v>
      </c>
      <c r="IF18" s="125">
        <f t="shared" si="40"/>
        <v>1973058.1214075882</v>
      </c>
      <c r="IG18" s="125">
        <f t="shared" si="40"/>
        <v>1973058.1214075882</v>
      </c>
      <c r="IH18" s="125">
        <f t="shared" si="40"/>
        <v>1973058.1214075882</v>
      </c>
      <c r="II18" s="125">
        <f t="shared" si="40"/>
        <v>1973058.1214075882</v>
      </c>
      <c r="IJ18" s="125">
        <f t="shared" si="40"/>
        <v>1973058.1214075882</v>
      </c>
      <c r="IK18" s="125">
        <f t="shared" si="40"/>
        <v>1973058.1214075882</v>
      </c>
      <c r="IL18" s="125">
        <f t="shared" si="40"/>
        <v>1973058.1214075882</v>
      </c>
      <c r="IM18" s="125">
        <f t="shared" si="40"/>
        <v>1973058.1214075882</v>
      </c>
      <c r="IN18" s="125">
        <f t="shared" si="40"/>
        <v>1973058.1214075882</v>
      </c>
      <c r="IO18" s="125">
        <f t="shared" si="40"/>
        <v>1973058.1214075882</v>
      </c>
      <c r="IP18" s="125">
        <f t="shared" si="40"/>
        <v>1973058.1214075882</v>
      </c>
      <c r="IQ18" s="125">
        <f t="shared" si="40"/>
        <v>1973058.1214075882</v>
      </c>
      <c r="IR18" s="125">
        <f t="shared" si="40"/>
        <v>1973058.1214075882</v>
      </c>
      <c r="IS18" s="125">
        <f t="shared" si="40"/>
        <v>1973058.1214075882</v>
      </c>
      <c r="IT18" s="125">
        <f t="shared" si="40"/>
        <v>1973058.1214075882</v>
      </c>
      <c r="IU18" s="125">
        <f t="shared" si="40"/>
        <v>1973058.1214075882</v>
      </c>
      <c r="IV18" s="125">
        <f t="shared" si="40"/>
        <v>1973058.1214075882</v>
      </c>
      <c r="IW18" s="125">
        <f t="shared" si="40"/>
        <v>1973058.1214075882</v>
      </c>
      <c r="IX18" s="125">
        <f t="shared" si="40"/>
        <v>1973058.1214075882</v>
      </c>
      <c r="IY18" s="125">
        <f t="shared" si="40"/>
        <v>1973058.1214075882</v>
      </c>
      <c r="IZ18" s="125">
        <f t="shared" si="40"/>
        <v>1973058.1214075882</v>
      </c>
      <c r="JA18" s="125">
        <f t="shared" si="40"/>
        <v>1973058.1214075882</v>
      </c>
      <c r="JB18" s="125">
        <f t="shared" si="40"/>
        <v>1973058.1214075882</v>
      </c>
      <c r="JC18" s="125">
        <f t="shared" si="40"/>
        <v>1973058.1214075882</v>
      </c>
      <c r="JD18" s="125">
        <f t="shared" si="40"/>
        <v>1973058.1214075882</v>
      </c>
      <c r="JE18" s="125">
        <f t="shared" ref="JE18:KF18" si="41">JD18+JE17</f>
        <v>1973058.1214075882</v>
      </c>
      <c r="JF18" s="125">
        <f t="shared" si="41"/>
        <v>1973058.1214075882</v>
      </c>
      <c r="JG18" s="125">
        <f t="shared" si="41"/>
        <v>1973058.1214075882</v>
      </c>
      <c r="JH18" s="125">
        <f t="shared" si="41"/>
        <v>1973058.1214075882</v>
      </c>
      <c r="JI18" s="125">
        <f t="shared" si="41"/>
        <v>1973058.1214075882</v>
      </c>
      <c r="JJ18" s="125">
        <f t="shared" si="41"/>
        <v>1973058.1214075882</v>
      </c>
      <c r="JK18" s="125">
        <f t="shared" si="41"/>
        <v>1973058.1214075882</v>
      </c>
      <c r="JL18" s="125">
        <f t="shared" si="41"/>
        <v>1973058.1214075882</v>
      </c>
      <c r="JM18" s="125">
        <f t="shared" si="41"/>
        <v>1973058.1214075882</v>
      </c>
      <c r="JN18" s="125">
        <f t="shared" si="41"/>
        <v>1973058.1214075882</v>
      </c>
      <c r="JO18" s="125">
        <f t="shared" si="41"/>
        <v>1973058.1214075882</v>
      </c>
      <c r="JP18" s="125">
        <f t="shared" si="41"/>
        <v>1973058.1214075882</v>
      </c>
      <c r="JQ18" s="125">
        <f t="shared" si="41"/>
        <v>1973058.1214075882</v>
      </c>
      <c r="JR18" s="125">
        <f t="shared" si="41"/>
        <v>1973058.1214075882</v>
      </c>
      <c r="JS18" s="125">
        <f t="shared" si="41"/>
        <v>1973058.1214075882</v>
      </c>
      <c r="JT18" s="125">
        <f t="shared" si="41"/>
        <v>1973058.1214075882</v>
      </c>
      <c r="JU18" s="125">
        <f t="shared" si="41"/>
        <v>1973058.1214075882</v>
      </c>
      <c r="JV18" s="125">
        <f t="shared" si="41"/>
        <v>1973058.1214075882</v>
      </c>
      <c r="JW18" s="125">
        <f t="shared" si="41"/>
        <v>1973058.1214075882</v>
      </c>
      <c r="JX18" s="125">
        <f t="shared" si="41"/>
        <v>1973058.1214075882</v>
      </c>
      <c r="JY18" s="125">
        <f t="shared" si="41"/>
        <v>1973058.1214075882</v>
      </c>
      <c r="JZ18" s="125">
        <f t="shared" si="41"/>
        <v>1973058.1214075882</v>
      </c>
      <c r="KA18" s="125">
        <f t="shared" si="41"/>
        <v>1973058.1214075882</v>
      </c>
      <c r="KB18" s="125">
        <f t="shared" si="41"/>
        <v>1973058.1214075882</v>
      </c>
      <c r="KC18" s="125">
        <f t="shared" si="41"/>
        <v>1973058.1214075882</v>
      </c>
      <c r="KD18" s="125">
        <f t="shared" si="41"/>
        <v>1973058.1214075882</v>
      </c>
      <c r="KE18" s="125">
        <f t="shared" si="41"/>
        <v>1973058.1214075882</v>
      </c>
      <c r="KF18" s="125">
        <f t="shared" si="41"/>
        <v>1973058.1214075882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28515625" defaultRowHeight="14.45"/>
  <cols>
    <col min="1" max="1" width="37.28515625" style="269" bestFit="1" customWidth="1"/>
    <col min="2" max="2" width="15.5703125" style="270" bestFit="1" customWidth="1"/>
    <col min="3" max="3" width="11.5703125" style="269" bestFit="1" customWidth="1"/>
    <col min="4" max="4" width="10.85546875" style="269" bestFit="1" customWidth="1"/>
    <col min="5" max="5" width="6.140625" style="269" bestFit="1" customWidth="1"/>
    <col min="6" max="6" width="14.28515625" style="269" bestFit="1" customWidth="1"/>
    <col min="7" max="8" width="12.7109375" style="269" bestFit="1" customWidth="1"/>
    <col min="9" max="9" width="11.5703125" style="269" bestFit="1" customWidth="1"/>
    <col min="10" max="10" width="12.7109375" style="269" bestFit="1" customWidth="1"/>
    <col min="11" max="11" width="14.28515625" style="269" bestFit="1" customWidth="1"/>
    <col min="12" max="12" width="6.28515625" style="269" bestFit="1" customWidth="1"/>
    <col min="13" max="13" width="14.28515625" style="269" bestFit="1" customWidth="1"/>
    <col min="14" max="14" width="13.7109375" style="269" bestFit="1" customWidth="1"/>
    <col min="15" max="18" width="11.28515625" style="269" bestFit="1" customWidth="1"/>
    <col min="19" max="19" width="13.710937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419</v>
      </c>
      <c r="B3" s="540" t="s">
        <v>420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421</v>
      </c>
      <c r="B4" t="s">
        <v>422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423</v>
      </c>
      <c r="L4"/>
      <c r="M4"/>
      <c r="N4"/>
      <c r="O4"/>
      <c r="P4"/>
      <c r="Q4"/>
      <c r="R4"/>
      <c r="S4"/>
      <c r="T4"/>
    </row>
    <row r="5" spans="1:20">
      <c r="A5" s="345" t="s">
        <v>422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293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305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314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330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340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346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356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361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365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377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381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385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374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343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423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28515625" defaultRowHeight="14.45"/>
  <cols>
    <col min="1" max="1" width="20.7109375" bestFit="1" customWidth="1"/>
    <col min="2" max="2" width="16.42578125" style="308" bestFit="1" customWidth="1"/>
    <col min="3" max="4" width="11.140625" style="308" bestFit="1" customWidth="1"/>
    <col min="5" max="5" width="6.140625" style="308" bestFit="1" customWidth="1"/>
    <col min="6" max="8" width="12.7109375" style="308" bestFit="1" customWidth="1"/>
    <col min="9" max="9" width="11.7109375" style="308" bestFit="1" customWidth="1"/>
    <col min="10" max="10" width="11.7109375" bestFit="1" customWidth="1"/>
    <col min="11" max="11" width="14.42578125" bestFit="1" customWidth="1"/>
    <col min="12" max="12" width="10.28515625" bestFit="1" customWidth="1"/>
    <col min="13" max="13" width="14" bestFit="1" customWidth="1"/>
    <col min="14" max="14" width="13.7109375" bestFit="1" customWidth="1"/>
    <col min="15" max="15" width="11.7109375" bestFit="1" customWidth="1"/>
    <col min="16" max="16" width="10.28515625" bestFit="1" customWidth="1"/>
    <col min="17" max="18" width="11.7109375" bestFit="1" customWidth="1"/>
    <col min="19" max="19" width="13.28515625" bestFit="1" customWidth="1"/>
  </cols>
  <sheetData>
    <row r="3" spans="1:11">
      <c r="A3" s="540" t="s">
        <v>424</v>
      </c>
      <c r="B3" s="540" t="s">
        <v>420</v>
      </c>
      <c r="C3"/>
      <c r="D3"/>
      <c r="E3"/>
      <c r="F3"/>
      <c r="G3"/>
      <c r="H3"/>
      <c r="I3"/>
    </row>
    <row r="4" spans="1:11">
      <c r="A4" s="540" t="s">
        <v>421</v>
      </c>
      <c r="B4" t="s">
        <v>422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423</v>
      </c>
    </row>
    <row r="5" spans="1:11">
      <c r="A5" s="345" t="s">
        <v>422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285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293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305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314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330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340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346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356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361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365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377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381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385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374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343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423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28515625" defaultRowHeight="13.15"/>
  <cols>
    <col min="1" max="2" width="9.28515625" style="9"/>
    <col min="3" max="3" width="13.28515625" style="9" bestFit="1" customWidth="1"/>
    <col min="4" max="5" width="9.28515625" style="9"/>
    <col min="6" max="6" width="12.28515625" style="9" bestFit="1" customWidth="1"/>
    <col min="7" max="7" width="1.28515625" style="9" customWidth="1"/>
    <col min="8" max="8" width="11.28515625" style="9" bestFit="1" customWidth="1"/>
    <col min="9" max="16384" width="9.28515625" style="9"/>
  </cols>
  <sheetData>
    <row r="1" spans="3:8" ht="13.9" thickBot="1"/>
    <row r="2" spans="3:8" ht="13.9" thickBot="1">
      <c r="C2" s="19" t="s">
        <v>425</v>
      </c>
      <c r="F2" s="19" t="s">
        <v>426</v>
      </c>
    </row>
    <row r="3" spans="3:8">
      <c r="C3" s="15">
        <v>45658</v>
      </c>
      <c r="D3" s="9" t="s">
        <v>427</v>
      </c>
      <c r="F3" s="17" t="s">
        <v>428</v>
      </c>
    </row>
    <row r="4" spans="3:8">
      <c r="C4" s="15">
        <v>45737</v>
      </c>
      <c r="D4" s="9" t="s">
        <v>429</v>
      </c>
      <c r="F4" s="17" t="s">
        <v>120</v>
      </c>
    </row>
    <row r="5" spans="3:8">
      <c r="C5" s="15">
        <v>45765</v>
      </c>
      <c r="D5" s="9" t="s">
        <v>430</v>
      </c>
      <c r="F5" s="17" t="s">
        <v>431</v>
      </c>
    </row>
    <row r="6" spans="3:8" ht="13.9" thickBot="1">
      <c r="C6" s="15">
        <v>45768</v>
      </c>
      <c r="D6" s="9" t="s">
        <v>432</v>
      </c>
      <c r="F6" s="18" t="s">
        <v>433</v>
      </c>
    </row>
    <row r="7" spans="3:8">
      <c r="C7" s="15">
        <v>45774</v>
      </c>
      <c r="D7" s="9" t="s">
        <v>434</v>
      </c>
    </row>
    <row r="8" spans="3:8">
      <c r="C8" s="15">
        <v>45765</v>
      </c>
      <c r="D8" s="9" t="s">
        <v>435</v>
      </c>
    </row>
    <row r="9" spans="3:8">
      <c r="C9" s="15">
        <v>45778</v>
      </c>
      <c r="D9" s="9" t="s">
        <v>436</v>
      </c>
    </row>
    <row r="10" spans="3:8">
      <c r="C10" s="15">
        <v>45824</v>
      </c>
      <c r="D10" s="9" t="s">
        <v>437</v>
      </c>
    </row>
    <row r="11" spans="3:8">
      <c r="C11" s="15">
        <v>45878</v>
      </c>
      <c r="D11" s="9" t="s">
        <v>438</v>
      </c>
    </row>
    <row r="12" spans="3:8">
      <c r="C12" s="15">
        <v>45924</v>
      </c>
      <c r="D12" s="9" t="s">
        <v>439</v>
      </c>
    </row>
    <row r="13" spans="3:8">
      <c r="C13" s="15">
        <v>46007</v>
      </c>
      <c r="D13" s="9" t="s">
        <v>440</v>
      </c>
      <c r="F13" s="20"/>
      <c r="H13" s="9" t="s">
        <v>441</v>
      </c>
    </row>
    <row r="14" spans="3:8">
      <c r="C14" s="15">
        <v>46016</v>
      </c>
      <c r="D14" s="9" t="s">
        <v>442</v>
      </c>
    </row>
    <row r="15" spans="3:8">
      <c r="C15" s="15">
        <v>46017</v>
      </c>
      <c r="D15" s="9" t="s">
        <v>443</v>
      </c>
    </row>
    <row r="16" spans="3:8">
      <c r="C16" s="15">
        <v>46006</v>
      </c>
      <c r="D16" s="9" t="s">
        <v>444</v>
      </c>
    </row>
    <row r="17" spans="3:4">
      <c r="C17" s="15">
        <v>46007</v>
      </c>
      <c r="D17" s="9" t="s">
        <v>444</v>
      </c>
    </row>
    <row r="18" spans="3:4">
      <c r="C18" s="15">
        <v>46008</v>
      </c>
      <c r="D18" s="9" t="s">
        <v>444</v>
      </c>
    </row>
    <row r="19" spans="3:4">
      <c r="C19" s="15">
        <v>46009</v>
      </c>
      <c r="D19" s="9" t="s">
        <v>444</v>
      </c>
    </row>
    <row r="20" spans="3:4">
      <c r="C20" s="15">
        <v>46010</v>
      </c>
      <c r="D20" s="9" t="s">
        <v>444</v>
      </c>
    </row>
    <row r="21" spans="3:4">
      <c r="C21" s="15">
        <v>46011</v>
      </c>
      <c r="D21" s="9" t="s">
        <v>444</v>
      </c>
    </row>
    <row r="22" spans="3:4">
      <c r="C22" s="15">
        <v>46012</v>
      </c>
      <c r="D22" s="9" t="s">
        <v>444</v>
      </c>
    </row>
    <row r="23" spans="3:4">
      <c r="C23" s="15">
        <v>46013</v>
      </c>
      <c r="D23" s="9" t="s">
        <v>444</v>
      </c>
    </row>
    <row r="24" spans="3:4">
      <c r="C24" s="15">
        <v>46014</v>
      </c>
      <c r="D24" s="9" t="s">
        <v>444</v>
      </c>
    </row>
    <row r="25" spans="3:4">
      <c r="C25" s="15">
        <v>46015</v>
      </c>
      <c r="D25" s="9" t="s">
        <v>444</v>
      </c>
    </row>
    <row r="26" spans="3:4">
      <c r="C26" s="15">
        <v>46016</v>
      </c>
      <c r="D26" s="9" t="s">
        <v>444</v>
      </c>
    </row>
    <row r="27" spans="3:4">
      <c r="C27" s="15">
        <v>46017</v>
      </c>
      <c r="D27" s="9" t="s">
        <v>444</v>
      </c>
    </row>
    <row r="28" spans="3:4">
      <c r="C28" s="15">
        <v>46018</v>
      </c>
      <c r="D28" s="9" t="s">
        <v>444</v>
      </c>
    </row>
    <row r="29" spans="3:4">
      <c r="C29" s="15">
        <v>46019</v>
      </c>
      <c r="D29" s="9" t="s">
        <v>444</v>
      </c>
    </row>
    <row r="30" spans="3:4">
      <c r="C30" s="15">
        <v>46020</v>
      </c>
      <c r="D30" s="9" t="s">
        <v>444</v>
      </c>
    </row>
    <row r="31" spans="3:4">
      <c r="C31" s="15">
        <v>46021</v>
      </c>
      <c r="D31" s="9" t="s">
        <v>444</v>
      </c>
    </row>
    <row r="32" spans="3:4">
      <c r="C32" s="15">
        <v>46022</v>
      </c>
      <c r="D32" s="9" t="s">
        <v>444</v>
      </c>
    </row>
    <row r="33" spans="3:4">
      <c r="C33" s="15">
        <v>46023</v>
      </c>
      <c r="D33" s="9" t="s">
        <v>444</v>
      </c>
    </row>
    <row r="34" spans="3:4">
      <c r="C34" s="15">
        <v>46024</v>
      </c>
      <c r="D34" s="9" t="s">
        <v>444</v>
      </c>
    </row>
    <row r="35" spans="3:4">
      <c r="C35" s="15">
        <v>46025</v>
      </c>
      <c r="D35" s="9" t="s">
        <v>444</v>
      </c>
    </row>
    <row r="36" spans="3:4">
      <c r="C36" s="15">
        <v>46026</v>
      </c>
      <c r="D36" s="9" t="s">
        <v>444</v>
      </c>
    </row>
    <row r="37" spans="3:4">
      <c r="C37" s="15">
        <v>46027</v>
      </c>
      <c r="D37" s="9" t="s">
        <v>444</v>
      </c>
    </row>
    <row r="38" spans="3:4">
      <c r="C38" s="15">
        <v>46028</v>
      </c>
      <c r="D38" s="9" t="s">
        <v>444</v>
      </c>
    </row>
    <row r="39" spans="3:4">
      <c r="C39" s="15">
        <v>46029</v>
      </c>
      <c r="D39" s="9" t="s">
        <v>444</v>
      </c>
    </row>
    <row r="40" spans="3:4">
      <c r="C40" s="15">
        <v>46030</v>
      </c>
      <c r="D40" s="9" t="s">
        <v>444</v>
      </c>
    </row>
    <row r="41" spans="3:4">
      <c r="C41" s="15"/>
      <c r="D41" s="9" t="s">
        <v>444</v>
      </c>
    </row>
    <row r="42" spans="3:4">
      <c r="C42" s="15"/>
      <c r="D42" s="9" t="s">
        <v>444</v>
      </c>
    </row>
    <row r="43" spans="3:4">
      <c r="C43" s="15"/>
      <c r="D43" s="9" t="s">
        <v>444</v>
      </c>
    </row>
    <row r="44" spans="3:4">
      <c r="C44" s="15"/>
      <c r="D44" s="9" t="s">
        <v>444</v>
      </c>
    </row>
    <row r="45" spans="3:4">
      <c r="C45" s="15"/>
      <c r="D45" s="9" t="s">
        <v>444</v>
      </c>
    </row>
    <row r="46" spans="3:4">
      <c r="C46" s="15"/>
      <c r="D46" s="9" t="s">
        <v>444</v>
      </c>
    </row>
    <row r="47" spans="3:4">
      <c r="C47" s="15"/>
      <c r="D47" s="9" t="s">
        <v>444</v>
      </c>
    </row>
    <row r="48" spans="3:4">
      <c r="C48" s="15"/>
      <c r="D48" s="9" t="s">
        <v>444</v>
      </c>
    </row>
    <row r="49" spans="3:4">
      <c r="C49" s="15">
        <v>46102</v>
      </c>
      <c r="D49" s="9" t="s">
        <v>429</v>
      </c>
    </row>
    <row r="50" spans="3:4">
      <c r="C50" s="15">
        <v>46115</v>
      </c>
      <c r="D50" s="9" t="s">
        <v>430</v>
      </c>
    </row>
    <row r="51" spans="3:4">
      <c r="C51" s="15">
        <v>46118</v>
      </c>
      <c r="D51" s="9" t="s">
        <v>432</v>
      </c>
    </row>
    <row r="52" spans="3:4">
      <c r="C52" s="15">
        <v>46139</v>
      </c>
      <c r="D52" s="9" t="s">
        <v>434</v>
      </c>
    </row>
    <row r="53" spans="3:4">
      <c r="C53" s="15">
        <v>46143</v>
      </c>
      <c r="D53" s="9" t="s">
        <v>436</v>
      </c>
    </row>
    <row r="54" spans="3:4">
      <c r="C54" s="15">
        <v>46189</v>
      </c>
      <c r="D54" s="9" t="s">
        <v>437</v>
      </c>
    </row>
    <row r="55" spans="3:4">
      <c r="C55" s="15">
        <v>46243</v>
      </c>
      <c r="D55" s="9" t="s">
        <v>438</v>
      </c>
    </row>
    <row r="56" spans="3:4">
      <c r="C56" s="15">
        <v>46244</v>
      </c>
      <c r="D56" s="9" t="s">
        <v>445</v>
      </c>
    </row>
    <row r="57" spans="3:4">
      <c r="C57" s="15">
        <v>46289</v>
      </c>
      <c r="D57" s="9" t="s">
        <v>439</v>
      </c>
    </row>
    <row r="58" spans="3:4">
      <c r="C58" s="15">
        <v>46372</v>
      </c>
      <c r="D58" s="9" t="s">
        <v>440</v>
      </c>
    </row>
    <row r="59" spans="3:4">
      <c r="C59" s="15">
        <v>46381</v>
      </c>
      <c r="D59" s="9" t="s">
        <v>442</v>
      </c>
    </row>
    <row r="60" spans="3:4" ht="13.9" thickBot="1">
      <c r="C60" s="16">
        <v>46382</v>
      </c>
      <c r="D60" s="9" t="s">
        <v>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04EB3941-A974-43A2-B37B-A9F17436252D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2026-02-13T08:51:07Z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