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6" documentId="6_{F23DB8AC-A5C1-4F83-AADD-D19FA192855F}" xr6:coauthVersionLast="47" xr6:coauthVersionMax="47" xr10:uidLastSave="{E3450846-E9DB-4AE0-ABA3-081EEB928FE1}"/>
  <bookViews>
    <workbookView xWindow="-28920" yWindow="720" windowWidth="29040" windowHeight="15720" tabRatio="704" firstSheet="4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W100" i="18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K22" i="2"/>
  <c r="I31" i="2"/>
  <c r="U15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3" i="18"/>
  <c r="Q115" i="18"/>
  <c r="Q114" i="18"/>
  <c r="X134" i="18"/>
  <c r="F13" i="3"/>
  <c r="H11" i="3"/>
  <c r="J11" i="3" s="1"/>
  <c r="U129" i="18"/>
  <c r="H13" i="3"/>
  <c r="H16" i="3"/>
  <c r="J16" i="3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H21" i="3"/>
  <c r="J21" i="3"/>
  <c r="X29" i="18"/>
  <c r="X108" i="18"/>
  <c r="U109" i="18" s="1"/>
  <c r="V84" i="18"/>
  <c r="V46" i="18"/>
  <c r="O95" i="18"/>
  <c r="Q99" i="18"/>
  <c r="Z40" i="18"/>
  <c r="K23" i="2"/>
  <c r="I21" i="2"/>
  <c r="I37" i="2"/>
  <c r="U146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4" i="18"/>
  <c r="U94" i="18"/>
  <c r="H17" i="3"/>
  <c r="U105" i="18"/>
  <c r="U106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0" i="18" l="1"/>
  <c r="U111" i="18"/>
  <c r="U122" i="18"/>
  <c r="W102" i="18"/>
  <c r="W103" i="18" s="1"/>
  <c r="N28" i="2"/>
  <c r="X4" i="5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V108" i="18" l="1"/>
  <c r="W70" i="18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<sst xmlns="http://schemas.openxmlformats.org/spreadsheetml/2006/main" count="858" uniqueCount="456">
  <si>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</si>
  <si>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</si>
  <si>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</si>
  <si>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</si>
  <si>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</si>
  <si>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</si>
  <si>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</si>
  <si>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</si>
  <si>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</si>
  <si>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</si>
  <si>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</si>
  <si>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</si>
  <si>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</si>
  <si>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</si>
  <si>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</si>
  <si>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</si>
  <si>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</si>
  <si>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</si>
  <si>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</si>
  <si>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</si>
  <si>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</si>
  <si>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</si>
  <si>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</si>
  <si>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</si>
  <si>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</si>
  <si>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</si>
  <si>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</si>
  <si>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</si>
  <si>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</si>
  <si>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</si>
  <si>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</si>
  <si>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</si>
  <si>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</si>
  <si>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</si>
  <si>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</si>
  <si>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</si>
  <si>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</si>
  <si>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</si>
  <si>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</si>
  <si>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</si>
  <si>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</si>
  <si>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</si>
  <si>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</si>
  <si>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</si>
  <si>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</si>
  <si>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</si>
  <si>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</si>
  <si>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</si>
  <si>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</si>
  <si>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</si>
  <si>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</si>
  <si>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</si>
  <si>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</si>
  <si>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</si>
  <si>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</si>
  <si>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</si>
  <si>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</si>
  <si>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</si>
  <si>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</si>
  <si>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</si>
  <si>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</si>
  <si>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</si>
  <si>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</si>
  <si>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</si>
  <si>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</si>
  <si>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</si>
  <si>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</si>
  <si>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</si>
  <si>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</si>
  <si>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</si>
  <si>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</si>
  <si>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</si>
  <si>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</si>
  <si>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</si>
  <si>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</si>
  <si>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</si>
  <si>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</si>
  <si>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</si>
  <si>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</si>
  <si>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</si>
  <si>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</si>
  <si>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</si>
  <si>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</si>
  <si>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</si>
  <si>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</si>
  <si>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</si>
  <si>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</si>
  <si>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</si>
  <si>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</si>
  <si>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</si>
  <si>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</si>
  <si>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</si>
  <si>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</si>
  <si>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</si>
  <si>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</si>
  <si>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</si>
  <si>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</si>
  <si>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</si>
  <si>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</si>
  <si>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</si>
  <si>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</si>
  <si>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</si>
  <si>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</si>
  <si>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</si>
  <si>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</si>
  <si>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</si>
  <si>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</si>
  <si>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</si>
  <si>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</si>
  <si>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</si>
  <si>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</si>
  <si>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</si>
  <si>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</si>
  <si>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</si>
  <si>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</si>
  <si>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</si>
  <si>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</si>
  <si>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</si>
  <si>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</si>
  <si>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</si>
  <si>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</si>
  <si>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</si>
  <si>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</si>
  <si>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</si>
  <si>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</si>
  <si>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</si>
  <si>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</si>
  <si>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</si>
  <si>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</si>
  <si>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</si>
  <si>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</si>
  <si>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</si>
  <si>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</si>
  <si>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</si>
  <si>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</si>
  <si>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</si>
  <si>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</si>
  <si>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</si>
  <si>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</si>
  <si>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</si>
  <si>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</si>
  <si>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</si>
  <si>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</si>
  <si>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</si>
  <si>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</si>
  <si>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</si>
  <si>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</si>
  <si>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</si>
  <si>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</si>
  <si>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</si>
  <si>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</si>
  <si>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</si>
  <si>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</si>
  <si>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</si>
  <si>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</si>
  <si>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</si>
  <si>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</si>
  <si>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</si>
  <si>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</si>
  <si>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</si>
  <si>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</si>
  <si>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</si>
  <si>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</si>
  <si>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</si>
  <si>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</si>
  <si>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</si>
  <si>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</si>
  <si>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</si>
  <si>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</si>
  <si>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</si>
  <si>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</si>
  <si>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</si>
  <si>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</si>
  <si>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</si>
  <si>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</si>
  <si>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</si>
  <si>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</si>
  <si>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</si>
  <si>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</si>
  <si>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</si>
  <si>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</si>
  <si>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</si>
  <si>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</si>
  <si>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</si>
  <si>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</si>
  <si>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</si>
  <si>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</si>
  <si>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</si>
  <si>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</si>
  <si>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</si>
  <si>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</si>
  <si>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</si>
  <si>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</si>
  <si>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</si>
  <si>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</si>
  <si>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</si>
  <si>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</si>
  <si>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</si>
  <si>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</si>
  <si>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</si>
  <si>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</si>
  <si>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</si>
  <si>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</si>
  <si>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</si>
  <si>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</si>
  <si>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</si>
  <si>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</si>
  <si>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</si>
  <si>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</si>
  <si>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</si>
  <si>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</si>
  <si>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</si>
  <si>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</si>
  <si>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</si>
  <si>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</si>
  <si>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</si>
  <si>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</si>
  <si>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</si>
  <si>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</si>
  <si>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</si>
  <si>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</si>
  <si>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</si>
  <si>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</si>
  <si>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</si>
  <si>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</si>
  <si>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</si>
  <si>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</si>
  <si>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</si>
  <si>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</si>
  <si>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</si>
  <si>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</si>
  <si>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</si>
  <si>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</si>
  <si>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</si>
  <si>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</si>
  <si>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</si>
  <si>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</si>
  <si>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</si>
  <si>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</si>
  <si>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</si>
  <si>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</si>
  <si>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</si>
  <si>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</si>
  <si>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</si>
  <si>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</si>
  <si>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</si>
  <si>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</si>
  <si>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</si>
  <si>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</si>
  <si>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</si>
  <si>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</si>
  <si>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</si>
  <si>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</si>
  <si>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</si>
  <si>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</si>
  <si>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</si>
  <si>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</si>
  <si>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</si>
  <si>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</si>
  <si>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</si>
  <si>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</si>
  <si>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</si>
  <si>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</si>
  <si>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</si>
  <si>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</si>
  <si>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</si>
  <si>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</si>
  <si>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</si>
  <si>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</si>
  <si>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</si>
  <si>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</si>
  <si>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</si>
  <si>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</si>
  <si>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</si>
  <si>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</si>
  <si>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</si>
  <si>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</si>
  <si>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</si>
  <si>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</si>
  <si>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</si>
  <si>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</si>
  <si>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</si>
  <si>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</si>
  <si>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</si>
  <si>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</si>
  <si>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</si>
  <si>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</si>
  <si>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</si>
  <si>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</si>
  <si>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</si>
  <si>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</si>
  <si>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</si>
  <si>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</si>
  <si>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</si>
  <si>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</si>
  <si>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</si>
  <si>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</si>
  <si>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</si>
  <si>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</si>
  <si>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</si>
  <si>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</si>
  <si>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</si>
  <si>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</si>
  <si>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</si>
  <si>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</si>
  <si>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</si>
  <si>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</si>
  <si>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</si>
  <si>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</si>
  <si>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</si>
  <si>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</si>
  <si>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</si>
  <si>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</si>
  <si>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</si>
  <si>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</si>
  <si>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</si>
  <si>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</si>
  <si>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</si>
  <si>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</si>
  <si>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</si>
  <si>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</si>
  <si>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</si>
  <si>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JA Electrical Inv 1153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</si>
  <si>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</si>
  <si>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</si>
  <si>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</si>
  <si>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</si>
  <si>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</si>
  <si>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</si>
  <si>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</si>
  <si>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</si>
  <si>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</si>
  <si>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</si>
  <si>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</si>
  <si>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</si>
  <si>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</si>
  <si>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</si>
  <si>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</si>
  <si>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</si>
  <si>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</si>
  <si>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</si>
  <si>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</si>
  <si>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</si>
  <si>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</si>
  <si>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</si>
  <si>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</si>
  <si>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</si>
  <si>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</si>
  <si>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</si>
  <si>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</si>
  <si>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</si>
  <si>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</si>
  <si>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</si>
  <si>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</si>
  <si>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</si>
  <si>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</si>
  <si>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</si>
  <si>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</si>
  <si>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</si>
  <si>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</si>
  <si>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</si>
  <si>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</si>
  <si>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</si>
  <si>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</si>
  <si>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</si>
  <si>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</si>
  <si>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Rounding Difference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</si>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</sst>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7" fontId="5" fillId="0" borderId="0" xfId="3" applyFont="1" applyProtection="1">
      <protection locked="0"/>
    </xf>
    <xf numFmtId="167" fontId="5" fillId="5" borderId="0" xfId="3" applyFont="1" applyFill="1" applyProtection="1">
      <protection locked="0"/>
    </xf>
    <xf numFmtId="167" fontId="8" fillId="5" borderId="0" xfId="3" applyFont="1" applyFill="1" applyProtection="1">
      <protection locked="0"/>
    </xf>
    <xf numFmtId="169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7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7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8" fontId="48" fillId="11" borderId="53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1218498.2849999999</c:v>
                </c:pt>
                <c:pt idx="20">
                  <c:v>1224141.885</c:v>
                </c:pt>
                <c:pt idx="21">
                  <c:v>1249026.2224999999</c:v>
                </c:pt>
                <c:pt idx="22">
                  <c:v>1314306.4075</c:v>
                </c:pt>
                <c:pt idx="23">
                  <c:v>1388959.51</c:v>
                </c:pt>
                <c:pt idx="24">
                  <c:v>1388959.51</c:v>
                </c:pt>
                <c:pt idx="25">
                  <c:v>1414927.4635000001</c:v>
                </c:pt>
                <c:pt idx="26">
                  <c:v>1414927.4635000001</c:v>
                </c:pt>
                <c:pt idx="27">
                  <c:v>1439811.821</c:v>
                </c:pt>
                <c:pt idx="28">
                  <c:v>1439811.821</c:v>
                </c:pt>
                <c:pt idx="29">
                  <c:v>1445811.821</c:v>
                </c:pt>
                <c:pt idx="30">
                  <c:v>1445811.821</c:v>
                </c:pt>
                <c:pt idx="31">
                  <c:v>1445811.821</c:v>
                </c:pt>
                <c:pt idx="32">
                  <c:v>1445811.821</c:v>
                </c:pt>
                <c:pt idx="33">
                  <c:v>1445811.821</c:v>
                </c:pt>
                <c:pt idx="34">
                  <c:v>1445811.821</c:v>
                </c:pt>
                <c:pt idx="35">
                  <c:v>1445811.821</c:v>
                </c:pt>
                <c:pt idx="36">
                  <c:v>1445811.821</c:v>
                </c:pt>
                <c:pt idx="37">
                  <c:v>1445811.821</c:v>
                </c:pt>
                <c:pt idx="38">
                  <c:v>1445811.821</c:v>
                </c:pt>
                <c:pt idx="39">
                  <c:v>1445811.821</c:v>
                </c:pt>
                <c:pt idx="40">
                  <c:v>1445811.821</c:v>
                </c:pt>
                <c:pt idx="41">
                  <c:v>1445811.821</c:v>
                </c:pt>
                <c:pt idx="42">
                  <c:v>1445811.821</c:v>
                </c:pt>
                <c:pt idx="43">
                  <c:v>1445811.821</c:v>
                </c:pt>
                <c:pt idx="44">
                  <c:v>1445811.821</c:v>
                </c:pt>
                <c:pt idx="45">
                  <c:v>1445811.821</c:v>
                </c:pt>
                <c:pt idx="46">
                  <c:v>1445811.821</c:v>
                </c:pt>
                <c:pt idx="47">
                  <c:v>1445811.821</c:v>
                </c:pt>
                <c:pt idx="48">
                  <c:v>1445811.821</c:v>
                </c:pt>
                <c:pt idx="49">
                  <c:v>1445811.821</c:v>
                </c:pt>
                <c:pt idx="50">
                  <c:v>1445811.821</c:v>
                </c:pt>
                <c:pt idx="51">
                  <c:v>1445811.821</c:v>
                </c:pt>
                <c:pt idx="52">
                  <c:v>1445811.821</c:v>
                </c:pt>
                <c:pt idx="53">
                  <c:v>1445811.821</c:v>
                </c:pt>
                <c:pt idx="54">
                  <c:v>1445811.821</c:v>
                </c:pt>
                <c:pt idx="55">
                  <c:v>1445811.821</c:v>
                </c:pt>
                <c:pt idx="56">
                  <c:v>1445811.821</c:v>
                </c:pt>
                <c:pt idx="57">
                  <c:v>1445811.821</c:v>
                </c:pt>
                <c:pt idx="58">
                  <c:v>1445811.821</c:v>
                </c:pt>
                <c:pt idx="59">
                  <c:v>1445811.821</c:v>
                </c:pt>
                <c:pt idx="60">
                  <c:v>1445811.821</c:v>
                </c:pt>
                <c:pt idx="61">
                  <c:v>1445811.821</c:v>
                </c:pt>
                <c:pt idx="62">
                  <c:v>1445811.821</c:v>
                </c:pt>
                <c:pt idx="63">
                  <c:v>1445811.821</c:v>
                </c:pt>
                <c:pt idx="64">
                  <c:v>1445811.821</c:v>
                </c:pt>
                <c:pt idx="65">
                  <c:v>1445811.821</c:v>
                </c:pt>
                <c:pt idx="66">
                  <c:v>1445811.821</c:v>
                </c:pt>
                <c:pt idx="67">
                  <c:v>1445811.821</c:v>
                </c:pt>
                <c:pt idx="68">
                  <c:v>1445811.821</c:v>
                </c:pt>
                <c:pt idx="69">
                  <c:v>1445811.821</c:v>
                </c:pt>
                <c:pt idx="70">
                  <c:v>1445811.821</c:v>
                </c:pt>
                <c:pt idx="71">
                  <c:v>1445811.821</c:v>
                </c:pt>
                <c:pt idx="72">
                  <c:v>1445811.821</c:v>
                </c:pt>
                <c:pt idx="73">
                  <c:v>1445811.821</c:v>
                </c:pt>
                <c:pt idx="74">
                  <c:v>1445811.821</c:v>
                </c:pt>
                <c:pt idx="75">
                  <c:v>1445811.821</c:v>
                </c:pt>
                <c:pt idx="76">
                  <c:v>1445811.821</c:v>
                </c:pt>
                <c:pt idx="77">
                  <c:v>1445811.821</c:v>
                </c:pt>
                <c:pt idx="78">
                  <c:v>1445811.821</c:v>
                </c:pt>
                <c:pt idx="79">
                  <c:v>1445811.821</c:v>
                </c:pt>
                <c:pt idx="80">
                  <c:v>1445811.821</c:v>
                </c:pt>
                <c:pt idx="81">
                  <c:v>1445811.821</c:v>
                </c:pt>
                <c:pt idx="82">
                  <c:v>1445811.821</c:v>
                </c:pt>
                <c:pt idx="83">
                  <c:v>1445811.821</c:v>
                </c:pt>
                <c:pt idx="84">
                  <c:v>1445811.821</c:v>
                </c:pt>
                <c:pt idx="85">
                  <c:v>1445811.821</c:v>
                </c:pt>
                <c:pt idx="86">
                  <c:v>1445811.821</c:v>
                </c:pt>
                <c:pt idx="87">
                  <c:v>1445811.821</c:v>
                </c:pt>
                <c:pt idx="88">
                  <c:v>1445811.821</c:v>
                </c:pt>
                <c:pt idx="89">
                  <c:v>1445811.821</c:v>
                </c:pt>
                <c:pt idx="90">
                  <c:v>1445811.821</c:v>
                </c:pt>
                <c:pt idx="91">
                  <c:v>1445811.821</c:v>
                </c:pt>
                <c:pt idx="92">
                  <c:v>1445811.821</c:v>
                </c:pt>
                <c:pt idx="93">
                  <c:v>1445811.821</c:v>
                </c:pt>
                <c:pt idx="94">
                  <c:v>1445811.821</c:v>
                </c:pt>
                <c:pt idx="95">
                  <c:v>1445811.821</c:v>
                </c:pt>
                <c:pt idx="96">
                  <c:v>1445811.821</c:v>
                </c:pt>
                <c:pt idx="97">
                  <c:v>1445811.821</c:v>
                </c:pt>
                <c:pt idx="98">
                  <c:v>1445811.821</c:v>
                </c:pt>
                <c:pt idx="99">
                  <c:v>1445811.821</c:v>
                </c:pt>
                <c:pt idx="100">
                  <c:v>1445811.821</c:v>
                </c:pt>
                <c:pt idx="101">
                  <c:v>1445811.821</c:v>
                </c:pt>
                <c:pt idx="102">
                  <c:v>1445811.821</c:v>
                </c:pt>
                <c:pt idx="103">
                  <c:v>1445811.821</c:v>
                </c:pt>
                <c:pt idx="104">
                  <c:v>1445811.821</c:v>
                </c:pt>
                <c:pt idx="105">
                  <c:v>1445811.821</c:v>
                </c:pt>
                <c:pt idx="106">
                  <c:v>1445811.821</c:v>
                </c:pt>
                <c:pt idx="107">
                  <c:v>1445811.821</c:v>
                </c:pt>
                <c:pt idx="108">
                  <c:v>1445811.821</c:v>
                </c:pt>
                <c:pt idx="109">
                  <c:v>1445811.821</c:v>
                </c:pt>
                <c:pt idx="110">
                  <c:v>1445811.821</c:v>
                </c:pt>
                <c:pt idx="111">
                  <c:v>1445811.821</c:v>
                </c:pt>
                <c:pt idx="112">
                  <c:v>1445811.821</c:v>
                </c:pt>
                <c:pt idx="113">
                  <c:v>1445811.821</c:v>
                </c:pt>
                <c:pt idx="114">
                  <c:v>1445811.821</c:v>
                </c:pt>
                <c:pt idx="115">
                  <c:v>1445811.821</c:v>
                </c:pt>
                <c:pt idx="116">
                  <c:v>1445811.821</c:v>
                </c:pt>
                <c:pt idx="117">
                  <c:v>1445811.821</c:v>
                </c:pt>
                <c:pt idx="118">
                  <c:v>1445811.821</c:v>
                </c:pt>
                <c:pt idx="119">
                  <c:v>1445811.821</c:v>
                </c:pt>
                <c:pt idx="120">
                  <c:v>1445811.821</c:v>
                </c:pt>
                <c:pt idx="121">
                  <c:v>1445811.821</c:v>
                </c:pt>
                <c:pt idx="122">
                  <c:v>1445811.821</c:v>
                </c:pt>
                <c:pt idx="123">
                  <c:v>1445811.821</c:v>
                </c:pt>
                <c:pt idx="124">
                  <c:v>1445811.821</c:v>
                </c:pt>
                <c:pt idx="125">
                  <c:v>1445811.821</c:v>
                </c:pt>
                <c:pt idx="126">
                  <c:v>1445811.821</c:v>
                </c:pt>
                <c:pt idx="127">
                  <c:v>1445811.821</c:v>
                </c:pt>
                <c:pt idx="128">
                  <c:v>1445811.821</c:v>
                </c:pt>
                <c:pt idx="129">
                  <c:v>1445811.821</c:v>
                </c:pt>
                <c:pt idx="130">
                  <c:v>1445811.821</c:v>
                </c:pt>
                <c:pt idx="131">
                  <c:v>1445811.821</c:v>
                </c:pt>
                <c:pt idx="132">
                  <c:v>1445811.821</c:v>
                </c:pt>
                <c:pt idx="133">
                  <c:v>1445811.821</c:v>
                </c:pt>
                <c:pt idx="134">
                  <c:v>1445811.821</c:v>
                </c:pt>
                <c:pt idx="135">
                  <c:v>1445811.821</c:v>
                </c:pt>
                <c:pt idx="136">
                  <c:v>1445811.821</c:v>
                </c:pt>
                <c:pt idx="137">
                  <c:v>1445811.821</c:v>
                </c:pt>
                <c:pt idx="138">
                  <c:v>1445811.821</c:v>
                </c:pt>
                <c:pt idx="139">
                  <c:v>1445811.821</c:v>
                </c:pt>
                <c:pt idx="140">
                  <c:v>1445811.821</c:v>
                </c:pt>
                <c:pt idx="141">
                  <c:v>1445811.821</c:v>
                </c:pt>
                <c:pt idx="142">
                  <c:v>1445811.821</c:v>
                </c:pt>
                <c:pt idx="143">
                  <c:v>1445811.821</c:v>
                </c:pt>
                <c:pt idx="144">
                  <c:v>1445811.821</c:v>
                </c:pt>
                <c:pt idx="145">
                  <c:v>1445811.821</c:v>
                </c:pt>
                <c:pt idx="146">
                  <c:v>1445811.821</c:v>
                </c:pt>
                <c:pt idx="147">
                  <c:v>1445811.821</c:v>
                </c:pt>
                <c:pt idx="148">
                  <c:v>1445811.821</c:v>
                </c:pt>
                <c:pt idx="149">
                  <c:v>1445811.821</c:v>
                </c:pt>
                <c:pt idx="150">
                  <c:v>1445811.821</c:v>
                </c:pt>
                <c:pt idx="151">
                  <c:v>1445811.821</c:v>
                </c:pt>
                <c:pt idx="152">
                  <c:v>1445811.821</c:v>
                </c:pt>
                <c:pt idx="153">
                  <c:v>1445811.821</c:v>
                </c:pt>
                <c:pt idx="154">
                  <c:v>1445811.821</c:v>
                </c:pt>
                <c:pt idx="155">
                  <c:v>1445811.821</c:v>
                </c:pt>
                <c:pt idx="156">
                  <c:v>1445811.821</c:v>
                </c:pt>
                <c:pt idx="157">
                  <c:v>1445811.821</c:v>
                </c:pt>
                <c:pt idx="158">
                  <c:v>1445811.821</c:v>
                </c:pt>
                <c:pt idx="159">
                  <c:v>1445811.821</c:v>
                </c:pt>
                <c:pt idx="160">
                  <c:v>1445811.821</c:v>
                </c:pt>
                <c:pt idx="161">
                  <c:v>1445811.821</c:v>
                </c:pt>
                <c:pt idx="162">
                  <c:v>1445811.821</c:v>
                </c:pt>
                <c:pt idx="163">
                  <c:v>1445811.821</c:v>
                </c:pt>
                <c:pt idx="164">
                  <c:v>1445811.821</c:v>
                </c:pt>
                <c:pt idx="165">
                  <c:v>1445811.821</c:v>
                </c:pt>
                <c:pt idx="166">
                  <c:v>1445811.821</c:v>
                </c:pt>
                <c:pt idx="167">
                  <c:v>1445811.821</c:v>
                </c:pt>
                <c:pt idx="168">
                  <c:v>1445811.821</c:v>
                </c:pt>
                <c:pt idx="169">
                  <c:v>1445811.821</c:v>
                </c:pt>
                <c:pt idx="170">
                  <c:v>1445811.821</c:v>
                </c:pt>
                <c:pt idx="171">
                  <c:v>1445811.821</c:v>
                </c:pt>
                <c:pt idx="172">
                  <c:v>1445811.821</c:v>
                </c:pt>
                <c:pt idx="173">
                  <c:v>1445811.821</c:v>
                </c:pt>
                <c:pt idx="174">
                  <c:v>1445811.821</c:v>
                </c:pt>
                <c:pt idx="175">
                  <c:v>1445811.821</c:v>
                </c:pt>
                <c:pt idx="176">
                  <c:v>1445811.821</c:v>
                </c:pt>
                <c:pt idx="177">
                  <c:v>1445811.821</c:v>
                </c:pt>
                <c:pt idx="178">
                  <c:v>1445811.821</c:v>
                </c:pt>
                <c:pt idx="179">
                  <c:v>1445811.821</c:v>
                </c:pt>
                <c:pt idx="180">
                  <c:v>1445811.821</c:v>
                </c:pt>
                <c:pt idx="181">
                  <c:v>1445811.821</c:v>
                </c:pt>
                <c:pt idx="182">
                  <c:v>1445811.821</c:v>
                </c:pt>
                <c:pt idx="183">
                  <c:v>1445811.821</c:v>
                </c:pt>
                <c:pt idx="184">
                  <c:v>1445811.821</c:v>
                </c:pt>
                <c:pt idx="185">
                  <c:v>1445811.821</c:v>
                </c:pt>
                <c:pt idx="186">
                  <c:v>1445811.821</c:v>
                </c:pt>
                <c:pt idx="187">
                  <c:v>1445811.821</c:v>
                </c:pt>
                <c:pt idx="188">
                  <c:v>1445811.821</c:v>
                </c:pt>
                <c:pt idx="189">
                  <c:v>1445811.821</c:v>
                </c:pt>
                <c:pt idx="190">
                  <c:v>1445811.821</c:v>
                </c:pt>
                <c:pt idx="191">
                  <c:v>1445811.821</c:v>
                </c:pt>
                <c:pt idx="192">
                  <c:v>1445811.821</c:v>
                </c:pt>
                <c:pt idx="193">
                  <c:v>1445811.821</c:v>
                </c:pt>
                <c:pt idx="194">
                  <c:v>1445811.821</c:v>
                </c:pt>
                <c:pt idx="195">
                  <c:v>1445811.821</c:v>
                </c:pt>
                <c:pt idx="196">
                  <c:v>1445811.821</c:v>
                </c:pt>
                <c:pt idx="197">
                  <c:v>1445811.821</c:v>
                </c:pt>
                <c:pt idx="198">
                  <c:v>1445811.821</c:v>
                </c:pt>
                <c:pt idx="199">
                  <c:v>1445811.821</c:v>
                </c:pt>
                <c:pt idx="200">
                  <c:v>1445811.821</c:v>
                </c:pt>
                <c:pt idx="201">
                  <c:v>1445811.821</c:v>
                </c:pt>
                <c:pt idx="202">
                  <c:v>1445811.821</c:v>
                </c:pt>
                <c:pt idx="203">
                  <c:v>1445811.821</c:v>
                </c:pt>
                <c:pt idx="204">
                  <c:v>1445811.821</c:v>
                </c:pt>
                <c:pt idx="205">
                  <c:v>1445811.821</c:v>
                </c:pt>
                <c:pt idx="206">
                  <c:v>1445811.821</c:v>
                </c:pt>
                <c:pt idx="207">
                  <c:v>1445811.821</c:v>
                </c:pt>
                <c:pt idx="208">
                  <c:v>1445811.821</c:v>
                </c:pt>
                <c:pt idx="209">
                  <c:v>1445811.821</c:v>
                </c:pt>
                <c:pt idx="210">
                  <c:v>1445811.821</c:v>
                </c:pt>
                <c:pt idx="211">
                  <c:v>1445811.821</c:v>
                </c:pt>
                <c:pt idx="212">
                  <c:v>1445811.821</c:v>
                </c:pt>
                <c:pt idx="213">
                  <c:v>1445811.821</c:v>
                </c:pt>
                <c:pt idx="214">
                  <c:v>1445811.821</c:v>
                </c:pt>
                <c:pt idx="215">
                  <c:v>1445811.821</c:v>
                </c:pt>
                <c:pt idx="216">
                  <c:v>1445811.821</c:v>
                </c:pt>
                <c:pt idx="217">
                  <c:v>1445811.821</c:v>
                </c:pt>
                <c:pt idx="218">
                  <c:v>1445811.821</c:v>
                </c:pt>
                <c:pt idx="219">
                  <c:v>1445811.821</c:v>
                </c:pt>
                <c:pt idx="220">
                  <c:v>1445811.821</c:v>
                </c:pt>
                <c:pt idx="221">
                  <c:v>1445811.821</c:v>
                </c:pt>
                <c:pt idx="222">
                  <c:v>1445811.821</c:v>
                </c:pt>
                <c:pt idx="223">
                  <c:v>1445811.821</c:v>
                </c:pt>
                <c:pt idx="224">
                  <c:v>1445811.821</c:v>
                </c:pt>
                <c:pt idx="225">
                  <c:v>1445811.821</c:v>
                </c:pt>
                <c:pt idx="226">
                  <c:v>1445811.821</c:v>
                </c:pt>
                <c:pt idx="227">
                  <c:v>1445811.821</c:v>
                </c:pt>
                <c:pt idx="228">
                  <c:v>1445811.821</c:v>
                </c:pt>
                <c:pt idx="229">
                  <c:v>1445811.821</c:v>
                </c:pt>
                <c:pt idx="230">
                  <c:v>1445811.821</c:v>
                </c:pt>
                <c:pt idx="231">
                  <c:v>1445811.821</c:v>
                </c:pt>
                <c:pt idx="232">
                  <c:v>1445811.821</c:v>
                </c:pt>
                <c:pt idx="233">
                  <c:v>1445811.821</c:v>
                </c:pt>
                <c:pt idx="234">
                  <c:v>1445811.821</c:v>
                </c:pt>
                <c:pt idx="235">
                  <c:v>1445811.821</c:v>
                </c:pt>
                <c:pt idx="236">
                  <c:v>1445811.821</c:v>
                </c:pt>
                <c:pt idx="237">
                  <c:v>1445811.821</c:v>
                </c:pt>
                <c:pt idx="238">
                  <c:v>1445811.821</c:v>
                </c:pt>
                <c:pt idx="239">
                  <c:v>1445811.821</c:v>
                </c:pt>
                <c:pt idx="240">
                  <c:v>1445811.821</c:v>
                </c:pt>
                <c:pt idx="241">
                  <c:v>1445811.821</c:v>
                </c:pt>
                <c:pt idx="242">
                  <c:v>1445811.821</c:v>
                </c:pt>
                <c:pt idx="243">
                  <c:v>1445811.821</c:v>
                </c:pt>
                <c:pt idx="244">
                  <c:v>1445811.821</c:v>
                </c:pt>
                <c:pt idx="245">
                  <c:v>1445811.821</c:v>
                </c:pt>
                <c:pt idx="246">
                  <c:v>1445811.821</c:v>
                </c:pt>
                <c:pt idx="247">
                  <c:v>1445811.821</c:v>
                </c:pt>
                <c:pt idx="248">
                  <c:v>1445811.821</c:v>
                </c:pt>
                <c:pt idx="249">
                  <c:v>1445811.821</c:v>
                </c:pt>
                <c:pt idx="250">
                  <c:v>1445811.821</c:v>
                </c:pt>
                <c:pt idx="251">
                  <c:v>1445811.821</c:v>
                </c:pt>
                <c:pt idx="252">
                  <c:v>1445811.821</c:v>
                </c:pt>
                <c:pt idx="253">
                  <c:v>1445811.821</c:v>
                </c:pt>
                <c:pt idx="254">
                  <c:v>1445811.821</c:v>
                </c:pt>
                <c:pt idx="255">
                  <c:v>1445811.821</c:v>
                </c:pt>
                <c:pt idx="256">
                  <c:v>1445811.821</c:v>
                </c:pt>
                <c:pt idx="257">
                  <c:v>1445811.821</c:v>
                </c:pt>
                <c:pt idx="258">
                  <c:v>1445811.821</c:v>
                </c:pt>
                <c:pt idx="259">
                  <c:v>1445811.821</c:v>
                </c:pt>
                <c:pt idx="260">
                  <c:v>1445811.821</c:v>
                </c:pt>
                <c:pt idx="261">
                  <c:v>1445811.821</c:v>
                </c:pt>
                <c:pt idx="262">
                  <c:v>1445811.821</c:v>
                </c:pt>
                <c:pt idx="263">
                  <c:v>1445811.821</c:v>
                </c:pt>
                <c:pt idx="264">
                  <c:v>1445811.821</c:v>
                </c:pt>
                <c:pt idx="265">
                  <c:v>1445811.821</c:v>
                </c:pt>
                <c:pt idx="266">
                  <c:v>1445811.821</c:v>
                </c:pt>
                <c:pt idx="267">
                  <c:v>1445811.821</c:v>
                </c:pt>
                <c:pt idx="268">
                  <c:v>1445811.821</c:v>
                </c:pt>
                <c:pt idx="269">
                  <c:v>1445811.821</c:v>
                </c:pt>
                <c:pt idx="270">
                  <c:v>1445811.821</c:v>
                </c:pt>
                <c:pt idx="271">
                  <c:v>1445811.821</c:v>
                </c:pt>
                <c:pt idx="272">
                  <c:v>1445811.821</c:v>
                </c:pt>
                <c:pt idx="273">
                  <c:v>1445811.821</c:v>
                </c:pt>
                <c:pt idx="274">
                  <c:v>1445811.821</c:v>
                </c:pt>
                <c:pt idx="275">
                  <c:v>1445811.821</c:v>
                </c:pt>
                <c:pt idx="276">
                  <c:v>1445811.821</c:v>
                </c:pt>
                <c:pt idx="277">
                  <c:v>1445811.821</c:v>
                </c:pt>
                <c:pt idx="278">
                  <c:v>1445811.821</c:v>
                </c:pt>
                <c:pt idx="279">
                  <c:v>1445811.821</c:v>
                </c:pt>
                <c:pt idx="280">
                  <c:v>1445811.821</c:v>
                </c:pt>
                <c:pt idx="281">
                  <c:v>1445811.821</c:v>
                </c:pt>
                <c:pt idx="282">
                  <c:v>1445811.821</c:v>
                </c:pt>
                <c:pt idx="283">
                  <c:v>1445811.821</c:v>
                </c:pt>
                <c:pt idx="284">
                  <c:v>1445811.821</c:v>
                </c:pt>
                <c:pt idx="285">
                  <c:v>1445811.821</c:v>
                </c:pt>
                <c:pt idx="286">
                  <c:v>1445811.821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858937.99500000011</c:v>
                </c:pt>
                <c:pt idx="20">
                  <c:v>853294.39500000002</c:v>
                </c:pt>
                <c:pt idx="21">
                  <c:v>828410.05750000011</c:v>
                </c:pt>
                <c:pt idx="22">
                  <c:v>763129.87250000006</c:v>
                </c:pt>
                <c:pt idx="23">
                  <c:v>688476.77</c:v>
                </c:pt>
                <c:pt idx="24">
                  <c:v>688476.77</c:v>
                </c:pt>
                <c:pt idx="25">
                  <c:v>662508.81649999996</c:v>
                </c:pt>
                <c:pt idx="26">
                  <c:v>662508.81649999996</c:v>
                </c:pt>
                <c:pt idx="27">
                  <c:v>637624.45900000003</c:v>
                </c:pt>
                <c:pt idx="28">
                  <c:v>637624.45900000003</c:v>
                </c:pt>
                <c:pt idx="29">
                  <c:v>631624.45900000003</c:v>
                </c:pt>
                <c:pt idx="30">
                  <c:v>631624.45900000003</c:v>
                </c:pt>
                <c:pt idx="31">
                  <c:v>631624.45900000003</c:v>
                </c:pt>
                <c:pt idx="32">
                  <c:v>631624.45900000003</c:v>
                </c:pt>
                <c:pt idx="33">
                  <c:v>631624.45900000003</c:v>
                </c:pt>
                <c:pt idx="34">
                  <c:v>631624.45900000003</c:v>
                </c:pt>
                <c:pt idx="35">
                  <c:v>631624.45900000003</c:v>
                </c:pt>
                <c:pt idx="36">
                  <c:v>631624.45900000003</c:v>
                </c:pt>
                <c:pt idx="37">
                  <c:v>631624.45900000003</c:v>
                </c:pt>
                <c:pt idx="38">
                  <c:v>631624.45900000003</c:v>
                </c:pt>
                <c:pt idx="39">
                  <c:v>631624.45900000003</c:v>
                </c:pt>
                <c:pt idx="40">
                  <c:v>631624.45900000003</c:v>
                </c:pt>
                <c:pt idx="41">
                  <c:v>631624.45900000003</c:v>
                </c:pt>
                <c:pt idx="42">
                  <c:v>631624.45900000003</c:v>
                </c:pt>
                <c:pt idx="43">
                  <c:v>631624.45900000003</c:v>
                </c:pt>
                <c:pt idx="44">
                  <c:v>631624.45900000003</c:v>
                </c:pt>
                <c:pt idx="45">
                  <c:v>631624.45900000003</c:v>
                </c:pt>
                <c:pt idx="46">
                  <c:v>631624.45900000003</c:v>
                </c:pt>
                <c:pt idx="47">
                  <c:v>631624.45900000003</c:v>
                </c:pt>
                <c:pt idx="48">
                  <c:v>631624.45900000003</c:v>
                </c:pt>
                <c:pt idx="49">
                  <c:v>631624.45900000003</c:v>
                </c:pt>
                <c:pt idx="50">
                  <c:v>631624.45900000003</c:v>
                </c:pt>
                <c:pt idx="51">
                  <c:v>631624.45900000003</c:v>
                </c:pt>
                <c:pt idx="52">
                  <c:v>631624.45900000003</c:v>
                </c:pt>
                <c:pt idx="53">
                  <c:v>631624.45900000003</c:v>
                </c:pt>
                <c:pt idx="54">
                  <c:v>631624.45900000003</c:v>
                </c:pt>
                <c:pt idx="55">
                  <c:v>631624.45900000003</c:v>
                </c:pt>
                <c:pt idx="56">
                  <c:v>631624.45900000003</c:v>
                </c:pt>
                <c:pt idx="57">
                  <c:v>631624.45900000003</c:v>
                </c:pt>
                <c:pt idx="58">
                  <c:v>631624.45900000003</c:v>
                </c:pt>
                <c:pt idx="59">
                  <c:v>631624.45900000003</c:v>
                </c:pt>
                <c:pt idx="60">
                  <c:v>631624.45900000003</c:v>
                </c:pt>
                <c:pt idx="61">
                  <c:v>631624.45900000003</c:v>
                </c:pt>
                <c:pt idx="62">
                  <c:v>631624.45900000003</c:v>
                </c:pt>
                <c:pt idx="63">
                  <c:v>631624.45900000003</c:v>
                </c:pt>
                <c:pt idx="64">
                  <c:v>631624.45900000003</c:v>
                </c:pt>
                <c:pt idx="65">
                  <c:v>631624.45900000003</c:v>
                </c:pt>
                <c:pt idx="66">
                  <c:v>631624.45900000003</c:v>
                </c:pt>
                <c:pt idx="67">
                  <c:v>631624.45900000003</c:v>
                </c:pt>
                <c:pt idx="68">
                  <c:v>631624.45900000003</c:v>
                </c:pt>
                <c:pt idx="69">
                  <c:v>631624.45900000003</c:v>
                </c:pt>
                <c:pt idx="70">
                  <c:v>631624.45900000003</c:v>
                </c:pt>
                <c:pt idx="71">
                  <c:v>631624.45900000003</c:v>
                </c:pt>
                <c:pt idx="72">
                  <c:v>631624.45900000003</c:v>
                </c:pt>
                <c:pt idx="73">
                  <c:v>631624.45900000003</c:v>
                </c:pt>
                <c:pt idx="74">
                  <c:v>631624.45900000003</c:v>
                </c:pt>
                <c:pt idx="75">
                  <c:v>631624.45900000003</c:v>
                </c:pt>
                <c:pt idx="76">
                  <c:v>631624.45900000003</c:v>
                </c:pt>
                <c:pt idx="77">
                  <c:v>631624.45900000003</c:v>
                </c:pt>
                <c:pt idx="78">
                  <c:v>631624.45900000003</c:v>
                </c:pt>
                <c:pt idx="79">
                  <c:v>631624.45900000003</c:v>
                </c:pt>
                <c:pt idx="80">
                  <c:v>631624.45900000003</c:v>
                </c:pt>
                <c:pt idx="81">
                  <c:v>631624.45900000003</c:v>
                </c:pt>
                <c:pt idx="82">
                  <c:v>631624.45900000003</c:v>
                </c:pt>
                <c:pt idx="83">
                  <c:v>631624.45900000003</c:v>
                </c:pt>
                <c:pt idx="84">
                  <c:v>631624.45900000003</c:v>
                </c:pt>
                <c:pt idx="85">
                  <c:v>631624.45900000003</c:v>
                </c:pt>
                <c:pt idx="86">
                  <c:v>631624.45900000003</c:v>
                </c:pt>
                <c:pt idx="87">
                  <c:v>631624.45900000003</c:v>
                </c:pt>
                <c:pt idx="88">
                  <c:v>631624.45900000003</c:v>
                </c:pt>
                <c:pt idx="89">
                  <c:v>631624.45900000003</c:v>
                </c:pt>
                <c:pt idx="90">
                  <c:v>631624.45900000003</c:v>
                </c:pt>
                <c:pt idx="91">
                  <c:v>631624.45900000003</c:v>
                </c:pt>
                <c:pt idx="92">
                  <c:v>631624.45900000003</c:v>
                </c:pt>
                <c:pt idx="93">
                  <c:v>631624.45900000003</c:v>
                </c:pt>
                <c:pt idx="94">
                  <c:v>631624.45900000003</c:v>
                </c:pt>
                <c:pt idx="95">
                  <c:v>631624.45900000003</c:v>
                </c:pt>
                <c:pt idx="96">
                  <c:v>631624.45900000003</c:v>
                </c:pt>
                <c:pt idx="97">
                  <c:v>631624.45900000003</c:v>
                </c:pt>
                <c:pt idx="98">
                  <c:v>631624.45900000003</c:v>
                </c:pt>
                <c:pt idx="99">
                  <c:v>631624.45900000003</c:v>
                </c:pt>
                <c:pt idx="100">
                  <c:v>631624.45900000003</c:v>
                </c:pt>
                <c:pt idx="101">
                  <c:v>631624.45900000003</c:v>
                </c:pt>
                <c:pt idx="102">
                  <c:v>631624.45900000003</c:v>
                </c:pt>
                <c:pt idx="103">
                  <c:v>631624.45900000003</c:v>
                </c:pt>
                <c:pt idx="104">
                  <c:v>631624.45900000003</c:v>
                </c:pt>
                <c:pt idx="105">
                  <c:v>631624.45900000003</c:v>
                </c:pt>
                <c:pt idx="106">
                  <c:v>631624.45900000003</c:v>
                </c:pt>
                <c:pt idx="107">
                  <c:v>631624.45900000003</c:v>
                </c:pt>
                <c:pt idx="108">
                  <c:v>631624.45900000003</c:v>
                </c:pt>
                <c:pt idx="109">
                  <c:v>631624.45900000003</c:v>
                </c:pt>
                <c:pt idx="110">
                  <c:v>631624.45900000003</c:v>
                </c:pt>
                <c:pt idx="111">
                  <c:v>631624.45900000003</c:v>
                </c:pt>
                <c:pt idx="112">
                  <c:v>631624.45900000003</c:v>
                </c:pt>
                <c:pt idx="113">
                  <c:v>631624.45900000003</c:v>
                </c:pt>
                <c:pt idx="114">
                  <c:v>631624.45900000003</c:v>
                </c:pt>
                <c:pt idx="115">
                  <c:v>631624.45900000003</c:v>
                </c:pt>
                <c:pt idx="116">
                  <c:v>631624.45900000003</c:v>
                </c:pt>
                <c:pt idx="117">
                  <c:v>631624.45900000003</c:v>
                </c:pt>
                <c:pt idx="118">
                  <c:v>631624.45900000003</c:v>
                </c:pt>
                <c:pt idx="119">
                  <c:v>631624.45900000003</c:v>
                </c:pt>
                <c:pt idx="120">
                  <c:v>631624.45900000003</c:v>
                </c:pt>
                <c:pt idx="121">
                  <c:v>631624.45900000003</c:v>
                </c:pt>
                <c:pt idx="122">
                  <c:v>631624.45900000003</c:v>
                </c:pt>
                <c:pt idx="123">
                  <c:v>631624.45900000003</c:v>
                </c:pt>
                <c:pt idx="124">
                  <c:v>631624.45900000003</c:v>
                </c:pt>
                <c:pt idx="125">
                  <c:v>631624.45900000003</c:v>
                </c:pt>
                <c:pt idx="126">
                  <c:v>631624.45900000003</c:v>
                </c:pt>
                <c:pt idx="127">
                  <c:v>631624.45900000003</c:v>
                </c:pt>
                <c:pt idx="128">
                  <c:v>631624.45900000003</c:v>
                </c:pt>
                <c:pt idx="129">
                  <c:v>631624.45900000003</c:v>
                </c:pt>
                <c:pt idx="130">
                  <c:v>631624.45900000003</c:v>
                </c:pt>
                <c:pt idx="131">
                  <c:v>631624.45900000003</c:v>
                </c:pt>
                <c:pt idx="132">
                  <c:v>631624.45900000003</c:v>
                </c:pt>
                <c:pt idx="133">
                  <c:v>631624.45900000003</c:v>
                </c:pt>
                <c:pt idx="134">
                  <c:v>631624.45900000003</c:v>
                </c:pt>
                <c:pt idx="135">
                  <c:v>631624.45900000003</c:v>
                </c:pt>
                <c:pt idx="136">
                  <c:v>631624.45900000003</c:v>
                </c:pt>
                <c:pt idx="137">
                  <c:v>631624.45900000003</c:v>
                </c:pt>
                <c:pt idx="138">
                  <c:v>631624.45900000003</c:v>
                </c:pt>
                <c:pt idx="139">
                  <c:v>631624.45900000003</c:v>
                </c:pt>
                <c:pt idx="140">
                  <c:v>631624.45900000003</c:v>
                </c:pt>
                <c:pt idx="141">
                  <c:v>631624.45900000003</c:v>
                </c:pt>
                <c:pt idx="142">
                  <c:v>631624.45900000003</c:v>
                </c:pt>
                <c:pt idx="143">
                  <c:v>631624.45900000003</c:v>
                </c:pt>
                <c:pt idx="144">
                  <c:v>631624.45900000003</c:v>
                </c:pt>
                <c:pt idx="145">
                  <c:v>631624.45900000003</c:v>
                </c:pt>
                <c:pt idx="146">
                  <c:v>631624.45900000003</c:v>
                </c:pt>
                <c:pt idx="147">
                  <c:v>631624.45900000003</c:v>
                </c:pt>
                <c:pt idx="148">
                  <c:v>631624.45900000003</c:v>
                </c:pt>
                <c:pt idx="149">
                  <c:v>631624.45900000003</c:v>
                </c:pt>
                <c:pt idx="150">
                  <c:v>631624.45900000003</c:v>
                </c:pt>
                <c:pt idx="151">
                  <c:v>631624.45900000003</c:v>
                </c:pt>
                <c:pt idx="152">
                  <c:v>631624.45900000003</c:v>
                </c:pt>
                <c:pt idx="153">
                  <c:v>631624.45900000003</c:v>
                </c:pt>
                <c:pt idx="154">
                  <c:v>631624.45900000003</c:v>
                </c:pt>
                <c:pt idx="155">
                  <c:v>631624.45900000003</c:v>
                </c:pt>
                <c:pt idx="156">
                  <c:v>631624.45900000003</c:v>
                </c:pt>
                <c:pt idx="157">
                  <c:v>631624.45900000003</c:v>
                </c:pt>
                <c:pt idx="158">
                  <c:v>631624.45900000003</c:v>
                </c:pt>
                <c:pt idx="159">
                  <c:v>631624.45900000003</c:v>
                </c:pt>
                <c:pt idx="160">
                  <c:v>631624.45900000003</c:v>
                </c:pt>
                <c:pt idx="161">
                  <c:v>631624.45900000003</c:v>
                </c:pt>
                <c:pt idx="162">
                  <c:v>631624.45900000003</c:v>
                </c:pt>
                <c:pt idx="163">
                  <c:v>631624.45900000003</c:v>
                </c:pt>
                <c:pt idx="164">
                  <c:v>631624.45900000003</c:v>
                </c:pt>
                <c:pt idx="165">
                  <c:v>631624.45900000003</c:v>
                </c:pt>
                <c:pt idx="166">
                  <c:v>631624.45900000003</c:v>
                </c:pt>
                <c:pt idx="167">
                  <c:v>631624.45900000003</c:v>
                </c:pt>
                <c:pt idx="168">
                  <c:v>631624.45900000003</c:v>
                </c:pt>
                <c:pt idx="169">
                  <c:v>631624.45900000003</c:v>
                </c:pt>
                <c:pt idx="170">
                  <c:v>631624.45900000003</c:v>
                </c:pt>
                <c:pt idx="171">
                  <c:v>631624.45900000003</c:v>
                </c:pt>
                <c:pt idx="172">
                  <c:v>631624.45900000003</c:v>
                </c:pt>
                <c:pt idx="173">
                  <c:v>631624.45900000003</c:v>
                </c:pt>
                <c:pt idx="174">
                  <c:v>631624.45900000003</c:v>
                </c:pt>
                <c:pt idx="175">
                  <c:v>631624.45900000003</c:v>
                </c:pt>
                <c:pt idx="176">
                  <c:v>631624.45900000003</c:v>
                </c:pt>
                <c:pt idx="177">
                  <c:v>631624.45900000003</c:v>
                </c:pt>
                <c:pt idx="178">
                  <c:v>631624.45900000003</c:v>
                </c:pt>
                <c:pt idx="179">
                  <c:v>631624.45900000003</c:v>
                </c:pt>
                <c:pt idx="180">
                  <c:v>631624.45900000003</c:v>
                </c:pt>
                <c:pt idx="181">
                  <c:v>631624.45900000003</c:v>
                </c:pt>
                <c:pt idx="182">
                  <c:v>631624.45900000003</c:v>
                </c:pt>
                <c:pt idx="183">
                  <c:v>631624.45900000003</c:v>
                </c:pt>
                <c:pt idx="184">
                  <c:v>631624.45900000003</c:v>
                </c:pt>
                <c:pt idx="185">
                  <c:v>631624.45900000003</c:v>
                </c:pt>
                <c:pt idx="186">
                  <c:v>631624.45900000003</c:v>
                </c:pt>
                <c:pt idx="187">
                  <c:v>631624.45900000003</c:v>
                </c:pt>
                <c:pt idx="188">
                  <c:v>631624.45900000003</c:v>
                </c:pt>
                <c:pt idx="189">
                  <c:v>631624.45900000003</c:v>
                </c:pt>
                <c:pt idx="190">
                  <c:v>631624.45900000003</c:v>
                </c:pt>
                <c:pt idx="191">
                  <c:v>631624.45900000003</c:v>
                </c:pt>
                <c:pt idx="192">
                  <c:v>631624.45900000003</c:v>
                </c:pt>
                <c:pt idx="193">
                  <c:v>631624.45900000003</c:v>
                </c:pt>
                <c:pt idx="194">
                  <c:v>631624.45900000003</c:v>
                </c:pt>
                <c:pt idx="195">
                  <c:v>631624.45900000003</c:v>
                </c:pt>
                <c:pt idx="196">
                  <c:v>631624.45900000003</c:v>
                </c:pt>
                <c:pt idx="197">
                  <c:v>631624.45900000003</c:v>
                </c:pt>
                <c:pt idx="198">
                  <c:v>631624.45900000003</c:v>
                </c:pt>
                <c:pt idx="199">
                  <c:v>631624.45900000003</c:v>
                </c:pt>
                <c:pt idx="200">
                  <c:v>631624.45900000003</c:v>
                </c:pt>
                <c:pt idx="201">
                  <c:v>631624.45900000003</c:v>
                </c:pt>
                <c:pt idx="202">
                  <c:v>631624.45900000003</c:v>
                </c:pt>
                <c:pt idx="203">
                  <c:v>631624.45900000003</c:v>
                </c:pt>
                <c:pt idx="204">
                  <c:v>631624.45900000003</c:v>
                </c:pt>
                <c:pt idx="205">
                  <c:v>631624.45900000003</c:v>
                </c:pt>
                <c:pt idx="206">
                  <c:v>631624.45900000003</c:v>
                </c:pt>
                <c:pt idx="207">
                  <c:v>631624.45900000003</c:v>
                </c:pt>
                <c:pt idx="208">
                  <c:v>631624.45900000003</c:v>
                </c:pt>
                <c:pt idx="209">
                  <c:v>631624.45900000003</c:v>
                </c:pt>
                <c:pt idx="210">
                  <c:v>631624.45900000003</c:v>
                </c:pt>
                <c:pt idx="211">
                  <c:v>631624.45900000003</c:v>
                </c:pt>
                <c:pt idx="212">
                  <c:v>631624.45900000003</c:v>
                </c:pt>
                <c:pt idx="213">
                  <c:v>631624.45900000003</c:v>
                </c:pt>
                <c:pt idx="214">
                  <c:v>631624.45900000003</c:v>
                </c:pt>
                <c:pt idx="215">
                  <c:v>631624.45900000003</c:v>
                </c:pt>
                <c:pt idx="216">
                  <c:v>631624.45900000003</c:v>
                </c:pt>
                <c:pt idx="217">
                  <c:v>631624.45900000003</c:v>
                </c:pt>
                <c:pt idx="218">
                  <c:v>631624.45900000003</c:v>
                </c:pt>
                <c:pt idx="219">
                  <c:v>631624.45900000003</c:v>
                </c:pt>
                <c:pt idx="220">
                  <c:v>631624.45900000003</c:v>
                </c:pt>
                <c:pt idx="221">
                  <c:v>631624.45900000003</c:v>
                </c:pt>
                <c:pt idx="222">
                  <c:v>631624.45900000003</c:v>
                </c:pt>
                <c:pt idx="223">
                  <c:v>631624.45900000003</c:v>
                </c:pt>
                <c:pt idx="224">
                  <c:v>631624.45900000003</c:v>
                </c:pt>
                <c:pt idx="225">
                  <c:v>631624.45900000003</c:v>
                </c:pt>
                <c:pt idx="226">
                  <c:v>631624.45900000003</c:v>
                </c:pt>
                <c:pt idx="227">
                  <c:v>631624.45900000003</c:v>
                </c:pt>
                <c:pt idx="228">
                  <c:v>631624.45900000003</c:v>
                </c:pt>
                <c:pt idx="229">
                  <c:v>631624.45900000003</c:v>
                </c:pt>
                <c:pt idx="230">
                  <c:v>631624.45900000003</c:v>
                </c:pt>
                <c:pt idx="231">
                  <c:v>631624.45900000003</c:v>
                </c:pt>
                <c:pt idx="232">
                  <c:v>631624.45900000003</c:v>
                </c:pt>
                <c:pt idx="233">
                  <c:v>631624.45900000003</c:v>
                </c:pt>
                <c:pt idx="234">
                  <c:v>631624.45900000003</c:v>
                </c:pt>
                <c:pt idx="235">
                  <c:v>631624.45900000003</c:v>
                </c:pt>
                <c:pt idx="236">
                  <c:v>631624.45900000003</c:v>
                </c:pt>
                <c:pt idx="237">
                  <c:v>631624.45900000003</c:v>
                </c:pt>
                <c:pt idx="238">
                  <c:v>631624.45900000003</c:v>
                </c:pt>
                <c:pt idx="239">
                  <c:v>631624.45900000003</c:v>
                </c:pt>
                <c:pt idx="240">
                  <c:v>631624.45900000003</c:v>
                </c:pt>
                <c:pt idx="241">
                  <c:v>631624.45900000003</c:v>
                </c:pt>
                <c:pt idx="242">
                  <c:v>631624.45900000003</c:v>
                </c:pt>
                <c:pt idx="243">
                  <c:v>631624.45900000003</c:v>
                </c:pt>
                <c:pt idx="244">
                  <c:v>631624.45900000003</c:v>
                </c:pt>
                <c:pt idx="245">
                  <c:v>631624.45900000003</c:v>
                </c:pt>
                <c:pt idx="246">
                  <c:v>631624.45900000003</c:v>
                </c:pt>
                <c:pt idx="247">
                  <c:v>631624.45900000003</c:v>
                </c:pt>
                <c:pt idx="248">
                  <c:v>631624.45900000003</c:v>
                </c:pt>
                <c:pt idx="249">
                  <c:v>631624.45900000003</c:v>
                </c:pt>
                <c:pt idx="250">
                  <c:v>631624.45900000003</c:v>
                </c:pt>
                <c:pt idx="251">
                  <c:v>631624.45900000003</c:v>
                </c:pt>
                <c:pt idx="252">
                  <c:v>631624.45900000003</c:v>
                </c:pt>
                <c:pt idx="253">
                  <c:v>631624.45900000003</c:v>
                </c:pt>
                <c:pt idx="254">
                  <c:v>631624.45900000003</c:v>
                </c:pt>
                <c:pt idx="255">
                  <c:v>631624.45900000003</c:v>
                </c:pt>
                <c:pt idx="256">
                  <c:v>631624.45900000003</c:v>
                </c:pt>
                <c:pt idx="257">
                  <c:v>631624.45900000003</c:v>
                </c:pt>
                <c:pt idx="258">
                  <c:v>631624.45900000003</c:v>
                </c:pt>
                <c:pt idx="259">
                  <c:v>631624.45900000003</c:v>
                </c:pt>
                <c:pt idx="260">
                  <c:v>631624.45900000003</c:v>
                </c:pt>
                <c:pt idx="261">
                  <c:v>631624.45900000003</c:v>
                </c:pt>
                <c:pt idx="262">
                  <c:v>631624.45900000003</c:v>
                </c:pt>
                <c:pt idx="263">
                  <c:v>631624.45900000003</c:v>
                </c:pt>
                <c:pt idx="264">
                  <c:v>631624.45900000003</c:v>
                </c:pt>
                <c:pt idx="265">
                  <c:v>631624.45900000003</c:v>
                </c:pt>
                <c:pt idx="266">
                  <c:v>631624.45900000003</c:v>
                </c:pt>
                <c:pt idx="267">
                  <c:v>631624.45900000003</c:v>
                </c:pt>
                <c:pt idx="268">
                  <c:v>631624.45900000003</c:v>
                </c:pt>
                <c:pt idx="269">
                  <c:v>631624.45900000003</c:v>
                </c:pt>
                <c:pt idx="270">
                  <c:v>631624.45900000003</c:v>
                </c:pt>
                <c:pt idx="271">
                  <c:v>631624.45900000003</c:v>
                </c:pt>
                <c:pt idx="272">
                  <c:v>631624.45900000003</c:v>
                </c:pt>
                <c:pt idx="273">
                  <c:v>631624.45900000003</c:v>
                </c:pt>
                <c:pt idx="274">
                  <c:v>631624.45900000003</c:v>
                </c:pt>
                <c:pt idx="275">
                  <c:v>631624.45900000003</c:v>
                </c:pt>
                <c:pt idx="276">
                  <c:v>631624.45900000003</c:v>
                </c:pt>
                <c:pt idx="277">
                  <c:v>631624.45900000003</c:v>
                </c:pt>
                <c:pt idx="278">
                  <c:v>631624.45900000003</c:v>
                </c:pt>
                <c:pt idx="279">
                  <c:v>631624.45900000003</c:v>
                </c:pt>
                <c:pt idx="280">
                  <c:v>631624.45900000003</c:v>
                </c:pt>
                <c:pt idx="281">
                  <c:v>631624.45900000003</c:v>
                </c:pt>
                <c:pt idx="282">
                  <c:v>631624.45900000003</c:v>
                </c:pt>
                <c:pt idx="283">
                  <c:v>631624.45900000003</c:v>
                </c:pt>
                <c:pt idx="284">
                  <c:v>631624.45900000003</c:v>
                </c:pt>
                <c:pt idx="285">
                  <c:v>631624.45900000003</c:v>
                </c:pt>
                <c:pt idx="286">
                  <c:v>631624.45900000003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2077435.9144529467</c:v>
                </c:pt>
                <c:pt idx="22">
                  <c:v>2077435.9144529467</c:v>
                </c:pt>
                <c:pt idx="23">
                  <c:v>2077435.9144529467</c:v>
                </c:pt>
                <c:pt idx="24">
                  <c:v>2077435.9144529467</c:v>
                </c:pt>
                <c:pt idx="25">
                  <c:v>2077435.9144529467</c:v>
                </c:pt>
                <c:pt idx="26">
                  <c:v>2077435.9144529467</c:v>
                </c:pt>
                <c:pt idx="27">
                  <c:v>2077435.9144529467</c:v>
                </c:pt>
                <c:pt idx="28">
                  <c:v>2077435.9144529467</c:v>
                </c:pt>
                <c:pt idx="29">
                  <c:v>2077435.9144529467</c:v>
                </c:pt>
                <c:pt idx="30">
                  <c:v>2077435.9144529467</c:v>
                </c:pt>
                <c:pt idx="31">
                  <c:v>2077435.9144529467</c:v>
                </c:pt>
                <c:pt idx="32">
                  <c:v>2077435.9144529467</c:v>
                </c:pt>
                <c:pt idx="33">
                  <c:v>2077435.9144529467</c:v>
                </c:pt>
                <c:pt idx="34">
                  <c:v>2077435.9144529467</c:v>
                </c:pt>
                <c:pt idx="35">
                  <c:v>2077435.9144529467</c:v>
                </c:pt>
                <c:pt idx="36">
                  <c:v>2077435.9144529467</c:v>
                </c:pt>
                <c:pt idx="37">
                  <c:v>2077435.9144529467</c:v>
                </c:pt>
                <c:pt idx="38">
                  <c:v>2077435.9144529467</c:v>
                </c:pt>
                <c:pt idx="39">
                  <c:v>2077435.9144529467</c:v>
                </c:pt>
                <c:pt idx="40">
                  <c:v>2077435.9144529467</c:v>
                </c:pt>
                <c:pt idx="41">
                  <c:v>2077435.9144529467</c:v>
                </c:pt>
                <c:pt idx="42">
                  <c:v>2077435.9144529467</c:v>
                </c:pt>
                <c:pt idx="43">
                  <c:v>2077435.9144529467</c:v>
                </c:pt>
                <c:pt idx="44">
                  <c:v>2077435.9144529467</c:v>
                </c:pt>
                <c:pt idx="45">
                  <c:v>2077435.9144529467</c:v>
                </c:pt>
                <c:pt idx="46">
                  <c:v>2077435.9144529467</c:v>
                </c:pt>
                <c:pt idx="47">
                  <c:v>2077435.9144529467</c:v>
                </c:pt>
                <c:pt idx="48">
                  <c:v>2077435.9144529467</c:v>
                </c:pt>
                <c:pt idx="49">
                  <c:v>2077435.9144529467</c:v>
                </c:pt>
                <c:pt idx="50">
                  <c:v>2077435.9144529467</c:v>
                </c:pt>
                <c:pt idx="51">
                  <c:v>2077435.9144529467</c:v>
                </c:pt>
                <c:pt idx="52">
                  <c:v>2077435.9144529467</c:v>
                </c:pt>
                <c:pt idx="53">
                  <c:v>2077435.9144529467</c:v>
                </c:pt>
                <c:pt idx="54">
                  <c:v>2077435.9144529467</c:v>
                </c:pt>
                <c:pt idx="55">
                  <c:v>2077435.9144529467</c:v>
                </c:pt>
                <c:pt idx="56">
                  <c:v>2077435.9144529467</c:v>
                </c:pt>
                <c:pt idx="57">
                  <c:v>2077435.9144529467</c:v>
                </c:pt>
                <c:pt idx="58">
                  <c:v>2077435.9144529467</c:v>
                </c:pt>
                <c:pt idx="59">
                  <c:v>2077435.9144529467</c:v>
                </c:pt>
                <c:pt idx="60">
                  <c:v>2077435.9144529467</c:v>
                </c:pt>
                <c:pt idx="61">
                  <c:v>2077435.9144529467</c:v>
                </c:pt>
                <c:pt idx="62">
                  <c:v>2077435.9144529467</c:v>
                </c:pt>
                <c:pt idx="63">
                  <c:v>2077435.9144529467</c:v>
                </c:pt>
                <c:pt idx="64">
                  <c:v>2077435.9144529467</c:v>
                </c:pt>
                <c:pt idx="65">
                  <c:v>2077435.9144529467</c:v>
                </c:pt>
                <c:pt idx="66">
                  <c:v>2077435.9144529467</c:v>
                </c:pt>
                <c:pt idx="67">
                  <c:v>2077435.9144529467</c:v>
                </c:pt>
                <c:pt idx="68">
                  <c:v>2077435.9144529467</c:v>
                </c:pt>
                <c:pt idx="69">
                  <c:v>2077435.9144529467</c:v>
                </c:pt>
                <c:pt idx="70">
                  <c:v>2077435.9144529467</c:v>
                </c:pt>
                <c:pt idx="71">
                  <c:v>2077435.9144529467</c:v>
                </c:pt>
                <c:pt idx="72">
                  <c:v>2077435.9144529467</c:v>
                </c:pt>
                <c:pt idx="73">
                  <c:v>2077435.9144529467</c:v>
                </c:pt>
                <c:pt idx="74">
                  <c:v>2077435.9144529467</c:v>
                </c:pt>
                <c:pt idx="75">
                  <c:v>2077435.9144529467</c:v>
                </c:pt>
                <c:pt idx="76">
                  <c:v>2077435.9144529467</c:v>
                </c:pt>
                <c:pt idx="77">
                  <c:v>2077435.9144529467</c:v>
                </c:pt>
                <c:pt idx="78">
                  <c:v>2077435.9144529467</c:v>
                </c:pt>
                <c:pt idx="79">
                  <c:v>2077435.9144529467</c:v>
                </c:pt>
                <c:pt idx="80">
                  <c:v>2077435.9144529467</c:v>
                </c:pt>
                <c:pt idx="81">
                  <c:v>2077435.9144529467</c:v>
                </c:pt>
                <c:pt idx="82">
                  <c:v>2077435.9144529467</c:v>
                </c:pt>
                <c:pt idx="83">
                  <c:v>2077435.9144529467</c:v>
                </c:pt>
                <c:pt idx="84">
                  <c:v>2077435.9144529467</c:v>
                </c:pt>
                <c:pt idx="85">
                  <c:v>2077435.9144529467</c:v>
                </c:pt>
                <c:pt idx="86">
                  <c:v>2077435.9144529467</c:v>
                </c:pt>
                <c:pt idx="87">
                  <c:v>2077435.9144529467</c:v>
                </c:pt>
                <c:pt idx="88">
                  <c:v>2077435.9144529467</c:v>
                </c:pt>
                <c:pt idx="89">
                  <c:v>2077435.9144529467</c:v>
                </c:pt>
                <c:pt idx="90">
                  <c:v>2077435.9144529467</c:v>
                </c:pt>
                <c:pt idx="91">
                  <c:v>2077435.9144529467</c:v>
                </c:pt>
                <c:pt idx="92">
                  <c:v>2077435.9144529467</c:v>
                </c:pt>
                <c:pt idx="93">
                  <c:v>2077435.9144529467</c:v>
                </c:pt>
                <c:pt idx="94">
                  <c:v>2077435.9144529467</c:v>
                </c:pt>
                <c:pt idx="95">
                  <c:v>2077435.9144529467</c:v>
                </c:pt>
                <c:pt idx="96">
                  <c:v>2077435.9144529467</c:v>
                </c:pt>
                <c:pt idx="97">
                  <c:v>2077435.9144529467</c:v>
                </c:pt>
                <c:pt idx="98">
                  <c:v>2077435.9144529467</c:v>
                </c:pt>
                <c:pt idx="99">
                  <c:v>2077435.9144529467</c:v>
                </c:pt>
                <c:pt idx="100">
                  <c:v>2077435.9144529467</c:v>
                </c:pt>
                <c:pt idx="101">
                  <c:v>2077435.9144529467</c:v>
                </c:pt>
                <c:pt idx="102">
                  <c:v>2077435.9144529467</c:v>
                </c:pt>
                <c:pt idx="103">
                  <c:v>2077435.9144529467</c:v>
                </c:pt>
                <c:pt idx="104">
                  <c:v>2077435.9144529467</c:v>
                </c:pt>
                <c:pt idx="105">
                  <c:v>2077435.9144529467</c:v>
                </c:pt>
                <c:pt idx="106">
                  <c:v>2077435.9144529467</c:v>
                </c:pt>
                <c:pt idx="107">
                  <c:v>2077435.9144529467</c:v>
                </c:pt>
                <c:pt idx="108">
                  <c:v>2077435.9144529467</c:v>
                </c:pt>
                <c:pt idx="109">
                  <c:v>2077435.9144529467</c:v>
                </c:pt>
                <c:pt idx="110">
                  <c:v>2077435.9144529467</c:v>
                </c:pt>
                <c:pt idx="111">
                  <c:v>2077435.9144529467</c:v>
                </c:pt>
                <c:pt idx="112">
                  <c:v>2077435.9144529467</c:v>
                </c:pt>
                <c:pt idx="113">
                  <c:v>2077435.9144529467</c:v>
                </c:pt>
                <c:pt idx="114">
                  <c:v>2077435.9144529467</c:v>
                </c:pt>
                <c:pt idx="115">
                  <c:v>2077435.9144529467</c:v>
                </c:pt>
                <c:pt idx="116">
                  <c:v>2077435.9144529467</c:v>
                </c:pt>
                <c:pt idx="117">
                  <c:v>2077435.9144529467</c:v>
                </c:pt>
                <c:pt idx="118">
                  <c:v>2077435.9144529467</c:v>
                </c:pt>
                <c:pt idx="119">
                  <c:v>2077435.9144529467</c:v>
                </c:pt>
                <c:pt idx="120">
                  <c:v>2077435.9144529467</c:v>
                </c:pt>
                <c:pt idx="121">
                  <c:v>2077435.9144529467</c:v>
                </c:pt>
                <c:pt idx="122">
                  <c:v>2077435.9144529467</c:v>
                </c:pt>
                <c:pt idx="123">
                  <c:v>2077435.9144529467</c:v>
                </c:pt>
                <c:pt idx="124">
                  <c:v>2077435.9144529467</c:v>
                </c:pt>
                <c:pt idx="125">
                  <c:v>2077435.9144529467</c:v>
                </c:pt>
                <c:pt idx="126">
                  <c:v>2077435.9144529467</c:v>
                </c:pt>
                <c:pt idx="127">
                  <c:v>2077435.9144529467</c:v>
                </c:pt>
                <c:pt idx="128">
                  <c:v>2077435.9144529467</c:v>
                </c:pt>
                <c:pt idx="129">
                  <c:v>2077435.9144529467</c:v>
                </c:pt>
                <c:pt idx="130">
                  <c:v>2077435.9144529467</c:v>
                </c:pt>
                <c:pt idx="131">
                  <c:v>2077435.9144529467</c:v>
                </c:pt>
                <c:pt idx="132">
                  <c:v>2077435.9144529467</c:v>
                </c:pt>
                <c:pt idx="133">
                  <c:v>2077435.9144529467</c:v>
                </c:pt>
                <c:pt idx="134">
                  <c:v>2077435.9144529467</c:v>
                </c:pt>
                <c:pt idx="135">
                  <c:v>2077435.9144529467</c:v>
                </c:pt>
                <c:pt idx="136">
                  <c:v>2077435.9144529467</c:v>
                </c:pt>
                <c:pt idx="137">
                  <c:v>2077435.9144529467</c:v>
                </c:pt>
                <c:pt idx="138">
                  <c:v>2077435.9144529467</c:v>
                </c:pt>
                <c:pt idx="139">
                  <c:v>2077435.9144529467</c:v>
                </c:pt>
                <c:pt idx="140">
                  <c:v>2077435.9144529467</c:v>
                </c:pt>
                <c:pt idx="141">
                  <c:v>2077435.9144529467</c:v>
                </c:pt>
                <c:pt idx="142">
                  <c:v>2077435.9144529467</c:v>
                </c:pt>
                <c:pt idx="143">
                  <c:v>2077435.9144529467</c:v>
                </c:pt>
                <c:pt idx="144">
                  <c:v>2077435.9144529467</c:v>
                </c:pt>
                <c:pt idx="145">
                  <c:v>2077435.9144529467</c:v>
                </c:pt>
                <c:pt idx="146">
                  <c:v>2077435.9144529467</c:v>
                </c:pt>
                <c:pt idx="147">
                  <c:v>2077435.9144529467</c:v>
                </c:pt>
                <c:pt idx="148">
                  <c:v>2077435.9144529467</c:v>
                </c:pt>
                <c:pt idx="149">
                  <c:v>2077435.9144529467</c:v>
                </c:pt>
                <c:pt idx="150">
                  <c:v>2077435.9144529467</c:v>
                </c:pt>
                <c:pt idx="151">
                  <c:v>2077435.9144529467</c:v>
                </c:pt>
                <c:pt idx="152">
                  <c:v>2077435.9144529467</c:v>
                </c:pt>
                <c:pt idx="153">
                  <c:v>2077435.9144529467</c:v>
                </c:pt>
                <c:pt idx="154">
                  <c:v>2077435.9144529467</c:v>
                </c:pt>
                <c:pt idx="155">
                  <c:v>2077435.9144529467</c:v>
                </c:pt>
                <c:pt idx="156">
                  <c:v>2077435.9144529467</c:v>
                </c:pt>
                <c:pt idx="157">
                  <c:v>2077435.9144529467</c:v>
                </c:pt>
                <c:pt idx="158">
                  <c:v>2077435.9144529467</c:v>
                </c:pt>
                <c:pt idx="159">
                  <c:v>2077435.9144529467</c:v>
                </c:pt>
                <c:pt idx="160">
                  <c:v>2077435.9144529467</c:v>
                </c:pt>
                <c:pt idx="161">
                  <c:v>2077435.9144529467</c:v>
                </c:pt>
                <c:pt idx="162">
                  <c:v>2077435.9144529467</c:v>
                </c:pt>
                <c:pt idx="163">
                  <c:v>2077435.9144529467</c:v>
                </c:pt>
                <c:pt idx="164">
                  <c:v>2077435.9144529467</c:v>
                </c:pt>
                <c:pt idx="165">
                  <c:v>2077435.9144529467</c:v>
                </c:pt>
                <c:pt idx="166">
                  <c:v>2077435.9144529467</c:v>
                </c:pt>
                <c:pt idx="167">
                  <c:v>2077435.9144529467</c:v>
                </c:pt>
                <c:pt idx="168">
                  <c:v>2077435.9144529467</c:v>
                </c:pt>
                <c:pt idx="169">
                  <c:v>2077435.9144529467</c:v>
                </c:pt>
                <c:pt idx="170">
                  <c:v>2077435.9144529467</c:v>
                </c:pt>
                <c:pt idx="171">
                  <c:v>2077435.9144529467</c:v>
                </c:pt>
                <c:pt idx="172">
                  <c:v>2077435.9144529467</c:v>
                </c:pt>
                <c:pt idx="173">
                  <c:v>2077435.9144529467</c:v>
                </c:pt>
                <c:pt idx="174">
                  <c:v>2077435.9144529467</c:v>
                </c:pt>
                <c:pt idx="175">
                  <c:v>2077435.9144529467</c:v>
                </c:pt>
                <c:pt idx="176">
                  <c:v>2077435.9144529467</c:v>
                </c:pt>
                <c:pt idx="177">
                  <c:v>2077435.9144529467</c:v>
                </c:pt>
                <c:pt idx="178">
                  <c:v>2077435.9144529467</c:v>
                </c:pt>
                <c:pt idx="179">
                  <c:v>2077435.9144529467</c:v>
                </c:pt>
                <c:pt idx="180">
                  <c:v>2077435.9144529467</c:v>
                </c:pt>
                <c:pt idx="181">
                  <c:v>2077435.9144529467</c:v>
                </c:pt>
                <c:pt idx="182">
                  <c:v>2077435.9144529467</c:v>
                </c:pt>
                <c:pt idx="183">
                  <c:v>2077435.9144529467</c:v>
                </c:pt>
                <c:pt idx="184">
                  <c:v>2077435.9144529467</c:v>
                </c:pt>
                <c:pt idx="185">
                  <c:v>2077435.9144529467</c:v>
                </c:pt>
                <c:pt idx="186">
                  <c:v>2077435.9144529467</c:v>
                </c:pt>
                <c:pt idx="187">
                  <c:v>2077435.9144529467</c:v>
                </c:pt>
                <c:pt idx="188">
                  <c:v>2077435.9144529467</c:v>
                </c:pt>
                <c:pt idx="189">
                  <c:v>2077435.9144529467</c:v>
                </c:pt>
                <c:pt idx="190">
                  <c:v>2077435.9144529467</c:v>
                </c:pt>
                <c:pt idx="191">
                  <c:v>2077435.9144529467</c:v>
                </c:pt>
                <c:pt idx="192">
                  <c:v>2077435.9144529467</c:v>
                </c:pt>
                <c:pt idx="193">
                  <c:v>2077435.9144529467</c:v>
                </c:pt>
                <c:pt idx="194">
                  <c:v>2077435.9144529467</c:v>
                </c:pt>
                <c:pt idx="195">
                  <c:v>2077435.9144529467</c:v>
                </c:pt>
                <c:pt idx="196">
                  <c:v>2077435.9144529467</c:v>
                </c:pt>
                <c:pt idx="197">
                  <c:v>2077435.9144529467</c:v>
                </c:pt>
                <c:pt idx="198">
                  <c:v>2077435.9144529467</c:v>
                </c:pt>
                <c:pt idx="199">
                  <c:v>2077435.9144529467</c:v>
                </c:pt>
                <c:pt idx="200">
                  <c:v>2077435.9144529467</c:v>
                </c:pt>
                <c:pt idx="201">
                  <c:v>2077435.9144529467</c:v>
                </c:pt>
                <c:pt idx="202">
                  <c:v>2077435.9144529467</c:v>
                </c:pt>
                <c:pt idx="203">
                  <c:v>2077435.9144529467</c:v>
                </c:pt>
                <c:pt idx="204">
                  <c:v>2077435.9144529467</c:v>
                </c:pt>
                <c:pt idx="205">
                  <c:v>2077435.9144529467</c:v>
                </c:pt>
                <c:pt idx="206">
                  <c:v>2077435.9144529467</c:v>
                </c:pt>
                <c:pt idx="207">
                  <c:v>2077435.9144529467</c:v>
                </c:pt>
                <c:pt idx="208">
                  <c:v>2077435.9144529467</c:v>
                </c:pt>
                <c:pt idx="209">
                  <c:v>2077435.9144529467</c:v>
                </c:pt>
                <c:pt idx="210">
                  <c:v>2077435.9144529467</c:v>
                </c:pt>
                <c:pt idx="211">
                  <c:v>2077435.9144529467</c:v>
                </c:pt>
                <c:pt idx="212">
                  <c:v>2077435.9144529467</c:v>
                </c:pt>
                <c:pt idx="213">
                  <c:v>2077435.9144529467</c:v>
                </c:pt>
                <c:pt idx="214">
                  <c:v>2077435.9144529467</c:v>
                </c:pt>
                <c:pt idx="215">
                  <c:v>2077435.9144529467</c:v>
                </c:pt>
                <c:pt idx="216">
                  <c:v>2077435.9144529467</c:v>
                </c:pt>
                <c:pt idx="217">
                  <c:v>2077435.9144529467</c:v>
                </c:pt>
                <c:pt idx="218">
                  <c:v>2077435.9144529467</c:v>
                </c:pt>
                <c:pt idx="219">
                  <c:v>2077435.9144529467</c:v>
                </c:pt>
                <c:pt idx="220">
                  <c:v>2077435.9144529467</c:v>
                </c:pt>
                <c:pt idx="221">
                  <c:v>2077435.9144529467</c:v>
                </c:pt>
                <c:pt idx="222">
                  <c:v>2077435.9144529467</c:v>
                </c:pt>
                <c:pt idx="223">
                  <c:v>2077435.9144529467</c:v>
                </c:pt>
                <c:pt idx="224">
                  <c:v>2077435.9144529467</c:v>
                </c:pt>
                <c:pt idx="225">
                  <c:v>2077435.9144529467</c:v>
                </c:pt>
                <c:pt idx="226">
                  <c:v>2077435.9144529467</c:v>
                </c:pt>
                <c:pt idx="227">
                  <c:v>2077435.9144529467</c:v>
                </c:pt>
                <c:pt idx="228">
                  <c:v>2077435.9144529467</c:v>
                </c:pt>
                <c:pt idx="229">
                  <c:v>2077435.9144529467</c:v>
                </c:pt>
                <c:pt idx="230">
                  <c:v>2077435.9144529467</c:v>
                </c:pt>
                <c:pt idx="231">
                  <c:v>2077435.9144529467</c:v>
                </c:pt>
                <c:pt idx="232">
                  <c:v>2077435.9144529467</c:v>
                </c:pt>
                <c:pt idx="233">
                  <c:v>2077435.9144529467</c:v>
                </c:pt>
                <c:pt idx="234">
                  <c:v>2077435.9144529467</c:v>
                </c:pt>
                <c:pt idx="235">
                  <c:v>2077435.9144529467</c:v>
                </c:pt>
                <c:pt idx="236">
                  <c:v>2077435.9144529467</c:v>
                </c:pt>
                <c:pt idx="237">
                  <c:v>2077435.9144529467</c:v>
                </c:pt>
                <c:pt idx="238">
                  <c:v>2077435.9144529467</c:v>
                </c:pt>
                <c:pt idx="239">
                  <c:v>2077435.9144529467</c:v>
                </c:pt>
                <c:pt idx="240">
                  <c:v>2077435.9144529467</c:v>
                </c:pt>
                <c:pt idx="241">
                  <c:v>2077435.9144529467</c:v>
                </c:pt>
                <c:pt idx="242">
                  <c:v>2077435.9144529467</c:v>
                </c:pt>
                <c:pt idx="243">
                  <c:v>2077435.9144529467</c:v>
                </c:pt>
                <c:pt idx="244">
                  <c:v>2077435.9144529467</c:v>
                </c:pt>
                <c:pt idx="245">
                  <c:v>2077435.9144529467</c:v>
                </c:pt>
                <c:pt idx="246">
                  <c:v>2077435.9144529467</c:v>
                </c:pt>
                <c:pt idx="247">
                  <c:v>2077435.9144529467</c:v>
                </c:pt>
                <c:pt idx="248">
                  <c:v>2077435.9144529467</c:v>
                </c:pt>
                <c:pt idx="249">
                  <c:v>2077435.9144529467</c:v>
                </c:pt>
                <c:pt idx="250">
                  <c:v>2077435.9144529467</c:v>
                </c:pt>
                <c:pt idx="251">
                  <c:v>2077435.9144529467</c:v>
                </c:pt>
                <c:pt idx="252">
                  <c:v>2077435.9144529467</c:v>
                </c:pt>
                <c:pt idx="253">
                  <c:v>2077435.9144529467</c:v>
                </c:pt>
                <c:pt idx="254">
                  <c:v>2077435.9144529467</c:v>
                </c:pt>
                <c:pt idx="255">
                  <c:v>2077435.9144529467</c:v>
                </c:pt>
                <c:pt idx="256">
                  <c:v>2077435.9144529467</c:v>
                </c:pt>
                <c:pt idx="257">
                  <c:v>2077435.9144529467</c:v>
                </c:pt>
                <c:pt idx="258">
                  <c:v>2077435.9144529467</c:v>
                </c:pt>
                <c:pt idx="259">
                  <c:v>2077435.9144529467</c:v>
                </c:pt>
                <c:pt idx="260">
                  <c:v>2077435.9144529467</c:v>
                </c:pt>
                <c:pt idx="261">
                  <c:v>2077435.9144529467</c:v>
                </c:pt>
                <c:pt idx="262">
                  <c:v>2077435.9144529467</c:v>
                </c:pt>
                <c:pt idx="263">
                  <c:v>2077435.9144529467</c:v>
                </c:pt>
                <c:pt idx="264">
                  <c:v>2077435.9144529467</c:v>
                </c:pt>
                <c:pt idx="265">
                  <c:v>2077435.9144529467</c:v>
                </c:pt>
                <c:pt idx="266">
                  <c:v>2077435.9144529467</c:v>
                </c:pt>
                <c:pt idx="267">
                  <c:v>2077435.9144529467</c:v>
                </c:pt>
                <c:pt idx="268">
                  <c:v>2077435.9144529467</c:v>
                </c:pt>
                <c:pt idx="269">
                  <c:v>2077435.9144529467</c:v>
                </c:pt>
                <c:pt idx="270">
                  <c:v>2077435.9144529467</c:v>
                </c:pt>
                <c:pt idx="271">
                  <c:v>2077435.9144529467</c:v>
                </c:pt>
                <c:pt idx="272">
                  <c:v>2077435.9144529467</c:v>
                </c:pt>
                <c:pt idx="273">
                  <c:v>2077435.9144529467</c:v>
                </c:pt>
                <c:pt idx="274">
                  <c:v>2077435.9144529467</c:v>
                </c:pt>
                <c:pt idx="275">
                  <c:v>2077435.9144529467</c:v>
                </c:pt>
                <c:pt idx="276">
                  <c:v>2077435.9144529467</c:v>
                </c:pt>
                <c:pt idx="277">
                  <c:v>2077435.9144529467</c:v>
                </c:pt>
                <c:pt idx="278">
                  <c:v>2077435.9144529467</c:v>
                </c:pt>
                <c:pt idx="279">
                  <c:v>2077435.9144529467</c:v>
                </c:pt>
                <c:pt idx="280">
                  <c:v>2077435.9144529467</c:v>
                </c:pt>
                <c:pt idx="281">
                  <c:v>2077435.9144529467</c:v>
                </c:pt>
                <c:pt idx="282">
                  <c:v>2077435.9144529467</c:v>
                </c:pt>
                <c:pt idx="283">
                  <c:v>2077435.9144529467</c:v>
                </c:pt>
                <c:pt idx="284">
                  <c:v>2077435.9144529467</c:v>
                </c:pt>
                <c:pt idx="285">
                  <c:v>2077435.9144529467</c:v>
                </c:pt>
                <c:pt idx="286">
                  <c:v>2077435.9144529467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5716296296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.7506203359589947E-3" maxValue="594339.80787426222"/>
    </cacheField>
    <cacheField name="CHECK" numFmtId="0">
      <sharedItems containsString="0" containsBlank="1" containsNumber="1" minValue="0" maxValue="7.2109651169739664E-2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5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5T00:00:00"/>
    <m/>
  </r>
  <r>
    <n v="1"/>
    <x v="1"/>
    <s v="QC4 Connectors"/>
    <m/>
    <m/>
    <n v="3143.6"/>
    <m/>
    <s v="MSA Energy INV0003456"/>
    <x v="1"/>
    <n v="4324.9227315590988"/>
    <m/>
    <d v="2026-01-23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5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m/>
    <m/>
    <m/>
    <x v="0"/>
    <m/>
    <n v="3.0714941385667771E-3"/>
    <m/>
    <n v="78119"/>
  </r>
  <r>
    <n v="3"/>
    <x v="3"/>
    <s v="Schletter Structure"/>
    <m/>
    <m/>
    <n v="76171"/>
    <s v="PO4423-RRB-20251030 - RV Approved"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3"/>
    <n v="12784.22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7.2109651169739664E-2"/>
    <d v="2026-01-15T00:00:00"/>
    <n v="93178.369999999981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4"/>
    <m/>
    <s v="JA Electrical: Inv 1152"/>
    <x v="3"/>
    <n v="5925.9349877015457"/>
    <m/>
    <d v="2026-01-31T00:00:00"/>
    <m/>
  </r>
  <r>
    <n v="4"/>
    <x v="4"/>
    <s v="Commissioning Complete"/>
    <m/>
    <n v="0.1"/>
    <n v="4267.34"/>
    <m/>
    <s v="JA Electrical: Inv 1152"/>
    <x v="3"/>
    <n v="11852.036618369695"/>
    <m/>
    <d v="2026-02-05T00:00:00"/>
    <m/>
  </r>
  <r>
    <n v="4"/>
    <x v="4"/>
    <s v="Site De-establisment"/>
    <m/>
    <n v="0.1"/>
    <n v="4267.34"/>
    <m/>
    <s v="JA Electrical: Inv 1152"/>
    <x v="3"/>
    <n v="11852.036618369695"/>
    <m/>
    <d v="2026-02-12T00:00:00"/>
    <m/>
  </r>
  <r>
    <n v="4"/>
    <x v="4"/>
    <s v="Handover Document Complete"/>
    <m/>
    <n v="0.05"/>
    <n v="2133.67"/>
    <m/>
    <s v="JA Electrical Inv 1153"/>
    <x v="3"/>
    <n v="5926.0183091848476"/>
    <m/>
    <d v="2026-02-12T00:00:00"/>
    <m/>
  </r>
  <r>
    <n v="4"/>
    <x v="4"/>
    <s v="End of Defects Period"/>
    <m/>
    <n v="0.05"/>
    <n v="2133.67"/>
    <m/>
    <s v="JA Electrical Inv 1153"/>
    <x v="3"/>
    <n v="5926.0183091848476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s v="JA Electrical: Inv 1152"/>
    <x v="3"/>
    <n v="5697.3790365682507"/>
    <m/>
    <d v="2026-01-31T00:00:00"/>
    <m/>
  </r>
  <r>
    <n v="6"/>
    <x v="6"/>
    <s v="Commissioning Complete"/>
    <m/>
    <n v="0.1"/>
    <n v="4116.4900000000007"/>
    <m/>
    <s v="JA Electrical: Inv 1152"/>
    <x v="3"/>
    <n v="11394.758073136501"/>
    <m/>
    <d v="2026-02-05T00:00:00"/>
    <m/>
  </r>
  <r>
    <n v="6"/>
    <x v="6"/>
    <s v="Site De-establisment"/>
    <m/>
    <n v="0.1"/>
    <n v="4116.4900000000007"/>
    <m/>
    <s v="JA Electrical: Inv 1152"/>
    <x v="3"/>
    <n v="11394.758073136501"/>
    <m/>
    <d v="2026-02-12T00:00:00"/>
    <m/>
  </r>
  <r>
    <n v="6"/>
    <x v="6"/>
    <s v="Handover Document Complete"/>
    <m/>
    <n v="0.05"/>
    <n v="2058.2450000000003"/>
    <m/>
    <s v="JA Electrical Inv 1153"/>
    <x v="3"/>
    <n v="5697.3790365682507"/>
    <m/>
    <d v="2026-02-12T00:00:00"/>
    <m/>
  </r>
  <r>
    <n v="6"/>
    <x v="6"/>
    <s v="End of Defects Period"/>
    <m/>
    <n v="0.05"/>
    <n v="2058.2450000000003"/>
    <m/>
    <s v="JA Electrical Inv 1153"/>
    <x v="3"/>
    <n v="5697.3790365682507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s v="JA Electrical: Inv 1152"/>
    <x v="3"/>
    <n v="10941.700000000003"/>
    <m/>
    <d v="2026-01-31T00:00:00"/>
    <m/>
  </r>
  <r>
    <n v="9"/>
    <x v="9"/>
    <s v="Commissioning Complete"/>
    <m/>
    <n v="0.1"/>
    <n v="31114.825000000001"/>
    <m/>
    <s v="JA Electrical: Inv 1152"/>
    <x v="3"/>
    <n v="21883.400000000005"/>
    <m/>
    <d v="2026-02-05T00:00:00"/>
    <m/>
  </r>
  <r>
    <n v="9"/>
    <x v="9"/>
    <s v="Site De-establisment"/>
    <m/>
    <n v="0.1"/>
    <n v="31114.825000000001"/>
    <m/>
    <s v="JA Electrical: Inv 1152"/>
    <x v="3"/>
    <n v="21883.400000000005"/>
    <m/>
    <d v="2026-02-12T00:00:00"/>
    <m/>
  </r>
  <r>
    <n v="9"/>
    <x v="9"/>
    <s v="Handover Document Complete"/>
    <m/>
    <n v="0.05"/>
    <n v="15557.4125"/>
    <m/>
    <s v="JA Electrical Inv 1153"/>
    <x v="3"/>
    <n v="10941.700000000003"/>
    <m/>
    <d v="2026-02-12T00:00:00"/>
    <m/>
  </r>
  <r>
    <n v="9"/>
    <x v="9"/>
    <s v="End of Defects Period"/>
    <m/>
    <n v="0.05"/>
    <n v="15557.4125"/>
    <m/>
    <s v="JA Electrical Inv 1153"/>
    <x v="3"/>
    <n v="10941.700000000003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1.5371602057712153E-3"/>
    <d v="2025-12-04T00:00:00"/>
    <n v="109850.7574999999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4"/>
    <m/>
    <s v="JA Electrical: Inv 1152"/>
    <x v="3"/>
    <n v="2952.9665449962872"/>
    <m/>
    <d v="2026-01-31T00:00:00"/>
    <m/>
  </r>
  <r>
    <n v="10"/>
    <x v="10"/>
    <s v="Commissioning Complete"/>
    <m/>
    <n v="0.1"/>
    <n v="10270.08"/>
    <m/>
    <s v="JA Electrical: Inv 1152"/>
    <x v="3"/>
    <n v="5905.9330899925744"/>
    <m/>
    <d v="2026-02-05T00:00:00"/>
    <m/>
  </r>
  <r>
    <n v="10"/>
    <x v="10"/>
    <s v="Site De-establisment"/>
    <m/>
    <n v="0.1"/>
    <n v="10270.08"/>
    <m/>
    <s v="JA Electrical: Inv 1152"/>
    <x v="3"/>
    <n v="5905.9330899925744"/>
    <m/>
    <d v="2026-02-12T00:00:00"/>
    <m/>
  </r>
  <r>
    <n v="10"/>
    <x v="10"/>
    <s v="Handover Document Complete"/>
    <m/>
    <n v="0.05"/>
    <n v="5135.04"/>
    <m/>
    <s v="JA Electrical Inv 1153"/>
    <x v="3"/>
    <n v="2952.9665449962872"/>
    <m/>
    <d v="2026-02-12T00:00:00"/>
    <m/>
  </r>
  <r>
    <n v="10"/>
    <x v="10"/>
    <s v="End of Defects Period"/>
    <m/>
    <n v="0.05"/>
    <n v="5135.04"/>
    <m/>
    <s v="JA Electrical Inv 1153"/>
    <x v="3"/>
    <n v="2952.9665449962872"/>
    <m/>
    <d v="2026-03-14T00:00:00"/>
    <m/>
  </r>
  <r>
    <n v="10"/>
    <x v="10"/>
    <s v="Rounding Difference"/>
    <m/>
    <m/>
    <n v="-0.01"/>
    <m/>
    <s v="JA Electrical Inv 1153"/>
    <x v="3"/>
    <n v="-5.7506203359589947E-3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2-0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s v="Matriarch - INV-6235"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s v="Matriarch - INV-6234"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4.8833898808879894E-3"/>
    <d v="2025-10-31T00:00:00"/>
    <n v="3887.3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36.44999999999999"/>
    <m/>
    <s v="Expense Claim"/>
    <x v="3"/>
    <n v="1097.4369984796763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5"/>
  <cols>
    <col min="1" max="1" width="6" customWidth="1"/>
    <col min="2" max="2" width="21.5429687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19" t="s">
        <v>0</v>
      </c>
      <c r="C2" s="719"/>
      <c r="D2" s="719"/>
      <c r="E2" s="719"/>
      <c r="H2" s="720" t="s">
        <v>1</v>
      </c>
      <c r="I2" s="721"/>
      <c r="J2" s="721"/>
      <c r="K2" s="721"/>
      <c r="L2" s="721"/>
      <c r="M2" s="721"/>
      <c r="N2" s="721"/>
      <c r="O2" s="722"/>
    </row>
    <row r="3" spans="2:15">
      <c r="B3" s="615"/>
      <c r="H3" s="723"/>
      <c r="I3" s="724"/>
      <c r="J3" s="724"/>
      <c r="K3" s="724"/>
      <c r="L3" s="724"/>
      <c r="M3" s="724"/>
      <c r="N3" s="724"/>
      <c r="O3" s="725"/>
    </row>
    <row r="4" spans="2:15">
      <c r="B4" s="616" t="s">
        <v>2</v>
      </c>
      <c r="C4" s="617" t="str">
        <f>'Project Plan'!E2</f>
        <v>Shoprite Mini_Bredarsdorp</v>
      </c>
      <c r="H4" s="723"/>
      <c r="I4" s="724"/>
      <c r="J4" s="724"/>
      <c r="K4" s="724"/>
      <c r="L4" s="724"/>
      <c r="M4" s="724"/>
      <c r="N4" s="724"/>
      <c r="O4" s="725"/>
    </row>
    <row r="5" spans="2:15">
      <c r="B5" s="616" t="s">
        <v>3</v>
      </c>
      <c r="C5" s="617" t="s">
        <v>4</v>
      </c>
      <c r="H5" s="723"/>
      <c r="I5" s="724"/>
      <c r="J5" s="724"/>
      <c r="K5" s="724"/>
      <c r="L5" s="724"/>
      <c r="M5" s="724"/>
      <c r="N5" s="724"/>
      <c r="O5" s="725"/>
    </row>
    <row r="6" spans="2:15">
      <c r="B6" s="616" t="s">
        <v>5</v>
      </c>
      <c r="C6" s="617" t="s">
        <v>6</v>
      </c>
      <c r="H6" s="723"/>
      <c r="I6" s="724"/>
      <c r="J6" s="724"/>
      <c r="K6" s="724"/>
      <c r="L6" s="724"/>
      <c r="M6" s="724"/>
      <c r="N6" s="724"/>
      <c r="O6" s="725"/>
    </row>
    <row r="7" spans="2:15">
      <c r="B7" s="616" t="s">
        <v>7</v>
      </c>
      <c r="C7" s="617" t="s">
        <v>8</v>
      </c>
      <c r="H7" s="723"/>
      <c r="I7" s="724"/>
      <c r="J7" s="724"/>
      <c r="K7" s="724"/>
      <c r="L7" s="724"/>
      <c r="M7" s="724"/>
      <c r="N7" s="724"/>
      <c r="O7" s="725"/>
    </row>
    <row r="8" spans="2:15">
      <c r="B8" s="615"/>
      <c r="H8" s="723"/>
      <c r="I8" s="724"/>
      <c r="J8" s="724"/>
      <c r="K8" s="724"/>
      <c r="L8" s="724"/>
      <c r="M8" s="724"/>
      <c r="N8" s="724"/>
      <c r="O8" s="725"/>
    </row>
    <row r="9" spans="2:15">
      <c r="B9" s="729" t="s">
        <v>9</v>
      </c>
      <c r="C9" s="729"/>
      <c r="D9" s="729"/>
      <c r="E9" s="7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3"/>
      <c r="I9" s="724"/>
      <c r="J9" s="724"/>
      <c r="K9" s="724"/>
      <c r="L9" s="724"/>
      <c r="M9" s="724"/>
      <c r="N9" s="724"/>
      <c r="O9" s="725"/>
    </row>
    <row r="10" spans="2:15" ht="15" thickBot="1">
      <c r="B10" s="729" t="s">
        <v>10</v>
      </c>
      <c r="C10" s="729"/>
      <c r="D10" s="729"/>
      <c r="E10" s="729"/>
      <c r="H10" s="726"/>
      <c r="I10" s="727"/>
      <c r="J10" s="727"/>
      <c r="K10" s="727"/>
      <c r="L10" s="727"/>
      <c r="M10" s="727"/>
      <c r="N10" s="727"/>
      <c r="O10" s="728"/>
    </row>
    <row r="11" spans="2:15">
      <c r="B11" s="618" t="s">
        <v>11</v>
      </c>
      <c r="C11" s="718"/>
      <c r="D11" s="718"/>
      <c r="E11" s="718"/>
    </row>
    <row r="12" spans="2:15">
      <c r="B12" s="618" t="s">
        <v>12</v>
      </c>
      <c r="C12" s="718"/>
      <c r="D12" s="718"/>
      <c r="E12" s="718"/>
    </row>
    <row r="13" spans="2:15">
      <c r="B13" s="618" t="s">
        <v>13</v>
      </c>
      <c r="C13" s="718"/>
      <c r="D13" s="718"/>
      <c r="E13" s="718"/>
    </row>
    <row r="14" spans="2:15">
      <c r="B14" s="618" t="s">
        <v>14</v>
      </c>
      <c r="C14" s="718"/>
      <c r="D14" s="718"/>
      <c r="E14" s="718"/>
    </row>
    <row r="15" spans="2:15">
      <c r="B15" s="618" t="s">
        <v>15</v>
      </c>
      <c r="C15" s="718"/>
      <c r="D15" s="718"/>
      <c r="E15" s="718"/>
    </row>
    <row r="16" spans="2:15" ht="15" customHeight="1">
      <c r="B16" s="618" t="s">
        <v>16</v>
      </c>
      <c r="C16" s="718"/>
      <c r="D16" s="718"/>
      <c r="E16" s="718"/>
    </row>
    <row r="17" spans="2:5">
      <c r="B17" s="615"/>
    </row>
    <row r="18" spans="2:5">
      <c r="B18" s="730" t="s">
        <v>17</v>
      </c>
      <c r="C18" s="730"/>
      <c r="D18" s="730"/>
      <c r="E18" s="730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5"/>
  <cols>
    <col min="1" max="1" width="6" customWidth="1"/>
    <col min="2" max="2" width="21.5429687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19" t="s">
        <v>22</v>
      </c>
      <c r="C2" s="719"/>
      <c r="D2" s="719"/>
      <c r="E2" s="719"/>
      <c r="H2" s="720" t="s">
        <v>23</v>
      </c>
      <c r="I2" s="721"/>
      <c r="J2" s="721"/>
      <c r="K2" s="721"/>
      <c r="L2" s="721"/>
      <c r="M2" s="721"/>
      <c r="N2" s="721"/>
      <c r="O2" s="722"/>
    </row>
    <row r="3" spans="2:15">
      <c r="B3" s="615"/>
      <c r="H3" s="723"/>
      <c r="I3" s="724"/>
      <c r="J3" s="724"/>
      <c r="K3" s="724"/>
      <c r="L3" s="724"/>
      <c r="M3" s="724"/>
      <c r="N3" s="724"/>
      <c r="O3" s="725"/>
    </row>
    <row r="4" spans="2:15">
      <c r="B4" s="616" t="s">
        <v>2</v>
      </c>
      <c r="C4" s="617" t="str">
        <f>'Project Plan'!E2</f>
        <v>Shoprite Mini_Bredarsdorp</v>
      </c>
      <c r="H4" s="723"/>
      <c r="I4" s="724"/>
      <c r="J4" s="724"/>
      <c r="K4" s="724"/>
      <c r="L4" s="724"/>
      <c r="M4" s="724"/>
      <c r="N4" s="724"/>
      <c r="O4" s="725"/>
    </row>
    <row r="5" spans="2:15">
      <c r="B5" s="616" t="s">
        <v>24</v>
      </c>
      <c r="C5" s="617"/>
      <c r="H5" s="723"/>
      <c r="I5" s="724"/>
      <c r="J5" s="724"/>
      <c r="K5" s="724"/>
      <c r="L5" s="724"/>
      <c r="M5" s="724"/>
      <c r="N5" s="724"/>
      <c r="O5" s="725"/>
    </row>
    <row r="6" spans="2:15">
      <c r="B6" s="616" t="s">
        <v>5</v>
      </c>
      <c r="C6" s="617" t="s">
        <v>6</v>
      </c>
      <c r="H6" s="723"/>
      <c r="I6" s="724"/>
      <c r="J6" s="724"/>
      <c r="K6" s="724"/>
      <c r="L6" s="724"/>
      <c r="M6" s="724"/>
      <c r="N6" s="724"/>
      <c r="O6" s="725"/>
    </row>
    <row r="7" spans="2:15">
      <c r="B7" s="616" t="s">
        <v>25</v>
      </c>
      <c r="C7" s="617" t="str">
        <f>'Project Plan'!E5</f>
        <v>Peet Verreynne</v>
      </c>
      <c r="H7" s="723"/>
      <c r="I7" s="724"/>
      <c r="J7" s="724"/>
      <c r="K7" s="724"/>
      <c r="L7" s="724"/>
      <c r="M7" s="724"/>
      <c r="N7" s="724"/>
      <c r="O7" s="725"/>
    </row>
    <row r="8" spans="2:15">
      <c r="B8" s="616" t="s">
        <v>26</v>
      </c>
      <c r="C8" s="617"/>
      <c r="H8" s="723"/>
      <c r="I8" s="724"/>
      <c r="J8" s="724"/>
      <c r="K8" s="724"/>
      <c r="L8" s="724"/>
      <c r="M8" s="724"/>
      <c r="N8" s="724"/>
      <c r="O8" s="725"/>
    </row>
    <row r="9" spans="2:15">
      <c r="B9" s="615"/>
      <c r="H9" s="723"/>
      <c r="I9" s="724"/>
      <c r="J9" s="724"/>
      <c r="K9" s="724"/>
      <c r="L9" s="724"/>
      <c r="M9" s="724"/>
      <c r="N9" s="724"/>
      <c r="O9" s="725"/>
    </row>
    <row r="10" spans="2:15">
      <c r="B10" s="729" t="s">
        <v>9</v>
      </c>
      <c r="C10" s="729"/>
      <c r="D10" s="729"/>
      <c r="E10" s="729"/>
      <c r="H10" s="723"/>
      <c r="I10" s="724"/>
      <c r="J10" s="724"/>
      <c r="K10" s="724"/>
      <c r="L10" s="724"/>
      <c r="M10" s="724"/>
      <c r="N10" s="724"/>
      <c r="O10" s="725"/>
    </row>
    <row r="11" spans="2:15" ht="15" thickBot="1">
      <c r="B11" s="729" t="s">
        <v>10</v>
      </c>
      <c r="C11" s="729"/>
      <c r="D11" s="729"/>
      <c r="E11" s="729"/>
      <c r="H11" s="726"/>
      <c r="I11" s="727"/>
      <c r="J11" s="727"/>
      <c r="K11" s="727"/>
      <c r="L11" s="727"/>
      <c r="M11" s="727"/>
      <c r="N11" s="727"/>
      <c r="O11" s="728"/>
    </row>
    <row r="12" spans="2:15" ht="25">
      <c r="B12" s="618" t="s">
        <v>27</v>
      </c>
      <c r="C12" s="718"/>
      <c r="D12" s="718"/>
      <c r="E12" s="718"/>
    </row>
    <row r="13" spans="2:15">
      <c r="B13" s="618" t="s">
        <v>28</v>
      </c>
      <c r="C13" s="718"/>
      <c r="D13" s="718"/>
      <c r="E13" s="718"/>
    </row>
    <row r="14" spans="2:15">
      <c r="B14" s="618" t="s">
        <v>29</v>
      </c>
      <c r="C14" s="718"/>
      <c r="D14" s="718"/>
      <c r="E14" s="718"/>
    </row>
    <row r="15" spans="2:15">
      <c r="B15" s="618" t="s">
        <v>30</v>
      </c>
      <c r="C15" s="718"/>
      <c r="D15" s="718"/>
      <c r="E15" s="718"/>
    </row>
    <row r="16" spans="2:15" ht="25">
      <c r="B16" s="618" t="s">
        <v>31</v>
      </c>
      <c r="C16" s="718"/>
      <c r="D16" s="718"/>
      <c r="E16" s="718"/>
    </row>
    <row r="17" spans="2:5">
      <c r="B17" s="618" t="s">
        <v>32</v>
      </c>
      <c r="C17" s="718"/>
      <c r="D17" s="718"/>
      <c r="E17" s="718"/>
    </row>
    <row r="18" spans="2:5">
      <c r="B18" s="618" t="s">
        <v>33</v>
      </c>
      <c r="C18" s="718"/>
      <c r="D18" s="718"/>
      <c r="E18" s="718"/>
    </row>
    <row r="19" spans="2:5">
      <c r="B19" s="618" t="s">
        <v>34</v>
      </c>
      <c r="C19" s="718"/>
      <c r="D19" s="718"/>
      <c r="E19" s="718"/>
    </row>
    <row r="20" spans="2:5">
      <c r="B20" s="618" t="s">
        <v>35</v>
      </c>
      <c r="C20" s="718"/>
      <c r="D20" s="718"/>
      <c r="E20" s="718"/>
    </row>
    <row r="21" spans="2:5">
      <c r="B21" s="618" t="s">
        <v>36</v>
      </c>
      <c r="C21" s="718"/>
      <c r="D21" s="718"/>
      <c r="E21" s="718"/>
    </row>
    <row r="22" spans="2:5" ht="15" customHeight="1">
      <c r="B22" s="618" t="s">
        <v>16</v>
      </c>
      <c r="C22" s="718"/>
      <c r="D22" s="718"/>
      <c r="E22" s="718"/>
    </row>
    <row r="23" spans="2:5">
      <c r="B23" s="615"/>
    </row>
    <row r="24" spans="2:5">
      <c r="B24" s="730" t="s">
        <v>17</v>
      </c>
      <c r="C24" s="730"/>
      <c r="D24" s="730"/>
      <c r="E24" s="730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54296875" customWidth="1"/>
    <col min="11" max="11" width="77.453125" customWidth="1"/>
  </cols>
  <sheetData>
    <row r="1" spans="2:15">
      <c r="B1" s="733"/>
      <c r="C1" s="734"/>
      <c r="D1" s="734"/>
      <c r="E1" s="734"/>
      <c r="F1" s="731" t="s">
        <v>37</v>
      </c>
      <c r="G1" s="731"/>
      <c r="H1" s="731"/>
      <c r="I1" s="731"/>
      <c r="J1" s="731"/>
      <c r="K1" s="732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36328125" customWidth="1"/>
    <col min="6" max="6" width="33.453125" customWidth="1"/>
  </cols>
  <sheetData>
    <row r="1" spans="2:10" ht="15" thickBot="1"/>
    <row r="2" spans="2:10" ht="15.5" thickTop="1" thickBot="1">
      <c r="B2" s="735" t="s">
        <v>102</v>
      </c>
      <c r="C2" s="736"/>
      <c r="D2" s="736"/>
      <c r="E2" s="736"/>
      <c r="F2" s="73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35" t="s">
        <v>109</v>
      </c>
      <c r="C16" s="736"/>
      <c r="D16" s="736"/>
      <c r="E16" s="736"/>
      <c r="F16" s="73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3.453125" style="26" customWidth="1"/>
    <col min="5" max="5" width="14.54296875" style="4" customWidth="1"/>
    <col min="6" max="6" width="10.36328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/>
    <col min="19" max="19" width="21.54296875" style="26" customWidth="1"/>
    <col min="20" max="22" width="12.54296875" style="26" customWidth="1"/>
    <col min="23" max="23" width="8.453125" style="26"/>
    <col min="24" max="25" width="10.36328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738" t="s">
        <v>114</v>
      </c>
      <c r="J2" s="739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5" thickBot="1">
      <c r="B3" s="91"/>
      <c r="C3" s="92" t="s">
        <v>115</v>
      </c>
      <c r="D3" s="90"/>
      <c r="E3" s="312">
        <v>250</v>
      </c>
      <c r="F3" s="93"/>
      <c r="G3" s="94"/>
      <c r="H3" s="94"/>
      <c r="I3" s="738" t="s">
        <v>116</v>
      </c>
      <c r="J3" s="739"/>
      <c r="K3" s="587">
        <f>K2/5</f>
        <v>4.2</v>
      </c>
      <c r="Q3" s="1"/>
    </row>
    <row r="4" spans="2:28" s="26" customFormat="1" ht="14.5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738" t="s">
        <v>119</v>
      </c>
      <c r="J4" s="739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123</v>
      </c>
      <c r="F7" s="80"/>
      <c r="G7" s="97"/>
      <c r="J7" s="27"/>
      <c r="Q7" s="1"/>
    </row>
    <row r="8" spans="2:28" ht="30" customHeight="1">
      <c r="B8" s="742" t="s">
        <v>124</v>
      </c>
      <c r="C8" s="743" t="s">
        <v>125</v>
      </c>
      <c r="D8" s="126"/>
      <c r="E8" s="744" t="s">
        <v>126</v>
      </c>
      <c r="F8" s="148" t="s">
        <v>127</v>
      </c>
      <c r="G8" s="744" t="s">
        <v>128</v>
      </c>
      <c r="H8" s="149"/>
      <c r="I8" s="744" t="s">
        <v>129</v>
      </c>
      <c r="J8" s="148" t="s">
        <v>127</v>
      </c>
      <c r="K8" s="744" t="s">
        <v>130</v>
      </c>
      <c r="M8" s="584" t="s">
        <v>44</v>
      </c>
      <c r="N8" s="585" t="s">
        <v>131</v>
      </c>
      <c r="O8" s="740" t="s">
        <v>132</v>
      </c>
      <c r="Z8" s="26"/>
      <c r="AA8" s="26"/>
      <c r="AB8" s="26"/>
    </row>
    <row r="9" spans="2:28">
      <c r="B9" s="742"/>
      <c r="C9" s="743"/>
      <c r="D9" s="126"/>
      <c r="E9" s="744"/>
      <c r="F9" s="40">
        <f>G39-E19</f>
        <v>21</v>
      </c>
      <c r="G9" s="744"/>
      <c r="H9" s="149"/>
      <c r="I9" s="744"/>
      <c r="J9" s="41">
        <f>K39-I19</f>
        <v>28</v>
      </c>
      <c r="K9" s="744"/>
      <c r="M9" s="265">
        <f>AVERAGE(M11,M18,M21,M28,M35,M39,M48,M44)</f>
        <v>1</v>
      </c>
      <c r="N9" s="265">
        <f ca="1">AVERAGE(N11,N18,N21,N28,N35,N39,N48,N44)</f>
        <v>0.99996958994209062</v>
      </c>
      <c r="O9" s="741"/>
      <c r="S9" s="586">
        <f ca="1">TODAY()</f>
        <v>46070</v>
      </c>
      <c r="T9" s="586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H4" sqref="H4"/>
    </sheetView>
  </sheetViews>
  <sheetFormatPr defaultColWidth="8.453125" defaultRowHeight="14.5"/>
  <cols>
    <col min="1" max="1" width="5.54296875" style="24" customWidth="1"/>
    <col min="2" max="2" width="5.54296875" style="45" customWidth="1"/>
    <col min="3" max="4" width="23.4531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453125" style="43" customWidth="1"/>
    <col min="10" max="10" width="3.453125" style="24" customWidth="1"/>
    <col min="11" max="11" width="1.453125" style="87" customWidth="1"/>
    <col min="12" max="12" width="29.453125" style="24" customWidth="1"/>
    <col min="13" max="13" width="1.453125" style="43" customWidth="1"/>
    <col min="14" max="14" width="29.453125" style="43" customWidth="1"/>
    <col min="15" max="15" width="1.453125" style="43" customWidth="1"/>
    <col min="16" max="16" width="16.54296875" style="43" customWidth="1"/>
    <col min="17" max="17" width="5.54296875" style="43" customWidth="1"/>
    <col min="18" max="18" width="112.453125" style="43" bestFit="1" customWidth="1"/>
    <col min="19" max="19" width="4.453125" style="43" customWidth="1"/>
    <col min="20" max="20" width="19.54296875" style="43" bestFit="1" customWidth="1"/>
    <col min="21" max="21" width="15.453125" style="24" bestFit="1" customWidth="1"/>
    <col min="22" max="22" width="20.453125" style="24" bestFit="1" customWidth="1"/>
    <col min="23" max="23" width="16.453125" style="24" bestFit="1" customWidth="1"/>
    <col min="24" max="24" width="19.54296875" style="24" bestFit="1" customWidth="1"/>
    <col min="25" max="25" width="15.453125" style="24" bestFit="1" customWidth="1"/>
    <col min="26" max="26" width="8.453125" style="24"/>
    <col min="27" max="27" width="14.54296875" style="24" bestFit="1" customWidth="1"/>
    <col min="28" max="28" width="8.453125" style="43"/>
    <col min="29" max="29" width="12.542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3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2077435.914452946</v>
      </c>
      <c r="W4" s="630">
        <f>SUMIFS('Expenditure Breakdown'!$Q:$Q,
        'Expenditure Breakdown'!$T:$T, "&gt;"&amp;DATE(2025,8,31),
        'Expenditure Breakdown'!$T:$T, "&lt;="&amp;DATE(2026,8,31))</f>
        <v>1501186.9010000003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2064651.6944529463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1501186.9010000003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1501186.9010000003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576249.37899999972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0.27738486352033848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">
      <c r="B13" s="589">
        <v>1</v>
      </c>
      <c r="C13" s="747" t="s">
        <v>218</v>
      </c>
      <c r="D13" s="748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7" t="s">
        <v>220</v>
      </c>
      <c r="D14" s="748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2.5">
      <c r="B15" s="589">
        <v>3</v>
      </c>
      <c r="C15" s="747" t="s">
        <v>221</v>
      </c>
      <c r="D15" s="748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2.5">
      <c r="B16" s="589">
        <v>4</v>
      </c>
      <c r="C16" s="745" t="s">
        <v>178</v>
      </c>
      <c r="D16" s="746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2.5">
      <c r="B17" s="589">
        <v>5</v>
      </c>
      <c r="C17" s="745" t="s">
        <v>222</v>
      </c>
      <c r="D17" s="746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2.5">
      <c r="B18" s="589">
        <v>6</v>
      </c>
      <c r="C18" s="745" t="s">
        <v>223</v>
      </c>
      <c r="D18" s="746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5">
      <c r="B19" s="589">
        <v>7</v>
      </c>
      <c r="C19" s="747" t="s">
        <v>223</v>
      </c>
      <c r="D19" s="748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650"/>
      <c r="H23" s="30"/>
    </row>
    <row r="24" spans="2:19" s="24" customFormat="1" ht="12.5">
      <c r="C24" s="59" t="s">
        <v>226</v>
      </c>
      <c r="D24" s="60"/>
      <c r="F24" s="61"/>
    </row>
    <row r="25" spans="2:19" s="24" customFormat="1" ht="12.5">
      <c r="C25" s="59" t="s">
        <v>227</v>
      </c>
      <c r="D25" s="60"/>
    </row>
    <row r="26" spans="2:19" s="24" customFormat="1" ht="12.5">
      <c r="C26" s="62" t="s">
        <v>228</v>
      </c>
      <c r="D26" s="63"/>
    </row>
    <row r="27" spans="2:19" s="24" customFormat="1" ht="12.5">
      <c r="C27" s="64" t="s">
        <v>229</v>
      </c>
      <c r="D27" s="60"/>
    </row>
    <row r="28" spans="2:19" s="24" customFormat="1" ht="12.5">
      <c r="B28" s="31"/>
      <c r="C28" s="64" t="s">
        <v>230</v>
      </c>
      <c r="D28" s="60"/>
    </row>
    <row r="29" spans="2:19" s="24" customFormat="1" ht="12.5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2.5">
      <c r="B31" s="31"/>
      <c r="F31" s="58"/>
      <c r="N31" s="30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542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49"/>
      <c r="C4" s="749"/>
      <c r="D4" s="749"/>
      <c r="E4" s="313"/>
      <c r="F4" s="131" t="s">
        <v>194</v>
      </c>
      <c r="G4" s="126"/>
      <c r="H4" s="131" t="s">
        <v>195</v>
      </c>
      <c r="I4" s="126"/>
      <c r="J4" s="132" t="s">
        <v>237</v>
      </c>
      <c r="K4" s="26"/>
      <c r="L4" s="26"/>
    </row>
    <row r="5" spans="1:12" ht="14.5" thickBot="1">
      <c r="A5" s="126"/>
      <c r="B5" s="750" t="s">
        <v>238</v>
      </c>
      <c r="C5" s="750"/>
      <c r="D5" s="750"/>
      <c r="E5" s="313"/>
      <c r="F5" s="133">
        <f>SUM(F9:F23)</f>
        <v>1702430.3199999998</v>
      </c>
      <c r="G5" s="128"/>
      <c r="H5" s="133">
        <f>SUM(H9:H23)</f>
        <v>1501186.9010000003</v>
      </c>
      <c r="I5" s="126"/>
      <c r="J5" s="134">
        <f>SUM(J9:J23)</f>
        <v>201243.41900000011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124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109850.75749999999</v>
      </c>
      <c r="I18" s="23"/>
      <c r="J18" s="143">
        <f t="shared" si="0"/>
        <v>-52996.307499999995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3887.33</v>
      </c>
      <c r="I22" s="23"/>
      <c r="J22" s="143">
        <f t="shared" si="0"/>
        <v>487.67000000000007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L1" zoomScale="85" zoomScaleNormal="85" workbookViewId="0">
      <pane ySplit="4" topLeftCell="A5" activePane="bottomLeft" state="frozen"/>
      <selection activeCell="X33" sqref="X33"/>
      <selection pane="bottomLeft" activeCell="U30" sqref="U30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54296875" style="26" customWidth="1"/>
    <col min="13" max="13" width="25.5429687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54296875" style="26" bestFit="1" customWidth="1"/>
    <col min="19" max="19" width="31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54296875" style="26" customWidth="1"/>
    <col min="25" max="25" width="29.453125" style="26" bestFit="1" customWidth="1"/>
    <col min="26" max="26" width="24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1" t="s">
        <v>244</v>
      </c>
      <c r="C2" s="712"/>
      <c r="D2" s="712"/>
      <c r="E2" s="712"/>
      <c r="F2" s="712"/>
      <c r="G2" s="712"/>
      <c r="H2" s="395"/>
      <c r="I2" s="162">
        <f>SUM(I6:I166)</f>
        <v>1702430.3199999998</v>
      </c>
      <c r="J2" s="162">
        <f>SUM(J6:J166)</f>
        <v>2077436</v>
      </c>
      <c r="L2" s="713" t="s">
        <v>245</v>
      </c>
      <c r="M2" s="714"/>
      <c r="N2" s="714"/>
      <c r="O2" s="714"/>
      <c r="P2" s="714"/>
      <c r="Q2" s="714"/>
      <c r="R2" s="715" t="s">
        <v>246</v>
      </c>
      <c r="S2" s="716"/>
      <c r="T2" s="716"/>
      <c r="U2" s="716"/>
      <c r="V2" s="716"/>
      <c r="W2" s="717"/>
      <c r="X2" s="162">
        <f>SUM(X6:X166)</f>
        <v>1501186.9010000003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6" t="s">
        <v>257</v>
      </c>
      <c r="S4" s="497" t="s">
        <v>214</v>
      </c>
      <c r="T4" s="521" t="s">
        <v>215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D167</f>
        <v>556966.5</v>
      </c>
      <c r="H6" s="550">
        <f>'Project Plan'!E36+60</f>
        <v>46028</v>
      </c>
      <c r="I6" s="666">
        <f>SUM(G6:G11)</f>
        <v>556966.5</v>
      </c>
      <c r="J6" s="669">
        <f>F167</f>
        <v>696208</v>
      </c>
      <c r="K6" s="289"/>
      <c r="L6" s="185">
        <v>1</v>
      </c>
      <c r="M6" s="316" t="s">
        <v>263</v>
      </c>
      <c r="N6" s="186" t="s">
        <v>264</v>
      </c>
      <c r="O6" s="520">
        <v>360</v>
      </c>
      <c r="P6" s="336">
        <v>1200</v>
      </c>
      <c r="Q6" s="292">
        <f>O6*P6</f>
        <v>432000</v>
      </c>
      <c r="R6" s="468"/>
      <c r="S6" s="499" t="s">
        <v>265</v>
      </c>
      <c r="T6" s="631">
        <v>45991</v>
      </c>
      <c r="U6" s="638">
        <v>594339.80787426222</v>
      </c>
      <c r="V6" s="678">
        <f>J6-SUM(U6:U11)</f>
        <v>0</v>
      </c>
      <c r="W6" s="658">
        <v>46037</v>
      </c>
      <c r="X6" s="666">
        <f>SUM(Q6:Q11)</f>
        <v>506043.6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667"/>
      <c r="J7" s="670"/>
      <c r="K7" s="192"/>
      <c r="L7" s="215">
        <v>1</v>
      </c>
      <c r="M7" s="217" t="s">
        <v>263</v>
      </c>
      <c r="N7" s="290" t="s">
        <v>264</v>
      </c>
      <c r="O7" s="433">
        <v>57</v>
      </c>
      <c r="P7" s="343">
        <v>1200</v>
      </c>
      <c r="Q7" s="219">
        <f>O7*P7</f>
        <v>68400</v>
      </c>
      <c r="R7" s="469"/>
      <c r="S7" s="500" t="s">
        <v>267</v>
      </c>
      <c r="T7" s="631">
        <v>45991</v>
      </c>
      <c r="U7" s="638">
        <v>94103.80291342485</v>
      </c>
      <c r="V7" s="679"/>
      <c r="W7" s="653">
        <v>46037</v>
      </c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7"/>
      <c r="J8" s="670"/>
      <c r="K8" s="192"/>
      <c r="L8" s="215">
        <v>1</v>
      </c>
      <c r="M8" s="217" t="s">
        <v>263</v>
      </c>
      <c r="N8" s="379" t="s">
        <v>268</v>
      </c>
      <c r="O8" s="434"/>
      <c r="P8" s="343"/>
      <c r="Q8" s="219">
        <v>3143.6</v>
      </c>
      <c r="R8" s="469"/>
      <c r="S8" s="500" t="s">
        <v>269</v>
      </c>
      <c r="T8" s="542">
        <v>45991</v>
      </c>
      <c r="U8" s="638">
        <v>4324.9227315590988</v>
      </c>
      <c r="V8" s="679"/>
      <c r="W8" s="643">
        <v>46045</v>
      </c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7"/>
      <c r="J9" s="670"/>
      <c r="K9" s="192"/>
      <c r="L9" s="215">
        <v>1</v>
      </c>
      <c r="M9" s="217" t="s">
        <v>263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679"/>
      <c r="W9" s="454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7"/>
      <c r="J10" s="670"/>
      <c r="K10" s="192"/>
      <c r="L10" s="215">
        <v>1</v>
      </c>
      <c r="M10" s="217" t="s">
        <v>263</v>
      </c>
      <c r="N10" s="379" t="s">
        <v>270</v>
      </c>
      <c r="O10" s="434"/>
      <c r="P10" s="343"/>
      <c r="Q10" s="287">
        <v>2500</v>
      </c>
      <c r="R10" s="470"/>
      <c r="S10" s="501" t="s">
        <v>271</v>
      </c>
      <c r="T10" s="551">
        <v>45991</v>
      </c>
      <c r="U10" s="638">
        <v>3439.4664807538325</v>
      </c>
      <c r="V10" s="679"/>
      <c r="W10" s="649">
        <v>46045</v>
      </c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8"/>
      <c r="J11" s="671"/>
      <c r="K11" s="193"/>
      <c r="L11" s="220">
        <v>1</v>
      </c>
      <c r="M11" s="318" t="s">
        <v>263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680"/>
      <c r="W11" s="455"/>
      <c r="X11" s="668"/>
      <c r="Y11" s="607" t="s">
        <v>272</v>
      </c>
      <c r="Z11" s="486" t="s">
        <v>273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274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D168</f>
        <v>140000</v>
      </c>
      <c r="H13" s="554">
        <f>'Project Plan'!E22+60</f>
        <v>46029</v>
      </c>
      <c r="I13" s="693">
        <f>SUM(G13:G19)</f>
        <v>140000</v>
      </c>
      <c r="J13" s="696">
        <f>F168</f>
        <v>175000</v>
      </c>
      <c r="K13" s="201"/>
      <c r="L13" s="197">
        <v>2</v>
      </c>
      <c r="M13" s="319" t="s">
        <v>276</v>
      </c>
      <c r="N13" s="223" t="s">
        <v>277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267</v>
      </c>
      <c r="T13" s="647">
        <v>45991</v>
      </c>
      <c r="U13" s="639">
        <v>175000</v>
      </c>
      <c r="V13" s="708">
        <f>J13-SUM(U13:U19)</f>
        <v>0</v>
      </c>
      <c r="W13" s="659">
        <v>46037</v>
      </c>
      <c r="X13" s="693">
        <f>SUM(Q13:Q19)</f>
        <v>137740.70000000001</v>
      </c>
      <c r="Y13" s="608" t="s">
        <v>278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4"/>
      <c r="J14" s="697"/>
      <c r="K14" s="205"/>
      <c r="L14" s="202">
        <v>2</v>
      </c>
      <c r="M14" s="325" t="s">
        <v>276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09"/>
      <c r="W14" s="526"/>
      <c r="X14" s="694"/>
      <c r="Y14" s="608" t="s">
        <v>279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4"/>
      <c r="J15" s="697"/>
      <c r="K15" s="205"/>
      <c r="L15" s="202">
        <v>2</v>
      </c>
      <c r="M15" s="325" t="s">
        <v>276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09"/>
      <c r="W15" s="458"/>
      <c r="X15" s="694"/>
      <c r="Y15" s="608" t="s">
        <v>280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4"/>
      <c r="J16" s="697"/>
      <c r="K16" s="205"/>
      <c r="L16" s="202">
        <v>2</v>
      </c>
      <c r="M16" s="325" t="s">
        <v>276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09"/>
      <c r="W16" s="458"/>
      <c r="X16" s="694"/>
      <c r="Y16" s="608" t="s">
        <v>281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694"/>
      <c r="J17" s="697"/>
      <c r="K17" s="205"/>
      <c r="L17" s="202">
        <v>2</v>
      </c>
      <c r="M17" s="325" t="s">
        <v>276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09"/>
      <c r="W17" s="458"/>
      <c r="X17" s="694"/>
      <c r="Y17" s="608" t="s">
        <v>282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694"/>
      <c r="J18" s="697"/>
      <c r="K18" s="205"/>
      <c r="L18" s="202">
        <v>2</v>
      </c>
      <c r="M18" s="325" t="s">
        <v>276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09"/>
      <c r="W18" s="458"/>
      <c r="X18" s="694"/>
      <c r="Y18" s="608" t="s">
        <v>283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695"/>
      <c r="J19" s="698"/>
      <c r="K19" s="210"/>
      <c r="L19" s="296">
        <v>2</v>
      </c>
      <c r="M19" s="320" t="s">
        <v>276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10"/>
      <c r="W19" s="459"/>
      <c r="X19" s="695"/>
      <c r="Y19" s="608" t="s">
        <v>284</v>
      </c>
      <c r="Z19" s="487">
        <v>0</v>
      </c>
      <c r="AA19" s="527"/>
    </row>
    <row r="20" spans="1:30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D169</f>
        <v>112716</v>
      </c>
      <c r="H21" s="543">
        <f>'Project Plan'!E30+30</f>
        <v>45998</v>
      </c>
      <c r="I21" s="666">
        <f>SUM(G21:G27)</f>
        <v>112716</v>
      </c>
      <c r="J21" s="669">
        <f>F169</f>
        <v>140895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/>
      <c r="R21" s="476"/>
      <c r="S21" s="507"/>
      <c r="T21" s="606"/>
      <c r="U21" s="397"/>
      <c r="V21" s="678">
        <f>J21-SUM(U21:U27)</f>
        <v>3.0714941385667771E-3</v>
      </c>
      <c r="W21" s="460"/>
      <c r="X21" s="666">
        <f>SUM(Q21:Q27)</f>
        <v>78119</v>
      </c>
      <c r="Y21" s="608" t="s">
        <v>289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667"/>
      <c r="J22" s="670"/>
      <c r="K22" s="192"/>
      <c r="L22" s="215">
        <v>3</v>
      </c>
      <c r="M22" s="322" t="s">
        <v>287</v>
      </c>
      <c r="N22" s="286" t="s">
        <v>288</v>
      </c>
      <c r="O22" s="433"/>
      <c r="P22" s="357"/>
      <c r="Q22" s="219">
        <v>76171</v>
      </c>
      <c r="R22" s="469" t="s">
        <v>290</v>
      </c>
      <c r="S22" s="500" t="s">
        <v>291</v>
      </c>
      <c r="T22" s="542">
        <v>45991</v>
      </c>
      <c r="U22" s="638">
        <v>124985.3033761515</v>
      </c>
      <c r="V22" s="679"/>
      <c r="W22" s="653">
        <v>46021</v>
      </c>
      <c r="X22" s="667"/>
      <c r="Y22" s="608" t="s">
        <v>235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667"/>
      <c r="J23" s="670"/>
      <c r="K23" s="192"/>
      <c r="L23" s="215">
        <v>3</v>
      </c>
      <c r="M23" s="322" t="s">
        <v>287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679"/>
      <c r="W23" s="453"/>
      <c r="X23" s="667"/>
      <c r="Y23" s="608" t="s">
        <v>292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667"/>
      <c r="J24" s="670"/>
      <c r="K24" s="192"/>
      <c r="L24" s="215">
        <v>3</v>
      </c>
      <c r="M24" s="322" t="s">
        <v>287</v>
      </c>
      <c r="N24" s="286" t="s">
        <v>293</v>
      </c>
      <c r="O24" s="434"/>
      <c r="P24" s="343"/>
      <c r="Q24" s="287">
        <v>1948</v>
      </c>
      <c r="R24" s="470" t="s">
        <v>294</v>
      </c>
      <c r="S24" s="501" t="s">
        <v>295</v>
      </c>
      <c r="T24" s="551">
        <v>45991</v>
      </c>
      <c r="U24" s="638">
        <v>3125.4735523543814</v>
      </c>
      <c r="V24" s="679"/>
      <c r="W24" s="649">
        <f>T24+30</f>
        <v>46021</v>
      </c>
      <c r="X24" s="667"/>
      <c r="Y24" s="609" t="s">
        <v>296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667"/>
      <c r="J25" s="670"/>
      <c r="K25" s="192"/>
      <c r="L25" s="215">
        <v>3</v>
      </c>
      <c r="M25" s="322" t="s">
        <v>287</v>
      </c>
      <c r="N25" s="286"/>
      <c r="O25" s="434"/>
      <c r="P25" s="343"/>
      <c r="Q25" s="287"/>
      <c r="R25" s="470"/>
      <c r="S25" s="501"/>
      <c r="T25" s="636">
        <v>46053</v>
      </c>
      <c r="U25" s="638">
        <v>12784.22</v>
      </c>
      <c r="V25" s="679"/>
      <c r="W25" s="454"/>
      <c r="X25" s="667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667"/>
      <c r="J26" s="670"/>
      <c r="K26" s="192"/>
      <c r="L26" s="215">
        <v>3</v>
      </c>
      <c r="M26" s="322" t="s">
        <v>287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679"/>
      <c r="W26" s="454"/>
      <c r="X26" s="667"/>
      <c r="Y26" s="28" t="s">
        <v>297</v>
      </c>
      <c r="AC26" s="627" t="s">
        <v>298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668"/>
      <c r="J27" s="671"/>
      <c r="K27" s="193"/>
      <c r="L27" s="220">
        <v>3</v>
      </c>
      <c r="M27" s="323" t="s">
        <v>287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680"/>
      <c r="W27" s="455"/>
      <c r="X27" s="668"/>
      <c r="Y27" s="610" t="s">
        <v>195</v>
      </c>
      <c r="Z27" s="491" t="s">
        <v>299</v>
      </c>
      <c r="AC27" s="610" t="s">
        <v>195</v>
      </c>
      <c r="AD27" s="491" t="s">
        <v>299</v>
      </c>
    </row>
    <row r="28" spans="1:30" ht="14.5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274</v>
      </c>
      <c r="AD28" s="626">
        <v>41164.9</v>
      </c>
    </row>
    <row r="29" spans="1:30" ht="14.25" customHeight="1">
      <c r="B29" s="197">
        <v>4</v>
      </c>
      <c r="C29" s="198" t="s">
        <v>278</v>
      </c>
      <c r="D29" s="198" t="s">
        <v>300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693">
        <f>SUM(G29:G44)</f>
        <v>207033.9</v>
      </c>
      <c r="J29" s="696">
        <f>F170</f>
        <v>258792</v>
      </c>
      <c r="K29" s="201"/>
      <c r="L29" s="197">
        <v>4</v>
      </c>
      <c r="M29" s="324" t="s">
        <v>301</v>
      </c>
      <c r="N29" s="198" t="s">
        <v>302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267</v>
      </c>
      <c r="T29" s="647">
        <v>45991</v>
      </c>
      <c r="U29" s="639">
        <v>143405.58617645298</v>
      </c>
      <c r="V29" s="708">
        <f>J29-SUM(U29:U44)</f>
        <v>7.2109651169739664E-2</v>
      </c>
      <c r="W29" s="659">
        <v>46037</v>
      </c>
      <c r="X29" s="693">
        <f>SUM(Q29:Q44)</f>
        <v>93178.369999999981</v>
      </c>
      <c r="Y29" s="611" t="str">
        <f>Y13</f>
        <v>DC Equipment</v>
      </c>
      <c r="Z29" s="492">
        <v>42673.4</v>
      </c>
      <c r="AC29" s="611" t="s">
        <v>278</v>
      </c>
      <c r="AD29" s="626">
        <v>42673.4</v>
      </c>
    </row>
    <row r="30" spans="1:30" ht="14.25" customHeight="1">
      <c r="B30" s="224">
        <v>4</v>
      </c>
      <c r="C30" s="309"/>
      <c r="D30" s="309" t="s">
        <v>303</v>
      </c>
      <c r="E30" s="295"/>
      <c r="F30" s="351"/>
      <c r="G30" s="516">
        <f>D170-G29</f>
        <v>127723.9</v>
      </c>
      <c r="H30" s="545">
        <f>'Project Plan'!G28</f>
        <v>45980</v>
      </c>
      <c r="I30" s="694"/>
      <c r="J30" s="697"/>
      <c r="K30" s="205"/>
      <c r="L30" s="202">
        <v>4</v>
      </c>
      <c r="M30" s="325" t="s">
        <v>301</v>
      </c>
      <c r="N30" s="309" t="s">
        <v>304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305</v>
      </c>
      <c r="T30" s="634">
        <v>46022</v>
      </c>
      <c r="U30" s="639">
        <v>0</v>
      </c>
      <c r="V30" s="709"/>
      <c r="W30" s="648">
        <v>46022</v>
      </c>
      <c r="X30" s="694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279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694"/>
      <c r="J31" s="697"/>
      <c r="K31" s="205"/>
      <c r="L31" s="202">
        <v>4</v>
      </c>
      <c r="M31" s="325" t="s">
        <v>301</v>
      </c>
      <c r="N31" s="309" t="s">
        <v>306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305</v>
      </c>
      <c r="T31" s="634">
        <v>46022</v>
      </c>
      <c r="U31" s="639">
        <v>0</v>
      </c>
      <c r="V31" s="709"/>
      <c r="W31" s="648">
        <v>46022</v>
      </c>
      <c r="X31" s="694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280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694"/>
      <c r="J32" s="697"/>
      <c r="K32" s="205"/>
      <c r="L32" s="202">
        <v>4</v>
      </c>
      <c r="M32" s="325" t="s">
        <v>301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09"/>
      <c r="W32" s="458"/>
      <c r="X32" s="694"/>
      <c r="Y32" s="611" t="s">
        <v>281</v>
      </c>
      <c r="Z32" s="492">
        <v>11410</v>
      </c>
      <c r="AC32" s="611" t="s">
        <v>281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694"/>
      <c r="J33" s="697"/>
      <c r="K33" s="205"/>
      <c r="L33" s="202">
        <v>4</v>
      </c>
      <c r="M33" s="325" t="s">
        <v>301</v>
      </c>
      <c r="N33" s="309" t="s">
        <v>307</v>
      </c>
      <c r="O33" s="447">
        <f>Z29</f>
        <v>42673.4</v>
      </c>
      <c r="P33" s="448">
        <v>0.1</v>
      </c>
      <c r="Q33" s="204">
        <f>$O$33*P33</f>
        <v>4267.34</v>
      </c>
      <c r="R33" s="664" t="s">
        <v>308</v>
      </c>
      <c r="S33" s="505" t="s">
        <v>309</v>
      </c>
      <c r="T33" s="634">
        <v>45961</v>
      </c>
      <c r="U33" s="639">
        <v>8718.1164575988332</v>
      </c>
      <c r="V33" s="709"/>
      <c r="W33" s="644">
        <f>W95</f>
        <v>45967</v>
      </c>
      <c r="X33" s="694"/>
      <c r="Y33" s="611" t="s">
        <v>310</v>
      </c>
      <c r="Z33" s="492">
        <v>23642.5</v>
      </c>
      <c r="AC33" s="611" t="s">
        <v>310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694"/>
      <c r="J34" s="697"/>
      <c r="K34" s="205"/>
      <c r="L34" s="202">
        <v>4</v>
      </c>
      <c r="M34" s="325" t="s">
        <v>301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692"/>
      <c r="S34" s="505" t="s">
        <v>311</v>
      </c>
      <c r="T34" s="545">
        <v>45991</v>
      </c>
      <c r="U34" s="639">
        <v>17778.049203678111</v>
      </c>
      <c r="V34" s="709"/>
      <c r="W34" s="644">
        <f>W96</f>
        <v>45989</v>
      </c>
      <c r="X34" s="694"/>
      <c r="Y34" s="611" t="s">
        <v>312</v>
      </c>
      <c r="Z34" s="492"/>
      <c r="AC34" s="611" t="s">
        <v>312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694"/>
      <c r="J35" s="697"/>
      <c r="K35" s="205"/>
      <c r="L35" s="202">
        <v>4</v>
      </c>
      <c r="M35" s="325" t="s">
        <v>301</v>
      </c>
      <c r="N35" s="309" t="s">
        <v>313</v>
      </c>
      <c r="O35" s="438"/>
      <c r="P35" s="448">
        <v>0.2</v>
      </c>
      <c r="Q35" s="204">
        <f t="shared" si="5"/>
        <v>8534.68</v>
      </c>
      <c r="R35" s="692"/>
      <c r="S35" s="505" t="s">
        <v>314</v>
      </c>
      <c r="T35" s="545">
        <f>T97</f>
        <v>45991</v>
      </c>
      <c r="U35" s="639">
        <v>23704.065604904146</v>
      </c>
      <c r="V35" s="709"/>
      <c r="W35" s="644">
        <f>W97</f>
        <v>45989</v>
      </c>
      <c r="X35" s="694"/>
      <c r="Y35" s="611" t="s">
        <v>283</v>
      </c>
      <c r="Z35" s="492">
        <v>35837.75</v>
      </c>
      <c r="AC35" s="611" t="s">
        <v>283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694"/>
      <c r="J36" s="697"/>
      <c r="K36" s="205"/>
      <c r="L36" s="202">
        <v>4</v>
      </c>
      <c r="M36" s="325" t="s">
        <v>301</v>
      </c>
      <c r="N36" s="309" t="s">
        <v>315</v>
      </c>
      <c r="O36" s="438"/>
      <c r="P36" s="448">
        <v>0.2</v>
      </c>
      <c r="Q36" s="204">
        <f t="shared" si="5"/>
        <v>8534.68</v>
      </c>
      <c r="R36" s="692"/>
      <c r="S36" s="505" t="s">
        <v>314</v>
      </c>
      <c r="T36" s="545">
        <f>T98</f>
        <v>45991</v>
      </c>
      <c r="U36" s="639">
        <v>23704.065604904146</v>
      </c>
      <c r="V36" s="709"/>
      <c r="W36" s="644">
        <f>W98</f>
        <v>45989</v>
      </c>
      <c r="X36" s="694"/>
      <c r="Y36" s="611" t="s">
        <v>316</v>
      </c>
      <c r="Z36" s="492">
        <v>14117.5</v>
      </c>
      <c r="AC36" s="611" t="s">
        <v>316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694"/>
      <c r="J37" s="697"/>
      <c r="K37" s="205"/>
      <c r="L37" s="202">
        <v>4</v>
      </c>
      <c r="M37" s="325" t="s">
        <v>301</v>
      </c>
      <c r="N37" s="309" t="s">
        <v>315</v>
      </c>
      <c r="O37" s="438"/>
      <c r="P37" s="448">
        <v>0.05</v>
      </c>
      <c r="Q37" s="204">
        <v>2133.64</v>
      </c>
      <c r="R37" s="692"/>
      <c r="S37" s="505" t="s">
        <v>317</v>
      </c>
      <c r="T37" s="545">
        <f t="shared" ref="T37:T38" si="6">T99</f>
        <v>46053</v>
      </c>
      <c r="U37" s="639">
        <v>5925.9349877015457</v>
      </c>
      <c r="V37" s="709"/>
      <c r="W37" s="644">
        <f>W99</f>
        <v>46053</v>
      </c>
      <c r="X37" s="694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694"/>
      <c r="J38" s="697"/>
      <c r="K38" s="205"/>
      <c r="L38" s="202">
        <v>4</v>
      </c>
      <c r="M38" s="325" t="s">
        <v>301</v>
      </c>
      <c r="N38" s="309" t="s">
        <v>318</v>
      </c>
      <c r="O38" s="438"/>
      <c r="P38" s="448">
        <v>0.1</v>
      </c>
      <c r="Q38" s="204">
        <f t="shared" si="5"/>
        <v>4267.34</v>
      </c>
      <c r="R38" s="692"/>
      <c r="S38" s="505" t="s">
        <v>317</v>
      </c>
      <c r="T38" s="545">
        <f t="shared" si="6"/>
        <v>46053</v>
      </c>
      <c r="U38" s="639">
        <v>11852.036618369695</v>
      </c>
      <c r="V38" s="709"/>
      <c r="W38" s="644">
        <f t="shared" ref="W38:W41" si="7">W100</f>
        <v>46058</v>
      </c>
      <c r="X38" s="694"/>
      <c r="Y38" s="611" t="s">
        <v>319</v>
      </c>
      <c r="Z38" s="492">
        <v>17693</v>
      </c>
      <c r="AC38" s="611" t="s">
        <v>319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694"/>
      <c r="J39" s="697"/>
      <c r="K39" s="205"/>
      <c r="L39" s="202">
        <v>4</v>
      </c>
      <c r="M39" s="325" t="s">
        <v>301</v>
      </c>
      <c r="N39" s="309" t="s">
        <v>320</v>
      </c>
      <c r="O39" s="438"/>
      <c r="P39" s="448">
        <v>0.1</v>
      </c>
      <c r="Q39" s="204">
        <f t="shared" si="5"/>
        <v>4267.34</v>
      </c>
      <c r="R39" s="692"/>
      <c r="S39" s="505" t="s">
        <v>317</v>
      </c>
      <c r="T39" s="545">
        <f>T101</f>
        <v>46053</v>
      </c>
      <c r="U39" s="639">
        <v>11852.036618369695</v>
      </c>
      <c r="V39" s="709"/>
      <c r="W39" s="644">
        <f t="shared" si="7"/>
        <v>46066</v>
      </c>
      <c r="X39" s="694"/>
      <c r="Y39" s="611" t="s">
        <v>289</v>
      </c>
      <c r="Z39" s="493">
        <v>0</v>
      </c>
      <c r="AC39" s="611" t="s">
        <v>289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694"/>
      <c r="J40" s="697"/>
      <c r="K40" s="205"/>
      <c r="L40" s="202">
        <v>4</v>
      </c>
      <c r="M40" s="325" t="s">
        <v>301</v>
      </c>
      <c r="N40" s="309" t="s">
        <v>321</v>
      </c>
      <c r="O40" s="438"/>
      <c r="P40" s="448">
        <v>0.05</v>
      </c>
      <c r="Q40" s="204">
        <f t="shared" si="5"/>
        <v>2133.67</v>
      </c>
      <c r="R40" s="692"/>
      <c r="S40" s="505" t="s">
        <v>322</v>
      </c>
      <c r="T40" s="545">
        <f>T102</f>
        <v>46053</v>
      </c>
      <c r="U40" s="639">
        <v>5926.0183091848476</v>
      </c>
      <c r="V40" s="709"/>
      <c r="W40" s="644">
        <f t="shared" si="7"/>
        <v>46066</v>
      </c>
      <c r="X40" s="694"/>
      <c r="Y40" s="611" t="s">
        <v>235</v>
      </c>
      <c r="Z40" s="492">
        <f>SUM(Z28:Z39)</f>
        <v>497687.30000000005</v>
      </c>
      <c r="AC40" s="611" t="s">
        <v>235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694"/>
      <c r="J41" s="697"/>
      <c r="K41" s="205"/>
      <c r="L41" s="202">
        <v>4</v>
      </c>
      <c r="M41" s="325" t="s">
        <v>301</v>
      </c>
      <c r="N41" s="309" t="s">
        <v>323</v>
      </c>
      <c r="O41" s="438"/>
      <c r="P41" s="448">
        <v>0.05</v>
      </c>
      <c r="Q41" s="204">
        <f t="shared" si="5"/>
        <v>2133.67</v>
      </c>
      <c r="R41" s="665"/>
      <c r="S41" s="505" t="s">
        <v>322</v>
      </c>
      <c r="T41" s="545">
        <f>T103</f>
        <v>46053</v>
      </c>
      <c r="U41" s="639">
        <v>5926.0183091848476</v>
      </c>
      <c r="V41" s="709"/>
      <c r="W41" s="458">
        <f t="shared" si="7"/>
        <v>46096</v>
      </c>
      <c r="X41" s="694"/>
      <c r="Y41" s="612" t="s">
        <v>296</v>
      </c>
      <c r="Z41" s="493">
        <f>Z40/'Project Plan'!$E$3/1000</f>
        <v>1.9907492000000002</v>
      </c>
      <c r="AC41" s="611" t="s">
        <v>296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694"/>
      <c r="J42" s="697"/>
      <c r="K42" s="205"/>
      <c r="L42" s="202">
        <v>4</v>
      </c>
      <c r="M42" s="325" t="s">
        <v>301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09"/>
      <c r="W42" s="458"/>
      <c r="X42" s="694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694"/>
      <c r="J43" s="697"/>
      <c r="K43" s="205"/>
      <c r="L43" s="202">
        <v>4</v>
      </c>
      <c r="M43" s="325" t="s">
        <v>301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09"/>
      <c r="W43" s="458"/>
      <c r="X43" s="694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695"/>
      <c r="J44" s="698"/>
      <c r="K44" s="210"/>
      <c r="L44" s="206">
        <v>4</v>
      </c>
      <c r="M44" s="326" t="s">
        <v>301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10"/>
      <c r="W44" s="459"/>
      <c r="X44" s="695"/>
    </row>
    <row r="45" spans="1:30" ht="14.5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324</v>
      </c>
      <c r="D46" s="231" t="s">
        <v>325</v>
      </c>
      <c r="E46" s="187"/>
      <c r="F46" s="336"/>
      <c r="G46" s="188">
        <f>D172-G47</f>
        <v>34000</v>
      </c>
      <c r="H46" s="543">
        <f>H13</f>
        <v>46029</v>
      </c>
      <c r="I46" s="666">
        <f>SUM(G46:G54)</f>
        <v>49000</v>
      </c>
      <c r="J46" s="669">
        <f>F172</f>
        <v>61250</v>
      </c>
      <c r="K46" s="189"/>
      <c r="L46" s="185">
        <v>5</v>
      </c>
      <c r="M46" s="321" t="s">
        <v>326</v>
      </c>
      <c r="N46" s="231" t="s">
        <v>327</v>
      </c>
      <c r="O46" s="432"/>
      <c r="P46" s="336"/>
      <c r="Q46" s="188">
        <f>8598.34+100</f>
        <v>8698.34</v>
      </c>
      <c r="R46" s="476"/>
      <c r="S46" s="507" t="s">
        <v>328</v>
      </c>
      <c r="T46" s="543">
        <v>45991</v>
      </c>
      <c r="U46" s="640">
        <v>9080.9279110069801</v>
      </c>
      <c r="V46" s="678">
        <f>J46-SUM(U46:U54)</f>
        <v>3.9453588105970994E-3</v>
      </c>
      <c r="W46" s="652">
        <v>46031</v>
      </c>
      <c r="X46" s="666">
        <f>SUM(Q46:Q54)</f>
        <v>59038.009999999995</v>
      </c>
    </row>
    <row r="47" spans="1:30" ht="14.25" customHeight="1">
      <c r="B47" s="190">
        <v>5</v>
      </c>
      <c r="C47" s="214"/>
      <c r="D47" s="217" t="s">
        <v>329</v>
      </c>
      <c r="E47" s="349"/>
      <c r="F47" s="350"/>
      <c r="G47" s="219">
        <v>15000</v>
      </c>
      <c r="H47" s="542">
        <f>H46</f>
        <v>46029</v>
      </c>
      <c r="I47" s="667"/>
      <c r="J47" s="670"/>
      <c r="K47" s="192"/>
      <c r="L47" s="190">
        <v>5</v>
      </c>
      <c r="M47" s="327" t="s">
        <v>326</v>
      </c>
      <c r="N47" s="191" t="s">
        <v>330</v>
      </c>
      <c r="O47" s="440"/>
      <c r="P47" s="350"/>
      <c r="Q47" s="219">
        <v>25321</v>
      </c>
      <c r="R47" s="517" t="s">
        <v>331</v>
      </c>
      <c r="S47" s="500" t="s">
        <v>332</v>
      </c>
      <c r="T47" s="631">
        <v>45961</v>
      </c>
      <c r="U47" s="640">
        <v>26936.920577737092</v>
      </c>
      <c r="V47" s="679"/>
      <c r="W47" s="653">
        <v>46029</v>
      </c>
      <c r="X47" s="667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667"/>
      <c r="J48" s="670"/>
      <c r="K48" s="192"/>
      <c r="L48" s="190">
        <v>5</v>
      </c>
      <c r="M48" s="327" t="s">
        <v>326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333</v>
      </c>
      <c r="T48" s="542">
        <v>45961</v>
      </c>
      <c r="U48" s="640">
        <v>23763.553250878369</v>
      </c>
      <c r="V48" s="679"/>
      <c r="W48" s="653">
        <v>45989</v>
      </c>
      <c r="X48" s="667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667"/>
      <c r="J49" s="670"/>
      <c r="K49" s="192"/>
      <c r="L49" s="190">
        <v>5</v>
      </c>
      <c r="M49" s="327" t="s">
        <v>326</v>
      </c>
      <c r="N49" s="217" t="s">
        <v>334</v>
      </c>
      <c r="O49" s="433"/>
      <c r="P49" s="357"/>
      <c r="Q49" s="219">
        <v>343.33</v>
      </c>
      <c r="R49" s="469"/>
      <c r="S49" s="500" t="s">
        <v>335</v>
      </c>
      <c r="T49" s="542">
        <v>45961</v>
      </c>
      <c r="U49" s="640">
        <v>365.24043054991802</v>
      </c>
      <c r="V49" s="679"/>
      <c r="W49" s="653">
        <v>45989</v>
      </c>
      <c r="X49" s="667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667"/>
      <c r="J50" s="670"/>
      <c r="K50" s="192"/>
      <c r="L50" s="215">
        <v>5</v>
      </c>
      <c r="M50" s="327" t="s">
        <v>326</v>
      </c>
      <c r="N50" s="217" t="s">
        <v>336</v>
      </c>
      <c r="O50" s="433"/>
      <c r="P50" s="357"/>
      <c r="Q50" s="219">
        <v>975</v>
      </c>
      <c r="R50" s="469"/>
      <c r="S50" s="500" t="s">
        <v>337</v>
      </c>
      <c r="T50" s="542">
        <v>45961</v>
      </c>
      <c r="U50" s="640">
        <v>1037.2219724060528</v>
      </c>
      <c r="V50" s="679"/>
      <c r="W50" s="653">
        <v>45939</v>
      </c>
      <c r="X50" s="667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67"/>
      <c r="J51" s="670"/>
      <c r="K51" s="192"/>
      <c r="L51" s="215">
        <v>5</v>
      </c>
      <c r="M51" s="327" t="s">
        <v>326</v>
      </c>
      <c r="N51" s="288" t="s">
        <v>338</v>
      </c>
      <c r="O51" s="434"/>
      <c r="P51" s="343"/>
      <c r="Q51" s="287">
        <v>21.34</v>
      </c>
      <c r="R51" s="470" t="s">
        <v>339</v>
      </c>
      <c r="S51" s="501" t="s">
        <v>340</v>
      </c>
      <c r="T51" s="636">
        <v>45991</v>
      </c>
      <c r="U51" s="640">
        <v>22.63803342027202</v>
      </c>
      <c r="V51" s="679"/>
      <c r="W51" s="651">
        <v>45973</v>
      </c>
      <c r="X51" s="667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67"/>
      <c r="J52" s="670"/>
      <c r="K52" s="192"/>
      <c r="L52" s="215">
        <v>5</v>
      </c>
      <c r="M52" s="327" t="s">
        <v>326</v>
      </c>
      <c r="N52" s="288" t="s">
        <v>338</v>
      </c>
      <c r="O52" s="434"/>
      <c r="P52" s="343"/>
      <c r="Q52" s="287">
        <v>41</v>
      </c>
      <c r="R52" s="470"/>
      <c r="S52" s="501" t="s">
        <v>340</v>
      </c>
      <c r="T52" s="636">
        <v>45991</v>
      </c>
      <c r="U52" s="638">
        <v>43.493878642509507</v>
      </c>
      <c r="V52" s="679"/>
      <c r="W52" s="651">
        <v>45990</v>
      </c>
      <c r="X52" s="667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667"/>
      <c r="J53" s="670"/>
      <c r="K53" s="192"/>
      <c r="L53" s="215">
        <v>5</v>
      </c>
      <c r="M53" s="327" t="s">
        <v>326</v>
      </c>
      <c r="N53" s="288" t="s">
        <v>341</v>
      </c>
      <c r="O53" s="434"/>
      <c r="P53" s="343"/>
      <c r="Q53" s="287">
        <v>1300</v>
      </c>
      <c r="R53" s="470"/>
      <c r="S53" s="501" t="s">
        <v>342</v>
      </c>
      <c r="T53" s="636">
        <v>46022</v>
      </c>
      <c r="U53" s="638"/>
      <c r="V53" s="679"/>
      <c r="W53" s="651">
        <v>46022</v>
      </c>
      <c r="X53" s="667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668"/>
      <c r="J54" s="671"/>
      <c r="K54" s="193"/>
      <c r="L54" s="220">
        <v>5</v>
      </c>
      <c r="M54" s="323" t="s">
        <v>326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8">(Q54/$X$46*$J$46)</f>
        <v>0</v>
      </c>
      <c r="V54" s="680"/>
      <c r="W54" s="455"/>
      <c r="X54" s="668"/>
    </row>
    <row r="55" spans="1:24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274</v>
      </c>
      <c r="D56" s="199" t="s">
        <v>343</v>
      </c>
      <c r="E56" s="373"/>
      <c r="F56" s="355"/>
      <c r="G56" s="200">
        <f>D171</f>
        <v>268570.82</v>
      </c>
      <c r="H56" s="554">
        <f>'Project Plan'!G24+30</f>
        <v>45997</v>
      </c>
      <c r="I56" s="693">
        <f>SUM(G56:G73)</f>
        <v>268570.82</v>
      </c>
      <c r="J56" s="696">
        <f>F171</f>
        <v>335714</v>
      </c>
      <c r="K56" s="201"/>
      <c r="L56" s="197">
        <v>6</v>
      </c>
      <c r="M56" s="330" t="s">
        <v>344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9">(Q56/$X$56*$J$56)</f>
        <v>0</v>
      </c>
      <c r="V56" s="708">
        <f>J56-SUM(U56:U73)</f>
        <v>0</v>
      </c>
      <c r="W56" s="457"/>
      <c r="X56" s="693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4"/>
      <c r="J57" s="697"/>
      <c r="K57" s="205"/>
      <c r="L57" s="202">
        <v>6</v>
      </c>
      <c r="M57" s="328" t="s">
        <v>344</v>
      </c>
      <c r="N57" s="342" t="s">
        <v>93</v>
      </c>
      <c r="O57" s="438"/>
      <c r="P57" s="351"/>
      <c r="Q57" s="225">
        <f>80115.72-Q58</f>
        <v>24740.639999999999</v>
      </c>
      <c r="R57" s="474" t="s">
        <v>345</v>
      </c>
      <c r="S57" s="505" t="s">
        <v>346</v>
      </c>
      <c r="T57" s="545">
        <v>45991</v>
      </c>
      <c r="U57" s="639">
        <v>68483.977217134932</v>
      </c>
      <c r="V57" s="709"/>
      <c r="W57" s="644">
        <f>T57+30</f>
        <v>46021</v>
      </c>
      <c r="X57" s="69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94"/>
      <c r="J58" s="697"/>
      <c r="K58" s="205"/>
      <c r="L58" s="202">
        <v>6</v>
      </c>
      <c r="M58" s="328" t="s">
        <v>344</v>
      </c>
      <c r="N58" s="342"/>
      <c r="O58" s="438"/>
      <c r="P58" s="351"/>
      <c r="Q58" s="225">
        <v>55375.08</v>
      </c>
      <c r="R58" s="474"/>
      <c r="S58" s="505" t="s">
        <v>347</v>
      </c>
      <c r="T58" s="545">
        <v>45991</v>
      </c>
      <c r="U58" s="639">
        <v>153282.44205150008</v>
      </c>
      <c r="V58" s="709"/>
      <c r="W58" s="458"/>
      <c r="X58" s="69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694"/>
      <c r="J59" s="697"/>
      <c r="K59" s="205"/>
      <c r="L59" s="202">
        <v>6</v>
      </c>
      <c r="M59" s="328" t="s">
        <v>344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9"/>
        <v>0</v>
      </c>
      <c r="V59" s="709"/>
      <c r="W59" s="458"/>
      <c r="X59" s="69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694"/>
      <c r="J60" s="697"/>
      <c r="K60" s="205"/>
      <c r="L60" s="202">
        <v>6</v>
      </c>
      <c r="M60" s="328" t="s">
        <v>344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9"/>
        <v>0</v>
      </c>
      <c r="V60" s="709"/>
      <c r="W60" s="458"/>
      <c r="X60" s="69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694"/>
      <c r="J61" s="697"/>
      <c r="K61" s="205"/>
      <c r="L61" s="202">
        <v>6</v>
      </c>
      <c r="M61" s="328" t="s">
        <v>344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9"/>
        <v>0</v>
      </c>
      <c r="V61" s="709"/>
      <c r="W61" s="458"/>
      <c r="X61" s="694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694"/>
      <c r="J62" s="697"/>
      <c r="K62" s="205"/>
      <c r="L62" s="202">
        <v>6</v>
      </c>
      <c r="M62" s="328" t="s">
        <v>344</v>
      </c>
      <c r="N62" s="309" t="s">
        <v>307</v>
      </c>
      <c r="O62" s="447">
        <f>Z28</f>
        <v>41164.9</v>
      </c>
      <c r="P62" s="448">
        <v>0.1</v>
      </c>
      <c r="Q62" s="204">
        <f>$O$62*P62</f>
        <v>4116.4900000000007</v>
      </c>
      <c r="R62" s="664" t="s">
        <v>308</v>
      </c>
      <c r="S62" s="505" t="s">
        <v>309</v>
      </c>
      <c r="T62" s="635">
        <v>45961</v>
      </c>
      <c r="U62" s="639">
        <v>11394.758073136501</v>
      </c>
      <c r="V62" s="709"/>
      <c r="W62" s="644">
        <f>W95</f>
        <v>45967</v>
      </c>
      <c r="X62" s="69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94"/>
      <c r="J63" s="697"/>
      <c r="K63" s="205"/>
      <c r="L63" s="202">
        <v>6</v>
      </c>
      <c r="M63" s="329" t="s">
        <v>344</v>
      </c>
      <c r="N63" s="309" t="s">
        <v>147</v>
      </c>
      <c r="O63" s="438"/>
      <c r="P63" s="448">
        <v>0.15</v>
      </c>
      <c r="Q63" s="204">
        <f t="shared" ref="Q63:Q70" si="10">$O$62*P63</f>
        <v>6174.7349999999997</v>
      </c>
      <c r="R63" s="692"/>
      <c r="S63" s="505" t="s">
        <v>311</v>
      </c>
      <c r="T63" s="560">
        <v>45991</v>
      </c>
      <c r="U63" s="639">
        <v>17092.137109704749</v>
      </c>
      <c r="V63" s="709"/>
      <c r="W63" s="644">
        <f t="shared" ref="W63:W66" si="11">W96</f>
        <v>45989</v>
      </c>
      <c r="X63" s="69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694"/>
      <c r="J64" s="697"/>
      <c r="K64" s="205"/>
      <c r="L64" s="202">
        <v>6</v>
      </c>
      <c r="M64" s="329" t="s">
        <v>344</v>
      </c>
      <c r="N64" s="309" t="s">
        <v>313</v>
      </c>
      <c r="O64" s="438"/>
      <c r="P64" s="448">
        <v>0.2</v>
      </c>
      <c r="Q64" s="204">
        <f t="shared" si="10"/>
        <v>8232.9800000000014</v>
      </c>
      <c r="R64" s="692"/>
      <c r="S64" s="505" t="s">
        <v>314</v>
      </c>
      <c r="T64" s="560">
        <f t="shared" ref="T64:T66" si="12">T97</f>
        <v>45991</v>
      </c>
      <c r="U64" s="639">
        <v>22789.516146273003</v>
      </c>
      <c r="V64" s="709"/>
      <c r="W64" s="644">
        <f t="shared" si="11"/>
        <v>45989</v>
      </c>
      <c r="X64" s="69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694"/>
      <c r="J65" s="697"/>
      <c r="K65" s="205"/>
      <c r="L65" s="202">
        <v>6</v>
      </c>
      <c r="M65" s="329" t="s">
        <v>344</v>
      </c>
      <c r="N65" s="309" t="s">
        <v>315</v>
      </c>
      <c r="O65" s="438"/>
      <c r="P65" s="448">
        <v>0.2</v>
      </c>
      <c r="Q65" s="204">
        <f t="shared" si="10"/>
        <v>8232.9800000000014</v>
      </c>
      <c r="R65" s="692"/>
      <c r="S65" s="505" t="s">
        <v>314</v>
      </c>
      <c r="T65" s="560">
        <f t="shared" si="12"/>
        <v>45991</v>
      </c>
      <c r="U65" s="639">
        <v>22789.516146273003</v>
      </c>
      <c r="V65" s="709"/>
      <c r="W65" s="644">
        <f t="shared" si="11"/>
        <v>45989</v>
      </c>
      <c r="X65" s="694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694"/>
      <c r="J66" s="697"/>
      <c r="K66" s="205"/>
      <c r="L66" s="202">
        <v>6</v>
      </c>
      <c r="M66" s="329" t="s">
        <v>344</v>
      </c>
      <c r="N66" s="309" t="s">
        <v>315</v>
      </c>
      <c r="O66" s="438"/>
      <c r="P66" s="448">
        <v>0.05</v>
      </c>
      <c r="Q66" s="204">
        <f t="shared" ref="Q66" si="13">$O$62*P66</f>
        <v>2058.2450000000003</v>
      </c>
      <c r="R66" s="692"/>
      <c r="S66" s="505" t="s">
        <v>317</v>
      </c>
      <c r="T66" s="560">
        <f t="shared" si="12"/>
        <v>46053</v>
      </c>
      <c r="U66" s="639">
        <v>5697.3790365682507</v>
      </c>
      <c r="V66" s="709"/>
      <c r="W66" s="644">
        <f t="shared" si="11"/>
        <v>46053</v>
      </c>
      <c r="X66" s="694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694"/>
      <c r="J67" s="697"/>
      <c r="K67" s="205"/>
      <c r="L67" s="202">
        <v>6</v>
      </c>
      <c r="M67" s="329" t="s">
        <v>344</v>
      </c>
      <c r="N67" s="309" t="s">
        <v>318</v>
      </c>
      <c r="O67" s="438"/>
      <c r="P67" s="448">
        <v>0.1</v>
      </c>
      <c r="Q67" s="204">
        <f t="shared" si="10"/>
        <v>4116.4900000000007</v>
      </c>
      <c r="R67" s="692"/>
      <c r="S67" s="505" t="s">
        <v>317</v>
      </c>
      <c r="T67" s="560">
        <f>T100</f>
        <v>46053</v>
      </c>
      <c r="U67" s="639">
        <v>11394.758073136501</v>
      </c>
      <c r="V67" s="709"/>
      <c r="W67" s="644">
        <f>W100</f>
        <v>46058</v>
      </c>
      <c r="X67" s="69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94"/>
      <c r="J68" s="697"/>
      <c r="K68" s="205"/>
      <c r="L68" s="202">
        <v>6</v>
      </c>
      <c r="M68" s="329" t="s">
        <v>344</v>
      </c>
      <c r="N68" s="309" t="s">
        <v>320</v>
      </c>
      <c r="O68" s="438"/>
      <c r="P68" s="448">
        <v>0.1</v>
      </c>
      <c r="Q68" s="204">
        <f t="shared" si="10"/>
        <v>4116.4900000000007</v>
      </c>
      <c r="R68" s="692"/>
      <c r="S68" s="509" t="s">
        <v>317</v>
      </c>
      <c r="T68" s="560">
        <f>T101</f>
        <v>46053</v>
      </c>
      <c r="U68" s="661">
        <v>11394.758073136501</v>
      </c>
      <c r="V68" s="709"/>
      <c r="W68" s="644">
        <f>W101</f>
        <v>46066</v>
      </c>
      <c r="X68" s="69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94"/>
      <c r="J69" s="697"/>
      <c r="K69" s="205"/>
      <c r="L69" s="202">
        <v>6</v>
      </c>
      <c r="M69" s="329" t="s">
        <v>344</v>
      </c>
      <c r="N69" s="309" t="s">
        <v>321</v>
      </c>
      <c r="O69" s="438"/>
      <c r="P69" s="448">
        <v>0.05</v>
      </c>
      <c r="Q69" s="204">
        <f t="shared" si="10"/>
        <v>2058.2450000000003</v>
      </c>
      <c r="R69" s="692"/>
      <c r="S69" s="509" t="s">
        <v>322</v>
      </c>
      <c r="T69" s="560">
        <f>T102</f>
        <v>46053</v>
      </c>
      <c r="U69" s="661">
        <v>5697.3790365682507</v>
      </c>
      <c r="V69" s="709"/>
      <c r="W69" s="644">
        <f>W102</f>
        <v>46066</v>
      </c>
      <c r="X69" s="69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694"/>
      <c r="J70" s="697"/>
      <c r="K70" s="205"/>
      <c r="L70" s="202">
        <v>6</v>
      </c>
      <c r="M70" s="329" t="s">
        <v>344</v>
      </c>
      <c r="N70" s="309" t="s">
        <v>323</v>
      </c>
      <c r="O70" s="438"/>
      <c r="P70" s="448">
        <v>0.05</v>
      </c>
      <c r="Q70" s="204">
        <f t="shared" si="10"/>
        <v>2058.2450000000003</v>
      </c>
      <c r="R70" s="665"/>
      <c r="S70" s="509" t="s">
        <v>322</v>
      </c>
      <c r="T70" s="560">
        <f>T103</f>
        <v>46053</v>
      </c>
      <c r="U70" s="661">
        <v>5697.3790365682507</v>
      </c>
      <c r="V70" s="709"/>
      <c r="W70" s="458">
        <f>W103</f>
        <v>46096</v>
      </c>
      <c r="X70" s="69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694"/>
      <c r="J71" s="697"/>
      <c r="K71" s="205"/>
      <c r="L71" s="202">
        <v>6</v>
      </c>
      <c r="M71" s="329" t="s">
        <v>344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9"/>
        <v>0</v>
      </c>
      <c r="V71" s="709"/>
      <c r="W71" s="461"/>
      <c r="X71" s="69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694"/>
      <c r="J72" s="697"/>
      <c r="K72" s="205"/>
      <c r="L72" s="202">
        <v>6</v>
      </c>
      <c r="M72" s="329" t="s">
        <v>344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9"/>
        <v>0</v>
      </c>
      <c r="V72" s="709"/>
      <c r="W72" s="461"/>
      <c r="X72" s="694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695"/>
      <c r="J73" s="698"/>
      <c r="K73" s="210"/>
      <c r="L73" s="206">
        <v>6</v>
      </c>
      <c r="M73" s="331" t="s">
        <v>344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9"/>
        <v>0</v>
      </c>
      <c r="V73" s="710"/>
      <c r="W73" s="459"/>
      <c r="X73" s="695"/>
    </row>
    <row r="74" spans="1:24" ht="14.5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348</v>
      </c>
      <c r="D75" s="282"/>
      <c r="E75" s="360"/>
      <c r="F75" s="366"/>
      <c r="G75" s="283"/>
      <c r="H75" s="558"/>
      <c r="I75" s="666">
        <f>SUM(G75:G82)</f>
        <v>0</v>
      </c>
      <c r="J75" s="669">
        <f>F176</f>
        <v>0</v>
      </c>
      <c r="K75" s="189"/>
      <c r="L75" s="281">
        <v>7</v>
      </c>
      <c r="M75" s="213" t="s">
        <v>349</v>
      </c>
      <c r="N75" s="282"/>
      <c r="O75" s="360"/>
      <c r="P75" s="366"/>
      <c r="Q75" s="283"/>
      <c r="R75" s="480"/>
      <c r="S75" s="511"/>
      <c r="T75" s="421"/>
      <c r="U75" s="524"/>
      <c r="V75" s="705">
        <f>J75-SUM(U75:U82)</f>
        <v>0</v>
      </c>
      <c r="W75" s="463"/>
      <c r="X75" s="666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7"/>
      <c r="J76" s="670"/>
      <c r="K76" s="192"/>
      <c r="L76" s="284">
        <v>7</v>
      </c>
      <c r="M76" s="285" t="s">
        <v>349</v>
      </c>
      <c r="N76" s="286"/>
      <c r="O76" s="307"/>
      <c r="P76" s="343"/>
      <c r="Q76" s="287"/>
      <c r="R76" s="470"/>
      <c r="S76" s="501"/>
      <c r="T76" s="412"/>
      <c r="U76" s="397"/>
      <c r="V76" s="706"/>
      <c r="W76" s="454"/>
      <c r="X76" s="66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67"/>
      <c r="J77" s="670"/>
      <c r="K77" s="192"/>
      <c r="L77" s="284">
        <v>7</v>
      </c>
      <c r="M77" s="285" t="s">
        <v>349</v>
      </c>
      <c r="N77" s="286"/>
      <c r="O77" s="307"/>
      <c r="P77" s="343"/>
      <c r="Q77" s="287"/>
      <c r="R77" s="470"/>
      <c r="S77" s="501"/>
      <c r="T77" s="412"/>
      <c r="U77" s="397"/>
      <c r="V77" s="706"/>
      <c r="W77" s="454"/>
      <c r="X77" s="66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67"/>
      <c r="J78" s="670"/>
      <c r="K78" s="192"/>
      <c r="L78" s="284">
        <v>7</v>
      </c>
      <c r="M78" s="285" t="s">
        <v>349</v>
      </c>
      <c r="N78" s="286"/>
      <c r="O78" s="307"/>
      <c r="P78" s="343"/>
      <c r="Q78" s="287"/>
      <c r="R78" s="470"/>
      <c r="S78" s="501"/>
      <c r="T78" s="412"/>
      <c r="U78" s="397"/>
      <c r="V78" s="706"/>
      <c r="W78" s="454"/>
      <c r="X78" s="66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67"/>
      <c r="J79" s="670"/>
      <c r="K79" s="192"/>
      <c r="L79" s="284">
        <v>7</v>
      </c>
      <c r="M79" s="285" t="s">
        <v>349</v>
      </c>
      <c r="N79" s="286"/>
      <c r="O79" s="307"/>
      <c r="P79" s="343"/>
      <c r="Q79" s="287"/>
      <c r="R79" s="470"/>
      <c r="S79" s="501"/>
      <c r="T79" s="412"/>
      <c r="U79" s="397"/>
      <c r="V79" s="706"/>
      <c r="W79" s="454"/>
      <c r="X79" s="66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67"/>
      <c r="J80" s="670"/>
      <c r="K80" s="192"/>
      <c r="L80" s="284">
        <v>7</v>
      </c>
      <c r="M80" s="285" t="s">
        <v>349</v>
      </c>
      <c r="N80" s="286"/>
      <c r="O80" s="434"/>
      <c r="P80" s="343"/>
      <c r="Q80" s="287"/>
      <c r="R80" s="470"/>
      <c r="S80" s="501"/>
      <c r="T80" s="412"/>
      <c r="U80" s="397"/>
      <c r="V80" s="706"/>
      <c r="W80" s="454"/>
      <c r="X80" s="667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667"/>
      <c r="J81" s="670"/>
      <c r="K81" s="192"/>
      <c r="L81" s="284">
        <v>7</v>
      </c>
      <c r="M81" s="285" t="s">
        <v>349</v>
      </c>
      <c r="N81" s="286"/>
      <c r="O81" s="434"/>
      <c r="P81" s="343"/>
      <c r="Q81" s="287"/>
      <c r="R81" s="470"/>
      <c r="S81" s="501"/>
      <c r="T81" s="412"/>
      <c r="U81" s="397"/>
      <c r="V81" s="706"/>
      <c r="W81" s="454"/>
      <c r="X81" s="667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668"/>
      <c r="J82" s="671"/>
      <c r="K82" s="193"/>
      <c r="L82" s="220">
        <v>7</v>
      </c>
      <c r="M82" s="241" t="s">
        <v>349</v>
      </c>
      <c r="N82" s="233"/>
      <c r="O82" s="435"/>
      <c r="P82" s="358"/>
      <c r="Q82" s="234"/>
      <c r="R82" s="471"/>
      <c r="S82" s="502"/>
      <c r="T82" s="413"/>
      <c r="U82" s="398"/>
      <c r="V82" s="707"/>
      <c r="W82" s="455"/>
      <c r="X82" s="668"/>
    </row>
    <row r="83" spans="1:24" ht="14.5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350</v>
      </c>
      <c r="D84" s="237"/>
      <c r="E84" s="361"/>
      <c r="F84" s="315"/>
      <c r="G84" s="238"/>
      <c r="H84" s="554"/>
      <c r="I84" s="693">
        <f>SUM(G84:G92)</f>
        <v>0</v>
      </c>
      <c r="J84" s="696">
        <v>0</v>
      </c>
      <c r="K84" s="201"/>
      <c r="L84" s="236">
        <v>8</v>
      </c>
      <c r="M84" s="324" t="s">
        <v>351</v>
      </c>
      <c r="N84" s="237"/>
      <c r="O84" s="361"/>
      <c r="P84" s="315"/>
      <c r="Q84" s="238"/>
      <c r="R84" s="473"/>
      <c r="S84" s="504"/>
      <c r="T84" s="415"/>
      <c r="U84" s="400"/>
      <c r="V84" s="702">
        <f>J84-SUM(U84:U92)</f>
        <v>0</v>
      </c>
      <c r="W84" s="457"/>
      <c r="X84" s="693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4"/>
      <c r="J85" s="697"/>
      <c r="K85" s="205"/>
      <c r="L85" s="226">
        <v>8</v>
      </c>
      <c r="M85" s="332" t="s">
        <v>351</v>
      </c>
      <c r="N85" s="239"/>
      <c r="O85" s="314"/>
      <c r="P85" s="359"/>
      <c r="Q85" s="228"/>
      <c r="R85" s="474"/>
      <c r="S85" s="505"/>
      <c r="T85" s="416"/>
      <c r="U85" s="401"/>
      <c r="V85" s="703"/>
      <c r="W85" s="458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4"/>
      <c r="J86" s="697"/>
      <c r="K86" s="205"/>
      <c r="L86" s="226">
        <v>8</v>
      </c>
      <c r="M86" s="332" t="s">
        <v>351</v>
      </c>
      <c r="N86" s="239"/>
      <c r="O86" s="314"/>
      <c r="P86" s="359"/>
      <c r="Q86" s="228"/>
      <c r="R86" s="474"/>
      <c r="S86" s="505"/>
      <c r="T86" s="416"/>
      <c r="U86" s="401"/>
      <c r="V86" s="703"/>
      <c r="W86" s="458"/>
      <c r="X86" s="69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94"/>
      <c r="J87" s="697"/>
      <c r="K87" s="205"/>
      <c r="L87" s="226">
        <v>8</v>
      </c>
      <c r="M87" s="332" t="s">
        <v>351</v>
      </c>
      <c r="N87" s="239" t="s">
        <v>352</v>
      </c>
      <c r="O87" s="646">
        <v>0.7</v>
      </c>
      <c r="P87" s="359">
        <v>18231.22</v>
      </c>
      <c r="Q87" s="228">
        <f>O87*P87</f>
        <v>12761.853999999999</v>
      </c>
      <c r="R87" s="664" t="s">
        <v>353</v>
      </c>
      <c r="S87" s="505" t="s">
        <v>354</v>
      </c>
      <c r="T87" s="634">
        <v>45991</v>
      </c>
      <c r="U87" s="401"/>
      <c r="V87" s="703"/>
      <c r="W87" s="648">
        <v>45980</v>
      </c>
      <c r="X87" s="694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694"/>
      <c r="J88" s="697"/>
      <c r="K88" s="205"/>
      <c r="L88" s="226">
        <v>8</v>
      </c>
      <c r="M88" s="332" t="s">
        <v>351</v>
      </c>
      <c r="N88" s="239"/>
      <c r="O88" s="646">
        <v>0.3</v>
      </c>
      <c r="P88" s="359"/>
      <c r="Q88" s="228">
        <f>O88*P87</f>
        <v>5469.366</v>
      </c>
      <c r="R88" s="665"/>
      <c r="S88" s="505" t="s">
        <v>354</v>
      </c>
      <c r="T88" s="634">
        <v>45991</v>
      </c>
      <c r="U88" s="401"/>
      <c r="V88" s="703"/>
      <c r="W88" s="644">
        <v>46009</v>
      </c>
      <c r="X88" s="69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694"/>
      <c r="J89" s="697"/>
      <c r="K89" s="205"/>
      <c r="L89" s="226">
        <v>8</v>
      </c>
      <c r="M89" s="332" t="s">
        <v>351</v>
      </c>
      <c r="N89" s="239" t="s">
        <v>355</v>
      </c>
      <c r="O89" s="441"/>
      <c r="P89" s="534"/>
      <c r="Q89" s="228">
        <v>7826.09</v>
      </c>
      <c r="R89" s="474"/>
      <c r="S89" s="505" t="s">
        <v>356</v>
      </c>
      <c r="T89" s="545">
        <v>46022</v>
      </c>
      <c r="U89" s="401"/>
      <c r="V89" s="703"/>
      <c r="W89" s="644">
        <v>46010</v>
      </c>
      <c r="X89" s="694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694"/>
      <c r="J90" s="697"/>
      <c r="K90" s="205"/>
      <c r="L90" s="226">
        <v>8</v>
      </c>
      <c r="M90" s="332" t="s">
        <v>351</v>
      </c>
      <c r="N90" s="239"/>
      <c r="O90" s="441"/>
      <c r="P90" s="359"/>
      <c r="Q90" s="228"/>
      <c r="R90" s="474"/>
      <c r="S90" s="505"/>
      <c r="T90" s="545"/>
      <c r="U90" s="401"/>
      <c r="V90" s="703"/>
      <c r="W90" s="458"/>
      <c r="X90" s="69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694"/>
      <c r="J91" s="697"/>
      <c r="K91" s="205"/>
      <c r="L91" s="226">
        <v>8</v>
      </c>
      <c r="M91" s="332" t="s">
        <v>351</v>
      </c>
      <c r="N91" s="239"/>
      <c r="O91" s="441"/>
      <c r="P91" s="359"/>
      <c r="Q91" s="228"/>
      <c r="R91" s="478"/>
      <c r="S91" s="509"/>
      <c r="T91" s="419"/>
      <c r="U91" s="406"/>
      <c r="V91" s="703"/>
      <c r="W91" s="461"/>
      <c r="X91" s="694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695"/>
      <c r="J92" s="698"/>
      <c r="K92" s="210"/>
      <c r="L92" s="206">
        <v>8</v>
      </c>
      <c r="M92" s="331" t="s">
        <v>351</v>
      </c>
      <c r="N92" s="208"/>
      <c r="O92" s="442"/>
      <c r="P92" s="353"/>
      <c r="Q92" s="209"/>
      <c r="R92" s="475"/>
      <c r="S92" s="506"/>
      <c r="T92" s="417"/>
      <c r="U92" s="402"/>
      <c r="V92" s="704"/>
      <c r="W92" s="459"/>
      <c r="X92" s="695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357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4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358</v>
      </c>
      <c r="D94" s="231" t="s">
        <v>359</v>
      </c>
      <c r="E94" s="218"/>
      <c r="F94" s="336"/>
      <c r="G94" s="495">
        <f>D180</f>
        <v>62620</v>
      </c>
      <c r="H94" s="543">
        <f>'Project Plan'!G21+7</f>
        <v>45981</v>
      </c>
      <c r="I94" s="699">
        <f>SUM(G94:G106)</f>
        <v>196950</v>
      </c>
      <c r="J94" s="669">
        <f>F180+F181</f>
        <v>218834</v>
      </c>
      <c r="K94" s="192"/>
      <c r="L94" s="215">
        <v>9</v>
      </c>
      <c r="M94" s="322" t="s">
        <v>360</v>
      </c>
      <c r="N94" s="231"/>
      <c r="O94" s="433"/>
      <c r="P94" s="336"/>
      <c r="Q94" s="219"/>
      <c r="R94" s="476"/>
      <c r="S94" s="507"/>
      <c r="T94" s="418" t="str">
        <f t="shared" si="14"/>
        <v/>
      </c>
      <c r="U94" s="404">
        <f t="shared" ref="U94:U106" si="15">(Q94/$X$94*$J$94)</f>
        <v>0</v>
      </c>
      <c r="V94" s="678">
        <f>J94-SUM(U94:U106)</f>
        <v>0</v>
      </c>
      <c r="W94" s="460"/>
      <c r="X94" s="666">
        <f>SUM(Q94:Q106)</f>
        <v>311148.24999999994</v>
      </c>
    </row>
    <row r="95" spans="1:24" ht="15" customHeight="1">
      <c r="B95" s="215">
        <v>9</v>
      </c>
      <c r="C95" s="341"/>
      <c r="D95" s="232" t="s">
        <v>361</v>
      </c>
      <c r="E95" s="218"/>
      <c r="F95" s="357"/>
      <c r="G95" s="495">
        <f>D181</f>
        <v>134330</v>
      </c>
      <c r="H95" s="542">
        <f>'Project Plan'!G28+7</f>
        <v>45987</v>
      </c>
      <c r="I95" s="700"/>
      <c r="J95" s="670"/>
      <c r="K95" s="192"/>
      <c r="L95" s="215">
        <v>9</v>
      </c>
      <c r="M95" s="322" t="s">
        <v>360</v>
      </c>
      <c r="N95" s="232" t="s">
        <v>307</v>
      </c>
      <c r="O95" s="450">
        <f>Z31+Z30</f>
        <v>311148.25</v>
      </c>
      <c r="P95" s="451">
        <v>0.1</v>
      </c>
      <c r="Q95" s="219">
        <f>$O$95*P95</f>
        <v>31114.825000000001</v>
      </c>
      <c r="R95" s="687" t="s">
        <v>308</v>
      </c>
      <c r="S95" s="500" t="s">
        <v>309</v>
      </c>
      <c r="T95" s="636">
        <v>45961</v>
      </c>
      <c r="U95" s="638">
        <v>21883.400000000005</v>
      </c>
      <c r="V95" s="679"/>
      <c r="W95" s="643">
        <f>'Project Plan'!I19</f>
        <v>45967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0"/>
      <c r="J96" s="670"/>
      <c r="K96" s="192"/>
      <c r="L96" s="284">
        <v>9</v>
      </c>
      <c r="M96" s="394" t="s">
        <v>360</v>
      </c>
      <c r="N96" s="286" t="s">
        <v>147</v>
      </c>
      <c r="O96" s="434"/>
      <c r="P96" s="449">
        <v>0.15</v>
      </c>
      <c r="Q96" s="219">
        <f t="shared" ref="Q96:Q103" si="16">$O$95*P96</f>
        <v>46672.237499999996</v>
      </c>
      <c r="R96" s="688"/>
      <c r="S96" s="501" t="s">
        <v>311</v>
      </c>
      <c r="T96" s="551">
        <v>45991</v>
      </c>
      <c r="U96" s="638">
        <v>32825.100000000006</v>
      </c>
      <c r="V96" s="679"/>
      <c r="W96" s="649">
        <v>45989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0"/>
      <c r="J97" s="670"/>
      <c r="K97" s="192"/>
      <c r="L97" s="284">
        <v>9</v>
      </c>
      <c r="M97" s="394" t="s">
        <v>360</v>
      </c>
      <c r="N97" s="286" t="s">
        <v>313</v>
      </c>
      <c r="O97" s="434"/>
      <c r="P97" s="449">
        <v>0.2</v>
      </c>
      <c r="Q97" s="219">
        <f t="shared" si="16"/>
        <v>62229.65</v>
      </c>
      <c r="R97" s="688"/>
      <c r="S97" s="501" t="s">
        <v>314</v>
      </c>
      <c r="T97" s="551">
        <v>45991</v>
      </c>
      <c r="U97" s="638">
        <v>43766.80000000001</v>
      </c>
      <c r="V97" s="679"/>
      <c r="W97" s="649">
        <v>45989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0"/>
      <c r="J98" s="670"/>
      <c r="K98" s="192"/>
      <c r="L98" s="284">
        <v>9</v>
      </c>
      <c r="M98" s="394" t="s">
        <v>360</v>
      </c>
      <c r="N98" s="286" t="s">
        <v>315</v>
      </c>
      <c r="O98" s="434"/>
      <c r="P98" s="449">
        <v>0.2</v>
      </c>
      <c r="Q98" s="219">
        <f t="shared" si="16"/>
        <v>62229.65</v>
      </c>
      <c r="R98" s="688"/>
      <c r="S98" s="501" t="s">
        <v>314</v>
      </c>
      <c r="T98" s="551">
        <v>45991</v>
      </c>
      <c r="U98" s="638">
        <v>43766.80000000001</v>
      </c>
      <c r="V98" s="679"/>
      <c r="W98" s="649">
        <v>45989</v>
      </c>
      <c r="X98" s="667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00"/>
      <c r="J99" s="670"/>
      <c r="K99" s="192"/>
      <c r="L99" s="284">
        <v>9</v>
      </c>
      <c r="M99" s="394" t="s">
        <v>360</v>
      </c>
      <c r="N99" s="286" t="s">
        <v>315</v>
      </c>
      <c r="O99" s="434"/>
      <c r="P99" s="449">
        <v>0.05</v>
      </c>
      <c r="Q99" s="219">
        <f t="shared" ref="Q99" si="17">$O$95*P99</f>
        <v>15557.4125</v>
      </c>
      <c r="R99" s="688"/>
      <c r="S99" s="501" t="s">
        <v>317</v>
      </c>
      <c r="T99" s="551">
        <v>46053</v>
      </c>
      <c r="U99" s="638">
        <v>10941.700000000003</v>
      </c>
      <c r="V99" s="679"/>
      <c r="W99" s="649">
        <v>46053</v>
      </c>
      <c r="X99" s="66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0"/>
      <c r="J100" s="670"/>
      <c r="K100" s="192"/>
      <c r="L100" s="284">
        <v>9</v>
      </c>
      <c r="M100" s="394" t="s">
        <v>360</v>
      </c>
      <c r="N100" s="286" t="s">
        <v>318</v>
      </c>
      <c r="O100" s="434"/>
      <c r="P100" s="449">
        <v>0.1</v>
      </c>
      <c r="Q100" s="219">
        <f t="shared" si="16"/>
        <v>31114.825000000001</v>
      </c>
      <c r="R100" s="688"/>
      <c r="S100" s="501" t="s">
        <v>317</v>
      </c>
      <c r="T100" s="551">
        <v>46053</v>
      </c>
      <c r="U100" s="638">
        <v>21883.400000000005</v>
      </c>
      <c r="V100" s="679"/>
      <c r="W100" s="649">
        <f>W99+5</f>
        <v>46058</v>
      </c>
      <c r="X100" s="66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0"/>
      <c r="J101" s="670"/>
      <c r="K101" s="192"/>
      <c r="L101" s="284">
        <v>9</v>
      </c>
      <c r="M101" s="394" t="s">
        <v>360</v>
      </c>
      <c r="N101" s="286" t="s">
        <v>320</v>
      </c>
      <c r="O101" s="434"/>
      <c r="P101" s="449">
        <v>0.1</v>
      </c>
      <c r="Q101" s="219">
        <f t="shared" si="16"/>
        <v>31114.825000000001</v>
      </c>
      <c r="R101" s="688"/>
      <c r="S101" s="501" t="s">
        <v>317</v>
      </c>
      <c r="T101" s="551">
        <v>46053</v>
      </c>
      <c r="U101" s="638">
        <v>21883.400000000005</v>
      </c>
      <c r="V101" s="679"/>
      <c r="W101" s="649">
        <f>W100+8</f>
        <v>46066</v>
      </c>
      <c r="X101" s="66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0"/>
      <c r="J102" s="670"/>
      <c r="K102" s="192"/>
      <c r="L102" s="284">
        <v>9</v>
      </c>
      <c r="M102" s="394" t="s">
        <v>360</v>
      </c>
      <c r="N102" s="286" t="s">
        <v>321</v>
      </c>
      <c r="O102" s="434"/>
      <c r="P102" s="449">
        <v>0.05</v>
      </c>
      <c r="Q102" s="219">
        <f t="shared" si="16"/>
        <v>15557.4125</v>
      </c>
      <c r="R102" s="688"/>
      <c r="S102" s="501" t="s">
        <v>322</v>
      </c>
      <c r="T102" s="551">
        <v>46053</v>
      </c>
      <c r="U102" s="638">
        <v>10941.700000000003</v>
      </c>
      <c r="V102" s="679"/>
      <c r="W102" s="649">
        <f>W101</f>
        <v>46066</v>
      </c>
      <c r="X102" s="66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0"/>
      <c r="J103" s="670"/>
      <c r="K103" s="192"/>
      <c r="L103" s="284">
        <v>9</v>
      </c>
      <c r="M103" s="394" t="s">
        <v>360</v>
      </c>
      <c r="N103" s="286" t="s">
        <v>323</v>
      </c>
      <c r="O103" s="434"/>
      <c r="P103" s="449">
        <v>0.05</v>
      </c>
      <c r="Q103" s="219">
        <f t="shared" si="16"/>
        <v>15557.4125</v>
      </c>
      <c r="R103" s="689"/>
      <c r="S103" s="501" t="s">
        <v>322</v>
      </c>
      <c r="T103" s="551">
        <v>46053</v>
      </c>
      <c r="U103" s="638">
        <v>10941.700000000003</v>
      </c>
      <c r="V103" s="679"/>
      <c r="W103" s="454">
        <f>W102+30</f>
        <v>46096</v>
      </c>
      <c r="X103" s="667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0"/>
      <c r="J104" s="670"/>
      <c r="K104" s="192"/>
      <c r="L104" s="284">
        <v>9</v>
      </c>
      <c r="M104" s="394" t="s">
        <v>360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5"/>
        <v>0</v>
      </c>
      <c r="V104" s="679"/>
      <c r="W104" s="454"/>
      <c r="X104" s="667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0"/>
      <c r="J105" s="670"/>
      <c r="K105" s="192"/>
      <c r="L105" s="284">
        <v>9</v>
      </c>
      <c r="M105" s="394" t="s">
        <v>360</v>
      </c>
      <c r="N105" s="286"/>
      <c r="O105" s="434"/>
      <c r="P105" s="343"/>
      <c r="Q105" s="287"/>
      <c r="R105" s="470"/>
      <c r="S105" s="501"/>
      <c r="T105" s="412"/>
      <c r="U105" s="397">
        <f t="shared" si="15"/>
        <v>0</v>
      </c>
      <c r="V105" s="679"/>
      <c r="W105" s="454"/>
      <c r="X105" s="667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1"/>
      <c r="J106" s="671"/>
      <c r="K106" s="267"/>
      <c r="L106" s="220">
        <v>9</v>
      </c>
      <c r="M106" s="340" t="s">
        <v>360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5"/>
        <v>0</v>
      </c>
      <c r="V106" s="680"/>
      <c r="W106" s="455"/>
      <c r="X106" s="668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362</v>
      </c>
      <c r="D108" s="174" t="s">
        <v>281</v>
      </c>
      <c r="E108" s="175"/>
      <c r="F108" s="368"/>
      <c r="G108" s="242">
        <f>D184</f>
        <v>8500</v>
      </c>
      <c r="H108" s="561">
        <f>H94</f>
        <v>45981</v>
      </c>
      <c r="I108" s="672">
        <f>SUM(G108:G123)</f>
        <v>56854.45</v>
      </c>
      <c r="J108" s="675">
        <f>F184+F187+F188+F186+F185</f>
        <v>63171</v>
      </c>
      <c r="K108" s="243"/>
      <c r="L108" s="173">
        <v>10</v>
      </c>
      <c r="M108" s="333" t="s">
        <v>363</v>
      </c>
      <c r="N108" s="174" t="s">
        <v>364</v>
      </c>
      <c r="O108" s="444"/>
      <c r="P108" s="368"/>
      <c r="Q108" s="242">
        <v>7150</v>
      </c>
      <c r="R108" s="482"/>
      <c r="S108" s="512" t="s">
        <v>365</v>
      </c>
      <c r="T108" s="632">
        <v>46022</v>
      </c>
      <c r="U108" s="657">
        <v>3700.52</v>
      </c>
      <c r="V108" s="681">
        <f>J108-SUM(U108:U123)</f>
        <v>1.5371602057712153E-3</v>
      </c>
      <c r="W108" s="656">
        <v>45995</v>
      </c>
      <c r="X108" s="672">
        <f>SUM(Q108:Q123)</f>
        <v>109850.75749999999</v>
      </c>
    </row>
    <row r="109" spans="1:24" ht="14.25" customHeight="1">
      <c r="B109" s="244">
        <v>10</v>
      </c>
      <c r="C109" s="245"/>
      <c r="D109" s="245" t="s">
        <v>282</v>
      </c>
      <c r="E109" s="246"/>
      <c r="F109" s="369"/>
      <c r="G109" s="247">
        <f>D188</f>
        <v>17326.669999999998</v>
      </c>
      <c r="H109" s="562">
        <f>H94</f>
        <v>45981</v>
      </c>
      <c r="I109" s="673"/>
      <c r="J109" s="676"/>
      <c r="K109" s="176"/>
      <c r="L109" s="244">
        <v>10</v>
      </c>
      <c r="M109" s="334" t="s">
        <v>363</v>
      </c>
      <c r="N109" s="245"/>
      <c r="O109" s="445"/>
      <c r="P109" s="369"/>
      <c r="Q109" s="247"/>
      <c r="R109" s="483"/>
      <c r="S109" s="513"/>
      <c r="T109" s="424" t="str">
        <f t="shared" si="14"/>
        <v/>
      </c>
      <c r="U109" s="523">
        <f t="shared" ref="U109:U122" si="18">(Q109/$X$108*$J$108)</f>
        <v>0</v>
      </c>
      <c r="V109" s="682"/>
      <c r="W109" s="465"/>
      <c r="X109" s="673"/>
    </row>
    <row r="110" spans="1:24" ht="14.25" customHeight="1">
      <c r="B110" s="244">
        <v>10</v>
      </c>
      <c r="C110" s="245"/>
      <c r="D110" s="245" t="s">
        <v>364</v>
      </c>
      <c r="E110" s="246"/>
      <c r="F110" s="369"/>
      <c r="G110" s="247">
        <f>D187</f>
        <v>30000</v>
      </c>
      <c r="H110" s="562">
        <f>H94</f>
        <v>45981</v>
      </c>
      <c r="I110" s="673"/>
      <c r="J110" s="676"/>
      <c r="K110" s="176"/>
      <c r="L110" s="244">
        <v>10</v>
      </c>
      <c r="M110" s="334" t="s">
        <v>363</v>
      </c>
      <c r="N110" s="245"/>
      <c r="O110" s="445"/>
      <c r="P110" s="369"/>
      <c r="Q110" s="247"/>
      <c r="R110" s="483"/>
      <c r="S110" s="513"/>
      <c r="T110" s="424" t="str">
        <f t="shared" si="14"/>
        <v/>
      </c>
      <c r="U110" s="409">
        <f t="shared" si="18"/>
        <v>0</v>
      </c>
      <c r="V110" s="682"/>
      <c r="W110" s="465"/>
      <c r="X110" s="673"/>
    </row>
    <row r="111" spans="1:24" ht="14.25" customHeight="1">
      <c r="B111" s="244">
        <v>10</v>
      </c>
      <c r="C111" s="245"/>
      <c r="D111" s="245" t="s">
        <v>283</v>
      </c>
      <c r="E111" s="246"/>
      <c r="F111" s="369"/>
      <c r="G111" s="247">
        <f>D186</f>
        <v>1027.78</v>
      </c>
      <c r="H111" s="562">
        <f>H94</f>
        <v>45981</v>
      </c>
      <c r="I111" s="673"/>
      <c r="J111" s="676"/>
      <c r="K111" s="176"/>
      <c r="L111" s="244">
        <v>10</v>
      </c>
      <c r="M111" s="334" t="s">
        <v>363</v>
      </c>
      <c r="N111" s="245"/>
      <c r="O111" s="445"/>
      <c r="P111" s="369"/>
      <c r="Q111" s="247"/>
      <c r="R111" s="483"/>
      <c r="S111" s="513"/>
      <c r="T111" s="424" t="str">
        <f t="shared" si="14"/>
        <v/>
      </c>
      <c r="U111" s="409">
        <f t="shared" si="18"/>
        <v>0</v>
      </c>
      <c r="V111" s="682"/>
      <c r="W111" s="465"/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3"/>
      <c r="J112" s="676"/>
      <c r="K112" s="176"/>
      <c r="L112" s="244">
        <v>10</v>
      </c>
      <c r="M112" s="334" t="s">
        <v>363</v>
      </c>
      <c r="N112" s="245" t="s">
        <v>307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684" t="s">
        <v>308</v>
      </c>
      <c r="S112" s="514" t="s">
        <v>309</v>
      </c>
      <c r="T112" s="637">
        <v>45961</v>
      </c>
      <c r="U112" s="641">
        <v>6317.1</v>
      </c>
      <c r="V112" s="682"/>
      <c r="W112" s="642">
        <f t="shared" ref="W112:W120" si="19">W95</f>
        <v>45967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3"/>
      <c r="J113" s="676"/>
      <c r="K113" s="176"/>
      <c r="L113" s="244">
        <v>10</v>
      </c>
      <c r="M113" s="334" t="s">
        <v>363</v>
      </c>
      <c r="N113" s="245" t="s">
        <v>147</v>
      </c>
      <c r="O113" s="445"/>
      <c r="P113" s="452">
        <v>0.15</v>
      </c>
      <c r="Q113" s="247">
        <f t="shared" ref="Q113:Q115" si="20">$O$112*P113</f>
        <v>15405.112499999999</v>
      </c>
      <c r="R113" s="685"/>
      <c r="S113" s="519" t="s">
        <v>311</v>
      </c>
      <c r="T113" s="563">
        <v>45991</v>
      </c>
      <c r="U113" s="641">
        <v>8858.8959268598519</v>
      </c>
      <c r="V113" s="682"/>
      <c r="W113" s="642">
        <f t="shared" si="19"/>
        <v>45989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3"/>
      <c r="J114" s="676"/>
      <c r="K114" s="176"/>
      <c r="L114" s="244">
        <v>10</v>
      </c>
      <c r="M114" s="334" t="s">
        <v>363</v>
      </c>
      <c r="N114" s="245" t="s">
        <v>313</v>
      </c>
      <c r="O114" s="445"/>
      <c r="P114" s="452">
        <v>0.2</v>
      </c>
      <c r="Q114" s="247">
        <f t="shared" si="20"/>
        <v>20540.150000000001</v>
      </c>
      <c r="R114" s="685"/>
      <c r="S114" s="514" t="s">
        <v>314</v>
      </c>
      <c r="T114" s="563">
        <f t="shared" ref="T114:T120" si="21">T97</f>
        <v>45991</v>
      </c>
      <c r="U114" s="641">
        <v>11811.861235813136</v>
      </c>
      <c r="V114" s="682"/>
      <c r="W114" s="642">
        <f t="shared" si="19"/>
        <v>45989</v>
      </c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3"/>
      <c r="J115" s="676"/>
      <c r="K115" s="176"/>
      <c r="L115" s="244">
        <v>10</v>
      </c>
      <c r="M115" s="334" t="s">
        <v>363</v>
      </c>
      <c r="N115" s="245" t="s">
        <v>315</v>
      </c>
      <c r="O115" s="445"/>
      <c r="P115" s="452">
        <v>0.2</v>
      </c>
      <c r="Q115" s="247">
        <f t="shared" si="20"/>
        <v>20540.150000000001</v>
      </c>
      <c r="R115" s="685"/>
      <c r="S115" s="514" t="s">
        <v>314</v>
      </c>
      <c r="T115" s="563">
        <f t="shared" si="21"/>
        <v>45991</v>
      </c>
      <c r="U115" s="641">
        <v>11811.861235813136</v>
      </c>
      <c r="V115" s="682"/>
      <c r="W115" s="642">
        <f t="shared" si="19"/>
        <v>45989</v>
      </c>
      <c r="X115" s="673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673"/>
      <c r="J116" s="676"/>
      <c r="K116" s="176"/>
      <c r="L116" s="244">
        <v>10</v>
      </c>
      <c r="M116" s="334" t="s">
        <v>363</v>
      </c>
      <c r="N116" s="245" t="s">
        <v>315</v>
      </c>
      <c r="O116" s="445"/>
      <c r="P116" s="452">
        <v>0.05</v>
      </c>
      <c r="Q116" s="247">
        <v>5135.04</v>
      </c>
      <c r="R116" s="685"/>
      <c r="S116" s="514" t="s">
        <v>317</v>
      </c>
      <c r="T116" s="563">
        <f t="shared" si="21"/>
        <v>46053</v>
      </c>
      <c r="U116" s="641">
        <v>2952.9665449962872</v>
      </c>
      <c r="V116" s="682"/>
      <c r="W116" s="642">
        <f t="shared" si="19"/>
        <v>46053</v>
      </c>
      <c r="X116" s="67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3"/>
      <c r="J117" s="676"/>
      <c r="K117" s="176"/>
      <c r="L117" s="244">
        <v>10</v>
      </c>
      <c r="M117" s="334" t="s">
        <v>363</v>
      </c>
      <c r="N117" s="245" t="s">
        <v>318</v>
      </c>
      <c r="O117" s="445"/>
      <c r="P117" s="452">
        <v>0.1</v>
      </c>
      <c r="Q117" s="247">
        <v>10270.08</v>
      </c>
      <c r="R117" s="685"/>
      <c r="S117" s="514" t="s">
        <v>317</v>
      </c>
      <c r="T117" s="563">
        <f t="shared" si="21"/>
        <v>46053</v>
      </c>
      <c r="U117" s="641">
        <v>5905.9330899925744</v>
      </c>
      <c r="V117" s="682"/>
      <c r="W117" s="642">
        <f t="shared" si="19"/>
        <v>46058</v>
      </c>
      <c r="X117" s="67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3"/>
      <c r="J118" s="676"/>
      <c r="K118" s="176"/>
      <c r="L118" s="244">
        <v>10</v>
      </c>
      <c r="M118" s="334" t="s">
        <v>363</v>
      </c>
      <c r="N118" s="245" t="s">
        <v>320</v>
      </c>
      <c r="O118" s="445"/>
      <c r="P118" s="452">
        <v>0.1</v>
      </c>
      <c r="Q118" s="247">
        <v>10270.08</v>
      </c>
      <c r="R118" s="685"/>
      <c r="S118" s="514" t="s">
        <v>317</v>
      </c>
      <c r="T118" s="563">
        <f t="shared" si="21"/>
        <v>46053</v>
      </c>
      <c r="U118" s="641">
        <v>5905.9330899925744</v>
      </c>
      <c r="V118" s="682"/>
      <c r="W118" s="642">
        <f t="shared" si="19"/>
        <v>46066</v>
      </c>
      <c r="X118" s="67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3"/>
      <c r="J119" s="676"/>
      <c r="K119" s="176"/>
      <c r="L119" s="244">
        <v>10</v>
      </c>
      <c r="M119" s="334" t="s">
        <v>363</v>
      </c>
      <c r="N119" s="245" t="s">
        <v>321</v>
      </c>
      <c r="O119" s="445"/>
      <c r="P119" s="452">
        <v>0.05</v>
      </c>
      <c r="Q119" s="247">
        <v>5135.04</v>
      </c>
      <c r="R119" s="685"/>
      <c r="S119" s="514" t="s">
        <v>322</v>
      </c>
      <c r="T119" s="563">
        <f t="shared" si="21"/>
        <v>46053</v>
      </c>
      <c r="U119" s="641">
        <v>2952.9665449962872</v>
      </c>
      <c r="V119" s="682"/>
      <c r="W119" s="642">
        <f t="shared" si="19"/>
        <v>46066</v>
      </c>
      <c r="X119" s="673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3"/>
      <c r="J120" s="676"/>
      <c r="K120" s="176"/>
      <c r="L120" s="244">
        <v>10</v>
      </c>
      <c r="M120" s="334" t="s">
        <v>363</v>
      </c>
      <c r="N120" s="245" t="s">
        <v>323</v>
      </c>
      <c r="O120" s="445"/>
      <c r="P120" s="452">
        <v>0.05</v>
      </c>
      <c r="Q120" s="247">
        <v>5135.04</v>
      </c>
      <c r="R120" s="686"/>
      <c r="S120" s="514" t="s">
        <v>322</v>
      </c>
      <c r="T120" s="563">
        <f t="shared" si="21"/>
        <v>46053</v>
      </c>
      <c r="U120" s="641">
        <v>2952.9665449962872</v>
      </c>
      <c r="V120" s="682"/>
      <c r="W120" s="466">
        <f t="shared" si="19"/>
        <v>46096</v>
      </c>
      <c r="X120" s="673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3"/>
      <c r="J121" s="676"/>
      <c r="K121" s="176"/>
      <c r="L121" s="244">
        <v>10</v>
      </c>
      <c r="M121" s="334" t="s">
        <v>363</v>
      </c>
      <c r="N121" s="245" t="s">
        <v>366</v>
      </c>
      <c r="O121" s="445"/>
      <c r="P121" s="369"/>
      <c r="Q121" s="247">
        <v>-0.01</v>
      </c>
      <c r="R121" s="484"/>
      <c r="S121" s="514" t="s">
        <v>322</v>
      </c>
      <c r="T121" s="563">
        <f>T103</f>
        <v>46053</v>
      </c>
      <c r="U121" s="641">
        <v>-5.7506203359589947E-3</v>
      </c>
      <c r="V121" s="682"/>
      <c r="W121" s="466">
        <f>W103</f>
        <v>46096</v>
      </c>
      <c r="X121" s="673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673"/>
      <c r="J122" s="676"/>
      <c r="K122" s="176"/>
      <c r="L122" s="244">
        <v>10</v>
      </c>
      <c r="M122" s="334" t="s">
        <v>363</v>
      </c>
      <c r="N122" s="245"/>
      <c r="O122" s="445"/>
      <c r="P122" s="369"/>
      <c r="Q122" s="247"/>
      <c r="R122" s="484"/>
      <c r="S122" s="514"/>
      <c r="T122" s="425" t="str">
        <f t="shared" si="14"/>
        <v/>
      </c>
      <c r="U122" s="409">
        <f t="shared" si="18"/>
        <v>0</v>
      </c>
      <c r="V122" s="682"/>
      <c r="W122" s="466"/>
      <c r="X122" s="673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674"/>
      <c r="J123" s="677"/>
      <c r="K123" s="179"/>
      <c r="L123" s="177">
        <v>10</v>
      </c>
      <c r="M123" s="335" t="s">
        <v>363</v>
      </c>
      <c r="N123" s="248"/>
      <c r="O123" s="446"/>
      <c r="P123" s="370"/>
      <c r="Q123" s="178"/>
      <c r="R123" s="485"/>
      <c r="S123" s="515"/>
      <c r="T123" s="426" t="str">
        <f t="shared" si="14"/>
        <v/>
      </c>
      <c r="U123" s="410"/>
      <c r="V123" s="683"/>
      <c r="W123" s="467"/>
      <c r="X123" s="674"/>
    </row>
    <row r="124" spans="1:24" ht="14.5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367</v>
      </c>
      <c r="D125" s="255" t="s">
        <v>368</v>
      </c>
      <c r="E125" s="187"/>
      <c r="F125" s="336"/>
      <c r="G125" s="188">
        <v>11000</v>
      </c>
      <c r="H125" s="543">
        <f>'Project Plan'!G39</f>
        <v>45989</v>
      </c>
      <c r="I125" s="666">
        <f>SUM(G125:G129)</f>
        <v>89000</v>
      </c>
      <c r="J125" s="669">
        <f>F183</f>
        <v>98889</v>
      </c>
      <c r="K125" s="189"/>
      <c r="L125" s="185">
        <v>11</v>
      </c>
      <c r="M125" s="255" t="s">
        <v>369</v>
      </c>
      <c r="N125" s="255" t="s">
        <v>368</v>
      </c>
      <c r="O125" s="187"/>
      <c r="P125" s="336"/>
      <c r="Q125" s="188">
        <v>15375</v>
      </c>
      <c r="R125" s="536"/>
      <c r="S125" s="507" t="s">
        <v>370</v>
      </c>
      <c r="T125" s="543">
        <v>46053</v>
      </c>
      <c r="U125" s="638">
        <v>71130.68421052632</v>
      </c>
      <c r="V125" s="678">
        <f>J125-SUM(U125:U129)</f>
        <v>0</v>
      </c>
      <c r="W125" s="660">
        <v>46058</v>
      </c>
      <c r="X125" s="666">
        <f>SUM(Q125:Q129)</f>
        <v>21375</v>
      </c>
    </row>
    <row r="126" spans="1:24" ht="15" customHeight="1">
      <c r="B126" s="215">
        <v>11</v>
      </c>
      <c r="C126" s="217"/>
      <c r="D126" s="217" t="s">
        <v>371</v>
      </c>
      <c r="E126" s="218"/>
      <c r="F126" s="357"/>
      <c r="G126" s="219">
        <v>18000</v>
      </c>
      <c r="H126" s="543">
        <f>H125</f>
        <v>45989</v>
      </c>
      <c r="I126" s="667"/>
      <c r="J126" s="670"/>
      <c r="K126" s="192"/>
      <c r="L126" s="215">
        <v>11</v>
      </c>
      <c r="M126" s="290" t="s">
        <v>369</v>
      </c>
      <c r="N126" s="217" t="s">
        <v>372</v>
      </c>
      <c r="O126" s="218"/>
      <c r="P126" s="357"/>
      <c r="Q126" s="219">
        <v>0</v>
      </c>
      <c r="R126" s="517"/>
      <c r="S126" s="500"/>
      <c r="T126" s="411"/>
      <c r="U126" s="638">
        <v>0</v>
      </c>
      <c r="V126" s="679"/>
      <c r="W126" s="453"/>
      <c r="X126" s="667"/>
    </row>
    <row r="127" spans="1:24" ht="15" customHeight="1">
      <c r="B127" s="215">
        <v>11</v>
      </c>
      <c r="C127" s="217"/>
      <c r="D127" s="217" t="s">
        <v>373</v>
      </c>
      <c r="E127" s="218"/>
      <c r="F127" s="357"/>
      <c r="G127" s="219">
        <v>60000</v>
      </c>
      <c r="H127" s="543">
        <f>H125</f>
        <v>45989</v>
      </c>
      <c r="I127" s="667"/>
      <c r="J127" s="670"/>
      <c r="K127" s="192"/>
      <c r="L127" s="215">
        <v>11</v>
      </c>
      <c r="M127" s="290" t="s">
        <v>369</v>
      </c>
      <c r="N127" s="217" t="s">
        <v>373</v>
      </c>
      <c r="O127" s="218"/>
      <c r="P127" s="357"/>
      <c r="Q127" s="219">
        <v>0</v>
      </c>
      <c r="R127" s="469"/>
      <c r="S127" s="500"/>
      <c r="T127" s="411"/>
      <c r="U127" s="638">
        <v>0</v>
      </c>
      <c r="V127" s="679"/>
      <c r="W127" s="453"/>
      <c r="X127" s="667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667"/>
      <c r="J128" s="670"/>
      <c r="K128" s="192"/>
      <c r="L128" s="215">
        <v>11</v>
      </c>
      <c r="M128" s="290" t="s">
        <v>369</v>
      </c>
      <c r="N128" s="288" t="s">
        <v>374</v>
      </c>
      <c r="O128" s="434"/>
      <c r="P128" s="343"/>
      <c r="Q128" s="287">
        <v>6000</v>
      </c>
      <c r="R128" s="470"/>
      <c r="S128" s="501" t="s">
        <v>375</v>
      </c>
      <c r="T128" s="542">
        <v>46053</v>
      </c>
      <c r="U128" s="638">
        <v>27758.315789473683</v>
      </c>
      <c r="V128" s="679"/>
      <c r="W128" s="454">
        <v>46108</v>
      </c>
      <c r="X128" s="667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68"/>
      <c r="J129" s="671"/>
      <c r="K129" s="193"/>
      <c r="L129" s="220">
        <v>11</v>
      </c>
      <c r="M129" s="318" t="s">
        <v>369</v>
      </c>
      <c r="N129" s="221"/>
      <c r="O129" s="222"/>
      <c r="P129" s="358"/>
      <c r="Q129" s="234"/>
      <c r="R129" s="471"/>
      <c r="S129" s="502"/>
      <c r="T129" s="413" t="str">
        <f t="shared" si="14"/>
        <v/>
      </c>
      <c r="U129" s="398">
        <f>(Q129/$X$125*$J$125)</f>
        <v>0</v>
      </c>
      <c r="V129" s="680"/>
      <c r="W129" s="455"/>
      <c r="X129" s="668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376</v>
      </c>
      <c r="D131" s="174" t="s">
        <v>377</v>
      </c>
      <c r="E131" s="175"/>
      <c r="F131" s="368"/>
      <c r="G131" s="242"/>
      <c r="H131" s="561"/>
      <c r="I131" s="672">
        <f>SUM(G131:G132)</f>
        <v>0</v>
      </c>
      <c r="J131" s="675">
        <v>0</v>
      </c>
      <c r="K131" s="690"/>
      <c r="L131" s="173">
        <v>12</v>
      </c>
      <c r="M131" s="174" t="s">
        <v>378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672">
        <f>SUM(Q131:Q132)</f>
        <v>0</v>
      </c>
    </row>
    <row r="132" spans="1:24" ht="15" customHeight="1" thickBot="1">
      <c r="B132" s="177">
        <v>12</v>
      </c>
      <c r="C132" s="248" t="s">
        <v>376</v>
      </c>
      <c r="D132" s="248"/>
      <c r="E132" s="249"/>
      <c r="F132" s="370"/>
      <c r="G132" s="178"/>
      <c r="H132" s="564"/>
      <c r="I132" s="674"/>
      <c r="J132" s="677"/>
      <c r="K132" s="691"/>
      <c r="L132" s="177">
        <v>12</v>
      </c>
      <c r="M132" s="248" t="s">
        <v>378</v>
      </c>
      <c r="N132" s="248"/>
      <c r="O132" s="446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674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379</v>
      </c>
      <c r="D134" s="255" t="s">
        <v>380</v>
      </c>
      <c r="E134" s="187"/>
      <c r="F134" s="336"/>
      <c r="G134" s="188">
        <f>D182</f>
        <v>20963.650000000001</v>
      </c>
      <c r="H134" s="543">
        <f>'Project Plan'!G48</f>
        <v>46000</v>
      </c>
      <c r="I134" s="666">
        <f>SUM(G134:G138)</f>
        <v>20963.650000000001</v>
      </c>
      <c r="J134" s="669">
        <f>F182</f>
        <v>23822</v>
      </c>
      <c r="K134" s="189"/>
      <c r="L134" s="185">
        <v>13</v>
      </c>
      <c r="M134" s="255" t="s">
        <v>381</v>
      </c>
      <c r="N134" s="255" t="s">
        <v>382</v>
      </c>
      <c r="O134" s="432"/>
      <c r="P134" s="336"/>
      <c r="Q134" s="188">
        <f>'Project Plan'!$E$6*1.25%</f>
        <v>25967.953500000003</v>
      </c>
      <c r="R134" s="476"/>
      <c r="S134" s="507" t="s">
        <v>383</v>
      </c>
      <c r="T134" s="543">
        <v>46053</v>
      </c>
      <c r="U134" s="662">
        <v>23822</v>
      </c>
      <c r="V134" s="678">
        <f>J134-SUM(U134:U139)</f>
        <v>0</v>
      </c>
      <c r="W134" s="460">
        <v>46080</v>
      </c>
      <c r="X134" s="666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667"/>
      <c r="J135" s="670"/>
      <c r="K135" s="192"/>
      <c r="L135" s="215">
        <v>13</v>
      </c>
      <c r="M135" s="290" t="s">
        <v>381</v>
      </c>
      <c r="N135" s="217"/>
      <c r="O135" s="433"/>
      <c r="P135" s="357"/>
      <c r="Q135" s="219"/>
      <c r="R135" s="469"/>
      <c r="S135" s="500"/>
      <c r="T135" s="411"/>
      <c r="U135" s="640">
        <v>0</v>
      </c>
      <c r="V135" s="679"/>
      <c r="W135" s="453"/>
      <c r="X135" s="667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667"/>
      <c r="J136" s="670"/>
      <c r="K136" s="192"/>
      <c r="L136" s="215">
        <v>13</v>
      </c>
      <c r="M136" s="290" t="s">
        <v>381</v>
      </c>
      <c r="N136" s="217"/>
      <c r="O136" s="433"/>
      <c r="P136" s="357"/>
      <c r="Q136" s="219"/>
      <c r="R136" s="469"/>
      <c r="S136" s="500"/>
      <c r="T136" s="411"/>
      <c r="U136" s="640">
        <v>0</v>
      </c>
      <c r="V136" s="679"/>
      <c r="W136" s="453"/>
      <c r="X136" s="667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667"/>
      <c r="J137" s="670"/>
      <c r="K137" s="192"/>
      <c r="L137" s="215">
        <v>13</v>
      </c>
      <c r="M137" s="290" t="s">
        <v>381</v>
      </c>
      <c r="N137" s="217"/>
      <c r="O137" s="433"/>
      <c r="P137" s="357"/>
      <c r="Q137" s="219"/>
      <c r="R137" s="469"/>
      <c r="S137" s="500"/>
      <c r="T137" s="411"/>
      <c r="U137" s="640">
        <v>0</v>
      </c>
      <c r="V137" s="679"/>
      <c r="W137" s="453"/>
      <c r="X137" s="667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667"/>
      <c r="J138" s="670"/>
      <c r="K138" s="192"/>
      <c r="L138" s="215">
        <v>13</v>
      </c>
      <c r="M138" s="290" t="s">
        <v>381</v>
      </c>
      <c r="N138" s="217"/>
      <c r="O138" s="433"/>
      <c r="P138" s="357"/>
      <c r="Q138" s="219"/>
      <c r="R138" s="469"/>
      <c r="S138" s="500"/>
      <c r="T138" s="411"/>
      <c r="U138" s="640">
        <v>0</v>
      </c>
      <c r="V138" s="679"/>
      <c r="W138" s="453"/>
      <c r="X138" s="667"/>
    </row>
    <row r="139" spans="1:24" ht="15.75" customHeight="1">
      <c r="B139" s="220">
        <v>13</v>
      </c>
      <c r="C139" s="221"/>
      <c r="D139" s="221"/>
      <c r="E139" s="222"/>
      <c r="F139" s="358"/>
      <c r="G139" s="234"/>
      <c r="H139" s="552"/>
      <c r="I139" s="668"/>
      <c r="J139" s="671"/>
      <c r="K139" s="267"/>
      <c r="L139" s="220">
        <v>13</v>
      </c>
      <c r="M139" s="318" t="s">
        <v>381</v>
      </c>
      <c r="N139" s="221"/>
      <c r="O139" s="435"/>
      <c r="P139" s="358"/>
      <c r="Q139" s="234"/>
      <c r="R139" s="471"/>
      <c r="S139" s="502"/>
      <c r="T139" s="413"/>
      <c r="U139" s="663">
        <v>0</v>
      </c>
      <c r="V139" s="680"/>
      <c r="W139" s="455"/>
      <c r="X139" s="668"/>
    </row>
    <row r="140" spans="1:24" ht="14.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384</v>
      </c>
      <c r="D141" s="174" t="s">
        <v>385</v>
      </c>
      <c r="E141" s="175"/>
      <c r="F141" s="368"/>
      <c r="G141" s="242">
        <f>D193</f>
        <v>4375</v>
      </c>
      <c r="H141" s="561">
        <f>'Project Plan'!G48</f>
        <v>46000</v>
      </c>
      <c r="I141" s="672">
        <f>SUM(G141:G152)</f>
        <v>4375</v>
      </c>
      <c r="J141" s="675">
        <f>F193</f>
        <v>4861</v>
      </c>
      <c r="K141" s="243"/>
      <c r="L141" s="173">
        <v>14</v>
      </c>
      <c r="M141" s="333" t="s">
        <v>386</v>
      </c>
      <c r="N141" s="174" t="s">
        <v>387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681">
        <f>J141-SUM(U141:U152)</f>
        <v>4.8833898808879894E-3</v>
      </c>
      <c r="W141" s="633">
        <v>45961</v>
      </c>
      <c r="X141" s="672">
        <f>SUM(Q141:Q152)</f>
        <v>3887.33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3"/>
      <c r="J142" s="676"/>
      <c r="K142" s="176"/>
      <c r="L142" s="244">
        <v>14</v>
      </c>
      <c r="M142" s="334" t="s">
        <v>386</v>
      </c>
      <c r="N142" s="245" t="s">
        <v>387</v>
      </c>
      <c r="O142" s="445"/>
      <c r="P142" s="529"/>
      <c r="Q142" s="532">
        <v>1951.6</v>
      </c>
      <c r="R142" s="531"/>
      <c r="S142" s="518" t="s">
        <v>388</v>
      </c>
      <c r="T142" s="637">
        <v>45991</v>
      </c>
      <c r="U142" s="641">
        <v>2291.9783527820055</v>
      </c>
      <c r="V142" s="682"/>
      <c r="W142" s="633">
        <v>45996</v>
      </c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3"/>
      <c r="J143" s="676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>
        <v>1799.28</v>
      </c>
      <c r="R143" s="484"/>
      <c r="S143" s="518" t="s">
        <v>388</v>
      </c>
      <c r="T143" s="637">
        <v>46022</v>
      </c>
      <c r="U143" s="641">
        <v>1471.5797653484374</v>
      </c>
      <c r="V143" s="682"/>
      <c r="W143" s="633">
        <v>46030</v>
      </c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3"/>
      <c r="J144" s="676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>
        <v>136.44999999999999</v>
      </c>
      <c r="R144" s="484"/>
      <c r="S144" s="518" t="s">
        <v>388</v>
      </c>
      <c r="T144" s="637">
        <v>46053</v>
      </c>
      <c r="U144" s="641">
        <v>1097.4369984796763</v>
      </c>
      <c r="V144" s="682"/>
      <c r="W144" s="633">
        <v>46058</v>
      </c>
      <c r="X144" s="67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3"/>
      <c r="J145" s="676"/>
      <c r="K145" s="176"/>
      <c r="L145" s="244">
        <v>14</v>
      </c>
      <c r="M145" s="334" t="s">
        <v>386</v>
      </c>
      <c r="N145" s="245" t="s">
        <v>387</v>
      </c>
      <c r="O145" s="445"/>
      <c r="P145" s="369"/>
      <c r="Q145" s="247"/>
      <c r="R145" s="484"/>
      <c r="S145" s="512"/>
      <c r="T145" s="425" t="str">
        <f t="shared" si="14"/>
        <v/>
      </c>
      <c r="U145" s="409">
        <f t="shared" ref="U145:U152" si="22">(Q145/$X$141*$J$141)</f>
        <v>0</v>
      </c>
      <c r="V145" s="682"/>
      <c r="W145" s="466"/>
      <c r="X145" s="67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3"/>
      <c r="J146" s="676"/>
      <c r="K146" s="176"/>
      <c r="L146" s="244">
        <v>14</v>
      </c>
      <c r="M146" s="334" t="s">
        <v>386</v>
      </c>
      <c r="N146" s="245" t="s">
        <v>387</v>
      </c>
      <c r="O146" s="445"/>
      <c r="P146" s="369"/>
      <c r="Q146" s="247"/>
      <c r="R146" s="484"/>
      <c r="S146" s="512"/>
      <c r="T146" s="425" t="str">
        <f t="shared" si="14"/>
        <v/>
      </c>
      <c r="U146" s="409">
        <f t="shared" si="22"/>
        <v>0</v>
      </c>
      <c r="V146" s="682"/>
      <c r="W146" s="466"/>
      <c r="X146" s="67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3"/>
      <c r="J147" s="676"/>
      <c r="K147" s="176"/>
      <c r="L147" s="244">
        <v>14</v>
      </c>
      <c r="M147" s="334" t="s">
        <v>386</v>
      </c>
      <c r="N147" s="245" t="s">
        <v>387</v>
      </c>
      <c r="O147" s="445"/>
      <c r="P147" s="369"/>
      <c r="Q147" s="247"/>
      <c r="R147" s="484"/>
      <c r="S147" s="512"/>
      <c r="T147" s="425" t="str">
        <f t="shared" ref="T147:T165" si="23">IF(W147&gt;1,EOMONTH(W147,0),"")</f>
        <v/>
      </c>
      <c r="U147" s="409">
        <f t="shared" si="22"/>
        <v>0</v>
      </c>
      <c r="V147" s="682"/>
      <c r="W147" s="466"/>
      <c r="X147" s="67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3"/>
      <c r="J148" s="676"/>
      <c r="K148" s="176"/>
      <c r="L148" s="244">
        <v>14</v>
      </c>
      <c r="M148" s="334" t="s">
        <v>386</v>
      </c>
      <c r="N148" s="245" t="s">
        <v>387</v>
      </c>
      <c r="O148" s="445"/>
      <c r="P148" s="369"/>
      <c r="Q148" s="247"/>
      <c r="R148" s="484"/>
      <c r="S148" s="512"/>
      <c r="T148" s="425" t="str">
        <f t="shared" si="23"/>
        <v/>
      </c>
      <c r="U148" s="409">
        <f t="shared" si="22"/>
        <v>0</v>
      </c>
      <c r="V148" s="682"/>
      <c r="W148" s="466"/>
      <c r="X148" s="673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3"/>
      <c r="J149" s="676"/>
      <c r="K149" s="176"/>
      <c r="L149" s="244">
        <v>14</v>
      </c>
      <c r="M149" s="334" t="s">
        <v>386</v>
      </c>
      <c r="N149" s="245" t="s">
        <v>387</v>
      </c>
      <c r="O149" s="445"/>
      <c r="P149" s="369"/>
      <c r="Q149" s="247"/>
      <c r="R149" s="484"/>
      <c r="S149" s="512"/>
      <c r="T149" s="425" t="str">
        <f t="shared" si="23"/>
        <v/>
      </c>
      <c r="U149" s="409">
        <f t="shared" si="22"/>
        <v>0</v>
      </c>
      <c r="V149" s="682"/>
      <c r="W149" s="466"/>
      <c r="X149" s="673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3"/>
      <c r="J150" s="676"/>
      <c r="K150" s="176"/>
      <c r="L150" s="244">
        <v>14</v>
      </c>
      <c r="M150" s="334" t="s">
        <v>386</v>
      </c>
      <c r="N150" s="245" t="s">
        <v>387</v>
      </c>
      <c r="O150" s="445"/>
      <c r="P150" s="369"/>
      <c r="Q150" s="247"/>
      <c r="R150" s="484"/>
      <c r="S150" s="512"/>
      <c r="T150" s="425" t="str">
        <f t="shared" si="23"/>
        <v/>
      </c>
      <c r="U150" s="409">
        <f t="shared" si="22"/>
        <v>0</v>
      </c>
      <c r="V150" s="682"/>
      <c r="W150" s="466"/>
      <c r="X150" s="673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673"/>
      <c r="J151" s="676"/>
      <c r="K151" s="176"/>
      <c r="L151" s="244">
        <v>14</v>
      </c>
      <c r="M151" s="334" t="s">
        <v>386</v>
      </c>
      <c r="N151" s="245"/>
      <c r="O151" s="445"/>
      <c r="P151" s="369"/>
      <c r="Q151" s="247"/>
      <c r="R151" s="484"/>
      <c r="S151" s="514"/>
      <c r="T151" s="425" t="str">
        <f t="shared" si="23"/>
        <v/>
      </c>
      <c r="U151" s="409">
        <f t="shared" si="22"/>
        <v>0</v>
      </c>
      <c r="V151" s="682"/>
      <c r="W151" s="466"/>
      <c r="X151" s="673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674"/>
      <c r="J152" s="677"/>
      <c r="K152" s="179"/>
      <c r="L152" s="177">
        <v>14</v>
      </c>
      <c r="M152" s="335" t="s">
        <v>386</v>
      </c>
      <c r="N152" s="248"/>
      <c r="O152" s="446"/>
      <c r="P152" s="370"/>
      <c r="Q152" s="178"/>
      <c r="R152" s="485"/>
      <c r="S152" s="515"/>
      <c r="T152" s="426" t="str">
        <f t="shared" si="23"/>
        <v/>
      </c>
      <c r="U152" s="410">
        <f t="shared" si="22"/>
        <v>0</v>
      </c>
      <c r="V152" s="683"/>
      <c r="W152" s="467"/>
      <c r="X152" s="674"/>
    </row>
    <row r="153" spans="1:24" ht="14.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3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389</v>
      </c>
      <c r="D154" s="186"/>
      <c r="E154" s="187"/>
      <c r="F154" s="336"/>
      <c r="G154" s="188"/>
      <c r="H154" s="543"/>
      <c r="I154" s="666">
        <f>SUM(G154:G165)</f>
        <v>0</v>
      </c>
      <c r="J154" s="669">
        <f>F190</f>
        <v>0</v>
      </c>
      <c r="K154" s="189"/>
      <c r="L154" s="185">
        <v>15</v>
      </c>
      <c r="M154" s="255" t="s">
        <v>390</v>
      </c>
      <c r="N154" s="186"/>
      <c r="O154" s="187"/>
      <c r="P154" s="336"/>
      <c r="Q154" s="188"/>
      <c r="R154" s="476"/>
      <c r="S154" s="507"/>
      <c r="T154" s="418" t="str">
        <f t="shared" si="23"/>
        <v/>
      </c>
      <c r="U154" s="404"/>
      <c r="V154" s="678">
        <v>0</v>
      </c>
      <c r="W154" s="460"/>
      <c r="X154" s="666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7"/>
      <c r="J155" s="670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69"/>
      <c r="S155" s="500"/>
      <c r="T155" s="542"/>
      <c r="U155" s="396"/>
      <c r="V155" s="679"/>
      <c r="W155" s="453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7"/>
      <c r="J156" s="670"/>
      <c r="K156" s="192"/>
      <c r="L156" s="215">
        <v>15</v>
      </c>
      <c r="M156" s="290" t="s">
        <v>390</v>
      </c>
      <c r="N156" s="217" t="s">
        <v>391</v>
      </c>
      <c r="O156" s="433"/>
      <c r="P156" s="357"/>
      <c r="Q156" s="219">
        <v>7500</v>
      </c>
      <c r="R156" s="469" t="s">
        <v>392</v>
      </c>
      <c r="S156" s="500" t="s">
        <v>393</v>
      </c>
      <c r="T156" s="542">
        <v>46022</v>
      </c>
      <c r="U156" s="396"/>
      <c r="V156" s="679"/>
      <c r="W156" s="643">
        <v>45995</v>
      </c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7"/>
      <c r="J157" s="670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69"/>
      <c r="S157" s="500"/>
      <c r="T157" s="411" t="str">
        <f t="shared" si="23"/>
        <v/>
      </c>
      <c r="U157" s="396"/>
      <c r="V157" s="679"/>
      <c r="W157" s="453"/>
      <c r="X157" s="667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67"/>
      <c r="J158" s="670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69"/>
      <c r="S158" s="500"/>
      <c r="T158" s="411" t="str">
        <f t="shared" si="23"/>
        <v/>
      </c>
      <c r="U158" s="396"/>
      <c r="V158" s="679"/>
      <c r="W158" s="453"/>
      <c r="X158" s="667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67"/>
      <c r="J159" s="670"/>
      <c r="K159" s="192"/>
      <c r="L159" s="215">
        <v>15</v>
      </c>
      <c r="M159" s="290" t="s">
        <v>390</v>
      </c>
      <c r="N159" s="217"/>
      <c r="O159" s="433"/>
      <c r="P159" s="357"/>
      <c r="Q159" s="219"/>
      <c r="R159" s="469"/>
      <c r="S159" s="500"/>
      <c r="T159" s="411" t="str">
        <f t="shared" si="23"/>
        <v/>
      </c>
      <c r="U159" s="396"/>
      <c r="V159" s="679"/>
      <c r="W159" s="453"/>
      <c r="X159" s="667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67"/>
      <c r="J160" s="670"/>
      <c r="K160" s="192"/>
      <c r="L160" s="215">
        <v>15</v>
      </c>
      <c r="M160" s="290" t="s">
        <v>390</v>
      </c>
      <c r="N160" s="217"/>
      <c r="O160" s="433"/>
      <c r="P160" s="357"/>
      <c r="Q160" s="219"/>
      <c r="R160" s="469"/>
      <c r="S160" s="500"/>
      <c r="T160" s="411" t="str">
        <f t="shared" si="23"/>
        <v/>
      </c>
      <c r="U160" s="396"/>
      <c r="V160" s="679"/>
      <c r="W160" s="453"/>
      <c r="X160" s="667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67"/>
      <c r="J161" s="670"/>
      <c r="K161" s="192"/>
      <c r="L161" s="215">
        <v>15</v>
      </c>
      <c r="M161" s="290" t="s">
        <v>390</v>
      </c>
      <c r="N161" s="217"/>
      <c r="O161" s="433"/>
      <c r="P161" s="357"/>
      <c r="Q161" s="219"/>
      <c r="R161" s="469"/>
      <c r="S161" s="500"/>
      <c r="T161" s="411" t="str">
        <f t="shared" si="23"/>
        <v/>
      </c>
      <c r="U161" s="396"/>
      <c r="V161" s="679"/>
      <c r="W161" s="453"/>
      <c r="X161" s="667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67"/>
      <c r="J162" s="670"/>
      <c r="K162" s="192"/>
      <c r="L162" s="215">
        <v>15</v>
      </c>
      <c r="M162" s="290" t="s">
        <v>390</v>
      </c>
      <c r="N162" s="217"/>
      <c r="O162" s="433"/>
      <c r="P162" s="357"/>
      <c r="Q162" s="219"/>
      <c r="R162" s="469"/>
      <c r="S162" s="500"/>
      <c r="T162" s="411" t="str">
        <f t="shared" si="23"/>
        <v/>
      </c>
      <c r="U162" s="396"/>
      <c r="V162" s="679"/>
      <c r="W162" s="453"/>
      <c r="X162" s="667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667"/>
      <c r="J163" s="670"/>
      <c r="K163" s="192"/>
      <c r="L163" s="215">
        <v>15</v>
      </c>
      <c r="M163" s="290" t="s">
        <v>390</v>
      </c>
      <c r="N163" s="217"/>
      <c r="O163" s="433"/>
      <c r="P163" s="357"/>
      <c r="Q163" s="219"/>
      <c r="R163" s="469"/>
      <c r="S163" s="500"/>
      <c r="T163" s="411" t="str">
        <f t="shared" si="23"/>
        <v/>
      </c>
      <c r="U163" s="396"/>
      <c r="V163" s="679"/>
      <c r="W163" s="453"/>
      <c r="X163" s="667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667"/>
      <c r="J164" s="670"/>
      <c r="K164" s="192"/>
      <c r="L164" s="215">
        <v>15</v>
      </c>
      <c r="M164" s="290" t="s">
        <v>390</v>
      </c>
      <c r="N164" s="217"/>
      <c r="O164" s="433"/>
      <c r="P164" s="357"/>
      <c r="Q164" s="219"/>
      <c r="R164" s="469"/>
      <c r="S164" s="500"/>
      <c r="T164" s="411" t="str">
        <f t="shared" si="23"/>
        <v/>
      </c>
      <c r="U164" s="396"/>
      <c r="V164" s="679"/>
      <c r="W164" s="453"/>
      <c r="X164" s="667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68"/>
      <c r="J165" s="671"/>
      <c r="K165" s="193"/>
      <c r="L165" s="220">
        <v>15</v>
      </c>
      <c r="M165" s="318" t="s">
        <v>390</v>
      </c>
      <c r="N165" s="221"/>
      <c r="O165" s="435"/>
      <c r="P165" s="358"/>
      <c r="Q165" s="234"/>
      <c r="R165" s="471"/>
      <c r="S165" s="502"/>
      <c r="T165" s="413" t="str">
        <f t="shared" si="23"/>
        <v/>
      </c>
      <c r="U165" s="398"/>
      <c r="V165" s="680"/>
      <c r="W165" s="455"/>
      <c r="X165" s="668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394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395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396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303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343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325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397</v>
      </c>
      <c r="D173" s="623" t="s">
        <v>398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399</v>
      </c>
      <c r="D174" s="623" t="s">
        <v>398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400</v>
      </c>
      <c r="D175" s="623" t="s">
        <v>398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401</v>
      </c>
      <c r="D176" s="623" t="s">
        <v>398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402</v>
      </c>
      <c r="D177" s="623" t="s">
        <v>398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403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404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405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406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407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408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409</v>
      </c>
      <c r="D185" s="624" t="s">
        <v>398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410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411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412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624" t="s">
        <v>398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D190" s="624" t="s">
        <v>398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414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415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I75:I82"/>
    <mergeCell ref="J75:J82"/>
    <mergeCell ref="V75:V82"/>
    <mergeCell ref="V46:V54"/>
    <mergeCell ref="V56:V73"/>
    <mergeCell ref="R62:R70"/>
    <mergeCell ref="I46:I54"/>
    <mergeCell ref="J46:J54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131:I132"/>
    <mergeCell ref="J131:J132"/>
    <mergeCell ref="K131:K132"/>
    <mergeCell ref="X131:X132"/>
    <mergeCell ref="V125:V129"/>
    <mergeCell ref="I125:I129"/>
    <mergeCell ref="J125:J129"/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542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416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51" t="s">
        <v>417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2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2"/>
      <c r="B4" s="106" t="s">
        <v>418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52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2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52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51" t="s">
        <v>195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2"/>
      <c r="B9" s="120" t="s">
        <v>421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2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52"/>
      <c r="B11" s="123" t="s">
        <v>423</v>
      </c>
      <c r="C11" s="124">
        <f>'Revenue Tracking'!F5</f>
        <v>1501186.9010000003</v>
      </c>
      <c r="D11" s="124">
        <f>SUM(F11:KF11)</f>
        <v>1445811.821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720040.7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24884.337500000001</v>
      </c>
      <c r="AB11" s="125">
        <f>SUMIFS('Expenditure Breakdown'!$Q$6:$Q$173, 'Expenditure Breakdown'!$W$6:$W$173, "&gt;="&amp;AB1,'Expenditure Breakdown'!$W$6:$W$173, "&lt;"&amp;AC1)</f>
        <v>65280.184999999998</v>
      </c>
      <c r="AC11" s="125">
        <f>SUMIFS('Expenditure Breakdown'!$Q$6:$Q$173, 'Expenditure Breakdown'!$W$6:$W$173, "&gt;="&amp;AC1,'Expenditure Breakdown'!$W$6:$W$173, "&lt;"&amp;AD1)</f>
        <v>74653.102499999994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25967.953500000003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24884.357500000002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6000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2"/>
      <c r="B12" s="123" t="s">
        <v>424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1218498.2849999999</v>
      </c>
      <c r="Z12" s="125">
        <f t="shared" si="26"/>
        <v>1224141.885</v>
      </c>
      <c r="AA12" s="125">
        <f t="shared" si="26"/>
        <v>1249026.2224999999</v>
      </c>
      <c r="AB12" s="125">
        <f t="shared" si="26"/>
        <v>1314306.4075</v>
      </c>
      <c r="AC12" s="125">
        <f t="shared" si="26"/>
        <v>1388959.51</v>
      </c>
      <c r="AD12" s="125">
        <f>AC12+AD11</f>
        <v>1388959.51</v>
      </c>
      <c r="AE12" s="125">
        <f t="shared" si="26"/>
        <v>1414927.4635000001</v>
      </c>
      <c r="AF12" s="125">
        <f t="shared" si="26"/>
        <v>1414927.4635000001</v>
      </c>
      <c r="AG12" s="125">
        <f t="shared" si="26"/>
        <v>1439811.821</v>
      </c>
      <c r="AH12" s="125">
        <f t="shared" si="26"/>
        <v>1439811.821</v>
      </c>
      <c r="AI12" s="125">
        <f t="shared" si="26"/>
        <v>1445811.821</v>
      </c>
      <c r="AJ12" s="125">
        <f t="shared" si="26"/>
        <v>1445811.821</v>
      </c>
      <c r="AK12" s="125">
        <f t="shared" si="26"/>
        <v>1445811.821</v>
      </c>
      <c r="AL12" s="125">
        <f t="shared" si="26"/>
        <v>1445811.821</v>
      </c>
      <c r="AM12" s="125">
        <f t="shared" si="26"/>
        <v>1445811.821</v>
      </c>
      <c r="AN12" s="125">
        <f t="shared" si="26"/>
        <v>1445811.821</v>
      </c>
      <c r="AO12" s="125">
        <f t="shared" si="26"/>
        <v>1445811.821</v>
      </c>
      <c r="AP12" s="125">
        <f t="shared" si="26"/>
        <v>1445811.821</v>
      </c>
      <c r="AQ12" s="125">
        <f t="shared" si="26"/>
        <v>1445811.821</v>
      </c>
      <c r="AR12" s="125">
        <f t="shared" si="26"/>
        <v>1445811.821</v>
      </c>
      <c r="AS12" s="125">
        <f t="shared" si="26"/>
        <v>1445811.821</v>
      </c>
      <c r="AT12" s="125">
        <f t="shared" si="26"/>
        <v>1445811.821</v>
      </c>
      <c r="AU12" s="125">
        <f t="shared" si="26"/>
        <v>1445811.821</v>
      </c>
      <c r="AV12" s="125">
        <f t="shared" si="26"/>
        <v>1445811.821</v>
      </c>
      <c r="AW12" s="125">
        <f t="shared" si="26"/>
        <v>1445811.821</v>
      </c>
      <c r="AX12" s="125">
        <f t="shared" si="26"/>
        <v>1445811.821</v>
      </c>
      <c r="AY12" s="125">
        <f t="shared" si="26"/>
        <v>1445811.821</v>
      </c>
      <c r="AZ12" s="125">
        <f t="shared" si="26"/>
        <v>1445811.821</v>
      </c>
      <c r="BA12" s="125">
        <f t="shared" si="26"/>
        <v>1445811.821</v>
      </c>
      <c r="BB12" s="125">
        <f t="shared" si="26"/>
        <v>1445811.821</v>
      </c>
      <c r="BC12" s="125">
        <f t="shared" si="26"/>
        <v>1445811.821</v>
      </c>
      <c r="BD12" s="125">
        <f t="shared" si="26"/>
        <v>1445811.821</v>
      </c>
      <c r="BE12" s="125">
        <f t="shared" si="26"/>
        <v>1445811.821</v>
      </c>
      <c r="BF12" s="125">
        <f t="shared" si="26"/>
        <v>1445811.821</v>
      </c>
      <c r="BG12" s="125">
        <f t="shared" si="26"/>
        <v>1445811.821</v>
      </c>
      <c r="BH12" s="125">
        <f t="shared" si="26"/>
        <v>1445811.821</v>
      </c>
      <c r="BI12" s="125">
        <f t="shared" si="26"/>
        <v>1445811.821</v>
      </c>
      <c r="BJ12" s="125">
        <f t="shared" si="26"/>
        <v>1445811.821</v>
      </c>
      <c r="BK12" s="125">
        <f t="shared" si="26"/>
        <v>1445811.821</v>
      </c>
      <c r="BL12" s="125">
        <f t="shared" si="26"/>
        <v>1445811.821</v>
      </c>
      <c r="BM12" s="125">
        <f t="shared" si="26"/>
        <v>1445811.821</v>
      </c>
      <c r="BN12" s="125">
        <f t="shared" si="26"/>
        <v>1445811.821</v>
      </c>
      <c r="BO12" s="125">
        <f t="shared" si="26"/>
        <v>1445811.821</v>
      </c>
      <c r="BP12" s="125">
        <f t="shared" si="26"/>
        <v>1445811.821</v>
      </c>
      <c r="BQ12" s="125">
        <f t="shared" si="26"/>
        <v>1445811.821</v>
      </c>
      <c r="BR12" s="125">
        <f t="shared" si="26"/>
        <v>1445811.821</v>
      </c>
      <c r="BS12" s="125">
        <f t="shared" si="26"/>
        <v>1445811.821</v>
      </c>
      <c r="BT12" s="125">
        <f t="shared" si="26"/>
        <v>1445811.821</v>
      </c>
      <c r="BU12" s="125">
        <f t="shared" ref="BU12:EF12" si="27">BT12+BU11</f>
        <v>1445811.821</v>
      </c>
      <c r="BV12" s="125">
        <f t="shared" si="27"/>
        <v>1445811.821</v>
      </c>
      <c r="BW12" s="125">
        <f t="shared" si="27"/>
        <v>1445811.821</v>
      </c>
      <c r="BX12" s="125">
        <f t="shared" si="27"/>
        <v>1445811.821</v>
      </c>
      <c r="BY12" s="125">
        <f t="shared" si="27"/>
        <v>1445811.821</v>
      </c>
      <c r="BZ12" s="125">
        <f t="shared" si="27"/>
        <v>1445811.821</v>
      </c>
      <c r="CA12" s="125">
        <f t="shared" si="27"/>
        <v>1445811.821</v>
      </c>
      <c r="CB12" s="125">
        <f t="shared" si="27"/>
        <v>1445811.821</v>
      </c>
      <c r="CC12" s="125">
        <f t="shared" si="27"/>
        <v>1445811.821</v>
      </c>
      <c r="CD12" s="125">
        <f t="shared" si="27"/>
        <v>1445811.821</v>
      </c>
      <c r="CE12" s="125">
        <f t="shared" si="27"/>
        <v>1445811.821</v>
      </c>
      <c r="CF12" s="125">
        <f t="shared" si="27"/>
        <v>1445811.821</v>
      </c>
      <c r="CG12" s="125">
        <f t="shared" si="27"/>
        <v>1445811.821</v>
      </c>
      <c r="CH12" s="125">
        <f t="shared" si="27"/>
        <v>1445811.821</v>
      </c>
      <c r="CI12" s="125">
        <f t="shared" si="27"/>
        <v>1445811.821</v>
      </c>
      <c r="CJ12" s="125">
        <f t="shared" si="27"/>
        <v>1445811.821</v>
      </c>
      <c r="CK12" s="125">
        <f t="shared" si="27"/>
        <v>1445811.821</v>
      </c>
      <c r="CL12" s="125">
        <f t="shared" si="27"/>
        <v>1445811.821</v>
      </c>
      <c r="CM12" s="125">
        <f t="shared" si="27"/>
        <v>1445811.821</v>
      </c>
      <c r="CN12" s="125">
        <f t="shared" si="27"/>
        <v>1445811.821</v>
      </c>
      <c r="CO12" s="125">
        <f t="shared" si="27"/>
        <v>1445811.821</v>
      </c>
      <c r="CP12" s="125">
        <f t="shared" si="27"/>
        <v>1445811.821</v>
      </c>
      <c r="CQ12" s="125">
        <f t="shared" si="27"/>
        <v>1445811.821</v>
      </c>
      <c r="CR12" s="125">
        <f t="shared" si="27"/>
        <v>1445811.821</v>
      </c>
      <c r="CS12" s="125">
        <f t="shared" si="27"/>
        <v>1445811.821</v>
      </c>
      <c r="CT12" s="125">
        <f t="shared" si="27"/>
        <v>1445811.821</v>
      </c>
      <c r="CU12" s="125">
        <f t="shared" si="27"/>
        <v>1445811.821</v>
      </c>
      <c r="CV12" s="125">
        <f t="shared" si="27"/>
        <v>1445811.821</v>
      </c>
      <c r="CW12" s="125">
        <f t="shared" si="27"/>
        <v>1445811.821</v>
      </c>
      <c r="CX12" s="125">
        <f t="shared" si="27"/>
        <v>1445811.821</v>
      </c>
      <c r="CY12" s="125">
        <f t="shared" si="27"/>
        <v>1445811.821</v>
      </c>
      <c r="CZ12" s="125">
        <f t="shared" si="27"/>
        <v>1445811.821</v>
      </c>
      <c r="DA12" s="125">
        <f t="shared" si="27"/>
        <v>1445811.821</v>
      </c>
      <c r="DB12" s="125">
        <f t="shared" si="27"/>
        <v>1445811.821</v>
      </c>
      <c r="DC12" s="125">
        <f t="shared" si="27"/>
        <v>1445811.821</v>
      </c>
      <c r="DD12" s="125">
        <f t="shared" si="27"/>
        <v>1445811.821</v>
      </c>
      <c r="DE12" s="125">
        <f t="shared" si="27"/>
        <v>1445811.821</v>
      </c>
      <c r="DF12" s="125">
        <f t="shared" si="27"/>
        <v>1445811.821</v>
      </c>
      <c r="DG12" s="125">
        <f t="shared" si="27"/>
        <v>1445811.821</v>
      </c>
      <c r="DH12" s="125">
        <f t="shared" si="27"/>
        <v>1445811.821</v>
      </c>
      <c r="DI12" s="125">
        <f t="shared" si="27"/>
        <v>1445811.821</v>
      </c>
      <c r="DJ12" s="125">
        <f t="shared" si="27"/>
        <v>1445811.821</v>
      </c>
      <c r="DK12" s="125">
        <f t="shared" si="27"/>
        <v>1445811.821</v>
      </c>
      <c r="DL12" s="125">
        <f t="shared" si="27"/>
        <v>1445811.821</v>
      </c>
      <c r="DM12" s="125">
        <f t="shared" si="27"/>
        <v>1445811.821</v>
      </c>
      <c r="DN12" s="125">
        <f t="shared" si="27"/>
        <v>1445811.821</v>
      </c>
      <c r="DO12" s="125">
        <f t="shared" si="27"/>
        <v>1445811.821</v>
      </c>
      <c r="DP12" s="125">
        <f t="shared" si="27"/>
        <v>1445811.821</v>
      </c>
      <c r="DQ12" s="125">
        <f t="shared" si="27"/>
        <v>1445811.821</v>
      </c>
      <c r="DR12" s="125">
        <f t="shared" si="27"/>
        <v>1445811.821</v>
      </c>
      <c r="DS12" s="125">
        <f t="shared" si="27"/>
        <v>1445811.821</v>
      </c>
      <c r="DT12" s="125">
        <f t="shared" si="27"/>
        <v>1445811.821</v>
      </c>
      <c r="DU12" s="125">
        <f t="shared" si="27"/>
        <v>1445811.821</v>
      </c>
      <c r="DV12" s="125">
        <f t="shared" si="27"/>
        <v>1445811.821</v>
      </c>
      <c r="DW12" s="125">
        <f t="shared" si="27"/>
        <v>1445811.821</v>
      </c>
      <c r="DX12" s="125">
        <f t="shared" si="27"/>
        <v>1445811.821</v>
      </c>
      <c r="DY12" s="125">
        <f t="shared" si="27"/>
        <v>1445811.821</v>
      </c>
      <c r="DZ12" s="125">
        <f t="shared" si="27"/>
        <v>1445811.821</v>
      </c>
      <c r="EA12" s="125">
        <f t="shared" si="27"/>
        <v>1445811.821</v>
      </c>
      <c r="EB12" s="125">
        <f t="shared" si="27"/>
        <v>1445811.821</v>
      </c>
      <c r="EC12" s="125">
        <f t="shared" si="27"/>
        <v>1445811.821</v>
      </c>
      <c r="ED12" s="125">
        <f t="shared" si="27"/>
        <v>1445811.821</v>
      </c>
      <c r="EE12" s="125">
        <f t="shared" si="27"/>
        <v>1445811.821</v>
      </c>
      <c r="EF12" s="125">
        <f t="shared" si="27"/>
        <v>1445811.821</v>
      </c>
      <c r="EG12" s="125">
        <f t="shared" ref="EG12:GR12" si="28">EF12+EG11</f>
        <v>1445811.821</v>
      </c>
      <c r="EH12" s="125">
        <f t="shared" si="28"/>
        <v>1445811.821</v>
      </c>
      <c r="EI12" s="125">
        <f t="shared" si="28"/>
        <v>1445811.821</v>
      </c>
      <c r="EJ12" s="125">
        <f t="shared" si="28"/>
        <v>1445811.821</v>
      </c>
      <c r="EK12" s="125">
        <f t="shared" si="28"/>
        <v>1445811.821</v>
      </c>
      <c r="EL12" s="125">
        <f t="shared" si="28"/>
        <v>1445811.821</v>
      </c>
      <c r="EM12" s="125">
        <f t="shared" si="28"/>
        <v>1445811.821</v>
      </c>
      <c r="EN12" s="125">
        <f t="shared" si="28"/>
        <v>1445811.821</v>
      </c>
      <c r="EO12" s="125">
        <f t="shared" si="28"/>
        <v>1445811.821</v>
      </c>
      <c r="EP12" s="125">
        <f t="shared" si="28"/>
        <v>1445811.821</v>
      </c>
      <c r="EQ12" s="125">
        <f t="shared" si="28"/>
        <v>1445811.821</v>
      </c>
      <c r="ER12" s="125">
        <f t="shared" si="28"/>
        <v>1445811.821</v>
      </c>
      <c r="ES12" s="125">
        <f t="shared" si="28"/>
        <v>1445811.821</v>
      </c>
      <c r="ET12" s="125">
        <f t="shared" si="28"/>
        <v>1445811.821</v>
      </c>
      <c r="EU12" s="125">
        <f t="shared" si="28"/>
        <v>1445811.821</v>
      </c>
      <c r="EV12" s="125">
        <f t="shared" si="28"/>
        <v>1445811.821</v>
      </c>
      <c r="EW12" s="125">
        <f t="shared" si="28"/>
        <v>1445811.821</v>
      </c>
      <c r="EX12" s="125">
        <f t="shared" si="28"/>
        <v>1445811.821</v>
      </c>
      <c r="EY12" s="125">
        <f t="shared" si="28"/>
        <v>1445811.821</v>
      </c>
      <c r="EZ12" s="125">
        <f t="shared" si="28"/>
        <v>1445811.821</v>
      </c>
      <c r="FA12" s="125">
        <f t="shared" si="28"/>
        <v>1445811.821</v>
      </c>
      <c r="FB12" s="125">
        <f t="shared" si="28"/>
        <v>1445811.821</v>
      </c>
      <c r="FC12" s="125">
        <f t="shared" si="28"/>
        <v>1445811.821</v>
      </c>
      <c r="FD12" s="125">
        <f t="shared" si="28"/>
        <v>1445811.821</v>
      </c>
      <c r="FE12" s="125">
        <f t="shared" si="28"/>
        <v>1445811.821</v>
      </c>
      <c r="FF12" s="125">
        <f t="shared" si="28"/>
        <v>1445811.821</v>
      </c>
      <c r="FG12" s="125">
        <f t="shared" si="28"/>
        <v>1445811.821</v>
      </c>
      <c r="FH12" s="125">
        <f t="shared" si="28"/>
        <v>1445811.821</v>
      </c>
      <c r="FI12" s="125">
        <f t="shared" si="28"/>
        <v>1445811.821</v>
      </c>
      <c r="FJ12" s="125">
        <f t="shared" si="28"/>
        <v>1445811.821</v>
      </c>
      <c r="FK12" s="125">
        <f t="shared" si="28"/>
        <v>1445811.821</v>
      </c>
      <c r="FL12" s="125">
        <f t="shared" si="28"/>
        <v>1445811.821</v>
      </c>
      <c r="FM12" s="125">
        <f t="shared" si="28"/>
        <v>1445811.821</v>
      </c>
      <c r="FN12" s="125">
        <f t="shared" si="28"/>
        <v>1445811.821</v>
      </c>
      <c r="FO12" s="125">
        <f t="shared" si="28"/>
        <v>1445811.821</v>
      </c>
      <c r="FP12" s="125">
        <f t="shared" si="28"/>
        <v>1445811.821</v>
      </c>
      <c r="FQ12" s="125">
        <f t="shared" si="28"/>
        <v>1445811.821</v>
      </c>
      <c r="FR12" s="125">
        <f t="shared" si="28"/>
        <v>1445811.821</v>
      </c>
      <c r="FS12" s="125">
        <f t="shared" si="28"/>
        <v>1445811.821</v>
      </c>
      <c r="FT12" s="125">
        <f t="shared" si="28"/>
        <v>1445811.821</v>
      </c>
      <c r="FU12" s="125">
        <f t="shared" si="28"/>
        <v>1445811.821</v>
      </c>
      <c r="FV12" s="125">
        <f t="shared" si="28"/>
        <v>1445811.821</v>
      </c>
      <c r="FW12" s="125">
        <f t="shared" si="28"/>
        <v>1445811.821</v>
      </c>
      <c r="FX12" s="125">
        <f t="shared" si="28"/>
        <v>1445811.821</v>
      </c>
      <c r="FY12" s="125">
        <f t="shared" si="28"/>
        <v>1445811.821</v>
      </c>
      <c r="FZ12" s="125">
        <f t="shared" si="28"/>
        <v>1445811.821</v>
      </c>
      <c r="GA12" s="125">
        <f t="shared" si="28"/>
        <v>1445811.821</v>
      </c>
      <c r="GB12" s="125">
        <f t="shared" si="28"/>
        <v>1445811.821</v>
      </c>
      <c r="GC12" s="125">
        <f t="shared" si="28"/>
        <v>1445811.821</v>
      </c>
      <c r="GD12" s="125">
        <f t="shared" si="28"/>
        <v>1445811.821</v>
      </c>
      <c r="GE12" s="125">
        <f t="shared" si="28"/>
        <v>1445811.821</v>
      </c>
      <c r="GF12" s="125">
        <f t="shared" si="28"/>
        <v>1445811.821</v>
      </c>
      <c r="GG12" s="125">
        <f t="shared" si="28"/>
        <v>1445811.821</v>
      </c>
      <c r="GH12" s="125">
        <f t="shared" si="28"/>
        <v>1445811.821</v>
      </c>
      <c r="GI12" s="125">
        <f t="shared" si="28"/>
        <v>1445811.821</v>
      </c>
      <c r="GJ12" s="125">
        <f t="shared" si="28"/>
        <v>1445811.821</v>
      </c>
      <c r="GK12" s="125">
        <f t="shared" si="28"/>
        <v>1445811.821</v>
      </c>
      <c r="GL12" s="125">
        <f t="shared" si="28"/>
        <v>1445811.821</v>
      </c>
      <c r="GM12" s="125">
        <f t="shared" si="28"/>
        <v>1445811.821</v>
      </c>
      <c r="GN12" s="125">
        <f t="shared" si="28"/>
        <v>1445811.821</v>
      </c>
      <c r="GO12" s="125">
        <f t="shared" si="28"/>
        <v>1445811.821</v>
      </c>
      <c r="GP12" s="125">
        <f t="shared" si="28"/>
        <v>1445811.821</v>
      </c>
      <c r="GQ12" s="125">
        <f t="shared" si="28"/>
        <v>1445811.821</v>
      </c>
      <c r="GR12" s="125">
        <f t="shared" si="28"/>
        <v>1445811.821</v>
      </c>
      <c r="GS12" s="125">
        <f t="shared" ref="GS12:JD12" si="29">GR12+GS11</f>
        <v>1445811.821</v>
      </c>
      <c r="GT12" s="125">
        <f t="shared" si="29"/>
        <v>1445811.821</v>
      </c>
      <c r="GU12" s="125">
        <f t="shared" si="29"/>
        <v>1445811.821</v>
      </c>
      <c r="GV12" s="125">
        <f t="shared" si="29"/>
        <v>1445811.821</v>
      </c>
      <c r="GW12" s="125">
        <f t="shared" si="29"/>
        <v>1445811.821</v>
      </c>
      <c r="GX12" s="125">
        <f t="shared" si="29"/>
        <v>1445811.821</v>
      </c>
      <c r="GY12" s="125">
        <f t="shared" si="29"/>
        <v>1445811.821</v>
      </c>
      <c r="GZ12" s="125">
        <f t="shared" si="29"/>
        <v>1445811.821</v>
      </c>
      <c r="HA12" s="125">
        <f t="shared" si="29"/>
        <v>1445811.821</v>
      </c>
      <c r="HB12" s="125">
        <f t="shared" si="29"/>
        <v>1445811.821</v>
      </c>
      <c r="HC12" s="125">
        <f t="shared" si="29"/>
        <v>1445811.821</v>
      </c>
      <c r="HD12" s="125">
        <f t="shared" si="29"/>
        <v>1445811.821</v>
      </c>
      <c r="HE12" s="125">
        <f t="shared" si="29"/>
        <v>1445811.821</v>
      </c>
      <c r="HF12" s="125">
        <f t="shared" si="29"/>
        <v>1445811.821</v>
      </c>
      <c r="HG12" s="125">
        <f t="shared" si="29"/>
        <v>1445811.821</v>
      </c>
      <c r="HH12" s="125">
        <f t="shared" si="29"/>
        <v>1445811.821</v>
      </c>
      <c r="HI12" s="125">
        <f t="shared" si="29"/>
        <v>1445811.821</v>
      </c>
      <c r="HJ12" s="125">
        <f t="shared" si="29"/>
        <v>1445811.821</v>
      </c>
      <c r="HK12" s="125">
        <f t="shared" si="29"/>
        <v>1445811.821</v>
      </c>
      <c r="HL12" s="125">
        <f t="shared" si="29"/>
        <v>1445811.821</v>
      </c>
      <c r="HM12" s="125">
        <f t="shared" si="29"/>
        <v>1445811.821</v>
      </c>
      <c r="HN12" s="125">
        <f t="shared" si="29"/>
        <v>1445811.821</v>
      </c>
      <c r="HO12" s="125">
        <f t="shared" si="29"/>
        <v>1445811.821</v>
      </c>
      <c r="HP12" s="125">
        <f t="shared" si="29"/>
        <v>1445811.821</v>
      </c>
      <c r="HQ12" s="125">
        <f t="shared" si="29"/>
        <v>1445811.821</v>
      </c>
      <c r="HR12" s="125">
        <f t="shared" si="29"/>
        <v>1445811.821</v>
      </c>
      <c r="HS12" s="125">
        <f t="shared" si="29"/>
        <v>1445811.821</v>
      </c>
      <c r="HT12" s="125">
        <f t="shared" si="29"/>
        <v>1445811.821</v>
      </c>
      <c r="HU12" s="125">
        <f t="shared" si="29"/>
        <v>1445811.821</v>
      </c>
      <c r="HV12" s="125">
        <f t="shared" si="29"/>
        <v>1445811.821</v>
      </c>
      <c r="HW12" s="125">
        <f t="shared" si="29"/>
        <v>1445811.821</v>
      </c>
      <c r="HX12" s="125">
        <f t="shared" si="29"/>
        <v>1445811.821</v>
      </c>
      <c r="HY12" s="125">
        <f t="shared" si="29"/>
        <v>1445811.821</v>
      </c>
      <c r="HZ12" s="125">
        <f t="shared" si="29"/>
        <v>1445811.821</v>
      </c>
      <c r="IA12" s="125">
        <f t="shared" si="29"/>
        <v>1445811.821</v>
      </c>
      <c r="IB12" s="125">
        <f t="shared" si="29"/>
        <v>1445811.821</v>
      </c>
      <c r="IC12" s="125">
        <f t="shared" si="29"/>
        <v>1445811.821</v>
      </c>
      <c r="ID12" s="125">
        <f t="shared" si="29"/>
        <v>1445811.821</v>
      </c>
      <c r="IE12" s="125">
        <f t="shared" si="29"/>
        <v>1445811.821</v>
      </c>
      <c r="IF12" s="125">
        <f t="shared" si="29"/>
        <v>1445811.821</v>
      </c>
      <c r="IG12" s="125">
        <f t="shared" si="29"/>
        <v>1445811.821</v>
      </c>
      <c r="IH12" s="125">
        <f t="shared" si="29"/>
        <v>1445811.821</v>
      </c>
      <c r="II12" s="125">
        <f t="shared" si="29"/>
        <v>1445811.821</v>
      </c>
      <c r="IJ12" s="125">
        <f t="shared" si="29"/>
        <v>1445811.821</v>
      </c>
      <c r="IK12" s="125">
        <f t="shared" si="29"/>
        <v>1445811.821</v>
      </c>
      <c r="IL12" s="125">
        <f t="shared" si="29"/>
        <v>1445811.821</v>
      </c>
      <c r="IM12" s="125">
        <f t="shared" si="29"/>
        <v>1445811.821</v>
      </c>
      <c r="IN12" s="125">
        <f t="shared" si="29"/>
        <v>1445811.821</v>
      </c>
      <c r="IO12" s="125">
        <f t="shared" si="29"/>
        <v>1445811.821</v>
      </c>
      <c r="IP12" s="125">
        <f t="shared" si="29"/>
        <v>1445811.821</v>
      </c>
      <c r="IQ12" s="125">
        <f t="shared" si="29"/>
        <v>1445811.821</v>
      </c>
      <c r="IR12" s="125">
        <f t="shared" si="29"/>
        <v>1445811.821</v>
      </c>
      <c r="IS12" s="125">
        <f t="shared" si="29"/>
        <v>1445811.821</v>
      </c>
      <c r="IT12" s="125">
        <f t="shared" si="29"/>
        <v>1445811.821</v>
      </c>
      <c r="IU12" s="125">
        <f t="shared" si="29"/>
        <v>1445811.821</v>
      </c>
      <c r="IV12" s="125">
        <f t="shared" si="29"/>
        <v>1445811.821</v>
      </c>
      <c r="IW12" s="125">
        <f t="shared" si="29"/>
        <v>1445811.821</v>
      </c>
      <c r="IX12" s="125">
        <f t="shared" si="29"/>
        <v>1445811.821</v>
      </c>
      <c r="IY12" s="125">
        <f t="shared" si="29"/>
        <v>1445811.821</v>
      </c>
      <c r="IZ12" s="125">
        <f t="shared" si="29"/>
        <v>1445811.821</v>
      </c>
      <c r="JA12" s="125">
        <f t="shared" si="29"/>
        <v>1445811.821</v>
      </c>
      <c r="JB12" s="125">
        <f t="shared" si="29"/>
        <v>1445811.821</v>
      </c>
      <c r="JC12" s="125">
        <f t="shared" si="29"/>
        <v>1445811.821</v>
      </c>
      <c r="JD12" s="125">
        <f t="shared" si="29"/>
        <v>1445811.821</v>
      </c>
      <c r="JE12" s="125">
        <f t="shared" ref="JE12:KF12" si="30">JD12+JE11</f>
        <v>1445811.821</v>
      </c>
      <c r="JF12" s="125">
        <f t="shared" si="30"/>
        <v>1445811.821</v>
      </c>
      <c r="JG12" s="125">
        <f t="shared" si="30"/>
        <v>1445811.821</v>
      </c>
      <c r="JH12" s="125">
        <f t="shared" si="30"/>
        <v>1445811.821</v>
      </c>
      <c r="JI12" s="125">
        <f t="shared" si="30"/>
        <v>1445811.821</v>
      </c>
      <c r="JJ12" s="125">
        <f t="shared" si="30"/>
        <v>1445811.821</v>
      </c>
      <c r="JK12" s="125">
        <f t="shared" si="30"/>
        <v>1445811.821</v>
      </c>
      <c r="JL12" s="125">
        <f t="shared" si="30"/>
        <v>1445811.821</v>
      </c>
      <c r="JM12" s="125">
        <f t="shared" si="30"/>
        <v>1445811.821</v>
      </c>
      <c r="JN12" s="125">
        <f t="shared" si="30"/>
        <v>1445811.821</v>
      </c>
      <c r="JO12" s="125">
        <f t="shared" si="30"/>
        <v>1445811.821</v>
      </c>
      <c r="JP12" s="125">
        <f t="shared" si="30"/>
        <v>1445811.821</v>
      </c>
      <c r="JQ12" s="125">
        <f t="shared" si="30"/>
        <v>1445811.821</v>
      </c>
      <c r="JR12" s="125">
        <f t="shared" si="30"/>
        <v>1445811.821</v>
      </c>
      <c r="JS12" s="125">
        <f t="shared" si="30"/>
        <v>1445811.821</v>
      </c>
      <c r="JT12" s="125">
        <f t="shared" si="30"/>
        <v>1445811.821</v>
      </c>
      <c r="JU12" s="125">
        <f t="shared" si="30"/>
        <v>1445811.821</v>
      </c>
      <c r="JV12" s="125">
        <f t="shared" si="30"/>
        <v>1445811.821</v>
      </c>
      <c r="JW12" s="125">
        <f t="shared" si="30"/>
        <v>1445811.821</v>
      </c>
      <c r="JX12" s="125">
        <f t="shared" si="30"/>
        <v>1445811.821</v>
      </c>
      <c r="JY12" s="125">
        <f t="shared" si="30"/>
        <v>1445811.821</v>
      </c>
      <c r="JZ12" s="125">
        <f t="shared" si="30"/>
        <v>1445811.821</v>
      </c>
      <c r="KA12" s="125">
        <f t="shared" si="30"/>
        <v>1445811.821</v>
      </c>
      <c r="KB12" s="125">
        <f t="shared" si="30"/>
        <v>1445811.821</v>
      </c>
      <c r="KC12" s="125">
        <f t="shared" si="30"/>
        <v>1445811.821</v>
      </c>
      <c r="KD12" s="125">
        <f t="shared" si="30"/>
        <v>1445811.821</v>
      </c>
      <c r="KE12" s="125">
        <f t="shared" si="30"/>
        <v>1445811.821</v>
      </c>
      <c r="KF12" s="125">
        <f t="shared" si="30"/>
        <v>1445811.821</v>
      </c>
      <c r="KG12" s="102"/>
      <c r="KH12" s="113"/>
    </row>
    <row r="13" spans="1:770" s="102" customFormat="1">
      <c r="A13" s="75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2"/>
      <c r="B14" s="115" t="s">
        <v>425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858937.99500000011</v>
      </c>
      <c r="Z14" s="118">
        <f t="shared" si="32"/>
        <v>853294.39500000002</v>
      </c>
      <c r="AA14" s="118">
        <f t="shared" si="32"/>
        <v>828410.05750000011</v>
      </c>
      <c r="AB14" s="118">
        <f t="shared" si="32"/>
        <v>763129.87250000006</v>
      </c>
      <c r="AC14" s="118">
        <f t="shared" si="32"/>
        <v>688476.77</v>
      </c>
      <c r="AD14" s="118">
        <f t="shared" si="32"/>
        <v>688476.77</v>
      </c>
      <c r="AE14" s="118">
        <f t="shared" si="32"/>
        <v>662508.81649999996</v>
      </c>
      <c r="AF14" s="118">
        <f t="shared" si="32"/>
        <v>662508.81649999996</v>
      </c>
      <c r="AG14" s="118">
        <f t="shared" si="32"/>
        <v>637624.45900000003</v>
      </c>
      <c r="AH14" s="118">
        <f t="shared" si="32"/>
        <v>637624.45900000003</v>
      </c>
      <c r="AI14" s="118">
        <f t="shared" si="32"/>
        <v>631624.45900000003</v>
      </c>
      <c r="AJ14" s="118">
        <f t="shared" si="32"/>
        <v>631624.45900000003</v>
      </c>
      <c r="AK14" s="118">
        <f t="shared" si="32"/>
        <v>631624.45900000003</v>
      </c>
      <c r="AL14" s="118">
        <f t="shared" si="32"/>
        <v>631624.45900000003</v>
      </c>
      <c r="AM14" s="118">
        <f t="shared" si="32"/>
        <v>631624.45900000003</v>
      </c>
      <c r="AN14" s="118">
        <f t="shared" si="32"/>
        <v>631624.45900000003</v>
      </c>
      <c r="AO14" s="118">
        <f t="shared" si="32"/>
        <v>631624.45900000003</v>
      </c>
      <c r="AP14" s="118">
        <f t="shared" si="32"/>
        <v>631624.45900000003</v>
      </c>
      <c r="AQ14" s="118">
        <f t="shared" si="32"/>
        <v>631624.45900000003</v>
      </c>
      <c r="AR14" s="118">
        <f t="shared" si="32"/>
        <v>631624.45900000003</v>
      </c>
      <c r="AS14" s="118">
        <f t="shared" si="32"/>
        <v>631624.45900000003</v>
      </c>
      <c r="AT14" s="118">
        <f t="shared" si="32"/>
        <v>631624.45900000003</v>
      </c>
      <c r="AU14" s="118">
        <f t="shared" si="32"/>
        <v>631624.45900000003</v>
      </c>
      <c r="AV14" s="118">
        <f t="shared" si="32"/>
        <v>631624.45900000003</v>
      </c>
      <c r="AW14" s="118">
        <f t="shared" si="32"/>
        <v>631624.45900000003</v>
      </c>
      <c r="AX14" s="118">
        <f t="shared" si="32"/>
        <v>631624.45900000003</v>
      </c>
      <c r="AY14" s="118">
        <f t="shared" si="32"/>
        <v>631624.45900000003</v>
      </c>
      <c r="AZ14" s="118">
        <f t="shared" si="32"/>
        <v>631624.45900000003</v>
      </c>
      <c r="BA14" s="118">
        <f t="shared" si="32"/>
        <v>631624.45900000003</v>
      </c>
      <c r="BB14" s="118">
        <f t="shared" si="32"/>
        <v>631624.45900000003</v>
      </c>
      <c r="BC14" s="118">
        <f t="shared" si="32"/>
        <v>631624.45900000003</v>
      </c>
      <c r="BD14" s="118">
        <f t="shared" si="32"/>
        <v>631624.45900000003</v>
      </c>
      <c r="BE14" s="118">
        <f t="shared" si="32"/>
        <v>631624.45900000003</v>
      </c>
      <c r="BF14" s="118">
        <f t="shared" si="32"/>
        <v>631624.45900000003</v>
      </c>
      <c r="BG14" s="118">
        <f t="shared" si="32"/>
        <v>631624.45900000003</v>
      </c>
      <c r="BH14" s="118">
        <f t="shared" si="32"/>
        <v>631624.45900000003</v>
      </c>
      <c r="BI14" s="118">
        <f t="shared" si="32"/>
        <v>631624.45900000003</v>
      </c>
      <c r="BJ14" s="118">
        <f t="shared" si="32"/>
        <v>631624.45900000003</v>
      </c>
      <c r="BK14" s="118">
        <f t="shared" si="32"/>
        <v>631624.45900000003</v>
      </c>
      <c r="BL14" s="118">
        <f t="shared" si="32"/>
        <v>631624.45900000003</v>
      </c>
      <c r="BM14" s="118">
        <f t="shared" si="32"/>
        <v>631624.45900000003</v>
      </c>
      <c r="BN14" s="118">
        <f t="shared" si="32"/>
        <v>631624.45900000003</v>
      </c>
      <c r="BO14" s="118">
        <f t="shared" si="32"/>
        <v>631624.45900000003</v>
      </c>
      <c r="BP14" s="118">
        <f t="shared" si="32"/>
        <v>631624.45900000003</v>
      </c>
      <c r="BQ14" s="118">
        <f t="shared" si="32"/>
        <v>631624.45900000003</v>
      </c>
      <c r="BR14" s="118">
        <f t="shared" si="32"/>
        <v>631624.45900000003</v>
      </c>
      <c r="BS14" s="118">
        <f t="shared" si="32"/>
        <v>631624.45900000003</v>
      </c>
      <c r="BT14" s="118">
        <f t="shared" si="32"/>
        <v>631624.45900000003</v>
      </c>
      <c r="BU14" s="118">
        <f t="shared" ref="BU14:EF14" si="33">BU10-BU12</f>
        <v>631624.45900000003</v>
      </c>
      <c r="BV14" s="118">
        <f t="shared" si="33"/>
        <v>631624.45900000003</v>
      </c>
      <c r="BW14" s="118">
        <f t="shared" si="33"/>
        <v>631624.45900000003</v>
      </c>
      <c r="BX14" s="118">
        <f t="shared" si="33"/>
        <v>631624.45900000003</v>
      </c>
      <c r="BY14" s="118">
        <f t="shared" si="33"/>
        <v>631624.45900000003</v>
      </c>
      <c r="BZ14" s="118">
        <f t="shared" si="33"/>
        <v>631624.45900000003</v>
      </c>
      <c r="CA14" s="118">
        <f t="shared" si="33"/>
        <v>631624.45900000003</v>
      </c>
      <c r="CB14" s="118">
        <f t="shared" si="33"/>
        <v>631624.45900000003</v>
      </c>
      <c r="CC14" s="118">
        <f t="shared" si="33"/>
        <v>631624.45900000003</v>
      </c>
      <c r="CD14" s="118">
        <f t="shared" si="33"/>
        <v>631624.45900000003</v>
      </c>
      <c r="CE14" s="118">
        <f t="shared" si="33"/>
        <v>631624.45900000003</v>
      </c>
      <c r="CF14" s="118">
        <f t="shared" si="33"/>
        <v>631624.45900000003</v>
      </c>
      <c r="CG14" s="118">
        <f t="shared" si="33"/>
        <v>631624.45900000003</v>
      </c>
      <c r="CH14" s="118">
        <f t="shared" si="33"/>
        <v>631624.45900000003</v>
      </c>
      <c r="CI14" s="118">
        <f t="shared" si="33"/>
        <v>631624.45900000003</v>
      </c>
      <c r="CJ14" s="118">
        <f t="shared" si="33"/>
        <v>631624.45900000003</v>
      </c>
      <c r="CK14" s="118">
        <f t="shared" si="33"/>
        <v>631624.45900000003</v>
      </c>
      <c r="CL14" s="118">
        <f t="shared" si="33"/>
        <v>631624.45900000003</v>
      </c>
      <c r="CM14" s="118">
        <f t="shared" si="33"/>
        <v>631624.45900000003</v>
      </c>
      <c r="CN14" s="118">
        <f t="shared" si="33"/>
        <v>631624.45900000003</v>
      </c>
      <c r="CO14" s="118">
        <f t="shared" si="33"/>
        <v>631624.45900000003</v>
      </c>
      <c r="CP14" s="118">
        <f t="shared" si="33"/>
        <v>631624.45900000003</v>
      </c>
      <c r="CQ14" s="118">
        <f t="shared" si="33"/>
        <v>631624.45900000003</v>
      </c>
      <c r="CR14" s="118">
        <f t="shared" si="33"/>
        <v>631624.45900000003</v>
      </c>
      <c r="CS14" s="118">
        <f t="shared" si="33"/>
        <v>631624.45900000003</v>
      </c>
      <c r="CT14" s="118">
        <f t="shared" si="33"/>
        <v>631624.45900000003</v>
      </c>
      <c r="CU14" s="118">
        <f t="shared" si="33"/>
        <v>631624.45900000003</v>
      </c>
      <c r="CV14" s="118">
        <f t="shared" si="33"/>
        <v>631624.45900000003</v>
      </c>
      <c r="CW14" s="118">
        <f t="shared" si="33"/>
        <v>631624.45900000003</v>
      </c>
      <c r="CX14" s="118">
        <f t="shared" si="33"/>
        <v>631624.45900000003</v>
      </c>
      <c r="CY14" s="118">
        <f t="shared" si="33"/>
        <v>631624.45900000003</v>
      </c>
      <c r="CZ14" s="118">
        <f t="shared" si="33"/>
        <v>631624.45900000003</v>
      </c>
      <c r="DA14" s="118">
        <f t="shared" si="33"/>
        <v>631624.45900000003</v>
      </c>
      <c r="DB14" s="118">
        <f t="shared" si="33"/>
        <v>631624.45900000003</v>
      </c>
      <c r="DC14" s="118">
        <f t="shared" si="33"/>
        <v>631624.45900000003</v>
      </c>
      <c r="DD14" s="118">
        <f t="shared" si="33"/>
        <v>631624.45900000003</v>
      </c>
      <c r="DE14" s="118">
        <f t="shared" si="33"/>
        <v>631624.45900000003</v>
      </c>
      <c r="DF14" s="118">
        <f t="shared" si="33"/>
        <v>631624.45900000003</v>
      </c>
      <c r="DG14" s="118">
        <f t="shared" si="33"/>
        <v>631624.45900000003</v>
      </c>
      <c r="DH14" s="118">
        <f t="shared" si="33"/>
        <v>631624.45900000003</v>
      </c>
      <c r="DI14" s="118">
        <f t="shared" si="33"/>
        <v>631624.45900000003</v>
      </c>
      <c r="DJ14" s="118">
        <f t="shared" si="33"/>
        <v>631624.45900000003</v>
      </c>
      <c r="DK14" s="118">
        <f t="shared" si="33"/>
        <v>631624.45900000003</v>
      </c>
      <c r="DL14" s="118">
        <f t="shared" si="33"/>
        <v>631624.45900000003</v>
      </c>
      <c r="DM14" s="118">
        <f t="shared" si="33"/>
        <v>631624.45900000003</v>
      </c>
      <c r="DN14" s="118">
        <f t="shared" si="33"/>
        <v>631624.45900000003</v>
      </c>
      <c r="DO14" s="118">
        <f t="shared" si="33"/>
        <v>631624.45900000003</v>
      </c>
      <c r="DP14" s="118">
        <f t="shared" si="33"/>
        <v>631624.45900000003</v>
      </c>
      <c r="DQ14" s="118">
        <f t="shared" si="33"/>
        <v>631624.45900000003</v>
      </c>
      <c r="DR14" s="118">
        <f t="shared" si="33"/>
        <v>631624.45900000003</v>
      </c>
      <c r="DS14" s="118">
        <f t="shared" si="33"/>
        <v>631624.45900000003</v>
      </c>
      <c r="DT14" s="118">
        <f t="shared" si="33"/>
        <v>631624.45900000003</v>
      </c>
      <c r="DU14" s="118">
        <f t="shared" si="33"/>
        <v>631624.45900000003</v>
      </c>
      <c r="DV14" s="118">
        <f t="shared" si="33"/>
        <v>631624.45900000003</v>
      </c>
      <c r="DW14" s="118">
        <f t="shared" si="33"/>
        <v>631624.45900000003</v>
      </c>
      <c r="DX14" s="118">
        <f t="shared" si="33"/>
        <v>631624.45900000003</v>
      </c>
      <c r="DY14" s="118">
        <f t="shared" si="33"/>
        <v>631624.45900000003</v>
      </c>
      <c r="DZ14" s="118">
        <f t="shared" si="33"/>
        <v>631624.45900000003</v>
      </c>
      <c r="EA14" s="118">
        <f t="shared" si="33"/>
        <v>631624.45900000003</v>
      </c>
      <c r="EB14" s="118">
        <f t="shared" si="33"/>
        <v>631624.45900000003</v>
      </c>
      <c r="EC14" s="118">
        <f t="shared" si="33"/>
        <v>631624.45900000003</v>
      </c>
      <c r="ED14" s="118">
        <f t="shared" si="33"/>
        <v>631624.45900000003</v>
      </c>
      <c r="EE14" s="118">
        <f t="shared" si="33"/>
        <v>631624.45900000003</v>
      </c>
      <c r="EF14" s="118">
        <f t="shared" si="33"/>
        <v>631624.45900000003</v>
      </c>
      <c r="EG14" s="118">
        <f t="shared" ref="EG14:GR14" si="34">EG10-EG12</f>
        <v>631624.45900000003</v>
      </c>
      <c r="EH14" s="118">
        <f t="shared" si="34"/>
        <v>631624.45900000003</v>
      </c>
      <c r="EI14" s="118">
        <f t="shared" si="34"/>
        <v>631624.45900000003</v>
      </c>
      <c r="EJ14" s="118">
        <f t="shared" si="34"/>
        <v>631624.45900000003</v>
      </c>
      <c r="EK14" s="118">
        <f t="shared" si="34"/>
        <v>631624.45900000003</v>
      </c>
      <c r="EL14" s="118">
        <f t="shared" si="34"/>
        <v>631624.45900000003</v>
      </c>
      <c r="EM14" s="118">
        <f t="shared" si="34"/>
        <v>631624.45900000003</v>
      </c>
      <c r="EN14" s="118">
        <f t="shared" si="34"/>
        <v>631624.45900000003</v>
      </c>
      <c r="EO14" s="118">
        <f t="shared" si="34"/>
        <v>631624.45900000003</v>
      </c>
      <c r="EP14" s="118">
        <f t="shared" si="34"/>
        <v>631624.45900000003</v>
      </c>
      <c r="EQ14" s="118">
        <f t="shared" si="34"/>
        <v>631624.45900000003</v>
      </c>
      <c r="ER14" s="118">
        <f t="shared" si="34"/>
        <v>631624.45900000003</v>
      </c>
      <c r="ES14" s="118">
        <f t="shared" si="34"/>
        <v>631624.45900000003</v>
      </c>
      <c r="ET14" s="118">
        <f t="shared" si="34"/>
        <v>631624.45900000003</v>
      </c>
      <c r="EU14" s="118">
        <f t="shared" si="34"/>
        <v>631624.45900000003</v>
      </c>
      <c r="EV14" s="118">
        <f t="shared" si="34"/>
        <v>631624.45900000003</v>
      </c>
      <c r="EW14" s="118">
        <f t="shared" si="34"/>
        <v>631624.45900000003</v>
      </c>
      <c r="EX14" s="118">
        <f t="shared" si="34"/>
        <v>631624.45900000003</v>
      </c>
      <c r="EY14" s="118">
        <f t="shared" si="34"/>
        <v>631624.45900000003</v>
      </c>
      <c r="EZ14" s="118">
        <f t="shared" si="34"/>
        <v>631624.45900000003</v>
      </c>
      <c r="FA14" s="118">
        <f t="shared" si="34"/>
        <v>631624.45900000003</v>
      </c>
      <c r="FB14" s="118">
        <f t="shared" si="34"/>
        <v>631624.45900000003</v>
      </c>
      <c r="FC14" s="118">
        <f t="shared" si="34"/>
        <v>631624.45900000003</v>
      </c>
      <c r="FD14" s="118">
        <f t="shared" si="34"/>
        <v>631624.45900000003</v>
      </c>
      <c r="FE14" s="118">
        <f t="shared" si="34"/>
        <v>631624.45900000003</v>
      </c>
      <c r="FF14" s="118">
        <f t="shared" si="34"/>
        <v>631624.45900000003</v>
      </c>
      <c r="FG14" s="118">
        <f t="shared" si="34"/>
        <v>631624.45900000003</v>
      </c>
      <c r="FH14" s="118">
        <f t="shared" si="34"/>
        <v>631624.45900000003</v>
      </c>
      <c r="FI14" s="118">
        <f t="shared" si="34"/>
        <v>631624.45900000003</v>
      </c>
      <c r="FJ14" s="118">
        <f t="shared" si="34"/>
        <v>631624.45900000003</v>
      </c>
      <c r="FK14" s="118">
        <f t="shared" si="34"/>
        <v>631624.45900000003</v>
      </c>
      <c r="FL14" s="118">
        <f t="shared" si="34"/>
        <v>631624.45900000003</v>
      </c>
      <c r="FM14" s="118">
        <f t="shared" si="34"/>
        <v>631624.45900000003</v>
      </c>
      <c r="FN14" s="118">
        <f t="shared" si="34"/>
        <v>631624.45900000003</v>
      </c>
      <c r="FO14" s="118">
        <f t="shared" si="34"/>
        <v>631624.45900000003</v>
      </c>
      <c r="FP14" s="118">
        <f t="shared" si="34"/>
        <v>631624.45900000003</v>
      </c>
      <c r="FQ14" s="118">
        <f t="shared" si="34"/>
        <v>631624.45900000003</v>
      </c>
      <c r="FR14" s="118">
        <f t="shared" si="34"/>
        <v>631624.45900000003</v>
      </c>
      <c r="FS14" s="118">
        <f t="shared" si="34"/>
        <v>631624.45900000003</v>
      </c>
      <c r="FT14" s="118">
        <f t="shared" si="34"/>
        <v>631624.45900000003</v>
      </c>
      <c r="FU14" s="118">
        <f t="shared" si="34"/>
        <v>631624.45900000003</v>
      </c>
      <c r="FV14" s="118">
        <f t="shared" si="34"/>
        <v>631624.45900000003</v>
      </c>
      <c r="FW14" s="118">
        <f t="shared" si="34"/>
        <v>631624.45900000003</v>
      </c>
      <c r="FX14" s="118">
        <f t="shared" si="34"/>
        <v>631624.45900000003</v>
      </c>
      <c r="FY14" s="118">
        <f t="shared" si="34"/>
        <v>631624.45900000003</v>
      </c>
      <c r="FZ14" s="118">
        <f t="shared" si="34"/>
        <v>631624.45900000003</v>
      </c>
      <c r="GA14" s="118">
        <f t="shared" si="34"/>
        <v>631624.45900000003</v>
      </c>
      <c r="GB14" s="118">
        <f t="shared" si="34"/>
        <v>631624.45900000003</v>
      </c>
      <c r="GC14" s="118">
        <f t="shared" si="34"/>
        <v>631624.45900000003</v>
      </c>
      <c r="GD14" s="118">
        <f t="shared" si="34"/>
        <v>631624.45900000003</v>
      </c>
      <c r="GE14" s="118">
        <f t="shared" si="34"/>
        <v>631624.45900000003</v>
      </c>
      <c r="GF14" s="118">
        <f t="shared" si="34"/>
        <v>631624.45900000003</v>
      </c>
      <c r="GG14" s="118">
        <f t="shared" si="34"/>
        <v>631624.45900000003</v>
      </c>
      <c r="GH14" s="118">
        <f t="shared" si="34"/>
        <v>631624.45900000003</v>
      </c>
      <c r="GI14" s="118">
        <f t="shared" si="34"/>
        <v>631624.45900000003</v>
      </c>
      <c r="GJ14" s="118">
        <f t="shared" si="34"/>
        <v>631624.45900000003</v>
      </c>
      <c r="GK14" s="118">
        <f t="shared" si="34"/>
        <v>631624.45900000003</v>
      </c>
      <c r="GL14" s="118">
        <f t="shared" si="34"/>
        <v>631624.45900000003</v>
      </c>
      <c r="GM14" s="118">
        <f t="shared" si="34"/>
        <v>631624.45900000003</v>
      </c>
      <c r="GN14" s="118">
        <f t="shared" si="34"/>
        <v>631624.45900000003</v>
      </c>
      <c r="GO14" s="118">
        <f t="shared" si="34"/>
        <v>631624.45900000003</v>
      </c>
      <c r="GP14" s="118">
        <f t="shared" si="34"/>
        <v>631624.45900000003</v>
      </c>
      <c r="GQ14" s="118">
        <f t="shared" si="34"/>
        <v>631624.45900000003</v>
      </c>
      <c r="GR14" s="118">
        <f t="shared" si="34"/>
        <v>631624.45900000003</v>
      </c>
      <c r="GS14" s="118">
        <f t="shared" ref="GS14:JD14" si="35">GS10-GS12</f>
        <v>631624.45900000003</v>
      </c>
      <c r="GT14" s="118">
        <f t="shared" si="35"/>
        <v>631624.45900000003</v>
      </c>
      <c r="GU14" s="118">
        <f t="shared" si="35"/>
        <v>631624.45900000003</v>
      </c>
      <c r="GV14" s="118">
        <f t="shared" si="35"/>
        <v>631624.45900000003</v>
      </c>
      <c r="GW14" s="118">
        <f t="shared" si="35"/>
        <v>631624.45900000003</v>
      </c>
      <c r="GX14" s="118">
        <f t="shared" si="35"/>
        <v>631624.45900000003</v>
      </c>
      <c r="GY14" s="118">
        <f t="shared" si="35"/>
        <v>631624.45900000003</v>
      </c>
      <c r="GZ14" s="118">
        <f t="shared" si="35"/>
        <v>631624.45900000003</v>
      </c>
      <c r="HA14" s="118">
        <f t="shared" si="35"/>
        <v>631624.45900000003</v>
      </c>
      <c r="HB14" s="118">
        <f t="shared" si="35"/>
        <v>631624.45900000003</v>
      </c>
      <c r="HC14" s="118">
        <f t="shared" si="35"/>
        <v>631624.45900000003</v>
      </c>
      <c r="HD14" s="118">
        <f t="shared" si="35"/>
        <v>631624.45900000003</v>
      </c>
      <c r="HE14" s="118">
        <f t="shared" si="35"/>
        <v>631624.45900000003</v>
      </c>
      <c r="HF14" s="118">
        <f t="shared" si="35"/>
        <v>631624.45900000003</v>
      </c>
      <c r="HG14" s="118">
        <f t="shared" si="35"/>
        <v>631624.45900000003</v>
      </c>
      <c r="HH14" s="118">
        <f t="shared" si="35"/>
        <v>631624.45900000003</v>
      </c>
      <c r="HI14" s="118">
        <f t="shared" si="35"/>
        <v>631624.45900000003</v>
      </c>
      <c r="HJ14" s="118">
        <f t="shared" si="35"/>
        <v>631624.45900000003</v>
      </c>
      <c r="HK14" s="118">
        <f t="shared" si="35"/>
        <v>631624.45900000003</v>
      </c>
      <c r="HL14" s="118">
        <f t="shared" si="35"/>
        <v>631624.45900000003</v>
      </c>
      <c r="HM14" s="118">
        <f t="shared" si="35"/>
        <v>631624.45900000003</v>
      </c>
      <c r="HN14" s="118">
        <f t="shared" si="35"/>
        <v>631624.45900000003</v>
      </c>
      <c r="HO14" s="118">
        <f t="shared" si="35"/>
        <v>631624.45900000003</v>
      </c>
      <c r="HP14" s="118">
        <f t="shared" si="35"/>
        <v>631624.45900000003</v>
      </c>
      <c r="HQ14" s="118">
        <f t="shared" si="35"/>
        <v>631624.45900000003</v>
      </c>
      <c r="HR14" s="118">
        <f t="shared" si="35"/>
        <v>631624.45900000003</v>
      </c>
      <c r="HS14" s="118">
        <f t="shared" si="35"/>
        <v>631624.45900000003</v>
      </c>
      <c r="HT14" s="118">
        <f t="shared" si="35"/>
        <v>631624.45900000003</v>
      </c>
      <c r="HU14" s="118">
        <f t="shared" si="35"/>
        <v>631624.45900000003</v>
      </c>
      <c r="HV14" s="118">
        <f t="shared" si="35"/>
        <v>631624.45900000003</v>
      </c>
      <c r="HW14" s="118">
        <f t="shared" si="35"/>
        <v>631624.45900000003</v>
      </c>
      <c r="HX14" s="118">
        <f t="shared" si="35"/>
        <v>631624.45900000003</v>
      </c>
      <c r="HY14" s="118">
        <f t="shared" si="35"/>
        <v>631624.45900000003</v>
      </c>
      <c r="HZ14" s="118">
        <f t="shared" si="35"/>
        <v>631624.45900000003</v>
      </c>
      <c r="IA14" s="118">
        <f t="shared" si="35"/>
        <v>631624.45900000003</v>
      </c>
      <c r="IB14" s="118">
        <f t="shared" si="35"/>
        <v>631624.45900000003</v>
      </c>
      <c r="IC14" s="118">
        <f t="shared" si="35"/>
        <v>631624.45900000003</v>
      </c>
      <c r="ID14" s="118">
        <f t="shared" si="35"/>
        <v>631624.45900000003</v>
      </c>
      <c r="IE14" s="118">
        <f t="shared" si="35"/>
        <v>631624.45900000003</v>
      </c>
      <c r="IF14" s="118">
        <f t="shared" si="35"/>
        <v>631624.45900000003</v>
      </c>
      <c r="IG14" s="118">
        <f t="shared" si="35"/>
        <v>631624.45900000003</v>
      </c>
      <c r="IH14" s="118">
        <f t="shared" si="35"/>
        <v>631624.45900000003</v>
      </c>
      <c r="II14" s="118">
        <f t="shared" si="35"/>
        <v>631624.45900000003</v>
      </c>
      <c r="IJ14" s="118">
        <f t="shared" si="35"/>
        <v>631624.45900000003</v>
      </c>
      <c r="IK14" s="118">
        <f t="shared" si="35"/>
        <v>631624.45900000003</v>
      </c>
      <c r="IL14" s="118">
        <f t="shared" si="35"/>
        <v>631624.45900000003</v>
      </c>
      <c r="IM14" s="118">
        <f t="shared" si="35"/>
        <v>631624.45900000003</v>
      </c>
      <c r="IN14" s="118">
        <f t="shared" si="35"/>
        <v>631624.45900000003</v>
      </c>
      <c r="IO14" s="118">
        <f t="shared" si="35"/>
        <v>631624.45900000003</v>
      </c>
      <c r="IP14" s="118">
        <f t="shared" si="35"/>
        <v>631624.45900000003</v>
      </c>
      <c r="IQ14" s="118">
        <f t="shared" si="35"/>
        <v>631624.45900000003</v>
      </c>
      <c r="IR14" s="118">
        <f t="shared" si="35"/>
        <v>631624.45900000003</v>
      </c>
      <c r="IS14" s="118">
        <f t="shared" si="35"/>
        <v>631624.45900000003</v>
      </c>
      <c r="IT14" s="118">
        <f t="shared" si="35"/>
        <v>631624.45900000003</v>
      </c>
      <c r="IU14" s="118">
        <f t="shared" si="35"/>
        <v>631624.45900000003</v>
      </c>
      <c r="IV14" s="118">
        <f t="shared" si="35"/>
        <v>631624.45900000003</v>
      </c>
      <c r="IW14" s="118">
        <f t="shared" si="35"/>
        <v>631624.45900000003</v>
      </c>
      <c r="IX14" s="118">
        <f t="shared" si="35"/>
        <v>631624.45900000003</v>
      </c>
      <c r="IY14" s="118">
        <f t="shared" si="35"/>
        <v>631624.45900000003</v>
      </c>
      <c r="IZ14" s="118">
        <f t="shared" si="35"/>
        <v>631624.45900000003</v>
      </c>
      <c r="JA14" s="118">
        <f t="shared" si="35"/>
        <v>631624.45900000003</v>
      </c>
      <c r="JB14" s="118">
        <f t="shared" si="35"/>
        <v>631624.45900000003</v>
      </c>
      <c r="JC14" s="118">
        <f t="shared" si="35"/>
        <v>631624.45900000003</v>
      </c>
      <c r="JD14" s="118">
        <f t="shared" si="35"/>
        <v>631624.45900000003</v>
      </c>
      <c r="JE14" s="118">
        <f t="shared" ref="JE14:KF14" si="36">JE10-JE12</f>
        <v>631624.45900000003</v>
      </c>
      <c r="JF14" s="118">
        <f t="shared" si="36"/>
        <v>631624.45900000003</v>
      </c>
      <c r="JG14" s="118">
        <f t="shared" si="36"/>
        <v>631624.45900000003</v>
      </c>
      <c r="JH14" s="118">
        <f t="shared" si="36"/>
        <v>631624.45900000003</v>
      </c>
      <c r="JI14" s="118">
        <f t="shared" si="36"/>
        <v>631624.45900000003</v>
      </c>
      <c r="JJ14" s="118">
        <f t="shared" si="36"/>
        <v>631624.45900000003</v>
      </c>
      <c r="JK14" s="118">
        <f t="shared" si="36"/>
        <v>631624.45900000003</v>
      </c>
      <c r="JL14" s="118">
        <f t="shared" si="36"/>
        <v>631624.45900000003</v>
      </c>
      <c r="JM14" s="118">
        <f t="shared" si="36"/>
        <v>631624.45900000003</v>
      </c>
      <c r="JN14" s="118">
        <f t="shared" si="36"/>
        <v>631624.45900000003</v>
      </c>
      <c r="JO14" s="118">
        <f t="shared" si="36"/>
        <v>631624.45900000003</v>
      </c>
      <c r="JP14" s="118">
        <f t="shared" si="36"/>
        <v>631624.45900000003</v>
      </c>
      <c r="JQ14" s="118">
        <f t="shared" si="36"/>
        <v>631624.45900000003</v>
      </c>
      <c r="JR14" s="118">
        <f t="shared" si="36"/>
        <v>631624.45900000003</v>
      </c>
      <c r="JS14" s="118">
        <f t="shared" si="36"/>
        <v>631624.45900000003</v>
      </c>
      <c r="JT14" s="118">
        <f t="shared" si="36"/>
        <v>631624.45900000003</v>
      </c>
      <c r="JU14" s="118">
        <f t="shared" si="36"/>
        <v>631624.45900000003</v>
      </c>
      <c r="JV14" s="118">
        <f t="shared" si="36"/>
        <v>631624.45900000003</v>
      </c>
      <c r="JW14" s="118">
        <f t="shared" si="36"/>
        <v>631624.45900000003</v>
      </c>
      <c r="JX14" s="118">
        <f t="shared" si="36"/>
        <v>631624.45900000003</v>
      </c>
      <c r="JY14" s="118">
        <f t="shared" si="36"/>
        <v>631624.45900000003</v>
      </c>
      <c r="JZ14" s="118">
        <f t="shared" si="36"/>
        <v>631624.45900000003</v>
      </c>
      <c r="KA14" s="118">
        <f t="shared" si="36"/>
        <v>631624.45900000003</v>
      </c>
      <c r="KB14" s="118">
        <f t="shared" si="36"/>
        <v>631624.45900000003</v>
      </c>
      <c r="KC14" s="118">
        <f t="shared" si="36"/>
        <v>631624.45900000003</v>
      </c>
      <c r="KD14" s="118">
        <f t="shared" si="36"/>
        <v>631624.45900000003</v>
      </c>
      <c r="KE14" s="118">
        <f t="shared" si="36"/>
        <v>631624.45900000003</v>
      </c>
      <c r="KF14" s="118">
        <f t="shared" si="36"/>
        <v>631624.45900000003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53"/>
      <c r="B17" s="106" t="s">
        <v>426</v>
      </c>
      <c r="C17" s="275">
        <f>C3-D17</f>
        <v>0.36554705328308046</v>
      </c>
      <c r="D17" s="107">
        <f>SUM(F17:KF17)</f>
        <v>2077435.9144529467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315219.01516162173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3"/>
      <c r="B18" s="106" t="s">
        <v>427</v>
      </c>
      <c r="C18" s="275">
        <f>D17-D18</f>
        <v>0</v>
      </c>
      <c r="D18" s="107">
        <f>MAX(F18:KF18)</f>
        <v>2077435.9144529467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2077435.9144529467</v>
      </c>
      <c r="AB18" s="125">
        <f t="shared" si="37"/>
        <v>2077435.9144529467</v>
      </c>
      <c r="AC18" s="125">
        <f t="shared" si="37"/>
        <v>2077435.9144529467</v>
      </c>
      <c r="AD18" s="125">
        <f>AC18+AD17</f>
        <v>2077435.9144529467</v>
      </c>
      <c r="AE18" s="125">
        <f t="shared" si="37"/>
        <v>2077435.9144529467</v>
      </c>
      <c r="AF18" s="125">
        <f t="shared" si="37"/>
        <v>2077435.9144529467</v>
      </c>
      <c r="AG18" s="125">
        <f t="shared" si="37"/>
        <v>2077435.9144529467</v>
      </c>
      <c r="AH18" s="125">
        <f t="shared" si="37"/>
        <v>2077435.9144529467</v>
      </c>
      <c r="AI18" s="125">
        <f t="shared" si="37"/>
        <v>2077435.9144529467</v>
      </c>
      <c r="AJ18" s="125">
        <f t="shared" si="37"/>
        <v>2077435.9144529467</v>
      </c>
      <c r="AK18" s="125">
        <f t="shared" si="37"/>
        <v>2077435.9144529467</v>
      </c>
      <c r="AL18" s="125">
        <f t="shared" si="37"/>
        <v>2077435.9144529467</v>
      </c>
      <c r="AM18" s="125">
        <f t="shared" si="37"/>
        <v>2077435.9144529467</v>
      </c>
      <c r="AN18" s="125">
        <f t="shared" si="37"/>
        <v>2077435.9144529467</v>
      </c>
      <c r="AO18" s="125">
        <f t="shared" si="37"/>
        <v>2077435.9144529467</v>
      </c>
      <c r="AP18" s="125">
        <f t="shared" si="37"/>
        <v>2077435.9144529467</v>
      </c>
      <c r="AQ18" s="125">
        <f t="shared" si="37"/>
        <v>2077435.9144529467</v>
      </c>
      <c r="AR18" s="125">
        <f t="shared" si="37"/>
        <v>2077435.9144529467</v>
      </c>
      <c r="AS18" s="125">
        <f t="shared" si="37"/>
        <v>2077435.9144529467</v>
      </c>
      <c r="AT18" s="125">
        <f t="shared" si="37"/>
        <v>2077435.9144529467</v>
      </c>
      <c r="AU18" s="125">
        <f t="shared" si="37"/>
        <v>2077435.9144529467</v>
      </c>
      <c r="AV18" s="125">
        <f t="shared" si="37"/>
        <v>2077435.9144529467</v>
      </c>
      <c r="AW18" s="125">
        <f t="shared" si="37"/>
        <v>2077435.9144529467</v>
      </c>
      <c r="AX18" s="125">
        <f t="shared" si="37"/>
        <v>2077435.9144529467</v>
      </c>
      <c r="AY18" s="125">
        <f t="shared" si="37"/>
        <v>2077435.9144529467</v>
      </c>
      <c r="AZ18" s="125">
        <f t="shared" si="37"/>
        <v>2077435.9144529467</v>
      </c>
      <c r="BA18" s="125">
        <f t="shared" si="37"/>
        <v>2077435.9144529467</v>
      </c>
      <c r="BB18" s="125">
        <f t="shared" si="37"/>
        <v>2077435.9144529467</v>
      </c>
      <c r="BC18" s="125">
        <f t="shared" si="37"/>
        <v>2077435.9144529467</v>
      </c>
      <c r="BD18" s="125">
        <f t="shared" si="37"/>
        <v>2077435.9144529467</v>
      </c>
      <c r="BE18" s="125">
        <f t="shared" si="37"/>
        <v>2077435.9144529467</v>
      </c>
      <c r="BF18" s="125">
        <f t="shared" si="37"/>
        <v>2077435.9144529467</v>
      </c>
      <c r="BG18" s="125">
        <f t="shared" si="37"/>
        <v>2077435.9144529467</v>
      </c>
      <c r="BH18" s="125">
        <f t="shared" si="37"/>
        <v>2077435.9144529467</v>
      </c>
      <c r="BI18" s="125">
        <f t="shared" si="37"/>
        <v>2077435.9144529467</v>
      </c>
      <c r="BJ18" s="125">
        <f t="shared" si="37"/>
        <v>2077435.9144529467</v>
      </c>
      <c r="BK18" s="125">
        <f t="shared" si="37"/>
        <v>2077435.9144529467</v>
      </c>
      <c r="BL18" s="125">
        <f t="shared" si="37"/>
        <v>2077435.9144529467</v>
      </c>
      <c r="BM18" s="125">
        <f t="shared" si="37"/>
        <v>2077435.9144529467</v>
      </c>
      <c r="BN18" s="125">
        <f t="shared" si="37"/>
        <v>2077435.9144529467</v>
      </c>
      <c r="BO18" s="125">
        <f t="shared" si="37"/>
        <v>2077435.9144529467</v>
      </c>
      <c r="BP18" s="125">
        <f t="shared" si="37"/>
        <v>2077435.9144529467</v>
      </c>
      <c r="BQ18" s="125">
        <f t="shared" si="37"/>
        <v>2077435.9144529467</v>
      </c>
      <c r="BR18" s="125">
        <f t="shared" si="37"/>
        <v>2077435.9144529467</v>
      </c>
      <c r="BS18" s="125">
        <f t="shared" si="37"/>
        <v>2077435.9144529467</v>
      </c>
      <c r="BT18" s="125">
        <f t="shared" si="37"/>
        <v>2077435.9144529467</v>
      </c>
      <c r="BU18" s="125">
        <f t="shared" ref="BU18:EF18" si="38">BT18+BU17</f>
        <v>2077435.9144529467</v>
      </c>
      <c r="BV18" s="125">
        <f t="shared" si="38"/>
        <v>2077435.9144529467</v>
      </c>
      <c r="BW18" s="125">
        <f t="shared" si="38"/>
        <v>2077435.9144529467</v>
      </c>
      <c r="BX18" s="125">
        <f t="shared" si="38"/>
        <v>2077435.9144529467</v>
      </c>
      <c r="BY18" s="125">
        <f t="shared" si="38"/>
        <v>2077435.9144529467</v>
      </c>
      <c r="BZ18" s="125">
        <f t="shared" si="38"/>
        <v>2077435.9144529467</v>
      </c>
      <c r="CA18" s="125">
        <f t="shared" si="38"/>
        <v>2077435.9144529467</v>
      </c>
      <c r="CB18" s="125">
        <f t="shared" si="38"/>
        <v>2077435.9144529467</v>
      </c>
      <c r="CC18" s="125">
        <f t="shared" si="38"/>
        <v>2077435.9144529467</v>
      </c>
      <c r="CD18" s="125">
        <f t="shared" si="38"/>
        <v>2077435.9144529467</v>
      </c>
      <c r="CE18" s="125">
        <f t="shared" si="38"/>
        <v>2077435.9144529467</v>
      </c>
      <c r="CF18" s="125">
        <f t="shared" si="38"/>
        <v>2077435.9144529467</v>
      </c>
      <c r="CG18" s="125">
        <f t="shared" si="38"/>
        <v>2077435.9144529467</v>
      </c>
      <c r="CH18" s="125">
        <f t="shared" si="38"/>
        <v>2077435.9144529467</v>
      </c>
      <c r="CI18" s="125">
        <f t="shared" si="38"/>
        <v>2077435.9144529467</v>
      </c>
      <c r="CJ18" s="125">
        <f t="shared" si="38"/>
        <v>2077435.9144529467</v>
      </c>
      <c r="CK18" s="125">
        <f t="shared" si="38"/>
        <v>2077435.9144529467</v>
      </c>
      <c r="CL18" s="125">
        <f t="shared" si="38"/>
        <v>2077435.9144529467</v>
      </c>
      <c r="CM18" s="125">
        <f t="shared" si="38"/>
        <v>2077435.9144529467</v>
      </c>
      <c r="CN18" s="125">
        <f t="shared" si="38"/>
        <v>2077435.9144529467</v>
      </c>
      <c r="CO18" s="125">
        <f t="shared" si="38"/>
        <v>2077435.9144529467</v>
      </c>
      <c r="CP18" s="125">
        <f t="shared" si="38"/>
        <v>2077435.9144529467</v>
      </c>
      <c r="CQ18" s="125">
        <f t="shared" si="38"/>
        <v>2077435.9144529467</v>
      </c>
      <c r="CR18" s="125">
        <f t="shared" si="38"/>
        <v>2077435.9144529467</v>
      </c>
      <c r="CS18" s="125">
        <f t="shared" si="38"/>
        <v>2077435.9144529467</v>
      </c>
      <c r="CT18" s="125">
        <f t="shared" si="38"/>
        <v>2077435.9144529467</v>
      </c>
      <c r="CU18" s="125">
        <f t="shared" si="38"/>
        <v>2077435.9144529467</v>
      </c>
      <c r="CV18" s="125">
        <f t="shared" si="38"/>
        <v>2077435.9144529467</v>
      </c>
      <c r="CW18" s="125">
        <f t="shared" si="38"/>
        <v>2077435.9144529467</v>
      </c>
      <c r="CX18" s="125">
        <f t="shared" si="38"/>
        <v>2077435.9144529467</v>
      </c>
      <c r="CY18" s="125">
        <f t="shared" si="38"/>
        <v>2077435.9144529467</v>
      </c>
      <c r="CZ18" s="125">
        <f t="shared" si="38"/>
        <v>2077435.9144529467</v>
      </c>
      <c r="DA18" s="125">
        <f t="shared" si="38"/>
        <v>2077435.9144529467</v>
      </c>
      <c r="DB18" s="125">
        <f t="shared" si="38"/>
        <v>2077435.9144529467</v>
      </c>
      <c r="DC18" s="125">
        <f t="shared" si="38"/>
        <v>2077435.9144529467</v>
      </c>
      <c r="DD18" s="125">
        <f t="shared" si="38"/>
        <v>2077435.9144529467</v>
      </c>
      <c r="DE18" s="125">
        <f t="shared" si="38"/>
        <v>2077435.9144529467</v>
      </c>
      <c r="DF18" s="125">
        <f t="shared" si="38"/>
        <v>2077435.9144529467</v>
      </c>
      <c r="DG18" s="125">
        <f t="shared" si="38"/>
        <v>2077435.9144529467</v>
      </c>
      <c r="DH18" s="125">
        <f t="shared" si="38"/>
        <v>2077435.9144529467</v>
      </c>
      <c r="DI18" s="125">
        <f t="shared" si="38"/>
        <v>2077435.9144529467</v>
      </c>
      <c r="DJ18" s="125">
        <f t="shared" si="38"/>
        <v>2077435.9144529467</v>
      </c>
      <c r="DK18" s="125">
        <f t="shared" si="38"/>
        <v>2077435.9144529467</v>
      </c>
      <c r="DL18" s="125">
        <f t="shared" si="38"/>
        <v>2077435.9144529467</v>
      </c>
      <c r="DM18" s="125">
        <f t="shared" si="38"/>
        <v>2077435.9144529467</v>
      </c>
      <c r="DN18" s="125">
        <f t="shared" si="38"/>
        <v>2077435.9144529467</v>
      </c>
      <c r="DO18" s="125">
        <f t="shared" si="38"/>
        <v>2077435.9144529467</v>
      </c>
      <c r="DP18" s="125">
        <f t="shared" si="38"/>
        <v>2077435.9144529467</v>
      </c>
      <c r="DQ18" s="125">
        <f t="shared" si="38"/>
        <v>2077435.9144529467</v>
      </c>
      <c r="DR18" s="125">
        <f t="shared" si="38"/>
        <v>2077435.9144529467</v>
      </c>
      <c r="DS18" s="125">
        <f t="shared" si="38"/>
        <v>2077435.9144529467</v>
      </c>
      <c r="DT18" s="125">
        <f t="shared" si="38"/>
        <v>2077435.9144529467</v>
      </c>
      <c r="DU18" s="125">
        <f t="shared" si="38"/>
        <v>2077435.9144529467</v>
      </c>
      <c r="DV18" s="125">
        <f t="shared" si="38"/>
        <v>2077435.9144529467</v>
      </c>
      <c r="DW18" s="125">
        <f t="shared" si="38"/>
        <v>2077435.9144529467</v>
      </c>
      <c r="DX18" s="125">
        <f t="shared" si="38"/>
        <v>2077435.9144529467</v>
      </c>
      <c r="DY18" s="125">
        <f t="shared" si="38"/>
        <v>2077435.9144529467</v>
      </c>
      <c r="DZ18" s="125">
        <f t="shared" si="38"/>
        <v>2077435.9144529467</v>
      </c>
      <c r="EA18" s="125">
        <f t="shared" si="38"/>
        <v>2077435.9144529467</v>
      </c>
      <c r="EB18" s="125">
        <f t="shared" si="38"/>
        <v>2077435.9144529467</v>
      </c>
      <c r="EC18" s="125">
        <f t="shared" si="38"/>
        <v>2077435.9144529467</v>
      </c>
      <c r="ED18" s="125">
        <f t="shared" si="38"/>
        <v>2077435.9144529467</v>
      </c>
      <c r="EE18" s="125">
        <f t="shared" si="38"/>
        <v>2077435.9144529467</v>
      </c>
      <c r="EF18" s="125">
        <f t="shared" si="38"/>
        <v>2077435.9144529467</v>
      </c>
      <c r="EG18" s="125">
        <f t="shared" ref="EG18:GR18" si="39">EF18+EG17</f>
        <v>2077435.9144529467</v>
      </c>
      <c r="EH18" s="125">
        <f t="shared" si="39"/>
        <v>2077435.9144529467</v>
      </c>
      <c r="EI18" s="125">
        <f t="shared" si="39"/>
        <v>2077435.9144529467</v>
      </c>
      <c r="EJ18" s="125">
        <f t="shared" si="39"/>
        <v>2077435.9144529467</v>
      </c>
      <c r="EK18" s="125">
        <f t="shared" si="39"/>
        <v>2077435.9144529467</v>
      </c>
      <c r="EL18" s="125">
        <f t="shared" si="39"/>
        <v>2077435.9144529467</v>
      </c>
      <c r="EM18" s="125">
        <f t="shared" si="39"/>
        <v>2077435.9144529467</v>
      </c>
      <c r="EN18" s="125">
        <f t="shared" si="39"/>
        <v>2077435.9144529467</v>
      </c>
      <c r="EO18" s="125">
        <f t="shared" si="39"/>
        <v>2077435.9144529467</v>
      </c>
      <c r="EP18" s="125">
        <f t="shared" si="39"/>
        <v>2077435.9144529467</v>
      </c>
      <c r="EQ18" s="125">
        <f t="shared" si="39"/>
        <v>2077435.9144529467</v>
      </c>
      <c r="ER18" s="125">
        <f t="shared" si="39"/>
        <v>2077435.9144529467</v>
      </c>
      <c r="ES18" s="125">
        <f t="shared" si="39"/>
        <v>2077435.9144529467</v>
      </c>
      <c r="ET18" s="125">
        <f t="shared" si="39"/>
        <v>2077435.9144529467</v>
      </c>
      <c r="EU18" s="125">
        <f t="shared" si="39"/>
        <v>2077435.9144529467</v>
      </c>
      <c r="EV18" s="125">
        <f t="shared" si="39"/>
        <v>2077435.9144529467</v>
      </c>
      <c r="EW18" s="125">
        <f t="shared" si="39"/>
        <v>2077435.9144529467</v>
      </c>
      <c r="EX18" s="125">
        <f t="shared" si="39"/>
        <v>2077435.9144529467</v>
      </c>
      <c r="EY18" s="125">
        <f t="shared" si="39"/>
        <v>2077435.9144529467</v>
      </c>
      <c r="EZ18" s="125">
        <f t="shared" si="39"/>
        <v>2077435.9144529467</v>
      </c>
      <c r="FA18" s="125">
        <f t="shared" si="39"/>
        <v>2077435.9144529467</v>
      </c>
      <c r="FB18" s="125">
        <f t="shared" si="39"/>
        <v>2077435.9144529467</v>
      </c>
      <c r="FC18" s="125">
        <f t="shared" si="39"/>
        <v>2077435.9144529467</v>
      </c>
      <c r="FD18" s="125">
        <f t="shared" si="39"/>
        <v>2077435.9144529467</v>
      </c>
      <c r="FE18" s="125">
        <f t="shared" si="39"/>
        <v>2077435.9144529467</v>
      </c>
      <c r="FF18" s="125">
        <f t="shared" si="39"/>
        <v>2077435.9144529467</v>
      </c>
      <c r="FG18" s="125">
        <f t="shared" si="39"/>
        <v>2077435.9144529467</v>
      </c>
      <c r="FH18" s="125">
        <f t="shared" si="39"/>
        <v>2077435.9144529467</v>
      </c>
      <c r="FI18" s="125">
        <f t="shared" si="39"/>
        <v>2077435.9144529467</v>
      </c>
      <c r="FJ18" s="125">
        <f t="shared" si="39"/>
        <v>2077435.9144529467</v>
      </c>
      <c r="FK18" s="125">
        <f t="shared" si="39"/>
        <v>2077435.9144529467</v>
      </c>
      <c r="FL18" s="125">
        <f t="shared" si="39"/>
        <v>2077435.9144529467</v>
      </c>
      <c r="FM18" s="125">
        <f t="shared" si="39"/>
        <v>2077435.9144529467</v>
      </c>
      <c r="FN18" s="125">
        <f t="shared" si="39"/>
        <v>2077435.9144529467</v>
      </c>
      <c r="FO18" s="125">
        <f t="shared" si="39"/>
        <v>2077435.9144529467</v>
      </c>
      <c r="FP18" s="125">
        <f t="shared" si="39"/>
        <v>2077435.9144529467</v>
      </c>
      <c r="FQ18" s="125">
        <f t="shared" si="39"/>
        <v>2077435.9144529467</v>
      </c>
      <c r="FR18" s="125">
        <f t="shared" si="39"/>
        <v>2077435.9144529467</v>
      </c>
      <c r="FS18" s="125">
        <f t="shared" si="39"/>
        <v>2077435.9144529467</v>
      </c>
      <c r="FT18" s="125">
        <f t="shared" si="39"/>
        <v>2077435.9144529467</v>
      </c>
      <c r="FU18" s="125">
        <f t="shared" si="39"/>
        <v>2077435.9144529467</v>
      </c>
      <c r="FV18" s="125">
        <f t="shared" si="39"/>
        <v>2077435.9144529467</v>
      </c>
      <c r="FW18" s="125">
        <f t="shared" si="39"/>
        <v>2077435.9144529467</v>
      </c>
      <c r="FX18" s="125">
        <f t="shared" si="39"/>
        <v>2077435.9144529467</v>
      </c>
      <c r="FY18" s="125">
        <f t="shared" si="39"/>
        <v>2077435.9144529467</v>
      </c>
      <c r="FZ18" s="125">
        <f t="shared" si="39"/>
        <v>2077435.9144529467</v>
      </c>
      <c r="GA18" s="125">
        <f t="shared" si="39"/>
        <v>2077435.9144529467</v>
      </c>
      <c r="GB18" s="125">
        <f t="shared" si="39"/>
        <v>2077435.9144529467</v>
      </c>
      <c r="GC18" s="125">
        <f t="shared" si="39"/>
        <v>2077435.9144529467</v>
      </c>
      <c r="GD18" s="125">
        <f t="shared" si="39"/>
        <v>2077435.9144529467</v>
      </c>
      <c r="GE18" s="125">
        <f t="shared" si="39"/>
        <v>2077435.9144529467</v>
      </c>
      <c r="GF18" s="125">
        <f t="shared" si="39"/>
        <v>2077435.9144529467</v>
      </c>
      <c r="GG18" s="125">
        <f t="shared" si="39"/>
        <v>2077435.9144529467</v>
      </c>
      <c r="GH18" s="125">
        <f t="shared" si="39"/>
        <v>2077435.9144529467</v>
      </c>
      <c r="GI18" s="125">
        <f t="shared" si="39"/>
        <v>2077435.9144529467</v>
      </c>
      <c r="GJ18" s="125">
        <f t="shared" si="39"/>
        <v>2077435.9144529467</v>
      </c>
      <c r="GK18" s="125">
        <f t="shared" si="39"/>
        <v>2077435.9144529467</v>
      </c>
      <c r="GL18" s="125">
        <f t="shared" si="39"/>
        <v>2077435.9144529467</v>
      </c>
      <c r="GM18" s="125">
        <f t="shared" si="39"/>
        <v>2077435.9144529467</v>
      </c>
      <c r="GN18" s="125">
        <f t="shared" si="39"/>
        <v>2077435.9144529467</v>
      </c>
      <c r="GO18" s="125">
        <f t="shared" si="39"/>
        <v>2077435.9144529467</v>
      </c>
      <c r="GP18" s="125">
        <f t="shared" si="39"/>
        <v>2077435.9144529467</v>
      </c>
      <c r="GQ18" s="125">
        <f t="shared" si="39"/>
        <v>2077435.9144529467</v>
      </c>
      <c r="GR18" s="125">
        <f t="shared" si="39"/>
        <v>2077435.9144529467</v>
      </c>
      <c r="GS18" s="125">
        <f t="shared" ref="GS18:JD18" si="40">GR18+GS17</f>
        <v>2077435.9144529467</v>
      </c>
      <c r="GT18" s="125">
        <f t="shared" si="40"/>
        <v>2077435.9144529467</v>
      </c>
      <c r="GU18" s="125">
        <f t="shared" si="40"/>
        <v>2077435.9144529467</v>
      </c>
      <c r="GV18" s="125">
        <f t="shared" si="40"/>
        <v>2077435.9144529467</v>
      </c>
      <c r="GW18" s="125">
        <f t="shared" si="40"/>
        <v>2077435.9144529467</v>
      </c>
      <c r="GX18" s="125">
        <f t="shared" si="40"/>
        <v>2077435.9144529467</v>
      </c>
      <c r="GY18" s="125">
        <f t="shared" si="40"/>
        <v>2077435.9144529467</v>
      </c>
      <c r="GZ18" s="125">
        <f t="shared" si="40"/>
        <v>2077435.9144529467</v>
      </c>
      <c r="HA18" s="125">
        <f t="shared" si="40"/>
        <v>2077435.9144529467</v>
      </c>
      <c r="HB18" s="125">
        <f t="shared" si="40"/>
        <v>2077435.9144529467</v>
      </c>
      <c r="HC18" s="125">
        <f t="shared" si="40"/>
        <v>2077435.9144529467</v>
      </c>
      <c r="HD18" s="125">
        <f t="shared" si="40"/>
        <v>2077435.9144529467</v>
      </c>
      <c r="HE18" s="125">
        <f t="shared" si="40"/>
        <v>2077435.9144529467</v>
      </c>
      <c r="HF18" s="125">
        <f t="shared" si="40"/>
        <v>2077435.9144529467</v>
      </c>
      <c r="HG18" s="125">
        <f t="shared" si="40"/>
        <v>2077435.9144529467</v>
      </c>
      <c r="HH18" s="125">
        <f t="shared" si="40"/>
        <v>2077435.9144529467</v>
      </c>
      <c r="HI18" s="125">
        <f t="shared" si="40"/>
        <v>2077435.9144529467</v>
      </c>
      <c r="HJ18" s="125">
        <f t="shared" si="40"/>
        <v>2077435.9144529467</v>
      </c>
      <c r="HK18" s="125">
        <f t="shared" si="40"/>
        <v>2077435.9144529467</v>
      </c>
      <c r="HL18" s="125">
        <f t="shared" si="40"/>
        <v>2077435.9144529467</v>
      </c>
      <c r="HM18" s="125">
        <f t="shared" si="40"/>
        <v>2077435.9144529467</v>
      </c>
      <c r="HN18" s="125">
        <f t="shared" si="40"/>
        <v>2077435.9144529467</v>
      </c>
      <c r="HO18" s="125">
        <f t="shared" si="40"/>
        <v>2077435.9144529467</v>
      </c>
      <c r="HP18" s="125">
        <f t="shared" si="40"/>
        <v>2077435.9144529467</v>
      </c>
      <c r="HQ18" s="125">
        <f t="shared" si="40"/>
        <v>2077435.9144529467</v>
      </c>
      <c r="HR18" s="125">
        <f t="shared" si="40"/>
        <v>2077435.9144529467</v>
      </c>
      <c r="HS18" s="125">
        <f t="shared" si="40"/>
        <v>2077435.9144529467</v>
      </c>
      <c r="HT18" s="125">
        <f t="shared" si="40"/>
        <v>2077435.9144529467</v>
      </c>
      <c r="HU18" s="125">
        <f t="shared" si="40"/>
        <v>2077435.9144529467</v>
      </c>
      <c r="HV18" s="125">
        <f t="shared" si="40"/>
        <v>2077435.9144529467</v>
      </c>
      <c r="HW18" s="125">
        <f t="shared" si="40"/>
        <v>2077435.9144529467</v>
      </c>
      <c r="HX18" s="125">
        <f t="shared" si="40"/>
        <v>2077435.9144529467</v>
      </c>
      <c r="HY18" s="125">
        <f t="shared" si="40"/>
        <v>2077435.9144529467</v>
      </c>
      <c r="HZ18" s="125">
        <f t="shared" si="40"/>
        <v>2077435.9144529467</v>
      </c>
      <c r="IA18" s="125">
        <f t="shared" si="40"/>
        <v>2077435.9144529467</v>
      </c>
      <c r="IB18" s="125">
        <f t="shared" si="40"/>
        <v>2077435.9144529467</v>
      </c>
      <c r="IC18" s="125">
        <f t="shared" si="40"/>
        <v>2077435.9144529467</v>
      </c>
      <c r="ID18" s="125">
        <f t="shared" si="40"/>
        <v>2077435.9144529467</v>
      </c>
      <c r="IE18" s="125">
        <f t="shared" si="40"/>
        <v>2077435.9144529467</v>
      </c>
      <c r="IF18" s="125">
        <f t="shared" si="40"/>
        <v>2077435.9144529467</v>
      </c>
      <c r="IG18" s="125">
        <f t="shared" si="40"/>
        <v>2077435.9144529467</v>
      </c>
      <c r="IH18" s="125">
        <f t="shared" si="40"/>
        <v>2077435.9144529467</v>
      </c>
      <c r="II18" s="125">
        <f t="shared" si="40"/>
        <v>2077435.9144529467</v>
      </c>
      <c r="IJ18" s="125">
        <f t="shared" si="40"/>
        <v>2077435.9144529467</v>
      </c>
      <c r="IK18" s="125">
        <f t="shared" si="40"/>
        <v>2077435.9144529467</v>
      </c>
      <c r="IL18" s="125">
        <f t="shared" si="40"/>
        <v>2077435.9144529467</v>
      </c>
      <c r="IM18" s="125">
        <f t="shared" si="40"/>
        <v>2077435.9144529467</v>
      </c>
      <c r="IN18" s="125">
        <f t="shared" si="40"/>
        <v>2077435.9144529467</v>
      </c>
      <c r="IO18" s="125">
        <f t="shared" si="40"/>
        <v>2077435.9144529467</v>
      </c>
      <c r="IP18" s="125">
        <f t="shared" si="40"/>
        <v>2077435.9144529467</v>
      </c>
      <c r="IQ18" s="125">
        <f t="shared" si="40"/>
        <v>2077435.9144529467</v>
      </c>
      <c r="IR18" s="125">
        <f t="shared" si="40"/>
        <v>2077435.9144529467</v>
      </c>
      <c r="IS18" s="125">
        <f t="shared" si="40"/>
        <v>2077435.9144529467</v>
      </c>
      <c r="IT18" s="125">
        <f t="shared" si="40"/>
        <v>2077435.9144529467</v>
      </c>
      <c r="IU18" s="125">
        <f t="shared" si="40"/>
        <v>2077435.9144529467</v>
      </c>
      <c r="IV18" s="125">
        <f t="shared" si="40"/>
        <v>2077435.9144529467</v>
      </c>
      <c r="IW18" s="125">
        <f t="shared" si="40"/>
        <v>2077435.9144529467</v>
      </c>
      <c r="IX18" s="125">
        <f t="shared" si="40"/>
        <v>2077435.9144529467</v>
      </c>
      <c r="IY18" s="125">
        <f t="shared" si="40"/>
        <v>2077435.9144529467</v>
      </c>
      <c r="IZ18" s="125">
        <f t="shared" si="40"/>
        <v>2077435.9144529467</v>
      </c>
      <c r="JA18" s="125">
        <f t="shared" si="40"/>
        <v>2077435.9144529467</v>
      </c>
      <c r="JB18" s="125">
        <f t="shared" si="40"/>
        <v>2077435.9144529467</v>
      </c>
      <c r="JC18" s="125">
        <f t="shared" si="40"/>
        <v>2077435.9144529467</v>
      </c>
      <c r="JD18" s="125">
        <f t="shared" si="40"/>
        <v>2077435.9144529467</v>
      </c>
      <c r="JE18" s="125">
        <f t="shared" ref="JE18:KF18" si="41">JD18+JE17</f>
        <v>2077435.9144529467</v>
      </c>
      <c r="JF18" s="125">
        <f t="shared" si="41"/>
        <v>2077435.9144529467</v>
      </c>
      <c r="JG18" s="125">
        <f t="shared" si="41"/>
        <v>2077435.9144529467</v>
      </c>
      <c r="JH18" s="125">
        <f t="shared" si="41"/>
        <v>2077435.9144529467</v>
      </c>
      <c r="JI18" s="125">
        <f t="shared" si="41"/>
        <v>2077435.9144529467</v>
      </c>
      <c r="JJ18" s="125">
        <f t="shared" si="41"/>
        <v>2077435.9144529467</v>
      </c>
      <c r="JK18" s="125">
        <f t="shared" si="41"/>
        <v>2077435.9144529467</v>
      </c>
      <c r="JL18" s="125">
        <f t="shared" si="41"/>
        <v>2077435.9144529467</v>
      </c>
      <c r="JM18" s="125">
        <f t="shared" si="41"/>
        <v>2077435.9144529467</v>
      </c>
      <c r="JN18" s="125">
        <f t="shared" si="41"/>
        <v>2077435.9144529467</v>
      </c>
      <c r="JO18" s="125">
        <f t="shared" si="41"/>
        <v>2077435.9144529467</v>
      </c>
      <c r="JP18" s="125">
        <f t="shared" si="41"/>
        <v>2077435.9144529467</v>
      </c>
      <c r="JQ18" s="125">
        <f t="shared" si="41"/>
        <v>2077435.9144529467</v>
      </c>
      <c r="JR18" s="125">
        <f t="shared" si="41"/>
        <v>2077435.9144529467</v>
      </c>
      <c r="JS18" s="125">
        <f t="shared" si="41"/>
        <v>2077435.9144529467</v>
      </c>
      <c r="JT18" s="125">
        <f t="shared" si="41"/>
        <v>2077435.9144529467</v>
      </c>
      <c r="JU18" s="125">
        <f t="shared" si="41"/>
        <v>2077435.9144529467</v>
      </c>
      <c r="JV18" s="125">
        <f t="shared" si="41"/>
        <v>2077435.9144529467</v>
      </c>
      <c r="JW18" s="125">
        <f t="shared" si="41"/>
        <v>2077435.9144529467</v>
      </c>
      <c r="JX18" s="125">
        <f t="shared" si="41"/>
        <v>2077435.9144529467</v>
      </c>
      <c r="JY18" s="125">
        <f t="shared" si="41"/>
        <v>2077435.9144529467</v>
      </c>
      <c r="JZ18" s="125">
        <f t="shared" si="41"/>
        <v>2077435.9144529467</v>
      </c>
      <c r="KA18" s="125">
        <f t="shared" si="41"/>
        <v>2077435.9144529467</v>
      </c>
      <c r="KB18" s="125">
        <f t="shared" si="41"/>
        <v>2077435.9144529467</v>
      </c>
      <c r="KC18" s="125">
        <f t="shared" si="41"/>
        <v>2077435.9144529467</v>
      </c>
      <c r="KD18" s="125">
        <f t="shared" si="41"/>
        <v>2077435.9144529467</v>
      </c>
      <c r="KE18" s="125">
        <f t="shared" si="41"/>
        <v>2077435.9144529467</v>
      </c>
      <c r="KF18" s="125">
        <f t="shared" si="41"/>
        <v>2077435.9144529467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3" sqref="L13"/>
    </sheetView>
  </sheetViews>
  <sheetFormatPr defaultColWidth="12.54296875" defaultRowHeight="14.5"/>
  <cols>
    <col min="1" max="1" width="39.453125" style="269" bestFit="1" customWidth="1"/>
    <col min="2" max="2" width="17.36328125" style="270" bestFit="1" customWidth="1"/>
    <col min="3" max="3" width="13.36328125" style="269" bestFit="1" customWidth="1"/>
    <col min="4" max="4" width="14.90625" style="269" bestFit="1" customWidth="1"/>
    <col min="5" max="5" width="11.6328125" style="269" bestFit="1" customWidth="1"/>
    <col min="6" max="6" width="4.90625" style="269" bestFit="1" customWidth="1"/>
    <col min="7" max="7" width="13.36328125" style="269" bestFit="1" customWidth="1"/>
    <col min="8" max="8" width="14.90625" style="269" bestFit="1" customWidth="1"/>
    <col min="9" max="9" width="14.54296875" style="269" bestFit="1" customWidth="1"/>
    <col min="10" max="10" width="11.453125" style="269" bestFit="1" customWidth="1"/>
    <col min="11" max="11" width="13.54296875" style="269" bestFit="1" customWidth="1"/>
    <col min="12" max="12" width="6.453125" style="269" bestFit="1" customWidth="1"/>
    <col min="13" max="13" width="14.5429687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542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428</v>
      </c>
      <c r="B3" s="541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</v>
      </c>
      <c r="H8" s="272">
        <v>140894.99692850586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301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41482.044842810625</v>
      </c>
      <c r="H9" s="272">
        <v>258791.92789034886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20670.760064353675</v>
      </c>
      <c r="H14" s="272">
        <v>63170.998462839794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381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1097.4369984796763</v>
      </c>
      <c r="H17" s="272">
        <v>4860.9951166101191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315219.01516162173</v>
      </c>
      <c r="H21" s="272">
        <v>2077435.9144529458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15" sqref="G15"/>
    </sheetView>
  </sheetViews>
  <sheetFormatPr defaultColWidth="8.453125" defaultRowHeight="14.5"/>
  <cols>
    <col min="1" max="1" width="21.6328125" bestFit="1" customWidth="1"/>
    <col min="2" max="2" width="17.36328125" style="308" bestFit="1" customWidth="1"/>
    <col min="3" max="3" width="12" style="308" bestFit="1" customWidth="1"/>
    <col min="4" max="4" width="14.90625" style="308" bestFit="1" customWidth="1"/>
    <col min="5" max="5" width="12.08984375" style="308" bestFit="1" customWidth="1"/>
    <col min="6" max="6" width="12.54296875" style="308" bestFit="1" customWidth="1"/>
    <col min="7" max="7" width="13.36328125" style="308" bestFit="1" customWidth="1"/>
    <col min="8" max="8" width="14.90625" style="308" bestFit="1" customWidth="1"/>
    <col min="9" max="9" width="14.54296875" style="308" bestFit="1" customWidth="1"/>
    <col min="10" max="10" width="11.453125" bestFit="1" customWidth="1"/>
    <col min="11" max="11" width="13.54296875" bestFit="1" customWidth="1"/>
    <col min="12" max="12" width="10.36328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433</v>
      </c>
      <c r="B3" s="541" t="s">
        <v>429</v>
      </c>
      <c r="C3"/>
      <c r="D3"/>
      <c r="E3"/>
      <c r="F3"/>
      <c r="G3"/>
      <c r="H3"/>
      <c r="I3"/>
    </row>
    <row r="4" spans="1:9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</row>
    <row r="5" spans="1:9">
      <c r="A5" s="345" t="s">
        <v>431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263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276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287</v>
      </c>
      <c r="B8" s="347"/>
      <c r="C8" s="347"/>
      <c r="D8" s="347">
        <v>78119</v>
      </c>
      <c r="E8" s="347"/>
      <c r="F8" s="347"/>
      <c r="G8" s="347"/>
      <c r="H8" s="347">
        <v>78119</v>
      </c>
      <c r="I8"/>
    </row>
    <row r="9" spans="1:9">
      <c r="A9" s="345" t="s">
        <v>301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14935.66</v>
      </c>
      <c r="H9" s="347">
        <v>93178.37</v>
      </c>
      <c r="I9"/>
    </row>
    <row r="10" spans="1:9">
      <c r="A10" s="345" t="s">
        <v>326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344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351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360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363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35945.269999999997</v>
      </c>
      <c r="H14" s="347">
        <v>109850.75750000001</v>
      </c>
      <c r="I14"/>
    </row>
    <row r="15" spans="1:9">
      <c r="A15" s="345" t="s">
        <v>369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381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386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136.44999999999999</v>
      </c>
      <c r="H17" s="347">
        <v>3887.33</v>
      </c>
      <c r="I17"/>
    </row>
    <row r="18" spans="1:9">
      <c r="A18" s="345" t="s">
        <v>390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378</v>
      </c>
      <c r="B19" s="347"/>
      <c r="C19" s="347"/>
      <c r="D19" s="347"/>
      <c r="E19" s="347"/>
      <c r="F19" s="347"/>
      <c r="G19" s="347"/>
      <c r="H19" s="347"/>
      <c r="I19"/>
    </row>
    <row r="20" spans="1:9">
      <c r="A20" s="345" t="s">
        <v>349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432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221669.93600000002</v>
      </c>
      <c r="H21" s="347">
        <v>1501186.9010000003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3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>
        <v>46031</v>
      </c>
      <c r="D41" s="9" t="s">
        <v>454</v>
      </c>
    </row>
    <row r="42" spans="3:4">
      <c r="C42" s="15">
        <v>46032</v>
      </c>
      <c r="D42" s="9" t="s">
        <v>454</v>
      </c>
    </row>
    <row r="43" spans="3:4">
      <c r="C43" s="15">
        <v>46033</v>
      </c>
      <c r="D43" s="9" t="s">
        <v>454</v>
      </c>
    </row>
    <row r="44" spans="3:4">
      <c r="C44" s="15">
        <v>46034</v>
      </c>
      <c r="D44" s="9" t="s">
        <v>454</v>
      </c>
    </row>
    <row r="45" spans="3:4">
      <c r="C45" s="15">
        <v>46035</v>
      </c>
      <c r="D45" s="9" t="s">
        <v>454</v>
      </c>
    </row>
    <row r="46" spans="3:4">
      <c r="C46" s="15">
        <v>46036</v>
      </c>
      <c r="D46" s="9" t="s">
        <v>454</v>
      </c>
    </row>
    <row r="47" spans="3:4">
      <c r="C47" s="15">
        <v>46037</v>
      </c>
      <c r="D47" s="9" t="s">
        <v>454</v>
      </c>
    </row>
    <row r="48" spans="3:4">
      <c r="C48" s="15">
        <v>46038</v>
      </c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3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B061E421-C5D4-48B7-8607-E5C7FCDF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