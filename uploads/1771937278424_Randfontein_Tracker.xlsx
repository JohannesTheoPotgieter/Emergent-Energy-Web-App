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6" documentId="13_ncr:1_{3B35231D-DA94-4AE5-8A0D-043E43CA6186}" xr6:coauthVersionLast="47" xr6:coauthVersionMax="47" xr10:uidLastSave="{0E29245B-36BB-4182-B635-5168B865FEC5}"/>
  <bookViews>
    <workbookView xWindow="6705" yWindow="-16320" windowWidth="29040" windowHeight="15720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9" i="2" s="1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W101" i="18" s="1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T98" i="18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I46" i="2" l="1"/>
  <c r="W100" i="18"/>
  <c r="T100" i="18" s="1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W122" i="18"/>
  <c r="W68" i="18"/>
  <c r="W40" i="18"/>
  <c r="T101" i="18"/>
  <c r="K50" i="2"/>
  <c r="K46" i="2" s="1"/>
  <c r="W99" i="18"/>
  <c r="W121" i="18"/>
  <c r="N39" i="2"/>
  <c r="N21" i="2"/>
  <c r="N28" i="2"/>
  <c r="N35" i="2"/>
  <c r="N11" i="2"/>
  <c r="W39" i="18" l="1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T99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<sst xmlns="http://schemas.openxmlformats.org/spreadsheetml/2006/main" count="893" uniqueCount="511">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</sst>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-647584.39357722783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3.9296875" style="65" bestFit="1" customWidth="1"/>
    <col min="3" max="3" width="18.9296875" style="24" customWidth="1"/>
    <col min="4" max="4" width="13.19921875" style="70" customWidth="1"/>
    <col min="5" max="5" width="16.9296875" style="24" customWidth="1"/>
    <col min="6" max="6" width="18.1328125" style="24" customWidth="1"/>
    <col min="7" max="7" width="5.53125" style="24" bestFit="1" customWidth="1"/>
    <col min="8" max="8" width="20.19921875" style="24" bestFit="1" customWidth="1"/>
    <col min="9" max="9" width="2.9296875" style="24" customWidth="1"/>
    <col min="10" max="10" width="46.9296875" style="24" bestFit="1" customWidth="1"/>
    <col min="11" max="11" width="6.1992187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3.9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796875" customWidth="1"/>
    <col min="3" max="3" width="9.1328125" bestFit="1" customWidth="1"/>
    <col min="4" max="4" width="12.1328125" bestFit="1" customWidth="1"/>
    <col min="5" max="5" width="9.9296875" customWidth="1"/>
    <col min="6" max="6" width="33.86328125" customWidth="1"/>
  </cols>
  <sheetData>
    <row r="1" spans="2:10" ht="14.65" thickBot="1"/>
    <row r="2" spans="2:10" ht="15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69</v>
      </c>
      <c r="C16" s="742"/>
      <c r="D16" s="742"/>
      <c r="E16" s="742"/>
      <c r="F16" s="74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2" zoomScale="85" zoomScaleNormal="85" workbookViewId="0">
      <selection activeCell="O43" sqref="O43"/>
    </sheetView>
  </sheetViews>
  <sheetFormatPr defaultColWidth="8.19921875" defaultRowHeight="13.5"/>
  <cols>
    <col min="1" max="1" width="0.9296875" style="110" customWidth="1"/>
    <col min="2" max="2" width="6.19921875" style="169" bestFit="1" customWidth="1"/>
    <col min="3" max="3" width="50.59765625" style="24" bestFit="1" customWidth="1"/>
    <col min="4" max="4" width="2.9296875" style="110" customWidth="1"/>
    <col min="5" max="5" width="14.53125" style="24" customWidth="1"/>
    <col min="6" max="6" width="9.9296875" style="166" customWidth="1"/>
    <col min="7" max="7" width="13.59765625" style="64" customWidth="1"/>
    <col min="8" max="8" width="5" style="110" customWidth="1"/>
    <col min="9" max="9" width="13.19921875" style="110" customWidth="1"/>
    <col min="10" max="10" width="11.1328125" style="111" customWidth="1"/>
    <col min="11" max="11" width="14.53125" style="110" customWidth="1"/>
    <col min="12" max="12" width="2.1328125" style="110" customWidth="1"/>
    <col min="13" max="13" width="12.53125" style="110" customWidth="1"/>
    <col min="14" max="14" width="9.9296875" style="110" bestFit="1" customWidth="1"/>
    <col min="15" max="15" width="39.1328125" style="110" bestFit="1" customWidth="1"/>
    <col min="16" max="16" width="0.9296875" style="110" customWidth="1"/>
    <col min="17" max="17" width="5.53125" style="3" customWidth="1"/>
    <col min="18" max="25" width="8.19921875" style="110"/>
    <col min="26" max="16384" width="8.199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21" t="s">
        <v>73</v>
      </c>
      <c r="F2" s="722"/>
      <c r="G2" s="722"/>
      <c r="H2" s="723"/>
      <c r="K2" s="733" t="s">
        <v>509</v>
      </c>
      <c r="L2" s="734"/>
      <c r="M2" s="734"/>
      <c r="N2" s="734"/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734"/>
      <c r="L3" s="734"/>
      <c r="M3" s="734"/>
      <c r="N3" s="734"/>
      <c r="Q3" s="3"/>
    </row>
    <row r="4" spans="2:28" s="110" customFormat="1" ht="13.9">
      <c r="B4" s="177"/>
      <c r="C4" s="178" t="s">
        <v>75</v>
      </c>
      <c r="D4" s="176"/>
      <c r="E4" s="724" t="s">
        <v>76</v>
      </c>
      <c r="F4" s="725"/>
      <c r="G4" s="725"/>
      <c r="H4" s="726"/>
      <c r="J4" s="111"/>
      <c r="K4" s="734"/>
      <c r="L4" s="734"/>
      <c r="M4" s="734"/>
      <c r="N4" s="734"/>
      <c r="Q4" s="3"/>
    </row>
    <row r="5" spans="2:28" s="110" customFormat="1" ht="13.9">
      <c r="B5" s="177"/>
      <c r="C5" s="178" t="s">
        <v>77</v>
      </c>
      <c r="D5" s="176"/>
      <c r="E5" s="724" t="s">
        <v>78</v>
      </c>
      <c r="F5" s="725"/>
      <c r="G5" s="725"/>
      <c r="H5" s="726"/>
      <c r="J5" s="111"/>
      <c r="Q5" s="3"/>
    </row>
    <row r="6" spans="2:28" ht="13.9">
      <c r="B6" s="182"/>
      <c r="C6" s="183" t="s">
        <v>79</v>
      </c>
      <c r="D6" s="176"/>
      <c r="E6" s="727">
        <v>3355439</v>
      </c>
      <c r="F6" s="728"/>
      <c r="G6" s="728"/>
      <c r="H6" s="729"/>
    </row>
    <row r="7" spans="2:28" s="110" customFormat="1" ht="13.9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5" t="s">
        <v>82</v>
      </c>
      <c r="C8" s="736" t="s">
        <v>83</v>
      </c>
      <c r="D8" s="213"/>
      <c r="E8" s="732" t="s">
        <v>84</v>
      </c>
      <c r="F8" s="235" t="s">
        <v>85</v>
      </c>
      <c r="G8" s="732" t="s">
        <v>86</v>
      </c>
      <c r="H8" s="236"/>
      <c r="I8" s="732" t="s">
        <v>87</v>
      </c>
      <c r="J8" s="235" t="s">
        <v>85</v>
      </c>
      <c r="K8" s="732" t="s">
        <v>88</v>
      </c>
      <c r="M8" s="410" t="s">
        <v>60</v>
      </c>
      <c r="N8" s="679" t="s">
        <v>89</v>
      </c>
      <c r="O8" s="730" t="s">
        <v>90</v>
      </c>
      <c r="Z8" s="110"/>
      <c r="AA8" s="110"/>
      <c r="AB8" s="110"/>
    </row>
    <row r="9" spans="2:28" ht="13.9">
      <c r="B9" s="735"/>
      <c r="C9" s="736"/>
      <c r="D9" s="213"/>
      <c r="E9" s="732"/>
      <c r="F9" s="124">
        <f>G41-E19</f>
        <v>44</v>
      </c>
      <c r="G9" s="732"/>
      <c r="H9" s="236"/>
      <c r="I9" s="732"/>
      <c r="J9" s="125">
        <f>K41-I19</f>
        <v>245</v>
      </c>
      <c r="K9" s="732"/>
      <c r="M9" s="360">
        <f>AVERAGE(M11,M18,M21,M28,M35,M39,M46,M43)</f>
        <v>0.87690631808278874</v>
      </c>
      <c r="N9" s="360">
        <f ca="1">AVERAGE(N11,N18,N21,N28,N35,N39,N46,N43)</f>
        <v>0.88549750336993094</v>
      </c>
      <c r="O9" s="73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24</v>
      </c>
      <c r="K46" s="244">
        <f>MAX(K47:K53)</f>
        <v>46087</v>
      </c>
      <c r="L46" s="112"/>
      <c r="M46" s="359">
        <f>(J47*M47+J48*M48+J50*M50+J51*M51+J52*M52+J53*M53)/SUM(J47:J53)</f>
        <v>7.407407407407407E-2</v>
      </c>
      <c r="N46" s="359">
        <f ca="1">(K47*N47+K48*N48+K50*N50+K51*N51+K52*N52+K53*N53)/SUM(K47:K53)</f>
        <v>0.14280355637121175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4</v>
      </c>
      <c r="K48" s="251">
        <f>WORKDAY.INTL(I48,J48,1,Data!$C$3:$C$39)</f>
        <v>46080</v>
      </c>
      <c r="M48" s="252">
        <v>0</v>
      </c>
      <c r="N48" s="252">
        <v>0</v>
      </c>
      <c r="O48" s="547" t="s">
        <v>510</v>
      </c>
      <c r="Y48" s="24"/>
    </row>
    <row r="49" spans="2:28" ht="13.9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46080</v>
      </c>
      <c r="J50" s="249">
        <v>5</v>
      </c>
      <c r="K50" s="251">
        <f>WORKDAY.INTL(I50,J50,1,Data!$C$3:$C$39)</f>
        <v>46087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46082</v>
      </c>
      <c r="J53" s="249">
        <v>5</v>
      </c>
      <c r="K53" s="251">
        <f>WORKDAY.INTL(I53,J53,1,Data!$C$3:$C$39)</f>
        <v>46087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9921875" defaultRowHeight="14.25"/>
  <cols>
    <col min="1" max="1" width="5.53125" style="91" customWidth="1"/>
    <col min="2" max="2" width="5.531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0.9296875" style="127" customWidth="1"/>
    <col min="10" max="10" width="2.9296875" style="91" customWidth="1"/>
    <col min="11" max="11" width="0.9296875" style="173" customWidth="1"/>
    <col min="12" max="12" width="29.19921875" style="91" customWidth="1"/>
    <col min="13" max="13" width="0.9296875" style="127" customWidth="1"/>
    <col min="14" max="14" width="29.19921875" style="127" customWidth="1"/>
    <col min="15" max="15" width="0.9296875" style="91" customWidth="1"/>
    <col min="16" max="16" width="18.796875" style="127" bestFit="1" customWidth="1"/>
    <col min="17" max="17" width="15.19921875" style="127" bestFit="1" customWidth="1"/>
    <col min="18" max="18" width="18.1328125" style="127" customWidth="1"/>
    <col min="19" max="19" width="16.1328125" style="127" bestFit="1" customWidth="1"/>
    <col min="20" max="20" width="18.796875" style="127" bestFit="1" customWidth="1"/>
    <col min="21" max="21" width="15.19921875" style="91" bestFit="1" customWidth="1"/>
    <col min="22" max="23" width="8.19921875" style="91"/>
    <col min="24" max="24" width="5.53125" style="91" bestFit="1" customWidth="1"/>
    <col min="25" max="25" width="14.1328125" style="91" bestFit="1" customWidth="1"/>
    <col min="26" max="26" width="8.19921875" style="91"/>
    <col min="27" max="27" width="14.1328125" style="91" bestFit="1" customWidth="1"/>
    <col min="28" max="28" width="8.19921875" style="127"/>
    <col min="29" max="29" width="12.53125" style="127" bestFit="1" customWidth="1"/>
    <col min="30" max="16384" width="8.199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746" t="s">
        <v>176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746" t="s">
        <v>178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746" t="s">
        <v>179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744" t="s">
        <v>180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>
      <c r="B17" s="350">
        <v>5</v>
      </c>
      <c r="C17" s="744" t="s">
        <v>181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2.7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746" t="s">
        <v>182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75">
      <c r="C24" s="145" t="s">
        <v>185</v>
      </c>
      <c r="D24" s="146"/>
      <c r="F24" s="147"/>
    </row>
    <row r="25" spans="2:18" s="91" customFormat="1" ht="12.75">
      <c r="C25" s="145" t="s">
        <v>186</v>
      </c>
      <c r="D25" s="146"/>
    </row>
    <row r="26" spans="2:18" s="91" customFormat="1" ht="12.75">
      <c r="C26" s="148" t="s">
        <v>187</v>
      </c>
      <c r="D26" s="149"/>
    </row>
    <row r="27" spans="2:18" s="91" customFormat="1" ht="12.75">
      <c r="C27" s="150" t="s">
        <v>188</v>
      </c>
      <c r="D27" s="146"/>
      <c r="L27" s="114"/>
    </row>
    <row r="28" spans="2:18" s="91" customFormat="1" ht="12.75">
      <c r="B28" s="115"/>
      <c r="C28" s="150" t="s">
        <v>189</v>
      </c>
      <c r="D28" s="146"/>
    </row>
    <row r="29" spans="2:18" s="91" customFormat="1" ht="12.7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9921875" style="73" bestFit="1" customWidth="1"/>
    <col min="4" max="5" width="9.1328125" style="73"/>
    <col min="6" max="6" width="12.53125" style="73" bestFit="1" customWidth="1"/>
    <col min="7" max="7" width="0.929687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1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9921875" defaultRowHeight="13.5"/>
  <cols>
    <col min="1" max="1" width="0.9296875" style="24" customWidth="1"/>
    <col min="2" max="2" width="8.19921875" style="64"/>
    <col min="3" max="3" width="2.1328125" style="64" customWidth="1"/>
    <col min="4" max="4" width="21.1328125" style="24" customWidth="1"/>
    <col min="5" max="5" width="0.9296875" style="24" customWidth="1"/>
    <col min="6" max="6" width="19.53125" style="24" customWidth="1"/>
    <col min="7" max="7" width="0.9296875" style="24" customWidth="1"/>
    <col min="8" max="8" width="18.1328125" style="24" customWidth="1"/>
    <col min="9" max="9" width="2.9296875" style="24" customWidth="1"/>
    <col min="10" max="10" width="21.53125" style="24" customWidth="1"/>
    <col min="11" max="11" width="2" style="24" customWidth="1"/>
    <col min="12" max="12" width="53.1328125" style="24" customWidth="1"/>
    <col min="13" max="16384" width="8.199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748"/>
      <c r="C4" s="748"/>
      <c r="D4" s="748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25" thickBot="1">
      <c r="A5" s="213"/>
      <c r="B5" s="749" t="s">
        <v>217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85" zoomScaleNormal="85" workbookViewId="0">
      <pane ySplit="4" topLeftCell="A65" activePane="bottomLeft" state="frozen"/>
      <selection activeCell="X33" sqref="X33"/>
      <selection pane="bottomLeft" activeCell="X28" sqref="X28:X43"/>
    </sheetView>
  </sheetViews>
  <sheetFormatPr defaultColWidth="9.1328125" defaultRowHeight="13.5"/>
  <cols>
    <col min="1" max="1" width="2.1328125" style="110" hidden="1" customWidth="1"/>
    <col min="2" max="2" width="6.19921875" style="24" hidden="1" customWidth="1"/>
    <col min="3" max="3" width="20.19921875" style="24" hidden="1" customWidth="1"/>
    <col min="4" max="4" width="51.53125" style="24" hidden="1" customWidth="1"/>
    <col min="5" max="5" width="11.86328125" style="70" hidden="1" customWidth="1"/>
    <col min="6" max="6" width="16.53125" style="473" hidden="1" customWidth="1"/>
    <col min="7" max="7" width="16.9296875" style="24" hidden="1" customWidth="1"/>
    <col min="8" max="8" width="16.9296875" style="110" hidden="1" customWidth="1"/>
    <col min="9" max="9" width="22.19921875" style="348" hidden="1" customWidth="1"/>
    <col min="10" max="10" width="22.19921875" style="348" bestFit="1" customWidth="1"/>
    <col min="11" max="12" width="5.53125" style="110" customWidth="1"/>
    <col min="13" max="13" width="25.53125" style="110" customWidth="1"/>
    <col min="14" max="14" width="48.1328125" style="110" customWidth="1"/>
    <col min="15" max="15" width="15.59765625" style="110" customWidth="1"/>
    <col min="16" max="17" width="16.9296875" style="110" customWidth="1"/>
    <col min="18" max="18" width="47.46484375" style="110" bestFit="1" customWidth="1"/>
    <col min="19" max="19" width="39" style="110" bestFit="1" customWidth="1"/>
    <col min="20" max="23" width="16.9296875" style="110" customWidth="1"/>
    <col min="24" max="24" width="21.1328125" style="110" customWidth="1"/>
    <col min="25" max="25" width="29.19921875" style="110" bestFit="1" customWidth="1"/>
    <col min="26" max="26" width="24.86328125" style="110" bestFit="1" customWidth="1"/>
    <col min="27" max="76" width="16.929687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2" t="s">
        <v>224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225</v>
      </c>
      <c r="M2" s="805"/>
      <c r="N2" s="805"/>
      <c r="O2" s="805"/>
      <c r="P2" s="805"/>
      <c r="Q2" s="805"/>
      <c r="R2" s="806" t="s">
        <v>226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251</v>
      </c>
      <c r="Z11" s="605" t="s">
        <v>252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264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277</v>
      </c>
      <c r="Z26" s="613" t="s">
        <v>278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94" t="s">
        <v>285</v>
      </c>
      <c r="S30" s="629" t="s">
        <v>286</v>
      </c>
      <c r="T30" s="651">
        <v>46053</v>
      </c>
      <c r="U30" s="711">
        <v>0</v>
      </c>
      <c r="V30" s="800"/>
      <c r="W30" s="576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95"/>
      <c r="S31" s="629" t="s">
        <v>286</v>
      </c>
      <c r="T31" s="651">
        <v>46053</v>
      </c>
      <c r="U31" s="711">
        <v>0</v>
      </c>
      <c r="V31" s="800"/>
      <c r="W31" s="576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290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93"/>
      <c r="S34" s="629" t="s">
        <v>292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93"/>
      <c r="S36" s="629" t="s">
        <v>294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93"/>
      <c r="S37" s="629" t="s">
        <v>295</v>
      </c>
      <c r="T37" s="651">
        <v>45900</v>
      </c>
      <c r="U37" s="661">
        <v>21883.118151456514</v>
      </c>
      <c r="V37" s="800"/>
      <c r="W37" s="576">
        <f t="shared" ref="W37:W40" si="4">W98</f>
        <v>46077</v>
      </c>
      <c r="X37" s="774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93"/>
      <c r="S38" s="629" t="s">
        <v>297</v>
      </c>
      <c r="T38" s="651">
        <v>45900</v>
      </c>
      <c r="U38" s="661">
        <v>21883.095781176376</v>
      </c>
      <c r="V38" s="800"/>
      <c r="W38" s="576">
        <f t="shared" si="4"/>
        <v>46087</v>
      </c>
      <c r="X38" s="774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93"/>
      <c r="S39" s="629" t="s">
        <v>299</v>
      </c>
      <c r="T39" s="651">
        <v>45900</v>
      </c>
      <c r="U39" s="661">
        <v>10941.482850700935</v>
      </c>
      <c r="V39" s="800"/>
      <c r="W39" s="576">
        <f t="shared" si="4"/>
        <v>46087</v>
      </c>
      <c r="X39" s="774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92"/>
      <c r="S40" s="629" t="s">
        <v>301</v>
      </c>
      <c r="T40" s="651">
        <v>45900</v>
      </c>
      <c r="U40" s="661">
        <v>10941.482850700935</v>
      </c>
      <c r="V40" s="800"/>
      <c r="W40" s="576">
        <f t="shared" si="4"/>
        <v>46110</v>
      </c>
      <c r="X40" s="774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290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93"/>
      <c r="S62" s="629" t="s">
        <v>292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93"/>
      <c r="S64" s="629" t="s">
        <v>294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93"/>
      <c r="S65" s="629" t="s">
        <v>295</v>
      </c>
      <c r="T65" s="651">
        <v>45900</v>
      </c>
      <c r="U65" s="661">
        <v>19634.037579449192</v>
      </c>
      <c r="V65" s="800"/>
      <c r="W65" s="576">
        <f t="shared" ref="W65:W68" si="8">W98</f>
        <v>46077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93"/>
      <c r="S66" s="633" t="s">
        <v>297</v>
      </c>
      <c r="T66" s="651">
        <v>45900</v>
      </c>
      <c r="U66" s="676">
        <v>19633.931328447623</v>
      </c>
      <c r="V66" s="800"/>
      <c r="W66" s="576">
        <f t="shared" si="8"/>
        <v>46087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93"/>
      <c r="S67" s="633" t="s">
        <v>299</v>
      </c>
      <c r="T67" s="651">
        <v>45900</v>
      </c>
      <c r="U67" s="676">
        <v>9816.9550391236535</v>
      </c>
      <c r="V67" s="800"/>
      <c r="W67" s="576">
        <f t="shared" si="8"/>
        <v>46087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92"/>
      <c r="S68" s="633" t="s">
        <v>301</v>
      </c>
      <c r="T68" s="651">
        <v>45900</v>
      </c>
      <c r="U68" s="676">
        <v>9816.9550391236535</v>
      </c>
      <c r="V68" s="800"/>
      <c r="W68" s="576">
        <f t="shared" si="8"/>
        <v>46110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91" t="s">
        <v>335</v>
      </c>
      <c r="S86" s="629" t="s">
        <v>336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92"/>
      <c r="S87" s="629" t="s">
        <v>336</v>
      </c>
      <c r="T87" s="651">
        <v>46053</v>
      </c>
      <c r="U87" s="506"/>
      <c r="V87" s="783"/>
      <c r="W87" s="576">
        <v>46079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83"/>
      <c r="W89" s="579">
        <f>T89</f>
        <v>46081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290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9"/>
      <c r="S95" s="625" t="s">
        <v>292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9"/>
      <c r="S96" s="625" t="s">
        <v>346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9"/>
      <c r="S97" s="625" t="s">
        <v>294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63"/>
      <c r="W98" s="572">
        <f>'Project Plan'!K39+14</f>
        <v>46077</v>
      </c>
      <c r="X98" s="78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46112</v>
      </c>
      <c r="U99" s="502">
        <f t="shared" si="11"/>
        <v>33935.588553084897</v>
      </c>
      <c r="V99" s="763"/>
      <c r="W99" s="572">
        <f>'Project Plan'!K48+7</f>
        <v>46087</v>
      </c>
      <c r="X99" s="78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46112</v>
      </c>
      <c r="U100" s="502">
        <f t="shared" si="11"/>
        <v>16967.794276542449</v>
      </c>
      <c r="V100" s="763"/>
      <c r="W100" s="572">
        <f>'Project Plan'!K48+7</f>
        <v>46087</v>
      </c>
      <c r="X100" s="78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63"/>
      <c r="W101" s="572">
        <f>'Project Plan'!K48+30</f>
        <v>46110</v>
      </c>
      <c r="X101" s="78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290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86"/>
      <c r="S116" s="638" t="s">
        <v>292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86"/>
      <c r="S117" s="638" t="s">
        <v>346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86"/>
      <c r="S118" s="638" t="s">
        <v>294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86"/>
      <c r="S119" s="638" t="s">
        <v>295</v>
      </c>
      <c r="T119" s="652">
        <v>45900</v>
      </c>
      <c r="U119" s="663">
        <v>6248.8763634283951</v>
      </c>
      <c r="V119" s="766"/>
      <c r="W119" s="584">
        <f t="shared" si="14"/>
        <v>46077</v>
      </c>
      <c r="X119" s="76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86"/>
      <c r="S120" s="638" t="s">
        <v>297</v>
      </c>
      <c r="T120" s="652">
        <v>45900</v>
      </c>
      <c r="U120" s="663">
        <v>6248.7381531461197</v>
      </c>
      <c r="V120" s="766"/>
      <c r="W120" s="584">
        <f t="shared" si="14"/>
        <v>46087</v>
      </c>
      <c r="X120" s="76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86"/>
      <c r="S121" s="638" t="s">
        <v>299</v>
      </c>
      <c r="T121" s="652">
        <v>45900</v>
      </c>
      <c r="U121" s="663">
        <v>3124.4274908301227</v>
      </c>
      <c r="V121" s="766"/>
      <c r="W121" s="584">
        <f t="shared" si="14"/>
        <v>46087</v>
      </c>
      <c r="X121" s="76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301</v>
      </c>
      <c r="T122" s="652">
        <v>45900</v>
      </c>
      <c r="U122" s="663">
        <v>3124.4274908301227</v>
      </c>
      <c r="V122" s="766"/>
      <c r="W122" s="584">
        <f t="shared" si="14"/>
        <v>46110</v>
      </c>
      <c r="X122" s="76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f>'Project Plan'!K39+14</f>
        <v>46077</v>
      </c>
      <c r="X127" s="75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63"/>
      <c r="W158" s="571">
        <f>'Project Plan'!K41+7</f>
        <v>46070</v>
      </c>
      <c r="X158" s="75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3125" bestFit="1" customWidth="1"/>
    <col min="4" max="4" width="21.1328125" customWidth="1"/>
    <col min="5" max="5" width="4.1328125" customWidth="1"/>
    <col min="6" max="6" width="16.1328125" bestFit="1" customWidth="1"/>
    <col min="7" max="7" width="20.19921875" customWidth="1"/>
    <col min="8" max="316" width="15.19921875" bestFit="1" customWidth="1"/>
    <col min="317" max="317" width="9.13281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-647584.39357722783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9921875" defaultRowHeight="14.25"/>
  <cols>
    <col min="1" max="1" width="21.796875" bestFit="1" customWidth="1"/>
    <col min="2" max="2" width="16.9296875" style="406" bestFit="1" customWidth="1"/>
    <col min="3" max="3" width="12" style="406" bestFit="1" customWidth="1"/>
    <col min="4" max="4" width="13.19921875" style="406" bestFit="1" customWidth="1"/>
    <col min="5" max="5" width="14.796875" style="406" bestFit="1" customWidth="1"/>
    <col min="6" max="8" width="13.19921875" style="406" bestFit="1" customWidth="1"/>
    <col min="9" max="9" width="11.86328125" style="406" bestFit="1" customWidth="1"/>
    <col min="10" max="10" width="13.19921875" bestFit="1" customWidth="1"/>
    <col min="11" max="11" width="11.86328125" bestFit="1" customWidth="1"/>
    <col min="12" max="12" width="4.86328125" bestFit="1" customWidth="1"/>
    <col min="13" max="14" width="13.19921875" bestFit="1" customWidth="1"/>
    <col min="15" max="15" width="12" bestFit="1" customWidth="1"/>
    <col min="16" max="16" width="14.796875" bestFit="1" customWidth="1"/>
    <col min="17" max="18" width="11.53125" bestFit="1" customWidth="1"/>
    <col min="19" max="19" width="13.199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3125" defaultRowHeight="14.25"/>
  <cols>
    <col min="1" max="1" width="39.3984375" style="364" bestFit="1" customWidth="1"/>
    <col min="2" max="2" width="16.9296875" style="365" bestFit="1" customWidth="1"/>
    <col min="3" max="3" width="12" style="364" bestFit="1" customWidth="1"/>
    <col min="4" max="4" width="13.19921875" style="364" bestFit="1" customWidth="1"/>
    <col min="5" max="5" width="14.796875" style="364" bestFit="1" customWidth="1"/>
    <col min="6" max="7" width="13.1992187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9921875" style="364" bestFit="1" customWidth="1"/>
    <col min="15" max="15" width="12" style="364" bestFit="1" customWidth="1"/>
    <col min="16" max="16" width="14.796875" style="364" bestFit="1" customWidth="1"/>
    <col min="17" max="18" width="11.1328125" style="364" bestFit="1" customWidth="1"/>
    <col min="19" max="19" width="13.59765625" style="364" bestFit="1" customWidth="1"/>
    <col min="20" max="16384" width="12.5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9921875" customWidth="1"/>
    <col min="2" max="2" width="21.1328125" customWidth="1"/>
    <col min="3" max="3" width="28.796875" customWidth="1"/>
    <col min="4" max="4" width="15.19921875" customWidth="1"/>
    <col min="5" max="5" width="16.53125" customWidth="1"/>
    <col min="6" max="6" width="6.06640625" customWidth="1"/>
  </cols>
  <sheetData>
    <row r="1" spans="2:15" ht="14.65" thickBot="1"/>
    <row r="2" spans="2:15" ht="18">
      <c r="B2" s="813" t="s">
        <v>428</v>
      </c>
      <c r="C2" s="813"/>
      <c r="D2" s="813"/>
      <c r="E2" s="813"/>
      <c r="H2" s="814" t="s">
        <v>429</v>
      </c>
      <c r="I2" s="815"/>
      <c r="J2" s="815"/>
      <c r="K2" s="815"/>
      <c r="L2" s="815"/>
      <c r="M2" s="815"/>
      <c r="N2" s="815"/>
      <c r="O2" s="816"/>
    </row>
    <row r="3" spans="2:15">
      <c r="B3" s="686"/>
      <c r="H3" s="817"/>
      <c r="I3" s="818"/>
      <c r="J3" s="818"/>
      <c r="K3" s="818"/>
      <c r="L3" s="818"/>
      <c r="M3" s="818"/>
      <c r="N3" s="818"/>
      <c r="O3" s="819"/>
    </row>
    <row r="4" spans="2:15">
      <c r="B4" s="687" t="s">
        <v>430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7" t="s">
        <v>431</v>
      </c>
      <c r="C5" s="688" t="s">
        <v>432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7" t="s">
        <v>433</v>
      </c>
      <c r="C6" s="688" t="s">
        <v>434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7" t="s">
        <v>435</v>
      </c>
      <c r="C7" s="688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6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436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437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24" t="s">
        <v>448</v>
      </c>
      <c r="C18" s="824"/>
      <c r="D18" s="824"/>
      <c r="E18" s="824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9921875" defaultRowHeight="14.25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2.9296875" style="86" customWidth="1"/>
    <col min="6" max="6" width="15.19921875" style="86" customWidth="1"/>
    <col min="7" max="7" width="2.1328125" style="86" customWidth="1"/>
    <col min="8" max="8" width="16.1328125" style="86" bestFit="1" customWidth="1"/>
    <col min="9" max="9" width="6.1992187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2.9296875" style="86" customWidth="1"/>
    <col min="14" max="14" width="45.19921875" style="86" customWidth="1"/>
    <col min="15" max="16384" width="9.1328125" style="86"/>
  </cols>
  <sheetData>
    <row r="2" spans="2:14" s="92" customFormat="1" ht="17.64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2.9296875" style="86" customWidth="1"/>
    <col min="7" max="7" width="18.531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9921875" style="86" customWidth="1"/>
    <col min="13" max="13" width="9.1328125" style="86" bestFit="1" customWidth="1"/>
    <col min="14" max="14" width="0.79687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3.1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796875" customWidth="1"/>
    <col min="2" max="2" width="8.19921875" bestFit="1" customWidth="1"/>
    <col min="3" max="3" width="45.19921875" customWidth="1"/>
    <col min="4" max="4" width="34.1328125" customWidth="1"/>
    <col min="5" max="5" width="15.19921875" customWidth="1"/>
    <col min="6" max="6" width="12" bestFit="1" customWidth="1"/>
    <col min="7" max="7" width="9.1328125" bestFit="1" customWidth="1"/>
    <col min="8" max="8" width="12.53125" bestFit="1" customWidth="1"/>
    <col min="9" max="9" width="9.9296875" customWidth="1"/>
    <col min="10" max="10" width="19.5312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2026-02-24T12:33:05Z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