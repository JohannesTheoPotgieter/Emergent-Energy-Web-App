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102" documentId="13_ncr:1_{5088FDBF-8B60-4138-AFBB-5A720563F8CF}" xr6:coauthVersionLast="47" xr6:coauthVersionMax="47" xr10:uidLastSave="{C832613A-62A5-475C-80F9-07DA26C989F5}"/>
  <bookViews>
    <workbookView xWindow="4860" yWindow="1140" windowWidth="21600" windowHeight="11295" tabRatio="677" firstSheet="1" activeTab="1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Detail1" sheetId="20" r:id="rId10"/>
    <sheet name="Finance - COS" sheetId="14" r:id="rId11"/>
    <sheet name="Certificate - Financial Close" sheetId="19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Plan'!$B$127:$G$132</definedName>
    <definedName name="Project_Size" localSheetId="11">'Certificate - Financial Close'!Projectsize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5" i="18" l="1"/>
  <c r="Q74" i="18"/>
  <c r="Q73" i="18"/>
  <c r="Q72" i="18"/>
  <c r="Q71" i="18"/>
  <c r="Q70" i="18"/>
  <c r="Q69" i="18"/>
  <c r="Q68" i="18"/>
  <c r="Q67" i="18"/>
  <c r="Q66" i="18"/>
  <c r="Q65" i="18"/>
  <c r="Q64" i="18"/>
  <c r="Q63" i="18"/>
  <c r="Q34" i="18"/>
  <c r="Q38" i="18"/>
  <c r="Q123" i="18"/>
  <c r="Q122" i="18"/>
  <c r="J115" i="18"/>
  <c r="Q130" i="18"/>
  <c r="Q129" i="18"/>
  <c r="Q128" i="18"/>
  <c r="Q127" i="18"/>
  <c r="Q126" i="18"/>
  <c r="Q125" i="18"/>
  <c r="Q59" i="18" l="1"/>
  <c r="Q58" i="18"/>
  <c r="Q20" i="18"/>
  <c r="H6" i="5"/>
  <c r="W387" i="18"/>
  <c r="W406" i="18"/>
  <c r="Q366" i="18"/>
  <c r="Q333" i="18"/>
  <c r="Q354" i="18"/>
  <c r="Q352" i="18"/>
  <c r="W204" i="18"/>
  <c r="K121" i="2"/>
  <c r="O194" i="18" l="1"/>
  <c r="F26" i="5" l="1"/>
  <c r="P116" i="18"/>
  <c r="F18" i="5" l="1"/>
  <c r="F17" i="5"/>
  <c r="F19" i="5"/>
  <c r="W216" i="18" l="1"/>
  <c r="W401" i="18"/>
  <c r="W400" i="18"/>
  <c r="W399" i="18"/>
  <c r="Q259" i="18"/>
  <c r="W17" i="18"/>
  <c r="W19" i="18"/>
  <c r="Q16" i="18"/>
  <c r="O245" i="18" l="1"/>
  <c r="AE22" i="18"/>
  <c r="K114" i="2" l="1"/>
  <c r="K107" i="2"/>
  <c r="K106" i="2"/>
  <c r="N106" i="2" s="1"/>
  <c r="K105" i="2"/>
  <c r="N105" i="2" s="1"/>
  <c r="N114" i="2" l="1"/>
  <c r="Q247" i="18"/>
  <c r="Q248" i="18"/>
  <c r="K100" i="2"/>
  <c r="I101" i="2" s="1"/>
  <c r="K101" i="2" s="1"/>
  <c r="X92" i="18"/>
  <c r="H13" i="3" s="1"/>
  <c r="J92" i="18"/>
  <c r="W18" i="18"/>
  <c r="Q18" i="18"/>
  <c r="P162" i="18"/>
  <c r="P165" i="18"/>
  <c r="Q166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K90" i="2"/>
  <c r="Q400" i="18"/>
  <c r="Q399" i="18"/>
  <c r="K52" i="2"/>
  <c r="N52" i="2" s="1"/>
  <c r="Q304" i="18"/>
  <c r="Q9" i="18"/>
  <c r="Q8" i="18"/>
  <c r="C4" i="19"/>
  <c r="W166" i="18"/>
  <c r="W163" i="18"/>
  <c r="W158" i="18"/>
  <c r="W160" i="18" s="1"/>
  <c r="T160" i="18" s="1"/>
  <c r="I149" i="18"/>
  <c r="F15" i="3" s="1"/>
  <c r="H331" i="18"/>
  <c r="H259" i="18"/>
  <c r="H254" i="18"/>
  <c r="H210" i="18"/>
  <c r="H205" i="18"/>
  <c r="H204" i="18"/>
  <c r="H203" i="18"/>
  <c r="H172" i="18"/>
  <c r="H173" i="18" s="1"/>
  <c r="H171" i="18"/>
  <c r="H115" i="18"/>
  <c r="H92" i="18"/>
  <c r="H53" i="18"/>
  <c r="AF21" i="2"/>
  <c r="AE21" i="2"/>
  <c r="Q256" i="18"/>
  <c r="Q255" i="18"/>
  <c r="W57" i="18"/>
  <c r="R6" i="5"/>
  <c r="Q192" i="18"/>
  <c r="Q55" i="18"/>
  <c r="K63" i="2"/>
  <c r="K61" i="2"/>
  <c r="I50" i="2"/>
  <c r="K50" i="2" s="1"/>
  <c r="K43" i="2"/>
  <c r="W270" i="18"/>
  <c r="K24" i="2"/>
  <c r="K65" i="2"/>
  <c r="N65" i="2" s="1"/>
  <c r="H16" i="5"/>
  <c r="Q19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21" i="18"/>
  <c r="Q189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98" i="18"/>
  <c r="Q194" i="18"/>
  <c r="Q193" i="18"/>
  <c r="Q202" i="18"/>
  <c r="Q201" i="18"/>
  <c r="Q358" i="18"/>
  <c r="X357" i="18" s="1"/>
  <c r="H14" i="5"/>
  <c r="B118" i="2"/>
  <c r="B119" i="2" s="1"/>
  <c r="B120" i="2" s="1"/>
  <c r="B121" i="2" s="1"/>
  <c r="B122" i="2" s="1"/>
  <c r="B123" i="2" s="1"/>
  <c r="B124" i="2" s="1"/>
  <c r="B111" i="2"/>
  <c r="B112" i="2" s="1"/>
  <c r="B113" i="2" s="1"/>
  <c r="B114" i="2" s="1"/>
  <c r="B115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45" i="18"/>
  <c r="Q246" i="18"/>
  <c r="Q249" i="18"/>
  <c r="Q244" i="18"/>
  <c r="T139" i="18"/>
  <c r="T144" i="18" s="1"/>
  <c r="T81" i="18"/>
  <c r="T82" i="18"/>
  <c r="W85" i="18"/>
  <c r="W137" i="18" s="1"/>
  <c r="W142" i="18" s="1"/>
  <c r="O269" i="18"/>
  <c r="Q269" i="18" s="1"/>
  <c r="O263" i="18"/>
  <c r="Q264" i="18" s="1"/>
  <c r="O221" i="18"/>
  <c r="O211" i="18"/>
  <c r="O212" i="18" s="1"/>
  <c r="O233" i="18"/>
  <c r="Q233" i="18" s="1"/>
  <c r="O142" i="18"/>
  <c r="Q143" i="18" s="1"/>
  <c r="O137" i="18"/>
  <c r="Q139" i="18" s="1"/>
  <c r="O85" i="18"/>
  <c r="Q86" i="18" s="1"/>
  <c r="O80" i="18"/>
  <c r="Q81" i="18" s="1"/>
  <c r="AE29" i="18"/>
  <c r="W159" i="18"/>
  <c r="W155" i="18"/>
  <c r="T151" i="18"/>
  <c r="T156" i="18"/>
  <c r="T161" i="18"/>
  <c r="T164" i="18"/>
  <c r="T167" i="18"/>
  <c r="T170" i="18"/>
  <c r="P168" i="18"/>
  <c r="P157" i="18"/>
  <c r="Q157" i="18" s="1"/>
  <c r="P152" i="18"/>
  <c r="Q152" i="18" s="1"/>
  <c r="P159" i="18"/>
  <c r="P154" i="18"/>
  <c r="Q155" i="18" s="1"/>
  <c r="P149" i="18"/>
  <c r="Q149" i="18" s="1"/>
  <c r="P23" i="18"/>
  <c r="Q23" i="18" s="1"/>
  <c r="Q17" i="18"/>
  <c r="Q6" i="18"/>
  <c r="W51" i="18"/>
  <c r="Q51" i="18"/>
  <c r="Q50" i="18"/>
  <c r="O11" i="18"/>
  <c r="T174" i="18"/>
  <c r="T178" i="18"/>
  <c r="T179" i="18"/>
  <c r="T180" i="18"/>
  <c r="P222" i="18"/>
  <c r="P223" i="18"/>
  <c r="P224" i="18"/>
  <c r="P229" i="18"/>
  <c r="P230" i="18"/>
  <c r="P221" i="18"/>
  <c r="W221" i="18"/>
  <c r="W233" i="18" s="1"/>
  <c r="Z42" i="18"/>
  <c r="Z41" i="18"/>
  <c r="T111" i="18"/>
  <c r="T110" i="18"/>
  <c r="T109" i="18"/>
  <c r="T108" i="18"/>
  <c r="T44" i="18"/>
  <c r="O37" i="18"/>
  <c r="Q37" i="18" s="1"/>
  <c r="Q31" i="18"/>
  <c r="Q32" i="18"/>
  <c r="T140" i="18"/>
  <c r="T407" i="18"/>
  <c r="T370" i="18"/>
  <c r="T369" i="18"/>
  <c r="T368" i="18"/>
  <c r="T367" i="18"/>
  <c r="T356" i="18"/>
  <c r="T355" i="18"/>
  <c r="T332" i="18"/>
  <c r="T331" i="18"/>
  <c r="T330" i="18"/>
  <c r="T329" i="18"/>
  <c r="T314" i="18"/>
  <c r="T313" i="18"/>
  <c r="T254" i="18"/>
  <c r="T253" i="18"/>
  <c r="T252" i="18"/>
  <c r="T251" i="18"/>
  <c r="T209" i="18"/>
  <c r="T207" i="18"/>
  <c r="T205" i="18"/>
  <c r="T203" i="18"/>
  <c r="T188" i="18"/>
  <c r="T187" i="18"/>
  <c r="T186" i="18"/>
  <c r="T185" i="18"/>
  <c r="T184" i="18"/>
  <c r="T183" i="18"/>
  <c r="T171" i="18"/>
  <c r="T148" i="18"/>
  <c r="T147" i="18"/>
  <c r="T146" i="18"/>
  <c r="T145" i="18"/>
  <c r="T136" i="18"/>
  <c r="T135" i="18"/>
  <c r="T134" i="18"/>
  <c r="T114" i="18"/>
  <c r="T113" i="18"/>
  <c r="T112" i="18"/>
  <c r="T91" i="18"/>
  <c r="T90" i="18"/>
  <c r="T79" i="18"/>
  <c r="T78" i="18"/>
  <c r="T60" i="18"/>
  <c r="T52" i="18"/>
  <c r="T30" i="18"/>
  <c r="T29" i="18"/>
  <c r="T25" i="18"/>
  <c r="T22" i="18"/>
  <c r="Q57" i="18"/>
  <c r="Q56" i="18"/>
  <c r="Q54" i="18"/>
  <c r="Q53" i="18"/>
  <c r="O45" i="18"/>
  <c r="Q45" i="18" s="1"/>
  <c r="T84" i="18"/>
  <c r="T141" i="18"/>
  <c r="T267" i="18"/>
  <c r="J149" i="18"/>
  <c r="J188" i="18"/>
  <c r="I188" i="18"/>
  <c r="F16" i="3" s="1"/>
  <c r="I330" i="18"/>
  <c r="F20" i="3" s="1"/>
  <c r="G15" i="2"/>
  <c r="E14" i="2"/>
  <c r="G14" i="2" s="1"/>
  <c r="E13" i="2"/>
  <c r="G259" i="18"/>
  <c r="Z28" i="18" s="1"/>
  <c r="G256" i="18"/>
  <c r="G255" i="18"/>
  <c r="G254" i="18"/>
  <c r="Z26" i="18" s="1"/>
  <c r="G211" i="18"/>
  <c r="Z25" i="18" s="1"/>
  <c r="AA25" i="18" s="1"/>
  <c r="G210" i="18"/>
  <c r="F210" i="18" s="1"/>
  <c r="G115" i="18"/>
  <c r="I115" i="18" s="1"/>
  <c r="F14" i="3" s="1"/>
  <c r="G54" i="18"/>
  <c r="I53" i="18" s="1"/>
  <c r="F12" i="3" s="1"/>
  <c r="G31" i="18"/>
  <c r="I31" i="18" s="1"/>
  <c r="F11" i="3" s="1"/>
  <c r="G23" i="18"/>
  <c r="I23" i="18" s="1"/>
  <c r="F10" i="3" s="1"/>
  <c r="G6" i="18"/>
  <c r="I6" i="18" s="1"/>
  <c r="F9" i="3" s="1"/>
  <c r="G16" i="2"/>
  <c r="J254" i="18"/>
  <c r="Y46" i="18"/>
  <c r="Y45" i="18"/>
  <c r="Y44" i="18"/>
  <c r="Y43" i="18"/>
  <c r="Y42" i="18"/>
  <c r="Y41" i="18"/>
  <c r="Y40" i="18"/>
  <c r="Y39" i="18"/>
  <c r="J357" i="18"/>
  <c r="J333" i="18"/>
  <c r="J315" i="18"/>
  <c r="J210" i="18"/>
  <c r="J53" i="18"/>
  <c r="J31" i="18"/>
  <c r="J23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57" i="18"/>
  <c r="F22" i="3" s="1"/>
  <c r="X330" i="18"/>
  <c r="H20" i="3" s="1"/>
  <c r="I315" i="18"/>
  <c r="F19" i="3" s="1"/>
  <c r="I333" i="18"/>
  <c r="F21" i="3" s="1"/>
  <c r="I92" i="18"/>
  <c r="F13" i="3" s="1"/>
  <c r="X333" i="18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222" i="18"/>
  <c r="W234" i="18" s="1"/>
  <c r="T88" i="18"/>
  <c r="T83" i="18"/>
  <c r="T89" i="18"/>
  <c r="L1" i="6"/>
  <c r="W138" i="18"/>
  <c r="W143" i="18" s="1"/>
  <c r="W81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K71" i="2"/>
  <c r="N71" i="2" s="1"/>
  <c r="I67" i="2"/>
  <c r="T22" i="2" s="1"/>
  <c r="I77" i="2"/>
  <c r="K76" i="2"/>
  <c r="N76" i="2" s="1"/>
  <c r="K92" i="2"/>
  <c r="I93" i="2" s="1"/>
  <c r="I118" i="2"/>
  <c r="K118" i="2" s="1"/>
  <c r="P415" i="18"/>
  <c r="P416" i="18" s="1"/>
  <c r="K99" i="2"/>
  <c r="E24" i="13"/>
  <c r="F24" i="13"/>
  <c r="D24" i="13"/>
  <c r="D25" i="14"/>
  <c r="I72" i="2" l="1"/>
  <c r="N70" i="2"/>
  <c r="H21" i="3"/>
  <c r="J21" i="3" s="1"/>
  <c r="Z23" i="18"/>
  <c r="E60" i="2"/>
  <c r="G60" i="2" s="1"/>
  <c r="E62" i="2" s="1"/>
  <c r="N90" i="2"/>
  <c r="I89" i="2"/>
  <c r="K89" i="2" s="1"/>
  <c r="N89" i="2" s="1"/>
  <c r="X315" i="18"/>
  <c r="U325" i="18" s="1"/>
  <c r="Q240" i="18"/>
  <c r="O39" i="18"/>
  <c r="Q39" i="18" s="1"/>
  <c r="C3" i="6"/>
  <c r="F15" i="5"/>
  <c r="Q158" i="18"/>
  <c r="Z22" i="18"/>
  <c r="Q10" i="18"/>
  <c r="X6" i="18" s="1"/>
  <c r="H9" i="3" s="1"/>
  <c r="J9" i="3" s="1"/>
  <c r="Q216" i="18"/>
  <c r="Q211" i="18"/>
  <c r="Q212" i="18"/>
  <c r="Q213" i="18"/>
  <c r="Q214" i="18"/>
  <c r="Q218" i="18"/>
  <c r="Q215" i="18"/>
  <c r="Q217" i="18"/>
  <c r="Q263" i="18"/>
  <c r="U110" i="18"/>
  <c r="Q82" i="18"/>
  <c r="Q142" i="18"/>
  <c r="Q80" i="18"/>
  <c r="T158" i="18"/>
  <c r="U103" i="18"/>
  <c r="Q271" i="18"/>
  <c r="Q270" i="18"/>
  <c r="Q153" i="18"/>
  <c r="F211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N50" i="2"/>
  <c r="E50" i="2"/>
  <c r="G50" i="2" s="1"/>
  <c r="N37" i="2"/>
  <c r="N38" i="2"/>
  <c r="N39" i="2"/>
  <c r="E20" i="2"/>
  <c r="B16" i="2"/>
  <c r="K11" i="2"/>
  <c r="N12" i="2"/>
  <c r="N16" i="2"/>
  <c r="J20" i="3"/>
  <c r="Z53" i="18"/>
  <c r="Z54" i="18" s="1"/>
  <c r="Q235" i="18"/>
  <c r="Q238" i="18"/>
  <c r="U113" i="18"/>
  <c r="Q85" i="18"/>
  <c r="Q87" i="18"/>
  <c r="U355" i="18"/>
  <c r="V333" i="18" s="1"/>
  <c r="Q223" i="18"/>
  <c r="X370" i="18"/>
  <c r="H23" i="3" s="1"/>
  <c r="J23" i="3" s="1"/>
  <c r="O222" i="18"/>
  <c r="J13" i="3"/>
  <c r="GR5" i="6"/>
  <c r="Q222" i="18"/>
  <c r="Q236" i="18"/>
  <c r="Q265" i="18"/>
  <c r="EP5" i="6"/>
  <c r="Q234" i="18"/>
  <c r="Q224" i="18"/>
  <c r="O234" i="18"/>
  <c r="AY5" i="6"/>
  <c r="Q225" i="18"/>
  <c r="EU5" i="6"/>
  <c r="X188" i="18"/>
  <c r="Q241" i="18"/>
  <c r="U92" i="18"/>
  <c r="Q227" i="18"/>
  <c r="Q221" i="18"/>
  <c r="U112" i="18"/>
  <c r="W80" i="18"/>
  <c r="Z24" i="18"/>
  <c r="AA24" i="18" s="1"/>
  <c r="Q230" i="18"/>
  <c r="U109" i="18"/>
  <c r="Q229" i="18"/>
  <c r="U111" i="18"/>
  <c r="Q144" i="18"/>
  <c r="Q237" i="18"/>
  <c r="U108" i="18"/>
  <c r="I210" i="18"/>
  <c r="F17" i="3" s="1"/>
  <c r="Q165" i="18"/>
  <c r="Q239" i="18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59" i="18"/>
  <c r="Q160" i="18"/>
  <c r="U359" i="18"/>
  <c r="U363" i="18"/>
  <c r="U357" i="18"/>
  <c r="U366" i="18"/>
  <c r="U362" i="18"/>
  <c r="U360" i="18"/>
  <c r="U367" i="18"/>
  <c r="U361" i="18"/>
  <c r="H22" i="3"/>
  <c r="J22" i="3" s="1"/>
  <c r="U358" i="18"/>
  <c r="U364" i="18"/>
  <c r="U365" i="18"/>
  <c r="U368" i="18"/>
  <c r="JE5" i="6"/>
  <c r="I254" i="18"/>
  <c r="F18" i="3" s="1"/>
  <c r="Z27" i="18"/>
  <c r="X23" i="18"/>
  <c r="Q162" i="18"/>
  <c r="Q163" i="18"/>
  <c r="J2" i="18"/>
  <c r="J4" i="18" s="1"/>
  <c r="V6" i="18"/>
  <c r="DY5" i="6"/>
  <c r="Z5" i="6"/>
  <c r="BS5" i="6"/>
  <c r="IB5" i="6"/>
  <c r="M5" i="6"/>
  <c r="IV5" i="6"/>
  <c r="IE5" i="6"/>
  <c r="P5" i="6"/>
  <c r="Q138" i="18"/>
  <c r="CT5" i="6"/>
  <c r="GT5" i="6"/>
  <c r="Q46" i="18"/>
  <c r="Q154" i="18"/>
  <c r="Q137" i="18"/>
  <c r="Q228" i="18"/>
  <c r="Q226" i="18"/>
  <c r="Z4" i="5" l="1"/>
  <c r="AB4" i="5"/>
  <c r="W4" i="5"/>
  <c r="X4" i="5"/>
  <c r="U327" i="18"/>
  <c r="N72" i="2"/>
  <c r="N67" i="2" s="1"/>
  <c r="U316" i="18"/>
  <c r="AA4" i="5" s="1"/>
  <c r="U326" i="18"/>
  <c r="H19" i="3"/>
  <c r="J19" i="3" s="1"/>
  <c r="U315" i="18"/>
  <c r="Y4" i="5" s="1"/>
  <c r="U328" i="18"/>
  <c r="J11" i="2"/>
  <c r="F23" i="5"/>
  <c r="F4" i="5" s="1"/>
  <c r="S4" i="5" s="1"/>
  <c r="W19" i="2"/>
  <c r="J32" i="2"/>
  <c r="J58" i="2"/>
  <c r="U21" i="2" s="1"/>
  <c r="E85" i="2"/>
  <c r="G85" i="2" s="1"/>
  <c r="E86" i="2" s="1"/>
  <c r="G86" i="2" s="1"/>
  <c r="X254" i="18"/>
  <c r="Z32" i="18"/>
  <c r="Z33" i="18" s="1"/>
  <c r="Z35" i="18" s="1"/>
  <c r="F5" i="3"/>
  <c r="D5" i="5" s="1"/>
  <c r="C5" i="6" s="1"/>
  <c r="X53" i="18"/>
  <c r="U53" i="18" s="1"/>
  <c r="X31" i="18"/>
  <c r="U43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N94" i="2"/>
  <c r="U19" i="2"/>
  <c r="C9" i="6"/>
  <c r="I119" i="2"/>
  <c r="K119" i="2" s="1"/>
  <c r="W21" i="2"/>
  <c r="I42" i="2"/>
  <c r="T20" i="2" s="1"/>
  <c r="N58" i="2"/>
  <c r="K102" i="2"/>
  <c r="E67" i="2"/>
  <c r="G69" i="2"/>
  <c r="K111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92" i="18"/>
  <c r="X210" i="18"/>
  <c r="I2" i="18"/>
  <c r="H16" i="3"/>
  <c r="J16" i="3" s="1"/>
  <c r="U207" i="18"/>
  <c r="U188" i="18"/>
  <c r="U203" i="18"/>
  <c r="X149" i="18"/>
  <c r="U29" i="18"/>
  <c r="U25" i="18"/>
  <c r="H10" i="3"/>
  <c r="J10" i="3" s="1"/>
  <c r="F6" i="6"/>
  <c r="D5" i="6"/>
  <c r="X115" i="18"/>
  <c r="V357" i="18"/>
  <c r="T4" i="5" l="1"/>
  <c r="V315" i="18"/>
  <c r="U83" i="18"/>
  <c r="U60" i="18"/>
  <c r="D6" i="5"/>
  <c r="J42" i="2"/>
  <c r="U20" i="2" s="1"/>
  <c r="G81" i="2"/>
  <c r="E81" i="2"/>
  <c r="V188" i="18"/>
  <c r="F25" i="3"/>
  <c r="U267" i="18"/>
  <c r="H18" i="3"/>
  <c r="J18" i="3" s="1"/>
  <c r="U268" i="18"/>
  <c r="U254" i="18"/>
  <c r="U313" i="18"/>
  <c r="U312" i="18"/>
  <c r="U272" i="18"/>
  <c r="U266" i="18"/>
  <c r="U79" i="18"/>
  <c r="U89" i="18"/>
  <c r="U84" i="18"/>
  <c r="U88" i="18"/>
  <c r="H12" i="3"/>
  <c r="J12" i="3" s="1"/>
  <c r="U78" i="18"/>
  <c r="U42" i="18"/>
  <c r="H11" i="3"/>
  <c r="J11" i="3" s="1"/>
  <c r="U90" i="18"/>
  <c r="U44" i="18"/>
  <c r="N42" i="2"/>
  <c r="N111" i="2"/>
  <c r="N102" i="2"/>
  <c r="N95" i="2"/>
  <c r="G67" i="2"/>
  <c r="N79" i="2"/>
  <c r="N119" i="2"/>
  <c r="W22" i="2"/>
  <c r="U22" i="2"/>
  <c r="K103" i="2"/>
  <c r="K112" i="2"/>
  <c r="K96" i="2"/>
  <c r="G94" i="2"/>
  <c r="F81" i="2"/>
  <c r="V24" i="2" s="1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80" i="18"/>
  <c r="U184" i="18"/>
  <c r="U176" i="18"/>
  <c r="U185" i="18"/>
  <c r="U183" i="18"/>
  <c r="U182" i="18"/>
  <c r="U164" i="18"/>
  <c r="U161" i="18"/>
  <c r="U177" i="18"/>
  <c r="U174" i="18"/>
  <c r="U179" i="18"/>
  <c r="U156" i="18"/>
  <c r="U172" i="18"/>
  <c r="U173" i="18"/>
  <c r="U151" i="18"/>
  <c r="U170" i="18"/>
  <c r="U175" i="18"/>
  <c r="U171" i="18"/>
  <c r="U186" i="18"/>
  <c r="U178" i="18"/>
  <c r="H15" i="3"/>
  <c r="J15" i="3" s="1"/>
  <c r="U167" i="18"/>
  <c r="U181" i="18"/>
  <c r="V23" i="18"/>
  <c r="G6" i="6"/>
  <c r="U135" i="18"/>
  <c r="U141" i="18"/>
  <c r="U146" i="18"/>
  <c r="U134" i="18"/>
  <c r="U147" i="18"/>
  <c r="U140" i="18"/>
  <c r="U145" i="18"/>
  <c r="U136" i="18"/>
  <c r="H14" i="3"/>
  <c r="J14" i="3" s="1"/>
  <c r="U115" i="18"/>
  <c r="H17" i="3"/>
  <c r="U250" i="18"/>
  <c r="U219" i="18"/>
  <c r="U243" i="18"/>
  <c r="U251" i="18"/>
  <c r="U220" i="18"/>
  <c r="U242" i="18"/>
  <c r="U210" i="18"/>
  <c r="U252" i="18"/>
  <c r="X2" i="18"/>
  <c r="V115" i="18" l="1"/>
  <c r="I104" i="2"/>
  <c r="N103" i="2"/>
  <c r="D7" i="5"/>
  <c r="G6" i="5"/>
  <c r="V254" i="18"/>
  <c r="V31" i="18"/>
  <c r="V53" i="18"/>
  <c r="BC17" i="6"/>
  <c r="F67" i="2"/>
  <c r="V22" i="2" s="1"/>
  <c r="E112" i="2"/>
  <c r="G112" i="2" s="1"/>
  <c r="N112" i="2"/>
  <c r="K104" i="2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210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49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JR17" i="6"/>
  <c r="CV17" i="6"/>
  <c r="HG17" i="6"/>
  <c r="II17" i="6"/>
  <c r="DV17" i="6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5" i="5"/>
  <c r="S6" i="5" s="1"/>
  <c r="T5" i="5"/>
  <c r="T6" i="5" s="1"/>
  <c r="K113" i="2" l="1"/>
  <c r="J88" i="2"/>
  <c r="J98" i="2"/>
  <c r="U26" i="2" s="1"/>
  <c r="N120" i="2"/>
  <c r="W26" i="2"/>
  <c r="G96" i="2"/>
  <c r="E88" i="2"/>
  <c r="F74" i="2"/>
  <c r="V23" i="2" s="1"/>
  <c r="U25" i="2"/>
  <c r="W25" i="2"/>
  <c r="E119" i="2"/>
  <c r="G119" i="2" s="1"/>
  <c r="G111" i="2"/>
  <c r="K6" i="6"/>
  <c r="G88" i="2" l="1"/>
  <c r="N113" i="2"/>
  <c r="L6" i="6"/>
  <c r="F88" i="2" l="1"/>
  <c r="V25" i="2" s="1"/>
  <c r="E113" i="2"/>
  <c r="E99" i="2"/>
  <c r="I115" i="2"/>
  <c r="M6" i="6"/>
  <c r="E118" i="2" l="1"/>
  <c r="G99" i="2"/>
  <c r="G113" i="2"/>
  <c r="K115" i="2"/>
  <c r="N115" i="2" s="1"/>
  <c r="N110" i="2" s="1"/>
  <c r="I110" i="2"/>
  <c r="N6" i="6"/>
  <c r="T27" i="2" l="1"/>
  <c r="I122" i="2"/>
  <c r="E115" i="2"/>
  <c r="H17" i="5"/>
  <c r="E108" i="2"/>
  <c r="G118" i="2"/>
  <c r="E122" i="2"/>
  <c r="G122" i="2" s="1"/>
  <c r="K110" i="2"/>
  <c r="W217" i="18" s="1"/>
  <c r="O6" i="6"/>
  <c r="J110" i="2" l="1"/>
  <c r="U27" i="2" s="1"/>
  <c r="E123" i="2"/>
  <c r="E124" i="2"/>
  <c r="G124" i="2" s="1"/>
  <c r="G108" i="2"/>
  <c r="E98" i="2"/>
  <c r="G115" i="2"/>
  <c r="E110" i="2"/>
  <c r="W27" i="2"/>
  <c r="P6" i="6"/>
  <c r="W229" i="18" l="1"/>
  <c r="W230" i="18" s="1"/>
  <c r="W82" i="18" s="1"/>
  <c r="W240" i="18"/>
  <c r="W241" i="18" s="1"/>
  <c r="W218" i="18"/>
  <c r="G110" i="2"/>
  <c r="E120" i="2"/>
  <c r="F9" i="2"/>
  <c r="G98" i="2"/>
  <c r="H20" i="5"/>
  <c r="G123" i="2"/>
  <c r="K122" i="2"/>
  <c r="Q6" i="6"/>
  <c r="W87" i="18" l="1"/>
  <c r="W139" i="18"/>
  <c r="W144" i="18" s="1"/>
  <c r="W265" i="18"/>
  <c r="W271" i="18"/>
  <c r="P20" i="5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4" i="2"/>
  <c r="N122" i="2"/>
  <c r="R6" i="6"/>
  <c r="W208" i="18" l="1"/>
  <c r="JI11" i="6" s="1"/>
  <c r="BI9" i="6"/>
  <c r="I117" i="2"/>
  <c r="T28" i="2" s="1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3" i="2"/>
  <c r="N123" i="2" s="1"/>
  <c r="G117" i="2"/>
  <c r="F4" i="6"/>
  <c r="D3" i="6"/>
  <c r="N124" i="2"/>
  <c r="S6" i="6"/>
  <c r="HS11" i="6" l="1"/>
  <c r="CW11" i="6"/>
  <c r="AC11" i="6"/>
  <c r="GZ11" i="6"/>
  <c r="LB11" i="6"/>
  <c r="HF11" i="6"/>
  <c r="V11" i="6"/>
  <c r="IM11" i="6"/>
  <c r="JD11" i="6"/>
  <c r="HC11" i="6"/>
  <c r="CT11" i="6"/>
  <c r="GY11" i="6"/>
  <c r="N11" i="6"/>
  <c r="KS11" i="6"/>
  <c r="IP11" i="6"/>
  <c r="AK11" i="6"/>
  <c r="EI11" i="6"/>
  <c r="IE11" i="6"/>
  <c r="AR11" i="6"/>
  <c r="GH11" i="6"/>
  <c r="HW11" i="6"/>
  <c r="ER11" i="6"/>
  <c r="BY11" i="6"/>
  <c r="CZ11" i="6"/>
  <c r="HD11" i="6"/>
  <c r="JJ11" i="6"/>
  <c r="BX11" i="6"/>
  <c r="CD11" i="6"/>
  <c r="AO11" i="6"/>
  <c r="IU11" i="6"/>
  <c r="AP11" i="6"/>
  <c r="DR11" i="6"/>
  <c r="HZ11" i="6"/>
  <c r="JS11" i="6"/>
  <c r="DO11" i="6"/>
  <c r="KB11" i="6"/>
  <c r="KP11" i="6"/>
  <c r="AB11" i="6"/>
  <c r="HQ11" i="6"/>
  <c r="GI11" i="6"/>
  <c r="AT11" i="6"/>
  <c r="DD11" i="6"/>
  <c r="JW11" i="6"/>
  <c r="GU11" i="6"/>
  <c r="IQ11" i="6"/>
  <c r="ES11" i="6"/>
  <c r="GL11" i="6"/>
  <c r="FR11" i="6"/>
  <c r="AX11" i="6"/>
  <c r="U11" i="6"/>
  <c r="GV11" i="6"/>
  <c r="BP11" i="6"/>
  <c r="GC11" i="6"/>
  <c r="GW11" i="6"/>
  <c r="BL11" i="6"/>
  <c r="LD11" i="6"/>
  <c r="GF11" i="6"/>
  <c r="EW11" i="6"/>
  <c r="KY11" i="6"/>
  <c r="JV11" i="6"/>
  <c r="AA11" i="6"/>
  <c r="EO11" i="6"/>
  <c r="HY11" i="6"/>
  <c r="GQ11" i="6"/>
  <c r="CX11" i="6"/>
  <c r="GR11" i="6"/>
  <c r="HN11" i="6"/>
  <c r="BG11" i="6"/>
  <c r="F11" i="6"/>
  <c r="IZ11" i="6"/>
  <c r="HK11" i="6"/>
  <c r="KR11" i="6"/>
  <c r="LC11" i="6"/>
  <c r="AD11" i="6"/>
  <c r="DC11" i="6"/>
  <c r="AQ11" i="6"/>
  <c r="IH11" i="6"/>
  <c r="EB11" i="6"/>
  <c r="FH11" i="6"/>
  <c r="GA11" i="6"/>
  <c r="J11" i="6"/>
  <c r="Z11" i="6"/>
  <c r="ED11" i="6"/>
  <c r="JC11" i="6"/>
  <c r="FM11" i="6"/>
  <c r="DA11" i="6"/>
  <c r="S11" i="6"/>
  <c r="DL11" i="6"/>
  <c r="O11" i="6"/>
  <c r="CU11" i="6"/>
  <c r="HJ11" i="6"/>
  <c r="BV11" i="6"/>
  <c r="EV11" i="6"/>
  <c r="JT11" i="6"/>
  <c r="CI11" i="6"/>
  <c r="JL11" i="6"/>
  <c r="IX11" i="6"/>
  <c r="R11" i="6"/>
  <c r="HU11" i="6"/>
  <c r="CF11" i="6"/>
  <c r="KO11" i="6"/>
  <c r="KC11" i="6"/>
  <c r="HG11" i="6"/>
  <c r="CL11" i="6"/>
  <c r="DU11" i="6"/>
  <c r="DH11" i="6"/>
  <c r="DW11" i="6"/>
  <c r="EE11" i="6"/>
  <c r="CK11" i="6"/>
  <c r="I11" i="6"/>
  <c r="DQ11" i="6"/>
  <c r="CC11" i="6"/>
  <c r="HP11" i="6"/>
  <c r="HV11" i="6"/>
  <c r="FY11" i="6"/>
  <c r="BB11" i="6"/>
  <c r="AL11" i="6"/>
  <c r="BM11" i="6"/>
  <c r="EF11" i="6"/>
  <c r="DE11" i="6"/>
  <c r="JO11" i="6"/>
  <c r="IT11" i="6"/>
  <c r="KN11" i="6"/>
  <c r="FI11" i="6"/>
  <c r="IB11" i="6"/>
  <c r="DF11" i="6"/>
  <c r="JK11" i="6"/>
  <c r="EZ11" i="6"/>
  <c r="CM11" i="6"/>
  <c r="KH11" i="6"/>
  <c r="FB11" i="6"/>
  <c r="ET11" i="6"/>
  <c r="KJ11" i="6"/>
  <c r="HX11" i="6"/>
  <c r="EX11" i="6"/>
  <c r="FU11" i="6"/>
  <c r="CB11" i="6"/>
  <c r="IA11" i="6"/>
  <c r="EC11" i="6"/>
  <c r="IY11" i="6"/>
  <c r="KX11" i="6"/>
  <c r="JY11" i="6"/>
  <c r="CQ11" i="6"/>
  <c r="DY11" i="6"/>
  <c r="JQ11" i="6"/>
  <c r="BK11" i="6"/>
  <c r="BJ11" i="6"/>
  <c r="BI11" i="6"/>
  <c r="HT11" i="6"/>
  <c r="AZ11" i="6"/>
  <c r="BD11" i="6"/>
  <c r="X11" i="6"/>
  <c r="Y11" i="6"/>
  <c r="KL11" i="6"/>
  <c r="FG11" i="6"/>
  <c r="II11" i="6"/>
  <c r="DT11" i="6"/>
  <c r="BU11" i="6"/>
  <c r="DN11" i="6"/>
  <c r="GP11" i="6"/>
  <c r="BZ11" i="6"/>
  <c r="DI11" i="6"/>
  <c r="IO11" i="6"/>
  <c r="GK11" i="6"/>
  <c r="EG11" i="6"/>
  <c r="BN11" i="6"/>
  <c r="AS11" i="6"/>
  <c r="DJ11" i="6"/>
  <c r="KT11" i="6"/>
  <c r="JA11" i="6"/>
  <c r="FO11" i="6"/>
  <c r="IF11" i="6"/>
  <c r="AH11" i="6"/>
  <c r="HE11" i="6"/>
  <c r="CY11" i="6"/>
  <c r="KK11" i="6"/>
  <c r="GS11" i="6"/>
  <c r="EU11" i="6"/>
  <c r="JU11" i="6"/>
  <c r="HL11" i="6"/>
  <c r="GT11" i="6"/>
  <c r="JP11" i="6"/>
  <c r="IJ11" i="6"/>
  <c r="AY11" i="6"/>
  <c r="FD11" i="6"/>
  <c r="AU11" i="6"/>
  <c r="GJ11" i="6"/>
  <c r="JE11" i="6"/>
  <c r="BH11" i="6"/>
  <c r="IK11" i="6"/>
  <c r="FL11" i="6"/>
  <c r="HH11" i="6"/>
  <c r="FF11" i="6"/>
  <c r="BT11" i="6"/>
  <c r="IV11" i="6"/>
  <c r="FQ11" i="6"/>
  <c r="BF11" i="6"/>
  <c r="BQ11" i="6"/>
  <c r="AI11" i="6"/>
  <c r="KM11" i="6"/>
  <c r="EK11" i="6"/>
  <c r="CV11" i="6"/>
  <c r="JH11" i="6"/>
  <c r="KZ11" i="6"/>
  <c r="KF11" i="6"/>
  <c r="IL11" i="6"/>
  <c r="BR11" i="6"/>
  <c r="H11" i="6"/>
  <c r="BO11" i="6"/>
  <c r="GX11" i="6"/>
  <c r="AM11" i="6"/>
  <c r="FS11" i="6"/>
  <c r="ID11" i="6"/>
  <c r="GB11" i="6"/>
  <c r="IR11" i="6"/>
  <c r="AW11" i="6"/>
  <c r="HI11" i="6"/>
  <c r="LA11" i="6"/>
  <c r="IW11" i="6"/>
  <c r="CS11" i="6"/>
  <c r="JX11" i="6"/>
  <c r="HM11" i="6"/>
  <c r="EH11" i="6"/>
  <c r="FA11" i="6"/>
  <c r="EJ11" i="6"/>
  <c r="KV11" i="6"/>
  <c r="KQ11" i="6"/>
  <c r="JG11" i="6"/>
  <c r="GO11" i="6"/>
  <c r="KG11" i="6"/>
  <c r="HB11" i="6"/>
  <c r="KE11" i="6"/>
  <c r="FT11" i="6"/>
  <c r="CP11" i="6"/>
  <c r="EL11" i="6"/>
  <c r="CH11" i="6"/>
  <c r="L11" i="6"/>
  <c r="FV11" i="6"/>
  <c r="FK11" i="6"/>
  <c r="GG11" i="6"/>
  <c r="AE11" i="6"/>
  <c r="EN11" i="6"/>
  <c r="JN11" i="6"/>
  <c r="JZ11" i="6"/>
  <c r="M11" i="6"/>
  <c r="AV11" i="6"/>
  <c r="FX11" i="6"/>
  <c r="AF11" i="6"/>
  <c r="FC11" i="6"/>
  <c r="KA11" i="6"/>
  <c r="DB11" i="6"/>
  <c r="CE11" i="6"/>
  <c r="FW11" i="6"/>
  <c r="CO11" i="6"/>
  <c r="KU11" i="6"/>
  <c r="GN11" i="6"/>
  <c r="IC11" i="6"/>
  <c r="FP11" i="6"/>
  <c r="DM11" i="6"/>
  <c r="FJ11" i="6"/>
  <c r="IG11" i="6"/>
  <c r="BS11" i="6"/>
  <c r="CN11" i="6"/>
  <c r="G11" i="6"/>
  <c r="EY11" i="6"/>
  <c r="JM11" i="6"/>
  <c r="GM11" i="6"/>
  <c r="DZ11" i="6"/>
  <c r="AN11" i="6"/>
  <c r="EA11" i="6"/>
  <c r="CA11" i="6"/>
  <c r="GE11" i="6"/>
  <c r="JR11" i="6"/>
  <c r="HR11" i="6"/>
  <c r="AG11" i="6"/>
  <c r="P11" i="6"/>
  <c r="CG11" i="6"/>
  <c r="K11" i="6"/>
  <c r="DS11" i="6"/>
  <c r="JF11" i="6"/>
  <c r="DK11" i="6"/>
  <c r="BA11" i="6"/>
  <c r="KI11" i="6"/>
  <c r="IN11" i="6"/>
  <c r="FE11" i="6"/>
  <c r="FN11" i="6"/>
  <c r="EP11" i="6"/>
  <c r="EM11" i="6"/>
  <c r="KW11" i="6"/>
  <c r="DX11" i="6"/>
  <c r="BE11" i="6"/>
  <c r="IS11" i="6"/>
  <c r="KD11" i="6"/>
  <c r="T11" i="6"/>
  <c r="W11" i="6"/>
  <c r="CR11" i="6"/>
  <c r="DG11" i="6"/>
  <c r="DP11" i="6"/>
  <c r="EQ11" i="6"/>
  <c r="FZ11" i="6"/>
  <c r="CJ11" i="6"/>
  <c r="BC11" i="6"/>
  <c r="HA11" i="6"/>
  <c r="DV11" i="6"/>
  <c r="JB11" i="6"/>
  <c r="GD11" i="6"/>
  <c r="BW11" i="6"/>
  <c r="Q11" i="6"/>
  <c r="HO11" i="6"/>
  <c r="AJ11" i="6"/>
  <c r="F12" i="6"/>
  <c r="D9" i="6"/>
  <c r="K117" i="2"/>
  <c r="W28" i="2" s="1"/>
  <c r="F10" i="6"/>
  <c r="N117" i="2"/>
  <c r="N9" i="2" s="1"/>
  <c r="F117" i="2"/>
  <c r="V28" i="2" s="1"/>
  <c r="G4" i="6"/>
  <c r="F7" i="6"/>
  <c r="T6" i="6"/>
  <c r="J117" i="2" l="1"/>
  <c r="U28" i="2" s="1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D11" i="6"/>
  <c r="F14" i="6"/>
  <c r="G10" i="6"/>
  <c r="H10" i="6" s="1"/>
  <c r="H4" i="6"/>
  <c r="G7" i="6"/>
  <c r="U6" i="6"/>
  <c r="G14" i="6" l="1"/>
  <c r="I4" i="6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  <author>tc={1B5EDA48-6C77-478A-87E7-EDF1BF8D03F9}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
Reply:
    @Lloyd Brown  has this second one happened yet?
Reply:
    Yes . 2nd one done .awaiting report</t>
      </text>
    </comment>
    <comment ref="O123" authorId="1" shapeId="0" xr:uid="{1B5EDA48-6C77-478A-87E7-EDF1BF8D03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  <author>tc={9DF34B5B-E437-4429-8F5F-9B15F6F0368E}</author>
  </authors>
  <commentList>
    <comment ref="Q27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82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87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106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39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44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204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215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217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223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29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38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59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64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64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309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  <comment ref="V315" authorId="16" shapeId="0" xr:uid="{9DF34B5B-E437-4429-8F5F-9B15F6F0368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please check, changed the red team amounts from 8k each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<sst xmlns="http://schemas.openxmlformats.org/spreadsheetml/2006/main" count="1635" uniqueCount="879">
  <si>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</si>
  <si>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</si>
  <si>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</si>
  <si>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</si>
  <si>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</si>
  <si>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</si>
  <si>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</si>
  <si>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</si>
  <si>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</si>
  <si>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</si>
  <si>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</si>
  <si>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</si>
  <si>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</si>
  <si>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</si>
  <si>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</si>
  <si>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</si>
  <si>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</si>
  <si>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</si>
  <si>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</si>
  <si>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</si>
  <si>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</si>
  <si>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</si>
  <si>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</si>
  <si>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</si>
  <si>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</si>
  <si>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</si>
  <si>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</si>
  <si>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</si>
  <si>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</si>
  <si>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</si>
  <si>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</si>
  <si>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</si>
  <si>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</si>
  <si>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</si>
  <si>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</si>
  <si>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</si>
  <si>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</si>
  <si>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</si>
  <si>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</si>
  <si>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</si>
  <si>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</si>
  <si>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</si>
  <si>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</si>
  <si>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</si>
  <si>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</si>
  <si>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</si>
  <si>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</si>
  <si>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</si>
  <si>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</si>
  <si>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</si>
  <si>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</si>
  <si>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</si>
  <si>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</si>
  <si>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</si>
  <si>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</si>
  <si>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</si>
  <si>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</si>
  <si>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</si>
  <si>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</si>
  <si>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</si>
  <si>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</si>
  <si>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</si>
  <si>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</si>
  <si>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</si>
  <si>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</si>
  <si>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</si>
  <si>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</si>
  <si>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</si>
  <si>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</si>
  <si>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</si>
  <si>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</si>
  <si>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</si>
  <si>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</si>
  <si>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</si>
  <si>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</si>
  <si>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</si>
  <si>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</si>
  <si>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</si>
  <si>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</si>
  <si>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</si>
  <si>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</si>
  <si>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</si>
  <si>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</si>
  <si>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</si>
  <si>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</si>
  <si>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</si>
  <si>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</si>
  <si>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</si>
  <si>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</si>
  <si>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</si>
  <si>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</si>
  <si>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</si>
  <si>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</si>
  <si>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</si>
  <si>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</si>
  <si>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</si>
  <si>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</si>
  <si>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</si>
  <si>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</si>
  <si>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</si>
  <si>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</si>
  <si>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</si>
  <si>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</si>
  <si>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</si>
  <si>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</si>
  <si>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</si>
  <si>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</si>
  <si>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</si>
  <si>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</si>
  <si>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</si>
  <si>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</si>
  <si>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</si>
  <si>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</si>
  <si>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</si>
  <si>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</si>
  <si>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</si>
  <si>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</si>
  <si>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</si>
  <si>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</si>
  <si>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</si>
  <si>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</si>
  <si>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</si>
  <si>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</si>
  <si>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</si>
  <si>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</si>
  <si>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</si>
  <si>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</si>
  <si>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</si>
  <si>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</si>
  <si>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</si>
  <si>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</si>
  <si>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</si>
  <si>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</si>
  <si>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</si>
  <si>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</si>
  <si>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</si>
  <si>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</si>
  <si>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</si>
  <si>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</si>
  <si>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</si>
  <si>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</si>
  <si>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</si>
  <si>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</si>
  <si>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</si>
  <si>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</si>
  <si>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</si>
  <si>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</si>
  <si>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</si>
  <si>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</si>
  <si>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</si>
  <si>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</si>
  <si>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</si>
  <si>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</si>
  <si>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</si>
  <si>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</si>
  <si>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</si>
  <si>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</si>
  <si>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</si>
  <si>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</si>
  <si>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</si>
  <si>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</si>
  <si>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</si>
  <si>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</si>
  <si>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</si>
  <si>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</si>
  <si>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</si>
  <si>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</si>
  <si>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</si>
  <si>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</si>
  <si>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</si>
  <si>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</si>
  <si>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</si>
  <si>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</si>
  <si>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</si>
  <si>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</si>
  <si>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</si>
  <si>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</si>
  <si>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</si>
  <si>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</si>
  <si>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</si>
  <si>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</si>
  <si>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</si>
  <si>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</si>
  <si>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</si>
  <si>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</si>
  <si>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</si>
  <si>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</si>
  <si>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</si>
  <si>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</si>
  <si>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</si>
  <si>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</si>
  <si>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</si>
  <si>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</si>
  <si>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</si>
  <si>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</si>
  <si>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</si>
  <si>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</si>
  <si>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</si>
  <si>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</si>
  <si>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</si>
  <si>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</si>
  <si>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</si>
  <si>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</si>
  <si>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</si>
  <si>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</si>
  <si>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</si>
  <si>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</si>
  <si>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</si>
  <si>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</si>
  <si>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</si>
  <si>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</si>
  <si>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</si>
  <si>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</si>
  <si>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</si>
  <si>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</si>
  <si>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</si>
  <si>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</si>
  <si>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</si>
  <si>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</si>
  <si>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</si>
  <si>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</si>
  <si>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</si>
  <si>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</si>
  <si>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</si>
  <si>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</si>
  <si>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</si>
  <si>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</si>
  <si>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</si>
  <si>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</si>
  <si>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</si>
  <si>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</si>
  <si>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</si>
  <si>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</si>
  <si>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</si>
  <si>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</si>
  <si>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</si>
  <si>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</si>
  <si>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</si>
  <si>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</si>
  <si>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</si>
  <si>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</si>
  <si>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</si>
  <si>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</si>
  <si>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</si>
  <si>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</si>
  <si>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</si>
  <si>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</si>
  <si>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</si>
  <si>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</si>
  <si>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</si>
  <si>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</si>
  <si>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</si>
  <si>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</si>
  <si>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Energy Flowing - Full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</si>
  <si>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</si>
  <si>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</si>
  <si>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</si>
  <si>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</si>
  <si>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</si>
  <si>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</si>
  <si>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</si>
  <si>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</si>
  <si>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Electrical Inspection - Renette</t>
  </si>
  <si>
    <t>Matriarch Inspection of the roofs</t>
  </si>
  <si>
    <t>Contractor Snag Completion</t>
  </si>
  <si>
    <t>Project Closure</t>
  </si>
  <si>
    <t>Equipment serial numbers</t>
  </si>
  <si>
    <t>Client Snag List Completion</t>
  </si>
  <si>
    <t>System Performance Monitoring</t>
  </si>
  <si>
    <t>Site De-establishment Signoff</t>
  </si>
  <si>
    <t>Handover documentation</t>
  </si>
  <si>
    <t>First revision of documents ready by 23 Feb</t>
  </si>
  <si>
    <t>Handover to Client</t>
  </si>
  <si>
    <t>Confirmed</t>
  </si>
  <si>
    <t>Handover to Matriarch</t>
  </si>
  <si>
    <t>not scheduled yet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</si>
  <si>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</si>
  <si>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</si>
  <si>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</si>
  <si>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</si>
  <si>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</si>
  <si>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</si>
  <si>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</si>
  <si>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</si>
  <si>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</si>
  <si>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</si>
  <si>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</si>
  <si>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</si>
  <si>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</si>
  <si>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</si>
  <si>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</si>
  <si>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</si>
  <si>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</si>
  <si>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</si>
  <si>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</si>
  <si>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</si>
  <si>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</si>
  <si>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</si>
  <si>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</si>
  <si>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</si>
  <si>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</si>
  <si>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</si>
  <si>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</si>
  <si>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</si>
  <si>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</si>
  <si>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</si>
  <si>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</si>
  <si>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</si>
  <si>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</si>
  <si>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</si>
  <si>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</si>
  <si>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</si>
  <si>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</si>
  <si>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</si>
  <si>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</si>
  <si>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</si>
  <si>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</si>
  <si>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</si>
  <si>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</si>
  <si>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</si>
  <si>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</si>
  <si>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</si>
  <si>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</si>
  <si>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</si>
  <si>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</si>
  <si>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</si>
  <si>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</si>
  <si>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</si>
  <si>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</si>
  <si>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</si>
  <si>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</si>
  <si>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</si>
  <si>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</si>
  <si>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</si>
  <si>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</si>
  <si>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</si>
  <si>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</si>
  <si>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</si>
  <si>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</si>
  <si>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</si>
  <si>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</si>
  <si>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</si>
  <si>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</si>
  <si>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</si>
  <si>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</si>
  <si>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</si>
  <si>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</si>
  <si>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</si>
  <si>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</si>
  <si>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</si>
  <si>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</si>
  <si>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</si>
  <si>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</si>
  <si>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</si>
  <si>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</si>
  <si>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</si>
  <si>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</si>
  <si>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</si>
  <si>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</si>
  <si>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</si>
  <si>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</si>
  <si>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</si>
  <si>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</si>
  <si>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</si>
  <si>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</si>
  <si>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</si>
  <si>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</si>
  <si>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</si>
  <si>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</si>
  <si>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</si>
  <si>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</si>
  <si>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</si>
  <si>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</si>
  <si>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</si>
  <si>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</si>
  <si>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</si>
  <si>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</si>
  <si>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</si>
  <si>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</si>
  <si>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</si>
  <si>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</si>
  <si>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</si>
  <si>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</si>
  <si>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</si>
  <si>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</si>
  <si>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</si>
  <si>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</si>
  <si>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</si>
  <si>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</si>
  <si>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</si>
  <si>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</si>
  <si>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</si>
  <si>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</si>
  <si>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</si>
  <si>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</si>
  <si>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</si>
  <si>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</si>
  <si>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</si>
  <si>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</si>
  <si>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</si>
  <si>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</si>
  <si>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</si>
  <si>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</si>
  <si>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</si>
  <si>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</si>
  <si>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</si>
  <si>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</si>
  <si>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</si>
  <si>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</si>
  <si>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</si>
  <si>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</si>
  <si>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</si>
  <si>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</si>
  <si>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</si>
  <si>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</si>
  <si>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</si>
  <si>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</si>
  <si>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</si>
  <si>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 xml:space="preserve">Supply &amp; Delivery - Mode Duplex Fibre Modules </t>
  </si>
  <si>
    <t>Paul Van Vuuren - IOG122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</si>
  <si>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</si>
  <si>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</si>
  <si>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</si>
  <si>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</si>
  <si>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</si>
  <si>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</si>
  <si>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</si>
  <si>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</si>
  <si>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</si>
  <si>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</si>
  <si>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</si>
  <si>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</si>
  <si>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</si>
  <si>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</si>
  <si>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</si>
  <si>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</si>
  <si>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</si>
  <si>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</si>
  <si>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</si>
  <si>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</si>
  <si>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</si>
  <si>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</si>
  <si>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</si>
  <si>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</si>
  <si>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</si>
  <si>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</si>
  <si>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</si>
  <si>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</si>
  <si>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</si>
  <si>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</si>
  <si>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</si>
  <si>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</si>
  <si>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</si>
  <si>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</si>
  <si>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</si>
  <si>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</si>
  <si>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</si>
  <si>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</si>
  <si>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</si>
  <si>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</si>
  <si>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</si>
  <si>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</si>
  <si>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</si>
  <si>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</si>
  <si>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</si>
  <si>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</si>
  <si>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</si>
  <si>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</si>
  <si>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</si>
  <si>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</si>
  <si>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</si>
  <si>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</si>
  <si>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</si>
  <si>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</si>
  <si>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</si>
  <si>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</si>
  <si>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</si>
  <si>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</si>
  <si>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</si>
  <si>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</si>
  <si>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</si>
  <si>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</si>
  <si>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</si>
  <si>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</si>
  <si>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</si>
  <si>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</si>
  <si>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</si>
  <si>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</si>
  <si>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</si>
  <si>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</si>
  <si>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</si>
  <si>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</si>
  <si>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</si>
  <si>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</si>
  <si>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</si>
  <si>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</si>
  <si>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</si>
  <si>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</si>
  <si>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</si>
  <si>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</si>
  <si>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</si>
  <si>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</si>
  <si>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</si>
  <si>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PO4631-CSPH2-20260219 - RV Approved</t>
  </si>
  <si>
    <t>Luken Solar INV-0714</t>
  </si>
  <si>
    <t>Upfront Fedgroup Fee</t>
  </si>
  <si>
    <t>Poder forFire Extinguisher</t>
  </si>
  <si>
    <t xml:space="preserve">Transfire Eastern Cape -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</si>
  <si>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</si>
  <si>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</si>
  <si>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</si>
  <si>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</si>
  <si>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</si>
  <si>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</si>
  <si>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</si>
  <si>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</si>
  <si>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</si>
  <si>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</si>
  <si>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</si>
  <si>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</si>
  <si>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</si>
  <si>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</si>
  <si>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</si>
  <si>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</si>
  <si>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</si>
  <si>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</si>
  <si>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</si>
  <si>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</si>
  <si>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</si>
  <si>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</si>
  <si>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</si>
  <si>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</si>
  <si>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</si>
  <si>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</si>
  <si>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</si>
  <si>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</si>
  <si>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</si>
  <si>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</si>
  <si>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</si>
  <si>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</si>
  <si>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</si>
  <si>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</si>
  <si>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</si>
  <si>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</si>
  <si>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</si>
  <si>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</si>
  <si>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</si>
  <si>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</si>
  <si>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</si>
  <si>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Omega Security - February</t>
  </si>
  <si>
    <t>Omega - OM041678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</si>
  <si>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</si>
  <si>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</si>
  <si>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</si>
  <si>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</si>
  <si>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</si>
  <si>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</si>
  <si>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</si>
  <si>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</si>
  <si>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</si>
  <si>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</si>
  <si>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</si>
  <si>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</si>
  <si>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</si>
  <si>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</si>
  <si>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</si>
  <si>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</si>
  <si>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</si>
  <si>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</si>
  <si>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</si>
  <si>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</si>
  <si>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</si>
  <si>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</si>
  <si>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</si>
  <si>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</si>
  <si>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</si>
  <si>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</si>
  <si>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</si>
  <si>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</si>
  <si>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</si>
  <si>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</si>
  <si>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</si>
  <si>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</si>
  <si>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</si>
  <si>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</si>
  <si>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</si>
  <si>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</si>
  <si>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</si>
  <si>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</si>
  <si>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</si>
  <si>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</si>
  <si>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</si>
  <si>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</si>
  <si>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</si>
  <si>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</si>
  <si>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 xml:space="preserve">Container Hire - March - Office Container </t>
  </si>
  <si>
    <t>Container World C609335</t>
  </si>
  <si>
    <t>Container World P611940</t>
  </si>
  <si>
    <t>Container World P611942</t>
  </si>
  <si>
    <t>Container World P611950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</si>
  <si>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</si>
  <si>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</si>
  <si>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</si>
  <si>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</si>
  <si>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</si>
  <si>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</si>
  <si>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</si>
  <si>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</si>
  <si>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</si>
  <si>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</si>
  <si>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</si>
  <si>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</si>
  <si>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</si>
  <si>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</si>
  <si>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Site Ablutions - February</t>
  </si>
  <si>
    <t>Talisman Hire - 00220052</t>
  </si>
  <si>
    <t>Talisman Hire - 00220066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</si>
  <si>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</si>
  <si>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</si>
  <si>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</si>
  <si>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</si>
  <si>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</si>
  <si>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2XTwo - EME-262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</si>
  <si>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</si>
  <si>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</si>
  <si>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</si>
  <si>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</si>
  <si>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</si>
  <si>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</si>
  <si>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</si>
  <si>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</si>
  <si>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</si>
  <si>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</si>
  <si>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</si>
  <si>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</si>
  <si>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</si>
  <si>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Matriarch - INV-6571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</si>
  <si>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</si>
  <si>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</si>
  <si>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</si>
  <si>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</si>
  <si>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</si>
  <si>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</si>
  <si>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</si>
  <si>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</si>
  <si>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- INV-6572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</si>
  <si>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</si>
  <si>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</si>
  <si>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</si>
  <si>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</si>
  <si>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</si>
  <si>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</si>
  <si>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</si>
  <si>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</si>
  <si>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</si>
  <si>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</si>
  <si>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</si>
  <si>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</si>
  <si>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</si>
  <si>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</si>
  <si>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Matriarch - INV-6568</t>
  </si>
  <si>
    <t>Matriarch O &amp; M Fee - Phase 1 - Feb</t>
  </si>
  <si>
    <t>Matriarch - INV-6363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</si>
  <si>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</si>
  <si>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</si>
  <si>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</si>
  <si>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</si>
  <si>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</si>
  <si>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</si>
  <si>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</si>
  <si>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</si>
  <si>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</si>
  <si>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</si>
  <si>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</si>
  <si>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</si>
  <si>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</si>
  <si>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</si>
  <si>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</si>
  <si>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</si>
  <si>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</si>
  <si>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</si>
  <si>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</si>
  <si>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</si>
  <si>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</si>
  <si>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</si>
  <si>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</si>
  <si>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</si>
  <si>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</si>
  <si>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</si>
  <si>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</si>
  <si>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</si>
  <si>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</si>
  <si>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</si>
  <si>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</si>
  <si>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</si>
  <si>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</si>
  <si>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</si>
  <si>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</si>
  <si>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</si>
  <si>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</si>
  <si>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</si>
  <si>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Coega Development Corporation - 06-02-26</t>
  </si>
  <si>
    <t>PO4649-CSPH2-20260227 - RV Approved</t>
  </si>
  <si>
    <t>courier of Utility Meter</t>
  </si>
  <si>
    <t>DSV Inv: 180157893</t>
  </si>
  <si>
    <t>RS485 protection</t>
  </si>
  <si>
    <t>Luken Solar INV-0708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</si>
  <si>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</si>
  <si>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</si>
  <si>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</si>
  <si>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</si>
  <si>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</si>
  <si>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</si>
  <si>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</si>
  <si>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</si>
  <si>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</si>
  <si>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</si>
  <si>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</si>
  <si>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</si>
  <si>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</si>
  <si>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</si>
  <si>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</si>
  <si>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Coega Steel PH2 - Jan 2026 Interest</t>
  </si>
  <si>
    <t>Fedgroup - 1110788_260217</t>
  </si>
  <si>
    <t>Transport - Leftover stock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</si>
  <si>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</si>
  <si>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</si>
  <si>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</si>
  <si>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</si>
  <si>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</si>
  <si>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</si>
  <si>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</si>
  <si>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</si>
  <si>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</si>
  <si>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</si>
  <si>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</si>
  <si>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</si>
  <si>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</si>
  <si>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</si>
  <si>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</si>
  <si>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</si>
  <si>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</si>
  <si>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</si>
  <si>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</si>
  <si>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</si>
  <si>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</si>
  <si>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</si>
  <si>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</si>
  <si>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</si>
  <si>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</si>
  <si>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</si>
  <si>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</si>
  <si>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</si>
  <si>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</si>
  <si>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</si>
  <si>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</si>
  <si>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</si>
  <si>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</si>
  <si>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</si>
  <si>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</si>
  <si>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</si>
  <si>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</si>
  <si>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</si>
  <si>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</si>
  <si>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</si>
  <si>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</si>
  <si>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</si>
  <si>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>Details for Sum of Actual Total  - Product/ Service: 13. Engineering, INVOICE RAISED DATE: 1/31/2026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</si>
  <si>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</si>
  <si>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</si>
  <si>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</si>
  <si>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</si>
  <si>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</si>
  <si>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</si>
  <si>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</si>
  <si>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</si>
  <si>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</si>
  <si>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</si>
  <si>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</si>
  <si>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</si>
  <si>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</si>
  <si>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</si>
  <si>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</si>
  <si>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</si>
  <si>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</si>
  <si>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</si>
  <si>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</si>
  <si>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</si>
  <si>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</si>
  <si>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</si>
  <si>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</si>
  <si>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</si>
  <si>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</si>
  <si>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</si>
  <si>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</si>
  <si>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</si>
  <si>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</si>
  <si>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</si>
  <si>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</si>
  <si>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</si>
  <si>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</si>
  <si>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</si>
  <si>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</si>
  <si>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</si>
  <si>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</si>
  <si>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</si>
  <si>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</si>
  <si>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</si>
  <si>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</si>
  <si>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</si>
  <si>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</si>
  <si>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</si>
  <si>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</si>
  <si>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</si>
  <si>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</si>
  <si>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</si>
  <si>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</si>
  <si>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</si>
  <si>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</si>
  <si>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</si>
  <si>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</si>
  <si>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</si>
  <si>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</si>
  <si>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</si>
  <si>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</si>
  <si>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</si>
  <si>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</si>
  <si>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</si>
  <si>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</si>
  <si>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</si>
  <si>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</si>
  <si>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</si>
  <si>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</si>
  <si>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</si>
  <si>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</si>
  <si>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</si>
  <si>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</si>
  <si>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</si>
  <si>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</si>
  <si>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</si>
  <si>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</si>
  <si>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</si>
  <si>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</si>
  <si>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</si>
  <si>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</si>
  <si>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</si>
  <si>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</si>
  <si>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</si>
  <si>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</si>
  <si>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</si>
  <si>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</si>
  <si>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</si>
  <si>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</si>
  <si>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Replace damaged modules</t>
  </si>
  <si>
    <t>DC Cable Red (Returned to stock)</t>
  </si>
  <si>
    <t>DC Cable Black (Returned to stock)</t>
  </si>
  <si>
    <t>Earthing Cable 6sqmm (returned to stock)</t>
  </si>
  <si>
    <t>70sqmm BCEW (Bare copper earth cable) (returned to stock)</t>
  </si>
  <si>
    <t>95sqmm G/Y House wire cable (returned to stock)</t>
  </si>
  <si>
    <t>50sqmm G/Y House wire (returned to stock)</t>
  </si>
  <si>
    <t>No.6 Compression Glands (returned to stock)</t>
  </si>
  <si>
    <t>Alu Lugs 150x12</t>
  </si>
  <si>
    <t>150mmx4core Str AL XLPE SWA cable</t>
  </si>
  <si>
    <t>185mm x 3core Cu XLPE PVC SWA</t>
  </si>
  <si>
    <t>IBR Mounting clamps - 130004-200 returned to stock</t>
  </si>
  <si>
    <t>Mid Clamps -</t>
  </si>
  <si>
    <t xml:space="preserve">50mm x 3m R/Flange cable tray covers </t>
  </si>
  <si>
    <t xml:space="preserve">50mm x 3m R/Flange cable tray - </t>
  </si>
  <si>
    <t xml:space="preserve">300mm x 3m R/Flange cable tray </t>
  </si>
  <si>
    <t>300mm x 3m R/Flange cable tray covers</t>
  </si>
  <si>
    <t>75mm x 3m R/Flange cable tray</t>
  </si>
  <si>
    <t>75mm x 3m R/Flange cable tray cover</t>
  </si>
  <si>
    <t>110mm x 3m R/Flange cable tray</t>
  </si>
  <si>
    <t>225mm x 3m R/Flange cable tray</t>
  </si>
  <si>
    <t>300mm R/F Elbow</t>
  </si>
  <si>
    <t>300mm R/F Elbow cover</t>
  </si>
  <si>
    <t>450mm R/F Elbow</t>
  </si>
  <si>
    <t>450mm R/F Elbow cover</t>
  </si>
  <si>
    <t>600mm Ladderack elbow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</si>
</sst>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6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164" fontId="25" fillId="7" borderId="0" xfId="1" applyFont="1" applyFill="1" applyBorder="1" applyProtection="1">
      <protection locked="0"/>
    </xf>
    <xf numFmtId="164" fontId="25" fillId="7" borderId="0" xfId="0" applyNumberFormat="1" applyFont="1" applyFill="1" applyProtection="1">
      <protection locked="0"/>
    </xf>
    <xf numFmtId="164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164" fontId="26" fillId="7" borderId="84" xfId="0" applyNumberFormat="1" applyFont="1" applyFill="1" applyBorder="1" applyProtection="1">
      <protection locked="0"/>
    </xf>
    <xf numFmtId="164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164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4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4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0" fontId="3" fillId="0" borderId="0" xfId="0" applyFont="1"/>
    <xf numFmtId="168" fontId="23" fillId="11" borderId="64" xfId="0" applyNumberFormat="1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 wrapText="1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0" fontId="5" fillId="11" borderId="3" xfId="0" applyFont="1" applyFill="1" applyBorder="1" applyProtection="1">
      <protection locked="0"/>
    </xf>
    <xf numFmtId="0" fontId="5" fillId="11" borderId="3" xfId="0" applyFont="1" applyFill="1" applyBorder="1" applyAlignment="1" applyProtection="1">
      <alignment horizontal="center" vertical="center"/>
      <protection locked="0"/>
    </xf>
    <xf numFmtId="0" fontId="35" fillId="11" borderId="3" xfId="0" applyFont="1" applyFill="1" applyBorder="1" applyProtection="1">
      <protection locked="0"/>
    </xf>
    <xf numFmtId="0" fontId="35" fillId="11" borderId="3" xfId="0" applyFont="1" applyFill="1" applyBorder="1" applyAlignment="1" applyProtection="1">
      <alignment horizontal="center" vertical="center"/>
      <protection locked="0"/>
    </xf>
    <xf numFmtId="14" fontId="13" fillId="11" borderId="97" xfId="0" applyNumberFormat="1" applyFont="1" applyFill="1" applyBorder="1" applyAlignment="1" applyProtection="1">
      <alignment horizontal="center"/>
      <protection locked="0"/>
    </xf>
    <xf numFmtId="0" fontId="23" fillId="16" borderId="22" xfId="0" applyFont="1" applyFill="1" applyBorder="1" applyProtection="1">
      <protection locked="0"/>
    </xf>
    <xf numFmtId="0" fontId="7" fillId="16" borderId="23" xfId="0" applyFont="1" applyFill="1" applyBorder="1" applyProtection="1">
      <protection locked="0"/>
    </xf>
    <xf numFmtId="0" fontId="5" fillId="11" borderId="98" xfId="0" applyFont="1" applyFill="1" applyBorder="1" applyProtection="1">
      <protection locked="0"/>
    </xf>
    <xf numFmtId="168" fontId="5" fillId="11" borderId="99" xfId="0" applyNumberFormat="1" applyFont="1" applyFill="1" applyBorder="1" applyAlignment="1" applyProtection="1">
      <alignment horizontal="center"/>
      <protection locked="0"/>
    </xf>
    <xf numFmtId="168" fontId="5" fillId="11" borderId="22" xfId="0" applyNumberFormat="1" applyFont="1" applyFill="1" applyBorder="1" applyAlignment="1" applyProtection="1">
      <alignment horizontal="center"/>
      <protection locked="0"/>
    </xf>
    <xf numFmtId="14" fontId="13" fillId="11" borderId="14" xfId="0" applyNumberFormat="1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0" fontId="23" fillId="17" borderId="22" xfId="0" applyFont="1" applyFill="1" applyBorder="1" applyProtection="1">
      <protection locked="0"/>
    </xf>
    <xf numFmtId="0" fontId="7" fillId="17" borderId="23" xfId="0" applyFont="1" applyFill="1" applyBorder="1" applyProtection="1">
      <protection locked="0"/>
    </xf>
    <xf numFmtId="0" fontId="7" fillId="7" borderId="0" xfId="0" applyFont="1" applyFill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  <dxf>
      <numFmt numFmtId="173" formatCode="m/d/yyyy"/>
    </dxf>
    <dxf>
      <numFmt numFmtId="173" formatCode="m/d/yyyy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29</c:v>
                </c:pt>
                <c:pt idx="9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46085</c:v>
                </c:pt>
                <c:pt idx="1">
                  <c:v>46085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56995250</c:v>
                </c:pt>
                <c:pt idx="66">
                  <c:v>56995250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18024976.527811795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23112180.479985707</c:v>
                </c:pt>
                <c:pt idx="37">
                  <c:v>23147885.629985705</c:v>
                </c:pt>
                <c:pt idx="38">
                  <c:v>27089450.509985708</c:v>
                </c:pt>
                <c:pt idx="39">
                  <c:v>27089450.509985708</c:v>
                </c:pt>
                <c:pt idx="40">
                  <c:v>27510219.279985707</c:v>
                </c:pt>
                <c:pt idx="41">
                  <c:v>27574946.159985706</c:v>
                </c:pt>
                <c:pt idx="42">
                  <c:v>27591665.159985706</c:v>
                </c:pt>
                <c:pt idx="43">
                  <c:v>27591665.159985706</c:v>
                </c:pt>
                <c:pt idx="44">
                  <c:v>32486807.088620007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39919538.955880873</c:v>
                </c:pt>
                <c:pt idx="53">
                  <c:v>43635273.176446088</c:v>
                </c:pt>
                <c:pt idx="54">
                  <c:v>43671848.026446089</c:v>
                </c:pt>
                <c:pt idx="55">
                  <c:v>43672977.30644609</c:v>
                </c:pt>
                <c:pt idx="56">
                  <c:v>43672977.30644609</c:v>
                </c:pt>
                <c:pt idx="57">
                  <c:v>43824083.786446087</c:v>
                </c:pt>
                <c:pt idx="58">
                  <c:v>44203863.16644609</c:v>
                </c:pt>
                <c:pt idx="59">
                  <c:v>44203863.16644609</c:v>
                </c:pt>
                <c:pt idx="60">
                  <c:v>44203863.16644609</c:v>
                </c:pt>
                <c:pt idx="61">
                  <c:v>44206706.16644609</c:v>
                </c:pt>
                <c:pt idx="62">
                  <c:v>44879372.833112754</c:v>
                </c:pt>
                <c:pt idx="63">
                  <c:v>44935174.113112755</c:v>
                </c:pt>
                <c:pt idx="64">
                  <c:v>44935174.113112755</c:v>
                </c:pt>
                <c:pt idx="65">
                  <c:v>44935174.113112755</c:v>
                </c:pt>
                <c:pt idx="66">
                  <c:v>45651113.779779419</c:v>
                </c:pt>
                <c:pt idx="67">
                  <c:v>45651113.779779419</c:v>
                </c:pt>
                <c:pt idx="68">
                  <c:v>46251113.779779419</c:v>
                </c:pt>
                <c:pt idx="69">
                  <c:v>46251113.779779419</c:v>
                </c:pt>
                <c:pt idx="70">
                  <c:v>46333254.446446083</c:v>
                </c:pt>
                <c:pt idx="71">
                  <c:v>46333254.446446083</c:v>
                </c:pt>
                <c:pt idx="72">
                  <c:v>46333254.446446083</c:v>
                </c:pt>
                <c:pt idx="73">
                  <c:v>46333254.446446083</c:v>
                </c:pt>
                <c:pt idx="74">
                  <c:v>46333254.446446083</c:v>
                </c:pt>
                <c:pt idx="75">
                  <c:v>46415395.113112748</c:v>
                </c:pt>
                <c:pt idx="76">
                  <c:v>46415395.113112748</c:v>
                </c:pt>
                <c:pt idx="77">
                  <c:v>46415395.113112748</c:v>
                </c:pt>
                <c:pt idx="78">
                  <c:v>46415395.113112748</c:v>
                </c:pt>
                <c:pt idx="79">
                  <c:v>46497535.779779412</c:v>
                </c:pt>
                <c:pt idx="80">
                  <c:v>46497535.779779412</c:v>
                </c:pt>
                <c:pt idx="81">
                  <c:v>46497535.779779412</c:v>
                </c:pt>
                <c:pt idx="82">
                  <c:v>46497535.779779412</c:v>
                </c:pt>
                <c:pt idx="83">
                  <c:v>46497535.779779412</c:v>
                </c:pt>
                <c:pt idx="84">
                  <c:v>46579676.446446076</c:v>
                </c:pt>
                <c:pt idx="85">
                  <c:v>46579676.446446076</c:v>
                </c:pt>
                <c:pt idx="86">
                  <c:v>46579676.446446076</c:v>
                </c:pt>
                <c:pt idx="87">
                  <c:v>46579676.446446076</c:v>
                </c:pt>
                <c:pt idx="88">
                  <c:v>46661817.11311274</c:v>
                </c:pt>
                <c:pt idx="89">
                  <c:v>46661817.11311274</c:v>
                </c:pt>
                <c:pt idx="90">
                  <c:v>46661817.11311274</c:v>
                </c:pt>
                <c:pt idx="91">
                  <c:v>46661817.11311274</c:v>
                </c:pt>
                <c:pt idx="92">
                  <c:v>46743957.779779404</c:v>
                </c:pt>
                <c:pt idx="93">
                  <c:v>46743957.779779404</c:v>
                </c:pt>
                <c:pt idx="94">
                  <c:v>46743957.779779404</c:v>
                </c:pt>
                <c:pt idx="95">
                  <c:v>46743957.779779404</c:v>
                </c:pt>
                <c:pt idx="96">
                  <c:v>46743957.779779404</c:v>
                </c:pt>
                <c:pt idx="97">
                  <c:v>47126098.446446069</c:v>
                </c:pt>
                <c:pt idx="98">
                  <c:v>47126098.446446069</c:v>
                </c:pt>
                <c:pt idx="99">
                  <c:v>47126098.446446069</c:v>
                </c:pt>
                <c:pt idx="100">
                  <c:v>47126098.446446069</c:v>
                </c:pt>
                <c:pt idx="101">
                  <c:v>47208239.113112733</c:v>
                </c:pt>
                <c:pt idx="102">
                  <c:v>47208239.113112733</c:v>
                </c:pt>
                <c:pt idx="103">
                  <c:v>47208239.113112733</c:v>
                </c:pt>
                <c:pt idx="104">
                  <c:v>47208239.113112733</c:v>
                </c:pt>
                <c:pt idx="105">
                  <c:v>47290379.779779397</c:v>
                </c:pt>
                <c:pt idx="106">
                  <c:v>47290379.779779397</c:v>
                </c:pt>
                <c:pt idx="107">
                  <c:v>47290379.779779397</c:v>
                </c:pt>
                <c:pt idx="108">
                  <c:v>47290379.779779397</c:v>
                </c:pt>
                <c:pt idx="109">
                  <c:v>47372520.446446061</c:v>
                </c:pt>
                <c:pt idx="110">
                  <c:v>47372520.446446061</c:v>
                </c:pt>
                <c:pt idx="111">
                  <c:v>47372520.446446061</c:v>
                </c:pt>
                <c:pt idx="112">
                  <c:v>47372520.446446061</c:v>
                </c:pt>
                <c:pt idx="113">
                  <c:v>47372520.446446061</c:v>
                </c:pt>
                <c:pt idx="114">
                  <c:v>47372520.446446061</c:v>
                </c:pt>
                <c:pt idx="115">
                  <c:v>47372520.446446061</c:v>
                </c:pt>
                <c:pt idx="116">
                  <c:v>47372520.446446061</c:v>
                </c:pt>
                <c:pt idx="117">
                  <c:v>47372520.446446061</c:v>
                </c:pt>
                <c:pt idx="118">
                  <c:v>47372520.446446061</c:v>
                </c:pt>
                <c:pt idx="119">
                  <c:v>47372520.446446061</c:v>
                </c:pt>
                <c:pt idx="120">
                  <c:v>47372520.446446061</c:v>
                </c:pt>
                <c:pt idx="121">
                  <c:v>47372520.446446061</c:v>
                </c:pt>
                <c:pt idx="122">
                  <c:v>47372520.446446061</c:v>
                </c:pt>
                <c:pt idx="123">
                  <c:v>47372520.446446061</c:v>
                </c:pt>
                <c:pt idx="124">
                  <c:v>47372520.446446061</c:v>
                </c:pt>
                <c:pt idx="125">
                  <c:v>47372520.446446061</c:v>
                </c:pt>
                <c:pt idx="126">
                  <c:v>47372520.446446061</c:v>
                </c:pt>
                <c:pt idx="127">
                  <c:v>47372520.446446061</c:v>
                </c:pt>
                <c:pt idx="128">
                  <c:v>47372520.446446061</c:v>
                </c:pt>
                <c:pt idx="129">
                  <c:v>47372520.446446061</c:v>
                </c:pt>
                <c:pt idx="130">
                  <c:v>47372520.446446061</c:v>
                </c:pt>
                <c:pt idx="131">
                  <c:v>47372520.446446061</c:v>
                </c:pt>
                <c:pt idx="132">
                  <c:v>47372520.446446061</c:v>
                </c:pt>
                <c:pt idx="133">
                  <c:v>47372520.446446061</c:v>
                </c:pt>
                <c:pt idx="134">
                  <c:v>47372520.446446061</c:v>
                </c:pt>
                <c:pt idx="135">
                  <c:v>47372520.446446061</c:v>
                </c:pt>
                <c:pt idx="136">
                  <c:v>47372520.446446061</c:v>
                </c:pt>
                <c:pt idx="137">
                  <c:v>47372520.446446061</c:v>
                </c:pt>
                <c:pt idx="138">
                  <c:v>47372520.446446061</c:v>
                </c:pt>
                <c:pt idx="139">
                  <c:v>47372520.446446061</c:v>
                </c:pt>
                <c:pt idx="140">
                  <c:v>47372520.446446061</c:v>
                </c:pt>
                <c:pt idx="141">
                  <c:v>47372520.446446061</c:v>
                </c:pt>
                <c:pt idx="142">
                  <c:v>47372520.446446061</c:v>
                </c:pt>
                <c:pt idx="143">
                  <c:v>47372520.446446061</c:v>
                </c:pt>
                <c:pt idx="144">
                  <c:v>47372520.446446061</c:v>
                </c:pt>
                <c:pt idx="145">
                  <c:v>47372520.446446061</c:v>
                </c:pt>
                <c:pt idx="146">
                  <c:v>47372520.446446061</c:v>
                </c:pt>
                <c:pt idx="147">
                  <c:v>47372520.446446061</c:v>
                </c:pt>
                <c:pt idx="148">
                  <c:v>47372520.446446061</c:v>
                </c:pt>
                <c:pt idx="149">
                  <c:v>47372520.446446061</c:v>
                </c:pt>
                <c:pt idx="150">
                  <c:v>47372520.446446061</c:v>
                </c:pt>
                <c:pt idx="151">
                  <c:v>47372520.446446061</c:v>
                </c:pt>
                <c:pt idx="152">
                  <c:v>47372520.446446061</c:v>
                </c:pt>
                <c:pt idx="153">
                  <c:v>47372520.446446061</c:v>
                </c:pt>
                <c:pt idx="154">
                  <c:v>47372520.446446061</c:v>
                </c:pt>
                <c:pt idx="155">
                  <c:v>47372520.446446061</c:v>
                </c:pt>
                <c:pt idx="156">
                  <c:v>47372520.446446061</c:v>
                </c:pt>
                <c:pt idx="157">
                  <c:v>47372520.446446061</c:v>
                </c:pt>
                <c:pt idx="158">
                  <c:v>47372520.446446061</c:v>
                </c:pt>
                <c:pt idx="159">
                  <c:v>47372520.446446061</c:v>
                </c:pt>
                <c:pt idx="160">
                  <c:v>47372520.446446061</c:v>
                </c:pt>
                <c:pt idx="161">
                  <c:v>47372520.446446061</c:v>
                </c:pt>
                <c:pt idx="162">
                  <c:v>47372520.446446061</c:v>
                </c:pt>
                <c:pt idx="163">
                  <c:v>47372520.446446061</c:v>
                </c:pt>
                <c:pt idx="164">
                  <c:v>47372520.446446061</c:v>
                </c:pt>
                <c:pt idx="165">
                  <c:v>47372520.446446061</c:v>
                </c:pt>
                <c:pt idx="166">
                  <c:v>47372520.446446061</c:v>
                </c:pt>
                <c:pt idx="167">
                  <c:v>47372520.446446061</c:v>
                </c:pt>
                <c:pt idx="168">
                  <c:v>47372520.446446061</c:v>
                </c:pt>
                <c:pt idx="169">
                  <c:v>47372520.446446061</c:v>
                </c:pt>
                <c:pt idx="170">
                  <c:v>47372520.446446061</c:v>
                </c:pt>
                <c:pt idx="171">
                  <c:v>47372520.446446061</c:v>
                </c:pt>
                <c:pt idx="172">
                  <c:v>47372520.446446061</c:v>
                </c:pt>
                <c:pt idx="173">
                  <c:v>47372520.446446061</c:v>
                </c:pt>
                <c:pt idx="174">
                  <c:v>47372520.446446061</c:v>
                </c:pt>
                <c:pt idx="175">
                  <c:v>47372520.446446061</c:v>
                </c:pt>
                <c:pt idx="176">
                  <c:v>47372520.446446061</c:v>
                </c:pt>
                <c:pt idx="177">
                  <c:v>47372520.446446061</c:v>
                </c:pt>
                <c:pt idx="178">
                  <c:v>47372520.446446061</c:v>
                </c:pt>
                <c:pt idx="179">
                  <c:v>47372520.446446061</c:v>
                </c:pt>
                <c:pt idx="180">
                  <c:v>47372520.446446061</c:v>
                </c:pt>
                <c:pt idx="181">
                  <c:v>47372520.446446061</c:v>
                </c:pt>
                <c:pt idx="182">
                  <c:v>47372520.446446061</c:v>
                </c:pt>
                <c:pt idx="183">
                  <c:v>47372520.446446061</c:v>
                </c:pt>
                <c:pt idx="184">
                  <c:v>47372520.446446061</c:v>
                </c:pt>
                <c:pt idx="185">
                  <c:v>47372520.446446061</c:v>
                </c:pt>
                <c:pt idx="186">
                  <c:v>47372520.446446061</c:v>
                </c:pt>
                <c:pt idx="187">
                  <c:v>47372520.446446061</c:v>
                </c:pt>
                <c:pt idx="188">
                  <c:v>47372520.446446061</c:v>
                </c:pt>
                <c:pt idx="189">
                  <c:v>47372520.446446061</c:v>
                </c:pt>
                <c:pt idx="190">
                  <c:v>47372520.446446061</c:v>
                </c:pt>
                <c:pt idx="191">
                  <c:v>47372520.446446061</c:v>
                </c:pt>
                <c:pt idx="192">
                  <c:v>47372520.446446061</c:v>
                </c:pt>
                <c:pt idx="193">
                  <c:v>47372520.446446061</c:v>
                </c:pt>
                <c:pt idx="194">
                  <c:v>47372520.446446061</c:v>
                </c:pt>
                <c:pt idx="195">
                  <c:v>47372520.446446061</c:v>
                </c:pt>
                <c:pt idx="196">
                  <c:v>47372520.446446061</c:v>
                </c:pt>
                <c:pt idx="197">
                  <c:v>47372520.446446061</c:v>
                </c:pt>
                <c:pt idx="198">
                  <c:v>47372520.446446061</c:v>
                </c:pt>
                <c:pt idx="199">
                  <c:v>47372520.446446061</c:v>
                </c:pt>
                <c:pt idx="200">
                  <c:v>47372520.446446061</c:v>
                </c:pt>
                <c:pt idx="201">
                  <c:v>47372520.446446061</c:v>
                </c:pt>
                <c:pt idx="202">
                  <c:v>47372520.446446061</c:v>
                </c:pt>
                <c:pt idx="203">
                  <c:v>47372520.446446061</c:v>
                </c:pt>
                <c:pt idx="204">
                  <c:v>47372520.446446061</c:v>
                </c:pt>
                <c:pt idx="205">
                  <c:v>47372520.446446061</c:v>
                </c:pt>
                <c:pt idx="206">
                  <c:v>47372520.446446061</c:v>
                </c:pt>
                <c:pt idx="207">
                  <c:v>47372520.446446061</c:v>
                </c:pt>
                <c:pt idx="208">
                  <c:v>47372520.446446061</c:v>
                </c:pt>
                <c:pt idx="209">
                  <c:v>47372520.446446061</c:v>
                </c:pt>
                <c:pt idx="210">
                  <c:v>47372520.446446061</c:v>
                </c:pt>
                <c:pt idx="211">
                  <c:v>47372520.446446061</c:v>
                </c:pt>
                <c:pt idx="212">
                  <c:v>47372520.446446061</c:v>
                </c:pt>
                <c:pt idx="213">
                  <c:v>47372520.446446061</c:v>
                </c:pt>
                <c:pt idx="214">
                  <c:v>47372520.446446061</c:v>
                </c:pt>
                <c:pt idx="215">
                  <c:v>47372520.446446061</c:v>
                </c:pt>
                <c:pt idx="216">
                  <c:v>47372520.446446061</c:v>
                </c:pt>
                <c:pt idx="217">
                  <c:v>47372520.446446061</c:v>
                </c:pt>
                <c:pt idx="218">
                  <c:v>47372520.446446061</c:v>
                </c:pt>
                <c:pt idx="219">
                  <c:v>47372520.446446061</c:v>
                </c:pt>
                <c:pt idx="220">
                  <c:v>47372520.446446061</c:v>
                </c:pt>
                <c:pt idx="221">
                  <c:v>47372520.446446061</c:v>
                </c:pt>
                <c:pt idx="222">
                  <c:v>47372520.446446061</c:v>
                </c:pt>
                <c:pt idx="223">
                  <c:v>47372520.446446061</c:v>
                </c:pt>
                <c:pt idx="224">
                  <c:v>47372520.446446061</c:v>
                </c:pt>
                <c:pt idx="225">
                  <c:v>47372520.446446061</c:v>
                </c:pt>
                <c:pt idx="226">
                  <c:v>47372520.446446061</c:v>
                </c:pt>
                <c:pt idx="227">
                  <c:v>47372520.446446061</c:v>
                </c:pt>
                <c:pt idx="228">
                  <c:v>47372520.446446061</c:v>
                </c:pt>
                <c:pt idx="229">
                  <c:v>47372520.446446061</c:v>
                </c:pt>
                <c:pt idx="230">
                  <c:v>47372520.446446061</c:v>
                </c:pt>
                <c:pt idx="231">
                  <c:v>47372520.446446061</c:v>
                </c:pt>
                <c:pt idx="232">
                  <c:v>47372520.446446061</c:v>
                </c:pt>
                <c:pt idx="233">
                  <c:v>47372520.446446061</c:v>
                </c:pt>
                <c:pt idx="234">
                  <c:v>47372520.446446061</c:v>
                </c:pt>
                <c:pt idx="235">
                  <c:v>47372520.446446061</c:v>
                </c:pt>
                <c:pt idx="236">
                  <c:v>47372520.446446061</c:v>
                </c:pt>
                <c:pt idx="237">
                  <c:v>47372520.446446061</c:v>
                </c:pt>
                <c:pt idx="238">
                  <c:v>47372520.446446061</c:v>
                </c:pt>
                <c:pt idx="239">
                  <c:v>47372520.446446061</c:v>
                </c:pt>
                <c:pt idx="240">
                  <c:v>47372520.446446061</c:v>
                </c:pt>
                <c:pt idx="241">
                  <c:v>47372520.446446061</c:v>
                </c:pt>
                <c:pt idx="242">
                  <c:v>47372520.446446061</c:v>
                </c:pt>
                <c:pt idx="243">
                  <c:v>47372520.446446061</c:v>
                </c:pt>
                <c:pt idx="244">
                  <c:v>47372520.446446061</c:v>
                </c:pt>
                <c:pt idx="245">
                  <c:v>47372520.446446061</c:v>
                </c:pt>
                <c:pt idx="246">
                  <c:v>47372520.446446061</c:v>
                </c:pt>
                <c:pt idx="247">
                  <c:v>47372520.446446061</c:v>
                </c:pt>
                <c:pt idx="248">
                  <c:v>47372520.446446061</c:v>
                </c:pt>
                <c:pt idx="249">
                  <c:v>47372520.446446061</c:v>
                </c:pt>
                <c:pt idx="250">
                  <c:v>47372520.446446061</c:v>
                </c:pt>
                <c:pt idx="251">
                  <c:v>47372520.446446061</c:v>
                </c:pt>
                <c:pt idx="252">
                  <c:v>47372520.446446061</c:v>
                </c:pt>
                <c:pt idx="253">
                  <c:v>47372520.446446061</c:v>
                </c:pt>
                <c:pt idx="254">
                  <c:v>47372520.446446061</c:v>
                </c:pt>
                <c:pt idx="255">
                  <c:v>47372520.446446061</c:v>
                </c:pt>
                <c:pt idx="256">
                  <c:v>47372520.446446061</c:v>
                </c:pt>
                <c:pt idx="257">
                  <c:v>47372520.446446061</c:v>
                </c:pt>
                <c:pt idx="258">
                  <c:v>47372520.446446061</c:v>
                </c:pt>
                <c:pt idx="259">
                  <c:v>47372520.446446061</c:v>
                </c:pt>
                <c:pt idx="260">
                  <c:v>47372520.446446061</c:v>
                </c:pt>
                <c:pt idx="261">
                  <c:v>47372520.446446061</c:v>
                </c:pt>
                <c:pt idx="262">
                  <c:v>47372520.446446061</c:v>
                </c:pt>
                <c:pt idx="263">
                  <c:v>47372520.446446061</c:v>
                </c:pt>
                <c:pt idx="264">
                  <c:v>47372520.446446061</c:v>
                </c:pt>
                <c:pt idx="265">
                  <c:v>47372520.446446061</c:v>
                </c:pt>
                <c:pt idx="266">
                  <c:v>47372520.446446061</c:v>
                </c:pt>
                <c:pt idx="267">
                  <c:v>47372520.446446061</c:v>
                </c:pt>
                <c:pt idx="268">
                  <c:v>47372520.446446061</c:v>
                </c:pt>
                <c:pt idx="269">
                  <c:v>47372520.446446061</c:v>
                </c:pt>
                <c:pt idx="270">
                  <c:v>47372520.446446061</c:v>
                </c:pt>
                <c:pt idx="271">
                  <c:v>47372520.446446061</c:v>
                </c:pt>
                <c:pt idx="272">
                  <c:v>47372520.446446061</c:v>
                </c:pt>
                <c:pt idx="273">
                  <c:v>47372520.446446061</c:v>
                </c:pt>
                <c:pt idx="274">
                  <c:v>47372520.446446061</c:v>
                </c:pt>
                <c:pt idx="275">
                  <c:v>47372520.446446061</c:v>
                </c:pt>
                <c:pt idx="276">
                  <c:v>47372520.446446061</c:v>
                </c:pt>
                <c:pt idx="277">
                  <c:v>47372520.446446061</c:v>
                </c:pt>
                <c:pt idx="278">
                  <c:v>47372520.446446061</c:v>
                </c:pt>
                <c:pt idx="279">
                  <c:v>47372520.446446061</c:v>
                </c:pt>
                <c:pt idx="280">
                  <c:v>47372520.446446061</c:v>
                </c:pt>
                <c:pt idx="281">
                  <c:v>47372520.446446061</c:v>
                </c:pt>
                <c:pt idx="282">
                  <c:v>47372520.446446061</c:v>
                </c:pt>
                <c:pt idx="283">
                  <c:v>47372520.446446061</c:v>
                </c:pt>
                <c:pt idx="284">
                  <c:v>47372520.446446061</c:v>
                </c:pt>
                <c:pt idx="285">
                  <c:v>47372520.446446061</c:v>
                </c:pt>
                <c:pt idx="286">
                  <c:v>47372520.446446061</c:v>
                </c:pt>
                <c:pt idx="287">
                  <c:v>47372520.446446061</c:v>
                </c:pt>
                <c:pt idx="288">
                  <c:v>47372520.446446061</c:v>
                </c:pt>
                <c:pt idx="289">
                  <c:v>47372520.446446061</c:v>
                </c:pt>
                <c:pt idx="290">
                  <c:v>47372520.446446061</c:v>
                </c:pt>
                <c:pt idx="291">
                  <c:v>47372520.446446061</c:v>
                </c:pt>
                <c:pt idx="292">
                  <c:v>47372520.446446061</c:v>
                </c:pt>
                <c:pt idx="293">
                  <c:v>47372520.446446061</c:v>
                </c:pt>
                <c:pt idx="294">
                  <c:v>47372520.446446061</c:v>
                </c:pt>
                <c:pt idx="295">
                  <c:v>47372520.446446061</c:v>
                </c:pt>
                <c:pt idx="296">
                  <c:v>47372520.446446061</c:v>
                </c:pt>
                <c:pt idx="297">
                  <c:v>47372520.446446061</c:v>
                </c:pt>
                <c:pt idx="298">
                  <c:v>47372520.446446061</c:v>
                </c:pt>
                <c:pt idx="299">
                  <c:v>47372520.446446061</c:v>
                </c:pt>
                <c:pt idx="300">
                  <c:v>47372520.446446061</c:v>
                </c:pt>
                <c:pt idx="301">
                  <c:v>47372520.446446061</c:v>
                </c:pt>
                <c:pt idx="302">
                  <c:v>47372520.446446061</c:v>
                </c:pt>
                <c:pt idx="303">
                  <c:v>47372520.446446061</c:v>
                </c:pt>
                <c:pt idx="304">
                  <c:v>47372520.446446061</c:v>
                </c:pt>
                <c:pt idx="305">
                  <c:v>47372520.446446061</c:v>
                </c:pt>
                <c:pt idx="306">
                  <c:v>47372520.446446061</c:v>
                </c:pt>
                <c:pt idx="307">
                  <c:v>47372520.446446061</c:v>
                </c:pt>
                <c:pt idx="308">
                  <c:v>47372520.446446061</c:v>
                </c:pt>
                <c:pt idx="309">
                  <c:v>47372520.446446061</c:v>
                </c:pt>
                <c:pt idx="310">
                  <c:v>47372520.446446061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23971523.472188205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27883569.520014293</c:v>
                </c:pt>
                <c:pt idx="37">
                  <c:v>27847864.370014295</c:v>
                </c:pt>
                <c:pt idx="38">
                  <c:v>23906299.490014292</c:v>
                </c:pt>
                <c:pt idx="39">
                  <c:v>23906299.490014292</c:v>
                </c:pt>
                <c:pt idx="40">
                  <c:v>23485530.720014293</c:v>
                </c:pt>
                <c:pt idx="41">
                  <c:v>23420803.840014294</c:v>
                </c:pt>
                <c:pt idx="42">
                  <c:v>23404084.840014294</c:v>
                </c:pt>
                <c:pt idx="43">
                  <c:v>23404084.840014294</c:v>
                </c:pt>
                <c:pt idx="44">
                  <c:v>18508942.911379993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11126051.77455391</c:v>
                </c:pt>
                <c:pt idx="53">
                  <c:v>7410317.5539886951</c:v>
                </c:pt>
                <c:pt idx="54">
                  <c:v>7373742.7039886937</c:v>
                </c:pt>
                <c:pt idx="55">
                  <c:v>13322272.69355391</c:v>
                </c:pt>
                <c:pt idx="56">
                  <c:v>13322272.69355391</c:v>
                </c:pt>
                <c:pt idx="57">
                  <c:v>13171166.213553913</c:v>
                </c:pt>
                <c:pt idx="58">
                  <c:v>12791386.83355391</c:v>
                </c:pt>
                <c:pt idx="59">
                  <c:v>12791386.83355391</c:v>
                </c:pt>
                <c:pt idx="60">
                  <c:v>12791386.83355391</c:v>
                </c:pt>
                <c:pt idx="61">
                  <c:v>12788543.83355391</c:v>
                </c:pt>
                <c:pt idx="62">
                  <c:v>12115877.166887246</c:v>
                </c:pt>
                <c:pt idx="63">
                  <c:v>12060075.886887245</c:v>
                </c:pt>
                <c:pt idx="64">
                  <c:v>12060075.886887245</c:v>
                </c:pt>
                <c:pt idx="65">
                  <c:v>12060075.886887245</c:v>
                </c:pt>
                <c:pt idx="66">
                  <c:v>11344136.220220581</c:v>
                </c:pt>
                <c:pt idx="67">
                  <c:v>14343886.220220581</c:v>
                </c:pt>
                <c:pt idx="68">
                  <c:v>13743886.220220581</c:v>
                </c:pt>
                <c:pt idx="69">
                  <c:v>13743886.220220581</c:v>
                </c:pt>
                <c:pt idx="70">
                  <c:v>13661745.553553917</c:v>
                </c:pt>
                <c:pt idx="71">
                  <c:v>13661745.553553917</c:v>
                </c:pt>
                <c:pt idx="72">
                  <c:v>13661745.553553917</c:v>
                </c:pt>
                <c:pt idx="73">
                  <c:v>13661745.553553917</c:v>
                </c:pt>
                <c:pt idx="74">
                  <c:v>13661745.553553917</c:v>
                </c:pt>
                <c:pt idx="75">
                  <c:v>13579604.886887252</c:v>
                </c:pt>
                <c:pt idx="76">
                  <c:v>13579604.886887252</c:v>
                </c:pt>
                <c:pt idx="77">
                  <c:v>13579604.886887252</c:v>
                </c:pt>
                <c:pt idx="78">
                  <c:v>13579604.886887252</c:v>
                </c:pt>
                <c:pt idx="79">
                  <c:v>13497464.220220588</c:v>
                </c:pt>
                <c:pt idx="80">
                  <c:v>13497464.220220588</c:v>
                </c:pt>
                <c:pt idx="81">
                  <c:v>13497464.220220588</c:v>
                </c:pt>
                <c:pt idx="82">
                  <c:v>13497464.220220588</c:v>
                </c:pt>
                <c:pt idx="83">
                  <c:v>13497464.220220588</c:v>
                </c:pt>
                <c:pt idx="84">
                  <c:v>13415323.553553924</c:v>
                </c:pt>
                <c:pt idx="85">
                  <c:v>13415323.553553924</c:v>
                </c:pt>
                <c:pt idx="86">
                  <c:v>13415323.553553924</c:v>
                </c:pt>
                <c:pt idx="87">
                  <c:v>13415323.553553924</c:v>
                </c:pt>
                <c:pt idx="88">
                  <c:v>13333182.88688726</c:v>
                </c:pt>
                <c:pt idx="89">
                  <c:v>13333182.88688726</c:v>
                </c:pt>
                <c:pt idx="90">
                  <c:v>13333182.88688726</c:v>
                </c:pt>
                <c:pt idx="91">
                  <c:v>13333182.88688726</c:v>
                </c:pt>
                <c:pt idx="92">
                  <c:v>13251042.220220596</c:v>
                </c:pt>
                <c:pt idx="93">
                  <c:v>13251042.220220596</c:v>
                </c:pt>
                <c:pt idx="94">
                  <c:v>13251042.220220596</c:v>
                </c:pt>
                <c:pt idx="95">
                  <c:v>13251042.220220596</c:v>
                </c:pt>
                <c:pt idx="96">
                  <c:v>13251042.220220596</c:v>
                </c:pt>
                <c:pt idx="97">
                  <c:v>12868901.553553931</c:v>
                </c:pt>
                <c:pt idx="98">
                  <c:v>12868901.553553931</c:v>
                </c:pt>
                <c:pt idx="99">
                  <c:v>12868901.553553931</c:v>
                </c:pt>
                <c:pt idx="100">
                  <c:v>12868901.553553931</c:v>
                </c:pt>
                <c:pt idx="101">
                  <c:v>12786760.886887267</c:v>
                </c:pt>
                <c:pt idx="102">
                  <c:v>12786760.886887267</c:v>
                </c:pt>
                <c:pt idx="103">
                  <c:v>12786760.886887267</c:v>
                </c:pt>
                <c:pt idx="104">
                  <c:v>12786760.886887267</c:v>
                </c:pt>
                <c:pt idx="105">
                  <c:v>12704620.220220603</c:v>
                </c:pt>
                <c:pt idx="106">
                  <c:v>12704620.220220603</c:v>
                </c:pt>
                <c:pt idx="107">
                  <c:v>12704620.220220603</c:v>
                </c:pt>
                <c:pt idx="108">
                  <c:v>12704620.220220603</c:v>
                </c:pt>
                <c:pt idx="109">
                  <c:v>12622479.553553939</c:v>
                </c:pt>
                <c:pt idx="110">
                  <c:v>12622479.553553939</c:v>
                </c:pt>
                <c:pt idx="111">
                  <c:v>12622479.553553939</c:v>
                </c:pt>
                <c:pt idx="112">
                  <c:v>12622479.553553939</c:v>
                </c:pt>
                <c:pt idx="113">
                  <c:v>12622479.553553939</c:v>
                </c:pt>
                <c:pt idx="114">
                  <c:v>12622479.553553939</c:v>
                </c:pt>
                <c:pt idx="115">
                  <c:v>12622479.553553939</c:v>
                </c:pt>
                <c:pt idx="116">
                  <c:v>12622479.553553939</c:v>
                </c:pt>
                <c:pt idx="117">
                  <c:v>12622479.553553939</c:v>
                </c:pt>
                <c:pt idx="118">
                  <c:v>12622479.553553939</c:v>
                </c:pt>
                <c:pt idx="119">
                  <c:v>12622479.553553939</c:v>
                </c:pt>
                <c:pt idx="120">
                  <c:v>12622479.553553939</c:v>
                </c:pt>
                <c:pt idx="121">
                  <c:v>12622479.553553939</c:v>
                </c:pt>
                <c:pt idx="122">
                  <c:v>12622479.553553939</c:v>
                </c:pt>
                <c:pt idx="123">
                  <c:v>12622479.553553939</c:v>
                </c:pt>
                <c:pt idx="124">
                  <c:v>12622479.553553939</c:v>
                </c:pt>
                <c:pt idx="125">
                  <c:v>12622479.553553939</c:v>
                </c:pt>
                <c:pt idx="126">
                  <c:v>12622479.553553939</c:v>
                </c:pt>
                <c:pt idx="127">
                  <c:v>12622479.553553939</c:v>
                </c:pt>
                <c:pt idx="128">
                  <c:v>12622479.553553939</c:v>
                </c:pt>
                <c:pt idx="129">
                  <c:v>12622479.553553939</c:v>
                </c:pt>
                <c:pt idx="130">
                  <c:v>12622479.553553939</c:v>
                </c:pt>
                <c:pt idx="131">
                  <c:v>12622479.553553939</c:v>
                </c:pt>
                <c:pt idx="132">
                  <c:v>12622479.553553939</c:v>
                </c:pt>
                <c:pt idx="133">
                  <c:v>12622479.553553939</c:v>
                </c:pt>
                <c:pt idx="134">
                  <c:v>12622479.553553939</c:v>
                </c:pt>
                <c:pt idx="135">
                  <c:v>12622479.553553939</c:v>
                </c:pt>
                <c:pt idx="136">
                  <c:v>12622479.553553939</c:v>
                </c:pt>
                <c:pt idx="137">
                  <c:v>12622479.553553939</c:v>
                </c:pt>
                <c:pt idx="138">
                  <c:v>12622479.553553939</c:v>
                </c:pt>
                <c:pt idx="139">
                  <c:v>12622479.553553939</c:v>
                </c:pt>
                <c:pt idx="140">
                  <c:v>12622479.553553939</c:v>
                </c:pt>
                <c:pt idx="141">
                  <c:v>12622479.553553939</c:v>
                </c:pt>
                <c:pt idx="142">
                  <c:v>12622479.553553939</c:v>
                </c:pt>
                <c:pt idx="143">
                  <c:v>12622479.553553939</c:v>
                </c:pt>
                <c:pt idx="144">
                  <c:v>12622479.553553939</c:v>
                </c:pt>
                <c:pt idx="145">
                  <c:v>12622479.553553939</c:v>
                </c:pt>
                <c:pt idx="146">
                  <c:v>12622479.553553939</c:v>
                </c:pt>
                <c:pt idx="147">
                  <c:v>12622479.553553939</c:v>
                </c:pt>
                <c:pt idx="148">
                  <c:v>12622479.553553939</c:v>
                </c:pt>
                <c:pt idx="149">
                  <c:v>12622479.553553939</c:v>
                </c:pt>
                <c:pt idx="150">
                  <c:v>12622479.553553939</c:v>
                </c:pt>
                <c:pt idx="151">
                  <c:v>12622479.553553939</c:v>
                </c:pt>
                <c:pt idx="152">
                  <c:v>12622479.553553939</c:v>
                </c:pt>
                <c:pt idx="153">
                  <c:v>12622479.553553939</c:v>
                </c:pt>
                <c:pt idx="154">
                  <c:v>12622479.553553939</c:v>
                </c:pt>
                <c:pt idx="155">
                  <c:v>12622479.553553939</c:v>
                </c:pt>
                <c:pt idx="156">
                  <c:v>12622479.553553939</c:v>
                </c:pt>
                <c:pt idx="157">
                  <c:v>12622479.553553939</c:v>
                </c:pt>
                <c:pt idx="158">
                  <c:v>12622479.553553939</c:v>
                </c:pt>
                <c:pt idx="159">
                  <c:v>12622479.553553939</c:v>
                </c:pt>
                <c:pt idx="160">
                  <c:v>12622479.553553939</c:v>
                </c:pt>
                <c:pt idx="161">
                  <c:v>12622479.553553939</c:v>
                </c:pt>
                <c:pt idx="162">
                  <c:v>12622479.553553939</c:v>
                </c:pt>
                <c:pt idx="163">
                  <c:v>12622479.553553939</c:v>
                </c:pt>
                <c:pt idx="164">
                  <c:v>12622479.553553939</c:v>
                </c:pt>
                <c:pt idx="165">
                  <c:v>12622479.553553939</c:v>
                </c:pt>
                <c:pt idx="166">
                  <c:v>12622479.553553939</c:v>
                </c:pt>
                <c:pt idx="167">
                  <c:v>12622479.553553939</c:v>
                </c:pt>
                <c:pt idx="168">
                  <c:v>12622479.553553939</c:v>
                </c:pt>
                <c:pt idx="169">
                  <c:v>12622479.553553939</c:v>
                </c:pt>
                <c:pt idx="170">
                  <c:v>12622479.553553939</c:v>
                </c:pt>
                <c:pt idx="171">
                  <c:v>12622479.553553939</c:v>
                </c:pt>
                <c:pt idx="172">
                  <c:v>12622479.553553939</c:v>
                </c:pt>
                <c:pt idx="173">
                  <c:v>12622479.553553939</c:v>
                </c:pt>
                <c:pt idx="174">
                  <c:v>12622479.553553939</c:v>
                </c:pt>
                <c:pt idx="175">
                  <c:v>12622479.553553939</c:v>
                </c:pt>
                <c:pt idx="176">
                  <c:v>12622479.553553939</c:v>
                </c:pt>
                <c:pt idx="177">
                  <c:v>12622479.553553939</c:v>
                </c:pt>
                <c:pt idx="178">
                  <c:v>12622479.553553939</c:v>
                </c:pt>
                <c:pt idx="179">
                  <c:v>12622479.553553939</c:v>
                </c:pt>
                <c:pt idx="180">
                  <c:v>12622479.553553939</c:v>
                </c:pt>
                <c:pt idx="181">
                  <c:v>12622479.553553939</c:v>
                </c:pt>
                <c:pt idx="182">
                  <c:v>12622479.553553939</c:v>
                </c:pt>
                <c:pt idx="183">
                  <c:v>12622479.553553939</c:v>
                </c:pt>
                <c:pt idx="184">
                  <c:v>12622479.553553939</c:v>
                </c:pt>
                <c:pt idx="185">
                  <c:v>12622479.553553939</c:v>
                </c:pt>
                <c:pt idx="186">
                  <c:v>12622479.553553939</c:v>
                </c:pt>
                <c:pt idx="187">
                  <c:v>12622479.553553939</c:v>
                </c:pt>
                <c:pt idx="188">
                  <c:v>12622479.553553939</c:v>
                </c:pt>
                <c:pt idx="189">
                  <c:v>12622479.553553939</c:v>
                </c:pt>
                <c:pt idx="190">
                  <c:v>12622479.553553939</c:v>
                </c:pt>
                <c:pt idx="191">
                  <c:v>12622479.553553939</c:v>
                </c:pt>
                <c:pt idx="192">
                  <c:v>12622479.553553939</c:v>
                </c:pt>
                <c:pt idx="193">
                  <c:v>12622479.553553939</c:v>
                </c:pt>
                <c:pt idx="194">
                  <c:v>12622479.553553939</c:v>
                </c:pt>
                <c:pt idx="195">
                  <c:v>12622479.553553939</c:v>
                </c:pt>
                <c:pt idx="196">
                  <c:v>12622479.553553939</c:v>
                </c:pt>
                <c:pt idx="197">
                  <c:v>12622479.553553939</c:v>
                </c:pt>
                <c:pt idx="198">
                  <c:v>12622479.553553939</c:v>
                </c:pt>
                <c:pt idx="199">
                  <c:v>12622479.553553939</c:v>
                </c:pt>
                <c:pt idx="200">
                  <c:v>12622479.553553939</c:v>
                </c:pt>
                <c:pt idx="201">
                  <c:v>12622479.553553939</c:v>
                </c:pt>
                <c:pt idx="202">
                  <c:v>12622479.553553939</c:v>
                </c:pt>
                <c:pt idx="203">
                  <c:v>12622479.553553939</c:v>
                </c:pt>
                <c:pt idx="204">
                  <c:v>12622479.553553939</c:v>
                </c:pt>
                <c:pt idx="205">
                  <c:v>12622479.553553939</c:v>
                </c:pt>
                <c:pt idx="206">
                  <c:v>12622479.553553939</c:v>
                </c:pt>
                <c:pt idx="207">
                  <c:v>12622479.553553939</c:v>
                </c:pt>
                <c:pt idx="208">
                  <c:v>12622479.553553939</c:v>
                </c:pt>
                <c:pt idx="209">
                  <c:v>12622479.553553939</c:v>
                </c:pt>
                <c:pt idx="210">
                  <c:v>12622479.553553939</c:v>
                </c:pt>
                <c:pt idx="211">
                  <c:v>12622479.553553939</c:v>
                </c:pt>
                <c:pt idx="212">
                  <c:v>12622479.553553939</c:v>
                </c:pt>
                <c:pt idx="213">
                  <c:v>12622479.553553939</c:v>
                </c:pt>
                <c:pt idx="214">
                  <c:v>12622479.553553939</c:v>
                </c:pt>
                <c:pt idx="215">
                  <c:v>12622479.553553939</c:v>
                </c:pt>
                <c:pt idx="216">
                  <c:v>12622479.553553939</c:v>
                </c:pt>
                <c:pt idx="217">
                  <c:v>12622479.553553939</c:v>
                </c:pt>
                <c:pt idx="218">
                  <c:v>12622479.553553939</c:v>
                </c:pt>
                <c:pt idx="219">
                  <c:v>12622479.553553939</c:v>
                </c:pt>
                <c:pt idx="220">
                  <c:v>12622479.553553939</c:v>
                </c:pt>
                <c:pt idx="221">
                  <c:v>12622479.553553939</c:v>
                </c:pt>
                <c:pt idx="222">
                  <c:v>12622479.553553939</c:v>
                </c:pt>
                <c:pt idx="223">
                  <c:v>12622479.553553939</c:v>
                </c:pt>
                <c:pt idx="224">
                  <c:v>12622479.553553939</c:v>
                </c:pt>
                <c:pt idx="225">
                  <c:v>12622479.553553939</c:v>
                </c:pt>
                <c:pt idx="226">
                  <c:v>12622479.553553939</c:v>
                </c:pt>
                <c:pt idx="227">
                  <c:v>12622479.553553939</c:v>
                </c:pt>
                <c:pt idx="228">
                  <c:v>12622479.553553939</c:v>
                </c:pt>
                <c:pt idx="229">
                  <c:v>12622479.553553939</c:v>
                </c:pt>
                <c:pt idx="230">
                  <c:v>12622479.553553939</c:v>
                </c:pt>
                <c:pt idx="231">
                  <c:v>12622479.553553939</c:v>
                </c:pt>
                <c:pt idx="232">
                  <c:v>12622479.553553939</c:v>
                </c:pt>
                <c:pt idx="233">
                  <c:v>12622479.553553939</c:v>
                </c:pt>
                <c:pt idx="234">
                  <c:v>12622479.553553939</c:v>
                </c:pt>
                <c:pt idx="235">
                  <c:v>12622479.553553939</c:v>
                </c:pt>
                <c:pt idx="236">
                  <c:v>12622479.553553939</c:v>
                </c:pt>
                <c:pt idx="237">
                  <c:v>12622479.553553939</c:v>
                </c:pt>
                <c:pt idx="238">
                  <c:v>12622479.553553939</c:v>
                </c:pt>
                <c:pt idx="239">
                  <c:v>12622479.553553939</c:v>
                </c:pt>
                <c:pt idx="240">
                  <c:v>12622479.553553939</c:v>
                </c:pt>
                <c:pt idx="241">
                  <c:v>12622479.553553939</c:v>
                </c:pt>
                <c:pt idx="242">
                  <c:v>12622479.553553939</c:v>
                </c:pt>
                <c:pt idx="243">
                  <c:v>12622479.553553939</c:v>
                </c:pt>
                <c:pt idx="244">
                  <c:v>12622479.553553939</c:v>
                </c:pt>
                <c:pt idx="245">
                  <c:v>12622479.553553939</c:v>
                </c:pt>
                <c:pt idx="246">
                  <c:v>12622479.553553939</c:v>
                </c:pt>
                <c:pt idx="247">
                  <c:v>12622479.553553939</c:v>
                </c:pt>
                <c:pt idx="248">
                  <c:v>12622479.553553939</c:v>
                </c:pt>
                <c:pt idx="249">
                  <c:v>12622479.553553939</c:v>
                </c:pt>
                <c:pt idx="250">
                  <c:v>12622479.553553939</c:v>
                </c:pt>
                <c:pt idx="251">
                  <c:v>12622479.553553939</c:v>
                </c:pt>
                <c:pt idx="252">
                  <c:v>12622479.553553939</c:v>
                </c:pt>
                <c:pt idx="253">
                  <c:v>12622479.553553939</c:v>
                </c:pt>
                <c:pt idx="254">
                  <c:v>12622479.553553939</c:v>
                </c:pt>
                <c:pt idx="255">
                  <c:v>12622479.553553939</c:v>
                </c:pt>
                <c:pt idx="256">
                  <c:v>12622479.553553939</c:v>
                </c:pt>
                <c:pt idx="257">
                  <c:v>12622479.553553939</c:v>
                </c:pt>
                <c:pt idx="258">
                  <c:v>12622479.553553939</c:v>
                </c:pt>
                <c:pt idx="259">
                  <c:v>12622479.553553939</c:v>
                </c:pt>
                <c:pt idx="260">
                  <c:v>12622479.553553939</c:v>
                </c:pt>
                <c:pt idx="261">
                  <c:v>12622479.553553939</c:v>
                </c:pt>
                <c:pt idx="262">
                  <c:v>12622479.553553939</c:v>
                </c:pt>
                <c:pt idx="263">
                  <c:v>12622479.553553939</c:v>
                </c:pt>
                <c:pt idx="264">
                  <c:v>12622479.553553939</c:v>
                </c:pt>
                <c:pt idx="265">
                  <c:v>12622479.553553939</c:v>
                </c:pt>
                <c:pt idx="266">
                  <c:v>12622479.553553939</c:v>
                </c:pt>
                <c:pt idx="267">
                  <c:v>12622479.553553939</c:v>
                </c:pt>
                <c:pt idx="268">
                  <c:v>12622479.553553939</c:v>
                </c:pt>
                <c:pt idx="269">
                  <c:v>12622479.553553939</c:v>
                </c:pt>
                <c:pt idx="270">
                  <c:v>12622479.553553939</c:v>
                </c:pt>
                <c:pt idx="271">
                  <c:v>12622479.553553939</c:v>
                </c:pt>
                <c:pt idx="272">
                  <c:v>12622479.553553939</c:v>
                </c:pt>
                <c:pt idx="273">
                  <c:v>12622479.553553939</c:v>
                </c:pt>
                <c:pt idx="274">
                  <c:v>12622479.553553939</c:v>
                </c:pt>
                <c:pt idx="275">
                  <c:v>12622479.553553939</c:v>
                </c:pt>
                <c:pt idx="276">
                  <c:v>12622479.553553939</c:v>
                </c:pt>
                <c:pt idx="277">
                  <c:v>12622479.553553939</c:v>
                </c:pt>
                <c:pt idx="278">
                  <c:v>12622479.553553939</c:v>
                </c:pt>
                <c:pt idx="279">
                  <c:v>12622479.553553939</c:v>
                </c:pt>
                <c:pt idx="280">
                  <c:v>12622479.553553939</c:v>
                </c:pt>
                <c:pt idx="281">
                  <c:v>12622479.553553939</c:v>
                </c:pt>
                <c:pt idx="282">
                  <c:v>12622479.553553939</c:v>
                </c:pt>
                <c:pt idx="283">
                  <c:v>12622479.553553939</c:v>
                </c:pt>
                <c:pt idx="284">
                  <c:v>12622479.553553939</c:v>
                </c:pt>
                <c:pt idx="285">
                  <c:v>12622479.553553939</c:v>
                </c:pt>
                <c:pt idx="286">
                  <c:v>12622479.553553939</c:v>
                </c:pt>
                <c:pt idx="287">
                  <c:v>12622479.553553939</c:v>
                </c:pt>
                <c:pt idx="288">
                  <c:v>12622479.553553939</c:v>
                </c:pt>
                <c:pt idx="289">
                  <c:v>12622479.553553939</c:v>
                </c:pt>
                <c:pt idx="290">
                  <c:v>12622479.553553939</c:v>
                </c:pt>
                <c:pt idx="291">
                  <c:v>12622479.553553939</c:v>
                </c:pt>
                <c:pt idx="292">
                  <c:v>12622479.553553939</c:v>
                </c:pt>
                <c:pt idx="293">
                  <c:v>12622479.553553939</c:v>
                </c:pt>
                <c:pt idx="294">
                  <c:v>12622479.553553939</c:v>
                </c:pt>
                <c:pt idx="295">
                  <c:v>12622479.553553939</c:v>
                </c:pt>
                <c:pt idx="296">
                  <c:v>12622479.553553939</c:v>
                </c:pt>
                <c:pt idx="297">
                  <c:v>12622479.553553939</c:v>
                </c:pt>
                <c:pt idx="298">
                  <c:v>12622479.553553939</c:v>
                </c:pt>
                <c:pt idx="299">
                  <c:v>12622479.553553939</c:v>
                </c:pt>
                <c:pt idx="300">
                  <c:v>12622479.553553939</c:v>
                </c:pt>
                <c:pt idx="301">
                  <c:v>12622479.553553939</c:v>
                </c:pt>
                <c:pt idx="302">
                  <c:v>12622479.553553939</c:v>
                </c:pt>
                <c:pt idx="303">
                  <c:v>12622479.553553939</c:v>
                </c:pt>
                <c:pt idx="304">
                  <c:v>12622479.553553939</c:v>
                </c:pt>
                <c:pt idx="305">
                  <c:v>12622479.553553939</c:v>
                </c:pt>
                <c:pt idx="306">
                  <c:v>12622479.553553939</c:v>
                </c:pt>
                <c:pt idx="307">
                  <c:v>12622479.553553939</c:v>
                </c:pt>
                <c:pt idx="308">
                  <c:v>12622479.553553939</c:v>
                </c:pt>
                <c:pt idx="309">
                  <c:v>12622479.553553939</c:v>
                </c:pt>
                <c:pt idx="310">
                  <c:v>12622479.553553939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58692664.637278542</c:v>
                </c:pt>
                <c:pt idx="54">
                  <c:v>58692664.637278542</c:v>
                </c:pt>
                <c:pt idx="55">
                  <c:v>58692664.637278542</c:v>
                </c:pt>
                <c:pt idx="56">
                  <c:v>58692664.637278542</c:v>
                </c:pt>
                <c:pt idx="57">
                  <c:v>59800831.272943787</c:v>
                </c:pt>
                <c:pt idx="58">
                  <c:v>59800831.272943787</c:v>
                </c:pt>
                <c:pt idx="59">
                  <c:v>59800831.272943787</c:v>
                </c:pt>
                <c:pt idx="60">
                  <c:v>59800831.272943787</c:v>
                </c:pt>
                <c:pt idx="61">
                  <c:v>59800831.272943787</c:v>
                </c:pt>
                <c:pt idx="62">
                  <c:v>59800831.272943787</c:v>
                </c:pt>
                <c:pt idx="63">
                  <c:v>59800831.272943787</c:v>
                </c:pt>
                <c:pt idx="64">
                  <c:v>59800831.272943787</c:v>
                </c:pt>
                <c:pt idx="65">
                  <c:v>59800831.272943787</c:v>
                </c:pt>
                <c:pt idx="66">
                  <c:v>59800831.272943787</c:v>
                </c:pt>
                <c:pt idx="67">
                  <c:v>59800831.272943787</c:v>
                </c:pt>
                <c:pt idx="68">
                  <c:v>59800831.272943787</c:v>
                </c:pt>
                <c:pt idx="69">
                  <c:v>59800831.272943787</c:v>
                </c:pt>
                <c:pt idx="70">
                  <c:v>59800831.272943787</c:v>
                </c:pt>
                <c:pt idx="71">
                  <c:v>59800831.272943787</c:v>
                </c:pt>
                <c:pt idx="72">
                  <c:v>59800831.272943787</c:v>
                </c:pt>
                <c:pt idx="73">
                  <c:v>59800831.272943787</c:v>
                </c:pt>
                <c:pt idx="74">
                  <c:v>59800831.272943787</c:v>
                </c:pt>
                <c:pt idx="75">
                  <c:v>59800831.272943787</c:v>
                </c:pt>
                <c:pt idx="76">
                  <c:v>59800831.272943787</c:v>
                </c:pt>
                <c:pt idx="77">
                  <c:v>59800831.272943787</c:v>
                </c:pt>
                <c:pt idx="78">
                  <c:v>59800831.272943787</c:v>
                </c:pt>
                <c:pt idx="79">
                  <c:v>59800831.272943787</c:v>
                </c:pt>
                <c:pt idx="80">
                  <c:v>59800831.272943787</c:v>
                </c:pt>
                <c:pt idx="81">
                  <c:v>59800831.272943787</c:v>
                </c:pt>
                <c:pt idx="82">
                  <c:v>59800831.272943787</c:v>
                </c:pt>
                <c:pt idx="83">
                  <c:v>59800831.272943787</c:v>
                </c:pt>
                <c:pt idx="84">
                  <c:v>59800831.272943787</c:v>
                </c:pt>
                <c:pt idx="85">
                  <c:v>59800831.272943787</c:v>
                </c:pt>
                <c:pt idx="86">
                  <c:v>59800831.272943787</c:v>
                </c:pt>
                <c:pt idx="87">
                  <c:v>59800831.272943787</c:v>
                </c:pt>
                <c:pt idx="88">
                  <c:v>59800831.272943787</c:v>
                </c:pt>
                <c:pt idx="89">
                  <c:v>59800831.272943787</c:v>
                </c:pt>
                <c:pt idx="90">
                  <c:v>59800831.272943787</c:v>
                </c:pt>
                <c:pt idx="91">
                  <c:v>59800831.272943787</c:v>
                </c:pt>
                <c:pt idx="92">
                  <c:v>59800831.272943787</c:v>
                </c:pt>
                <c:pt idx="93">
                  <c:v>59800831.272943787</c:v>
                </c:pt>
                <c:pt idx="94">
                  <c:v>59800831.272943787</c:v>
                </c:pt>
                <c:pt idx="95">
                  <c:v>59800831.272943787</c:v>
                </c:pt>
                <c:pt idx="96">
                  <c:v>59800831.272943787</c:v>
                </c:pt>
                <c:pt idx="97">
                  <c:v>59800831.272943787</c:v>
                </c:pt>
                <c:pt idx="98">
                  <c:v>59800831.272943787</c:v>
                </c:pt>
                <c:pt idx="99">
                  <c:v>59800831.272943787</c:v>
                </c:pt>
                <c:pt idx="100">
                  <c:v>59800831.272943787</c:v>
                </c:pt>
                <c:pt idx="101">
                  <c:v>59800831.272943787</c:v>
                </c:pt>
                <c:pt idx="102">
                  <c:v>59800831.272943787</c:v>
                </c:pt>
                <c:pt idx="103">
                  <c:v>59800831.272943787</c:v>
                </c:pt>
                <c:pt idx="104">
                  <c:v>59800831.272943787</c:v>
                </c:pt>
                <c:pt idx="105">
                  <c:v>59800831.272943787</c:v>
                </c:pt>
                <c:pt idx="106">
                  <c:v>59800831.272943787</c:v>
                </c:pt>
                <c:pt idx="107">
                  <c:v>59800831.272943787</c:v>
                </c:pt>
                <c:pt idx="108">
                  <c:v>59800831.272943787</c:v>
                </c:pt>
                <c:pt idx="109">
                  <c:v>59800831.272943787</c:v>
                </c:pt>
                <c:pt idx="110">
                  <c:v>59800831.272943787</c:v>
                </c:pt>
                <c:pt idx="111">
                  <c:v>59800831.272943787</c:v>
                </c:pt>
                <c:pt idx="112">
                  <c:v>59800831.272943787</c:v>
                </c:pt>
                <c:pt idx="113">
                  <c:v>59800831.272943787</c:v>
                </c:pt>
                <c:pt idx="114">
                  <c:v>59800831.272943787</c:v>
                </c:pt>
                <c:pt idx="115">
                  <c:v>59800831.272943787</c:v>
                </c:pt>
                <c:pt idx="116">
                  <c:v>59800831.272943787</c:v>
                </c:pt>
                <c:pt idx="117">
                  <c:v>59800831.272943787</c:v>
                </c:pt>
                <c:pt idx="118">
                  <c:v>59800831.272943787</c:v>
                </c:pt>
                <c:pt idx="119">
                  <c:v>59800831.272943787</c:v>
                </c:pt>
                <c:pt idx="120">
                  <c:v>59800831.272943787</c:v>
                </c:pt>
                <c:pt idx="121">
                  <c:v>59800831.272943787</c:v>
                </c:pt>
                <c:pt idx="122">
                  <c:v>59800831.272943787</c:v>
                </c:pt>
                <c:pt idx="123">
                  <c:v>59800831.272943787</c:v>
                </c:pt>
                <c:pt idx="124">
                  <c:v>59800831.272943787</c:v>
                </c:pt>
                <c:pt idx="125">
                  <c:v>59800831.272943787</c:v>
                </c:pt>
                <c:pt idx="126">
                  <c:v>59800831.272943787</c:v>
                </c:pt>
                <c:pt idx="127">
                  <c:v>59800831.272943787</c:v>
                </c:pt>
                <c:pt idx="128">
                  <c:v>59800831.272943787</c:v>
                </c:pt>
                <c:pt idx="129">
                  <c:v>59800831.272943787</c:v>
                </c:pt>
                <c:pt idx="130">
                  <c:v>59800831.272943787</c:v>
                </c:pt>
                <c:pt idx="131">
                  <c:v>59800831.272943787</c:v>
                </c:pt>
                <c:pt idx="132">
                  <c:v>59800831.272943787</c:v>
                </c:pt>
                <c:pt idx="133">
                  <c:v>59800831.272943787</c:v>
                </c:pt>
                <c:pt idx="134">
                  <c:v>59800831.272943787</c:v>
                </c:pt>
                <c:pt idx="135">
                  <c:v>59800831.272943787</c:v>
                </c:pt>
                <c:pt idx="136">
                  <c:v>59800831.272943787</c:v>
                </c:pt>
                <c:pt idx="137">
                  <c:v>59800831.272943787</c:v>
                </c:pt>
                <c:pt idx="138">
                  <c:v>59800831.272943787</c:v>
                </c:pt>
                <c:pt idx="139">
                  <c:v>59800831.272943787</c:v>
                </c:pt>
                <c:pt idx="140">
                  <c:v>59800831.272943787</c:v>
                </c:pt>
                <c:pt idx="141">
                  <c:v>59800831.272943787</c:v>
                </c:pt>
                <c:pt idx="142">
                  <c:v>59800831.272943787</c:v>
                </c:pt>
                <c:pt idx="143">
                  <c:v>59800831.272943787</c:v>
                </c:pt>
                <c:pt idx="144">
                  <c:v>59800831.272943787</c:v>
                </c:pt>
                <c:pt idx="145">
                  <c:v>59800831.272943787</c:v>
                </c:pt>
                <c:pt idx="146">
                  <c:v>59800831.272943787</c:v>
                </c:pt>
                <c:pt idx="147">
                  <c:v>59800831.272943787</c:v>
                </c:pt>
                <c:pt idx="148">
                  <c:v>59800831.272943787</c:v>
                </c:pt>
                <c:pt idx="149">
                  <c:v>59800831.272943787</c:v>
                </c:pt>
                <c:pt idx="150">
                  <c:v>59800831.272943787</c:v>
                </c:pt>
                <c:pt idx="151">
                  <c:v>59800831.272943787</c:v>
                </c:pt>
                <c:pt idx="152">
                  <c:v>59800831.272943787</c:v>
                </c:pt>
                <c:pt idx="153">
                  <c:v>59800831.272943787</c:v>
                </c:pt>
                <c:pt idx="154">
                  <c:v>59800831.272943787</c:v>
                </c:pt>
                <c:pt idx="155">
                  <c:v>59800831.272943787</c:v>
                </c:pt>
                <c:pt idx="156">
                  <c:v>59800831.272943787</c:v>
                </c:pt>
                <c:pt idx="157">
                  <c:v>59800831.272943787</c:v>
                </c:pt>
                <c:pt idx="158">
                  <c:v>59800831.272943787</c:v>
                </c:pt>
                <c:pt idx="159">
                  <c:v>59800831.272943787</c:v>
                </c:pt>
                <c:pt idx="160">
                  <c:v>59800831.272943787</c:v>
                </c:pt>
                <c:pt idx="161">
                  <c:v>59800831.272943787</c:v>
                </c:pt>
                <c:pt idx="162">
                  <c:v>59800831.272943787</c:v>
                </c:pt>
                <c:pt idx="163">
                  <c:v>59800831.272943787</c:v>
                </c:pt>
                <c:pt idx="164">
                  <c:v>59800831.272943787</c:v>
                </c:pt>
                <c:pt idx="165">
                  <c:v>59800831.272943787</c:v>
                </c:pt>
                <c:pt idx="166">
                  <c:v>59800831.272943787</c:v>
                </c:pt>
                <c:pt idx="167">
                  <c:v>59800831.272943787</c:v>
                </c:pt>
                <c:pt idx="168">
                  <c:v>59800831.272943787</c:v>
                </c:pt>
                <c:pt idx="169">
                  <c:v>59800831.272943787</c:v>
                </c:pt>
                <c:pt idx="170">
                  <c:v>59800831.272943787</c:v>
                </c:pt>
                <c:pt idx="171">
                  <c:v>59800831.272943787</c:v>
                </c:pt>
                <c:pt idx="172">
                  <c:v>59800831.272943787</c:v>
                </c:pt>
                <c:pt idx="173">
                  <c:v>59800831.272943787</c:v>
                </c:pt>
                <c:pt idx="174">
                  <c:v>59800831.272943787</c:v>
                </c:pt>
                <c:pt idx="175">
                  <c:v>59800831.272943787</c:v>
                </c:pt>
                <c:pt idx="176">
                  <c:v>59800831.272943787</c:v>
                </c:pt>
                <c:pt idx="177">
                  <c:v>59800831.272943787</c:v>
                </c:pt>
                <c:pt idx="178">
                  <c:v>59800831.272943787</c:v>
                </c:pt>
                <c:pt idx="179">
                  <c:v>59800831.272943787</c:v>
                </c:pt>
                <c:pt idx="180">
                  <c:v>59800831.272943787</c:v>
                </c:pt>
                <c:pt idx="181">
                  <c:v>59800831.272943787</c:v>
                </c:pt>
                <c:pt idx="182">
                  <c:v>59800831.272943787</c:v>
                </c:pt>
                <c:pt idx="183">
                  <c:v>59800831.272943787</c:v>
                </c:pt>
                <c:pt idx="184">
                  <c:v>59800831.272943787</c:v>
                </c:pt>
                <c:pt idx="185">
                  <c:v>59800831.272943787</c:v>
                </c:pt>
                <c:pt idx="186">
                  <c:v>59800831.272943787</c:v>
                </c:pt>
                <c:pt idx="187">
                  <c:v>59800831.272943787</c:v>
                </c:pt>
                <c:pt idx="188">
                  <c:v>59800831.272943787</c:v>
                </c:pt>
                <c:pt idx="189">
                  <c:v>59800831.272943787</c:v>
                </c:pt>
                <c:pt idx="190">
                  <c:v>59800831.272943787</c:v>
                </c:pt>
                <c:pt idx="191">
                  <c:v>59800831.272943787</c:v>
                </c:pt>
                <c:pt idx="192">
                  <c:v>59800831.272943787</c:v>
                </c:pt>
                <c:pt idx="193">
                  <c:v>59800831.272943787</c:v>
                </c:pt>
                <c:pt idx="194">
                  <c:v>59800831.272943787</c:v>
                </c:pt>
                <c:pt idx="195">
                  <c:v>59800831.272943787</c:v>
                </c:pt>
                <c:pt idx="196">
                  <c:v>59800831.272943787</c:v>
                </c:pt>
                <c:pt idx="197">
                  <c:v>59800831.272943787</c:v>
                </c:pt>
                <c:pt idx="198">
                  <c:v>59800831.272943787</c:v>
                </c:pt>
                <c:pt idx="199">
                  <c:v>59800831.272943787</c:v>
                </c:pt>
                <c:pt idx="200">
                  <c:v>59800831.272943787</c:v>
                </c:pt>
                <c:pt idx="201">
                  <c:v>59800831.272943787</c:v>
                </c:pt>
                <c:pt idx="202">
                  <c:v>59800831.272943787</c:v>
                </c:pt>
                <c:pt idx="203">
                  <c:v>59800831.272943787</c:v>
                </c:pt>
                <c:pt idx="204">
                  <c:v>59800831.272943787</c:v>
                </c:pt>
                <c:pt idx="205">
                  <c:v>59800831.272943787</c:v>
                </c:pt>
                <c:pt idx="206">
                  <c:v>59800831.272943787</c:v>
                </c:pt>
                <c:pt idx="207">
                  <c:v>59800831.272943787</c:v>
                </c:pt>
                <c:pt idx="208">
                  <c:v>59800831.272943787</c:v>
                </c:pt>
                <c:pt idx="209">
                  <c:v>59800831.272943787</c:v>
                </c:pt>
                <c:pt idx="210">
                  <c:v>59800831.272943787</c:v>
                </c:pt>
                <c:pt idx="211">
                  <c:v>59800831.272943787</c:v>
                </c:pt>
                <c:pt idx="212">
                  <c:v>59800831.272943787</c:v>
                </c:pt>
                <c:pt idx="213">
                  <c:v>59800831.272943787</c:v>
                </c:pt>
                <c:pt idx="214">
                  <c:v>59800831.272943787</c:v>
                </c:pt>
                <c:pt idx="215">
                  <c:v>59800831.272943787</c:v>
                </c:pt>
                <c:pt idx="216">
                  <c:v>59800831.272943787</c:v>
                </c:pt>
                <c:pt idx="217">
                  <c:v>59800831.272943787</c:v>
                </c:pt>
                <c:pt idx="218">
                  <c:v>59800831.272943787</c:v>
                </c:pt>
                <c:pt idx="219">
                  <c:v>59800831.272943787</c:v>
                </c:pt>
                <c:pt idx="220">
                  <c:v>59800831.272943787</c:v>
                </c:pt>
                <c:pt idx="221">
                  <c:v>59800831.272943787</c:v>
                </c:pt>
                <c:pt idx="222">
                  <c:v>59800831.272943787</c:v>
                </c:pt>
                <c:pt idx="223">
                  <c:v>59800831.272943787</c:v>
                </c:pt>
                <c:pt idx="224">
                  <c:v>59800831.272943787</c:v>
                </c:pt>
                <c:pt idx="225">
                  <c:v>59800831.272943787</c:v>
                </c:pt>
                <c:pt idx="226">
                  <c:v>59800831.272943787</c:v>
                </c:pt>
                <c:pt idx="227">
                  <c:v>59800831.272943787</c:v>
                </c:pt>
                <c:pt idx="228">
                  <c:v>59800831.272943787</c:v>
                </c:pt>
                <c:pt idx="229">
                  <c:v>59800831.272943787</c:v>
                </c:pt>
                <c:pt idx="230">
                  <c:v>59800831.272943787</c:v>
                </c:pt>
                <c:pt idx="231">
                  <c:v>59800831.272943787</c:v>
                </c:pt>
                <c:pt idx="232">
                  <c:v>59800831.272943787</c:v>
                </c:pt>
                <c:pt idx="233">
                  <c:v>59800831.272943787</c:v>
                </c:pt>
                <c:pt idx="234">
                  <c:v>59800831.272943787</c:v>
                </c:pt>
                <c:pt idx="235">
                  <c:v>59800831.272943787</c:v>
                </c:pt>
                <c:pt idx="236">
                  <c:v>59800831.272943787</c:v>
                </c:pt>
                <c:pt idx="237">
                  <c:v>59800831.272943787</c:v>
                </c:pt>
                <c:pt idx="238">
                  <c:v>59800831.272943787</c:v>
                </c:pt>
                <c:pt idx="239">
                  <c:v>59800831.272943787</c:v>
                </c:pt>
                <c:pt idx="240">
                  <c:v>59800831.272943787</c:v>
                </c:pt>
                <c:pt idx="241">
                  <c:v>59800831.272943787</c:v>
                </c:pt>
                <c:pt idx="242">
                  <c:v>59800831.272943787</c:v>
                </c:pt>
                <c:pt idx="243">
                  <c:v>59800831.272943787</c:v>
                </c:pt>
                <c:pt idx="244">
                  <c:v>59800831.272943787</c:v>
                </c:pt>
                <c:pt idx="245">
                  <c:v>59800831.272943787</c:v>
                </c:pt>
                <c:pt idx="246">
                  <c:v>59800831.272943787</c:v>
                </c:pt>
                <c:pt idx="247">
                  <c:v>59800831.272943787</c:v>
                </c:pt>
                <c:pt idx="248">
                  <c:v>59800831.272943787</c:v>
                </c:pt>
                <c:pt idx="249">
                  <c:v>59800831.272943787</c:v>
                </c:pt>
                <c:pt idx="250">
                  <c:v>59800831.272943787</c:v>
                </c:pt>
                <c:pt idx="251">
                  <c:v>59800831.272943787</c:v>
                </c:pt>
                <c:pt idx="252">
                  <c:v>59800831.272943787</c:v>
                </c:pt>
                <c:pt idx="253">
                  <c:v>59800831.272943787</c:v>
                </c:pt>
                <c:pt idx="254">
                  <c:v>59800831.272943787</c:v>
                </c:pt>
                <c:pt idx="255">
                  <c:v>59800831.272943787</c:v>
                </c:pt>
                <c:pt idx="256">
                  <c:v>59800831.272943787</c:v>
                </c:pt>
                <c:pt idx="257">
                  <c:v>59800831.272943787</c:v>
                </c:pt>
                <c:pt idx="258">
                  <c:v>59800831.272943787</c:v>
                </c:pt>
                <c:pt idx="259">
                  <c:v>59800831.272943787</c:v>
                </c:pt>
                <c:pt idx="260">
                  <c:v>59800831.272943787</c:v>
                </c:pt>
                <c:pt idx="261">
                  <c:v>59800831.272943787</c:v>
                </c:pt>
                <c:pt idx="262">
                  <c:v>59800831.272943787</c:v>
                </c:pt>
                <c:pt idx="263">
                  <c:v>59800831.272943787</c:v>
                </c:pt>
                <c:pt idx="264">
                  <c:v>59800831.272943787</c:v>
                </c:pt>
                <c:pt idx="265">
                  <c:v>59800831.272943787</c:v>
                </c:pt>
                <c:pt idx="266">
                  <c:v>59800831.272943787</c:v>
                </c:pt>
                <c:pt idx="267">
                  <c:v>59800831.272943787</c:v>
                </c:pt>
                <c:pt idx="268">
                  <c:v>59800831.272943787</c:v>
                </c:pt>
                <c:pt idx="269">
                  <c:v>59800831.272943787</c:v>
                </c:pt>
                <c:pt idx="270">
                  <c:v>59800831.272943787</c:v>
                </c:pt>
                <c:pt idx="271">
                  <c:v>59800831.272943787</c:v>
                </c:pt>
                <c:pt idx="272">
                  <c:v>59800831.272943787</c:v>
                </c:pt>
                <c:pt idx="273">
                  <c:v>59800831.272943787</c:v>
                </c:pt>
                <c:pt idx="274">
                  <c:v>59800831.272943787</c:v>
                </c:pt>
                <c:pt idx="275">
                  <c:v>59800831.272943787</c:v>
                </c:pt>
                <c:pt idx="276">
                  <c:v>59800831.272943787</c:v>
                </c:pt>
                <c:pt idx="277">
                  <c:v>59800831.272943787</c:v>
                </c:pt>
                <c:pt idx="278">
                  <c:v>59800831.272943787</c:v>
                </c:pt>
                <c:pt idx="279">
                  <c:v>59800831.272943787</c:v>
                </c:pt>
                <c:pt idx="280">
                  <c:v>59800831.272943787</c:v>
                </c:pt>
                <c:pt idx="281">
                  <c:v>59800831.272943787</c:v>
                </c:pt>
                <c:pt idx="282">
                  <c:v>59800831.272943787</c:v>
                </c:pt>
                <c:pt idx="283">
                  <c:v>59800831.272943787</c:v>
                </c:pt>
                <c:pt idx="284">
                  <c:v>59800831.272943787</c:v>
                </c:pt>
                <c:pt idx="285">
                  <c:v>59800831.272943787</c:v>
                </c:pt>
                <c:pt idx="286">
                  <c:v>59800831.272943787</c:v>
                </c:pt>
                <c:pt idx="287">
                  <c:v>59800831.272943787</c:v>
                </c:pt>
                <c:pt idx="288">
                  <c:v>59800831.272943787</c:v>
                </c:pt>
                <c:pt idx="289">
                  <c:v>59800831.272943787</c:v>
                </c:pt>
                <c:pt idx="290">
                  <c:v>59800831.272943787</c:v>
                </c:pt>
                <c:pt idx="291">
                  <c:v>59800831.272943787</c:v>
                </c:pt>
                <c:pt idx="292">
                  <c:v>59800831.272943787</c:v>
                </c:pt>
                <c:pt idx="293">
                  <c:v>59800831.272943787</c:v>
                </c:pt>
                <c:pt idx="294">
                  <c:v>59800831.272943787</c:v>
                </c:pt>
                <c:pt idx="295">
                  <c:v>59800831.272943787</c:v>
                </c:pt>
                <c:pt idx="296">
                  <c:v>59800831.272943787</c:v>
                </c:pt>
                <c:pt idx="297">
                  <c:v>59800831.272943787</c:v>
                </c:pt>
                <c:pt idx="298">
                  <c:v>59800831.272943787</c:v>
                </c:pt>
                <c:pt idx="299">
                  <c:v>59800831.272943787</c:v>
                </c:pt>
                <c:pt idx="300">
                  <c:v>59800831.272943787</c:v>
                </c:pt>
                <c:pt idx="301">
                  <c:v>59800831.272943787</c:v>
                </c:pt>
                <c:pt idx="302">
                  <c:v>59800831.272943787</c:v>
                </c:pt>
                <c:pt idx="303">
                  <c:v>59800831.272943787</c:v>
                </c:pt>
                <c:pt idx="304">
                  <c:v>59800831.272943787</c:v>
                </c:pt>
                <c:pt idx="305">
                  <c:v>59800831.272943787</c:v>
                </c:pt>
                <c:pt idx="306">
                  <c:v>59800831.272943787</c:v>
                </c:pt>
                <c:pt idx="307">
                  <c:v>59800831.272943787</c:v>
                </c:pt>
                <c:pt idx="308">
                  <c:v>59800831.272943787</c:v>
                </c:pt>
                <c:pt idx="309">
                  <c:v>59800831.272943787</c:v>
                </c:pt>
                <c:pt idx="310">
                  <c:v>59800831.272943787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C34D8A7-A43A-4734-8FD8-A7A8F3846EE3}">
    <Anchor>
      <Comment id="{1B5EDA48-6C77-478A-87E7-EDF1BF8D03F9}"/>
    </Anchor>
    <History>
      <Event time="2026-02-13T08:26:28.59" id="{F64E7C23-5B06-4BA3-8F15-031835CDE7A5}">
        <Attribution userId="S::peet@emergentenergy.co.za::29540351-e817-46dc-8f07-960526f357c0" userName="Peet Verreynne" userProvider="AD"/>
        <Anchor>
          <Comment id="{1B5EDA48-6C77-478A-87E7-EDF1BF8D03F9}"/>
        </Anchor>
        <Create/>
      </Event>
      <Event time="2026-02-13T08:26:28.59" id="{3BC4523B-3CBC-4D62-B9C2-3478BD422A9D}">
        <Attribution userId="S::peet@emergentenergy.co.za::29540351-e817-46dc-8f07-960526f357c0" userName="Peet Verreynne" userProvider="AD"/>
        <Anchor>
          <Comment id="{1B5EDA48-6C77-478A-87E7-EDF1BF8D03F9}"/>
        </Anchor>
        <Assign userId="S::lloyd@emergentenergy.co.za::3e596b3f-4431-4c2f-b5e7-2e09852114d5" userName="Lloyd Brown" userProvider="AD"/>
      </Event>
      <Event time="2026-02-13T08:26:28.59" id="{7184AF46-2F09-4F99-96AC-AEAB8778072A}">
        <Attribution userId="S::peet@emergentenergy.co.za::29540351-e817-46dc-8f07-960526f357c0" userName="Peet Verreynne" userProvider="AD"/>
        <Anchor>
          <Comment id="{1B5EDA48-6C77-478A-87E7-EDF1BF8D03F9}"/>
        </Anchor>
        <SetTitle title="@Lloyd Brown "/>
      </Event>
      <Event time="2026-02-23T11:01:52.30" id="{B5C97920-74E7-4124-85A7-642FC1B0C50F}">
        <Attribution userId="S::peet@emergentenergy.co.za::29540351-e817-46dc-8f07-960526f357c0" userName="Peet Verreynne" userProvider="AD"/>
        <Progress percentComplete="100"/>
      </Event>
    </History>
  </Task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  <Event time="2026-02-11T13:54:47.87" id="{91B0276D-C09C-4A7B-B3E2-0C664791A4E5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48656042-D919-48E6-8C57-65FD53BC4266}">
    <Anchor>
      <Comment id="{9DF34B5B-E437-4429-8F5F-9B15F6F0368E}"/>
    </Anchor>
    <History>
      <Event time="2026-02-25T08:06:18.95" id="{66817F06-7DDD-4271-9F1F-E473387020CB}">
        <Attribution userId="S::thami@emergentenergy.co.za::dcae580f-55a1-44d7-89b7-bae90a9ddc2e" userName="Thami Cambalele" userProvider="AD"/>
        <Anchor>
          <Comment id="{9DF34B5B-E437-4429-8F5F-9B15F6F0368E}"/>
        </Anchor>
        <Create/>
      </Event>
      <Event time="2026-02-25T08:06:18.95" id="{24C2F642-D45D-4D49-B4D1-73E3E7825989}">
        <Attribution userId="S::thami@emergentenergy.co.za::dcae580f-55a1-44d7-89b7-bae90a9ddc2e" userName="Thami Cambalele" userProvider="AD"/>
        <Anchor>
          <Comment id="{9DF34B5B-E437-4429-8F5F-9B15F6F0368E}"/>
        </Anchor>
        <Assign userId="S::roedolph@emergentenergy.co.za::9a21ce2b-45c7-4248-95e2-e26943ee2072" userName="Roedolph Venter" userProvider="AD"/>
      </Event>
      <Event time="2026-02-25T08:06:18.95" id="{94AE37F2-AD4F-4EC7-B1E6-8E2EC91A2D11}">
        <Attribution userId="S::thami@emergentenergy.co.za::dcae580f-55a1-44d7-89b7-bae90a9ddc2e" userName="Thami Cambalele" userProvider="AD"/>
        <Anchor>
          <Comment id="{9DF34B5B-E437-4429-8F5F-9B15F6F0368E}"/>
        </Anchor>
        <SetTitle title="@Roedolph Venter please check, changed the red team amounts from 8k each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20730</xdr:colOff>
      <xdr:row>17</xdr:row>
      <xdr:rowOff>2824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15603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5203009262" createdVersion="8" refreshedVersion="8" minRefreshableVersion="3" recordCount="356" xr:uid="{D37A5069-1A2D-4864-A726-735BFBE61275}">
  <cacheSource type="worksheet">
    <worksheetSource ref="L4:X40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6-01-31T00:00:00"/>
        <d v="2025-06-30T00:00:00"/>
        <d v="2025-09-30T00:00:00"/>
        <d v="2025-10-31T00:00:00"/>
        <d v="2026-02-28T00:00:00"/>
        <d v="2025-05-31T00:00:00"/>
        <d v="2026-03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195.47706760861911" maxValue="2.9870779253542423E-3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5"/>
    <n v="0"/>
    <m/>
    <d v="2026-02-05T00:00:00"/>
    <m/>
  </r>
  <r>
    <n v="2"/>
    <x v="2"/>
    <m/>
    <m/>
    <m/>
    <n v="-899.72"/>
    <m/>
    <s v="Kathea - 500335"/>
    <x v="6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7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7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7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7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7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7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7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8"/>
    <n v="0"/>
    <m/>
    <d v="2025-09-30T00:00:00"/>
    <m/>
  </r>
  <r>
    <n v="3"/>
    <x v="3"/>
    <m/>
    <m/>
    <m/>
    <n v="-1540370"/>
    <m/>
    <s v="Schletter - CRN0272"/>
    <x v="8"/>
    <n v="0"/>
    <m/>
    <d v="2025-09-30T00:00:00"/>
    <m/>
  </r>
  <r>
    <n v="3"/>
    <x v="3"/>
    <m/>
    <m/>
    <m/>
    <n v="3006740"/>
    <m/>
    <s v="Schletter - INV2231"/>
    <x v="8"/>
    <n v="0"/>
    <m/>
    <d v="2025-09-30T00:00:00"/>
    <m/>
  </r>
  <r>
    <n v="3"/>
    <x v="3"/>
    <s v="Engineering Signoff - deposit"/>
    <m/>
    <m/>
    <n v="37000"/>
    <m/>
    <s v="Schletter : INV1887"/>
    <x v="7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7"/>
    <n v="465334.01673059782"/>
    <m/>
    <d v="2025-09-01T00:00:00"/>
    <m/>
  </r>
  <r>
    <n v="4"/>
    <x v="4"/>
    <s v="DC Cable"/>
    <n v="0.9"/>
    <m/>
    <n v="2138400"/>
    <m/>
    <s v="Menlo INV0003047"/>
    <x v="7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7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7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4.6094557400065241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237.103282812757"/>
    <m/>
    <d v="2026-01-15T00:00:00"/>
    <m/>
  </r>
  <r>
    <n v="5"/>
    <x v="5"/>
    <m/>
    <m/>
    <m/>
    <n v="-1980"/>
    <m/>
    <s v="Paul van Vuuren - CN000217"/>
    <x v="6"/>
    <m/>
    <m/>
    <d v="2026-01-31T00:00:00"/>
    <m/>
  </r>
  <r>
    <n v="5"/>
    <x v="5"/>
    <s v="Meanwell MDR-100-24"/>
    <n v="1"/>
    <m/>
    <n v="1060"/>
    <s v="PO4259-CSHP2-20250821 - RV Approved"/>
    <s v="Mantech INV1078143"/>
    <x v="8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9"/>
    <n v="3469.3217718440114"/>
    <m/>
    <d v="2025-11-13T00:00:00"/>
    <m/>
  </r>
  <r>
    <n v="5"/>
    <x v="5"/>
    <s v="Delivery of Techsitter"/>
    <m/>
    <m/>
    <n v="308.98"/>
    <m/>
    <s v="DSV Inv: 180150385"/>
    <x v="9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6"/>
    <n v="566.83433163430323"/>
    <m/>
    <d v="2026-02-05T00:00:00"/>
    <m/>
  </r>
  <r>
    <n v="5"/>
    <x v="5"/>
    <s v="AcuRev Energy Meter"/>
    <m/>
    <m/>
    <n v="3170"/>
    <m/>
    <s v="AccuEnergy - ASAI-007302"/>
    <x v="6"/>
    <n v="7.42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7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7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7"/>
    <n v="311742.46060635644"/>
    <m/>
    <d v="2025-06-26T00:00:00"/>
    <m/>
  </r>
  <r>
    <n v="8"/>
    <x v="8"/>
    <s v="Walkway Mounting Kit"/>
    <m/>
    <m/>
    <n v="8911.2000000000007"/>
    <m/>
    <s v="Onvlee - Inv 1050589"/>
    <x v="7"/>
    <n v="10493.124112514432"/>
    <m/>
    <d v="2025-06-26T00:00:00"/>
    <m/>
  </r>
  <r>
    <n v="8"/>
    <x v="8"/>
    <s v="Transport"/>
    <m/>
    <m/>
    <n v="500"/>
    <m/>
    <s v="Onvlee - Inv 1050589"/>
    <x v="7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10"/>
    <n v="47805.186137722783"/>
    <m/>
    <d v="2026-02-28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9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12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7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s v="Luken Solar - INV-0701"/>
    <x v="6"/>
    <n v="305666.29694970069"/>
    <m/>
    <d v="2026-01-23T00:00:00"/>
    <m/>
  </r>
  <r>
    <n v="9"/>
    <x v="9"/>
    <s v="Stringing Complete"/>
    <m/>
    <n v="0.05"/>
    <n v="120000"/>
    <m/>
    <s v="Luken Solar - INV-0701"/>
    <x v="6"/>
    <n v="76416.574237425171"/>
    <m/>
    <d v="2026-01-23T00:00:00"/>
    <m/>
  </r>
  <r>
    <n v="9"/>
    <x v="9"/>
    <s v="Snag Completion"/>
    <m/>
    <n v="0.05"/>
    <n v="120000"/>
    <m/>
    <s v="Luken Solar - INV-0701"/>
    <x v="6"/>
    <n v="76416.574237425171"/>
    <m/>
    <d v="2026-02-17T00:00:00"/>
    <m/>
  </r>
  <r>
    <n v="9"/>
    <x v="9"/>
    <s v="End of Defects Period"/>
    <m/>
    <n v="2.5000000000000001E-2"/>
    <n v="60000"/>
    <m/>
    <s v="Luken Solar - INV-0701"/>
    <x v="6"/>
    <n v="38208.287118712586"/>
    <m/>
    <d v="2026-03-19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7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s v="Luken Solar - INV-0701"/>
    <x v="6"/>
    <n v="47760.358898390732"/>
    <m/>
    <d v="2026-02-17T00:00:00"/>
    <m/>
  </r>
  <r>
    <n v="9"/>
    <x v="9"/>
    <s v="End of Defects Period"/>
    <m/>
    <n v="2.5000000000000001E-2"/>
    <n v="37500"/>
    <m/>
    <s v="Luken Solar - INV-0701"/>
    <x v="6"/>
    <n v="23880.179449195366"/>
    <m/>
    <d v="2026-03-1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7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6"/>
    <n v="62088.466567907948"/>
    <m/>
    <d v="2026-02-17T00:00:00"/>
    <m/>
  </r>
  <r>
    <n v="9"/>
    <x v="9"/>
    <s v="End of Defects Period"/>
    <m/>
    <n v="2.5000000000000001E-2"/>
    <n v="48750"/>
    <m/>
    <s v="Luken Solar - INV-0701"/>
    <x v="6"/>
    <n v="31044.233283953974"/>
    <m/>
    <d v="2026-03-2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36113.1100000001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7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3-19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7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3-19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7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7"/>
    <n v="163.19120992518586"/>
    <m/>
    <d v="2025-08-07T00:00:00"/>
    <m/>
  </r>
  <r>
    <n v="10"/>
    <x v="10"/>
    <s v="Container Hire"/>
    <m/>
    <m/>
    <n v="2635"/>
    <m/>
    <s v="Container World - P594608"/>
    <x v="8"/>
    <n v="0"/>
    <m/>
    <d v="2025-09-30T00:00:00"/>
    <m/>
  </r>
  <r>
    <n v="10"/>
    <x v="10"/>
    <s v="Container Hire"/>
    <m/>
    <m/>
    <n v="1550"/>
    <m/>
    <s v="Container World - P594597"/>
    <x v="8"/>
    <n v="0"/>
    <m/>
    <d v="2025-09-30T00:00:00"/>
    <m/>
  </r>
  <r>
    <n v="10"/>
    <x v="10"/>
    <s v="Container Hire"/>
    <m/>
    <m/>
    <n v="1550"/>
    <m/>
    <s v="Container World - P594595"/>
    <x v="8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9"/>
    <n v="865.42161616940507"/>
    <m/>
    <d v="2025-11-13T00:00:00"/>
    <m/>
  </r>
  <r>
    <n v="10"/>
    <x v="10"/>
    <s v="Container Hire - November- Container"/>
    <m/>
    <m/>
    <n v="1500"/>
    <m/>
    <s v="Container World - P598169"/>
    <x v="9"/>
    <n v="865.42161616940507"/>
    <m/>
    <d v="2025-11-13T00:00:00"/>
    <m/>
  </r>
  <r>
    <n v="10"/>
    <x v="10"/>
    <s v="Container Hire - November- Container"/>
    <m/>
    <m/>
    <n v="2550"/>
    <m/>
    <s v="Container World - P598179"/>
    <x v="9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n v="0"/>
    <m/>
    <d v="2026-01-09T00:00:00"/>
    <m/>
  </r>
  <r>
    <n v="10"/>
    <x v="10"/>
    <s v="Container Hire - January - Container 2"/>
    <m/>
    <m/>
    <n v="1550"/>
    <m/>
    <s v="Container World P605066"/>
    <x v="5"/>
    <n v="0"/>
    <m/>
    <d v="2026-01-09T00:00:00"/>
    <m/>
  </r>
  <r>
    <n v="10"/>
    <x v="10"/>
    <s v="Container Hire - January - Office Container "/>
    <m/>
    <m/>
    <n v="2635"/>
    <m/>
    <s v="Container World P605075"/>
    <x v="5"/>
    <n v="0"/>
    <m/>
    <d v="2026-01-09T00:00:00"/>
    <m/>
  </r>
  <r>
    <n v="10"/>
    <x v="10"/>
    <s v="Container Hire - February - Office Container "/>
    <m/>
    <m/>
    <n v="1400"/>
    <m/>
    <s v="Container World P608429"/>
    <x v="6"/>
    <n v="0"/>
    <m/>
    <d v="2026-02-05T00:00:00"/>
    <m/>
  </r>
  <r>
    <n v="10"/>
    <x v="10"/>
    <s v="Container Hire - February - Office Container "/>
    <m/>
    <m/>
    <n v="1400"/>
    <m/>
    <s v="Container World P608431"/>
    <x v="6"/>
    <n v="0"/>
    <m/>
    <d v="2026-02-05T00:00:00"/>
    <m/>
  </r>
  <r>
    <n v="10"/>
    <x v="10"/>
    <s v="Container Hire - February - Office Container "/>
    <m/>
    <m/>
    <n v="2380"/>
    <m/>
    <s v="Container World P608440"/>
    <x v="6"/>
    <n v="0"/>
    <m/>
    <d v="2026-02-05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8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9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s v="Site Ablutions - January"/>
    <m/>
    <m/>
    <n v="1826.1"/>
    <m/>
    <s v="Talisman Hire - 00218837"/>
    <x v="6"/>
    <n v="0"/>
    <m/>
    <d v="2026-02-05T00:00:00"/>
    <m/>
  </r>
  <r>
    <n v="10"/>
    <x v="10"/>
    <s v="Site Ablutions - January"/>
    <m/>
    <m/>
    <n v="913.05"/>
    <m/>
    <s v="Talisman Hire - 00218853"/>
    <x v="6"/>
    <n v="0"/>
    <m/>
    <d v="2026-02-05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6000"/>
    <m/>
    <m/>
    <x v="10"/>
    <n v="177552.1000193764"/>
    <n v="-1.6990787698887289E-3"/>
    <d v="2026-02-28T00:00:00"/>
    <n v="658656"/>
  </r>
  <r>
    <n v="11"/>
    <x v="11"/>
    <s v="Technical Review - Onsite inspection and reporting - Final Inspection"/>
    <m/>
    <m/>
    <n v="35600"/>
    <s v="PO4372-CSPH2-20251020 - RV Approved"/>
    <m/>
    <x v="10"/>
    <n v="27213.871155465244"/>
    <m/>
    <d v="2026-03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6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7"/>
    <n v="12174.422007609013"/>
    <m/>
    <d v="2025-07-03T00:00:00"/>
    <m/>
  </r>
  <r>
    <n v="11"/>
    <x v="11"/>
    <s v="Grid Study"/>
    <m/>
    <m/>
    <n v="79700"/>
    <s v="PO4078-COEG-20250701 - RV Approved"/>
    <s v="Okusha - EE18"/>
    <x v="9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41836.3870345005"/>
    <n v="-195.47706760861911"/>
    <d v="2026-03-31T00:00:00"/>
    <n v="984324.26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8"/>
    <n v="3164.3927857304275"/>
    <m/>
    <d v="2025-08-31T00:00:00"/>
    <m/>
  </r>
  <r>
    <n v="13"/>
    <x v="13"/>
    <s v="Matriarch O &amp; M Fee - Phase 1 - Oct"/>
    <m/>
    <m/>
    <n v="2843"/>
    <m/>
    <s v="Matriarch Inv: 5241"/>
    <x v="9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18.0250777042997"/>
    <m/>
    <d v="2026-01-29T00:00:00"/>
    <m/>
  </r>
  <r>
    <n v="13"/>
    <x v="13"/>
    <s v="Matriarch O &amp; M Fee - Phase 1 - Jan"/>
    <m/>
    <m/>
    <n v="2843"/>
    <m/>
    <s v="Matriarch - INV-6102"/>
    <x v="6"/>
    <n v="3118.0250777042997"/>
    <m/>
    <d v="2026-02-28T00:00:00"/>
    <m/>
  </r>
  <r>
    <n v="13"/>
    <x v="13"/>
    <s v="Panel Clean"/>
    <m/>
    <m/>
    <n v="8737.26"/>
    <m/>
    <s v="Matriarch - INV-6216"/>
    <x v="6"/>
    <n v="9582.4818116154311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1"/>
    <n v="0"/>
    <n v="0"/>
    <d v="2025-06-09T00:00:00"/>
    <n v="271181.58"/>
  </r>
  <r>
    <n v="14"/>
    <x v="14"/>
    <s v="Travel"/>
    <m/>
    <m/>
    <n v="5770.84"/>
    <m/>
    <s v="Expense Claim"/>
    <x v="7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8"/>
    <n v="0"/>
    <m/>
    <d v="2025-10-10T00:00:00"/>
    <m/>
  </r>
  <r>
    <n v="14"/>
    <x v="14"/>
    <s v="Travel"/>
    <m/>
    <m/>
    <n v="20629.91"/>
    <m/>
    <s v="Expense Claim"/>
    <x v="9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28655.7"/>
    <m/>
    <s v="Expense Claim"/>
    <x v="6"/>
    <n v="0"/>
    <m/>
    <d v="2026-02-05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249043.0099999998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s v="Coega Development Corporation INV78403"/>
    <x v="6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8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8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8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8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9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9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6"/>
    <m/>
    <m/>
    <d v="2026-01-29T00:00:00"/>
    <m/>
  </r>
  <r>
    <n v="15"/>
    <x v="15"/>
    <s v="Labour Management Fee"/>
    <m/>
    <m/>
    <n v="5215.6099999999997"/>
    <s v="PO4613-CSPH2-20260206 - RV Approved"/>
    <m/>
    <x v="10"/>
    <m/>
    <m/>
    <d v="2026-02-28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5"/>
    <m/>
    <m/>
    <d v="2026-01-29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9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6"/>
    <m/>
    <m/>
    <d v="2026-01-29T00:00:00"/>
    <m/>
  </r>
  <r>
    <n v="15"/>
    <x v="15"/>
    <s v="5000L Water"/>
    <m/>
    <m/>
    <n v="1200"/>
    <s v="PO4512-CSPH2-20251201 - RV Approved"/>
    <m/>
    <x v="10"/>
    <m/>
    <m/>
    <d v="2026-01-31T00:00:00"/>
    <m/>
  </r>
  <r>
    <n v="15"/>
    <x v="15"/>
    <s v="5000L Water"/>
    <m/>
    <m/>
    <n v="1200"/>
    <s v="PO4531-CSPH2-20251209 - RV Approved"/>
    <m/>
    <x v="10"/>
    <m/>
    <m/>
    <d v="2026-02-14T00:00:00"/>
    <m/>
  </r>
  <r>
    <n v="15"/>
    <x v="15"/>
    <s v="240mm Alu XLPE 22kV - Tie In - TBC"/>
    <n v="270"/>
    <n v="1005.8"/>
    <n v="271566"/>
    <m/>
    <m/>
    <x v="12"/>
    <m/>
    <m/>
    <d v="2026-03-31T00:00:00"/>
    <m/>
  </r>
  <r>
    <n v="15"/>
    <x v="15"/>
    <s v="240mm Alu XLPE 22kV - Ground Mount Transforme - TBC"/>
    <n v="85"/>
    <n v="1005.8"/>
    <n v="85493"/>
    <m/>
    <m/>
    <x v="12"/>
    <m/>
    <m/>
    <d v="2026-03-31T00:00:00"/>
    <m/>
  </r>
  <r>
    <n v="15"/>
    <x v="15"/>
    <s v="Labour - TBC"/>
    <m/>
    <m/>
    <n v="250000"/>
    <m/>
    <m/>
    <x v="12"/>
    <m/>
    <m/>
    <d v="2026-03-31T00:00:00"/>
    <m/>
  </r>
  <r>
    <n v="15"/>
    <x v="15"/>
    <m/>
    <m/>
    <m/>
    <m/>
    <m/>
    <m/>
    <x v="0"/>
    <m/>
    <m/>
    <m/>
    <m/>
  </r>
  <r>
    <n v="15"/>
    <x v="15"/>
    <s v="Delay Damages"/>
    <m/>
    <m/>
    <n v="1151150.17"/>
    <m/>
    <m/>
    <x v="10"/>
    <m/>
    <m/>
    <d v="2026-02-28T00:00:00"/>
    <m/>
  </r>
  <r>
    <n v="15"/>
    <x v="15"/>
    <s v="Coega Steel PH2 - December 2025 Interest"/>
    <m/>
    <m/>
    <n v="271125.69"/>
    <m/>
    <s v="Fedgroup - LT000589_251231"/>
    <x v="6"/>
    <m/>
    <m/>
    <d v="2026-01-29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67FA5-D690-4406-A7D3-00361B8FDB01}" name="Table1" displayName="Table1" ref="A3:M5" totalsRowShown="0">
  <autoFilter ref="A3:M5" xr:uid="{16F67FA5-D690-4406-A7D3-00361B8FDB01}"/>
  <tableColumns count="13">
    <tableColumn id="1" xr3:uid="{C5B699D2-427B-485E-B723-1A1DD68725D1}" name="No. "/>
    <tableColumn id="2" xr3:uid="{02E0FB47-25FC-4753-ADFC-4087645B8FC3}" name="Product/ Service"/>
    <tableColumn id="3" xr3:uid="{261056F8-C2C5-4D18-98AB-43B99FE8DE7C}" name="Description of Work"/>
    <tableColumn id="4" xr3:uid="{491F4AC7-1C2B-4268-99B0-423DCE6EC823}" name="QTY"/>
    <tableColumn id="5" xr3:uid="{2538DA7E-56EE-4CB3-8BF6-D8CB56DC51A8}" name="Rate / Unit"/>
    <tableColumn id="6" xr3:uid="{696EF09E-A598-4C74-B979-A47B31A93517}" name="Actual Total "/>
    <tableColumn id="7" xr3:uid="{34B62015-7D84-478B-A08A-521C9AE1E548}" name="PO NUMBER"/>
    <tableColumn id="8" xr3:uid="{66532163-9B30-4BD4-8A12-B69E9C13032B}" name="INVOICE NUMBER"/>
    <tableColumn id="9" xr3:uid="{2A3F5CB6-D8CC-426B-A04D-A4DD7D713365}" name="INVOICE RAISED DATE" dataDxfId="31"/>
    <tableColumn id="10" xr3:uid="{5065858B-0791-4461-9FB3-F334636243E7}" name="REVENUE RECOGNITION AMOUNT"/>
    <tableColumn id="11" xr3:uid="{BB6C45D9-ECB9-41AA-9504-C3B7F4D594AD}" name="CHECK"/>
    <tableColumn id="12" xr3:uid="{1EBE2955-FA7C-48C2-ADF5-0F5982205A6C}" name="FINANCE PAYMENT DATE" dataDxfId="30"/>
    <tableColumn id="13" xr3:uid="{B03168B4-0670-4B7F-BD8D-778E767FBF05}" name="Total C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 done="1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  <threadedComment ref="O112" dT="2026-02-11T13:54:46.79" personId="{2DEE67B4-A98D-41D0-90E5-7E37A87E2601}" id="{9DE1ACD2-8AAD-4ACA-AE96-DEE32FE0C8FE}" parentId="{2854B7F8-B6AB-41C4-8F60-6316C08B90B3}">
    <text>@Lloyd Brown  has this second one happened yet?</text>
    <mentions>
      <mention mentionpersonId="{D9C18D5B-5816-4669-A092-6DCF1A14F028}" mentionId="{57D56A65-B86C-4B83-9D7A-DBCDDB586129}" startIndex="0" length="12"/>
    </mentions>
  </threadedComment>
  <threadedComment ref="O112" dT="2026-02-11T13:56:51.12" personId="{8E673A1E-E825-45F1-8FC6-BDA182DE7C90}" id="{A3DD6A4C-9F96-4B12-B150-1ED814B37205}" parentId="{2854B7F8-B6AB-41C4-8F60-6316C08B90B3}">
    <text>Yes . 2nd one done .awaiting report</text>
  </threadedComment>
  <threadedComment ref="O123" dT="2026-02-13T08:26:28.60" personId="{2DEE67B4-A98D-41D0-90E5-7E37A87E2601}" id="{1B5EDA48-6C77-478A-87E7-EDF1BF8D03F9}" done="1">
    <text xml:space="preserve">@Lloyd Brown </text>
    <mentions>
      <mention mentionpersonId="{D9C18D5B-5816-4669-A092-6DCF1A14F028}" mentionId="{E7DDB8FB-53D4-4FF1-AE15-09844A9D8456}" startIndex="0" length="12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7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82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87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106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39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44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204" dT="2025-10-03T10:15:21.90" personId="{F38BC8CB-2CC2-4233-A1D2-12C466B53C9F}" id="{F529163D-E31D-439B-B9AF-C66F28EC9CAF}">
    <text>@mizelda, please update the payment date</text>
  </threadedComment>
  <threadedComment ref="W215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217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223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29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38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59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64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64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309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  <threadedComment ref="V315" dT="2026-02-25T08:06:18.95" personId="{D685E037-2121-4005-8A6F-1BABCB4CA0D3}" id="{9DF34B5B-E437-4429-8F5F-9B15F6F0368E}">
    <text>@Roedolph Venter please check, changed the red team amounts from 8k each</text>
    <mentions>
      <mention mentionpersonId="{C9754192-F363-4201-9516-C3296FC41267}" mentionId="{8BC51E61-6A10-4749-A3AD-CDF00DFF19CD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25" x14ac:dyDescent="0.2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140625" style="24" customWidth="1"/>
    <col min="10" max="10" width="47.42578125" style="24" bestFit="1" customWidth="1"/>
    <col min="11" max="11" width="6.42578125" style="3" customWidth="1"/>
    <col min="12" max="12" width="14.140625" style="24" customWidth="1"/>
    <col min="13" max="16384" width="9.42578125" style="24"/>
  </cols>
  <sheetData>
    <row r="1" spans="1:59" s="3" customFormat="1" ht="15.75" x14ac:dyDescent="0.3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31.5" x14ac:dyDescent="0.2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6.5" x14ac:dyDescent="0.3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5.75" x14ac:dyDescent="0.3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6.5" x14ac:dyDescent="0.3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6.5" x14ac:dyDescent="0.3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6.5" x14ac:dyDescent="0.3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 x14ac:dyDescent="0.2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 x14ac:dyDescent="0.2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 x14ac:dyDescent="0.2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 x14ac:dyDescent="0.2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6.5" x14ac:dyDescent="0.3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6.5" x14ac:dyDescent="0.3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6.5" x14ac:dyDescent="0.3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 x14ac:dyDescent="0.2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 x14ac:dyDescent="0.2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 x14ac:dyDescent="0.2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5.75" x14ac:dyDescent="0.3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 x14ac:dyDescent="0.2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 x14ac:dyDescent="0.2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5.75" x14ac:dyDescent="0.3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5.75" x14ac:dyDescent="0.3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 x14ac:dyDescent="0.2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5.75" x14ac:dyDescent="0.3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 x14ac:dyDescent="0.2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 x14ac:dyDescent="0.2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 x14ac:dyDescent="0.2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 x14ac:dyDescent="0.2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 x14ac:dyDescent="0.2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5.75" x14ac:dyDescent="0.3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 x14ac:dyDescent="0.2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 x14ac:dyDescent="0.2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 x14ac:dyDescent="0.2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 x14ac:dyDescent="0.2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5.75" x14ac:dyDescent="0.3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 x14ac:dyDescent="0.2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 x14ac:dyDescent="0.2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5.75" x14ac:dyDescent="0.3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6.5" x14ac:dyDescent="0.3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 x14ac:dyDescent="0.2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 x14ac:dyDescent="0.2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 x14ac:dyDescent="0.2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 x14ac:dyDescent="0.2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 x14ac:dyDescent="0.2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6.5" x14ac:dyDescent="0.3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6.5" thickBot="1" x14ac:dyDescent="0.35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 x14ac:dyDescent="0.2">
      <c r="C47" s="66">
        <v>43831</v>
      </c>
      <c r="D47" s="917" t="s">
        <v>57</v>
      </c>
      <c r="E47" s="917"/>
      <c r="F47" s="918"/>
      <c r="G47" s="67"/>
      <c r="I47" s="68"/>
      <c r="J47" s="68"/>
    </row>
    <row r="48" spans="1:49" ht="15" thickBot="1" x14ac:dyDescent="0.25">
      <c r="C48" s="69">
        <v>44014</v>
      </c>
      <c r="D48" s="919"/>
      <c r="E48" s="919"/>
      <c r="F48" s="92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tabSelected="1" zoomScale="91" zoomScaleNormal="110" workbookViewId="0">
      <selection activeCell="N2" sqref="N2"/>
    </sheetView>
  </sheetViews>
  <sheetFormatPr defaultColWidth="8.42578125" defaultRowHeight="15" x14ac:dyDescent="0.25"/>
  <cols>
    <col min="1" max="1" width="5.5703125" style="93" customWidth="1"/>
    <col min="2" max="2" width="7.140625" style="129" customWidth="1"/>
    <col min="3" max="3" width="21.85546875" style="128" customWidth="1"/>
    <col min="4" max="4" width="19.5703125" style="128" bestFit="1" customWidth="1"/>
    <col min="5" max="5" width="6.42578125" style="128" customWidth="1"/>
    <col min="6" max="6" width="19.5703125" style="128" bestFit="1" customWidth="1"/>
    <col min="7" max="7" width="12.85546875" style="128" bestFit="1" customWidth="1"/>
    <col min="8" max="8" width="16.5703125" style="128" bestFit="1" customWidth="1"/>
    <col min="9" max="9" width="1.42578125" style="128" customWidth="1"/>
    <col min="10" max="10" width="3.140625" style="93" customWidth="1"/>
    <col min="11" max="11" width="1.42578125" style="165" customWidth="1"/>
    <col min="12" max="12" width="23.85546875" style="93" bestFit="1" customWidth="1"/>
    <col min="13" max="13" width="1.42578125" style="128" customWidth="1"/>
    <col min="14" max="14" width="27.140625" style="128" bestFit="1" customWidth="1"/>
    <col min="15" max="15" width="1.42578125" style="93" customWidth="1"/>
    <col min="16" max="16" width="15.85546875" style="128" bestFit="1" customWidth="1"/>
    <col min="17" max="17" width="5.5703125" style="128" customWidth="1"/>
    <col min="18" max="18" width="33.140625" style="128" bestFit="1" customWidth="1"/>
    <col min="19" max="20" width="13.85546875" style="128" bestFit="1" customWidth="1"/>
    <col min="21" max="21" width="39.42578125" style="128" customWidth="1"/>
    <col min="22" max="22" width="4.42578125" style="128" customWidth="1"/>
    <col min="23" max="23" width="19.5703125" style="128" bestFit="1" customWidth="1"/>
    <col min="24" max="24" width="15.42578125" style="93" bestFit="1" customWidth="1"/>
    <col min="25" max="25" width="19.5703125" style="93" bestFit="1" customWidth="1"/>
    <col min="26" max="26" width="16.140625" style="93" bestFit="1" customWidth="1"/>
    <col min="27" max="27" width="19.5703125" style="93" bestFit="1" customWidth="1"/>
    <col min="28" max="28" width="15.42578125" style="93" bestFit="1" customWidth="1"/>
    <col min="29" max="29" width="8.42578125" style="93"/>
    <col min="30" max="30" width="14.140625" style="93" bestFit="1" customWidth="1"/>
    <col min="31" max="31" width="8.42578125" style="128"/>
    <col min="32" max="32" width="12.5703125" style="128" bestFit="1" customWidth="1"/>
    <col min="33" max="16384" width="8.42578125" style="128"/>
  </cols>
  <sheetData>
    <row r="1" spans="1:28" s="93" customFormat="1" ht="14.25" customHeight="1" x14ac:dyDescent="0.2">
      <c r="A1" s="366"/>
      <c r="B1" s="117"/>
      <c r="F1" s="710"/>
      <c r="J1" s="140"/>
      <c r="V1" s="140"/>
    </row>
    <row r="2" spans="1:28" s="93" customFormat="1" ht="14.25" customHeight="1" thickBot="1" x14ac:dyDescent="0.3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.5" x14ac:dyDescent="0.25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2"/>
      <c r="Q3" s="723"/>
      <c r="R3" s="724" t="s">
        <v>63</v>
      </c>
      <c r="S3" s="725" t="s">
        <v>64</v>
      </c>
      <c r="T3" s="726" t="s">
        <v>65</v>
      </c>
      <c r="V3" s="140"/>
      <c r="W3" s="765" t="s">
        <v>66</v>
      </c>
      <c r="X3" s="765" t="s">
        <v>67</v>
      </c>
      <c r="Y3" s="765" t="s">
        <v>68</v>
      </c>
      <c r="Z3" s="765" t="s">
        <v>69</v>
      </c>
      <c r="AA3" s="765" t="s">
        <v>70</v>
      </c>
      <c r="AB3" s="765" t="s">
        <v>71</v>
      </c>
    </row>
    <row r="4" spans="1:28" s="93" customFormat="1" ht="13.5" x14ac:dyDescent="0.25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7" t="s">
        <v>74</v>
      </c>
      <c r="Q4" s="728"/>
      <c r="R4" s="728"/>
      <c r="S4" s="729">
        <f>F4-R4</f>
        <v>59995000</v>
      </c>
      <c r="T4" s="730">
        <f>F4-R4</f>
        <v>59995000</v>
      </c>
      <c r="V4" s="140"/>
      <c r="W4" s="766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6">
        <f>SUMIFS('Expenditure Breakdown'!$Q:$Q,
        'Expenditure Breakdown'!$T:$T, "&gt;"&amp;DATE(2024,8,31),
        'Expenditure Breakdown'!$T:$T, "&lt;="&amp;DATE(2025,8,31),
        'Expenditure Breakdown'!$S:$S, "&lt;&gt;")</f>
        <v>37071505.432058409</v>
      </c>
      <c r="Y4" s="766">
        <f>SUMIFS('Expenditure Breakdown'!$U:$U,
        'Expenditure Breakdown'!$T:$T, "&gt;"&amp;DATE(2025,8,31),
        'Expenditure Breakdown'!$T:$T, "&lt;="&amp;DATE(2026,8,31))</f>
        <v>13531807.922589721</v>
      </c>
      <c r="Z4" s="766">
        <f>SUMIFS('Expenditure Breakdown'!$Q:$Q,
        'Expenditure Breakdown'!$T:$T, "&gt;"&amp;DATE(2025,8,31),
        'Expenditure Breakdown'!$T:$T, "&lt;="&amp;DATE(2026,8,31))</f>
        <v>10301015.014387701</v>
      </c>
      <c r="AA4" s="766">
        <f>SUMIFS('Expenditure Breakdown'!$U:$U,
        'Expenditure Breakdown'!$T:$T, "&gt;"&amp;DATE(2025,8,31),
        'Expenditure Breakdown'!$T:$T, "&lt;="&amp;DATE(2026,8,31),
        'Expenditure Breakdown'!$S:$S, "&lt;&gt;")</f>
        <v>13531300.842589721</v>
      </c>
      <c r="AB4" s="766">
        <f>SUMIFS('Expenditure Breakdown'!$Q:$Q,
        'Expenditure Breakdown'!$T:$T, "&gt;"&amp;DATE(2025,8,31),
        'Expenditure Breakdown'!$T:$T, "&lt;="&amp;DATE(2026,8,31),
        'Expenditure Breakdown'!$S:$S, "&lt;&gt;")</f>
        <v>10136091.784387695</v>
      </c>
    </row>
    <row r="5" spans="1:28" s="93" customFormat="1" ht="15" customHeight="1" x14ac:dyDescent="0.25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47353351.446446106</v>
      </c>
      <c r="G5" s="830" t="s">
        <v>76</v>
      </c>
      <c r="H5" s="830" t="s">
        <v>77</v>
      </c>
      <c r="J5" s="140"/>
      <c r="L5" s="364">
        <v>46345971.321236402</v>
      </c>
      <c r="N5" s="399">
        <v>45894</v>
      </c>
      <c r="P5" s="727" t="s">
        <v>78</v>
      </c>
      <c r="R5" s="729"/>
      <c r="S5" s="729">
        <f>F5-R5</f>
        <v>47353351.446446106</v>
      </c>
      <c r="T5" s="730">
        <f>F5-R5</f>
        <v>47353351.446446106</v>
      </c>
      <c r="V5" s="140"/>
    </row>
    <row r="6" spans="1:28" s="93" customFormat="1" ht="15" customHeight="1" thickBot="1" x14ac:dyDescent="0.3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12641648.553553894</v>
      </c>
      <c r="G6" s="831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1" t="s">
        <v>81</v>
      </c>
      <c r="Q6" s="732"/>
      <c r="R6" s="733">
        <f>R4-R5</f>
        <v>0</v>
      </c>
      <c r="S6" s="733">
        <f>S4-S5</f>
        <v>12641648.553553894</v>
      </c>
      <c r="T6" s="734">
        <f>T4-T5</f>
        <v>12641648.553553894</v>
      </c>
      <c r="V6" s="140"/>
    </row>
    <row r="7" spans="1:28" s="93" customFormat="1" ht="15" customHeight="1" thickBot="1" x14ac:dyDescent="0.3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0.21071170186772054</v>
      </c>
      <c r="J7" s="140"/>
      <c r="L7" s="365">
        <v>0.22750276987688303</v>
      </c>
      <c r="N7" s="432">
        <v>45982</v>
      </c>
      <c r="P7" s="735"/>
      <c r="Q7" s="736"/>
      <c r="R7" s="736"/>
      <c r="S7" s="736"/>
      <c r="T7" s="737"/>
      <c r="V7" s="140"/>
    </row>
    <row r="8" spans="1:28" s="93" customFormat="1" ht="9" customHeight="1" x14ac:dyDescent="0.2">
      <c r="B8" s="117"/>
      <c r="J8" s="140"/>
      <c r="V8" s="140"/>
    </row>
    <row r="9" spans="1:28" s="93" customFormat="1" ht="9.75" customHeight="1" x14ac:dyDescent="0.2">
      <c r="B9" s="117"/>
      <c r="J9" s="140"/>
      <c r="V9" s="140"/>
    </row>
    <row r="10" spans="1:28" s="93" customFormat="1" ht="13.5" x14ac:dyDescent="0.25">
      <c r="B10" s="127" t="s">
        <v>83</v>
      </c>
      <c r="F10" s="831"/>
      <c r="J10" s="140"/>
      <c r="V10" s="140"/>
      <c r="X10" s="127"/>
    </row>
    <row r="11" spans="1:28" s="93" customFormat="1" ht="14.25" customHeight="1" x14ac:dyDescent="0.2">
      <c r="B11" s="117"/>
      <c r="J11" s="140"/>
      <c r="V11" s="140"/>
    </row>
    <row r="12" spans="1:28" s="93" customFormat="1" ht="27" x14ac:dyDescent="0.25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8"/>
      <c r="T12" s="738"/>
      <c r="U12" s="738"/>
      <c r="V12" s="140"/>
    </row>
    <row r="13" spans="1:28" s="93" customFormat="1" ht="13.5" x14ac:dyDescent="0.25">
      <c r="B13" s="341">
        <v>1</v>
      </c>
      <c r="C13" s="921" t="s">
        <v>93</v>
      </c>
      <c r="D13" s="922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39"/>
      <c r="T13" s="739"/>
      <c r="U13" s="739"/>
      <c r="V13" s="140"/>
    </row>
    <row r="14" spans="1:28" s="93" customFormat="1" ht="12.75" x14ac:dyDescent="0.2">
      <c r="B14" s="153">
        <v>2</v>
      </c>
      <c r="C14" s="921" t="s">
        <v>95</v>
      </c>
      <c r="D14" s="922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0"/>
      <c r="T14" s="740"/>
      <c r="U14" s="740"/>
      <c r="V14" s="140"/>
    </row>
    <row r="15" spans="1:28" s="93" customFormat="1" ht="12.75" x14ac:dyDescent="0.2">
      <c r="B15" s="341">
        <v>3</v>
      </c>
      <c r="C15" s="921" t="s">
        <v>97</v>
      </c>
      <c r="D15" s="922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0"/>
      <c r="T15" s="740"/>
      <c r="U15" s="740"/>
      <c r="V15" s="140"/>
    </row>
    <row r="16" spans="1:28" s="93" customFormat="1" ht="12.75" x14ac:dyDescent="0.2">
      <c r="B16" s="341">
        <v>4</v>
      </c>
      <c r="C16" s="921" t="s">
        <v>99</v>
      </c>
      <c r="D16" s="922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0"/>
      <c r="T16" s="740"/>
      <c r="U16" s="740"/>
      <c r="V16" s="140"/>
    </row>
    <row r="17" spans="2:22" s="93" customFormat="1" ht="12.75" x14ac:dyDescent="0.2">
      <c r="B17" s="341">
        <v>5</v>
      </c>
      <c r="C17" s="708" t="s">
        <v>101</v>
      </c>
      <c r="D17" s="709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32">
        <v>46002</v>
      </c>
      <c r="R17" s="368"/>
      <c r="S17" s="740"/>
      <c r="T17" s="740"/>
      <c r="U17" s="740"/>
      <c r="V17" s="140"/>
    </row>
    <row r="18" spans="2:22" s="93" customFormat="1" ht="12.75" x14ac:dyDescent="0.2">
      <c r="B18" s="341">
        <v>5</v>
      </c>
      <c r="C18" s="708" t="s">
        <v>101</v>
      </c>
      <c r="D18" s="709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32">
        <v>46002</v>
      </c>
      <c r="R18" s="368"/>
      <c r="S18" s="740"/>
      <c r="T18" s="740"/>
      <c r="U18" s="740"/>
      <c r="V18" s="140"/>
    </row>
    <row r="19" spans="2:22" s="93" customFormat="1" ht="12.75" x14ac:dyDescent="0.2">
      <c r="B19" s="341">
        <v>5</v>
      </c>
      <c r="C19" s="708" t="s">
        <v>101</v>
      </c>
      <c r="D19" s="709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832">
        <v>46066</v>
      </c>
      <c r="R19" s="368"/>
      <c r="S19" s="740"/>
      <c r="T19" s="740"/>
      <c r="U19" s="740"/>
      <c r="V19" s="140"/>
    </row>
    <row r="20" spans="2:22" s="93" customFormat="1" ht="12.75" x14ac:dyDescent="0.2">
      <c r="B20" s="341">
        <v>6</v>
      </c>
      <c r="C20" s="708" t="s">
        <v>54</v>
      </c>
      <c r="D20" s="709"/>
      <c r="E20" s="134">
        <v>0.05</v>
      </c>
      <c r="F20" s="135">
        <f t="shared" si="1"/>
        <v>2999750</v>
      </c>
      <c r="G20" s="344"/>
      <c r="H20" s="137">
        <f>'Project Plan'!E123+7</f>
        <v>45999</v>
      </c>
      <c r="J20" s="140"/>
      <c r="L20" s="357"/>
      <c r="N20" s="137"/>
      <c r="O20" s="128"/>
      <c r="P20" s="138">
        <f>'Project Plan'!I123+60</f>
        <v>46147</v>
      </c>
      <c r="R20" s="368"/>
      <c r="S20" s="740"/>
      <c r="T20" s="740"/>
      <c r="U20" s="740"/>
      <c r="V20" s="140"/>
    </row>
    <row r="21" spans="2:22" s="93" customFormat="1" ht="12.75" x14ac:dyDescent="0.2">
      <c r="B21" s="341">
        <v>7</v>
      </c>
      <c r="C21" s="921" t="s">
        <v>103</v>
      </c>
      <c r="D21" s="922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0"/>
      <c r="T21" s="740"/>
      <c r="U21" s="740"/>
      <c r="V21" s="140"/>
    </row>
    <row r="22" spans="2:22" s="93" customFormat="1" ht="9" customHeight="1" x14ac:dyDescent="0.2">
      <c r="B22" s="117"/>
      <c r="E22" s="139"/>
      <c r="F22" s="116"/>
      <c r="H22" s="347"/>
      <c r="J22" s="140"/>
      <c r="V22" s="140"/>
    </row>
    <row r="23" spans="2:22" s="93" customFormat="1" ht="13.5" x14ac:dyDescent="0.25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 x14ac:dyDescent="0.2">
      <c r="B24" s="141"/>
      <c r="F24" s="142"/>
    </row>
    <row r="25" spans="2:22" s="93" customFormat="1" ht="24.75" customHeight="1" x14ac:dyDescent="0.2">
      <c r="B25" s="143" t="s">
        <v>104</v>
      </c>
      <c r="C25" s="144" t="s">
        <v>105</v>
      </c>
      <c r="D25" s="144"/>
      <c r="F25" s="145"/>
    </row>
    <row r="26" spans="2:22" s="93" customFormat="1" ht="12.75" x14ac:dyDescent="0.2">
      <c r="C26" s="146" t="s">
        <v>106</v>
      </c>
      <c r="D26" s="147"/>
      <c r="F26" s="148">
        <f>F17+F18+F19</f>
        <v>5999500</v>
      </c>
      <c r="H26" s="116"/>
    </row>
    <row r="27" spans="2:22" s="93" customFormat="1" ht="12.75" x14ac:dyDescent="0.2">
      <c r="C27" s="146" t="s">
        <v>107</v>
      </c>
      <c r="D27" s="147"/>
      <c r="H27" s="741"/>
      <c r="L27" s="831"/>
    </row>
    <row r="28" spans="2:22" s="93" customFormat="1" ht="12.75" x14ac:dyDescent="0.2">
      <c r="C28" s="149" t="s">
        <v>108</v>
      </c>
      <c r="D28" s="150"/>
      <c r="H28" s="116"/>
    </row>
    <row r="29" spans="2:22" s="93" customFormat="1" ht="12.75" x14ac:dyDescent="0.2">
      <c r="C29" s="151" t="s">
        <v>109</v>
      </c>
      <c r="D29" s="147"/>
    </row>
    <row r="30" spans="2:22" s="93" customFormat="1" ht="12.75" x14ac:dyDescent="0.2">
      <c r="B30" s="117"/>
      <c r="C30" s="151" t="s">
        <v>110</v>
      </c>
      <c r="D30" s="147"/>
    </row>
    <row r="31" spans="2:22" s="93" customFormat="1" ht="12.75" x14ac:dyDescent="0.2">
      <c r="B31" s="117"/>
      <c r="C31" s="93" t="s">
        <v>111</v>
      </c>
    </row>
    <row r="32" spans="2:22" s="93" customFormat="1" ht="27.75" customHeight="1" x14ac:dyDescent="0.2">
      <c r="B32" s="117"/>
      <c r="C32" s="152" t="s">
        <v>112</v>
      </c>
      <c r="D32" s="152"/>
      <c r="F32" s="148"/>
    </row>
    <row r="33" spans="2:6" s="93" customFormat="1" ht="12.75" x14ac:dyDescent="0.2">
      <c r="B33" s="117"/>
      <c r="F33" s="145"/>
    </row>
    <row r="34" spans="2:6" s="93" customFormat="1" ht="12.75" x14ac:dyDescent="0.2">
      <c r="B34" s="117"/>
      <c r="F34" s="145"/>
    </row>
    <row r="35" spans="2:6" s="93" customFormat="1" ht="12.75" x14ac:dyDescent="0.2">
      <c r="B35" s="117"/>
      <c r="F35" s="145"/>
    </row>
    <row r="36" spans="2:6" s="93" customFormat="1" ht="12.75" x14ac:dyDescent="0.2">
      <c r="B36" s="117"/>
      <c r="F36" s="145"/>
    </row>
    <row r="37" spans="2:6" s="93" customFormat="1" ht="12.75" x14ac:dyDescent="0.2">
      <c r="B37" s="117"/>
    </row>
    <row r="38" spans="2:6" s="93" customFormat="1" ht="12.75" x14ac:dyDescent="0.2">
      <c r="B38" s="117"/>
    </row>
    <row r="39" spans="2:6" s="93" customFormat="1" ht="12.75" x14ac:dyDescent="0.2">
      <c r="B39" s="117"/>
    </row>
    <row r="40" spans="2:6" s="93" customFormat="1" ht="12.75" customHeight="1" x14ac:dyDescent="0.2">
      <c r="B40" s="117"/>
    </row>
    <row r="41" spans="2:6" s="93" customFormat="1" ht="12.75" customHeight="1" x14ac:dyDescent="0.2">
      <c r="B41" s="117"/>
    </row>
    <row r="42" spans="2:6" s="93" customFormat="1" ht="13.5" customHeight="1" x14ac:dyDescent="0.2">
      <c r="B42" s="117"/>
    </row>
    <row r="43" spans="2:6" s="93" customFormat="1" ht="12.75" customHeight="1" x14ac:dyDescent="0.2">
      <c r="B43" s="117"/>
    </row>
    <row r="44" spans="2:6" s="93" customFormat="1" ht="12.75" customHeight="1" x14ac:dyDescent="0.2">
      <c r="B44" s="117"/>
    </row>
    <row r="45" spans="2:6" s="93" customFormat="1" ht="12.75" customHeight="1" x14ac:dyDescent="0.2">
      <c r="B45" s="117"/>
    </row>
    <row r="46" spans="2:6" s="93" customFormat="1" ht="12.75" customHeight="1" x14ac:dyDescent="0.2">
      <c r="B46" s="117"/>
    </row>
    <row r="47" spans="2:6" s="93" customFormat="1" ht="13.5" customHeight="1" x14ac:dyDescent="0.2">
      <c r="B47" s="117"/>
    </row>
    <row r="48" spans="2:6" s="93" customFormat="1" ht="13.5" customHeight="1" x14ac:dyDescent="0.2">
      <c r="B48" s="117"/>
    </row>
    <row r="49" spans="2:2" s="93" customFormat="1" ht="12.75" customHeight="1" x14ac:dyDescent="0.2">
      <c r="B49" s="117"/>
    </row>
    <row r="50" spans="2:2" s="93" customFormat="1" ht="12.75" customHeight="1" x14ac:dyDescent="0.2">
      <c r="B50" s="117"/>
    </row>
    <row r="51" spans="2:2" s="93" customFormat="1" ht="12.75" x14ac:dyDescent="0.2">
      <c r="B51" s="117"/>
    </row>
    <row r="52" spans="2:2" s="93" customFormat="1" ht="12.75" x14ac:dyDescent="0.2">
      <c r="B52" s="117"/>
    </row>
    <row r="53" spans="2:2" s="93" customFormat="1" ht="12.75" x14ac:dyDescent="0.2">
      <c r="B53" s="117"/>
    </row>
    <row r="54" spans="2:2" s="93" customFormat="1" ht="12.75" x14ac:dyDescent="0.2">
      <c r="B54" s="117"/>
    </row>
    <row r="55" spans="2:2" s="93" customFormat="1" ht="12.75" x14ac:dyDescent="0.2">
      <c r="B55" s="117"/>
    </row>
    <row r="56" spans="2:2" s="93" customFormat="1" ht="12.75" x14ac:dyDescent="0.2">
      <c r="B56" s="117"/>
    </row>
    <row r="57" spans="2:2" s="93" customFormat="1" ht="12.75" x14ac:dyDescent="0.2">
      <c r="B57" s="117"/>
    </row>
    <row r="58" spans="2:2" s="93" customFormat="1" ht="12.75" x14ac:dyDescent="0.2">
      <c r="B58" s="117"/>
    </row>
    <row r="59" spans="2:2" s="93" customFormat="1" ht="12.75" x14ac:dyDescent="0.2">
      <c r="B59" s="117"/>
    </row>
    <row r="60" spans="2:2" s="93" customFormat="1" ht="12.75" x14ac:dyDescent="0.2">
      <c r="B60" s="117"/>
    </row>
    <row r="61" spans="2:2" s="93" customFormat="1" ht="12.75" x14ac:dyDescent="0.2">
      <c r="B61" s="117"/>
    </row>
    <row r="62" spans="2:2" s="93" customFormat="1" ht="12.75" x14ac:dyDescent="0.2">
      <c r="B62" s="117"/>
    </row>
    <row r="63" spans="2:2" s="93" customFormat="1" ht="12.75" x14ac:dyDescent="0.2">
      <c r="B63" s="117"/>
    </row>
    <row r="64" spans="2:2" s="93" customFormat="1" ht="12.75" x14ac:dyDescent="0.2">
      <c r="B64" s="117"/>
    </row>
    <row r="65" spans="2:2" s="93" customFormat="1" ht="12.75" x14ac:dyDescent="0.2">
      <c r="B65" s="117"/>
    </row>
    <row r="66" spans="2:2" s="93" customFormat="1" ht="12.75" x14ac:dyDescent="0.2">
      <c r="B66" s="117"/>
    </row>
    <row r="67" spans="2:2" s="93" customFormat="1" ht="12.75" x14ac:dyDescent="0.2">
      <c r="B67" s="117"/>
    </row>
    <row r="68" spans="2:2" s="93" customFormat="1" ht="12.75" x14ac:dyDescent="0.2">
      <c r="B68" s="117"/>
    </row>
    <row r="69" spans="2:2" s="93" customFormat="1" ht="12.75" x14ac:dyDescent="0.2">
      <c r="B69" s="117"/>
    </row>
    <row r="70" spans="2:2" s="93" customFormat="1" ht="12.75" x14ac:dyDescent="0.2">
      <c r="B70" s="117"/>
    </row>
    <row r="71" spans="2:2" s="93" customFormat="1" ht="12.75" x14ac:dyDescent="0.2">
      <c r="B71" s="117"/>
    </row>
    <row r="72" spans="2:2" s="93" customFormat="1" ht="12.75" x14ac:dyDescent="0.2">
      <c r="B72" s="117"/>
    </row>
    <row r="73" spans="2:2" s="93" customFormat="1" ht="12.75" x14ac:dyDescent="0.2">
      <c r="B73" s="117"/>
    </row>
    <row r="74" spans="2:2" s="93" customFormat="1" ht="12.75" x14ac:dyDescent="0.2">
      <c r="B74" s="117"/>
    </row>
    <row r="75" spans="2:2" s="93" customFormat="1" ht="12.75" x14ac:dyDescent="0.2">
      <c r="B75" s="117"/>
    </row>
    <row r="76" spans="2:2" s="93" customFormat="1" ht="12.75" x14ac:dyDescent="0.2">
      <c r="B76" s="117"/>
    </row>
    <row r="77" spans="2:2" s="93" customFormat="1" ht="12.75" x14ac:dyDescent="0.2">
      <c r="B77" s="117"/>
    </row>
    <row r="78" spans="2:2" s="93" customFormat="1" ht="12.75" x14ac:dyDescent="0.2">
      <c r="B78" s="117"/>
    </row>
    <row r="79" spans="2:2" s="93" customFormat="1" ht="12.75" x14ac:dyDescent="0.2">
      <c r="B79" s="117"/>
    </row>
    <row r="80" spans="2:2" s="93" customFormat="1" ht="12.75" x14ac:dyDescent="0.2">
      <c r="B80" s="117"/>
    </row>
    <row r="81" spans="2:2" s="93" customFormat="1" ht="12.75" x14ac:dyDescent="0.2">
      <c r="B81" s="117"/>
    </row>
    <row r="82" spans="2:2" s="93" customFormat="1" ht="12.75" x14ac:dyDescent="0.2">
      <c r="B82" s="117"/>
    </row>
    <row r="83" spans="2:2" s="93" customFormat="1" ht="12.75" x14ac:dyDescent="0.2">
      <c r="B83" s="117"/>
    </row>
    <row r="84" spans="2:2" s="93" customFormat="1" ht="12.75" x14ac:dyDescent="0.2">
      <c r="B84" s="117"/>
    </row>
    <row r="85" spans="2:2" s="93" customFormat="1" ht="12.75" x14ac:dyDescent="0.2">
      <c r="B85" s="117"/>
    </row>
    <row r="86" spans="2:2" s="93" customFormat="1" ht="12.75" x14ac:dyDescent="0.2">
      <c r="B86" s="117"/>
    </row>
    <row r="87" spans="2:2" s="93" customFormat="1" ht="12.75" x14ac:dyDescent="0.2">
      <c r="B87" s="117"/>
    </row>
    <row r="88" spans="2:2" s="93" customFormat="1" ht="12.75" x14ac:dyDescent="0.2">
      <c r="B88" s="117"/>
    </row>
    <row r="89" spans="2:2" s="93" customFormat="1" ht="12.75" x14ac:dyDescent="0.2">
      <c r="B89" s="117"/>
    </row>
    <row r="90" spans="2:2" s="93" customFormat="1" ht="12.75" x14ac:dyDescent="0.2">
      <c r="B90" s="117"/>
    </row>
    <row r="91" spans="2:2" s="93" customFormat="1" ht="12.75" x14ac:dyDescent="0.2">
      <c r="B91" s="117"/>
    </row>
    <row r="92" spans="2:2" s="93" customFormat="1" ht="12.75" x14ac:dyDescent="0.2">
      <c r="B92" s="117"/>
    </row>
    <row r="93" spans="2:2" s="93" customFormat="1" ht="12.75" x14ac:dyDescent="0.2">
      <c r="B93" s="117"/>
    </row>
    <row r="94" spans="2:2" s="93" customFormat="1" ht="12.75" x14ac:dyDescent="0.2">
      <c r="B94" s="117"/>
    </row>
    <row r="95" spans="2:2" s="93" customFormat="1" ht="12.75" x14ac:dyDescent="0.2">
      <c r="B95" s="117"/>
    </row>
    <row r="96" spans="2:2" s="93" customFormat="1" ht="12.75" x14ac:dyDescent="0.2">
      <c r="B96" s="117"/>
    </row>
    <row r="97" spans="2:2" s="93" customFormat="1" ht="12.75" x14ac:dyDescent="0.2">
      <c r="B97" s="117"/>
    </row>
    <row r="98" spans="2:2" s="93" customFormat="1" ht="12.75" x14ac:dyDescent="0.2">
      <c r="B98" s="117"/>
    </row>
    <row r="99" spans="2:2" s="93" customFormat="1" ht="12.75" x14ac:dyDescent="0.2">
      <c r="B99" s="117"/>
    </row>
    <row r="100" spans="2:2" s="93" customFormat="1" ht="12.75" x14ac:dyDescent="0.2">
      <c r="B100" s="117"/>
    </row>
    <row r="101" spans="2:2" s="93" customFormat="1" ht="12.75" x14ac:dyDescent="0.2">
      <c r="B101" s="117"/>
    </row>
    <row r="102" spans="2:2" s="93" customFormat="1" ht="12.75" x14ac:dyDescent="0.2">
      <c r="B102" s="117"/>
    </row>
    <row r="103" spans="2:2" s="93" customFormat="1" ht="12.75" x14ac:dyDescent="0.2">
      <c r="B103" s="117"/>
    </row>
    <row r="104" spans="2:2" s="93" customFormat="1" ht="12.75" x14ac:dyDescent="0.2">
      <c r="B104" s="117"/>
    </row>
    <row r="105" spans="2:2" s="93" customFormat="1" ht="12.75" x14ac:dyDescent="0.2">
      <c r="B105" s="117"/>
    </row>
    <row r="106" spans="2:2" s="93" customFormat="1" ht="12.75" x14ac:dyDescent="0.2">
      <c r="B106" s="117"/>
    </row>
    <row r="107" spans="2:2" s="93" customFormat="1" ht="12.75" x14ac:dyDescent="0.2">
      <c r="B107" s="117"/>
    </row>
    <row r="108" spans="2:2" s="93" customFormat="1" ht="12.75" x14ac:dyDescent="0.2">
      <c r="B108" s="117"/>
    </row>
    <row r="109" spans="2:2" s="93" customFormat="1" ht="12.75" x14ac:dyDescent="0.2">
      <c r="B109" s="117"/>
    </row>
    <row r="110" spans="2:2" s="93" customFormat="1" ht="12.75" x14ac:dyDescent="0.2">
      <c r="B110" s="117"/>
    </row>
    <row r="111" spans="2:2" s="93" customFormat="1" ht="12.75" x14ac:dyDescent="0.2">
      <c r="B111" s="117"/>
    </row>
    <row r="112" spans="2:2" s="93" customFormat="1" ht="12.75" x14ac:dyDescent="0.2">
      <c r="B112" s="117"/>
    </row>
    <row r="113" spans="2:2" s="93" customFormat="1" ht="12.75" x14ac:dyDescent="0.2">
      <c r="B113" s="117"/>
    </row>
    <row r="114" spans="2:2" s="93" customFormat="1" ht="12.75" x14ac:dyDescent="0.2">
      <c r="B114" s="117"/>
    </row>
    <row r="115" spans="2:2" s="93" customFormat="1" ht="12.75" x14ac:dyDescent="0.2">
      <c r="B115" s="117"/>
    </row>
    <row r="116" spans="2:2" s="93" customFormat="1" ht="12.75" x14ac:dyDescent="0.2">
      <c r="B116" s="117"/>
    </row>
    <row r="117" spans="2:2" s="93" customFormat="1" ht="12.75" x14ac:dyDescent="0.2">
      <c r="B117" s="117"/>
    </row>
    <row r="118" spans="2:2" s="93" customFormat="1" ht="12.75" x14ac:dyDescent="0.2">
      <c r="B118" s="117"/>
    </row>
    <row r="119" spans="2:2" s="93" customFormat="1" ht="12.75" x14ac:dyDescent="0.2">
      <c r="B119" s="117"/>
    </row>
    <row r="120" spans="2:2" s="93" customFormat="1" ht="12.75" x14ac:dyDescent="0.2">
      <c r="B120" s="117"/>
    </row>
    <row r="121" spans="2:2" s="93" customFormat="1" ht="12.75" x14ac:dyDescent="0.2">
      <c r="B121" s="117"/>
    </row>
    <row r="122" spans="2:2" s="93" customFormat="1" ht="12.75" x14ac:dyDescent="0.2">
      <c r="B122" s="117"/>
    </row>
    <row r="123" spans="2:2" s="93" customFormat="1" ht="12.75" x14ac:dyDescent="0.2">
      <c r="B123" s="117"/>
    </row>
    <row r="124" spans="2:2" s="93" customFormat="1" ht="12.75" x14ac:dyDescent="0.2">
      <c r="B124" s="117"/>
    </row>
    <row r="125" spans="2:2" s="93" customFormat="1" ht="12.75" x14ac:dyDescent="0.2">
      <c r="B125" s="117"/>
    </row>
    <row r="126" spans="2:2" s="93" customFormat="1" ht="12.75" x14ac:dyDescent="0.2">
      <c r="B126" s="117"/>
    </row>
    <row r="127" spans="2:2" s="93" customFormat="1" ht="12.75" x14ac:dyDescent="0.2">
      <c r="B127" s="117"/>
    </row>
    <row r="128" spans="2:2" s="93" customFormat="1" ht="12.75" x14ac:dyDescent="0.2">
      <c r="B128" s="117"/>
    </row>
    <row r="129" spans="2:2" s="93" customFormat="1" ht="12.75" x14ac:dyDescent="0.2">
      <c r="B129" s="117"/>
    </row>
    <row r="130" spans="2:2" s="93" customFormat="1" ht="12.75" x14ac:dyDescent="0.2">
      <c r="B130" s="117"/>
    </row>
    <row r="131" spans="2:2" s="93" customFormat="1" ht="12.75" x14ac:dyDescent="0.2">
      <c r="B131" s="117"/>
    </row>
    <row r="132" spans="2:2" s="93" customFormat="1" ht="12.75" x14ac:dyDescent="0.2">
      <c r="B132" s="117"/>
    </row>
    <row r="133" spans="2:2" s="93" customFormat="1" ht="12.75" x14ac:dyDescent="0.2">
      <c r="B133" s="117"/>
    </row>
    <row r="134" spans="2:2" s="93" customFormat="1" ht="12.75" x14ac:dyDescent="0.2">
      <c r="B134" s="117"/>
    </row>
    <row r="135" spans="2:2" s="93" customFormat="1" ht="12.75" x14ac:dyDescent="0.2">
      <c r="B135" s="117"/>
    </row>
    <row r="136" spans="2:2" s="93" customFormat="1" ht="12.75" x14ac:dyDescent="0.2">
      <c r="B136" s="117"/>
    </row>
    <row r="137" spans="2:2" s="93" customFormat="1" ht="12.75" x14ac:dyDescent="0.2">
      <c r="B137" s="117"/>
    </row>
    <row r="138" spans="2:2" s="93" customFormat="1" ht="12.75" x14ac:dyDescent="0.2">
      <c r="B138" s="117"/>
    </row>
    <row r="139" spans="2:2" s="93" customFormat="1" ht="12.75" x14ac:dyDescent="0.2">
      <c r="B139" s="117"/>
    </row>
    <row r="140" spans="2:2" s="93" customFormat="1" ht="12.75" x14ac:dyDescent="0.2">
      <c r="B140" s="117"/>
    </row>
    <row r="141" spans="2:2" s="93" customFormat="1" ht="12.75" x14ac:dyDescent="0.2">
      <c r="B141" s="117"/>
    </row>
    <row r="142" spans="2:2" s="93" customFormat="1" ht="12.75" x14ac:dyDescent="0.2">
      <c r="B142" s="117"/>
    </row>
    <row r="143" spans="2:2" s="93" customFormat="1" ht="12.75" x14ac:dyDescent="0.2">
      <c r="B143" s="117"/>
    </row>
    <row r="144" spans="2:2" s="93" customFormat="1" ht="12.75" x14ac:dyDescent="0.2">
      <c r="B144" s="117"/>
    </row>
    <row r="145" spans="2:2" s="93" customFormat="1" ht="12.75" x14ac:dyDescent="0.2">
      <c r="B145" s="117"/>
    </row>
    <row r="146" spans="2:2" s="93" customFormat="1" ht="12.75" x14ac:dyDescent="0.2">
      <c r="B146" s="117"/>
    </row>
    <row r="147" spans="2:2" s="93" customFormat="1" ht="12.75" x14ac:dyDescent="0.2">
      <c r="B147" s="117"/>
    </row>
    <row r="148" spans="2:2" s="93" customFormat="1" ht="12.75" x14ac:dyDescent="0.2">
      <c r="B148" s="117"/>
    </row>
    <row r="149" spans="2:2" s="93" customFormat="1" ht="12.75" x14ac:dyDescent="0.2">
      <c r="B149" s="117"/>
    </row>
    <row r="150" spans="2:2" s="93" customFormat="1" ht="12.75" x14ac:dyDescent="0.2">
      <c r="B150" s="117"/>
    </row>
    <row r="151" spans="2:2" s="93" customFormat="1" ht="12.75" x14ac:dyDescent="0.2">
      <c r="B151" s="117"/>
    </row>
    <row r="152" spans="2:2" s="93" customFormat="1" ht="12.75" x14ac:dyDescent="0.2">
      <c r="B152" s="117"/>
    </row>
    <row r="153" spans="2:2" s="93" customFormat="1" ht="12.75" x14ac:dyDescent="0.2">
      <c r="B153" s="117"/>
    </row>
    <row r="154" spans="2:2" s="93" customFormat="1" ht="12.75" x14ac:dyDescent="0.2">
      <c r="B154" s="117"/>
    </row>
    <row r="155" spans="2:2" s="93" customFormat="1" ht="12.75" x14ac:dyDescent="0.2">
      <c r="B155" s="117"/>
    </row>
    <row r="156" spans="2:2" s="93" customFormat="1" ht="12.75" x14ac:dyDescent="0.2">
      <c r="B156" s="117"/>
    </row>
    <row r="157" spans="2:2" s="93" customFormat="1" ht="12.75" x14ac:dyDescent="0.2">
      <c r="B157" s="117"/>
    </row>
    <row r="158" spans="2:2" s="93" customFormat="1" ht="12.75" x14ac:dyDescent="0.2">
      <c r="B158" s="117"/>
    </row>
    <row r="159" spans="2:2" s="93" customFormat="1" ht="12.75" x14ac:dyDescent="0.2">
      <c r="B159" s="117"/>
    </row>
    <row r="160" spans="2:2" s="93" customFormat="1" ht="12.75" x14ac:dyDescent="0.2">
      <c r="B160" s="117"/>
    </row>
    <row r="161" spans="2:2" s="93" customFormat="1" ht="12.75" x14ac:dyDescent="0.2">
      <c r="B161" s="117"/>
    </row>
    <row r="162" spans="2:2" s="93" customFormat="1" ht="12.75" x14ac:dyDescent="0.2">
      <c r="B162" s="117"/>
    </row>
    <row r="163" spans="2:2" s="93" customFormat="1" ht="12.75" x14ac:dyDescent="0.2">
      <c r="B163" s="117"/>
    </row>
    <row r="164" spans="2:2" s="93" customFormat="1" ht="12.75" x14ac:dyDescent="0.2">
      <c r="B164" s="117"/>
    </row>
    <row r="165" spans="2:2" s="93" customFormat="1" ht="12.75" x14ac:dyDescent="0.2">
      <c r="B165" s="117"/>
    </row>
    <row r="166" spans="2:2" s="93" customFormat="1" ht="12.75" x14ac:dyDescent="0.2">
      <c r="B166" s="117"/>
    </row>
    <row r="167" spans="2:2" s="93" customFormat="1" ht="12.75" x14ac:dyDescent="0.2">
      <c r="B167" s="117"/>
    </row>
    <row r="168" spans="2:2" s="93" customFormat="1" ht="12.75" x14ac:dyDescent="0.2">
      <c r="B168" s="117"/>
    </row>
    <row r="169" spans="2:2" s="93" customFormat="1" ht="12.75" x14ac:dyDescent="0.2">
      <c r="B169" s="117"/>
    </row>
    <row r="170" spans="2:2" s="93" customFormat="1" ht="12.75" x14ac:dyDescent="0.2">
      <c r="B170" s="117"/>
    </row>
    <row r="171" spans="2:2" s="93" customFormat="1" ht="12.75" x14ac:dyDescent="0.2">
      <c r="B171" s="117"/>
    </row>
    <row r="172" spans="2:2" s="93" customFormat="1" ht="12.75" x14ac:dyDescent="0.2">
      <c r="B172" s="117"/>
    </row>
    <row r="173" spans="2:2" s="93" customFormat="1" ht="12.75" x14ac:dyDescent="0.2">
      <c r="B173" s="117"/>
    </row>
    <row r="174" spans="2:2" s="93" customFormat="1" ht="12.75" x14ac:dyDescent="0.2">
      <c r="B174" s="117"/>
    </row>
    <row r="175" spans="2:2" s="93" customFormat="1" ht="12.75" x14ac:dyDescent="0.2">
      <c r="B175" s="117"/>
    </row>
    <row r="176" spans="2:2" s="93" customFormat="1" ht="12.75" x14ac:dyDescent="0.2">
      <c r="B176" s="117"/>
    </row>
    <row r="177" spans="2:2" s="93" customFormat="1" ht="12.75" x14ac:dyDescent="0.2">
      <c r="B177" s="117"/>
    </row>
    <row r="178" spans="2:2" s="93" customFormat="1" ht="12.75" x14ac:dyDescent="0.2">
      <c r="B178" s="117"/>
    </row>
    <row r="179" spans="2:2" s="93" customFormat="1" ht="12.75" x14ac:dyDescent="0.2">
      <c r="B179" s="117"/>
    </row>
    <row r="180" spans="2:2" s="93" customFormat="1" ht="12.75" x14ac:dyDescent="0.2">
      <c r="B180" s="117"/>
    </row>
    <row r="181" spans="2:2" s="93" customFormat="1" ht="12.75" x14ac:dyDescent="0.2">
      <c r="B181" s="117"/>
    </row>
    <row r="182" spans="2:2" s="93" customFormat="1" ht="12.75" x14ac:dyDescent="0.2">
      <c r="B182" s="117"/>
    </row>
    <row r="183" spans="2:2" s="93" customFormat="1" ht="12.75" x14ac:dyDescent="0.2">
      <c r="B183" s="117"/>
    </row>
    <row r="184" spans="2:2" s="93" customFormat="1" ht="12.75" x14ac:dyDescent="0.2">
      <c r="B184" s="117"/>
    </row>
    <row r="185" spans="2:2" s="93" customFormat="1" ht="12.75" x14ac:dyDescent="0.2">
      <c r="B185" s="117"/>
    </row>
    <row r="186" spans="2:2" s="93" customFormat="1" ht="12.75" x14ac:dyDescent="0.2">
      <c r="B186" s="117"/>
    </row>
    <row r="187" spans="2:2" s="93" customFormat="1" ht="12.75" x14ac:dyDescent="0.2">
      <c r="B187" s="117"/>
    </row>
    <row r="188" spans="2:2" s="93" customFormat="1" ht="12.75" x14ac:dyDescent="0.2">
      <c r="B188" s="117"/>
    </row>
    <row r="189" spans="2:2" s="93" customFormat="1" ht="12.75" x14ac:dyDescent="0.2">
      <c r="B189" s="117"/>
    </row>
    <row r="190" spans="2:2" s="93" customFormat="1" ht="12.75" x14ac:dyDescent="0.2">
      <c r="B190" s="117"/>
    </row>
    <row r="191" spans="2:2" s="93" customFormat="1" ht="12.75" x14ac:dyDescent="0.2">
      <c r="B191" s="117"/>
    </row>
    <row r="192" spans="2:2" s="93" customFormat="1" ht="12.75" x14ac:dyDescent="0.2">
      <c r="B192" s="117"/>
    </row>
    <row r="193" spans="2:2" s="93" customFormat="1" ht="12.75" x14ac:dyDescent="0.2">
      <c r="B193" s="117"/>
    </row>
    <row r="194" spans="2:2" s="93" customFormat="1" ht="12.75" x14ac:dyDescent="0.2">
      <c r="B194" s="117"/>
    </row>
    <row r="195" spans="2:2" s="93" customFormat="1" ht="12.75" x14ac:dyDescent="0.2">
      <c r="B195" s="117"/>
    </row>
    <row r="196" spans="2:2" s="93" customFormat="1" ht="12.75" x14ac:dyDescent="0.2">
      <c r="B196" s="117"/>
    </row>
    <row r="197" spans="2:2" s="93" customFormat="1" ht="12.75" x14ac:dyDescent="0.2">
      <c r="B197" s="117"/>
    </row>
    <row r="198" spans="2:2" s="93" customFormat="1" ht="12.75" x14ac:dyDescent="0.2">
      <c r="B198" s="117"/>
    </row>
    <row r="199" spans="2:2" s="93" customFormat="1" ht="12.75" x14ac:dyDescent="0.2">
      <c r="B199" s="117"/>
    </row>
    <row r="200" spans="2:2" s="93" customFormat="1" ht="12.75" x14ac:dyDescent="0.2">
      <c r="B200" s="117"/>
    </row>
    <row r="201" spans="2:2" s="93" customFormat="1" ht="12.75" x14ac:dyDescent="0.2">
      <c r="B201" s="117"/>
    </row>
    <row r="202" spans="2:2" s="93" customFormat="1" ht="12.75" x14ac:dyDescent="0.2">
      <c r="B202" s="117"/>
    </row>
    <row r="203" spans="2:2" s="93" customFormat="1" ht="12.75" x14ac:dyDescent="0.2">
      <c r="B203" s="117"/>
    </row>
    <row r="204" spans="2:2" s="93" customFormat="1" ht="12.75" x14ac:dyDescent="0.2">
      <c r="B204" s="117"/>
    </row>
    <row r="205" spans="2:2" s="93" customFormat="1" ht="12.75" x14ac:dyDescent="0.2">
      <c r="B205" s="117"/>
    </row>
    <row r="206" spans="2:2" s="93" customFormat="1" ht="12.75" x14ac:dyDescent="0.2">
      <c r="B206" s="117"/>
    </row>
    <row r="207" spans="2:2" s="93" customFormat="1" ht="12.75" x14ac:dyDescent="0.2">
      <c r="B207" s="117"/>
    </row>
    <row r="208" spans="2:2" s="93" customFormat="1" ht="12.75" x14ac:dyDescent="0.2">
      <c r="B208" s="117"/>
    </row>
    <row r="209" spans="2:2" s="93" customFormat="1" ht="12.75" x14ac:dyDescent="0.2">
      <c r="B209" s="117"/>
    </row>
    <row r="210" spans="2:2" s="93" customFormat="1" ht="12.75" x14ac:dyDescent="0.2">
      <c r="B210" s="117"/>
    </row>
    <row r="211" spans="2:2" s="93" customFormat="1" ht="12.75" x14ac:dyDescent="0.2">
      <c r="B211" s="117"/>
    </row>
    <row r="212" spans="2:2" s="93" customFormat="1" ht="12.75" x14ac:dyDescent="0.2">
      <c r="B212" s="117"/>
    </row>
    <row r="213" spans="2:2" s="93" customFormat="1" ht="12.75" x14ac:dyDescent="0.2">
      <c r="B213" s="117"/>
    </row>
    <row r="214" spans="2:2" s="93" customFormat="1" ht="12.75" x14ac:dyDescent="0.2">
      <c r="B214" s="117"/>
    </row>
    <row r="215" spans="2:2" s="93" customFormat="1" ht="12.75" x14ac:dyDescent="0.2">
      <c r="B215" s="117"/>
    </row>
    <row r="216" spans="2:2" s="93" customFormat="1" ht="12.75" x14ac:dyDescent="0.2">
      <c r="B216" s="117"/>
    </row>
    <row r="217" spans="2:2" s="93" customFormat="1" ht="12.75" x14ac:dyDescent="0.2">
      <c r="B217" s="117"/>
    </row>
    <row r="218" spans="2:2" s="93" customFormat="1" ht="12.75" x14ac:dyDescent="0.2">
      <c r="B218" s="117"/>
    </row>
    <row r="219" spans="2:2" s="93" customFormat="1" ht="12.75" x14ac:dyDescent="0.2">
      <c r="B219" s="117"/>
    </row>
    <row r="220" spans="2:2" s="93" customFormat="1" ht="12.75" x14ac:dyDescent="0.2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2578125" defaultRowHeight="12.75" x14ac:dyDescent="0.2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5" thickBot="1" x14ac:dyDescent="0.25"/>
    <row r="2" spans="3:8" ht="13.5" thickBot="1" x14ac:dyDescent="0.25">
      <c r="C2" s="83" t="s">
        <v>113</v>
      </c>
      <c r="F2" s="83" t="s">
        <v>114</v>
      </c>
    </row>
    <row r="3" spans="3:8" x14ac:dyDescent="0.2">
      <c r="C3" s="79">
        <v>45658</v>
      </c>
      <c r="D3" s="73" t="s">
        <v>115</v>
      </c>
      <c r="F3" s="81" t="s">
        <v>116</v>
      </c>
    </row>
    <row r="4" spans="3:8" x14ac:dyDescent="0.2">
      <c r="C4" s="79">
        <v>45737</v>
      </c>
      <c r="D4" s="73" t="s">
        <v>117</v>
      </c>
      <c r="F4" s="81" t="s">
        <v>118</v>
      </c>
    </row>
    <row r="5" spans="3:8" x14ac:dyDescent="0.2">
      <c r="C5" s="79">
        <v>45765</v>
      </c>
      <c r="D5" s="73" t="s">
        <v>119</v>
      </c>
      <c r="F5" s="81" t="s">
        <v>120</v>
      </c>
    </row>
    <row r="6" spans="3:8" ht="13.5" thickBot="1" x14ac:dyDescent="0.25">
      <c r="C6" s="79">
        <v>45768</v>
      </c>
      <c r="D6" s="73" t="s">
        <v>121</v>
      </c>
      <c r="F6" s="82" t="s">
        <v>122</v>
      </c>
    </row>
    <row r="7" spans="3:8" x14ac:dyDescent="0.2">
      <c r="C7" s="79">
        <v>45774</v>
      </c>
      <c r="D7" s="73" t="s">
        <v>123</v>
      </c>
    </row>
    <row r="8" spans="3:8" x14ac:dyDescent="0.2">
      <c r="C8" s="79">
        <v>45765</v>
      </c>
      <c r="D8" s="73" t="s">
        <v>124</v>
      </c>
    </row>
    <row r="9" spans="3:8" x14ac:dyDescent="0.2">
      <c r="C9" s="79">
        <v>45778</v>
      </c>
      <c r="D9" s="73" t="s">
        <v>125</v>
      </c>
    </row>
    <row r="10" spans="3:8" x14ac:dyDescent="0.2">
      <c r="C10" s="79">
        <v>45824</v>
      </c>
      <c r="D10" s="73" t="s">
        <v>126</v>
      </c>
    </row>
    <row r="11" spans="3:8" x14ac:dyDescent="0.2">
      <c r="C11" s="79">
        <v>45878</v>
      </c>
      <c r="D11" s="73" t="s">
        <v>127</v>
      </c>
    </row>
    <row r="12" spans="3:8" x14ac:dyDescent="0.2">
      <c r="C12" s="79">
        <v>45924</v>
      </c>
      <c r="D12" s="73" t="s">
        <v>128</v>
      </c>
    </row>
    <row r="13" spans="3:8" x14ac:dyDescent="0.2">
      <c r="C13" s="79"/>
      <c r="F13" s="85"/>
      <c r="H13" s="73" t="s">
        <v>129</v>
      </c>
    </row>
    <row r="14" spans="3:8" x14ac:dyDescent="0.2">
      <c r="C14" s="79"/>
    </row>
    <row r="15" spans="3:8" x14ac:dyDescent="0.2">
      <c r="C15" s="79"/>
    </row>
    <row r="16" spans="3:8" x14ac:dyDescent="0.2">
      <c r="C16" s="79"/>
    </row>
    <row r="17" spans="3:4" x14ac:dyDescent="0.2">
      <c r="C17" s="79">
        <v>46011</v>
      </c>
      <c r="D17" s="73" t="s">
        <v>130</v>
      </c>
    </row>
    <row r="18" spans="3:4" x14ac:dyDescent="0.2">
      <c r="C18" s="79">
        <v>46012</v>
      </c>
      <c r="D18" s="73" t="s">
        <v>130</v>
      </c>
    </row>
    <row r="19" spans="3:4" x14ac:dyDescent="0.2">
      <c r="C19" s="79">
        <v>46013</v>
      </c>
      <c r="D19" s="73" t="s">
        <v>130</v>
      </c>
    </row>
    <row r="20" spans="3:4" x14ac:dyDescent="0.2">
      <c r="C20" s="79">
        <v>46014</v>
      </c>
      <c r="D20" s="73" t="s">
        <v>130</v>
      </c>
    </row>
    <row r="21" spans="3:4" x14ac:dyDescent="0.2">
      <c r="C21" s="79">
        <v>46015</v>
      </c>
      <c r="D21" s="73" t="s">
        <v>130</v>
      </c>
    </row>
    <row r="22" spans="3:4" x14ac:dyDescent="0.2">
      <c r="C22" s="79">
        <v>46016</v>
      </c>
      <c r="D22" s="73" t="s">
        <v>130</v>
      </c>
    </row>
    <row r="23" spans="3:4" x14ac:dyDescent="0.2">
      <c r="C23" s="79">
        <v>46017</v>
      </c>
      <c r="D23" s="73" t="s">
        <v>130</v>
      </c>
    </row>
    <row r="24" spans="3:4" x14ac:dyDescent="0.2">
      <c r="C24" s="79">
        <v>46018</v>
      </c>
      <c r="D24" s="73" t="s">
        <v>130</v>
      </c>
    </row>
    <row r="25" spans="3:4" x14ac:dyDescent="0.2">
      <c r="C25" s="79">
        <v>46019</v>
      </c>
      <c r="D25" s="73" t="s">
        <v>130</v>
      </c>
    </row>
    <row r="26" spans="3:4" x14ac:dyDescent="0.2">
      <c r="C26" s="79">
        <v>46020</v>
      </c>
      <c r="D26" s="73" t="s">
        <v>130</v>
      </c>
    </row>
    <row r="27" spans="3:4" x14ac:dyDescent="0.2">
      <c r="C27" s="79">
        <v>46021</v>
      </c>
      <c r="D27" s="73" t="s">
        <v>130</v>
      </c>
    </row>
    <row r="28" spans="3:4" x14ac:dyDescent="0.2">
      <c r="C28" s="79">
        <v>46022</v>
      </c>
      <c r="D28" s="73" t="s">
        <v>130</v>
      </c>
    </row>
    <row r="29" spans="3:4" x14ac:dyDescent="0.2">
      <c r="C29" s="79">
        <v>46023</v>
      </c>
      <c r="D29" s="73" t="s">
        <v>130</v>
      </c>
    </row>
    <row r="30" spans="3:4" x14ac:dyDescent="0.2">
      <c r="C30" s="79">
        <v>46024</v>
      </c>
      <c r="D30" s="73" t="s">
        <v>130</v>
      </c>
    </row>
    <row r="31" spans="3:4" x14ac:dyDescent="0.2">
      <c r="C31" s="79">
        <v>46025</v>
      </c>
      <c r="D31" s="73" t="s">
        <v>130</v>
      </c>
    </row>
    <row r="32" spans="3:4" x14ac:dyDescent="0.2">
      <c r="C32" s="79">
        <v>46026</v>
      </c>
      <c r="D32" s="73" t="s">
        <v>130</v>
      </c>
    </row>
    <row r="33" spans="3:4" x14ac:dyDescent="0.2">
      <c r="C33" s="79">
        <v>46027</v>
      </c>
      <c r="D33" s="73" t="s">
        <v>130</v>
      </c>
    </row>
    <row r="34" spans="3:4" x14ac:dyDescent="0.2">
      <c r="C34" s="79">
        <v>46028</v>
      </c>
      <c r="D34" s="73" t="s">
        <v>130</v>
      </c>
    </row>
    <row r="35" spans="3:4" x14ac:dyDescent="0.2">
      <c r="C35" s="79">
        <v>46029</v>
      </c>
      <c r="D35" s="73" t="s">
        <v>130</v>
      </c>
    </row>
    <row r="36" spans="3:4" x14ac:dyDescent="0.2">
      <c r="C36" s="79">
        <v>46030</v>
      </c>
      <c r="D36" s="73" t="s">
        <v>130</v>
      </c>
    </row>
    <row r="37" spans="3:4" x14ac:dyDescent="0.2">
      <c r="C37" s="79">
        <v>46031</v>
      </c>
      <c r="D37" s="73" t="s">
        <v>130</v>
      </c>
    </row>
    <row r="38" spans="3:4" x14ac:dyDescent="0.2">
      <c r="C38" s="79">
        <v>46032</v>
      </c>
      <c r="D38" s="73" t="s">
        <v>130</v>
      </c>
    </row>
    <row r="39" spans="3:4" x14ac:dyDescent="0.2">
      <c r="C39" s="79">
        <v>46033</v>
      </c>
      <c r="D39" s="73" t="s">
        <v>130</v>
      </c>
    </row>
    <row r="40" spans="3:4" x14ac:dyDescent="0.2">
      <c r="C40" s="79">
        <v>46034</v>
      </c>
      <c r="D40" s="73" t="s">
        <v>130</v>
      </c>
    </row>
    <row r="41" spans="3:4" x14ac:dyDescent="0.2">
      <c r="C41" s="79">
        <v>46016</v>
      </c>
      <c r="D41" s="73" t="s">
        <v>131</v>
      </c>
    </row>
    <row r="42" spans="3:4" ht="13.5" thickBot="1" x14ac:dyDescent="0.25">
      <c r="C42" s="80">
        <v>46017</v>
      </c>
      <c r="D42" s="73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3"/>
  <sheetViews>
    <sheetView topLeftCell="D101" zoomScale="85" zoomScaleNormal="85" workbookViewId="0">
      <selection activeCell="P123" sqref="P123"/>
    </sheetView>
  </sheetViews>
  <sheetFormatPr defaultColWidth="8.42578125" defaultRowHeight="14.25" x14ac:dyDescent="0.2"/>
  <cols>
    <col min="1" max="1" width="1.42578125" style="112" customWidth="1"/>
    <col min="2" max="2" width="8.42578125" style="161" bestFit="1" customWidth="1"/>
    <col min="3" max="3" width="51.5703125" style="24" customWidth="1"/>
    <col min="4" max="4" width="3.140625" style="112" customWidth="1"/>
    <col min="5" max="5" width="14.140625" style="24" customWidth="1"/>
    <col min="6" max="6" width="11.85546875" style="158" customWidth="1"/>
    <col min="7" max="7" width="13.42578125" style="64" customWidth="1"/>
    <col min="8" max="8" width="5" style="112" customWidth="1"/>
    <col min="9" max="9" width="13.42578125" style="112" customWidth="1"/>
    <col min="10" max="10" width="13.85546875" style="113" bestFit="1" customWidth="1"/>
    <col min="11" max="11" width="14.140625" style="112" customWidth="1"/>
    <col min="12" max="12" width="2.42578125" style="112" customWidth="1"/>
    <col min="13" max="13" width="12.5703125" style="112" customWidth="1"/>
    <col min="14" max="14" width="19.5703125" style="112" customWidth="1"/>
    <col min="15" max="15" width="49.5703125" style="112" customWidth="1"/>
    <col min="16" max="16" width="1.42578125" style="112" customWidth="1"/>
    <col min="17" max="17" width="5.5703125" style="3" customWidth="1"/>
    <col min="18" max="18" width="8.42578125" style="112"/>
    <col min="19" max="19" width="33.140625" style="112" bestFit="1" customWidth="1"/>
    <col min="20" max="20" width="12.85546875" style="112" customWidth="1"/>
    <col min="21" max="21" width="15.42578125" style="112" bestFit="1" customWidth="1"/>
    <col min="22" max="22" width="15.85546875" style="112" hidden="1" customWidth="1"/>
    <col min="23" max="23" width="13" style="112" customWidth="1"/>
    <col min="24" max="24" width="20.85546875" style="112" bestFit="1" customWidth="1"/>
    <col min="25" max="28" width="9.140625" style="24" customWidth="1"/>
    <col min="29" max="30" width="8.42578125" style="24"/>
    <col min="31" max="32" width="9.85546875" style="24" bestFit="1" customWidth="1"/>
    <col min="33" max="16384" width="8.42578125" style="24"/>
  </cols>
  <sheetData>
    <row r="1" spans="2:198" s="112" customFormat="1" ht="4.5" customHeight="1" x14ac:dyDescent="0.2">
      <c r="B1" s="157"/>
      <c r="F1" s="158"/>
      <c r="G1" s="113"/>
      <c r="J1" s="113"/>
      <c r="N1" s="393">
        <f ca="1">TODAY()</f>
        <v>46085</v>
      </c>
      <c r="O1" s="393">
        <f ca="1">TODAY()</f>
        <v>46085</v>
      </c>
      <c r="Q1" s="3"/>
    </row>
    <row r="2" spans="2:198" ht="15.75" x14ac:dyDescent="0.3">
      <c r="B2" s="166"/>
      <c r="C2" s="167" t="s">
        <v>0</v>
      </c>
      <c r="D2" s="168"/>
      <c r="E2" s="930" t="s">
        <v>133</v>
      </c>
      <c r="F2" s="931"/>
      <c r="G2" s="931"/>
      <c r="H2" s="932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 ht="15.75" x14ac:dyDescent="0.3">
      <c r="B3" s="169"/>
      <c r="C3" s="170" t="s">
        <v>134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 x14ac:dyDescent="0.3">
      <c r="B4" s="169"/>
      <c r="C4" s="170" t="s">
        <v>135</v>
      </c>
      <c r="D4" s="168"/>
      <c r="E4" s="933" t="s">
        <v>136</v>
      </c>
      <c r="F4" s="934"/>
      <c r="G4" s="934"/>
      <c r="H4" s="935"/>
      <c r="J4" s="113"/>
      <c r="Q4" s="3"/>
      <c r="S4" s="699"/>
      <c r="T4" s="699"/>
      <c r="U4" s="699"/>
      <c r="V4" s="699"/>
      <c r="W4" s="699"/>
      <c r="X4" s="699"/>
      <c r="Y4" s="699"/>
      <c r="Z4" s="699"/>
      <c r="AA4" s="699"/>
      <c r="AB4" s="699"/>
    </row>
    <row r="5" spans="2:198" s="112" customFormat="1" ht="14.25" customHeight="1" x14ac:dyDescent="0.3">
      <c r="B5" s="169"/>
      <c r="C5" s="170" t="s">
        <v>137</v>
      </c>
      <c r="D5" s="168"/>
      <c r="E5" s="933" t="s">
        <v>138</v>
      </c>
      <c r="F5" s="934"/>
      <c r="G5" s="934"/>
      <c r="H5" s="935"/>
      <c r="J5" s="113"/>
      <c r="Q5" s="3"/>
      <c r="S5" s="699"/>
      <c r="T5" s="699"/>
      <c r="U5" s="699"/>
      <c r="V5" s="699"/>
      <c r="W5" s="699"/>
      <c r="X5" s="699"/>
      <c r="Y5" s="699"/>
      <c r="Z5" s="699"/>
      <c r="AA5" s="699"/>
      <c r="AB5" s="699"/>
    </row>
    <row r="6" spans="2:198" ht="14.25" customHeight="1" x14ac:dyDescent="0.3">
      <c r="B6" s="174"/>
      <c r="C6" s="175" t="s">
        <v>139</v>
      </c>
      <c r="D6" s="168"/>
      <c r="E6" s="936">
        <v>59995000</v>
      </c>
      <c r="F6" s="937"/>
      <c r="G6" s="937"/>
      <c r="H6" s="938"/>
      <c r="S6" s="699"/>
      <c r="T6" s="699"/>
      <c r="U6" s="699"/>
      <c r="V6" s="699"/>
      <c r="W6" s="699"/>
      <c r="X6" s="699"/>
      <c r="Y6" s="699"/>
      <c r="Z6" s="699"/>
      <c r="AA6" s="699"/>
      <c r="AB6" s="699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350000000000001" customHeight="1" x14ac:dyDescent="0.3">
      <c r="B7" s="157"/>
      <c r="C7" s="819" t="s">
        <v>140</v>
      </c>
      <c r="D7" s="820"/>
      <c r="E7" s="821" t="s">
        <v>141</v>
      </c>
      <c r="F7" s="158"/>
      <c r="G7" s="176"/>
      <c r="J7" s="113"/>
      <c r="Q7" s="3"/>
      <c r="S7" s="699"/>
      <c r="T7" s="699"/>
      <c r="U7" s="699"/>
      <c r="V7" s="699"/>
      <c r="W7" s="699"/>
      <c r="X7" s="699"/>
      <c r="Y7" s="699"/>
      <c r="Z7" s="699"/>
      <c r="AA7" s="699"/>
      <c r="AB7" s="699"/>
    </row>
    <row r="8" spans="2:198" ht="30" customHeight="1" x14ac:dyDescent="0.2">
      <c r="B8" s="923" t="s">
        <v>84</v>
      </c>
      <c r="C8" s="924" t="s">
        <v>142</v>
      </c>
      <c r="D8" s="205"/>
      <c r="E8" s="925" t="s">
        <v>143</v>
      </c>
      <c r="F8" s="227" t="s">
        <v>144</v>
      </c>
      <c r="G8" s="925" t="s">
        <v>145</v>
      </c>
      <c r="H8" s="228"/>
      <c r="I8" s="925" t="s">
        <v>146</v>
      </c>
      <c r="J8" s="227" t="s">
        <v>144</v>
      </c>
      <c r="K8" s="925" t="s">
        <v>147</v>
      </c>
      <c r="M8" s="400" t="s">
        <v>148</v>
      </c>
      <c r="N8" s="400" t="s">
        <v>149</v>
      </c>
      <c r="O8" s="939" t="s">
        <v>150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 ht="15.75" x14ac:dyDescent="0.2">
      <c r="B9" s="923"/>
      <c r="C9" s="924"/>
      <c r="D9" s="205"/>
      <c r="E9" s="925"/>
      <c r="F9" s="126">
        <f>G108-E19</f>
        <v>160</v>
      </c>
      <c r="G9" s="925"/>
      <c r="H9" s="228"/>
      <c r="I9" s="925"/>
      <c r="J9" s="126">
        <f>K108-I19</f>
        <v>240</v>
      </c>
      <c r="K9" s="925"/>
      <c r="M9" s="351">
        <f>AVERAGE(M11,M18,M32,M42,M58,M67,M74,M81,M88,M98,M110,M117)</f>
        <v>0.96416666666666673</v>
      </c>
      <c r="N9" s="351">
        <f ca="1">AVERAGE(N11,N18,N32,N42,N58,N67,N74,N81,N88,N98,N110,N117)</f>
        <v>0.9659863945578232</v>
      </c>
      <c r="O9" s="940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 x14ac:dyDescent="0.2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 ht="15.75" x14ac:dyDescent="0.3">
      <c r="B11" s="234">
        <v>1</v>
      </c>
      <c r="C11" s="235" t="s">
        <v>151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 x14ac:dyDescent="0.3">
      <c r="B12" s="238">
        <f>B11+0.1</f>
        <v>1.1000000000000001</v>
      </c>
      <c r="C12" s="239" t="s">
        <v>152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 x14ac:dyDescent="0.3">
      <c r="B13" s="238">
        <f t="shared" ref="B13:B16" si="0">B12+0.1</f>
        <v>1.2000000000000002</v>
      </c>
      <c r="C13" s="239" t="s">
        <v>153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 x14ac:dyDescent="0.3">
      <c r="B14" s="238">
        <f t="shared" si="0"/>
        <v>1.3000000000000003</v>
      </c>
      <c r="C14" s="239" t="s">
        <v>154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 x14ac:dyDescent="0.3">
      <c r="B15" s="238">
        <f t="shared" si="0"/>
        <v>1.4000000000000004</v>
      </c>
      <c r="C15" s="239" t="s">
        <v>155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4">
        <v>0</v>
      </c>
      <c r="Z15" s="114"/>
      <c r="AA15" s="114"/>
      <c r="AB15" s="114"/>
    </row>
    <row r="16" spans="2:198" s="112" customFormat="1" ht="14.25" customHeight="1" x14ac:dyDescent="0.3">
      <c r="B16" s="238">
        <f t="shared" si="0"/>
        <v>1.5000000000000004</v>
      </c>
      <c r="C16" s="239" t="s">
        <v>156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4">
        <v>1</v>
      </c>
      <c r="Z16" s="114"/>
      <c r="AA16" s="114"/>
      <c r="AB16" s="114"/>
    </row>
    <row r="17" spans="2:198" s="112" customFormat="1" ht="4.5" customHeight="1" x14ac:dyDescent="0.2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 ht="15.75" x14ac:dyDescent="0.3">
      <c r="B18" s="234">
        <v>2</v>
      </c>
      <c r="C18" s="235" t="s">
        <v>157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158</v>
      </c>
      <c r="T18" s="697" t="s">
        <v>73</v>
      </c>
      <c r="U18" s="697" t="s">
        <v>159</v>
      </c>
      <c r="V18" s="697" t="s">
        <v>160</v>
      </c>
      <c r="W18" s="697" t="s">
        <v>161</v>
      </c>
      <c r="X18" s="697" t="s">
        <v>162</v>
      </c>
      <c r="Y18" s="927" t="s">
        <v>163</v>
      </c>
      <c r="Z18" s="928"/>
      <c r="AA18" s="928"/>
      <c r="AB18" s="929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 x14ac:dyDescent="0.25">
      <c r="B19" s="238">
        <f>B18+0.1</f>
        <v>2.1</v>
      </c>
      <c r="C19" s="239" t="s">
        <v>164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0" t="str">
        <f>C32</f>
        <v>Procurement &amp; Contracting</v>
      </c>
      <c r="T19" s="692">
        <f>I32</f>
        <v>45796</v>
      </c>
      <c r="U19" s="691">
        <f>J32</f>
        <v>193</v>
      </c>
      <c r="V19" s="691">
        <f>F32</f>
        <v>124</v>
      </c>
      <c r="W19" s="692">
        <f>K32</f>
        <v>45989</v>
      </c>
      <c r="X19" s="698">
        <f>M32</f>
        <v>1</v>
      </c>
      <c r="Y19" s="926">
        <f>M9</f>
        <v>0.96416666666666673</v>
      </c>
      <c r="Z19" s="926"/>
      <c r="AA19" s="926"/>
      <c r="AB19" s="926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 x14ac:dyDescent="0.25">
      <c r="B20" s="238">
        <f t="shared" ref="B20:B27" si="2">B19+0.1</f>
        <v>2.2000000000000002</v>
      </c>
      <c r="C20" s="239" t="s">
        <v>165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0" t="str">
        <f>C42</f>
        <v>Extras &amp; Civil Works</v>
      </c>
      <c r="T20" s="692">
        <f>I42</f>
        <v>45830</v>
      </c>
      <c r="U20" s="691">
        <f>J42</f>
        <v>212</v>
      </c>
      <c r="V20" s="691">
        <f>F42</f>
        <v>71</v>
      </c>
      <c r="W20" s="692">
        <f>K42</f>
        <v>46042</v>
      </c>
      <c r="X20" s="698">
        <f>M42</f>
        <v>1</v>
      </c>
      <c r="Y20" s="926"/>
      <c r="Z20" s="926"/>
      <c r="AA20" s="926"/>
      <c r="AB20" s="926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 x14ac:dyDescent="0.25">
      <c r="B21" s="238">
        <f t="shared" si="2"/>
        <v>2.3000000000000003</v>
      </c>
      <c r="C21" s="695" t="s">
        <v>166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0" t="str">
        <f>C58</f>
        <v>DC Works - Rooftop</v>
      </c>
      <c r="T21" s="692">
        <f>I58</f>
        <v>45894</v>
      </c>
      <c r="U21" s="691">
        <f>J58</f>
        <v>147</v>
      </c>
      <c r="V21" s="691">
        <f>F58</f>
        <v>51</v>
      </c>
      <c r="W21" s="692">
        <f>K58</f>
        <v>46041</v>
      </c>
      <c r="X21" s="698">
        <f>M58</f>
        <v>1</v>
      </c>
      <c r="Y21" s="926"/>
      <c r="Z21" s="926"/>
      <c r="AA21" s="926"/>
      <c r="AB21" s="926"/>
      <c r="AC21" s="121"/>
      <c r="AD21" s="121"/>
      <c r="AE21" s="744">
        <f ca="1">TODAY()</f>
        <v>46085</v>
      </c>
      <c r="AF21" s="744">
        <f ca="1">TODAY()</f>
        <v>46085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 x14ac:dyDescent="0.25">
      <c r="B22" s="238">
        <f t="shared" si="2"/>
        <v>2.4000000000000004</v>
      </c>
      <c r="C22" s="695" t="s">
        <v>167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168</v>
      </c>
      <c r="Q22" s="124"/>
      <c r="R22" s="121"/>
      <c r="S22" s="690" t="str">
        <f>C67</f>
        <v>DC Works - Ground Mount</v>
      </c>
      <c r="T22" s="692">
        <f>I67</f>
        <v>45938</v>
      </c>
      <c r="U22" s="691">
        <f>J67</f>
        <v>120</v>
      </c>
      <c r="V22" s="691">
        <f>F67</f>
        <v>58</v>
      </c>
      <c r="W22" s="692">
        <f>K67</f>
        <v>46058</v>
      </c>
      <c r="X22" s="698">
        <f>M67</f>
        <v>1</v>
      </c>
      <c r="Y22" s="926"/>
      <c r="Z22" s="926"/>
      <c r="AA22" s="926"/>
      <c r="AB22" s="926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 x14ac:dyDescent="0.25">
      <c r="B23" s="238">
        <f t="shared" si="2"/>
        <v>2.5000000000000004</v>
      </c>
      <c r="C23" s="695" t="s">
        <v>169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0" t="str">
        <f>C74</f>
        <v>AC Installation - Ground Mount</v>
      </c>
      <c r="T23" s="692">
        <f>I74</f>
        <v>45990</v>
      </c>
      <c r="U23" s="691">
        <f>J74</f>
        <v>17</v>
      </c>
      <c r="V23" s="691">
        <f>F74</f>
        <v>26</v>
      </c>
      <c r="W23" s="692">
        <f>K74</f>
        <v>46007</v>
      </c>
      <c r="X23" s="698">
        <f>M74</f>
        <v>1</v>
      </c>
      <c r="Y23" s="926"/>
      <c r="Z23" s="926"/>
      <c r="AA23" s="926"/>
      <c r="AB23" s="926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 x14ac:dyDescent="0.25">
      <c r="B24" s="238">
        <f t="shared" si="2"/>
        <v>2.6000000000000005</v>
      </c>
      <c r="C24" s="695" t="s">
        <v>170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171</v>
      </c>
      <c r="Q24" s="124"/>
      <c r="R24" s="121"/>
      <c r="S24" s="690" t="str">
        <f>C81</f>
        <v>AC Installation - Rooftop</v>
      </c>
      <c r="T24" s="692">
        <f>I81</f>
        <v>45915</v>
      </c>
      <c r="U24" s="691">
        <f>J81</f>
        <v>92</v>
      </c>
      <c r="V24" s="691">
        <f>F81</f>
        <v>21</v>
      </c>
      <c r="W24" s="692">
        <f>K81</f>
        <v>46007</v>
      </c>
      <c r="X24" s="698">
        <f>M81</f>
        <v>1</v>
      </c>
      <c r="Y24" s="926"/>
      <c r="Z24" s="926"/>
      <c r="AA24" s="926"/>
      <c r="AB24" s="926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 x14ac:dyDescent="0.25">
      <c r="B25" s="238">
        <f t="shared" si="2"/>
        <v>2.7000000000000006</v>
      </c>
      <c r="C25" s="239" t="s">
        <v>172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0" t="str">
        <f>C88</f>
        <v>Transformer Installation</v>
      </c>
      <c r="T25" s="692">
        <f>I88</f>
        <v>45986</v>
      </c>
      <c r="U25" s="691">
        <f>J88</f>
        <v>22</v>
      </c>
      <c r="V25" s="691">
        <f>F88</f>
        <v>43</v>
      </c>
      <c r="W25" s="692">
        <f>K88</f>
        <v>46008</v>
      </c>
      <c r="X25" s="698">
        <f>M88</f>
        <v>1</v>
      </c>
      <c r="Y25" s="926"/>
      <c r="Z25" s="926"/>
      <c r="AA25" s="926"/>
      <c r="AB25" s="926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 ht="15" x14ac:dyDescent="0.25">
      <c r="B26" s="238">
        <f t="shared" si="2"/>
        <v>2.8000000000000007</v>
      </c>
      <c r="C26" s="239" t="s">
        <v>173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0" t="str">
        <f>C98</f>
        <v>Commissioning</v>
      </c>
      <c r="T26" s="692">
        <f>I98</f>
        <v>46006</v>
      </c>
      <c r="U26" s="691">
        <f>J98</f>
        <v>59</v>
      </c>
      <c r="V26" s="691">
        <f>F98</f>
        <v>4</v>
      </c>
      <c r="W26" s="692">
        <f>K98</f>
        <v>46065</v>
      </c>
      <c r="X26" s="698">
        <f>M98</f>
        <v>1</v>
      </c>
      <c r="Y26" s="926"/>
      <c r="Z26" s="926"/>
      <c r="AA26" s="926"/>
      <c r="AB26" s="926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 ht="15" x14ac:dyDescent="0.25">
      <c r="B27" s="238">
        <f t="shared" si="2"/>
        <v>2.9000000000000008</v>
      </c>
      <c r="C27" s="239" t="s">
        <v>174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0" t="str">
        <f>C110</f>
        <v>QA Inspection &amp; Snag Completion</v>
      </c>
      <c r="T27" s="692">
        <f>I110</f>
        <v>46048</v>
      </c>
      <c r="U27" s="691">
        <f>J110</f>
        <v>29</v>
      </c>
      <c r="V27" s="691">
        <f>F110</f>
        <v>58</v>
      </c>
      <c r="W27" s="692">
        <f>K110</f>
        <v>46077</v>
      </c>
      <c r="X27" s="698">
        <f>M110</f>
        <v>1</v>
      </c>
      <c r="Y27" s="926"/>
      <c r="Z27" s="926"/>
      <c r="AA27" s="926"/>
      <c r="AB27" s="926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 ht="15" x14ac:dyDescent="0.25">
      <c r="B28" s="693">
        <v>2.1</v>
      </c>
      <c r="C28" s="239" t="s">
        <v>175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0" t="str">
        <f>C117</f>
        <v>Project Closure</v>
      </c>
      <c r="T28" s="692">
        <f>I117</f>
        <v>46006</v>
      </c>
      <c r="U28" s="691">
        <f>J117</f>
        <v>85</v>
      </c>
      <c r="V28" s="691">
        <f>F117</f>
        <v>70</v>
      </c>
      <c r="W28" s="692">
        <f>K117</f>
        <v>46091</v>
      </c>
      <c r="X28" s="698">
        <f>M117</f>
        <v>0.57000000000000006</v>
      </c>
      <c r="Y28" s="926"/>
      <c r="Z28" s="926"/>
      <c r="AA28" s="926"/>
      <c r="AB28" s="926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 ht="15" x14ac:dyDescent="0.25">
      <c r="B29" s="693">
        <v>2.11</v>
      </c>
      <c r="C29" s="239" t="s">
        <v>176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177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 ht="15" x14ac:dyDescent="0.25">
      <c r="B30" s="693">
        <v>2.12</v>
      </c>
      <c r="C30" s="695" t="s">
        <v>178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 x14ac:dyDescent="0.2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 ht="15.75" x14ac:dyDescent="0.3">
      <c r="B32" s="234">
        <v>3</v>
      </c>
      <c r="C32" s="235" t="s">
        <v>179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 ht="15" x14ac:dyDescent="0.25">
      <c r="B33" s="238">
        <f>B32+0.1</f>
        <v>3.1</v>
      </c>
      <c r="C33" s="239" t="s">
        <v>180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181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 ht="15" x14ac:dyDescent="0.25">
      <c r="B34" s="238">
        <f t="shared" ref="B34:B40" si="4">B33+0.1</f>
        <v>3.2</v>
      </c>
      <c r="C34" s="748" t="s">
        <v>182</v>
      </c>
      <c r="D34" s="749"/>
      <c r="E34" s="633">
        <v>45820</v>
      </c>
      <c r="F34" s="759">
        <v>36</v>
      </c>
      <c r="G34" s="633">
        <f>WORKDAY.INTL(E34,F34,1,Data!$C$3:$C$41)</f>
        <v>45873</v>
      </c>
      <c r="H34" s="760"/>
      <c r="I34" s="633">
        <v>45820</v>
      </c>
      <c r="J34" s="759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183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 ht="15" x14ac:dyDescent="0.25">
      <c r="B35" s="238">
        <f t="shared" si="4"/>
        <v>3.3000000000000003</v>
      </c>
      <c r="C35" s="239" t="s">
        <v>184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 ht="15" x14ac:dyDescent="0.25">
      <c r="B36" s="238">
        <f t="shared" si="4"/>
        <v>3.4000000000000004</v>
      </c>
      <c r="C36" s="239" t="s">
        <v>185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 ht="15" x14ac:dyDescent="0.25">
      <c r="B37" s="238">
        <f t="shared" si="4"/>
        <v>3.5000000000000004</v>
      </c>
      <c r="C37" s="239" t="s">
        <v>186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 ht="15" x14ac:dyDescent="0.25">
      <c r="B38" s="238">
        <f t="shared" si="4"/>
        <v>3.6000000000000005</v>
      </c>
      <c r="C38" s="239" t="s">
        <v>187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 ht="15" x14ac:dyDescent="0.25">
      <c r="B39" s="238">
        <f t="shared" si="4"/>
        <v>3.7000000000000006</v>
      </c>
      <c r="C39" s="239" t="s">
        <v>188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 ht="15" x14ac:dyDescent="0.25">
      <c r="B40" s="238">
        <f t="shared" si="4"/>
        <v>3.8000000000000007</v>
      </c>
      <c r="C40" s="239" t="s">
        <v>189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190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 x14ac:dyDescent="0.2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 ht="15.75" x14ac:dyDescent="0.3">
      <c r="B42" s="234">
        <v>4</v>
      </c>
      <c r="C42" s="235" t="s">
        <v>191</v>
      </c>
      <c r="D42" s="205"/>
      <c r="E42" s="688">
        <f>MIN(E43:E56)</f>
        <v>45830</v>
      </c>
      <c r="F42" s="689">
        <f>G42-E42</f>
        <v>71</v>
      </c>
      <c r="G42" s="688">
        <f>MAX(G43:G56)</f>
        <v>45901</v>
      </c>
      <c r="H42" s="228"/>
      <c r="I42" s="688">
        <f>MIN(I43:I56)</f>
        <v>45830</v>
      </c>
      <c r="J42" s="689">
        <f>K42-I42</f>
        <v>212</v>
      </c>
      <c r="K42" s="688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 ht="15" x14ac:dyDescent="0.25">
      <c r="B43" s="238">
        <f>B42+0.1</f>
        <v>4.0999999999999996</v>
      </c>
      <c r="C43" s="239" t="s">
        <v>192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193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 ht="15" x14ac:dyDescent="0.25">
      <c r="B44" s="784">
        <f t="shared" ref="B44:B51" si="6">B43+0.1</f>
        <v>4.1999999999999993</v>
      </c>
      <c r="C44" s="695" t="s">
        <v>194</v>
      </c>
      <c r="D44" s="205"/>
      <c r="E44" s="745">
        <v>45830</v>
      </c>
      <c r="F44" s="746">
        <v>42</v>
      </c>
      <c r="G44" s="745">
        <f>WORKDAY.INTL(E44,F44,1,Data!$C$3:$C$41)</f>
        <v>45888</v>
      </c>
      <c r="H44" s="747"/>
      <c r="I44" s="745">
        <v>45830</v>
      </c>
      <c r="J44" s="746">
        <v>135</v>
      </c>
      <c r="K44" s="745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195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 ht="15" x14ac:dyDescent="0.25">
      <c r="B45" s="238">
        <f t="shared" si="6"/>
        <v>4.2999999999999989</v>
      </c>
      <c r="C45" s="239" t="s">
        <v>196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 ht="15" x14ac:dyDescent="0.25">
      <c r="B46" s="238">
        <f t="shared" si="6"/>
        <v>4.3999999999999986</v>
      </c>
      <c r="C46" s="239" t="s">
        <v>197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2" t="s">
        <v>198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 ht="15" x14ac:dyDescent="0.25">
      <c r="B47" s="238">
        <f t="shared" si="6"/>
        <v>4.4999999999999982</v>
      </c>
      <c r="C47" s="239" t="s">
        <v>199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 ht="15" x14ac:dyDescent="0.25">
      <c r="B48" s="238">
        <f t="shared" si="6"/>
        <v>4.5999999999999979</v>
      </c>
      <c r="C48" s="239" t="s">
        <v>200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 ht="15" x14ac:dyDescent="0.25">
      <c r="B49" s="238">
        <f>B48+0.1</f>
        <v>4.6999999999999975</v>
      </c>
      <c r="C49" s="748" t="s">
        <v>201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 ht="15" x14ac:dyDescent="0.25">
      <c r="B50" s="238">
        <f t="shared" si="6"/>
        <v>4.7999999999999972</v>
      </c>
      <c r="C50" s="239" t="s">
        <v>202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203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 ht="15" x14ac:dyDescent="0.25">
      <c r="B51" s="238">
        <f t="shared" si="6"/>
        <v>4.8999999999999968</v>
      </c>
      <c r="C51" s="239" t="s">
        <v>204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 ht="15" x14ac:dyDescent="0.25">
      <c r="B52" s="693">
        <v>4.0999999999999996</v>
      </c>
      <c r="C52" s="239" t="s">
        <v>205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 ht="15" x14ac:dyDescent="0.25">
      <c r="B53" s="693">
        <v>4.1100000000000003</v>
      </c>
      <c r="C53" s="748" t="s">
        <v>206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 ht="15" x14ac:dyDescent="0.25">
      <c r="B54" s="693" t="s">
        <v>207</v>
      </c>
      <c r="C54" s="748" t="s">
        <v>208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 ht="15" x14ac:dyDescent="0.25">
      <c r="B55" s="238" t="s">
        <v>209</v>
      </c>
      <c r="C55" s="748" t="s">
        <v>210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5.5" x14ac:dyDescent="0.25">
      <c r="B56" s="784" t="s">
        <v>211</v>
      </c>
      <c r="C56" s="748" t="s">
        <v>212</v>
      </c>
      <c r="D56" s="749"/>
      <c r="E56" s="633"/>
      <c r="F56" s="759"/>
      <c r="G56" s="633"/>
      <c r="H56" s="760"/>
      <c r="I56" s="633">
        <v>45992</v>
      </c>
      <c r="J56" s="759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04" t="s">
        <v>213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 x14ac:dyDescent="0.2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 ht="15.75" x14ac:dyDescent="0.3">
      <c r="B58" s="234">
        <v>5</v>
      </c>
      <c r="C58" s="235" t="s">
        <v>214</v>
      </c>
      <c r="D58" s="209"/>
      <c r="E58" s="688">
        <f>MIN(E60:E64)</f>
        <v>45878</v>
      </c>
      <c r="F58" s="689">
        <f>G58-E58</f>
        <v>51</v>
      </c>
      <c r="G58" s="688">
        <f>MAX(G60:G64)</f>
        <v>45929</v>
      </c>
      <c r="H58" s="242"/>
      <c r="I58" s="688">
        <f>MIN(I60:I64)</f>
        <v>45894</v>
      </c>
      <c r="J58" s="689">
        <f>K58-I58</f>
        <v>147</v>
      </c>
      <c r="K58" s="688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 ht="15" x14ac:dyDescent="0.25">
      <c r="B59" s="238">
        <v>5.0999999999999996</v>
      </c>
      <c r="C59" s="239" t="s">
        <v>215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 ht="15" x14ac:dyDescent="0.25">
      <c r="B60" s="238">
        <v>5.2</v>
      </c>
      <c r="C60" s="239" t="s">
        <v>216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 ht="15" x14ac:dyDescent="0.25">
      <c r="B61" s="238">
        <v>5.3</v>
      </c>
      <c r="C61" s="239" t="s">
        <v>217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 ht="15" x14ac:dyDescent="0.25">
      <c r="B62" s="238">
        <v>5.4</v>
      </c>
      <c r="C62" s="239" t="s">
        <v>218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219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 ht="15" x14ac:dyDescent="0.25">
      <c r="B63" s="238">
        <v>5.5</v>
      </c>
      <c r="C63" s="239" t="s">
        <v>220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221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 ht="15" x14ac:dyDescent="0.25">
      <c r="B64" s="784">
        <v>5.6</v>
      </c>
      <c r="C64" s="748" t="s">
        <v>222</v>
      </c>
      <c r="D64" s="749"/>
      <c r="E64" s="633">
        <f>WORKDAY.INTL(G62,0,1,Data!$C$3:$C$41)+2</f>
        <v>45921</v>
      </c>
      <c r="F64" s="759">
        <v>5</v>
      </c>
      <c r="G64" s="633">
        <f>WORKDAY.INTL(E64,F64,1,Data!$C$3:$C$41)</f>
        <v>45929</v>
      </c>
      <c r="H64" s="760"/>
      <c r="I64" s="633">
        <v>45940</v>
      </c>
      <c r="J64" s="759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2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 ht="15" x14ac:dyDescent="0.25">
      <c r="B65" s="238">
        <v>5.7</v>
      </c>
      <c r="C65" s="239" t="s">
        <v>223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 x14ac:dyDescent="0.2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 ht="15.75" x14ac:dyDescent="0.3">
      <c r="B67" s="234">
        <v>6</v>
      </c>
      <c r="C67" s="235" t="s">
        <v>224</v>
      </c>
      <c r="D67" s="205"/>
      <c r="E67" s="688">
        <f>MIN(E68:E71)</f>
        <v>45894</v>
      </c>
      <c r="F67" s="689">
        <f>G67-E67</f>
        <v>58</v>
      </c>
      <c r="G67" s="688">
        <f>MAX(G68:G71)</f>
        <v>45952</v>
      </c>
      <c r="H67" s="228"/>
      <c r="I67" s="688">
        <f>MIN(I68:I71)</f>
        <v>45938</v>
      </c>
      <c r="J67" s="689">
        <f>K67-I67</f>
        <v>120</v>
      </c>
      <c r="K67" s="688">
        <f>MAX(K68:K72)</f>
        <v>46058</v>
      </c>
      <c r="M67" s="350">
        <f>AVERAGE(M68:M72)</f>
        <v>1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76.5" x14ac:dyDescent="0.25">
      <c r="B68" s="805">
        <v>6.1</v>
      </c>
      <c r="C68" s="806" t="s">
        <v>225</v>
      </c>
      <c r="D68" s="807"/>
      <c r="E68" s="808">
        <v>45894</v>
      </c>
      <c r="F68" s="809">
        <v>7</v>
      </c>
      <c r="G68" s="808">
        <f>WORKDAY.INTL(E68,F68,1,Data!$C$3:$C$41)</f>
        <v>45903</v>
      </c>
      <c r="H68" s="810"/>
      <c r="I68" s="808">
        <v>45938</v>
      </c>
      <c r="J68" s="809">
        <v>34</v>
      </c>
      <c r="K68" s="808">
        <f>WORKDAY.INTL(I68,J68,1,Data!$C$3:$C$41)</f>
        <v>45986</v>
      </c>
      <c r="M68" s="811">
        <v>1</v>
      </c>
      <c r="N68" s="811">
        <f ca="1">_xlfn.LET(
  _xlpm.s,VALUE(I68),
  _xlpm.e,VALUE(K68),
  IF(OR(_xlpm.s="",_xlpm.e=""),"", IF(_xlpm.e&lt;=_xlpm.s, IF(TODAY()&gt;=_xlpm.e,1,0), MAX(0,MIN(1,(TODAY()-_xlpm.s)/(_xlpm.e-_xlpm.s)))))
)</f>
        <v>1</v>
      </c>
      <c r="O68" s="812" t="s">
        <v>226</v>
      </c>
      <c r="Q68" s="813"/>
      <c r="R68" s="814"/>
      <c r="S68" s="814"/>
      <c r="T68" s="814"/>
      <c r="U68" s="814"/>
      <c r="V68" s="814"/>
      <c r="W68" s="814"/>
      <c r="X68" s="814"/>
      <c r="Y68" s="814"/>
      <c r="Z68" s="814"/>
      <c r="AA68" s="814"/>
      <c r="AB68" s="814"/>
      <c r="AC68" s="814"/>
      <c r="AD68" s="814"/>
      <c r="AE68" s="814"/>
      <c r="AF68" s="814"/>
      <c r="AG68" s="814"/>
      <c r="AH68" s="814"/>
      <c r="AI68" s="814"/>
      <c r="AJ68" s="814"/>
      <c r="AK68" s="814"/>
      <c r="AL68" s="814"/>
      <c r="AM68" s="814"/>
      <c r="AN68" s="814"/>
      <c r="AO68" s="814"/>
      <c r="AP68" s="814"/>
      <c r="AQ68" s="814"/>
      <c r="AR68" s="814"/>
      <c r="AS68" s="814"/>
      <c r="AT68" s="814"/>
      <c r="AU68" s="814"/>
      <c r="AV68" s="814"/>
      <c r="AW68" s="814"/>
      <c r="AX68" s="814"/>
      <c r="AY68" s="814"/>
      <c r="AZ68" s="814"/>
      <c r="BA68" s="814"/>
      <c r="BB68" s="814"/>
      <c r="BC68" s="814"/>
      <c r="BD68" s="814"/>
      <c r="BE68" s="814"/>
      <c r="BF68" s="814"/>
      <c r="BG68" s="814"/>
      <c r="BH68" s="814"/>
      <c r="BI68" s="814"/>
      <c r="BJ68" s="814"/>
      <c r="BK68" s="814"/>
      <c r="BL68" s="814"/>
      <c r="BM68" s="814"/>
      <c r="BN68" s="814"/>
      <c r="BO68" s="814"/>
      <c r="BP68" s="814"/>
      <c r="BQ68" s="814"/>
      <c r="BR68" s="814"/>
      <c r="BS68" s="814"/>
      <c r="BT68" s="814"/>
      <c r="BU68" s="814"/>
      <c r="BV68" s="814"/>
      <c r="BW68" s="814"/>
      <c r="BX68" s="814"/>
      <c r="BY68" s="814"/>
      <c r="BZ68" s="814"/>
      <c r="CA68" s="814"/>
      <c r="CB68" s="814"/>
      <c r="CC68" s="814"/>
      <c r="CD68" s="814"/>
      <c r="CE68" s="814"/>
      <c r="CF68" s="814"/>
      <c r="CG68" s="814"/>
      <c r="CH68" s="814"/>
      <c r="CI68" s="814"/>
      <c r="CJ68" s="814"/>
      <c r="CK68" s="814"/>
      <c r="CL68" s="814"/>
      <c r="CM68" s="814"/>
      <c r="CN68" s="814"/>
      <c r="CO68" s="814"/>
      <c r="CP68" s="814"/>
      <c r="CQ68" s="814"/>
      <c r="CR68" s="814"/>
      <c r="CS68" s="814"/>
      <c r="CT68" s="814"/>
      <c r="CU68" s="814"/>
      <c r="CV68" s="814"/>
      <c r="CW68" s="814"/>
      <c r="CX68" s="814"/>
      <c r="CY68" s="814"/>
      <c r="CZ68" s="814"/>
      <c r="DA68" s="814"/>
      <c r="DB68" s="814"/>
      <c r="DC68" s="814"/>
      <c r="DD68" s="814"/>
      <c r="DE68" s="814"/>
      <c r="DF68" s="814"/>
      <c r="DG68" s="814"/>
      <c r="DH68" s="814"/>
      <c r="DI68" s="814"/>
      <c r="DJ68" s="814"/>
      <c r="DK68" s="814"/>
      <c r="DL68" s="814"/>
      <c r="DM68" s="814"/>
      <c r="DN68" s="814"/>
      <c r="DO68" s="814"/>
      <c r="DP68" s="814"/>
      <c r="DQ68" s="814"/>
      <c r="DR68" s="814"/>
      <c r="DS68" s="814"/>
      <c r="DT68" s="814"/>
      <c r="DU68" s="814"/>
      <c r="DV68" s="814"/>
      <c r="DW68" s="814"/>
      <c r="DX68" s="814"/>
      <c r="DY68" s="814"/>
      <c r="DZ68" s="814"/>
      <c r="EA68" s="814"/>
      <c r="EB68" s="814"/>
      <c r="EC68" s="814"/>
      <c r="ED68" s="814"/>
      <c r="EE68" s="814"/>
      <c r="EF68" s="814"/>
      <c r="EG68" s="814"/>
      <c r="EH68" s="814"/>
      <c r="EI68" s="814"/>
      <c r="EJ68" s="814"/>
      <c r="EK68" s="814"/>
      <c r="EL68" s="814"/>
      <c r="EM68" s="814"/>
      <c r="EN68" s="814"/>
      <c r="EO68" s="814"/>
      <c r="EP68" s="814"/>
      <c r="EQ68" s="814"/>
      <c r="ER68" s="814"/>
      <c r="ES68" s="814"/>
      <c r="ET68" s="814"/>
      <c r="EU68" s="814"/>
      <c r="EV68" s="814"/>
      <c r="EW68" s="814"/>
      <c r="EX68" s="814"/>
      <c r="EY68" s="814"/>
      <c r="EZ68" s="814"/>
      <c r="FA68" s="814"/>
      <c r="FB68" s="814"/>
      <c r="FC68" s="814"/>
      <c r="FD68" s="814"/>
      <c r="FE68" s="814"/>
      <c r="FF68" s="814"/>
      <c r="FG68" s="814"/>
      <c r="FH68" s="814"/>
      <c r="FI68" s="814"/>
      <c r="FJ68" s="814"/>
      <c r="FK68" s="814"/>
      <c r="FL68" s="814"/>
      <c r="FM68" s="814"/>
      <c r="FN68" s="814"/>
      <c r="FO68" s="814"/>
      <c r="FP68" s="814"/>
      <c r="FQ68" s="814"/>
      <c r="FR68" s="814"/>
      <c r="FS68" s="814"/>
      <c r="FT68" s="814"/>
      <c r="FU68" s="814"/>
      <c r="FV68" s="814"/>
      <c r="FW68" s="814"/>
      <c r="FX68" s="814"/>
      <c r="FY68" s="814"/>
      <c r="FZ68" s="814"/>
      <c r="GA68" s="814"/>
      <c r="GB68" s="814"/>
      <c r="GC68" s="814"/>
      <c r="GD68" s="814"/>
      <c r="GE68" s="814"/>
      <c r="GF68" s="814"/>
      <c r="GG68" s="814"/>
      <c r="GH68" s="814"/>
      <c r="GI68" s="814"/>
      <c r="GJ68" s="814"/>
      <c r="GK68" s="814"/>
      <c r="GL68" s="814"/>
      <c r="GM68" s="814"/>
      <c r="GN68" s="814"/>
      <c r="GO68" s="814"/>
      <c r="GP68" s="814"/>
    </row>
    <row r="69" spans="2:198" s="112" customFormat="1" ht="15" x14ac:dyDescent="0.25">
      <c r="B69" s="238">
        <v>6.2</v>
      </c>
      <c r="C69" s="239" t="s">
        <v>227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228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 ht="15" x14ac:dyDescent="0.25">
      <c r="B70" s="238">
        <v>6.3</v>
      </c>
      <c r="C70" s="239" t="s">
        <v>229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 ht="15" x14ac:dyDescent="0.25">
      <c r="B71" s="238">
        <v>6.4</v>
      </c>
      <c r="C71" s="239" t="s">
        <v>230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 ht="15" x14ac:dyDescent="0.25">
      <c r="B72" s="238">
        <v>6.5</v>
      </c>
      <c r="C72" s="233" t="s">
        <v>231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1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 x14ac:dyDescent="0.2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 ht="15.75" x14ac:dyDescent="0.3">
      <c r="B74" s="234">
        <v>7</v>
      </c>
      <c r="C74" s="235" t="s">
        <v>232</v>
      </c>
      <c r="D74" s="209"/>
      <c r="E74" s="688">
        <f>MIN(E76:E79)</f>
        <v>45945</v>
      </c>
      <c r="F74" s="689">
        <f>G74-E74</f>
        <v>26</v>
      </c>
      <c r="G74" s="688">
        <f>MAX(G75:G79)</f>
        <v>45971</v>
      </c>
      <c r="H74" s="242"/>
      <c r="I74" s="688">
        <f>MIN(I76:I79)</f>
        <v>45990</v>
      </c>
      <c r="J74" s="689">
        <f>K74-I74</f>
        <v>17</v>
      </c>
      <c r="K74" s="688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 ht="15" x14ac:dyDescent="0.25">
      <c r="B75" s="238">
        <v>7.1</v>
      </c>
      <c r="C75" s="239" t="s">
        <v>233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 ht="15" x14ac:dyDescent="0.25">
      <c r="B76" s="238">
        <v>7.2</v>
      </c>
      <c r="C76" s="239" t="s">
        <v>234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 ht="15" x14ac:dyDescent="0.25">
      <c r="B77" s="238">
        <v>7.3</v>
      </c>
      <c r="C77" s="239" t="s">
        <v>235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 ht="15" x14ac:dyDescent="0.25">
      <c r="B78" s="238">
        <v>7.4</v>
      </c>
      <c r="C78" s="239" t="s">
        <v>236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 ht="15" x14ac:dyDescent="0.25">
      <c r="B79" s="238">
        <v>7.5</v>
      </c>
      <c r="C79" s="239" t="s">
        <v>237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 x14ac:dyDescent="0.2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 ht="15.75" x14ac:dyDescent="0.3">
      <c r="B81" s="234">
        <v>8</v>
      </c>
      <c r="C81" s="235" t="s">
        <v>238</v>
      </c>
      <c r="D81" s="205"/>
      <c r="E81" s="688">
        <f>MIN(E83:E86)</f>
        <v>45950</v>
      </c>
      <c r="F81" s="689">
        <f>G81-E81</f>
        <v>21</v>
      </c>
      <c r="G81" s="688">
        <f>MAX(G82:G86)</f>
        <v>45971</v>
      </c>
      <c r="H81" s="228"/>
      <c r="I81" s="688">
        <f>MIN(I83:I86)</f>
        <v>45915</v>
      </c>
      <c r="J81" s="689">
        <f>K81-I81</f>
        <v>92</v>
      </c>
      <c r="K81" s="688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 ht="15" x14ac:dyDescent="0.25">
      <c r="B82" s="238">
        <v>8.1</v>
      </c>
      <c r="C82" s="748" t="s">
        <v>233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 ht="15" x14ac:dyDescent="0.25">
      <c r="B83" s="238">
        <v>8.1999999999999993</v>
      </c>
      <c r="C83" s="748" t="s">
        <v>234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 ht="15" x14ac:dyDescent="0.25">
      <c r="B84" s="238">
        <v>8.3000000000000007</v>
      </c>
      <c r="C84" s="748" t="s">
        <v>235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 ht="15" x14ac:dyDescent="0.25">
      <c r="B85" s="238">
        <v>8.4</v>
      </c>
      <c r="C85" s="748" t="s">
        <v>236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 ht="15" x14ac:dyDescent="0.25">
      <c r="B86" s="238">
        <v>8.5</v>
      </c>
      <c r="C86" s="748" t="s">
        <v>237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 x14ac:dyDescent="0.2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 ht="15.75" x14ac:dyDescent="0.3">
      <c r="B88" s="234">
        <v>9</v>
      </c>
      <c r="C88" s="235" t="s">
        <v>239</v>
      </c>
      <c r="D88" s="205"/>
      <c r="E88" s="688">
        <f>MIN(E89:E96)</f>
        <v>45922</v>
      </c>
      <c r="F88" s="689">
        <f>G88-E88</f>
        <v>43</v>
      </c>
      <c r="G88" s="688">
        <f>MAX(G89:G96)</f>
        <v>45965</v>
      </c>
      <c r="H88" s="228"/>
      <c r="I88" s="688">
        <f>MIN(I89:I96)</f>
        <v>45986</v>
      </c>
      <c r="J88" s="689">
        <f>K88-I88</f>
        <v>22</v>
      </c>
      <c r="K88" s="688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 ht="15" x14ac:dyDescent="0.25">
      <c r="B89" s="238">
        <v>9.1</v>
      </c>
      <c r="C89" s="748" t="s">
        <v>240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 ht="15" x14ac:dyDescent="0.25">
      <c r="B90" s="238"/>
      <c r="C90" s="748" t="s">
        <v>241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 ht="15" x14ac:dyDescent="0.25">
      <c r="B91" s="238">
        <f>B89+0.1</f>
        <v>9.1999999999999993</v>
      </c>
      <c r="C91" s="748" t="s">
        <v>242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 ht="15" x14ac:dyDescent="0.25">
      <c r="B92" s="238">
        <f t="shared" ref="B92:B96" si="10">B91+0.1</f>
        <v>9.2999999999999989</v>
      </c>
      <c r="C92" s="695" t="s">
        <v>243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 ht="15" x14ac:dyDescent="0.25">
      <c r="B93" s="238">
        <f t="shared" si="10"/>
        <v>9.3999999999999986</v>
      </c>
      <c r="C93" s="748" t="s">
        <v>244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 ht="15" x14ac:dyDescent="0.25">
      <c r="B94" s="238">
        <f t="shared" si="10"/>
        <v>9.4999999999999982</v>
      </c>
      <c r="C94" s="748" t="s">
        <v>245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 ht="15" x14ac:dyDescent="0.25">
      <c r="B95" s="238">
        <f t="shared" si="10"/>
        <v>9.5999999999999979</v>
      </c>
      <c r="C95" s="748" t="s">
        <v>246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 ht="15" x14ac:dyDescent="0.25">
      <c r="B96" s="238">
        <f t="shared" si="10"/>
        <v>9.6999999999999975</v>
      </c>
      <c r="C96" s="748" t="s">
        <v>247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 x14ac:dyDescent="0.2">
      <c r="B97" s="229"/>
      <c r="C97" s="749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 ht="15.75" x14ac:dyDescent="0.3">
      <c r="B98" s="234">
        <v>10</v>
      </c>
      <c r="C98" s="235" t="s">
        <v>248</v>
      </c>
      <c r="D98" s="209"/>
      <c r="E98" s="688">
        <f>MIN(E99:E108)</f>
        <v>45971</v>
      </c>
      <c r="F98" s="689">
        <f>G98-E98</f>
        <v>4</v>
      </c>
      <c r="G98" s="688">
        <f>MAX(G99:G108)</f>
        <v>45975</v>
      </c>
      <c r="H98" s="210"/>
      <c r="I98" s="688">
        <f>MIN(I99:I108)</f>
        <v>46006</v>
      </c>
      <c r="J98" s="689">
        <f>K98-I98</f>
        <v>59</v>
      </c>
      <c r="K98" s="688">
        <f>MAX(K99:K108)</f>
        <v>46065</v>
      </c>
      <c r="L98" s="114"/>
      <c r="M98" s="350">
        <f>AVERAGE(M99:M108)</f>
        <v>1</v>
      </c>
      <c r="N98" s="350">
        <f ca="1">AVERAGE(N99:N108)</f>
        <v>1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 ht="15" x14ac:dyDescent="0.25">
      <c r="B99" s="238">
        <f>B98+0.1</f>
        <v>10.1</v>
      </c>
      <c r="C99" s="233" t="s">
        <v>249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 ht="15" x14ac:dyDescent="0.25">
      <c r="B100" s="238">
        <v>10.199999999999999</v>
      </c>
      <c r="C100" s="233" t="s">
        <v>250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 ht="15" x14ac:dyDescent="0.25">
      <c r="B101" s="238">
        <v>10.3</v>
      </c>
      <c r="C101" s="233" t="s">
        <v>251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 ht="15" x14ac:dyDescent="0.25">
      <c r="B102" s="238">
        <v>10.4</v>
      </c>
      <c r="C102" s="233" t="s">
        <v>252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 ht="15" x14ac:dyDescent="0.25">
      <c r="B103" s="238">
        <v>10.5</v>
      </c>
      <c r="C103" s="233" t="s">
        <v>253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1</v>
      </c>
      <c r="N103" s="243">
        <f t="shared" ca="1" si="11"/>
        <v>1</v>
      </c>
      <c r="O103" s="12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 ht="15" x14ac:dyDescent="0.25">
      <c r="B104" s="238">
        <v>10.6</v>
      </c>
      <c r="C104" s="833" t="s">
        <v>254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1</v>
      </c>
      <c r="N104" s="243">
        <f t="shared" ca="1" si="11"/>
        <v>1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 ht="15" x14ac:dyDescent="0.25">
      <c r="B105" s="238">
        <v>10.7</v>
      </c>
      <c r="C105" s="233" t="s">
        <v>255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 ht="15" x14ac:dyDescent="0.25">
      <c r="B106" s="238">
        <v>10.8</v>
      </c>
      <c r="C106" s="233" t="s">
        <v>256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 ht="15" x14ac:dyDescent="0.25">
      <c r="B107" s="238">
        <v>10.9</v>
      </c>
      <c r="C107" s="233" t="s">
        <v>257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 ht="15" x14ac:dyDescent="0.25">
      <c r="B108" s="693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1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 x14ac:dyDescent="0.2">
      <c r="B109" s="229"/>
      <c r="C109" s="205"/>
      <c r="D109" s="205"/>
      <c r="E109" s="230"/>
      <c r="F109" s="230"/>
      <c r="G109" s="231"/>
      <c r="H109" s="228"/>
      <c r="I109" s="230"/>
      <c r="J109" s="230" t="s">
        <v>258</v>
      </c>
      <c r="K109" s="231"/>
      <c r="N109" s="168"/>
      <c r="Q109" s="3"/>
    </row>
    <row r="110" spans="2:198" s="112" customFormat="1" ht="15.75" x14ac:dyDescent="0.3">
      <c r="B110" s="234">
        <v>11</v>
      </c>
      <c r="C110" s="235" t="s">
        <v>259</v>
      </c>
      <c r="D110" s="209"/>
      <c r="E110" s="688">
        <f>MIN(E111:E115)</f>
        <v>45929</v>
      </c>
      <c r="F110" s="689">
        <f>G110-E110</f>
        <v>58</v>
      </c>
      <c r="G110" s="688">
        <f>MAX(G111:G115)</f>
        <v>45987</v>
      </c>
      <c r="H110" s="210"/>
      <c r="I110" s="688">
        <f>MIN(I111:I115)</f>
        <v>46048</v>
      </c>
      <c r="J110" s="689">
        <f>K110-I110</f>
        <v>29</v>
      </c>
      <c r="K110" s="688">
        <f>MAX(K111:K115)</f>
        <v>46077</v>
      </c>
      <c r="L110" s="114"/>
      <c r="M110" s="350">
        <f>AVERAGE(M111:M115)</f>
        <v>1</v>
      </c>
      <c r="N110" s="350">
        <f ca="1">AVERAGE(N111:N115)</f>
        <v>1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 ht="15" x14ac:dyDescent="0.25">
      <c r="B111" s="238">
        <f>B110+0.1</f>
        <v>11.1</v>
      </c>
      <c r="C111" s="233" t="s">
        <v>260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 ht="15" x14ac:dyDescent="0.25">
      <c r="B112" s="238">
        <f t="shared" ref="B112:B115" si="12">B111+0.1</f>
        <v>11.2</v>
      </c>
      <c r="C112" s="233" t="s">
        <v>261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1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 ht="15" x14ac:dyDescent="0.25">
      <c r="B113" s="238">
        <f t="shared" si="12"/>
        <v>11.299999999999999</v>
      </c>
      <c r="C113" s="233" t="s">
        <v>262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 ht="15" x14ac:dyDescent="0.25">
      <c r="B114" s="238">
        <f t="shared" si="12"/>
        <v>11.399999999999999</v>
      </c>
      <c r="C114" s="233" t="s">
        <v>263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2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 ht="15" x14ac:dyDescent="0.25">
      <c r="B115" s="238">
        <f t="shared" si="12"/>
        <v>11.499999999999998</v>
      </c>
      <c r="C115" s="233" t="s">
        <v>264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15</v>
      </c>
      <c r="K115" s="240">
        <f>WORKDAY.INTL(I115,J115,1,Data!$C$3:$C$41)</f>
        <v>46077</v>
      </c>
      <c r="M115" s="243">
        <v>1</v>
      </c>
      <c r="N115" s="243">
        <f ca="1">_xlfn.LET(
  _xlpm.s,VALUE(I115),
  _xlpm.e,VALUE(K115),
  IF(OR(_xlpm.s="",_xlpm.e=""),"", IF(_xlpm.e&lt;=_xlpm.s, IF(TODAY()&gt;=_xlpm.e,1,0), MAX(0,MIN(1,(TODAY()-_xlpm.s)/(_xlpm.e-_xlpm.s)))))
)</f>
        <v>1</v>
      </c>
      <c r="O115" s="12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 x14ac:dyDescent="0.2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 ht="15.75" x14ac:dyDescent="0.3">
      <c r="B117" s="234">
        <v>12</v>
      </c>
      <c r="C117" s="235" t="s">
        <v>265</v>
      </c>
      <c r="D117" s="209"/>
      <c r="E117" s="688">
        <f>MIN(E118:E125)</f>
        <v>45929</v>
      </c>
      <c r="F117" s="689">
        <f>G117-E117</f>
        <v>70</v>
      </c>
      <c r="G117" s="688">
        <f>MAX(G118:G125)</f>
        <v>45999</v>
      </c>
      <c r="H117" s="210"/>
      <c r="I117" s="688">
        <f>MIN(I118:I125)</f>
        <v>46006</v>
      </c>
      <c r="J117" s="689">
        <f>K117-I117</f>
        <v>85</v>
      </c>
      <c r="K117" s="688">
        <f>MAX(K118:K125)</f>
        <v>46091</v>
      </c>
      <c r="L117" s="114"/>
      <c r="M117" s="350">
        <f>AVERAGE(M118:M124)</f>
        <v>0.57000000000000006</v>
      </c>
      <c r="N117" s="350">
        <f ca="1">AVERAGE(N118:N124)</f>
        <v>0.59183673469387765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 ht="15" x14ac:dyDescent="0.25">
      <c r="B118" s="238">
        <f>B117+0.1</f>
        <v>12.1</v>
      </c>
      <c r="C118" s="233" t="s">
        <v>266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4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 ht="15" x14ac:dyDescent="0.25">
      <c r="B119" s="238">
        <f t="shared" ref="B119" si="14">B118+0.1</f>
        <v>12.2</v>
      </c>
      <c r="C119" s="233" t="s">
        <v>267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19</v>
      </c>
      <c r="K119" s="240">
        <f>WORKDAY.INTL(I119,J119,1,Data!$C$3:$C$41)</f>
        <v>46073</v>
      </c>
      <c r="M119" s="243">
        <v>1</v>
      </c>
      <c r="N119" s="243">
        <f t="shared" ca="1" si="13"/>
        <v>1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 ht="15" x14ac:dyDescent="0.25">
      <c r="B120" s="238">
        <f>B119+0.1</f>
        <v>12.299999999999999</v>
      </c>
      <c r="C120" s="233" t="s">
        <v>268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13</v>
      </c>
      <c r="K120" s="240">
        <f>WORKDAY.INTL(I120,J120,1,Data!$C$3:$C$41)</f>
        <v>46072</v>
      </c>
      <c r="M120" s="243">
        <v>1</v>
      </c>
      <c r="N120" s="243">
        <f t="shared" ca="1" si="13"/>
        <v>1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 ht="15" x14ac:dyDescent="0.25">
      <c r="B121" s="238">
        <f>B120+0.1</f>
        <v>12.399999999999999</v>
      </c>
      <c r="C121" s="233" t="s">
        <v>269</v>
      </c>
      <c r="D121" s="205"/>
      <c r="E121" s="240"/>
      <c r="F121" s="241"/>
      <c r="G121" s="240"/>
      <c r="H121" s="228"/>
      <c r="I121" s="240">
        <v>46080</v>
      </c>
      <c r="J121" s="241">
        <v>0</v>
      </c>
      <c r="K121" s="240">
        <f>WORKDAY.INTL(I121,J121,1,Data!$C$3:$C$41)</f>
        <v>46080</v>
      </c>
      <c r="M121" s="243">
        <v>0</v>
      </c>
      <c r="N121" s="243"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 ht="15" x14ac:dyDescent="0.25">
      <c r="B122" s="238">
        <f>B121+0.1</f>
        <v>12.499999999999998</v>
      </c>
      <c r="C122" s="233" t="s">
        <v>270</v>
      </c>
      <c r="D122" s="205"/>
      <c r="E122" s="240">
        <f>WORKDAY.INTL(E118,0,1,Data!$C$3:$C$41)</f>
        <v>45971</v>
      </c>
      <c r="F122" s="241">
        <v>15</v>
      </c>
      <c r="G122" s="240">
        <f>WORKDAY.INTL(E122,F122,1,Data!$C$3:$C$41)</f>
        <v>45992</v>
      </c>
      <c r="H122" s="228"/>
      <c r="I122" s="240">
        <f>WORKDAY.INTL(I110,0,1,Data!$C$3:$C$41)</f>
        <v>46048</v>
      </c>
      <c r="J122" s="241">
        <v>26</v>
      </c>
      <c r="K122" s="240">
        <f>WORKDAY.INTL(I122,J122,1,Data!$C$3:$C$41)</f>
        <v>46084</v>
      </c>
      <c r="M122" s="243">
        <v>0.99</v>
      </c>
      <c r="N122" s="243">
        <f t="shared" ca="1" si="13"/>
        <v>1</v>
      </c>
      <c r="O122" s="122" t="s">
        <v>271</v>
      </c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 ht="15" x14ac:dyDescent="0.25">
      <c r="B123" s="238">
        <f>B122+0.1</f>
        <v>12.599999999999998</v>
      </c>
      <c r="C123" s="233" t="s">
        <v>272</v>
      </c>
      <c r="D123" s="205"/>
      <c r="E123" s="240">
        <f>WORKDAY.INTL(G122,0,1,Data!$C$3:$C$41)</f>
        <v>45992</v>
      </c>
      <c r="F123" s="241">
        <v>2</v>
      </c>
      <c r="G123" s="240">
        <f>WORKDAY.INTL(E123,F123,1,Data!$C$3:$C$41)</f>
        <v>45994</v>
      </c>
      <c r="H123" s="228"/>
      <c r="I123" s="240">
        <v>46087</v>
      </c>
      <c r="J123" s="241">
        <v>1</v>
      </c>
      <c r="K123" s="240">
        <f>WORKDAY.INTL(I123,J123,1,Data!$C$3:$C$41)</f>
        <v>46090</v>
      </c>
      <c r="M123" s="243">
        <v>0</v>
      </c>
      <c r="N123" s="243">
        <f t="shared" ca="1" si="13"/>
        <v>0</v>
      </c>
      <c r="O123" s="122" t="s">
        <v>273</v>
      </c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 ht="15" x14ac:dyDescent="0.25">
      <c r="B124" s="238">
        <f>B123+0.1</f>
        <v>12.699999999999998</v>
      </c>
      <c r="C124" s="233" t="s">
        <v>274</v>
      </c>
      <c r="D124" s="205"/>
      <c r="E124" s="240">
        <f>WORKDAY.INTL(G122,0,1,Data!$C$3:$C$41)</f>
        <v>45992</v>
      </c>
      <c r="F124" s="241">
        <v>5</v>
      </c>
      <c r="G124" s="240">
        <f>WORKDAY.INTL(E124,F124,1,Data!$C$3:$C$41)</f>
        <v>45999</v>
      </c>
      <c r="H124" s="228"/>
      <c r="I124" s="240">
        <v>46084</v>
      </c>
      <c r="J124" s="241">
        <v>5</v>
      </c>
      <c r="K124" s="240">
        <f>WORKDAY.INTL(I124,J124,1,Data!$C$3:$C$41)</f>
        <v>46091</v>
      </c>
      <c r="M124" s="243">
        <v>0</v>
      </c>
      <c r="N124" s="243">
        <f t="shared" ca="1" si="13"/>
        <v>0.14285714285714285</v>
      </c>
      <c r="O124" s="122" t="s">
        <v>275</v>
      </c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2"/>
      <c r="BQ124" s="112"/>
      <c r="BR124" s="112"/>
      <c r="BS124" s="112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112"/>
      <c r="DE124" s="112"/>
      <c r="DF124" s="112"/>
      <c r="DG124" s="112"/>
      <c r="DH124" s="112"/>
      <c r="DI124" s="112"/>
      <c r="DJ124" s="112"/>
      <c r="DK124" s="112"/>
      <c r="DL124" s="112"/>
      <c r="DM124" s="112"/>
      <c r="DN124" s="112"/>
      <c r="DO124" s="112"/>
      <c r="DP124" s="112"/>
      <c r="DQ124" s="112"/>
      <c r="DR124" s="112"/>
      <c r="DS124" s="112"/>
      <c r="DT124" s="112"/>
      <c r="DU124" s="112"/>
      <c r="DV124" s="112"/>
      <c r="DW124" s="112"/>
      <c r="DX124" s="112"/>
      <c r="DY124" s="112"/>
      <c r="DZ124" s="112"/>
      <c r="EA124" s="112"/>
      <c r="EB124" s="112"/>
      <c r="EC124" s="112"/>
      <c r="ED124" s="112"/>
      <c r="EE124" s="112"/>
      <c r="EF124" s="112"/>
      <c r="EG124" s="112"/>
      <c r="EH124" s="112"/>
      <c r="EI124" s="112"/>
      <c r="EJ124" s="112"/>
      <c r="EK124" s="112"/>
      <c r="EL124" s="112"/>
      <c r="EM124" s="112"/>
      <c r="EN124" s="112"/>
      <c r="EO124" s="112"/>
      <c r="EP124" s="112"/>
      <c r="EQ124" s="112"/>
      <c r="ER124" s="112"/>
      <c r="ES124" s="112"/>
      <c r="ET124" s="112"/>
      <c r="EU124" s="112"/>
      <c r="EV124" s="112"/>
      <c r="EW124" s="112"/>
      <c r="EX124" s="112"/>
      <c r="EY124" s="112"/>
      <c r="EZ124" s="112"/>
      <c r="FA124" s="112"/>
      <c r="FB124" s="112"/>
      <c r="FC124" s="112"/>
      <c r="FD124" s="112"/>
      <c r="FE124" s="112"/>
      <c r="FF124" s="112"/>
      <c r="FG124" s="112"/>
      <c r="FH124" s="112"/>
      <c r="FI124" s="112"/>
      <c r="FJ124" s="112"/>
      <c r="FK124" s="112"/>
      <c r="FL124" s="112"/>
      <c r="FM124" s="112"/>
      <c r="FN124" s="112"/>
      <c r="FO124" s="112"/>
      <c r="FP124" s="112"/>
      <c r="FQ124" s="112"/>
      <c r="FR124" s="112"/>
      <c r="FS124" s="112"/>
      <c r="FT124" s="112"/>
      <c r="FU124" s="112"/>
      <c r="FV124" s="112"/>
      <c r="FW124" s="112"/>
      <c r="FX124" s="112"/>
      <c r="FY124" s="112"/>
      <c r="FZ124" s="112"/>
      <c r="GA124" s="112"/>
      <c r="GB124" s="112"/>
      <c r="GC124" s="112"/>
      <c r="GD124" s="112"/>
      <c r="GE124" s="112"/>
      <c r="GF124" s="112"/>
      <c r="GG124" s="112"/>
      <c r="GH124" s="112"/>
      <c r="GI124" s="112"/>
      <c r="GJ124" s="112"/>
      <c r="GK124" s="112"/>
      <c r="GL124" s="112"/>
      <c r="GM124" s="112"/>
      <c r="GN124" s="112"/>
      <c r="GO124" s="112"/>
      <c r="GP124" s="112"/>
    </row>
    <row r="125" spans="2:198" s="112" customFormat="1" ht="4.5" customHeight="1" x14ac:dyDescent="0.2">
      <c r="B125" s="229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Q125" s="124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21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  <c r="DK125" s="121"/>
      <c r="DL125" s="121"/>
      <c r="DM125" s="121"/>
      <c r="DN125" s="121"/>
      <c r="DO125" s="121"/>
      <c r="DP125" s="121"/>
      <c r="DQ125" s="121"/>
      <c r="DR125" s="121"/>
      <c r="DS125" s="121"/>
      <c r="DT125" s="121"/>
      <c r="DU125" s="121"/>
      <c r="DV125" s="121"/>
      <c r="DW125" s="121"/>
      <c r="DX125" s="121"/>
      <c r="DY125" s="121"/>
      <c r="DZ125" s="121"/>
      <c r="EA125" s="121"/>
      <c r="EB125" s="121"/>
      <c r="EC125" s="121"/>
      <c r="ED125" s="121"/>
      <c r="EE125" s="121"/>
      <c r="EF125" s="121"/>
      <c r="EG125" s="121"/>
      <c r="EH125" s="121"/>
      <c r="EI125" s="121"/>
      <c r="EJ125" s="121"/>
      <c r="EK125" s="121"/>
      <c r="EL125" s="121"/>
      <c r="EM125" s="121"/>
      <c r="EN125" s="121"/>
      <c r="EO125" s="121"/>
      <c r="EP125" s="121"/>
      <c r="EQ125" s="121"/>
      <c r="ER125" s="121"/>
      <c r="ES125" s="121"/>
      <c r="ET125" s="121"/>
      <c r="EU125" s="121"/>
      <c r="EV125" s="121"/>
      <c r="EW125" s="121"/>
      <c r="EX125" s="121"/>
      <c r="EY125" s="121"/>
      <c r="EZ125" s="121"/>
      <c r="FA125" s="121"/>
      <c r="FB125" s="121"/>
      <c r="FC125" s="121"/>
      <c r="FD125" s="121"/>
      <c r="FE125" s="121"/>
      <c r="FF125" s="121"/>
      <c r="FG125" s="121"/>
      <c r="FH125" s="121"/>
      <c r="FI125" s="121"/>
      <c r="FJ125" s="121"/>
      <c r="FK125" s="121"/>
      <c r="FL125" s="121"/>
      <c r="FM125" s="121"/>
      <c r="FN125" s="121"/>
      <c r="FO125" s="121"/>
      <c r="FP125" s="121"/>
      <c r="FQ125" s="121"/>
      <c r="FR125" s="121"/>
      <c r="FS125" s="121"/>
      <c r="FT125" s="121"/>
      <c r="FU125" s="121"/>
      <c r="FV125" s="121"/>
      <c r="FW125" s="121"/>
      <c r="FX125" s="121"/>
      <c r="FY125" s="121"/>
      <c r="FZ125" s="121"/>
      <c r="GA125" s="121"/>
      <c r="GB125" s="121"/>
      <c r="GC125" s="121"/>
      <c r="GD125" s="121"/>
      <c r="GE125" s="121"/>
      <c r="GF125" s="121"/>
      <c r="GG125" s="121"/>
      <c r="GH125" s="121"/>
      <c r="GI125" s="121"/>
      <c r="GJ125" s="121"/>
      <c r="GK125" s="121"/>
      <c r="GL125" s="121"/>
      <c r="GM125" s="121"/>
      <c r="GN125" s="121"/>
      <c r="GO125" s="121"/>
      <c r="GP125" s="121"/>
    </row>
    <row r="126" spans="2:198" s="3" customFormat="1" x14ac:dyDescent="0.2">
      <c r="B126" s="159"/>
      <c r="E126" s="160"/>
      <c r="F126" s="109"/>
      <c r="J126" s="109"/>
    </row>
    <row r="127" spans="2:198" x14ac:dyDescent="0.2">
      <c r="B127" s="157"/>
      <c r="C127" s="112"/>
      <c r="E127" s="112"/>
      <c r="G127" s="113"/>
    </row>
    <row r="128" spans="2:198" x14ac:dyDescent="0.2">
      <c r="B128" s="157"/>
      <c r="C128" s="112"/>
      <c r="E128" s="112"/>
      <c r="G128" s="113"/>
    </row>
    <row r="129" spans="2:7" x14ac:dyDescent="0.2">
      <c r="B129" s="157"/>
      <c r="C129" s="112"/>
      <c r="E129" s="112"/>
      <c r="G129" s="113"/>
    </row>
    <row r="130" spans="2:7" x14ac:dyDescent="0.2">
      <c r="B130" s="157"/>
      <c r="C130" s="112"/>
      <c r="E130" s="112"/>
      <c r="G130" s="113"/>
    </row>
    <row r="131" spans="2:7" x14ac:dyDescent="0.2">
      <c r="B131" s="157"/>
      <c r="C131" s="112"/>
      <c r="E131" s="112"/>
      <c r="G131" s="113"/>
    </row>
    <row r="132" spans="2:7" x14ac:dyDescent="0.2">
      <c r="B132" s="157"/>
      <c r="C132" s="112"/>
      <c r="E132" s="112"/>
      <c r="G132" s="113"/>
    </row>
    <row r="133" spans="2:7" x14ac:dyDescent="0.2">
      <c r="B133" s="157"/>
      <c r="C133" s="112"/>
      <c r="E133" s="112"/>
      <c r="G133" s="113"/>
    </row>
    <row r="134" spans="2:7" x14ac:dyDescent="0.2">
      <c r="B134" s="157"/>
      <c r="C134" s="112"/>
      <c r="E134" s="112"/>
      <c r="G134" s="113"/>
    </row>
    <row r="135" spans="2:7" x14ac:dyDescent="0.2">
      <c r="B135" s="157"/>
      <c r="C135" s="112"/>
      <c r="E135" s="112"/>
      <c r="G135" s="113"/>
    </row>
    <row r="136" spans="2:7" x14ac:dyDescent="0.2">
      <c r="B136" s="157"/>
      <c r="C136" s="112"/>
      <c r="E136" s="112"/>
      <c r="G136" s="113"/>
    </row>
    <row r="137" spans="2:7" x14ac:dyDescent="0.2">
      <c r="B137" s="157"/>
      <c r="C137" s="112"/>
      <c r="E137" s="112"/>
      <c r="G137" s="113"/>
    </row>
    <row r="138" spans="2:7" x14ac:dyDescent="0.2">
      <c r="B138" s="157"/>
      <c r="C138" s="112"/>
      <c r="E138" s="112"/>
      <c r="G138" s="113"/>
    </row>
    <row r="139" spans="2:7" x14ac:dyDescent="0.2">
      <c r="B139" s="157"/>
      <c r="C139" s="112"/>
      <c r="E139" s="112"/>
      <c r="G139" s="113"/>
    </row>
    <row r="140" spans="2:7" x14ac:dyDescent="0.2">
      <c r="B140" s="157"/>
      <c r="C140" s="112"/>
      <c r="E140" s="112"/>
      <c r="G140" s="113"/>
    </row>
    <row r="141" spans="2:7" x14ac:dyDescent="0.2">
      <c r="B141" s="157"/>
      <c r="C141" s="112"/>
      <c r="E141" s="112"/>
      <c r="G141" s="113"/>
    </row>
    <row r="142" spans="2:7" x14ac:dyDescent="0.2">
      <c r="B142" s="157"/>
      <c r="C142" s="112"/>
      <c r="E142" s="112"/>
      <c r="G142" s="113"/>
    </row>
    <row r="143" spans="2:7" x14ac:dyDescent="0.2">
      <c r="B143" s="157"/>
      <c r="C143" s="112"/>
      <c r="E143" s="112"/>
      <c r="G143" s="113"/>
    </row>
    <row r="144" spans="2:7" x14ac:dyDescent="0.2">
      <c r="B144" s="157"/>
      <c r="C144" s="112"/>
      <c r="E144" s="112"/>
      <c r="G144" s="113"/>
    </row>
    <row r="145" spans="2:7" x14ac:dyDescent="0.2">
      <c r="B145" s="157"/>
      <c r="C145" s="112"/>
      <c r="E145" s="112"/>
      <c r="G145" s="113"/>
    </row>
    <row r="146" spans="2:7" x14ac:dyDescent="0.2">
      <c r="B146" s="157"/>
      <c r="C146" s="112"/>
      <c r="E146" s="112"/>
      <c r="G146" s="113"/>
    </row>
    <row r="147" spans="2:7" x14ac:dyDescent="0.2">
      <c r="B147" s="157"/>
      <c r="C147" s="112"/>
      <c r="E147" s="112"/>
      <c r="G147" s="113"/>
    </row>
    <row r="148" spans="2:7" x14ac:dyDescent="0.2">
      <c r="B148" s="157"/>
      <c r="C148" s="112"/>
      <c r="E148" s="112"/>
      <c r="G148" s="113"/>
    </row>
    <row r="149" spans="2:7" x14ac:dyDescent="0.2">
      <c r="B149" s="157"/>
      <c r="C149" s="112"/>
      <c r="E149" s="112"/>
      <c r="G149" s="113"/>
    </row>
    <row r="150" spans="2:7" x14ac:dyDescent="0.2">
      <c r="B150" s="157"/>
      <c r="C150" s="112"/>
      <c r="E150" s="112"/>
      <c r="G150" s="113"/>
    </row>
    <row r="151" spans="2:7" x14ac:dyDescent="0.2">
      <c r="B151" s="157"/>
      <c r="C151" s="112"/>
      <c r="E151" s="112"/>
      <c r="G151" s="113"/>
    </row>
    <row r="152" spans="2:7" x14ac:dyDescent="0.2">
      <c r="B152" s="157"/>
      <c r="C152" s="112"/>
      <c r="E152" s="112"/>
      <c r="G152" s="113"/>
    </row>
    <row r="153" spans="2:7" x14ac:dyDescent="0.2">
      <c r="B153" s="157"/>
      <c r="C153" s="112"/>
      <c r="E153" s="112"/>
      <c r="G153" s="113"/>
    </row>
    <row r="154" spans="2:7" x14ac:dyDescent="0.2">
      <c r="B154" s="157"/>
      <c r="C154" s="112"/>
      <c r="E154" s="112"/>
      <c r="G154" s="113"/>
    </row>
    <row r="155" spans="2:7" x14ac:dyDescent="0.2">
      <c r="B155" s="157"/>
      <c r="C155" s="112"/>
      <c r="E155" s="112"/>
      <c r="G155" s="113"/>
    </row>
    <row r="156" spans="2:7" x14ac:dyDescent="0.2">
      <c r="B156" s="157"/>
      <c r="C156" s="112"/>
      <c r="E156" s="112"/>
      <c r="G156" s="113"/>
    </row>
    <row r="157" spans="2:7" x14ac:dyDescent="0.2">
      <c r="B157" s="157"/>
      <c r="C157" s="112"/>
      <c r="E157" s="112"/>
      <c r="G157" s="113"/>
    </row>
    <row r="158" spans="2:7" x14ac:dyDescent="0.2">
      <c r="B158" s="157"/>
      <c r="C158" s="112"/>
      <c r="E158" s="112"/>
      <c r="G158" s="113"/>
    </row>
    <row r="159" spans="2:7" x14ac:dyDescent="0.2">
      <c r="B159" s="157"/>
      <c r="C159" s="112"/>
      <c r="E159" s="112"/>
      <c r="G159" s="113"/>
    </row>
    <row r="160" spans="2:7" x14ac:dyDescent="0.2">
      <c r="B160" s="157"/>
      <c r="C160" s="112"/>
      <c r="E160" s="112"/>
      <c r="G160" s="113"/>
    </row>
    <row r="161" spans="2:7" x14ac:dyDescent="0.2">
      <c r="B161" s="157"/>
      <c r="C161" s="112"/>
      <c r="E161" s="112"/>
      <c r="G161" s="113"/>
    </row>
    <row r="162" spans="2:7" x14ac:dyDescent="0.2">
      <c r="B162" s="157"/>
      <c r="C162" s="112"/>
      <c r="E162" s="112"/>
      <c r="G162" s="113"/>
    </row>
    <row r="163" spans="2:7" x14ac:dyDescent="0.2">
      <c r="B163" s="157"/>
      <c r="C163" s="112"/>
      <c r="E163" s="112"/>
      <c r="G163" s="113"/>
    </row>
    <row r="164" spans="2:7" x14ac:dyDescent="0.2">
      <c r="B164" s="157"/>
      <c r="C164" s="112"/>
      <c r="E164" s="112"/>
      <c r="G164" s="113"/>
    </row>
    <row r="165" spans="2:7" x14ac:dyDescent="0.2">
      <c r="B165" s="157"/>
      <c r="C165" s="112"/>
      <c r="E165" s="112"/>
      <c r="G165" s="113"/>
    </row>
    <row r="166" spans="2:7" x14ac:dyDescent="0.2">
      <c r="B166" s="157"/>
      <c r="C166" s="112"/>
      <c r="E166" s="112"/>
      <c r="G166" s="113"/>
    </row>
    <row r="167" spans="2:7" x14ac:dyDescent="0.2">
      <c r="B167" s="157"/>
      <c r="C167" s="112"/>
      <c r="E167" s="112"/>
      <c r="G167" s="113"/>
    </row>
    <row r="168" spans="2:7" x14ac:dyDescent="0.2">
      <c r="B168" s="157"/>
      <c r="C168" s="112"/>
      <c r="E168" s="112"/>
      <c r="G168" s="113"/>
    </row>
    <row r="169" spans="2:7" x14ac:dyDescent="0.2">
      <c r="B169" s="157"/>
      <c r="C169" s="112"/>
      <c r="E169" s="112"/>
      <c r="G169" s="113"/>
    </row>
    <row r="170" spans="2:7" x14ac:dyDescent="0.2">
      <c r="B170" s="157"/>
      <c r="C170" s="112"/>
      <c r="E170" s="112"/>
      <c r="G170" s="113"/>
    </row>
    <row r="171" spans="2:7" x14ac:dyDescent="0.2">
      <c r="B171" s="157"/>
      <c r="C171" s="112"/>
      <c r="E171" s="112"/>
      <c r="G171" s="113"/>
    </row>
    <row r="172" spans="2:7" x14ac:dyDescent="0.2">
      <c r="B172" s="157"/>
      <c r="C172" s="112"/>
      <c r="E172" s="112"/>
      <c r="G172" s="113"/>
    </row>
    <row r="173" spans="2:7" x14ac:dyDescent="0.2">
      <c r="B173" s="157"/>
      <c r="C173" s="112"/>
      <c r="E173" s="112"/>
      <c r="G173" s="113"/>
    </row>
    <row r="174" spans="2:7" x14ac:dyDescent="0.2">
      <c r="B174" s="157"/>
      <c r="C174" s="112"/>
      <c r="E174" s="112"/>
      <c r="G174" s="113"/>
    </row>
    <row r="175" spans="2:7" x14ac:dyDescent="0.2">
      <c r="B175" s="157"/>
      <c r="C175" s="112"/>
      <c r="E175" s="112"/>
      <c r="G175" s="113"/>
    </row>
    <row r="176" spans="2:7" x14ac:dyDescent="0.2">
      <c r="B176" s="157"/>
      <c r="C176" s="112"/>
      <c r="E176" s="112"/>
      <c r="G176" s="113"/>
    </row>
    <row r="177" spans="2:7" x14ac:dyDescent="0.2">
      <c r="B177" s="157"/>
      <c r="C177" s="112"/>
      <c r="E177" s="112"/>
      <c r="G177" s="113"/>
    </row>
    <row r="178" spans="2:7" x14ac:dyDescent="0.2">
      <c r="B178" s="157"/>
      <c r="C178" s="112"/>
      <c r="E178" s="112"/>
      <c r="G178" s="113"/>
    </row>
    <row r="179" spans="2:7" x14ac:dyDescent="0.2">
      <c r="B179" s="157"/>
      <c r="C179" s="112"/>
      <c r="E179" s="112"/>
      <c r="G179" s="113"/>
    </row>
    <row r="180" spans="2:7" x14ac:dyDescent="0.2">
      <c r="B180" s="157"/>
      <c r="C180" s="112"/>
      <c r="E180" s="112"/>
      <c r="G180" s="113"/>
    </row>
    <row r="181" spans="2:7" x14ac:dyDescent="0.2">
      <c r="B181" s="157"/>
      <c r="C181" s="112"/>
      <c r="E181" s="112"/>
      <c r="G181" s="113"/>
    </row>
    <row r="182" spans="2:7" x14ac:dyDescent="0.2">
      <c r="B182" s="157"/>
      <c r="C182" s="112"/>
      <c r="E182" s="112"/>
      <c r="G182" s="113"/>
    </row>
    <row r="183" spans="2:7" x14ac:dyDescent="0.2">
      <c r="B183" s="157"/>
      <c r="C183" s="112"/>
      <c r="E183" s="112"/>
      <c r="G183" s="113"/>
    </row>
    <row r="184" spans="2:7" x14ac:dyDescent="0.2">
      <c r="B184" s="157"/>
      <c r="C184" s="112"/>
      <c r="E184" s="112"/>
      <c r="G184" s="113"/>
    </row>
    <row r="185" spans="2:7" x14ac:dyDescent="0.2">
      <c r="B185" s="157"/>
      <c r="C185" s="112"/>
      <c r="E185" s="112"/>
      <c r="G185" s="113"/>
    </row>
    <row r="186" spans="2:7" x14ac:dyDescent="0.2">
      <c r="B186" s="157"/>
      <c r="C186" s="112"/>
      <c r="E186" s="112"/>
      <c r="G186" s="113"/>
    </row>
    <row r="187" spans="2:7" x14ac:dyDescent="0.2">
      <c r="B187" s="157"/>
      <c r="C187" s="112"/>
      <c r="E187" s="112"/>
      <c r="G187" s="113"/>
    </row>
    <row r="188" spans="2:7" x14ac:dyDescent="0.2">
      <c r="B188" s="157"/>
      <c r="C188" s="112"/>
      <c r="E188" s="112"/>
      <c r="G188" s="113"/>
    </row>
    <row r="189" spans="2:7" x14ac:dyDescent="0.2">
      <c r="B189" s="157"/>
      <c r="C189" s="112"/>
      <c r="E189" s="112"/>
      <c r="G189" s="113"/>
    </row>
    <row r="190" spans="2:7" x14ac:dyDescent="0.2">
      <c r="B190" s="157"/>
      <c r="C190" s="112"/>
      <c r="E190" s="112"/>
      <c r="G190" s="113"/>
    </row>
    <row r="191" spans="2:7" x14ac:dyDescent="0.2">
      <c r="B191" s="157"/>
      <c r="C191" s="112"/>
      <c r="E191" s="112"/>
      <c r="G191" s="113"/>
    </row>
    <row r="192" spans="2:7" x14ac:dyDescent="0.2">
      <c r="B192" s="157"/>
      <c r="C192" s="112"/>
      <c r="E192" s="112"/>
      <c r="G192" s="113"/>
    </row>
    <row r="193" spans="2:7" x14ac:dyDescent="0.2">
      <c r="B193" s="157"/>
      <c r="C193" s="112"/>
      <c r="E193" s="112"/>
      <c r="G193" s="113"/>
    </row>
    <row r="194" spans="2:7" x14ac:dyDescent="0.2">
      <c r="B194" s="157"/>
      <c r="C194" s="112"/>
      <c r="E194" s="112"/>
      <c r="G194" s="113"/>
    </row>
    <row r="195" spans="2:7" x14ac:dyDescent="0.2">
      <c r="B195" s="157"/>
      <c r="C195" s="112"/>
      <c r="E195" s="112"/>
      <c r="G195" s="113"/>
    </row>
    <row r="196" spans="2:7" x14ac:dyDescent="0.2">
      <c r="B196" s="157"/>
      <c r="C196" s="112"/>
      <c r="E196" s="112"/>
      <c r="G196" s="113"/>
    </row>
    <row r="197" spans="2:7" x14ac:dyDescent="0.2">
      <c r="B197" s="157"/>
      <c r="C197" s="112"/>
      <c r="E197" s="112"/>
      <c r="G197" s="113"/>
    </row>
    <row r="198" spans="2:7" x14ac:dyDescent="0.2">
      <c r="B198" s="157"/>
      <c r="C198" s="112"/>
      <c r="E198" s="112"/>
      <c r="G198" s="113"/>
    </row>
    <row r="199" spans="2:7" x14ac:dyDescent="0.2">
      <c r="B199" s="157"/>
      <c r="C199" s="112"/>
      <c r="E199" s="112"/>
      <c r="G199" s="113"/>
    </row>
    <row r="200" spans="2:7" x14ac:dyDescent="0.2">
      <c r="B200" s="157"/>
      <c r="C200" s="112"/>
      <c r="E200" s="112"/>
      <c r="G200" s="113"/>
    </row>
    <row r="201" spans="2:7" x14ac:dyDescent="0.2">
      <c r="B201" s="157"/>
      <c r="C201" s="112"/>
      <c r="E201" s="112"/>
      <c r="G201" s="113"/>
    </row>
    <row r="202" spans="2:7" x14ac:dyDescent="0.2">
      <c r="B202" s="157"/>
      <c r="C202" s="112"/>
      <c r="E202" s="112"/>
      <c r="G202" s="113"/>
    </row>
    <row r="203" spans="2:7" x14ac:dyDescent="0.2">
      <c r="B203" s="157"/>
      <c r="C203" s="112"/>
      <c r="E203" s="112"/>
      <c r="G203" s="113"/>
    </row>
    <row r="204" spans="2:7" x14ac:dyDescent="0.2">
      <c r="B204" s="157"/>
      <c r="C204" s="112"/>
      <c r="E204" s="112"/>
      <c r="G204" s="113"/>
    </row>
    <row r="205" spans="2:7" x14ac:dyDescent="0.2">
      <c r="B205" s="157"/>
      <c r="C205" s="112"/>
      <c r="E205" s="112"/>
      <c r="G205" s="113"/>
    </row>
    <row r="206" spans="2:7" x14ac:dyDescent="0.2">
      <c r="B206" s="157"/>
      <c r="C206" s="112"/>
      <c r="E206" s="112"/>
      <c r="G206" s="113"/>
    </row>
    <row r="207" spans="2:7" x14ac:dyDescent="0.2">
      <c r="B207" s="157"/>
      <c r="C207" s="112"/>
      <c r="E207" s="112"/>
      <c r="G207" s="113"/>
    </row>
    <row r="208" spans="2:7" x14ac:dyDescent="0.2">
      <c r="B208" s="157"/>
      <c r="C208" s="112"/>
      <c r="E208" s="112"/>
      <c r="G208" s="113"/>
    </row>
    <row r="209" spans="2:7" x14ac:dyDescent="0.2">
      <c r="B209" s="157"/>
      <c r="C209" s="112"/>
      <c r="E209" s="112"/>
      <c r="G209" s="113"/>
    </row>
    <row r="210" spans="2:7" x14ac:dyDescent="0.2">
      <c r="B210" s="157"/>
      <c r="C210" s="112"/>
      <c r="E210" s="112"/>
      <c r="G210" s="113"/>
    </row>
    <row r="211" spans="2:7" x14ac:dyDescent="0.2">
      <c r="B211" s="157"/>
      <c r="C211" s="112"/>
      <c r="E211" s="112"/>
      <c r="G211" s="113"/>
    </row>
    <row r="212" spans="2:7" x14ac:dyDescent="0.2">
      <c r="B212" s="157"/>
      <c r="C212" s="112"/>
      <c r="E212" s="112"/>
      <c r="G212" s="113"/>
    </row>
    <row r="213" spans="2:7" x14ac:dyDescent="0.2">
      <c r="B213" s="157"/>
      <c r="C213" s="112"/>
      <c r="E213" s="112"/>
      <c r="G213" s="113"/>
    </row>
    <row r="214" spans="2:7" x14ac:dyDescent="0.2">
      <c r="B214" s="157"/>
      <c r="C214" s="112"/>
      <c r="E214" s="112"/>
      <c r="G214" s="113"/>
    </row>
    <row r="215" spans="2:7" x14ac:dyDescent="0.2">
      <c r="B215" s="157"/>
      <c r="C215" s="112"/>
      <c r="E215" s="112"/>
      <c r="G215" s="113"/>
    </row>
    <row r="216" spans="2:7" x14ac:dyDescent="0.2">
      <c r="B216" s="157"/>
      <c r="C216" s="112"/>
      <c r="E216" s="112"/>
      <c r="G216" s="113"/>
    </row>
    <row r="217" spans="2:7" x14ac:dyDescent="0.2">
      <c r="B217" s="157"/>
      <c r="C217" s="112"/>
      <c r="E217" s="112"/>
      <c r="G217" s="113"/>
    </row>
    <row r="218" spans="2:7" x14ac:dyDescent="0.2">
      <c r="B218" s="157"/>
      <c r="C218" s="112"/>
      <c r="E218" s="112"/>
      <c r="G218" s="113"/>
    </row>
    <row r="219" spans="2:7" x14ac:dyDescent="0.2">
      <c r="B219" s="157"/>
      <c r="C219" s="112"/>
      <c r="E219" s="112"/>
      <c r="G219" s="113"/>
    </row>
    <row r="220" spans="2:7" x14ac:dyDescent="0.2">
      <c r="B220" s="157"/>
      <c r="C220" s="112"/>
      <c r="E220" s="112"/>
      <c r="G220" s="113"/>
    </row>
    <row r="221" spans="2:7" x14ac:dyDescent="0.2">
      <c r="B221" s="157"/>
      <c r="C221" s="112"/>
      <c r="E221" s="112"/>
      <c r="G221" s="113"/>
    </row>
    <row r="222" spans="2:7" x14ac:dyDescent="0.2">
      <c r="B222" s="157"/>
      <c r="C222" s="112"/>
      <c r="E222" s="112"/>
      <c r="G222" s="113"/>
    </row>
    <row r="223" spans="2:7" x14ac:dyDescent="0.2">
      <c r="B223" s="157"/>
      <c r="C223" s="112"/>
      <c r="E223" s="112"/>
      <c r="G223" s="113"/>
    </row>
    <row r="224" spans="2:7" x14ac:dyDescent="0.2">
      <c r="B224" s="157"/>
      <c r="C224" s="112"/>
      <c r="E224" s="112"/>
      <c r="G224" s="113"/>
    </row>
    <row r="225" spans="2:7" x14ac:dyDescent="0.2">
      <c r="B225" s="157"/>
      <c r="C225" s="112"/>
      <c r="E225" s="112"/>
      <c r="G225" s="113"/>
    </row>
    <row r="226" spans="2:7" x14ac:dyDescent="0.2">
      <c r="B226" s="157"/>
      <c r="C226" s="112"/>
      <c r="E226" s="112"/>
      <c r="G226" s="113"/>
    </row>
    <row r="227" spans="2:7" x14ac:dyDescent="0.2">
      <c r="B227" s="157"/>
      <c r="C227" s="112"/>
      <c r="E227" s="112"/>
      <c r="G227" s="113"/>
    </row>
    <row r="228" spans="2:7" x14ac:dyDescent="0.2">
      <c r="B228" s="157"/>
      <c r="C228" s="112"/>
      <c r="E228" s="112"/>
      <c r="G228" s="113"/>
    </row>
    <row r="229" spans="2:7" x14ac:dyDescent="0.2">
      <c r="B229" s="157"/>
      <c r="C229" s="112"/>
      <c r="E229" s="112"/>
      <c r="G229" s="113"/>
    </row>
    <row r="230" spans="2:7" x14ac:dyDescent="0.2">
      <c r="B230" s="157"/>
      <c r="C230" s="112"/>
      <c r="E230" s="112"/>
      <c r="G230" s="113"/>
    </row>
    <row r="231" spans="2:7" x14ac:dyDescent="0.2">
      <c r="B231" s="157"/>
      <c r="C231" s="112"/>
      <c r="E231" s="112"/>
      <c r="G231" s="113"/>
    </row>
    <row r="232" spans="2:7" x14ac:dyDescent="0.2">
      <c r="B232" s="157"/>
      <c r="C232" s="112"/>
      <c r="E232" s="112"/>
      <c r="G232" s="113"/>
    </row>
    <row r="233" spans="2:7" x14ac:dyDescent="0.2">
      <c r="B233" s="157"/>
      <c r="C233" s="112"/>
      <c r="E233" s="112"/>
      <c r="G233" s="113"/>
    </row>
    <row r="234" spans="2:7" x14ac:dyDescent="0.2">
      <c r="B234" s="157"/>
      <c r="C234" s="112"/>
      <c r="E234" s="112"/>
      <c r="G234" s="113"/>
    </row>
    <row r="235" spans="2:7" x14ac:dyDescent="0.2">
      <c r="B235" s="157"/>
      <c r="C235" s="112"/>
      <c r="E235" s="112"/>
      <c r="G235" s="113"/>
    </row>
    <row r="236" spans="2:7" x14ac:dyDescent="0.2">
      <c r="B236" s="157"/>
      <c r="C236" s="112"/>
      <c r="E236" s="112"/>
      <c r="G236" s="113"/>
    </row>
    <row r="237" spans="2:7" x14ac:dyDescent="0.2">
      <c r="B237" s="157"/>
      <c r="C237" s="112"/>
      <c r="E237" s="112"/>
      <c r="G237" s="113"/>
    </row>
    <row r="238" spans="2:7" x14ac:dyDescent="0.2">
      <c r="B238" s="157"/>
      <c r="C238" s="112"/>
      <c r="E238" s="112"/>
      <c r="G238" s="113"/>
    </row>
    <row r="239" spans="2:7" x14ac:dyDescent="0.2">
      <c r="B239" s="157"/>
      <c r="C239" s="112"/>
      <c r="E239" s="112"/>
      <c r="G239" s="113"/>
    </row>
    <row r="240" spans="2:7" x14ac:dyDescent="0.2">
      <c r="B240" s="157"/>
      <c r="C240" s="112"/>
      <c r="E240" s="112"/>
      <c r="G240" s="113"/>
    </row>
    <row r="241" spans="2:7" x14ac:dyDescent="0.2">
      <c r="B241" s="157"/>
      <c r="C241" s="112"/>
      <c r="E241" s="112"/>
      <c r="G241" s="113"/>
    </row>
    <row r="242" spans="2:7" x14ac:dyDescent="0.2">
      <c r="B242" s="157"/>
      <c r="C242" s="112"/>
      <c r="E242" s="112"/>
      <c r="G242" s="113"/>
    </row>
    <row r="243" spans="2:7" x14ac:dyDescent="0.2">
      <c r="B243" s="157"/>
      <c r="C243" s="112"/>
      <c r="E243" s="112"/>
      <c r="G243" s="113"/>
    </row>
    <row r="244" spans="2:7" x14ac:dyDescent="0.2">
      <c r="B244" s="157"/>
      <c r="C244" s="112"/>
      <c r="E244" s="112"/>
      <c r="G244" s="113"/>
    </row>
    <row r="245" spans="2:7" x14ac:dyDescent="0.2">
      <c r="B245" s="157"/>
      <c r="C245" s="112"/>
      <c r="E245" s="112"/>
      <c r="G245" s="113"/>
    </row>
    <row r="246" spans="2:7" x14ac:dyDescent="0.2">
      <c r="B246" s="157"/>
      <c r="C246" s="112"/>
      <c r="E246" s="112"/>
      <c r="G246" s="113"/>
    </row>
    <row r="247" spans="2:7" x14ac:dyDescent="0.2">
      <c r="B247" s="157"/>
      <c r="C247" s="112"/>
      <c r="E247" s="112"/>
      <c r="G247" s="113"/>
    </row>
    <row r="248" spans="2:7" x14ac:dyDescent="0.2">
      <c r="B248" s="157"/>
      <c r="C248" s="112"/>
      <c r="E248" s="112"/>
      <c r="G248" s="113"/>
    </row>
    <row r="249" spans="2:7" x14ac:dyDescent="0.2">
      <c r="B249" s="157"/>
      <c r="C249" s="112"/>
      <c r="E249" s="112"/>
      <c r="G249" s="113"/>
    </row>
    <row r="250" spans="2:7" x14ac:dyDescent="0.2">
      <c r="B250" s="157"/>
      <c r="C250" s="112"/>
      <c r="E250" s="112"/>
      <c r="G250" s="113"/>
    </row>
    <row r="251" spans="2:7" x14ac:dyDescent="0.2">
      <c r="B251" s="157"/>
      <c r="C251" s="112"/>
      <c r="E251" s="112"/>
      <c r="G251" s="113"/>
    </row>
    <row r="252" spans="2:7" x14ac:dyDescent="0.2">
      <c r="B252" s="157"/>
      <c r="C252" s="112"/>
      <c r="E252" s="112"/>
      <c r="G252" s="113"/>
    </row>
    <row r="253" spans="2:7" x14ac:dyDescent="0.2">
      <c r="B253" s="157"/>
      <c r="C253" s="112"/>
      <c r="E253" s="112"/>
      <c r="G253" s="113"/>
    </row>
    <row r="254" spans="2:7" x14ac:dyDescent="0.2">
      <c r="B254" s="157"/>
      <c r="C254" s="112"/>
      <c r="E254" s="112"/>
      <c r="G254" s="113"/>
    </row>
    <row r="255" spans="2:7" x14ac:dyDescent="0.2">
      <c r="B255" s="157"/>
      <c r="C255" s="112"/>
      <c r="E255" s="112"/>
      <c r="G255" s="113"/>
    </row>
    <row r="256" spans="2:7" x14ac:dyDescent="0.2">
      <c r="B256" s="157"/>
      <c r="C256" s="112"/>
      <c r="E256" s="112"/>
      <c r="G256" s="113"/>
    </row>
    <row r="257" spans="2:7" x14ac:dyDescent="0.2">
      <c r="B257" s="157"/>
      <c r="C257" s="112"/>
      <c r="E257" s="112"/>
      <c r="G257" s="113"/>
    </row>
    <row r="258" spans="2:7" x14ac:dyDescent="0.2">
      <c r="B258" s="157"/>
      <c r="C258" s="112"/>
      <c r="E258" s="112"/>
      <c r="G258" s="113"/>
    </row>
    <row r="259" spans="2:7" x14ac:dyDescent="0.2">
      <c r="B259" s="157"/>
      <c r="C259" s="112"/>
      <c r="E259" s="112"/>
      <c r="G259" s="113"/>
    </row>
    <row r="260" spans="2:7" x14ac:dyDescent="0.2">
      <c r="B260" s="157"/>
      <c r="C260" s="112"/>
      <c r="E260" s="112"/>
      <c r="G260" s="113"/>
    </row>
    <row r="261" spans="2:7" x14ac:dyDescent="0.2">
      <c r="B261" s="157"/>
      <c r="C261" s="112"/>
      <c r="E261" s="112"/>
      <c r="G261" s="113"/>
    </row>
    <row r="262" spans="2:7" x14ac:dyDescent="0.2">
      <c r="B262" s="157"/>
      <c r="C262" s="112"/>
      <c r="E262" s="112"/>
      <c r="G262" s="113"/>
    </row>
    <row r="263" spans="2:7" x14ac:dyDescent="0.2">
      <c r="B263" s="157"/>
      <c r="C263" s="112"/>
      <c r="E263" s="112"/>
      <c r="G263" s="113"/>
    </row>
    <row r="264" spans="2:7" x14ac:dyDescent="0.2">
      <c r="B264" s="157"/>
      <c r="C264" s="112"/>
      <c r="E264" s="112"/>
      <c r="G264" s="113"/>
    </row>
    <row r="265" spans="2:7" x14ac:dyDescent="0.2">
      <c r="B265" s="157"/>
      <c r="C265" s="112"/>
      <c r="E265" s="112"/>
      <c r="G265" s="113"/>
    </row>
    <row r="266" spans="2:7" x14ac:dyDescent="0.2">
      <c r="B266" s="157"/>
      <c r="C266" s="112"/>
      <c r="E266" s="112"/>
      <c r="G266" s="113"/>
    </row>
    <row r="267" spans="2:7" x14ac:dyDescent="0.2">
      <c r="B267" s="157"/>
      <c r="C267" s="112"/>
      <c r="E267" s="112"/>
      <c r="G267" s="113"/>
    </row>
    <row r="268" spans="2:7" x14ac:dyDescent="0.2">
      <c r="B268" s="157"/>
      <c r="C268" s="112"/>
      <c r="E268" s="112"/>
      <c r="G268" s="113"/>
    </row>
    <row r="269" spans="2:7" x14ac:dyDescent="0.2">
      <c r="B269" s="157"/>
      <c r="C269" s="112"/>
      <c r="E269" s="112"/>
      <c r="G269" s="113"/>
    </row>
    <row r="270" spans="2:7" x14ac:dyDescent="0.2">
      <c r="B270" s="157"/>
      <c r="C270" s="112"/>
      <c r="E270" s="112"/>
      <c r="G270" s="113"/>
    </row>
    <row r="271" spans="2:7" x14ac:dyDescent="0.2">
      <c r="B271" s="157"/>
      <c r="C271" s="112"/>
      <c r="E271" s="112"/>
      <c r="G271" s="113"/>
    </row>
    <row r="272" spans="2:7" x14ac:dyDescent="0.2">
      <c r="B272" s="157"/>
      <c r="C272" s="112"/>
      <c r="E272" s="112"/>
      <c r="G272" s="113"/>
    </row>
    <row r="273" spans="2:7" x14ac:dyDescent="0.2">
      <c r="B273" s="157"/>
      <c r="C273" s="112"/>
      <c r="E273" s="112"/>
      <c r="G273" s="113"/>
    </row>
    <row r="274" spans="2:7" x14ac:dyDescent="0.2">
      <c r="B274" s="157"/>
      <c r="C274" s="112"/>
      <c r="E274" s="112"/>
      <c r="G274" s="113"/>
    </row>
    <row r="275" spans="2:7" x14ac:dyDescent="0.2">
      <c r="B275" s="157"/>
      <c r="C275" s="112"/>
      <c r="E275" s="112"/>
      <c r="G275" s="113"/>
    </row>
    <row r="276" spans="2:7" x14ac:dyDescent="0.2">
      <c r="B276" s="157"/>
      <c r="C276" s="112"/>
      <c r="E276" s="112"/>
      <c r="G276" s="113"/>
    </row>
    <row r="277" spans="2:7" x14ac:dyDescent="0.2">
      <c r="B277" s="157"/>
      <c r="C277" s="112"/>
      <c r="E277" s="112"/>
      <c r="G277" s="113"/>
    </row>
    <row r="278" spans="2:7" x14ac:dyDescent="0.2">
      <c r="B278" s="157"/>
      <c r="C278" s="112"/>
      <c r="E278" s="112"/>
      <c r="G278" s="113"/>
    </row>
    <row r="279" spans="2:7" x14ac:dyDescent="0.2">
      <c r="B279" s="157"/>
      <c r="C279" s="112"/>
      <c r="E279" s="112"/>
      <c r="G279" s="113"/>
    </row>
    <row r="280" spans="2:7" x14ac:dyDescent="0.2">
      <c r="B280" s="157"/>
      <c r="C280" s="112"/>
      <c r="E280" s="112"/>
      <c r="G280" s="113"/>
    </row>
    <row r="281" spans="2:7" x14ac:dyDescent="0.2">
      <c r="B281" s="157"/>
      <c r="C281" s="112"/>
      <c r="E281" s="112"/>
      <c r="G281" s="113"/>
    </row>
    <row r="282" spans="2:7" x14ac:dyDescent="0.2">
      <c r="B282" s="157"/>
      <c r="C282" s="112"/>
      <c r="E282" s="112"/>
      <c r="G282" s="113"/>
    </row>
    <row r="283" spans="2:7" x14ac:dyDescent="0.2">
      <c r="B283" s="157"/>
      <c r="C283" s="112"/>
      <c r="E283" s="112"/>
      <c r="G283" s="113"/>
    </row>
    <row r="284" spans="2:7" x14ac:dyDescent="0.2">
      <c r="B284" s="157"/>
      <c r="C284" s="112"/>
      <c r="E284" s="112"/>
      <c r="G284" s="113"/>
    </row>
    <row r="285" spans="2:7" x14ac:dyDescent="0.2">
      <c r="B285" s="157"/>
      <c r="C285" s="112"/>
      <c r="E285" s="112"/>
      <c r="G285" s="113"/>
    </row>
    <row r="286" spans="2:7" x14ac:dyDescent="0.2">
      <c r="B286" s="157"/>
      <c r="C286" s="112"/>
      <c r="E286" s="112"/>
      <c r="G286" s="113"/>
    </row>
    <row r="287" spans="2:7" x14ac:dyDescent="0.2">
      <c r="B287" s="157"/>
      <c r="C287" s="112"/>
      <c r="E287" s="112"/>
      <c r="G287" s="113"/>
    </row>
    <row r="288" spans="2:7" x14ac:dyDescent="0.2">
      <c r="B288" s="157"/>
      <c r="C288" s="112"/>
      <c r="E288" s="112"/>
      <c r="G288" s="113"/>
    </row>
    <row r="289" spans="2:7" x14ac:dyDescent="0.2">
      <c r="B289" s="157"/>
      <c r="C289" s="112"/>
      <c r="E289" s="112"/>
      <c r="G289" s="113"/>
    </row>
    <row r="290" spans="2:7" x14ac:dyDescent="0.2">
      <c r="B290" s="157"/>
      <c r="C290" s="112"/>
      <c r="E290" s="112"/>
      <c r="G290" s="113"/>
    </row>
    <row r="291" spans="2:7" x14ac:dyDescent="0.2">
      <c r="B291" s="157"/>
      <c r="C291" s="112"/>
      <c r="E291" s="112"/>
      <c r="G291" s="113"/>
    </row>
    <row r="292" spans="2:7" x14ac:dyDescent="0.2">
      <c r="B292" s="157"/>
      <c r="C292" s="112"/>
      <c r="E292" s="112"/>
      <c r="G292" s="113"/>
    </row>
    <row r="293" spans="2:7" x14ac:dyDescent="0.2">
      <c r="B293" s="157"/>
      <c r="C293" s="112"/>
      <c r="E293" s="112"/>
      <c r="G29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5 M126:P1048576 N97 N109 N10:P10 O8:P9 N17:P17 O11:P16 N31:P31 O18:P30 N41:P41 N57:P57 N66:P66 N73:P73 N80:P80 N87:P87 O32:P40 O58:P65 O67:P72 O74:P79 O81:P86 M1:P7 O42:P56 O88:P124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4 N11:N16 N88:N96 N42:N56 N115 M115:M124 M114:N114 N67:N72 M8:M113 N98:N108" name="Range1_1"/>
  </protectedRanges>
  <mergeCells count="13">
    <mergeCell ref="Y19:AB28"/>
    <mergeCell ref="Y18:AB18"/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18:N124 M12:N16 M75:N79 M19:N30 M33:N40 M82:N86 M89:N96 M111:N115 M59:N65 M68:N72 M43:N56 M99:N10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K24" sqref="K24"/>
      <selection pane="bottomLeft" activeCell="J15" sqref="J15"/>
    </sheetView>
  </sheetViews>
  <sheetFormatPr defaultColWidth="8.42578125" defaultRowHeight="14.25" x14ac:dyDescent="0.2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140625" style="24" customWidth="1"/>
    <col min="10" max="10" width="21.140625" style="24" customWidth="1"/>
    <col min="11" max="11" width="2" style="24" customWidth="1"/>
    <col min="12" max="12" width="53.140625" style="24" customWidth="1"/>
    <col min="13" max="16384" width="8.42578125" style="24"/>
  </cols>
  <sheetData>
    <row r="1" spans="1:12" ht="6.75" customHeight="1" x14ac:dyDescent="0.2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 ht="15.75" x14ac:dyDescent="0.3">
      <c r="A2" s="205"/>
      <c r="B2" s="209" t="s">
        <v>276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 x14ac:dyDescent="0.2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6.5" thickBot="1" x14ac:dyDescent="0.35">
      <c r="A4" s="205"/>
      <c r="B4" s="941"/>
      <c r="C4" s="941"/>
      <c r="D4" s="941"/>
      <c r="E4" s="402"/>
      <c r="F4" s="210" t="s">
        <v>59</v>
      </c>
      <c r="G4" s="205"/>
      <c r="H4" s="210" t="s">
        <v>60</v>
      </c>
      <c r="I4" s="205"/>
      <c r="J4" s="211" t="s">
        <v>277</v>
      </c>
      <c r="K4" s="112"/>
      <c r="L4" s="112"/>
    </row>
    <row r="5" spans="1:12" ht="16.5" thickBot="1" x14ac:dyDescent="0.35">
      <c r="A5" s="205"/>
      <c r="B5" s="942" t="s">
        <v>278</v>
      </c>
      <c r="C5" s="942"/>
      <c r="D5" s="942"/>
      <c r="E5" s="402"/>
      <c r="F5" s="212">
        <f>SUM(F9:F23)</f>
        <v>56096452.079139791</v>
      </c>
      <c r="G5" s="207"/>
      <c r="H5" s="212">
        <f>SUM(H9:H23)</f>
        <v>47353351.446446106</v>
      </c>
      <c r="I5" s="205"/>
      <c r="J5" s="213">
        <f>SUM(J9:J23)</f>
        <v>8743100.6326936912</v>
      </c>
      <c r="K5" s="112"/>
      <c r="L5" s="112"/>
    </row>
    <row r="6" spans="1:12" ht="6.75" customHeight="1" thickBot="1" x14ac:dyDescent="0.35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7.75" thickBot="1" x14ac:dyDescent="0.25">
      <c r="A7" s="205"/>
      <c r="B7" s="215" t="s">
        <v>84</v>
      </c>
      <c r="C7" s="216"/>
      <c r="D7" s="215" t="s">
        <v>279</v>
      </c>
      <c r="E7" s="216"/>
      <c r="F7" s="217" t="s">
        <v>280</v>
      </c>
      <c r="G7" s="218"/>
      <c r="H7" s="217" t="s">
        <v>281</v>
      </c>
      <c r="I7" s="218"/>
      <c r="J7" s="217" t="s">
        <v>282</v>
      </c>
      <c r="K7" s="162"/>
      <c r="L7" s="115" t="s">
        <v>283</v>
      </c>
    </row>
    <row r="8" spans="1:12" ht="6.75" customHeight="1" x14ac:dyDescent="0.2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 ht="15.75" x14ac:dyDescent="0.3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 ht="15.75" x14ac:dyDescent="0.3">
      <c r="A10" s="205"/>
      <c r="B10" s="219">
        <f>'Expenditure Breakdown'!L23</f>
        <v>2</v>
      </c>
      <c r="C10" s="208"/>
      <c r="D10" s="220" t="str">
        <f>'Expenditure Breakdown'!M23</f>
        <v>2. Inverters</v>
      </c>
      <c r="E10" s="86"/>
      <c r="F10" s="221">
        <f>'Expenditure Breakdown'!I23</f>
        <v>2760000</v>
      </c>
      <c r="G10" s="86"/>
      <c r="H10" s="221">
        <f>'Expenditure Breakdown'!X23</f>
        <v>2495176.22371</v>
      </c>
      <c r="I10" s="89"/>
      <c r="J10" s="222">
        <f t="shared" si="0"/>
        <v>264823.77628999995</v>
      </c>
      <c r="K10" s="163"/>
      <c r="L10" s="244"/>
    </row>
    <row r="11" spans="1:12" ht="15.75" x14ac:dyDescent="0.3">
      <c r="A11" s="205"/>
      <c r="B11" s="219">
        <f>'Expenditure Breakdown'!L31</f>
        <v>3</v>
      </c>
      <c r="C11" s="208"/>
      <c r="D11" s="220" t="str">
        <f>'Expenditure Breakdown'!M31</f>
        <v>3. Mounting Structures</v>
      </c>
      <c r="E11" s="223"/>
      <c r="F11" s="221">
        <f>'Expenditure Breakdown'!I31</f>
        <v>7358785.9097348731</v>
      </c>
      <c r="G11" s="86"/>
      <c r="H11" s="221">
        <f>'Expenditure Breakdown'!X31</f>
        <v>4061053.86</v>
      </c>
      <c r="I11" s="89"/>
      <c r="J11" s="222">
        <f t="shared" si="0"/>
        <v>3297732.0497348732</v>
      </c>
      <c r="K11" s="163"/>
      <c r="L11" s="244"/>
    </row>
    <row r="12" spans="1:12" ht="15.75" x14ac:dyDescent="0.3">
      <c r="A12" s="205"/>
      <c r="B12" s="219">
        <f>'Expenditure Breakdown'!L53</f>
        <v>4</v>
      </c>
      <c r="C12" s="208"/>
      <c r="D12" s="220" t="str">
        <f>'Expenditure Breakdown'!M53</f>
        <v>4. DC Equipment</v>
      </c>
      <c r="E12" s="223"/>
      <c r="F12" s="221">
        <f>'Expenditure Breakdown'!I53</f>
        <v>8057942</v>
      </c>
      <c r="G12" s="86"/>
      <c r="H12" s="221">
        <f>'Expenditure Breakdown'!X53</f>
        <v>3193174</v>
      </c>
      <c r="I12" s="89"/>
      <c r="J12" s="222">
        <f t="shared" si="0"/>
        <v>4864768</v>
      </c>
      <c r="K12" s="163"/>
      <c r="L12" s="244"/>
    </row>
    <row r="13" spans="1:12" ht="15.75" x14ac:dyDescent="0.3">
      <c r="A13" s="205"/>
      <c r="B13" s="219">
        <f>'Expenditure Breakdown'!L92</f>
        <v>5</v>
      </c>
      <c r="C13" s="208"/>
      <c r="D13" s="220" t="str">
        <f>'Expenditure Breakdown'!M92</f>
        <v>5. Monitoring</v>
      </c>
      <c r="E13" s="223"/>
      <c r="F13" s="221">
        <f>'Expenditure Breakdown'!I92</f>
        <v>64000</v>
      </c>
      <c r="G13" s="86"/>
      <c r="H13" s="221">
        <f>'Expenditure Breakdown'!X92</f>
        <v>241577.30000000002</v>
      </c>
      <c r="I13" s="89"/>
      <c r="J13" s="222">
        <f t="shared" si="0"/>
        <v>-177577.30000000002</v>
      </c>
      <c r="K13" s="163"/>
      <c r="L13" s="244"/>
    </row>
    <row r="14" spans="1:12" ht="15.75" x14ac:dyDescent="0.3">
      <c r="A14" s="205"/>
      <c r="B14" s="219">
        <f>'Expenditure Breakdown'!L115</f>
        <v>6</v>
      </c>
      <c r="C14" s="208"/>
      <c r="D14" s="220" t="str">
        <f>'Expenditure Breakdown'!M115</f>
        <v>6. AC Equipment</v>
      </c>
      <c r="E14" s="223"/>
      <c r="F14" s="221">
        <f>'Expenditure Breakdown'!I115</f>
        <v>2941866.9</v>
      </c>
      <c r="G14" s="86"/>
      <c r="H14" s="221">
        <f>'Expenditure Breakdown'!X115</f>
        <v>2009152.35</v>
      </c>
      <c r="I14" s="89"/>
      <c r="J14" s="222">
        <f t="shared" si="0"/>
        <v>932714.54999999981</v>
      </c>
      <c r="K14" s="163"/>
      <c r="L14" s="244"/>
    </row>
    <row r="15" spans="1:12" ht="15.75" x14ac:dyDescent="0.3">
      <c r="A15" s="205"/>
      <c r="B15" s="219">
        <f>'Expenditure Breakdown'!L149</f>
        <v>7</v>
      </c>
      <c r="C15" s="208"/>
      <c r="D15" s="220" t="str">
        <f>'Expenditure Breakdown'!M149</f>
        <v>7.MV Substation</v>
      </c>
      <c r="E15" s="223"/>
      <c r="F15" s="221">
        <f>'Expenditure Breakdown'!I149</f>
        <v>12030860.6085</v>
      </c>
      <c r="G15" s="86"/>
      <c r="H15" s="221">
        <f>'Expenditure Breakdown'!X149</f>
        <v>7046627.6127361013</v>
      </c>
      <c r="I15" s="89"/>
      <c r="J15" s="222">
        <f t="shared" si="0"/>
        <v>4984232.9957638988</v>
      </c>
      <c r="K15" s="163"/>
      <c r="L15" s="244"/>
    </row>
    <row r="16" spans="1:12" ht="15.75" x14ac:dyDescent="0.3">
      <c r="A16" s="205"/>
      <c r="B16" s="219">
        <f>'Expenditure Breakdown'!L188</f>
        <v>8</v>
      </c>
      <c r="C16" s="208"/>
      <c r="D16" s="220" t="str">
        <f>'Expenditure Breakdown'!M188</f>
        <v xml:space="preserve">8. Product Add On </v>
      </c>
      <c r="E16" s="223"/>
      <c r="F16" s="221">
        <f>'Expenditure Breakdown'!I188</f>
        <v>2015000</v>
      </c>
      <c r="G16" s="86"/>
      <c r="H16" s="221">
        <f>'Expenditure Breakdown'!X188</f>
        <v>2175649.81</v>
      </c>
      <c r="I16" s="89"/>
      <c r="J16" s="222">
        <f t="shared" si="0"/>
        <v>-160649.81000000006</v>
      </c>
      <c r="K16" s="163"/>
      <c r="L16" s="244"/>
    </row>
    <row r="17" spans="1:12" ht="15.75" x14ac:dyDescent="0.3">
      <c r="A17" s="205"/>
      <c r="B17" s="219">
        <f>'Expenditure Breakdown'!L210</f>
        <v>9</v>
      </c>
      <c r="C17" s="208"/>
      <c r="D17" s="220" t="str">
        <f>'Expenditure Breakdown'!M210</f>
        <v>9. AC &amp; DC installation</v>
      </c>
      <c r="E17" s="223"/>
      <c r="F17" s="221">
        <f>'Expenditure Breakdown'!I210</f>
        <v>4360411.2369999997</v>
      </c>
      <c r="G17" s="86"/>
      <c r="H17" s="221">
        <f>'Expenditure Breakdown'!X210</f>
        <v>8055680</v>
      </c>
      <c r="I17" s="89"/>
      <c r="J17" s="222">
        <f t="shared" si="0"/>
        <v>-3695268.7630000003</v>
      </c>
      <c r="K17" s="163"/>
      <c r="L17" s="244"/>
    </row>
    <row r="18" spans="1:12" ht="15.75" x14ac:dyDescent="0.3">
      <c r="A18" s="205"/>
      <c r="B18" s="219">
        <f>'Expenditure Breakdown'!L254</f>
        <v>10</v>
      </c>
      <c r="C18" s="208"/>
      <c r="D18" s="220" t="str">
        <f>'Expenditure Breakdown'!M254</f>
        <v>10. Site Logistics</v>
      </c>
      <c r="E18" s="86"/>
      <c r="F18" s="221">
        <f>'Expenditure Breakdown'!I254</f>
        <v>394304.23333333328</v>
      </c>
      <c r="G18" s="86"/>
      <c r="H18" s="221">
        <f>'Expenditure Breakdown'!X254</f>
        <v>987590.28000000014</v>
      </c>
      <c r="I18" s="89"/>
      <c r="J18" s="222">
        <f t="shared" si="0"/>
        <v>-593286.04666666687</v>
      </c>
      <c r="K18" s="163"/>
      <c r="L18" s="244"/>
    </row>
    <row r="19" spans="1:12" ht="15.75" x14ac:dyDescent="0.3">
      <c r="A19" s="205"/>
      <c r="B19" s="219">
        <f>'Expenditure Breakdown'!L315</f>
        <v>11</v>
      </c>
      <c r="C19" s="208"/>
      <c r="D19" s="220" t="str">
        <f>'Expenditure Breakdown'!M315</f>
        <v>11. Due Dilligence</v>
      </c>
      <c r="E19" s="86"/>
      <c r="F19" s="221">
        <f>'Expenditure Breakdown'!I315</f>
        <v>420000</v>
      </c>
      <c r="G19" s="86"/>
      <c r="H19" s="221">
        <f>'Expenditure Breakdown'!X315</f>
        <v>426656</v>
      </c>
      <c r="I19" s="89"/>
      <c r="J19" s="222">
        <f t="shared" si="0"/>
        <v>-6656</v>
      </c>
      <c r="K19" s="163"/>
      <c r="L19" s="244"/>
    </row>
    <row r="20" spans="1:12" ht="15.75" x14ac:dyDescent="0.3">
      <c r="A20" s="205"/>
      <c r="B20" s="219">
        <f>'Expenditure Breakdown'!L330</f>
        <v>12</v>
      </c>
      <c r="C20" s="208"/>
      <c r="D20" s="220" t="str">
        <f>'Expenditure Breakdown'!M330</f>
        <v>12. BDP Commission</v>
      </c>
      <c r="E20" s="86"/>
      <c r="F20" s="221">
        <f>'Expenditure Breakdown'!I330</f>
        <v>205449.89057158865</v>
      </c>
      <c r="G20" s="86"/>
      <c r="H20" s="221">
        <f>'Expenditure Breakdown'!X330</f>
        <v>0</v>
      </c>
      <c r="I20" s="89"/>
      <c r="J20" s="222">
        <f t="shared" si="0"/>
        <v>205449.89057158865</v>
      </c>
      <c r="K20" s="163"/>
      <c r="L20" s="244"/>
    </row>
    <row r="21" spans="1:12" ht="15.75" x14ac:dyDescent="0.3">
      <c r="A21" s="205"/>
      <c r="B21" s="219">
        <f>'Expenditure Breakdown'!L333</f>
        <v>13</v>
      </c>
      <c r="C21" s="208"/>
      <c r="D21" s="220" t="str">
        <f>'Expenditure Breakdown'!M345</f>
        <v>13. Engineering</v>
      </c>
      <c r="E21" s="86"/>
      <c r="F21" s="221">
        <f>'Expenditure Breakdown'!I333</f>
        <v>950000</v>
      </c>
      <c r="G21" s="86"/>
      <c r="H21" s="221">
        <f>'Expenditure Breakdown'!X333</f>
        <v>1011274.9999999999</v>
      </c>
      <c r="I21" s="89"/>
      <c r="J21" s="222">
        <f t="shared" si="0"/>
        <v>-61274.999999999884</v>
      </c>
      <c r="K21" s="163"/>
      <c r="L21" s="244"/>
    </row>
    <row r="22" spans="1:12" ht="15.75" x14ac:dyDescent="0.3">
      <c r="A22" s="205"/>
      <c r="B22" s="219">
        <f>'Expenditure Breakdown'!L357</f>
        <v>14</v>
      </c>
      <c r="C22" s="208"/>
      <c r="D22" s="220" t="str">
        <f>'Expenditure Breakdown'!M357</f>
        <v>14. General Expenses</v>
      </c>
      <c r="E22" s="86"/>
      <c r="F22" s="221">
        <f>'Expenditure Breakdown'!I357</f>
        <v>0</v>
      </c>
      <c r="G22" s="86"/>
      <c r="H22" s="221">
        <f>'Expenditure Breakdown'!X357</f>
        <v>301844.08</v>
      </c>
      <c r="I22" s="89"/>
      <c r="J22" s="222">
        <f t="shared" si="0"/>
        <v>-301844.08</v>
      </c>
      <c r="K22" s="163"/>
      <c r="L22" s="244"/>
    </row>
    <row r="23" spans="1:12" ht="15.75" x14ac:dyDescent="0.3">
      <c r="A23" s="205"/>
      <c r="B23" s="219">
        <f>'Expenditure Breakdown'!L370</f>
        <v>15</v>
      </c>
      <c r="C23" s="208"/>
      <c r="D23" s="220" t="str">
        <f>'Expenditure Breakdown'!M370</f>
        <v>15. Service Add On</v>
      </c>
      <c r="E23" s="86"/>
      <c r="F23" s="221">
        <f>'Expenditure Breakdown'!I370</f>
        <v>0</v>
      </c>
      <c r="G23" s="86"/>
      <c r="H23" s="221">
        <f>'Expenditure Breakdown'!X370</f>
        <v>1611918.93</v>
      </c>
      <c r="I23" s="89"/>
      <c r="J23" s="222">
        <f t="shared" si="0"/>
        <v>-1611918.93</v>
      </c>
      <c r="K23" s="163"/>
      <c r="L23" s="244"/>
    </row>
    <row r="24" spans="1:12" ht="6.75" customHeight="1" x14ac:dyDescent="0.3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 x14ac:dyDescent="0.3">
      <c r="A25" s="205"/>
      <c r="B25" s="87"/>
      <c r="C25" s="87"/>
      <c r="D25" s="224" t="s">
        <v>284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 x14ac:dyDescent="0.2">
      <c r="B26" s="109"/>
      <c r="C26" s="109"/>
    </row>
    <row r="27" spans="1:12" x14ac:dyDescent="0.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 x14ac:dyDescent="0.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 x14ac:dyDescent="0.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 x14ac:dyDescent="0.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 x14ac:dyDescent="0.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 x14ac:dyDescent="0.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 x14ac:dyDescent="0.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 x14ac:dyDescent="0.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 x14ac:dyDescent="0.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 x14ac:dyDescent="0.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 x14ac:dyDescent="0.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 x14ac:dyDescent="0.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 x14ac:dyDescent="0.2">
      <c r="B39" s="113"/>
      <c r="C39" s="113"/>
    </row>
    <row r="40" spans="1:12" s="112" customFormat="1" x14ac:dyDescent="0.2">
      <c r="B40" s="113"/>
      <c r="C40" s="113"/>
    </row>
    <row r="41" spans="1:12" s="112" customFormat="1" x14ac:dyDescent="0.2">
      <c r="B41" s="113"/>
      <c r="C41" s="113"/>
    </row>
    <row r="42" spans="1:12" s="112" customFormat="1" x14ac:dyDescent="0.2">
      <c r="B42" s="113"/>
      <c r="C42" s="113"/>
    </row>
    <row r="43" spans="1:12" s="112" customFormat="1" x14ac:dyDescent="0.2">
      <c r="B43" s="113"/>
      <c r="C43" s="113"/>
    </row>
    <row r="44" spans="1:12" s="112" customFormat="1" x14ac:dyDescent="0.2">
      <c r="B44" s="113"/>
      <c r="C44" s="113"/>
    </row>
    <row r="45" spans="1:12" s="112" customFormat="1" x14ac:dyDescent="0.2">
      <c r="B45" s="113"/>
      <c r="C45" s="113"/>
    </row>
    <row r="46" spans="1:12" s="112" customFormat="1" x14ac:dyDescent="0.2">
      <c r="B46" s="113"/>
      <c r="C46" s="113"/>
    </row>
    <row r="47" spans="1:12" s="112" customFormat="1" x14ac:dyDescent="0.2">
      <c r="B47" s="113"/>
      <c r="C47" s="113"/>
    </row>
    <row r="48" spans="1:12" s="112" customFormat="1" x14ac:dyDescent="0.2">
      <c r="B48" s="113"/>
      <c r="C48" s="113"/>
    </row>
    <row r="49" spans="2:3" s="112" customFormat="1" x14ac:dyDescent="0.2">
      <c r="B49" s="113"/>
      <c r="C49" s="113"/>
    </row>
    <row r="50" spans="2:3" s="112" customFormat="1" x14ac:dyDescent="0.2">
      <c r="B50" s="113"/>
      <c r="C50" s="113"/>
    </row>
    <row r="51" spans="2:3" s="112" customFormat="1" x14ac:dyDescent="0.2">
      <c r="B51" s="113"/>
      <c r="C51" s="113"/>
    </row>
    <row r="52" spans="2:3" s="112" customFormat="1" x14ac:dyDescent="0.2">
      <c r="B52" s="113"/>
      <c r="C52" s="113"/>
    </row>
    <row r="53" spans="2:3" s="112" customFormat="1" x14ac:dyDescent="0.2">
      <c r="B53" s="113"/>
      <c r="C53" s="113"/>
    </row>
    <row r="54" spans="2:3" s="112" customFormat="1" x14ac:dyDescent="0.2">
      <c r="B54" s="113"/>
      <c r="C54" s="113"/>
    </row>
    <row r="55" spans="2:3" s="112" customFormat="1" x14ac:dyDescent="0.2">
      <c r="B55" s="113"/>
      <c r="C55" s="113"/>
    </row>
    <row r="56" spans="2:3" s="112" customFormat="1" x14ac:dyDescent="0.2">
      <c r="B56" s="113"/>
      <c r="C56" s="113"/>
    </row>
    <row r="57" spans="2:3" s="112" customFormat="1" x14ac:dyDescent="0.2">
      <c r="B57" s="113"/>
      <c r="C57" s="113"/>
    </row>
    <row r="58" spans="2:3" s="112" customFormat="1" x14ac:dyDescent="0.2">
      <c r="B58" s="113"/>
      <c r="C58" s="113"/>
    </row>
    <row r="59" spans="2:3" s="112" customFormat="1" x14ac:dyDescent="0.2">
      <c r="B59" s="113"/>
      <c r="C59" s="113"/>
    </row>
    <row r="60" spans="2:3" s="112" customFormat="1" x14ac:dyDescent="0.2">
      <c r="B60" s="113"/>
      <c r="C60" s="113"/>
    </row>
    <row r="61" spans="2:3" s="112" customFormat="1" x14ac:dyDescent="0.2">
      <c r="B61" s="113"/>
      <c r="C61" s="113"/>
    </row>
    <row r="62" spans="2:3" s="112" customFormat="1" x14ac:dyDescent="0.2">
      <c r="B62" s="113"/>
      <c r="C62" s="113"/>
    </row>
    <row r="63" spans="2:3" s="112" customFormat="1" x14ac:dyDescent="0.2">
      <c r="B63" s="113"/>
      <c r="C63" s="113"/>
    </row>
    <row r="64" spans="2:3" s="112" customFormat="1" x14ac:dyDescent="0.2">
      <c r="B64" s="113"/>
      <c r="C64" s="113"/>
    </row>
    <row r="65" spans="2:3" s="112" customFormat="1" x14ac:dyDescent="0.2">
      <c r="B65" s="113"/>
      <c r="C65" s="113"/>
    </row>
    <row r="66" spans="2:3" s="112" customFormat="1" x14ac:dyDescent="0.2">
      <c r="B66" s="113"/>
      <c r="C66" s="113"/>
    </row>
    <row r="67" spans="2:3" s="112" customFormat="1" x14ac:dyDescent="0.2">
      <c r="B67" s="113"/>
      <c r="C67" s="113"/>
    </row>
    <row r="68" spans="2:3" s="112" customFormat="1" x14ac:dyDescent="0.2">
      <c r="B68" s="113"/>
      <c r="C68" s="113"/>
    </row>
    <row r="69" spans="2:3" s="112" customFormat="1" x14ac:dyDescent="0.2">
      <c r="B69" s="113"/>
      <c r="C69" s="113"/>
    </row>
    <row r="70" spans="2:3" s="112" customFormat="1" x14ac:dyDescent="0.2">
      <c r="B70" s="113"/>
      <c r="C70" s="113"/>
    </row>
    <row r="71" spans="2:3" s="112" customFormat="1" x14ac:dyDescent="0.2">
      <c r="B71" s="113"/>
      <c r="C71" s="113"/>
    </row>
    <row r="72" spans="2:3" s="112" customFormat="1" x14ac:dyDescent="0.2">
      <c r="B72" s="113"/>
      <c r="C72" s="113"/>
    </row>
    <row r="73" spans="2:3" s="112" customFormat="1" x14ac:dyDescent="0.2">
      <c r="B73" s="113"/>
      <c r="C73" s="113"/>
    </row>
    <row r="74" spans="2:3" s="112" customFormat="1" x14ac:dyDescent="0.2">
      <c r="B74" s="113"/>
      <c r="C74" s="113"/>
    </row>
    <row r="75" spans="2:3" s="112" customFormat="1" x14ac:dyDescent="0.2">
      <c r="B75" s="113"/>
      <c r="C75" s="113"/>
    </row>
    <row r="76" spans="2:3" s="112" customFormat="1" x14ac:dyDescent="0.2">
      <c r="B76" s="113"/>
      <c r="C76" s="113"/>
    </row>
    <row r="77" spans="2:3" s="112" customFormat="1" x14ac:dyDescent="0.2">
      <c r="B77" s="113"/>
      <c r="C77" s="113"/>
    </row>
    <row r="78" spans="2:3" s="112" customFormat="1" x14ac:dyDescent="0.2">
      <c r="B78" s="113"/>
      <c r="C78" s="113"/>
    </row>
    <row r="79" spans="2:3" s="112" customFormat="1" x14ac:dyDescent="0.2">
      <c r="B79" s="113"/>
      <c r="C79" s="113"/>
    </row>
    <row r="80" spans="2:3" s="112" customFormat="1" x14ac:dyDescent="0.2">
      <c r="B80" s="113"/>
      <c r="C80" s="113"/>
    </row>
    <row r="81" spans="2:3" s="112" customFormat="1" x14ac:dyDescent="0.2">
      <c r="B81" s="113"/>
      <c r="C81" s="113"/>
    </row>
    <row r="82" spans="2:3" s="112" customFormat="1" x14ac:dyDescent="0.2">
      <c r="B82" s="113"/>
      <c r="C82" s="113"/>
    </row>
    <row r="83" spans="2:3" s="112" customFormat="1" x14ac:dyDescent="0.2">
      <c r="B83" s="113"/>
      <c r="C83" s="113"/>
    </row>
    <row r="84" spans="2:3" s="112" customFormat="1" x14ac:dyDescent="0.2">
      <c r="B84" s="113"/>
      <c r="C84" s="113"/>
    </row>
    <row r="85" spans="2:3" s="112" customFormat="1" x14ac:dyDescent="0.2">
      <c r="B85" s="113"/>
      <c r="C85" s="113"/>
    </row>
    <row r="86" spans="2:3" s="112" customFormat="1" x14ac:dyDescent="0.2">
      <c r="B86" s="113"/>
      <c r="C86" s="113"/>
    </row>
    <row r="87" spans="2:3" s="112" customFormat="1" x14ac:dyDescent="0.2">
      <c r="B87" s="113"/>
      <c r="C87" s="113"/>
    </row>
    <row r="88" spans="2:3" s="112" customFormat="1" x14ac:dyDescent="0.2">
      <c r="B88" s="113"/>
      <c r="C88" s="113"/>
    </row>
    <row r="89" spans="2:3" s="112" customFormat="1" x14ac:dyDescent="0.2">
      <c r="B89" s="113"/>
      <c r="C89" s="113"/>
    </row>
    <row r="90" spans="2:3" s="112" customFormat="1" x14ac:dyDescent="0.2">
      <c r="B90" s="113"/>
      <c r="C90" s="113"/>
    </row>
    <row r="91" spans="2:3" s="112" customFormat="1" x14ac:dyDescent="0.2">
      <c r="B91" s="113"/>
      <c r="C91" s="113"/>
    </row>
    <row r="92" spans="2:3" s="112" customFormat="1" x14ac:dyDescent="0.2">
      <c r="B92" s="113"/>
      <c r="C92" s="113"/>
    </row>
    <row r="93" spans="2:3" s="112" customFormat="1" x14ac:dyDescent="0.2">
      <c r="B93" s="113"/>
      <c r="C93" s="113"/>
    </row>
    <row r="94" spans="2:3" s="112" customFormat="1" x14ac:dyDescent="0.2">
      <c r="B94" s="113"/>
      <c r="C94" s="113"/>
    </row>
    <row r="95" spans="2:3" s="112" customFormat="1" x14ac:dyDescent="0.2">
      <c r="B95" s="113"/>
      <c r="C95" s="113"/>
    </row>
    <row r="96" spans="2:3" s="112" customFormat="1" x14ac:dyDescent="0.2">
      <c r="B96" s="113"/>
      <c r="C96" s="113"/>
    </row>
    <row r="97" spans="2:3" s="112" customFormat="1" x14ac:dyDescent="0.2">
      <c r="B97" s="113"/>
      <c r="C97" s="113"/>
    </row>
    <row r="98" spans="2:3" s="112" customFormat="1" x14ac:dyDescent="0.2">
      <c r="B98" s="113"/>
      <c r="C98" s="113"/>
    </row>
    <row r="99" spans="2:3" s="112" customFormat="1" x14ac:dyDescent="0.2">
      <c r="B99" s="113"/>
      <c r="C99" s="113"/>
    </row>
    <row r="100" spans="2:3" s="112" customFormat="1" x14ac:dyDescent="0.2">
      <c r="B100" s="113"/>
      <c r="C100" s="113"/>
    </row>
    <row r="101" spans="2:3" s="112" customFormat="1" x14ac:dyDescent="0.2">
      <c r="B101" s="113"/>
      <c r="C101" s="113"/>
    </row>
    <row r="102" spans="2:3" s="112" customFormat="1" x14ac:dyDescent="0.2">
      <c r="B102" s="113"/>
      <c r="C102" s="113"/>
    </row>
    <row r="103" spans="2:3" s="112" customFormat="1" x14ac:dyDescent="0.2">
      <c r="B103" s="113"/>
      <c r="C103" s="113"/>
    </row>
    <row r="104" spans="2:3" s="112" customFormat="1" x14ac:dyDescent="0.2">
      <c r="B104" s="113"/>
      <c r="C104" s="113"/>
    </row>
    <row r="105" spans="2:3" s="112" customFormat="1" x14ac:dyDescent="0.2">
      <c r="B105" s="113"/>
      <c r="C105" s="113"/>
    </row>
    <row r="106" spans="2:3" s="112" customFormat="1" x14ac:dyDescent="0.2">
      <c r="B106" s="113"/>
      <c r="C106" s="113"/>
    </row>
    <row r="107" spans="2:3" s="112" customFormat="1" x14ac:dyDescent="0.2">
      <c r="B107" s="113"/>
      <c r="C107" s="113"/>
    </row>
    <row r="108" spans="2:3" s="112" customFormat="1" x14ac:dyDescent="0.2">
      <c r="B108" s="113"/>
      <c r="C108" s="113"/>
    </row>
    <row r="109" spans="2:3" s="112" customFormat="1" x14ac:dyDescent="0.2">
      <c r="B109" s="113"/>
      <c r="C109" s="113"/>
    </row>
    <row r="110" spans="2:3" s="112" customFormat="1" x14ac:dyDescent="0.2">
      <c r="B110" s="113"/>
      <c r="C110" s="113"/>
    </row>
    <row r="111" spans="2:3" s="112" customFormat="1" x14ac:dyDescent="0.2">
      <c r="B111" s="113"/>
      <c r="C111" s="113"/>
    </row>
    <row r="112" spans="2:3" s="112" customFormat="1" x14ac:dyDescent="0.2">
      <c r="B112" s="113"/>
      <c r="C112" s="113"/>
    </row>
    <row r="113" spans="2:3" s="112" customFormat="1" x14ac:dyDescent="0.2">
      <c r="B113" s="113"/>
      <c r="C113" s="113"/>
    </row>
    <row r="114" spans="2:3" s="112" customFormat="1" x14ac:dyDescent="0.2">
      <c r="B114" s="113"/>
      <c r="C114" s="113"/>
    </row>
    <row r="115" spans="2:3" s="112" customFormat="1" x14ac:dyDescent="0.2">
      <c r="B115" s="113"/>
      <c r="C115" s="113"/>
    </row>
    <row r="116" spans="2:3" s="112" customFormat="1" x14ac:dyDescent="0.2">
      <c r="B116" s="113"/>
      <c r="C116" s="113"/>
    </row>
    <row r="117" spans="2:3" s="112" customFormat="1" x14ac:dyDescent="0.2">
      <c r="B117" s="113"/>
      <c r="C117" s="113"/>
    </row>
    <row r="118" spans="2:3" s="112" customFormat="1" x14ac:dyDescent="0.2">
      <c r="B118" s="113"/>
      <c r="C118" s="113"/>
    </row>
    <row r="119" spans="2:3" s="112" customFormat="1" x14ac:dyDescent="0.2">
      <c r="B119" s="113"/>
      <c r="C119" s="113"/>
    </row>
    <row r="120" spans="2:3" s="112" customFormat="1" x14ac:dyDescent="0.2">
      <c r="B120" s="113"/>
      <c r="C120" s="113"/>
    </row>
    <row r="121" spans="2:3" s="112" customFormat="1" x14ac:dyDescent="0.2">
      <c r="B121" s="113"/>
      <c r="C121" s="113"/>
    </row>
    <row r="122" spans="2:3" s="112" customFormat="1" x14ac:dyDescent="0.2">
      <c r="B122" s="113"/>
      <c r="C122" s="113"/>
    </row>
    <row r="123" spans="2:3" s="112" customFormat="1" x14ac:dyDescent="0.2">
      <c r="B123" s="113"/>
      <c r="C123" s="113"/>
    </row>
    <row r="124" spans="2:3" s="112" customFormat="1" x14ac:dyDescent="0.2">
      <c r="B124" s="113"/>
      <c r="C124" s="113"/>
    </row>
    <row r="125" spans="2:3" s="112" customFormat="1" x14ac:dyDescent="0.2">
      <c r="B125" s="113"/>
      <c r="C125" s="113"/>
    </row>
    <row r="126" spans="2:3" s="112" customFormat="1" x14ac:dyDescent="0.2">
      <c r="B126" s="113"/>
      <c r="C126" s="113"/>
    </row>
    <row r="127" spans="2:3" s="112" customFormat="1" x14ac:dyDescent="0.2">
      <c r="B127" s="113"/>
      <c r="C127" s="113"/>
    </row>
    <row r="128" spans="2:3" s="112" customFormat="1" x14ac:dyDescent="0.2">
      <c r="B128" s="113"/>
      <c r="C128" s="113"/>
    </row>
    <row r="129" spans="2:3" s="112" customFormat="1" x14ac:dyDescent="0.2">
      <c r="B129" s="113"/>
      <c r="C129" s="113"/>
    </row>
    <row r="130" spans="2:3" s="112" customFormat="1" x14ac:dyDescent="0.2">
      <c r="B130" s="113"/>
      <c r="C130" s="113"/>
    </row>
    <row r="131" spans="2:3" s="112" customFormat="1" x14ac:dyDescent="0.2">
      <c r="B131" s="113"/>
      <c r="C131" s="113"/>
    </row>
    <row r="132" spans="2:3" s="112" customFormat="1" x14ac:dyDescent="0.2">
      <c r="B132" s="113"/>
      <c r="C132" s="113"/>
    </row>
    <row r="133" spans="2:3" s="112" customFormat="1" x14ac:dyDescent="0.2">
      <c r="B133" s="113"/>
      <c r="C133" s="113"/>
    </row>
    <row r="134" spans="2:3" s="112" customFormat="1" x14ac:dyDescent="0.2">
      <c r="B134" s="113"/>
      <c r="C134" s="113"/>
    </row>
    <row r="135" spans="2:3" s="112" customFormat="1" x14ac:dyDescent="0.2">
      <c r="B135" s="113"/>
      <c r="C135" s="113"/>
    </row>
    <row r="136" spans="2:3" s="112" customFormat="1" x14ac:dyDescent="0.2">
      <c r="B136" s="113"/>
      <c r="C136" s="113"/>
    </row>
    <row r="137" spans="2:3" s="112" customFormat="1" x14ac:dyDescent="0.2">
      <c r="B137" s="113"/>
      <c r="C137" s="113"/>
    </row>
    <row r="138" spans="2:3" s="112" customFormat="1" x14ac:dyDescent="0.2">
      <c r="B138" s="113"/>
      <c r="C138" s="113"/>
    </row>
    <row r="139" spans="2:3" s="112" customFormat="1" x14ac:dyDescent="0.2">
      <c r="B139" s="113"/>
      <c r="C139" s="113"/>
    </row>
    <row r="140" spans="2:3" s="112" customFormat="1" x14ac:dyDescent="0.2">
      <c r="B140" s="113"/>
      <c r="C140" s="113"/>
    </row>
    <row r="141" spans="2:3" s="112" customFormat="1" x14ac:dyDescent="0.2">
      <c r="B141" s="113"/>
      <c r="C141" s="113"/>
    </row>
    <row r="142" spans="2:3" s="112" customFormat="1" x14ac:dyDescent="0.2">
      <c r="B142" s="113"/>
      <c r="C142" s="113"/>
    </row>
    <row r="143" spans="2:3" s="112" customFormat="1" x14ac:dyDescent="0.2">
      <c r="B143" s="113"/>
      <c r="C143" s="113"/>
    </row>
    <row r="144" spans="2:3" s="112" customFormat="1" x14ac:dyDescent="0.2">
      <c r="B144" s="113"/>
      <c r="C144" s="113"/>
    </row>
    <row r="145" spans="2:3" s="112" customFormat="1" x14ac:dyDescent="0.2">
      <c r="B145" s="113"/>
      <c r="C145" s="113"/>
    </row>
    <row r="146" spans="2:3" s="112" customFormat="1" x14ac:dyDescent="0.2">
      <c r="B146" s="113"/>
      <c r="C146" s="113"/>
    </row>
    <row r="147" spans="2:3" s="112" customFormat="1" x14ac:dyDescent="0.2">
      <c r="B147" s="113"/>
      <c r="C147" s="113"/>
    </row>
    <row r="148" spans="2:3" s="112" customFormat="1" x14ac:dyDescent="0.2">
      <c r="B148" s="113"/>
      <c r="C148" s="113"/>
    </row>
    <row r="149" spans="2:3" s="112" customFormat="1" x14ac:dyDescent="0.2">
      <c r="B149" s="113"/>
      <c r="C149" s="113"/>
    </row>
    <row r="150" spans="2:3" s="112" customFormat="1" x14ac:dyDescent="0.2">
      <c r="B150" s="113"/>
      <c r="C150" s="113"/>
    </row>
    <row r="151" spans="2:3" s="112" customFormat="1" x14ac:dyDescent="0.2">
      <c r="B151" s="113"/>
      <c r="C151" s="113"/>
    </row>
    <row r="152" spans="2:3" s="112" customFormat="1" x14ac:dyDescent="0.2">
      <c r="B152" s="113"/>
      <c r="C152" s="113"/>
    </row>
    <row r="153" spans="2:3" s="112" customFormat="1" x14ac:dyDescent="0.2">
      <c r="B153" s="113"/>
      <c r="C153" s="113"/>
    </row>
    <row r="154" spans="2:3" s="112" customFormat="1" x14ac:dyDescent="0.2">
      <c r="B154" s="113"/>
      <c r="C154" s="113"/>
    </row>
    <row r="155" spans="2:3" s="112" customFormat="1" x14ac:dyDescent="0.2">
      <c r="B155" s="113"/>
      <c r="C155" s="113"/>
    </row>
    <row r="156" spans="2:3" s="112" customFormat="1" x14ac:dyDescent="0.2">
      <c r="B156" s="113"/>
      <c r="C156" s="113"/>
    </row>
    <row r="157" spans="2:3" s="112" customFormat="1" x14ac:dyDescent="0.2">
      <c r="B157" s="113"/>
      <c r="C157" s="113"/>
    </row>
    <row r="158" spans="2:3" s="112" customFormat="1" x14ac:dyDescent="0.2">
      <c r="B158" s="113"/>
      <c r="C158" s="113"/>
    </row>
    <row r="159" spans="2:3" s="112" customFormat="1" x14ac:dyDescent="0.2">
      <c r="B159" s="113"/>
      <c r="C159" s="113"/>
    </row>
    <row r="160" spans="2:3" s="112" customFormat="1" x14ac:dyDescent="0.2">
      <c r="B160" s="113"/>
      <c r="C160" s="113"/>
    </row>
    <row r="161" spans="2:3" s="112" customFormat="1" x14ac:dyDescent="0.2">
      <c r="B161" s="113"/>
      <c r="C161" s="113"/>
    </row>
    <row r="162" spans="2:3" s="112" customFormat="1" x14ac:dyDescent="0.2">
      <c r="B162" s="113"/>
      <c r="C162" s="113"/>
    </row>
    <row r="163" spans="2:3" s="112" customFormat="1" x14ac:dyDescent="0.2">
      <c r="B163" s="113"/>
      <c r="C163" s="113"/>
    </row>
    <row r="164" spans="2:3" s="112" customFormat="1" x14ac:dyDescent="0.2">
      <c r="B164" s="113"/>
      <c r="C164" s="113"/>
    </row>
    <row r="165" spans="2:3" s="112" customFormat="1" x14ac:dyDescent="0.2">
      <c r="B165" s="113"/>
      <c r="C165" s="113"/>
    </row>
    <row r="166" spans="2:3" s="112" customFormat="1" x14ac:dyDescent="0.2">
      <c r="B166" s="113"/>
      <c r="C166" s="113"/>
    </row>
    <row r="167" spans="2:3" s="112" customFormat="1" x14ac:dyDescent="0.2">
      <c r="B167" s="113"/>
      <c r="C167" s="113"/>
    </row>
    <row r="168" spans="2:3" s="112" customFormat="1" x14ac:dyDescent="0.2">
      <c r="B168" s="113"/>
      <c r="C168" s="113"/>
    </row>
    <row r="169" spans="2:3" s="112" customFormat="1" x14ac:dyDescent="0.2">
      <c r="B169" s="113"/>
      <c r="C169" s="113"/>
    </row>
    <row r="170" spans="2:3" s="112" customFormat="1" x14ac:dyDescent="0.2">
      <c r="B170" s="113"/>
      <c r="C170" s="113"/>
    </row>
    <row r="171" spans="2:3" s="112" customFormat="1" x14ac:dyDescent="0.2">
      <c r="B171" s="113"/>
      <c r="C171" s="113"/>
    </row>
    <row r="172" spans="2:3" s="112" customFormat="1" x14ac:dyDescent="0.2">
      <c r="B172" s="113"/>
      <c r="C172" s="113"/>
    </row>
    <row r="173" spans="2:3" s="112" customFormat="1" x14ac:dyDescent="0.2">
      <c r="B173" s="113"/>
      <c r="C173" s="113"/>
    </row>
    <row r="174" spans="2:3" s="112" customFormat="1" x14ac:dyDescent="0.2">
      <c r="B174" s="113"/>
      <c r="C174" s="113"/>
    </row>
    <row r="175" spans="2:3" s="112" customFormat="1" x14ac:dyDescent="0.2">
      <c r="B175" s="113"/>
      <c r="C175" s="113"/>
    </row>
    <row r="176" spans="2:3" s="112" customFormat="1" x14ac:dyDescent="0.2">
      <c r="B176" s="113"/>
      <c r="C176" s="113"/>
    </row>
    <row r="177" spans="2:3" s="112" customFormat="1" x14ac:dyDescent="0.2">
      <c r="B177" s="113"/>
      <c r="C177" s="113"/>
    </row>
    <row r="178" spans="2:3" s="112" customFormat="1" x14ac:dyDescent="0.2">
      <c r="B178" s="113"/>
      <c r="C178" s="113"/>
    </row>
    <row r="179" spans="2:3" s="112" customFormat="1" x14ac:dyDescent="0.2">
      <c r="B179" s="113"/>
      <c r="C179" s="113"/>
    </row>
    <row r="180" spans="2:3" s="112" customFormat="1" x14ac:dyDescent="0.2">
      <c r="B180" s="113"/>
      <c r="C180" s="113"/>
    </row>
    <row r="181" spans="2:3" s="112" customFormat="1" x14ac:dyDescent="0.2">
      <c r="B181" s="113"/>
      <c r="C181" s="113"/>
    </row>
    <row r="182" spans="2:3" s="112" customFormat="1" x14ac:dyDescent="0.2">
      <c r="B182" s="113"/>
      <c r="C182" s="113"/>
    </row>
    <row r="183" spans="2:3" s="112" customFormat="1" x14ac:dyDescent="0.2">
      <c r="B183" s="113"/>
      <c r="C183" s="113"/>
    </row>
    <row r="184" spans="2:3" s="112" customFormat="1" x14ac:dyDescent="0.2">
      <c r="B184" s="113"/>
      <c r="C184" s="113"/>
    </row>
    <row r="185" spans="2:3" s="112" customFormat="1" x14ac:dyDescent="0.2">
      <c r="B185" s="113"/>
      <c r="C185" s="113"/>
    </row>
    <row r="186" spans="2:3" s="112" customFormat="1" x14ac:dyDescent="0.2">
      <c r="B186" s="113"/>
      <c r="C186" s="113"/>
    </row>
    <row r="187" spans="2:3" s="112" customFormat="1" x14ac:dyDescent="0.2">
      <c r="B187" s="113"/>
      <c r="C187" s="113"/>
    </row>
    <row r="188" spans="2:3" s="112" customFormat="1" x14ac:dyDescent="0.2">
      <c r="B188" s="113"/>
      <c r="C188" s="113"/>
    </row>
    <row r="189" spans="2:3" s="112" customFormat="1" x14ac:dyDescent="0.2">
      <c r="B189" s="113"/>
      <c r="C189" s="113"/>
    </row>
    <row r="190" spans="2:3" s="112" customFormat="1" x14ac:dyDescent="0.2">
      <c r="B190" s="113"/>
      <c r="C190" s="113"/>
    </row>
    <row r="191" spans="2:3" s="112" customFormat="1" x14ac:dyDescent="0.2">
      <c r="B191" s="113"/>
      <c r="C191" s="113"/>
    </row>
    <row r="192" spans="2:3" s="112" customFormat="1" x14ac:dyDescent="0.2">
      <c r="B192" s="113"/>
      <c r="C192" s="113"/>
    </row>
    <row r="193" spans="2:3" s="112" customFormat="1" x14ac:dyDescent="0.2">
      <c r="B193" s="113"/>
      <c r="C193" s="113"/>
    </row>
    <row r="194" spans="2:3" s="112" customFormat="1" x14ac:dyDescent="0.2">
      <c r="B194" s="113"/>
      <c r="C194" s="113"/>
    </row>
    <row r="195" spans="2:3" s="112" customFormat="1" x14ac:dyDescent="0.2">
      <c r="B195" s="113"/>
      <c r="C195" s="113"/>
    </row>
    <row r="196" spans="2:3" s="112" customFormat="1" x14ac:dyDescent="0.2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67"/>
  <sheetViews>
    <sheetView topLeftCell="K1" zoomScale="85" zoomScaleNormal="85" workbookViewId="0">
      <pane ySplit="4" topLeftCell="A34" activePane="bottomLeft" state="frozen"/>
      <selection activeCell="K24" sqref="K24"/>
      <selection pane="bottomLeft" activeCell="R54" sqref="R54:R55"/>
    </sheetView>
  </sheetViews>
  <sheetFormatPr defaultColWidth="9.42578125" defaultRowHeight="14.25" x14ac:dyDescent="0.2"/>
  <cols>
    <col min="1" max="1" width="2.42578125" style="112" hidden="1" customWidth="1"/>
    <col min="2" max="2" width="5.85546875" style="24" hidden="1" customWidth="1"/>
    <col min="3" max="3" width="35.5703125" style="24" hidden="1" customWidth="1"/>
    <col min="4" max="4" width="54.140625" style="24" hidden="1" customWidth="1"/>
    <col min="5" max="5" width="7.5703125" style="70" hidden="1" customWidth="1"/>
    <col min="6" max="6" width="14.85546875" style="461" hidden="1" customWidth="1"/>
    <col min="7" max="7" width="16.5703125" style="24" hidden="1" customWidth="1"/>
    <col min="8" max="8" width="16.85546875" style="112" hidden="1" customWidth="1"/>
    <col min="9" max="9" width="20.140625" style="339" hidden="1" customWidth="1"/>
    <col min="10" max="10" width="20.140625" style="339" bestFit="1" customWidth="1"/>
    <col min="11" max="11" width="5.5703125" style="112" customWidth="1"/>
    <col min="12" max="12" width="5.85546875" style="112" bestFit="1" customWidth="1"/>
    <col min="13" max="13" width="23.85546875" style="112" bestFit="1" customWidth="1"/>
    <col min="14" max="14" width="60.85546875" style="112" customWidth="1"/>
    <col min="15" max="15" width="20.85546875" style="112" bestFit="1" customWidth="1"/>
    <col min="16" max="16" width="16.5703125" style="112" bestFit="1" customWidth="1"/>
    <col min="17" max="17" width="16.85546875" style="112" bestFit="1" customWidth="1"/>
    <col min="18" max="18" width="43.85546875" style="112" bestFit="1" customWidth="1"/>
    <col min="19" max="19" width="31.85546875" style="112" customWidth="1"/>
    <col min="20" max="20" width="14.140625" style="112" bestFit="1" customWidth="1"/>
    <col min="21" max="21" width="22.42578125" style="112" customWidth="1"/>
    <col min="22" max="22" width="18.140625" style="112" customWidth="1"/>
    <col min="23" max="23" width="16.85546875" style="112" bestFit="1" customWidth="1"/>
    <col min="24" max="24" width="19.5703125" style="112" bestFit="1" customWidth="1"/>
    <col min="25" max="25" width="27.42578125" style="112" bestFit="1" customWidth="1"/>
    <col min="26" max="26" width="22.85546875" style="112" bestFit="1" customWidth="1"/>
    <col min="27" max="27" width="7.85546875" style="112" bestFit="1" customWidth="1"/>
    <col min="28" max="28" width="88.140625" style="112" bestFit="1" customWidth="1"/>
    <col min="29" max="75" width="17.42578125" style="112" customWidth="1"/>
    <col min="76" max="16384" width="9.42578125" style="24"/>
  </cols>
  <sheetData>
    <row r="1" spans="1:75" s="112" customFormat="1" ht="4.5" customHeight="1" thickBot="1" x14ac:dyDescent="0.25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 x14ac:dyDescent="0.35">
      <c r="B2" s="881" t="s">
        <v>285</v>
      </c>
      <c r="C2" s="882"/>
      <c r="D2" s="882"/>
      <c r="E2" s="882"/>
      <c r="F2" s="882"/>
      <c r="G2" s="882"/>
      <c r="H2" s="752"/>
      <c r="I2" s="247">
        <f>SUM(I6:I408)</f>
        <v>56096452.079139791</v>
      </c>
      <c r="J2" s="247">
        <f>SUM(J6:J408)-5000</f>
        <v>59994999.999999985</v>
      </c>
      <c r="L2" s="883" t="s">
        <v>286</v>
      </c>
      <c r="M2" s="884"/>
      <c r="N2" s="884"/>
      <c r="O2" s="884"/>
      <c r="P2" s="884"/>
      <c r="Q2" s="884"/>
      <c r="R2" s="885" t="s">
        <v>287</v>
      </c>
      <c r="S2" s="886"/>
      <c r="T2" s="886"/>
      <c r="U2" s="886"/>
      <c r="V2" s="886"/>
      <c r="W2" s="887"/>
      <c r="X2" s="468">
        <f>SUM(X6:X408)</f>
        <v>47353351.446446106</v>
      </c>
    </row>
    <row r="3" spans="1:75" s="112" customFormat="1" ht="13.5" customHeight="1" thickBot="1" x14ac:dyDescent="0.25">
      <c r="E3" s="155"/>
      <c r="F3" s="451"/>
      <c r="I3" s="245"/>
      <c r="J3" s="358"/>
      <c r="O3" s="155"/>
      <c r="P3" s="451"/>
      <c r="Q3" s="246"/>
      <c r="X3" s="469"/>
    </row>
    <row r="4" spans="1:75" s="70" customFormat="1" ht="48" thickBot="1" x14ac:dyDescent="0.25">
      <c r="A4" s="155"/>
      <c r="B4" s="248" t="s">
        <v>288</v>
      </c>
      <c r="C4" s="249" t="s">
        <v>289</v>
      </c>
      <c r="D4" s="249" t="s">
        <v>290</v>
      </c>
      <c r="E4" s="249" t="s">
        <v>291</v>
      </c>
      <c r="F4" s="452" t="s">
        <v>292</v>
      </c>
      <c r="G4" s="250" t="s">
        <v>293</v>
      </c>
      <c r="H4" s="360" t="s">
        <v>294</v>
      </c>
      <c r="I4" s="251" t="s">
        <v>295</v>
      </c>
      <c r="J4" s="251" t="str">
        <f>IF(J2-'Revenue Tracking'!D4&gt;=0, "Total Revenue", "ERROR on REV" )</f>
        <v>ERROR on REV</v>
      </c>
      <c r="K4" s="155"/>
      <c r="L4" s="248" t="s">
        <v>288</v>
      </c>
      <c r="M4" s="249" t="s">
        <v>296</v>
      </c>
      <c r="N4" s="249" t="s">
        <v>290</v>
      </c>
      <c r="O4" s="249" t="s">
        <v>291</v>
      </c>
      <c r="P4" s="452" t="s">
        <v>292</v>
      </c>
      <c r="Q4" s="362" t="s">
        <v>297</v>
      </c>
      <c r="R4" s="605" t="s">
        <v>298</v>
      </c>
      <c r="S4" s="606" t="s">
        <v>89</v>
      </c>
      <c r="T4" s="360" t="s">
        <v>90</v>
      </c>
      <c r="U4" s="361" t="s">
        <v>299</v>
      </c>
      <c r="V4" s="362" t="s">
        <v>300</v>
      </c>
      <c r="W4" s="360" t="s">
        <v>294</v>
      </c>
      <c r="X4" s="470" t="s">
        <v>295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 x14ac:dyDescent="0.25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 x14ac:dyDescent="0.2">
      <c r="B6" s="270">
        <v>1</v>
      </c>
      <c r="C6" s="340" t="s">
        <v>301</v>
      </c>
      <c r="D6" s="271" t="s">
        <v>302</v>
      </c>
      <c r="E6" s="272"/>
      <c r="F6" s="424"/>
      <c r="G6" s="380">
        <f>D409</f>
        <v>14537831.300000001</v>
      </c>
      <c r="H6" s="523">
        <v>45827</v>
      </c>
      <c r="I6" s="875">
        <f>SUM(G6:G19)</f>
        <v>14537831.300000001</v>
      </c>
      <c r="J6" s="875">
        <f>F409</f>
        <v>15101045.605359133</v>
      </c>
      <c r="K6" s="377"/>
      <c r="L6" s="270">
        <v>1</v>
      </c>
      <c r="M6" s="405" t="s">
        <v>303</v>
      </c>
      <c r="N6" s="271" t="s">
        <v>304</v>
      </c>
      <c r="O6" s="539">
        <v>11420</v>
      </c>
      <c r="P6" s="630">
        <v>0.1</v>
      </c>
      <c r="Q6" s="380">
        <f>13735976*0.1</f>
        <v>1373597.6</v>
      </c>
      <c r="R6" s="888" t="s">
        <v>305</v>
      </c>
      <c r="S6" s="608" t="s">
        <v>306</v>
      </c>
      <c r="T6" s="703">
        <v>45869</v>
      </c>
      <c r="U6" s="705">
        <v>1510104.5605359133</v>
      </c>
      <c r="V6" s="878">
        <f>J6-SUM(U6:U19)</f>
        <v>0</v>
      </c>
      <c r="W6" s="523">
        <v>45827</v>
      </c>
      <c r="X6" s="865">
        <f>SUM(Q6:Q19)</f>
        <v>13735976</v>
      </c>
      <c r="Y6" s="472"/>
    </row>
    <row r="7" spans="1:75" ht="15" customHeight="1" x14ac:dyDescent="0.2">
      <c r="B7" s="300">
        <v>1</v>
      </c>
      <c r="C7" s="406"/>
      <c r="D7" s="378" t="s">
        <v>307</v>
      </c>
      <c r="E7" s="379"/>
      <c r="F7" s="446"/>
      <c r="G7" s="304"/>
      <c r="H7" s="560"/>
      <c r="I7" s="876"/>
      <c r="J7" s="876"/>
      <c r="K7" s="277"/>
      <c r="L7" s="300">
        <v>1</v>
      </c>
      <c r="M7" s="302" t="s">
        <v>303</v>
      </c>
      <c r="N7" s="378"/>
      <c r="O7" s="540"/>
      <c r="P7" s="431"/>
      <c r="Q7" s="304"/>
      <c r="R7" s="889"/>
      <c r="S7" s="609"/>
      <c r="T7" s="674" t="s">
        <v>308</v>
      </c>
      <c r="U7" s="679">
        <v>0</v>
      </c>
      <c r="V7" s="879"/>
      <c r="W7" s="560"/>
      <c r="X7" s="866"/>
      <c r="Y7" s="472"/>
    </row>
    <row r="8" spans="1:75" ht="15" customHeight="1" x14ac:dyDescent="0.2">
      <c r="B8" s="372">
        <v>1</v>
      </c>
      <c r="C8" s="475"/>
      <c r="D8" s="476"/>
      <c r="E8" s="477"/>
      <c r="F8" s="431"/>
      <c r="G8" s="375"/>
      <c r="H8" s="560"/>
      <c r="I8" s="876"/>
      <c r="J8" s="876"/>
      <c r="K8" s="277"/>
      <c r="L8" s="300">
        <v>1</v>
      </c>
      <c r="M8" s="302" t="s">
        <v>303</v>
      </c>
      <c r="N8" s="476" t="s">
        <v>309</v>
      </c>
      <c r="O8" s="541">
        <v>5112</v>
      </c>
      <c r="P8" s="431">
        <v>1202.8</v>
      </c>
      <c r="Q8" s="304">
        <f>1675740.96/1.15</f>
        <v>1457166.0521739132</v>
      </c>
      <c r="R8" s="889"/>
      <c r="S8" s="608" t="s">
        <v>310</v>
      </c>
      <c r="T8" s="674">
        <v>45869</v>
      </c>
      <c r="U8" s="679">
        <v>6083790.7724287482</v>
      </c>
      <c r="V8" s="879"/>
      <c r="W8" s="756">
        <v>45925</v>
      </c>
      <c r="X8" s="866"/>
      <c r="Y8" s="472"/>
    </row>
    <row r="9" spans="1:75" ht="15" customHeight="1" x14ac:dyDescent="0.2">
      <c r="B9" s="372"/>
      <c r="C9" s="475"/>
      <c r="D9" s="476"/>
      <c r="E9" s="477"/>
      <c r="F9" s="431"/>
      <c r="G9" s="375"/>
      <c r="H9" s="561"/>
      <c r="I9" s="876"/>
      <c r="J9" s="876"/>
      <c r="K9" s="277"/>
      <c r="L9" s="300">
        <v>1</v>
      </c>
      <c r="M9" s="302" t="s">
        <v>303</v>
      </c>
      <c r="N9" s="476"/>
      <c r="O9" s="775"/>
      <c r="P9" s="431"/>
      <c r="Q9" s="304">
        <f>(2000000+237905.06+2243727.74)/1.15</f>
        <v>3897072.0000000009</v>
      </c>
      <c r="R9" s="889"/>
      <c r="S9" s="608" t="s">
        <v>310</v>
      </c>
      <c r="T9" s="674">
        <v>45869</v>
      </c>
      <c r="U9" s="680">
        <v>0</v>
      </c>
      <c r="V9" s="879"/>
      <c r="W9" s="774">
        <v>45946</v>
      </c>
      <c r="X9" s="866"/>
      <c r="Y9" s="472"/>
    </row>
    <row r="10" spans="1:75" ht="15" customHeight="1" x14ac:dyDescent="0.2">
      <c r="B10" s="372"/>
      <c r="C10" s="475"/>
      <c r="D10" s="476"/>
      <c r="E10" s="477"/>
      <c r="F10" s="431"/>
      <c r="G10" s="375"/>
      <c r="H10" s="561"/>
      <c r="I10" s="876"/>
      <c r="J10" s="876"/>
      <c r="K10" s="277"/>
      <c r="L10" s="300">
        <v>1</v>
      </c>
      <c r="M10" s="302" t="s">
        <v>303</v>
      </c>
      <c r="N10" s="476"/>
      <c r="O10" s="775"/>
      <c r="P10" s="431"/>
      <c r="Q10" s="304">
        <f>6148713.6-Q8-Q9-614871.36</f>
        <v>179604.18782608525</v>
      </c>
      <c r="R10" s="889"/>
      <c r="S10" s="608" t="s">
        <v>310</v>
      </c>
      <c r="T10" s="674">
        <v>45869</v>
      </c>
      <c r="U10" s="680">
        <v>0</v>
      </c>
      <c r="V10" s="879"/>
      <c r="W10" s="774">
        <v>46031</v>
      </c>
      <c r="X10" s="866"/>
      <c r="Y10" s="472"/>
    </row>
    <row r="11" spans="1:75" ht="15" customHeight="1" x14ac:dyDescent="0.2">
      <c r="B11" s="372">
        <v>1</v>
      </c>
      <c r="C11" s="475"/>
      <c r="D11" s="476"/>
      <c r="E11" s="477"/>
      <c r="F11" s="431"/>
      <c r="G11" s="375"/>
      <c r="H11" s="561"/>
      <c r="I11" s="876"/>
      <c r="J11" s="876"/>
      <c r="K11" s="277"/>
      <c r="L11" s="300">
        <v>1</v>
      </c>
      <c r="M11" s="302" t="s">
        <v>303</v>
      </c>
      <c r="N11" s="476" t="s">
        <v>311</v>
      </c>
      <c r="O11" s="541">
        <f>4032+2268</f>
        <v>6300</v>
      </c>
      <c r="P11" s="431">
        <v>1202.8</v>
      </c>
      <c r="Q11" s="304">
        <v>869565.22</v>
      </c>
      <c r="R11" s="889"/>
      <c r="S11" s="608" t="s">
        <v>310</v>
      </c>
      <c r="T11" s="674">
        <v>45869</v>
      </c>
      <c r="U11" s="680">
        <v>7497629.4730635975</v>
      </c>
      <c r="V11" s="879"/>
      <c r="W11" s="774">
        <v>46031</v>
      </c>
      <c r="X11" s="866"/>
      <c r="Y11" s="472"/>
    </row>
    <row r="12" spans="1:75" ht="15" customHeight="1" x14ac:dyDescent="0.2">
      <c r="B12" s="372"/>
      <c r="C12" s="475"/>
      <c r="D12" s="476"/>
      <c r="E12" s="477"/>
      <c r="F12" s="431"/>
      <c r="G12" s="375"/>
      <c r="H12" s="561"/>
      <c r="I12" s="876"/>
      <c r="J12" s="876"/>
      <c r="K12" s="277"/>
      <c r="L12" s="300">
        <v>1</v>
      </c>
      <c r="M12" s="302" t="s">
        <v>303</v>
      </c>
      <c r="N12" s="476"/>
      <c r="O12" s="541"/>
      <c r="P12" s="431"/>
      <c r="Q12" s="304">
        <v>637461.31000000006</v>
      </c>
      <c r="R12" s="889"/>
      <c r="S12" s="608" t="s">
        <v>310</v>
      </c>
      <c r="T12" s="674">
        <v>45869</v>
      </c>
      <c r="U12" s="680">
        <v>0</v>
      </c>
      <c r="V12" s="879"/>
      <c r="W12" s="774">
        <v>46031</v>
      </c>
      <c r="X12" s="866"/>
      <c r="Y12" s="472"/>
    </row>
    <row r="13" spans="1:75" ht="15" customHeight="1" x14ac:dyDescent="0.2">
      <c r="B13" s="372"/>
      <c r="C13" s="475"/>
      <c r="D13" s="476"/>
      <c r="E13" s="477"/>
      <c r="F13" s="431"/>
      <c r="G13" s="375"/>
      <c r="H13" s="561"/>
      <c r="I13" s="876"/>
      <c r="J13" s="876"/>
      <c r="K13" s="277"/>
      <c r="L13" s="300">
        <v>1</v>
      </c>
      <c r="M13" s="302" t="s">
        <v>303</v>
      </c>
      <c r="N13" s="476"/>
      <c r="O13" s="541"/>
      <c r="P13" s="431"/>
      <c r="Q13" s="304">
        <v>1006679.1304347827</v>
      </c>
      <c r="R13" s="889"/>
      <c r="S13" s="608" t="s">
        <v>310</v>
      </c>
      <c r="T13" s="674">
        <v>45869</v>
      </c>
      <c r="U13" s="680">
        <v>0</v>
      </c>
      <c r="V13" s="879"/>
      <c r="W13" s="774">
        <v>46037</v>
      </c>
      <c r="X13" s="866"/>
      <c r="Y13" s="472"/>
    </row>
    <row r="14" spans="1:75" ht="15" customHeight="1" x14ac:dyDescent="0.2">
      <c r="B14" s="372"/>
      <c r="C14" s="475"/>
      <c r="D14" s="476"/>
      <c r="E14" s="477"/>
      <c r="F14" s="431"/>
      <c r="G14" s="375"/>
      <c r="H14" s="561"/>
      <c r="I14" s="876"/>
      <c r="J14" s="876"/>
      <c r="K14" s="277"/>
      <c r="L14" s="300">
        <v>1</v>
      </c>
      <c r="M14" s="302" t="s">
        <v>303</v>
      </c>
      <c r="N14" s="476"/>
      <c r="O14" s="541"/>
      <c r="P14" s="431"/>
      <c r="Q14" s="304">
        <v>1277597.209</v>
      </c>
      <c r="R14" s="889"/>
      <c r="S14" s="608" t="s">
        <v>310</v>
      </c>
      <c r="T14" s="674">
        <v>45869</v>
      </c>
      <c r="U14" s="680">
        <v>0</v>
      </c>
      <c r="V14" s="879"/>
      <c r="W14" s="525">
        <v>46045</v>
      </c>
      <c r="X14" s="866"/>
      <c r="Y14" s="472"/>
    </row>
    <row r="15" spans="1:75" ht="15" customHeight="1" x14ac:dyDescent="0.2">
      <c r="B15" s="372"/>
      <c r="C15" s="475"/>
      <c r="D15" s="476"/>
      <c r="E15" s="477"/>
      <c r="F15" s="431"/>
      <c r="G15" s="375"/>
      <c r="H15" s="561"/>
      <c r="I15" s="876"/>
      <c r="J15" s="876"/>
      <c r="K15" s="277"/>
      <c r="L15" s="300">
        <v>1</v>
      </c>
      <c r="M15" s="302" t="s">
        <v>303</v>
      </c>
      <c r="N15" s="476"/>
      <c r="O15" s="541"/>
      <c r="P15" s="431"/>
      <c r="Q15" s="304">
        <v>1304347.8259999999</v>
      </c>
      <c r="R15" s="889"/>
      <c r="S15" s="608" t="s">
        <v>310</v>
      </c>
      <c r="T15" s="674">
        <v>45869</v>
      </c>
      <c r="U15" s="680">
        <v>0</v>
      </c>
      <c r="V15" s="879"/>
      <c r="W15" s="525">
        <v>46051</v>
      </c>
      <c r="X15" s="866"/>
      <c r="Y15" s="472"/>
    </row>
    <row r="16" spans="1:75" ht="15" customHeight="1" x14ac:dyDescent="0.2">
      <c r="B16" s="372"/>
      <c r="C16" s="475"/>
      <c r="D16" s="476"/>
      <c r="E16" s="477"/>
      <c r="F16" s="431"/>
      <c r="G16" s="375"/>
      <c r="H16" s="561"/>
      <c r="I16" s="876"/>
      <c r="J16" s="876"/>
      <c r="K16" s="277"/>
      <c r="L16" s="300">
        <v>1</v>
      </c>
      <c r="M16" s="302" t="s">
        <v>303</v>
      </c>
      <c r="N16" s="476"/>
      <c r="O16" s="541"/>
      <c r="P16" s="431"/>
      <c r="Q16" s="304">
        <f>6819876-Q11-Q12-Q13-Q14-Q15</f>
        <v>1724225.3045652178</v>
      </c>
      <c r="R16" s="889"/>
      <c r="S16" s="608" t="s">
        <v>310</v>
      </c>
      <c r="T16" s="674">
        <v>45869</v>
      </c>
      <c r="U16" s="680">
        <v>0</v>
      </c>
      <c r="V16" s="879"/>
      <c r="W16" s="525">
        <v>46051</v>
      </c>
      <c r="X16" s="866"/>
      <c r="Y16" s="472"/>
    </row>
    <row r="17" spans="1:31" ht="15" customHeight="1" x14ac:dyDescent="0.3">
      <c r="B17" s="372">
        <v>1</v>
      </c>
      <c r="C17" s="475"/>
      <c r="D17" s="476"/>
      <c r="E17" s="477"/>
      <c r="F17" s="431"/>
      <c r="G17" s="375"/>
      <c r="H17" s="561"/>
      <c r="I17" s="876"/>
      <c r="J17" s="876"/>
      <c r="K17" s="277"/>
      <c r="L17" s="300">
        <v>1</v>
      </c>
      <c r="M17" s="302" t="s">
        <v>303</v>
      </c>
      <c r="N17" s="476" t="s">
        <v>312</v>
      </c>
      <c r="O17" s="541">
        <v>8</v>
      </c>
      <c r="P17" s="431">
        <v>1202.8</v>
      </c>
      <c r="Q17" s="304">
        <f t="shared" ref="Q17" si="0">13735976*0.9*(O17/$O$6)</f>
        <v>8660.16</v>
      </c>
      <c r="R17" s="890"/>
      <c r="S17" s="608" t="s">
        <v>310</v>
      </c>
      <c r="T17" s="674">
        <v>45869</v>
      </c>
      <c r="U17" s="680">
        <v>9520.7993308744099</v>
      </c>
      <c r="V17" s="879"/>
      <c r="W17" s="525">
        <f>W16</f>
        <v>46051</v>
      </c>
      <c r="X17" s="866"/>
      <c r="Y17" s="472"/>
      <c r="AB17" s="858" t="s">
        <v>313</v>
      </c>
      <c r="AC17" s="858"/>
    </row>
    <row r="18" spans="1:31" ht="15" customHeight="1" thickBot="1" x14ac:dyDescent="0.35">
      <c r="B18" s="305">
        <v>1</v>
      </c>
      <c r="C18" s="407"/>
      <c r="D18" s="381"/>
      <c r="E18" s="382"/>
      <c r="F18" s="447"/>
      <c r="G18" s="319"/>
      <c r="H18" s="562"/>
      <c r="I18" s="876"/>
      <c r="J18" s="876"/>
      <c r="K18" s="786"/>
      <c r="L18" s="787">
        <v>1</v>
      </c>
      <c r="M18" s="788" t="s">
        <v>303</v>
      </c>
      <c r="N18" s="788" t="s">
        <v>314</v>
      </c>
      <c r="O18" s="789">
        <v>1</v>
      </c>
      <c r="P18" s="790">
        <v>43292.88</v>
      </c>
      <c r="Q18" s="791">
        <f>P18</f>
        <v>43292.88</v>
      </c>
      <c r="R18" s="794"/>
      <c r="S18" s="795" t="s">
        <v>315</v>
      </c>
      <c r="T18" s="796">
        <v>45900</v>
      </c>
      <c r="U18" s="800">
        <v>0</v>
      </c>
      <c r="V18" s="879"/>
      <c r="W18" s="774">
        <f>W9</f>
        <v>45946</v>
      </c>
      <c r="X18" s="866"/>
      <c r="Y18" s="590" t="s">
        <v>316</v>
      </c>
      <c r="Z18" s="591" t="s">
        <v>317</v>
      </c>
    </row>
    <row r="19" spans="1:31" ht="15" customHeight="1" thickBot="1" x14ac:dyDescent="0.35">
      <c r="B19" s="305">
        <v>1</v>
      </c>
      <c r="C19" s="407"/>
      <c r="D19" s="381"/>
      <c r="E19" s="382"/>
      <c r="F19" s="447"/>
      <c r="G19" s="319"/>
      <c r="H19" s="562"/>
      <c r="I19" s="877"/>
      <c r="J19" s="877"/>
      <c r="K19" s="278"/>
      <c r="L19" s="792">
        <v>1</v>
      </c>
      <c r="M19" s="793" t="s">
        <v>303</v>
      </c>
      <c r="N19" s="843" t="s">
        <v>314</v>
      </c>
      <c r="O19" s="844">
        <v>1</v>
      </c>
      <c r="P19" s="646">
        <v>-43292.88</v>
      </c>
      <c r="Q19" s="647">
        <f>P19</f>
        <v>-43292.88</v>
      </c>
      <c r="R19" s="797"/>
      <c r="S19" s="798" t="s">
        <v>318</v>
      </c>
      <c r="T19" s="799">
        <v>45991</v>
      </c>
      <c r="U19" s="801">
        <v>0</v>
      </c>
      <c r="V19" s="880"/>
      <c r="W19" s="525">
        <f>W16</f>
        <v>46051</v>
      </c>
      <c r="X19" s="867"/>
      <c r="Y19" s="590" t="s">
        <v>316</v>
      </c>
      <c r="Z19" s="591" t="s">
        <v>317</v>
      </c>
    </row>
    <row r="20" spans="1:31" ht="15" customHeight="1" thickBot="1" x14ac:dyDescent="0.35">
      <c r="B20" s="642"/>
      <c r="C20" s="843"/>
      <c r="D20" s="845"/>
      <c r="E20" s="846"/>
      <c r="F20" s="646"/>
      <c r="G20" s="647"/>
      <c r="H20" s="847"/>
      <c r="I20" s="840"/>
      <c r="J20" s="840"/>
      <c r="K20" s="277"/>
      <c r="L20" s="792">
        <v>1</v>
      </c>
      <c r="M20" s="850" t="s">
        <v>303</v>
      </c>
      <c r="N20" s="340" t="s">
        <v>853</v>
      </c>
      <c r="O20" s="844">
        <v>11</v>
      </c>
      <c r="P20" s="646">
        <v>1240</v>
      </c>
      <c r="Q20" s="852">
        <f>O20*P20</f>
        <v>13640</v>
      </c>
      <c r="R20" s="797"/>
      <c r="S20" s="798"/>
      <c r="T20" s="853">
        <v>46112</v>
      </c>
      <c r="U20" s="801"/>
      <c r="V20" s="841"/>
      <c r="W20" s="854">
        <v>46144</v>
      </c>
      <c r="X20" s="842"/>
      <c r="Y20" s="848"/>
      <c r="Z20" s="849"/>
    </row>
    <row r="21" spans="1:31" ht="15" customHeight="1" thickBot="1" x14ac:dyDescent="0.35">
      <c r="B21" s="642"/>
      <c r="C21" s="843"/>
      <c r="D21" s="845"/>
      <c r="E21" s="846"/>
      <c r="F21" s="646"/>
      <c r="G21" s="647"/>
      <c r="H21" s="847"/>
      <c r="I21" s="840"/>
      <c r="J21" s="840"/>
      <c r="K21" s="277"/>
      <c r="L21" s="642">
        <v>1</v>
      </c>
      <c r="M21" s="850" t="s">
        <v>303</v>
      </c>
      <c r="N21" s="340" t="s">
        <v>491</v>
      </c>
      <c r="O21" s="539"/>
      <c r="P21" s="424"/>
      <c r="Q21" s="851">
        <v>1600</v>
      </c>
      <c r="R21" s="797"/>
      <c r="S21" s="798"/>
      <c r="T21" s="853">
        <v>46112</v>
      </c>
      <c r="U21" s="801"/>
      <c r="V21" s="841"/>
      <c r="W21" s="854">
        <v>46144</v>
      </c>
      <c r="X21" s="842"/>
      <c r="Y21" s="848"/>
      <c r="Z21" s="849"/>
    </row>
    <row r="22" spans="1:31" ht="16.5" thickBot="1" x14ac:dyDescent="0.35">
      <c r="A22" s="24"/>
      <c r="B22" s="265"/>
      <c r="C22" s="266"/>
      <c r="D22" s="267"/>
      <c r="E22" s="280"/>
      <c r="F22" s="443"/>
      <c r="G22" s="268"/>
      <c r="H22" s="563"/>
      <c r="I22" s="269"/>
      <c r="J22" s="269"/>
      <c r="K22" s="24"/>
      <c r="L22" s="265"/>
      <c r="M22" s="392"/>
      <c r="N22" s="267"/>
      <c r="O22" s="543"/>
      <c r="P22" s="443"/>
      <c r="Q22" s="268"/>
      <c r="R22" s="577"/>
      <c r="S22" s="612"/>
      <c r="T22" s="512" t="str">
        <f t="shared" ref="T22:T52" si="1">IF(W22&gt;1,EOMONTH(W22,0),"")</f>
        <v/>
      </c>
      <c r="U22" s="496"/>
      <c r="V22" s="487"/>
      <c r="W22" s="563"/>
      <c r="X22" s="339"/>
      <c r="Y22" s="592" t="s">
        <v>319</v>
      </c>
      <c r="Z22" s="593">
        <f>G115</f>
        <v>2941866.9</v>
      </c>
      <c r="AB22" s="656" t="s">
        <v>320</v>
      </c>
      <c r="AC22" s="657">
        <v>4000000</v>
      </c>
      <c r="AD22" s="658" t="s">
        <v>321</v>
      </c>
      <c r="AE22" s="659">
        <f>AC22/4000000</f>
        <v>1</v>
      </c>
    </row>
    <row r="23" spans="1:31" ht="14.25" customHeight="1" x14ac:dyDescent="0.3">
      <c r="B23" s="282">
        <v>2</v>
      </c>
      <c r="C23" s="308" t="s">
        <v>322</v>
      </c>
      <c r="D23" s="308" t="s">
        <v>323</v>
      </c>
      <c r="E23" s="353"/>
      <c r="F23" s="444"/>
      <c r="G23" s="285">
        <f>D410</f>
        <v>2760000</v>
      </c>
      <c r="H23" s="527">
        <v>45820</v>
      </c>
      <c r="I23" s="859">
        <f>SUM(G23:G29)</f>
        <v>2760000</v>
      </c>
      <c r="J23" s="859">
        <f>F410</f>
        <v>2982470.7100577182</v>
      </c>
      <c r="K23" s="286"/>
      <c r="L23" s="282">
        <v>2</v>
      </c>
      <c r="M23" s="408" t="s">
        <v>324</v>
      </c>
      <c r="N23" s="308" t="s">
        <v>325</v>
      </c>
      <c r="O23" s="544">
        <v>23</v>
      </c>
      <c r="P23" s="444">
        <f>6087*17.7457</f>
        <v>108018.0759</v>
      </c>
      <c r="Q23" s="285">
        <f>O23*P23*30%</f>
        <v>745324.72370999993</v>
      </c>
      <c r="R23" s="873" t="s">
        <v>326</v>
      </c>
      <c r="S23" s="613" t="s">
        <v>327</v>
      </c>
      <c r="T23" s="704">
        <v>45869</v>
      </c>
      <c r="U23" s="706">
        <v>886426.77283851232</v>
      </c>
      <c r="V23" s="868">
        <f>J23-SUM(U23:U29)</f>
        <v>-2.8844410553574562E-4</v>
      </c>
      <c r="W23" s="527">
        <v>45820</v>
      </c>
      <c r="X23" s="862">
        <f>SUM(Q23:Q29)</f>
        <v>2495176.22371</v>
      </c>
      <c r="Y23" s="592" t="s">
        <v>328</v>
      </c>
      <c r="Z23" s="594">
        <f>G54</f>
        <v>4558110</v>
      </c>
      <c r="AB23" s="660"/>
      <c r="AE23" s="661"/>
    </row>
    <row r="24" spans="1:31" ht="14.25" customHeight="1" x14ac:dyDescent="0.3">
      <c r="B24" s="287">
        <v>2</v>
      </c>
      <c r="C24" s="414"/>
      <c r="D24" s="397"/>
      <c r="E24" s="478"/>
      <c r="F24" s="440"/>
      <c r="G24" s="467"/>
      <c r="H24" s="528"/>
      <c r="I24" s="860"/>
      <c r="J24" s="860"/>
      <c r="K24" s="290"/>
      <c r="L24" s="287">
        <v>2</v>
      </c>
      <c r="M24" s="414" t="s">
        <v>324</v>
      </c>
      <c r="N24" s="397" t="s">
        <v>329</v>
      </c>
      <c r="O24" s="545"/>
      <c r="P24" s="440"/>
      <c r="Q24" s="467">
        <v>1749851.5</v>
      </c>
      <c r="R24" s="874"/>
      <c r="S24" s="614" t="s">
        <v>330</v>
      </c>
      <c r="T24" s="684">
        <v>45869</v>
      </c>
      <c r="U24" s="681">
        <v>2081126.7475076499</v>
      </c>
      <c r="V24" s="869"/>
      <c r="W24" s="528">
        <v>45855</v>
      </c>
      <c r="X24" s="863"/>
      <c r="Y24" s="592" t="s">
        <v>331</v>
      </c>
      <c r="Z24" s="593">
        <f>G210</f>
        <v>1062060</v>
      </c>
      <c r="AA24" s="629">
        <f>Z24/7080000</f>
        <v>0.1500084745762712</v>
      </c>
      <c r="AB24" s="660" t="s">
        <v>332</v>
      </c>
      <c r="AE24" s="661"/>
    </row>
    <row r="25" spans="1:31" ht="14.25" customHeight="1" x14ac:dyDescent="0.3">
      <c r="B25" s="287">
        <v>2</v>
      </c>
      <c r="C25" s="414"/>
      <c r="D25" s="397"/>
      <c r="E25" s="478"/>
      <c r="F25" s="440"/>
      <c r="G25" s="467"/>
      <c r="H25" s="565"/>
      <c r="I25" s="860"/>
      <c r="J25" s="860"/>
      <c r="K25" s="290"/>
      <c r="L25" s="287">
        <v>2</v>
      </c>
      <c r="M25" s="414" t="s">
        <v>324</v>
      </c>
      <c r="N25" s="397"/>
      <c r="O25" s="545"/>
      <c r="P25" s="440"/>
      <c r="Q25" s="467"/>
      <c r="R25" s="874"/>
      <c r="S25" s="614"/>
      <c r="T25" s="514" t="str">
        <f t="shared" si="1"/>
        <v/>
      </c>
      <c r="U25" s="498">
        <f>(Q25/$X$23*$J$23)</f>
        <v>0</v>
      </c>
      <c r="V25" s="869"/>
      <c r="W25" s="565"/>
      <c r="X25" s="863"/>
      <c r="Y25" s="592" t="s">
        <v>333</v>
      </c>
      <c r="Z25" s="593">
        <f>G211</f>
        <v>3298351.2369999997</v>
      </c>
      <c r="AA25" s="629">
        <f>Z25/7080000</f>
        <v>0.46586881878531072</v>
      </c>
      <c r="AB25" s="662" t="s">
        <v>334</v>
      </c>
      <c r="AC25" s="663">
        <v>550000</v>
      </c>
      <c r="AD25" s="664"/>
      <c r="AE25" s="665"/>
    </row>
    <row r="26" spans="1:31" ht="14.25" customHeight="1" x14ac:dyDescent="0.3">
      <c r="B26" s="287">
        <v>2</v>
      </c>
      <c r="C26" s="414"/>
      <c r="D26" s="397"/>
      <c r="E26" s="478"/>
      <c r="F26" s="440"/>
      <c r="G26" s="467"/>
      <c r="H26" s="528"/>
      <c r="I26" s="860"/>
      <c r="J26" s="860"/>
      <c r="K26" s="290"/>
      <c r="L26" s="287">
        <v>2</v>
      </c>
      <c r="M26" s="414" t="s">
        <v>324</v>
      </c>
      <c r="N26" s="397"/>
      <c r="O26" s="652"/>
      <c r="P26" s="440"/>
      <c r="Q26" s="467"/>
      <c r="R26" s="872"/>
      <c r="S26" s="614"/>
      <c r="T26" s="672">
        <v>45900</v>
      </c>
      <c r="U26" s="681">
        <v>14917.189999999999</v>
      </c>
      <c r="V26" s="869"/>
      <c r="W26" s="528">
        <v>45820</v>
      </c>
      <c r="X26" s="863"/>
      <c r="Y26" s="592" t="s">
        <v>335</v>
      </c>
      <c r="Z26" s="593">
        <f>G254</f>
        <v>85000</v>
      </c>
    </row>
    <row r="27" spans="1:31" ht="14.25" customHeight="1" x14ac:dyDescent="0.3">
      <c r="B27" s="287">
        <v>2</v>
      </c>
      <c r="C27" s="414"/>
      <c r="D27" s="397"/>
      <c r="E27" s="478"/>
      <c r="F27" s="440"/>
      <c r="G27" s="467"/>
      <c r="H27" s="565"/>
      <c r="I27" s="860"/>
      <c r="J27" s="860"/>
      <c r="K27" s="290"/>
      <c r="L27" s="287">
        <v>2</v>
      </c>
      <c r="M27" s="414" t="s">
        <v>324</v>
      </c>
      <c r="N27" s="816" t="s">
        <v>336</v>
      </c>
      <c r="O27" s="652"/>
      <c r="P27" s="440"/>
      <c r="Q27" s="467">
        <v>899.72</v>
      </c>
      <c r="R27" s="579"/>
      <c r="S27" s="614" t="s">
        <v>337</v>
      </c>
      <c r="T27" s="672">
        <v>46022</v>
      </c>
      <c r="U27" s="779">
        <v>0</v>
      </c>
      <c r="V27" s="869"/>
      <c r="W27" s="767">
        <v>46053</v>
      </c>
      <c r="X27" s="863"/>
      <c r="Y27" s="592" t="s">
        <v>338</v>
      </c>
      <c r="Z27" s="593">
        <f>G255</f>
        <v>133245.9</v>
      </c>
      <c r="AB27" s="656" t="s">
        <v>339</v>
      </c>
      <c r="AC27" s="658"/>
      <c r="AD27" s="658"/>
      <c r="AE27" s="666"/>
    </row>
    <row r="28" spans="1:31" ht="14.25" customHeight="1" x14ac:dyDescent="0.3">
      <c r="B28" s="287">
        <v>2</v>
      </c>
      <c r="C28" s="414"/>
      <c r="D28" s="397"/>
      <c r="E28" s="478"/>
      <c r="F28" s="440"/>
      <c r="G28" s="467"/>
      <c r="H28" s="565"/>
      <c r="I28" s="860"/>
      <c r="J28" s="860"/>
      <c r="K28" s="290"/>
      <c r="L28" s="287">
        <v>2</v>
      </c>
      <c r="M28" s="414" t="s">
        <v>324</v>
      </c>
      <c r="N28" s="397"/>
      <c r="O28" s="545"/>
      <c r="P28" s="440"/>
      <c r="Q28" s="467">
        <v>-899.72</v>
      </c>
      <c r="R28" s="579"/>
      <c r="S28" s="614" t="s">
        <v>337</v>
      </c>
      <c r="T28" s="778">
        <v>46053</v>
      </c>
      <c r="U28" s="779">
        <v>0</v>
      </c>
      <c r="V28" s="869"/>
      <c r="W28" s="767">
        <v>46053</v>
      </c>
      <c r="X28" s="863"/>
      <c r="Y28" s="592" t="s">
        <v>340</v>
      </c>
      <c r="Z28" s="593">
        <f>G259</f>
        <v>176058.33333333331</v>
      </c>
      <c r="AB28" s="660"/>
      <c r="AE28" s="661"/>
    </row>
    <row r="29" spans="1:31" ht="15" customHeight="1" thickBot="1" x14ac:dyDescent="0.35">
      <c r="B29" s="384">
        <v>2</v>
      </c>
      <c r="C29" s="385"/>
      <c r="D29" s="385"/>
      <c r="E29" s="386"/>
      <c r="F29" s="454"/>
      <c r="G29" s="387"/>
      <c r="H29" s="566"/>
      <c r="I29" s="861"/>
      <c r="J29" s="861"/>
      <c r="K29" s="295"/>
      <c r="L29" s="384">
        <v>2</v>
      </c>
      <c r="M29" s="409" t="s">
        <v>324</v>
      </c>
      <c r="N29" s="385"/>
      <c r="O29" s="546"/>
      <c r="P29" s="454"/>
      <c r="Q29" s="387"/>
      <c r="R29" s="580"/>
      <c r="S29" s="615"/>
      <c r="T29" s="515" t="str">
        <f t="shared" si="1"/>
        <v/>
      </c>
      <c r="U29" s="499">
        <f>(Q29/$X$23*$J$23)</f>
        <v>0</v>
      </c>
      <c r="V29" s="870"/>
      <c r="W29" s="566"/>
      <c r="X29" s="864"/>
      <c r="Y29" s="592" t="s">
        <v>341</v>
      </c>
      <c r="Z29" s="593">
        <v>0</v>
      </c>
      <c r="AB29" s="660" t="s">
        <v>342</v>
      </c>
      <c r="AC29" s="667">
        <v>2500000</v>
      </c>
      <c r="AD29" s="112" t="s">
        <v>343</v>
      </c>
      <c r="AE29" s="668">
        <f>AC29/3000000</f>
        <v>0.83333333333333337</v>
      </c>
    </row>
    <row r="30" spans="1:31" ht="16.5" thickBot="1" x14ac:dyDescent="0.35">
      <c r="A30" s="24"/>
      <c r="B30" s="279"/>
      <c r="C30" s="266"/>
      <c r="D30" s="266"/>
      <c r="E30" s="280"/>
      <c r="F30" s="443"/>
      <c r="G30" s="281"/>
      <c r="H30" s="563"/>
      <c r="I30" s="269"/>
      <c r="J30" s="269"/>
      <c r="K30" s="24"/>
      <c r="L30" s="279"/>
      <c r="M30" s="266"/>
      <c r="N30" s="266"/>
      <c r="O30" s="543"/>
      <c r="P30" s="443"/>
      <c r="Q30" s="281"/>
      <c r="R30" s="577"/>
      <c r="S30" s="612"/>
      <c r="T30" s="512" t="str">
        <f t="shared" si="1"/>
        <v/>
      </c>
      <c r="U30" s="500"/>
      <c r="V30" s="483"/>
      <c r="W30" s="563"/>
      <c r="X30" s="339"/>
      <c r="Y30" s="592"/>
      <c r="Z30" s="593"/>
      <c r="AB30" s="660"/>
      <c r="AE30" s="661"/>
    </row>
    <row r="31" spans="1:31" ht="14.25" customHeight="1" x14ac:dyDescent="0.3">
      <c r="B31" s="270">
        <v>3</v>
      </c>
      <c r="C31" s="298" t="s">
        <v>344</v>
      </c>
      <c r="D31" s="316" t="s">
        <v>345</v>
      </c>
      <c r="E31" s="272"/>
      <c r="F31" s="424"/>
      <c r="G31" s="273">
        <f>D411</f>
        <v>7358785.9097348731</v>
      </c>
      <c r="H31" s="700">
        <v>45867</v>
      </c>
      <c r="I31" s="875">
        <f>SUM(G31:G51)</f>
        <v>7358785.9097348731</v>
      </c>
      <c r="J31" s="875">
        <f>F411</f>
        <v>7951943.2744093109</v>
      </c>
      <c r="K31" s="274"/>
      <c r="L31" s="270">
        <v>3</v>
      </c>
      <c r="M31" s="410" t="s">
        <v>346</v>
      </c>
      <c r="N31" s="316" t="s">
        <v>347</v>
      </c>
      <c r="O31" s="539">
        <v>19830</v>
      </c>
      <c r="P31" s="424">
        <v>22.88</v>
      </c>
      <c r="Q31" s="273">
        <f>O31*P31</f>
        <v>453710.39999999997</v>
      </c>
      <c r="R31" s="888" t="s">
        <v>348</v>
      </c>
      <c r="S31" s="616" t="s">
        <v>349</v>
      </c>
      <c r="T31" s="673">
        <v>45838</v>
      </c>
      <c r="U31" s="678">
        <v>870407.92269117013</v>
      </c>
      <c r="V31" s="878">
        <f>J31-SUM(U31:U51)</f>
        <v>0</v>
      </c>
      <c r="W31" s="700">
        <v>45867</v>
      </c>
      <c r="X31" s="865">
        <f>SUM(Q31:Q51)</f>
        <v>4061053.86</v>
      </c>
      <c r="Y31" s="592" t="s">
        <v>350</v>
      </c>
      <c r="Z31" s="595">
        <v>0</v>
      </c>
      <c r="AB31" s="660" t="s">
        <v>351</v>
      </c>
      <c r="AE31" s="661"/>
    </row>
    <row r="32" spans="1:31" ht="14.25" customHeight="1" x14ac:dyDescent="0.3">
      <c r="B32" s="300">
        <v>3</v>
      </c>
      <c r="C32" s="301"/>
      <c r="D32" s="317"/>
      <c r="E32" s="303"/>
      <c r="F32" s="446"/>
      <c r="G32" s="304"/>
      <c r="H32" s="701"/>
      <c r="I32" s="876"/>
      <c r="J32" s="876"/>
      <c r="K32" s="277"/>
      <c r="L32" s="300">
        <v>3</v>
      </c>
      <c r="M32" s="411" t="s">
        <v>346</v>
      </c>
      <c r="N32" s="317" t="s">
        <v>352</v>
      </c>
      <c r="O32" s="540">
        <v>39660</v>
      </c>
      <c r="P32" s="446">
        <v>5.87</v>
      </c>
      <c r="Q32" s="304">
        <f t="shared" ref="Q32:Q39" si="2">O32*P32</f>
        <v>232804.2</v>
      </c>
      <c r="R32" s="889"/>
      <c r="S32" s="609" t="s">
        <v>349</v>
      </c>
      <c r="T32" s="674">
        <v>45838</v>
      </c>
      <c r="U32" s="679">
        <v>446616.65263961267</v>
      </c>
      <c r="V32" s="879"/>
      <c r="W32" s="701">
        <v>45867</v>
      </c>
      <c r="X32" s="866"/>
      <c r="Y32" s="592" t="s">
        <v>353</v>
      </c>
      <c r="Z32" s="593">
        <f>SUM(Z22:Z31)</f>
        <v>12254692.370333334</v>
      </c>
      <c r="AB32" s="662" t="s">
        <v>334</v>
      </c>
      <c r="AC32" s="663">
        <v>590000</v>
      </c>
      <c r="AD32" s="664"/>
      <c r="AE32" s="665"/>
    </row>
    <row r="33" spans="2:27" ht="14.25" customHeight="1" x14ac:dyDescent="0.3">
      <c r="B33" s="300"/>
      <c r="C33" s="301"/>
      <c r="D33" s="317"/>
      <c r="E33" s="303"/>
      <c r="F33" s="446"/>
      <c r="G33" s="304"/>
      <c r="H33" s="701"/>
      <c r="I33" s="876"/>
      <c r="J33" s="876"/>
      <c r="K33" s="277"/>
      <c r="L33" s="300">
        <v>3</v>
      </c>
      <c r="M33" s="411" t="s">
        <v>346</v>
      </c>
      <c r="N33" s="317" t="s">
        <v>354</v>
      </c>
      <c r="O33" s="540">
        <v>18030</v>
      </c>
      <c r="P33" s="446">
        <v>10.64</v>
      </c>
      <c r="Q33" s="304">
        <v>197183</v>
      </c>
      <c r="R33" s="889"/>
      <c r="S33" s="609" t="s">
        <v>349</v>
      </c>
      <c r="T33" s="674">
        <v>45838</v>
      </c>
      <c r="U33" s="679">
        <v>378280.16598255851</v>
      </c>
      <c r="V33" s="879"/>
      <c r="W33" s="701">
        <v>45867</v>
      </c>
      <c r="X33" s="866"/>
      <c r="Y33" s="592" t="s">
        <v>355</v>
      </c>
      <c r="Z33" s="596">
        <f>+Z32*0.85</f>
        <v>10416488.514783334</v>
      </c>
    </row>
    <row r="34" spans="2:27" ht="14.25" customHeight="1" x14ac:dyDescent="0.3">
      <c r="B34" s="300"/>
      <c r="C34" s="301"/>
      <c r="D34" s="317"/>
      <c r="E34" s="303"/>
      <c r="F34" s="446"/>
      <c r="G34" s="304"/>
      <c r="H34" s="701"/>
      <c r="I34" s="876"/>
      <c r="J34" s="876"/>
      <c r="K34" s="277"/>
      <c r="L34" s="300">
        <v>3</v>
      </c>
      <c r="M34" s="411" t="s">
        <v>346</v>
      </c>
      <c r="N34" s="317" t="s">
        <v>865</v>
      </c>
      <c r="O34" s="540">
        <v>-470</v>
      </c>
      <c r="P34" s="446">
        <v>10.64</v>
      </c>
      <c r="Q34" s="304">
        <f>O34*P34</f>
        <v>-5000.8</v>
      </c>
      <c r="R34" s="889"/>
      <c r="S34" s="609"/>
      <c r="T34" s="509">
        <v>46081</v>
      </c>
      <c r="U34" s="679"/>
      <c r="V34" s="879"/>
      <c r="W34" s="560">
        <v>46081</v>
      </c>
      <c r="X34" s="866"/>
      <c r="Y34" s="592"/>
      <c r="Z34" s="596"/>
    </row>
    <row r="35" spans="2:27" ht="14.25" customHeight="1" x14ac:dyDescent="0.3">
      <c r="B35" s="300"/>
      <c r="C35" s="301"/>
      <c r="D35" s="317"/>
      <c r="E35" s="303"/>
      <c r="F35" s="446"/>
      <c r="G35" s="304"/>
      <c r="H35" s="701"/>
      <c r="I35" s="876"/>
      <c r="J35" s="876"/>
      <c r="K35" s="277"/>
      <c r="L35" s="300">
        <v>3</v>
      </c>
      <c r="M35" s="411" t="s">
        <v>346</v>
      </c>
      <c r="N35" s="317" t="s">
        <v>356</v>
      </c>
      <c r="O35" s="540">
        <v>1820</v>
      </c>
      <c r="P35" s="446">
        <v>10.96</v>
      </c>
      <c r="Q35" s="304">
        <v>20391.2</v>
      </c>
      <c r="R35" s="889"/>
      <c r="S35" s="609" t="s">
        <v>349</v>
      </c>
      <c r="T35" s="674">
        <v>45838</v>
      </c>
      <c r="U35" s="679">
        <v>39118.922628135013</v>
      </c>
      <c r="V35" s="879"/>
      <c r="W35" s="701">
        <v>45867</v>
      </c>
      <c r="X35" s="866"/>
      <c r="Y35" s="597" t="s">
        <v>357</v>
      </c>
      <c r="Z35" s="595">
        <f>Z33/'Project Plan'!$E$3/1000</f>
        <v>1.4712554399411488</v>
      </c>
    </row>
    <row r="36" spans="2:27" ht="14.25" customHeight="1" x14ac:dyDescent="0.2">
      <c r="B36" s="300"/>
      <c r="C36" s="301"/>
      <c r="D36" s="317"/>
      <c r="E36" s="303"/>
      <c r="F36" s="446"/>
      <c r="G36" s="304"/>
      <c r="H36" s="560"/>
      <c r="I36" s="876"/>
      <c r="J36" s="876"/>
      <c r="K36" s="277"/>
      <c r="L36" s="300">
        <v>3</v>
      </c>
      <c r="M36" s="411" t="s">
        <v>346</v>
      </c>
      <c r="N36" s="317"/>
      <c r="O36" s="540"/>
      <c r="P36" s="446"/>
      <c r="Q36" s="304"/>
      <c r="R36" s="889"/>
      <c r="S36" s="609"/>
      <c r="T36" s="509"/>
      <c r="U36" s="679">
        <v>0</v>
      </c>
      <c r="V36" s="879"/>
      <c r="W36" s="560"/>
      <c r="X36" s="866"/>
    </row>
    <row r="37" spans="2:27" ht="14.25" customHeight="1" x14ac:dyDescent="0.3">
      <c r="B37" s="300"/>
      <c r="C37" s="301"/>
      <c r="D37" s="317"/>
      <c r="E37" s="303"/>
      <c r="F37" s="446"/>
      <c r="G37" s="304"/>
      <c r="H37" s="701"/>
      <c r="I37" s="876"/>
      <c r="J37" s="876"/>
      <c r="K37" s="277"/>
      <c r="L37" s="300">
        <v>3</v>
      </c>
      <c r="M37" s="411" t="s">
        <v>346</v>
      </c>
      <c r="N37" s="317" t="s">
        <v>358</v>
      </c>
      <c r="O37" s="540">
        <f>O31*0.1</f>
        <v>1983</v>
      </c>
      <c r="P37" s="446">
        <v>22.88</v>
      </c>
      <c r="Q37" s="304">
        <f t="shared" si="2"/>
        <v>45371.040000000001</v>
      </c>
      <c r="R37" s="889"/>
      <c r="S37" s="609" t="s">
        <v>349</v>
      </c>
      <c r="T37" s="674">
        <v>45838</v>
      </c>
      <c r="U37" s="679">
        <v>87040.79226911701</v>
      </c>
      <c r="V37" s="879"/>
      <c r="W37" s="701">
        <v>45867</v>
      </c>
      <c r="X37" s="866"/>
      <c r="Y37" s="598" t="s">
        <v>60</v>
      </c>
      <c r="Z37" s="599" t="s">
        <v>359</v>
      </c>
    </row>
    <row r="38" spans="2:27" ht="14.25" customHeight="1" x14ac:dyDescent="0.3">
      <c r="B38" s="300"/>
      <c r="C38" s="301"/>
      <c r="D38" s="317"/>
      <c r="E38" s="303"/>
      <c r="F38" s="446"/>
      <c r="G38" s="304"/>
      <c r="H38" s="701"/>
      <c r="I38" s="876"/>
      <c r="J38" s="876"/>
      <c r="K38" s="277"/>
      <c r="L38" s="300">
        <v>3</v>
      </c>
      <c r="M38" s="411" t="s">
        <v>346</v>
      </c>
      <c r="N38" s="317" t="s">
        <v>864</v>
      </c>
      <c r="O38" s="540">
        <v>-220</v>
      </c>
      <c r="P38" s="446">
        <v>22.68</v>
      </c>
      <c r="Q38" s="304">
        <f>O38*P38</f>
        <v>-4989.6000000000004</v>
      </c>
      <c r="R38" s="889"/>
      <c r="S38" s="609"/>
      <c r="T38" s="509">
        <v>46081</v>
      </c>
      <c r="U38" s="679"/>
      <c r="V38" s="879"/>
      <c r="W38" s="560">
        <v>46081</v>
      </c>
      <c r="X38" s="866"/>
      <c r="Y38" s="856"/>
      <c r="Z38" s="857"/>
    </row>
    <row r="39" spans="2:27" ht="14.25" customHeight="1" x14ac:dyDescent="0.3">
      <c r="B39" s="300"/>
      <c r="C39" s="301"/>
      <c r="D39" s="317"/>
      <c r="E39" s="303"/>
      <c r="F39" s="446"/>
      <c r="G39" s="304"/>
      <c r="H39" s="701"/>
      <c r="I39" s="876"/>
      <c r="J39" s="876"/>
      <c r="K39" s="277"/>
      <c r="L39" s="300">
        <v>3</v>
      </c>
      <c r="M39" s="411" t="s">
        <v>346</v>
      </c>
      <c r="N39" s="317" t="s">
        <v>360</v>
      </c>
      <c r="O39" s="540">
        <f>O37*2</f>
        <v>3966</v>
      </c>
      <c r="P39" s="446">
        <v>5.87</v>
      </c>
      <c r="Q39" s="304">
        <f t="shared" si="2"/>
        <v>23280.420000000002</v>
      </c>
      <c r="R39" s="889"/>
      <c r="S39" s="609" t="s">
        <v>349</v>
      </c>
      <c r="T39" s="674">
        <v>45838</v>
      </c>
      <c r="U39" s="679">
        <v>44661.665263961266</v>
      </c>
      <c r="V39" s="879"/>
      <c r="W39" s="701">
        <v>45867</v>
      </c>
      <c r="X39" s="866"/>
      <c r="Y39" s="600" t="str">
        <f t="shared" ref="Y39:Y46" si="3">Y22</f>
        <v>AC Equipment</v>
      </c>
      <c r="Z39" s="601">
        <v>2941866.9</v>
      </c>
    </row>
    <row r="40" spans="2:27" ht="14.25" customHeight="1" x14ac:dyDescent="0.3">
      <c r="B40" s="300"/>
      <c r="C40" s="301"/>
      <c r="D40" s="317"/>
      <c r="E40" s="303"/>
      <c r="F40" s="446"/>
      <c r="G40" s="304"/>
      <c r="H40" s="560"/>
      <c r="I40" s="876"/>
      <c r="J40" s="876"/>
      <c r="K40" s="277"/>
      <c r="L40" s="300">
        <v>3</v>
      </c>
      <c r="M40" s="411" t="s">
        <v>346</v>
      </c>
      <c r="N40" s="317"/>
      <c r="O40" s="540"/>
      <c r="P40" s="446"/>
      <c r="Q40" s="304"/>
      <c r="R40" s="889"/>
      <c r="S40" s="609"/>
      <c r="T40" s="509"/>
      <c r="U40" s="679">
        <v>0</v>
      </c>
      <c r="V40" s="879"/>
      <c r="W40" s="560"/>
      <c r="X40" s="866"/>
      <c r="Y40" s="600" t="str">
        <f t="shared" si="3"/>
        <v>DC Equipment</v>
      </c>
      <c r="Z40" s="601">
        <v>4558110</v>
      </c>
    </row>
    <row r="41" spans="2:27" ht="14.25" customHeight="1" x14ac:dyDescent="0.3">
      <c r="B41" s="300"/>
      <c r="C41" s="301"/>
      <c r="D41" s="317"/>
      <c r="E41" s="303"/>
      <c r="F41" s="446"/>
      <c r="G41" s="304"/>
      <c r="H41" s="701"/>
      <c r="I41" s="876"/>
      <c r="J41" s="876"/>
      <c r="K41" s="277"/>
      <c r="L41" s="300">
        <v>3</v>
      </c>
      <c r="M41" s="411" t="s">
        <v>346</v>
      </c>
      <c r="N41" s="317" t="s">
        <v>361</v>
      </c>
      <c r="O41" s="540"/>
      <c r="P41" s="446"/>
      <c r="Q41" s="304">
        <v>17564</v>
      </c>
      <c r="R41" s="890"/>
      <c r="S41" s="609" t="s">
        <v>349</v>
      </c>
      <c r="T41" s="674">
        <v>45838</v>
      </c>
      <c r="U41" s="679">
        <v>33695.16051240552</v>
      </c>
      <c r="V41" s="879"/>
      <c r="W41" s="701">
        <v>45867</v>
      </c>
      <c r="X41" s="866"/>
      <c r="Y41" s="600" t="str">
        <f t="shared" si="3"/>
        <v>AC Labour</v>
      </c>
      <c r="Z41" s="601">
        <f>AA41*7080000</f>
        <v>1770000</v>
      </c>
      <c r="AA41" s="634">
        <v>0.25</v>
      </c>
    </row>
    <row r="42" spans="2:27" ht="14.25" customHeight="1" x14ac:dyDescent="0.3">
      <c r="B42" s="300"/>
      <c r="C42" s="301"/>
      <c r="D42" s="317"/>
      <c r="E42" s="303"/>
      <c r="F42" s="446"/>
      <c r="G42" s="304"/>
      <c r="H42" s="560"/>
      <c r="I42" s="876"/>
      <c r="J42" s="876"/>
      <c r="K42" s="277"/>
      <c r="L42" s="300">
        <v>3</v>
      </c>
      <c r="M42" s="411" t="s">
        <v>346</v>
      </c>
      <c r="N42" s="317"/>
      <c r="O42" s="540"/>
      <c r="P42" s="446"/>
      <c r="Q42" s="304"/>
      <c r="R42" s="574"/>
      <c r="S42" s="609"/>
      <c r="T42" s="751"/>
      <c r="U42" s="493">
        <f>(Q42/$X$31*$J$31)</f>
        <v>0</v>
      </c>
      <c r="V42" s="879"/>
      <c r="W42" s="756">
        <v>45930</v>
      </c>
      <c r="X42" s="866"/>
      <c r="Y42" s="600" t="str">
        <f t="shared" si="3"/>
        <v>DC Labour</v>
      </c>
      <c r="Z42" s="601">
        <f>AA42*7080000</f>
        <v>4602000</v>
      </c>
      <c r="AA42" s="629">
        <v>0.65</v>
      </c>
    </row>
    <row r="43" spans="2:27" ht="14.25" customHeight="1" x14ac:dyDescent="0.3">
      <c r="B43" s="300"/>
      <c r="C43" s="301"/>
      <c r="D43" s="317"/>
      <c r="E43" s="303"/>
      <c r="F43" s="446"/>
      <c r="G43" s="304"/>
      <c r="H43" s="560"/>
      <c r="I43" s="876"/>
      <c r="J43" s="876"/>
      <c r="K43" s="277"/>
      <c r="L43" s="300">
        <v>3</v>
      </c>
      <c r="M43" s="411" t="s">
        <v>346</v>
      </c>
      <c r="N43" s="317"/>
      <c r="O43" s="540"/>
      <c r="P43" s="446"/>
      <c r="Q43" s="304"/>
      <c r="R43" s="574"/>
      <c r="S43" s="609"/>
      <c r="T43" s="751"/>
      <c r="U43" s="493">
        <f>(Q43/$X$31*$J$31)</f>
        <v>0</v>
      </c>
      <c r="V43" s="879"/>
      <c r="W43" s="756">
        <v>45930</v>
      </c>
      <c r="X43" s="866"/>
      <c r="Y43" s="600" t="str">
        <f t="shared" si="3"/>
        <v>Offloading</v>
      </c>
      <c r="Z43" s="601">
        <v>85000</v>
      </c>
    </row>
    <row r="44" spans="2:27" ht="14.25" customHeight="1" x14ac:dyDescent="0.3">
      <c r="B44" s="300"/>
      <c r="C44" s="301"/>
      <c r="D44" s="317"/>
      <c r="E44" s="303"/>
      <c r="F44" s="446"/>
      <c r="G44" s="304"/>
      <c r="H44" s="560"/>
      <c r="I44" s="876"/>
      <c r="J44" s="876"/>
      <c r="K44" s="277"/>
      <c r="L44" s="300">
        <v>3</v>
      </c>
      <c r="M44" s="411" t="s">
        <v>346</v>
      </c>
      <c r="N44" s="317"/>
      <c r="O44" s="540"/>
      <c r="P44" s="446"/>
      <c r="Q44" s="304"/>
      <c r="R44" s="574"/>
      <c r="S44" s="609"/>
      <c r="T44" s="509" t="str">
        <f t="shared" ref="T44" si="4">IF(W44&gt;1,EOMONTH(W44,0),"")</f>
        <v/>
      </c>
      <c r="U44" s="493">
        <f>(Q44/$X$31*$J$31)</f>
        <v>0</v>
      </c>
      <c r="V44" s="879"/>
      <c r="W44" s="560"/>
      <c r="X44" s="866"/>
      <c r="Y44" s="600" t="str">
        <f t="shared" si="3"/>
        <v>Scaffolding</v>
      </c>
      <c r="Z44" s="601">
        <v>133245.9</v>
      </c>
    </row>
    <row r="45" spans="2:27" ht="14.25" customHeight="1" x14ac:dyDescent="0.3">
      <c r="B45" s="300">
        <v>3</v>
      </c>
      <c r="C45" s="301"/>
      <c r="D45" s="317"/>
      <c r="E45" s="303"/>
      <c r="F45" s="446"/>
      <c r="G45" s="304"/>
      <c r="H45" s="524"/>
      <c r="I45" s="876"/>
      <c r="J45" s="876"/>
      <c r="K45" s="277"/>
      <c r="L45" s="300">
        <v>3</v>
      </c>
      <c r="M45" s="411" t="s">
        <v>346</v>
      </c>
      <c r="N45" s="317" t="s">
        <v>362</v>
      </c>
      <c r="O45" s="631">
        <f>O8*620/1000</f>
        <v>3169.44</v>
      </c>
      <c r="P45" s="446">
        <v>0.97201398354283397</v>
      </c>
      <c r="Q45" s="304">
        <f>O45*P45*1000*0.5</f>
        <v>1540370</v>
      </c>
      <c r="R45" s="891" t="s">
        <v>363</v>
      </c>
      <c r="S45" s="609" t="s">
        <v>364</v>
      </c>
      <c r="T45" s="674">
        <v>45900</v>
      </c>
      <c r="U45" s="679">
        <v>2955079.389574931</v>
      </c>
      <c r="V45" s="879"/>
      <c r="W45" s="524">
        <v>45827</v>
      </c>
      <c r="X45" s="866"/>
      <c r="Y45" s="600" t="str">
        <f t="shared" si="3"/>
        <v>Storage</v>
      </c>
      <c r="Z45" s="601">
        <v>176058.33333333331</v>
      </c>
    </row>
    <row r="46" spans="2:27" ht="14.25" customHeight="1" x14ac:dyDescent="0.3">
      <c r="B46" s="300">
        <v>3</v>
      </c>
      <c r="C46" s="373"/>
      <c r="D46" s="374"/>
      <c r="E46" s="395"/>
      <c r="F46" s="431"/>
      <c r="G46" s="375"/>
      <c r="H46" s="525"/>
      <c r="I46" s="876"/>
      <c r="J46" s="876"/>
      <c r="K46" s="277"/>
      <c r="L46" s="300">
        <v>3</v>
      </c>
      <c r="M46" s="411" t="s">
        <v>346</v>
      </c>
      <c r="N46" s="317" t="s">
        <v>365</v>
      </c>
      <c r="O46" s="541"/>
      <c r="P46" s="431"/>
      <c r="Q46" s="375">
        <f>O45*P45*1000*0.5</f>
        <v>1540370</v>
      </c>
      <c r="R46" s="889"/>
      <c r="S46" s="610" t="s">
        <v>366</v>
      </c>
      <c r="T46" s="670">
        <v>45900</v>
      </c>
      <c r="U46" s="680">
        <v>2955079.389574931</v>
      </c>
      <c r="V46" s="879"/>
      <c r="W46" s="525">
        <v>45930</v>
      </c>
      <c r="X46" s="866"/>
      <c r="Y46" s="600" t="str">
        <f t="shared" si="3"/>
        <v>Telehandler</v>
      </c>
      <c r="Z46" s="601">
        <v>150000</v>
      </c>
    </row>
    <row r="47" spans="2:27" ht="14.25" customHeight="1" x14ac:dyDescent="0.3">
      <c r="B47" s="300"/>
      <c r="C47" s="373"/>
      <c r="D47" s="374"/>
      <c r="E47" s="395"/>
      <c r="F47" s="431"/>
      <c r="G47" s="375"/>
      <c r="H47" s="525"/>
      <c r="I47" s="876"/>
      <c r="J47" s="876"/>
      <c r="K47" s="277"/>
      <c r="L47" s="300">
        <v>3</v>
      </c>
      <c r="M47" s="411" t="s">
        <v>346</v>
      </c>
      <c r="N47" s="374"/>
      <c r="O47" s="541"/>
      <c r="P47" s="431"/>
      <c r="Q47" s="375">
        <v>-1540370</v>
      </c>
      <c r="R47" s="889"/>
      <c r="S47" s="609" t="s">
        <v>367</v>
      </c>
      <c r="T47" s="751">
        <v>45930</v>
      </c>
      <c r="U47" s="680">
        <v>0</v>
      </c>
      <c r="V47" s="879"/>
      <c r="W47" s="756">
        <v>45930</v>
      </c>
      <c r="X47" s="866"/>
      <c r="Y47" s="600"/>
      <c r="Z47" s="601"/>
    </row>
    <row r="48" spans="2:27" ht="14.25" customHeight="1" x14ac:dyDescent="0.3">
      <c r="B48" s="300"/>
      <c r="C48" s="373"/>
      <c r="D48" s="374"/>
      <c r="E48" s="395"/>
      <c r="F48" s="431"/>
      <c r="G48" s="375"/>
      <c r="H48" s="525"/>
      <c r="I48" s="876"/>
      <c r="J48" s="876"/>
      <c r="K48" s="277"/>
      <c r="L48" s="300">
        <v>3</v>
      </c>
      <c r="M48" s="411" t="s">
        <v>346</v>
      </c>
      <c r="N48" s="374"/>
      <c r="O48" s="541"/>
      <c r="P48" s="431"/>
      <c r="Q48" s="375">
        <v>-1540370</v>
      </c>
      <c r="R48" s="889"/>
      <c r="S48" s="609" t="s">
        <v>368</v>
      </c>
      <c r="T48" s="751">
        <v>45930</v>
      </c>
      <c r="U48" s="680">
        <v>0</v>
      </c>
      <c r="V48" s="879"/>
      <c r="W48" s="756">
        <v>45930</v>
      </c>
      <c r="X48" s="866"/>
      <c r="Y48" s="600"/>
      <c r="Z48" s="601"/>
    </row>
    <row r="49" spans="1:26" ht="14.25" customHeight="1" x14ac:dyDescent="0.3">
      <c r="B49" s="300"/>
      <c r="C49" s="373"/>
      <c r="D49" s="374"/>
      <c r="E49" s="395"/>
      <c r="F49" s="431"/>
      <c r="G49" s="375"/>
      <c r="H49" s="525"/>
      <c r="I49" s="876"/>
      <c r="J49" s="876"/>
      <c r="K49" s="277"/>
      <c r="L49" s="300">
        <v>3</v>
      </c>
      <c r="M49" s="411" t="s">
        <v>346</v>
      </c>
      <c r="N49" s="374"/>
      <c r="O49" s="541"/>
      <c r="P49" s="431"/>
      <c r="Q49" s="375">
        <v>3006740</v>
      </c>
      <c r="R49" s="889"/>
      <c r="S49" s="609" t="s">
        <v>369</v>
      </c>
      <c r="T49" s="670">
        <v>45930</v>
      </c>
      <c r="U49" s="680">
        <v>0</v>
      </c>
      <c r="V49" s="879"/>
      <c r="W49" s="525">
        <v>45930</v>
      </c>
      <c r="X49" s="866"/>
      <c r="Y49" s="600"/>
      <c r="Z49" s="601"/>
    </row>
    <row r="50" spans="1:26" ht="14.25" customHeight="1" x14ac:dyDescent="0.3">
      <c r="B50" s="300">
        <v>3</v>
      </c>
      <c r="C50" s="373"/>
      <c r="D50" s="374"/>
      <c r="E50" s="395"/>
      <c r="F50" s="431"/>
      <c r="G50" s="375"/>
      <c r="H50" s="525"/>
      <c r="I50" s="876"/>
      <c r="J50" s="876"/>
      <c r="K50" s="277"/>
      <c r="L50" s="300">
        <v>3</v>
      </c>
      <c r="M50" s="411" t="s">
        <v>346</v>
      </c>
      <c r="N50" s="374" t="s">
        <v>370</v>
      </c>
      <c r="O50" s="541"/>
      <c r="P50" s="431"/>
      <c r="Q50" s="375">
        <f>74000*50%</f>
        <v>37000</v>
      </c>
      <c r="R50" s="889"/>
      <c r="S50" s="609" t="s">
        <v>364</v>
      </c>
      <c r="T50" s="670">
        <v>45838</v>
      </c>
      <c r="U50" s="680">
        <v>70981.606636244833</v>
      </c>
      <c r="V50" s="879"/>
      <c r="W50" s="525">
        <v>45827</v>
      </c>
      <c r="X50" s="866"/>
      <c r="Y50" s="600" t="s">
        <v>371</v>
      </c>
      <c r="Z50" s="601">
        <v>4500</v>
      </c>
    </row>
    <row r="51" spans="1:26" ht="15" customHeight="1" thickBot="1" x14ac:dyDescent="0.35">
      <c r="B51" s="305">
        <v>3</v>
      </c>
      <c r="C51" s="326"/>
      <c r="D51" s="318"/>
      <c r="E51" s="307"/>
      <c r="F51" s="447"/>
      <c r="G51" s="319"/>
      <c r="H51" s="526"/>
      <c r="I51" s="877"/>
      <c r="J51" s="877"/>
      <c r="K51" s="278"/>
      <c r="L51" s="305">
        <v>3</v>
      </c>
      <c r="M51" s="412" t="s">
        <v>346</v>
      </c>
      <c r="N51" s="318" t="s">
        <v>372</v>
      </c>
      <c r="O51" s="542"/>
      <c r="P51" s="447"/>
      <c r="Q51" s="319">
        <f>74000*50%</f>
        <v>37000</v>
      </c>
      <c r="R51" s="892"/>
      <c r="S51" s="611" t="s">
        <v>366</v>
      </c>
      <c r="T51" s="707">
        <v>45900</v>
      </c>
      <c r="U51" s="714">
        <v>70981.606636244833</v>
      </c>
      <c r="V51" s="880"/>
      <c r="W51" s="526">
        <f>W46</f>
        <v>45930</v>
      </c>
      <c r="X51" s="867"/>
      <c r="Y51" s="600" t="s">
        <v>350</v>
      </c>
      <c r="Z51" s="601">
        <v>0</v>
      </c>
    </row>
    <row r="52" spans="1:26" ht="16.5" thickBot="1" x14ac:dyDescent="0.35">
      <c r="A52" s="24"/>
      <c r="B52" s="279"/>
      <c r="C52" s="296"/>
      <c r="D52" s="297"/>
      <c r="E52" s="280"/>
      <c r="F52" s="443"/>
      <c r="G52" s="281"/>
      <c r="H52" s="563"/>
      <c r="I52" s="269"/>
      <c r="J52" s="269"/>
      <c r="K52" s="24"/>
      <c r="L52" s="279"/>
      <c r="M52" s="296"/>
      <c r="N52" s="297"/>
      <c r="O52" s="543"/>
      <c r="P52" s="443"/>
      <c r="Q52" s="281"/>
      <c r="R52" s="577"/>
      <c r="S52" s="612"/>
      <c r="T52" s="512" t="str">
        <f t="shared" si="1"/>
        <v/>
      </c>
      <c r="U52" s="500"/>
      <c r="V52" s="483"/>
      <c r="W52" s="563"/>
      <c r="X52" s="339"/>
      <c r="Y52" s="600" t="s">
        <v>350</v>
      </c>
      <c r="Z52" s="602">
        <v>0</v>
      </c>
    </row>
    <row r="53" spans="1:26" ht="14.25" customHeight="1" x14ac:dyDescent="0.3">
      <c r="B53" s="282">
        <v>4</v>
      </c>
      <c r="C53" s="283" t="s">
        <v>328</v>
      </c>
      <c r="D53" s="283" t="s">
        <v>373</v>
      </c>
      <c r="E53" s="353">
        <v>249988</v>
      </c>
      <c r="F53" s="444"/>
      <c r="G53" s="285">
        <v>3499832</v>
      </c>
      <c r="H53" s="564">
        <f>H54</f>
        <v>45901</v>
      </c>
      <c r="I53" s="859">
        <f>SUM(G53:G90)</f>
        <v>8057942</v>
      </c>
      <c r="J53" s="859">
        <f>F412</f>
        <v>8707455.0718637351</v>
      </c>
      <c r="K53" s="286"/>
      <c r="L53" s="282">
        <v>4</v>
      </c>
      <c r="M53" s="413" t="s">
        <v>374</v>
      </c>
      <c r="N53" s="283" t="s">
        <v>373</v>
      </c>
      <c r="O53" s="536">
        <v>24000</v>
      </c>
      <c r="P53" s="444">
        <v>0</v>
      </c>
      <c r="Q53" s="285">
        <f>O53*P53</f>
        <v>0</v>
      </c>
      <c r="R53" s="578"/>
      <c r="S53" s="613"/>
      <c r="T53" s="513"/>
      <c r="U53" s="497">
        <f>(Q53/$X$53*$J$53)</f>
        <v>0</v>
      </c>
      <c r="V53" s="868">
        <f>J53-SUM(U53:U90)</f>
        <v>-4.7537833452224731E-3</v>
      </c>
      <c r="W53" s="564"/>
      <c r="X53" s="862">
        <f>SUM(Q53:Q90)</f>
        <v>3193174</v>
      </c>
      <c r="Y53" s="600" t="s">
        <v>353</v>
      </c>
      <c r="Z53" s="601">
        <f>SUM(Z39:Z52)</f>
        <v>14420781.133333335</v>
      </c>
    </row>
    <row r="54" spans="1:26" ht="14.25" customHeight="1" x14ac:dyDescent="0.3">
      <c r="B54" s="309">
        <v>4</v>
      </c>
      <c r="C54" s="397"/>
      <c r="D54" s="397" t="s">
        <v>375</v>
      </c>
      <c r="E54" s="383"/>
      <c r="F54" s="440"/>
      <c r="G54" s="625">
        <f>D412-G53</f>
        <v>4558110</v>
      </c>
      <c r="H54" s="528">
        <v>45901</v>
      </c>
      <c r="I54" s="860"/>
      <c r="J54" s="860"/>
      <c r="K54" s="290"/>
      <c r="L54" s="287">
        <v>4</v>
      </c>
      <c r="M54" s="414" t="s">
        <v>374</v>
      </c>
      <c r="N54" s="397" t="s">
        <v>376</v>
      </c>
      <c r="O54" s="651">
        <v>0.1</v>
      </c>
      <c r="P54" s="440">
        <v>2376000</v>
      </c>
      <c r="Q54" s="289">
        <f>O54*P54</f>
        <v>237600</v>
      </c>
      <c r="R54" s="871" t="s">
        <v>305</v>
      </c>
      <c r="S54" s="614" t="s">
        <v>306</v>
      </c>
      <c r="T54" s="672">
        <v>45838</v>
      </c>
      <c r="U54" s="681">
        <v>465334.01673059782</v>
      </c>
      <c r="V54" s="869"/>
      <c r="W54" s="528">
        <v>45901</v>
      </c>
      <c r="X54" s="863"/>
      <c r="Y54" s="603" t="s">
        <v>357</v>
      </c>
      <c r="Z54" s="602">
        <f>Z53/'Project Plan'!$E$3/1000</f>
        <v>2.0368334934086629</v>
      </c>
    </row>
    <row r="55" spans="1:26" ht="14.25" customHeight="1" x14ac:dyDescent="0.2">
      <c r="B55" s="309"/>
      <c r="C55" s="397"/>
      <c r="D55" s="397"/>
      <c r="E55" s="383"/>
      <c r="F55" s="440"/>
      <c r="G55" s="625"/>
      <c r="H55" s="528"/>
      <c r="I55" s="860"/>
      <c r="J55" s="860"/>
      <c r="K55" s="290"/>
      <c r="L55" s="287">
        <v>4</v>
      </c>
      <c r="M55" s="414" t="s">
        <v>374</v>
      </c>
      <c r="N55" s="397" t="s">
        <v>186</v>
      </c>
      <c r="O55" s="651">
        <v>0.9</v>
      </c>
      <c r="P55" s="440"/>
      <c r="Q55" s="289">
        <f>O55*P54</f>
        <v>2138400</v>
      </c>
      <c r="R55" s="874"/>
      <c r="S55" s="614" t="s">
        <v>377</v>
      </c>
      <c r="T55" s="672">
        <v>45838</v>
      </c>
      <c r="U55" s="681">
        <v>4188006.1505753803</v>
      </c>
      <c r="V55" s="869"/>
      <c r="W55" s="528">
        <v>45901</v>
      </c>
      <c r="X55" s="863"/>
      <c r="Y55" s="472"/>
    </row>
    <row r="56" spans="1:26" ht="14.25" customHeight="1" x14ac:dyDescent="0.2">
      <c r="B56" s="309">
        <v>4</v>
      </c>
      <c r="C56" s="397"/>
      <c r="D56" s="397"/>
      <c r="E56" s="383"/>
      <c r="F56" s="440"/>
      <c r="G56" s="289"/>
      <c r="H56" s="528"/>
      <c r="I56" s="860"/>
      <c r="J56" s="860"/>
      <c r="K56" s="290"/>
      <c r="L56" s="287">
        <v>4</v>
      </c>
      <c r="M56" s="414" t="s">
        <v>374</v>
      </c>
      <c r="N56" s="397" t="s">
        <v>378</v>
      </c>
      <c r="O56" s="537">
        <v>500</v>
      </c>
      <c r="P56" s="440">
        <v>13</v>
      </c>
      <c r="Q56" s="289">
        <f>O56*P56</f>
        <v>6500</v>
      </c>
      <c r="R56" s="871" t="s">
        <v>379</v>
      </c>
      <c r="S56" s="614" t="s">
        <v>380</v>
      </c>
      <c r="T56" s="672">
        <v>45869</v>
      </c>
      <c r="U56" s="681">
        <v>13627.717212616306</v>
      </c>
      <c r="V56" s="869"/>
      <c r="W56" s="528">
        <v>45925</v>
      </c>
      <c r="X56" s="863"/>
      <c r="Y56" s="472"/>
    </row>
    <row r="57" spans="1:26" ht="14.25" customHeight="1" x14ac:dyDescent="0.2">
      <c r="B57" s="309">
        <v>4</v>
      </c>
      <c r="C57" s="397"/>
      <c r="D57" s="397"/>
      <c r="E57" s="383"/>
      <c r="F57" s="440"/>
      <c r="G57" s="289"/>
      <c r="H57" s="528"/>
      <c r="I57" s="860"/>
      <c r="J57" s="860"/>
      <c r="K57" s="290"/>
      <c r="L57" s="287">
        <v>4</v>
      </c>
      <c r="M57" s="414" t="s">
        <v>374</v>
      </c>
      <c r="N57" s="397" t="s">
        <v>381</v>
      </c>
      <c r="O57" s="545">
        <v>500</v>
      </c>
      <c r="P57" s="440">
        <v>13</v>
      </c>
      <c r="Q57" s="289">
        <f>O57*P57</f>
        <v>6500</v>
      </c>
      <c r="R57" s="872"/>
      <c r="S57" s="614" t="s">
        <v>380</v>
      </c>
      <c r="T57" s="672">
        <v>45869</v>
      </c>
      <c r="U57" s="681">
        <v>13627.717212616306</v>
      </c>
      <c r="V57" s="869"/>
      <c r="W57" s="528">
        <f>W56</f>
        <v>45925</v>
      </c>
      <c r="X57" s="863"/>
      <c r="Y57" s="472"/>
    </row>
    <row r="58" spans="1:26" ht="14.25" customHeight="1" x14ac:dyDescent="0.2">
      <c r="B58" s="309"/>
      <c r="C58" s="397"/>
      <c r="D58" s="397"/>
      <c r="E58" s="383"/>
      <c r="F58" s="440"/>
      <c r="G58" s="289"/>
      <c r="H58" s="528"/>
      <c r="I58" s="860"/>
      <c r="J58" s="860"/>
      <c r="K58" s="290"/>
      <c r="L58" s="287">
        <v>4</v>
      </c>
      <c r="M58" s="414" t="s">
        <v>374</v>
      </c>
      <c r="N58" s="397" t="s">
        <v>854</v>
      </c>
      <c r="O58" s="545">
        <v>-4000</v>
      </c>
      <c r="P58" s="440">
        <v>13</v>
      </c>
      <c r="Q58" s="289">
        <f>O58*P58</f>
        <v>-52000</v>
      </c>
      <c r="R58" s="855"/>
      <c r="S58" s="614"/>
      <c r="T58" s="514">
        <v>46081</v>
      </c>
      <c r="U58" s="681"/>
      <c r="V58" s="869"/>
      <c r="W58" s="565">
        <v>46081</v>
      </c>
      <c r="X58" s="863"/>
      <c r="Y58" s="472"/>
    </row>
    <row r="59" spans="1:26" ht="14.25" customHeight="1" x14ac:dyDescent="0.2">
      <c r="B59" s="309"/>
      <c r="C59" s="397"/>
      <c r="D59" s="397"/>
      <c r="E59" s="383"/>
      <c r="F59" s="440"/>
      <c r="G59" s="289"/>
      <c r="H59" s="528"/>
      <c r="I59" s="860"/>
      <c r="J59" s="860"/>
      <c r="K59" s="290"/>
      <c r="L59" s="287">
        <v>4</v>
      </c>
      <c r="M59" s="414" t="s">
        <v>374</v>
      </c>
      <c r="N59" s="397" t="s">
        <v>855</v>
      </c>
      <c r="O59" s="545">
        <v>-4790</v>
      </c>
      <c r="P59" s="440">
        <v>13</v>
      </c>
      <c r="Q59" s="289">
        <f>O59*P59</f>
        <v>-62270</v>
      </c>
      <c r="R59" s="855"/>
      <c r="S59" s="614"/>
      <c r="T59" s="514">
        <v>46081</v>
      </c>
      <c r="U59" s="681"/>
      <c r="V59" s="869"/>
      <c r="W59" s="565">
        <v>46081</v>
      </c>
      <c r="X59" s="863"/>
      <c r="Y59" s="472"/>
    </row>
    <row r="60" spans="1:26" ht="14.25" customHeight="1" x14ac:dyDescent="0.2">
      <c r="B60" s="309"/>
      <c r="C60" s="397"/>
      <c r="D60" s="397"/>
      <c r="E60" s="383"/>
      <c r="F60" s="440"/>
      <c r="G60" s="289"/>
      <c r="H60" s="565"/>
      <c r="I60" s="860"/>
      <c r="J60" s="860"/>
      <c r="K60" s="290"/>
      <c r="L60" s="287">
        <v>4</v>
      </c>
      <c r="M60" s="414" t="s">
        <v>374</v>
      </c>
      <c r="N60" s="397"/>
      <c r="O60" s="545"/>
      <c r="P60" s="440"/>
      <c r="Q60" s="289"/>
      <c r="R60" s="583"/>
      <c r="S60" s="614"/>
      <c r="T60" s="514" t="str">
        <f t="shared" ref="T60:T171" si="5">IF(W60&gt;1,EOMONTH(W60,0),"")</f>
        <v/>
      </c>
      <c r="U60" s="498">
        <f>(Q60/$X$53*$J$53)</f>
        <v>0</v>
      </c>
      <c r="V60" s="869"/>
      <c r="W60" s="565"/>
      <c r="X60" s="863"/>
      <c r="Y60" s="472"/>
    </row>
    <row r="61" spans="1:26" ht="14.25" customHeight="1" x14ac:dyDescent="0.2">
      <c r="B61" s="309"/>
      <c r="C61" s="397"/>
      <c r="D61" s="397"/>
      <c r="E61" s="383"/>
      <c r="F61" s="440"/>
      <c r="G61" s="289"/>
      <c r="H61" s="528"/>
      <c r="I61" s="860"/>
      <c r="J61" s="860"/>
      <c r="K61" s="290"/>
      <c r="L61" s="287">
        <v>4</v>
      </c>
      <c r="M61" s="414" t="s">
        <v>374</v>
      </c>
      <c r="N61" s="397" t="s">
        <v>382</v>
      </c>
      <c r="O61" s="545"/>
      <c r="P61" s="440"/>
      <c r="Q61" s="289">
        <v>370187</v>
      </c>
      <c r="R61" s="583" t="s">
        <v>383</v>
      </c>
      <c r="S61" s="614" t="s">
        <v>384</v>
      </c>
      <c r="T61" s="672">
        <v>45869</v>
      </c>
      <c r="U61" s="681">
        <v>1724074.1776282564</v>
      </c>
      <c r="V61" s="869"/>
      <c r="W61" s="528">
        <v>45904</v>
      </c>
      <c r="X61" s="863"/>
      <c r="Y61" s="472"/>
    </row>
    <row r="62" spans="1:26" ht="14.25" customHeight="1" x14ac:dyDescent="0.2">
      <c r="B62" s="309"/>
      <c r="C62" s="397"/>
      <c r="D62" s="397"/>
      <c r="E62" s="383"/>
      <c r="F62" s="440"/>
      <c r="G62" s="289"/>
      <c r="H62" s="672"/>
      <c r="I62" s="860"/>
      <c r="J62" s="860"/>
      <c r="K62" s="290"/>
      <c r="L62" s="287">
        <v>4</v>
      </c>
      <c r="M62" s="414" t="s">
        <v>374</v>
      </c>
      <c r="N62" s="397"/>
      <c r="O62" s="545"/>
      <c r="P62" s="440"/>
      <c r="Q62" s="289"/>
      <c r="R62" s="583"/>
      <c r="S62" s="614"/>
      <c r="T62" s="672">
        <v>45900</v>
      </c>
      <c r="U62" s="681">
        <v>1117518.18</v>
      </c>
      <c r="V62" s="869"/>
      <c r="W62" s="672">
        <v>45900</v>
      </c>
      <c r="X62" s="863"/>
      <c r="Y62" s="472"/>
      <c r="Z62" s="750"/>
    </row>
    <row r="63" spans="1:26" ht="14.25" customHeight="1" x14ac:dyDescent="0.2">
      <c r="B63" s="309"/>
      <c r="C63" s="397"/>
      <c r="D63" s="397"/>
      <c r="E63" s="383"/>
      <c r="F63" s="440"/>
      <c r="G63" s="289"/>
      <c r="H63" s="565"/>
      <c r="I63" s="860"/>
      <c r="J63" s="860"/>
      <c r="K63" s="290"/>
      <c r="L63" s="287">
        <v>4</v>
      </c>
      <c r="M63" s="414" t="s">
        <v>374</v>
      </c>
      <c r="N63" s="397" t="s">
        <v>867</v>
      </c>
      <c r="O63" s="545">
        <v>-4</v>
      </c>
      <c r="P63" s="440">
        <v>225</v>
      </c>
      <c r="Q63" s="289">
        <f t="shared" ref="Q63:Q75" si="6">O63*P63</f>
        <v>-900</v>
      </c>
      <c r="R63" s="583"/>
      <c r="S63" s="614"/>
      <c r="T63" s="514">
        <v>46081</v>
      </c>
      <c r="U63" s="498">
        <v>0</v>
      </c>
      <c r="V63" s="869"/>
      <c r="W63" s="565">
        <v>46081</v>
      </c>
      <c r="X63" s="863"/>
      <c r="Y63" s="472"/>
    </row>
    <row r="64" spans="1:26" ht="14.25" customHeight="1" x14ac:dyDescent="0.2">
      <c r="B64" s="309"/>
      <c r="C64" s="397"/>
      <c r="D64" s="397"/>
      <c r="E64" s="383"/>
      <c r="F64" s="440"/>
      <c r="G64" s="289"/>
      <c r="H64" s="565"/>
      <c r="I64" s="860"/>
      <c r="J64" s="860"/>
      <c r="K64" s="290"/>
      <c r="L64" s="287">
        <v>4</v>
      </c>
      <c r="M64" s="414" t="s">
        <v>374</v>
      </c>
      <c r="N64" s="397" t="s">
        <v>866</v>
      </c>
      <c r="O64" s="545">
        <v>-3</v>
      </c>
      <c r="P64" s="440">
        <v>87</v>
      </c>
      <c r="Q64" s="289">
        <f t="shared" si="6"/>
        <v>-261</v>
      </c>
      <c r="R64" s="583"/>
      <c r="S64" s="614"/>
      <c r="T64" s="514">
        <v>46081</v>
      </c>
      <c r="U64" s="498"/>
      <c r="V64" s="869"/>
      <c r="W64" s="565">
        <v>46081</v>
      </c>
      <c r="X64" s="863"/>
      <c r="Y64" s="472"/>
    </row>
    <row r="65" spans="2:26" ht="14.25" customHeight="1" x14ac:dyDescent="0.2">
      <c r="B65" s="309"/>
      <c r="C65" s="397"/>
      <c r="D65" s="397"/>
      <c r="E65" s="383"/>
      <c r="F65" s="440"/>
      <c r="G65" s="289"/>
      <c r="H65" s="565"/>
      <c r="I65" s="860"/>
      <c r="J65" s="860"/>
      <c r="K65" s="290"/>
      <c r="L65" s="287">
        <v>4</v>
      </c>
      <c r="M65" s="414" t="s">
        <v>374</v>
      </c>
      <c r="N65" s="397" t="s">
        <v>868</v>
      </c>
      <c r="O65" s="545">
        <v>-16</v>
      </c>
      <c r="P65" s="440">
        <v>501</v>
      </c>
      <c r="Q65" s="289">
        <f t="shared" si="6"/>
        <v>-8016</v>
      </c>
      <c r="R65" s="583"/>
      <c r="S65" s="614"/>
      <c r="T65" s="514">
        <v>46081</v>
      </c>
      <c r="U65" s="498">
        <v>0</v>
      </c>
      <c r="V65" s="869"/>
      <c r="W65" s="565">
        <v>46081</v>
      </c>
      <c r="X65" s="863"/>
      <c r="Y65" s="472"/>
    </row>
    <row r="66" spans="2:26" ht="14.25" customHeight="1" x14ac:dyDescent="0.2">
      <c r="B66" s="309"/>
      <c r="C66" s="397"/>
      <c r="D66" s="397"/>
      <c r="E66" s="383"/>
      <c r="F66" s="440"/>
      <c r="G66" s="289"/>
      <c r="H66" s="565"/>
      <c r="I66" s="860"/>
      <c r="J66" s="860"/>
      <c r="K66" s="290"/>
      <c r="L66" s="287">
        <v>4</v>
      </c>
      <c r="M66" s="414" t="s">
        <v>374</v>
      </c>
      <c r="N66" s="397" t="s">
        <v>869</v>
      </c>
      <c r="O66" s="545">
        <v>-20</v>
      </c>
      <c r="P66" s="440">
        <v>360</v>
      </c>
      <c r="Q66" s="289">
        <f t="shared" si="6"/>
        <v>-7200</v>
      </c>
      <c r="R66" s="583"/>
      <c r="S66" s="614"/>
      <c r="T66" s="514">
        <v>46081</v>
      </c>
      <c r="U66" s="498"/>
      <c r="V66" s="869"/>
      <c r="W66" s="565">
        <v>46081</v>
      </c>
      <c r="X66" s="863"/>
      <c r="Y66" s="472"/>
    </row>
    <row r="67" spans="2:26" ht="14.25" customHeight="1" x14ac:dyDescent="0.2">
      <c r="B67" s="309"/>
      <c r="C67" s="397"/>
      <c r="D67" s="397"/>
      <c r="E67" s="383"/>
      <c r="F67" s="440"/>
      <c r="G67" s="289"/>
      <c r="H67" s="565"/>
      <c r="I67" s="860"/>
      <c r="J67" s="860"/>
      <c r="K67" s="290"/>
      <c r="L67" s="287">
        <v>4</v>
      </c>
      <c r="M67" s="414" t="s">
        <v>374</v>
      </c>
      <c r="N67" s="397" t="s">
        <v>870</v>
      </c>
      <c r="O67" s="545">
        <v>-3</v>
      </c>
      <c r="P67" s="440">
        <v>237</v>
      </c>
      <c r="Q67" s="289">
        <f t="shared" si="6"/>
        <v>-711</v>
      </c>
      <c r="R67" s="583"/>
      <c r="S67" s="614"/>
      <c r="T67" s="514">
        <v>46081</v>
      </c>
      <c r="U67" s="498"/>
      <c r="V67" s="869"/>
      <c r="W67" s="565">
        <v>46081</v>
      </c>
      <c r="X67" s="863"/>
      <c r="Y67" s="472"/>
    </row>
    <row r="68" spans="2:26" ht="14.25" customHeight="1" x14ac:dyDescent="0.2">
      <c r="B68" s="309"/>
      <c r="C68" s="397"/>
      <c r="D68" s="397"/>
      <c r="E68" s="383"/>
      <c r="F68" s="440"/>
      <c r="G68" s="289"/>
      <c r="H68" s="565"/>
      <c r="I68" s="860"/>
      <c r="J68" s="860"/>
      <c r="K68" s="290"/>
      <c r="L68" s="287">
        <v>4</v>
      </c>
      <c r="M68" s="414" t="s">
        <v>374</v>
      </c>
      <c r="N68" s="397" t="s">
        <v>871</v>
      </c>
      <c r="O68" s="545">
        <v>-2</v>
      </c>
      <c r="P68" s="440">
        <v>117</v>
      </c>
      <c r="Q68" s="289">
        <f t="shared" si="6"/>
        <v>-234</v>
      </c>
      <c r="R68" s="583"/>
      <c r="S68" s="614"/>
      <c r="T68" s="514">
        <v>46081</v>
      </c>
      <c r="U68" s="498"/>
      <c r="V68" s="869"/>
      <c r="W68" s="565">
        <v>46081</v>
      </c>
      <c r="X68" s="863"/>
      <c r="Y68" s="472"/>
    </row>
    <row r="69" spans="2:26" ht="14.25" customHeight="1" x14ac:dyDescent="0.2">
      <c r="B69" s="309"/>
      <c r="C69" s="397"/>
      <c r="D69" s="397"/>
      <c r="E69" s="383"/>
      <c r="F69" s="440"/>
      <c r="G69" s="289"/>
      <c r="H69" s="565"/>
      <c r="I69" s="860"/>
      <c r="J69" s="860"/>
      <c r="K69" s="290"/>
      <c r="L69" s="287">
        <v>4</v>
      </c>
      <c r="M69" s="414" t="s">
        <v>374</v>
      </c>
      <c r="N69" s="397" t="s">
        <v>872</v>
      </c>
      <c r="O69" s="545">
        <v>-2</v>
      </c>
      <c r="P69" s="440">
        <v>246</v>
      </c>
      <c r="Q69" s="289">
        <f t="shared" si="6"/>
        <v>-492</v>
      </c>
      <c r="R69" s="583"/>
      <c r="S69" s="614"/>
      <c r="T69" s="514">
        <v>46081</v>
      </c>
      <c r="U69" s="498"/>
      <c r="V69" s="869"/>
      <c r="W69" s="565">
        <v>46081</v>
      </c>
      <c r="X69" s="863"/>
      <c r="Y69" s="472"/>
    </row>
    <row r="70" spans="2:26" ht="14.25" customHeight="1" x14ac:dyDescent="0.2">
      <c r="B70" s="309"/>
      <c r="C70" s="397"/>
      <c r="D70" s="397"/>
      <c r="E70" s="383"/>
      <c r="F70" s="440"/>
      <c r="G70" s="289"/>
      <c r="H70" s="565"/>
      <c r="I70" s="860"/>
      <c r="J70" s="860"/>
      <c r="K70" s="290"/>
      <c r="L70" s="287">
        <v>4</v>
      </c>
      <c r="M70" s="414" t="s">
        <v>374</v>
      </c>
      <c r="N70" s="397" t="s">
        <v>873</v>
      </c>
      <c r="O70" s="545">
        <v>-2</v>
      </c>
      <c r="P70" s="440">
        <v>375</v>
      </c>
      <c r="Q70" s="289">
        <f t="shared" si="6"/>
        <v>-750</v>
      </c>
      <c r="R70" s="583"/>
      <c r="S70" s="614"/>
      <c r="T70" s="514"/>
      <c r="U70" s="498"/>
      <c r="V70" s="869"/>
      <c r="W70" s="565"/>
      <c r="X70" s="863"/>
      <c r="Y70" s="472"/>
    </row>
    <row r="71" spans="2:26" ht="14.25" customHeight="1" x14ac:dyDescent="0.2">
      <c r="B71" s="309"/>
      <c r="C71" s="397"/>
      <c r="D71" s="397"/>
      <c r="E71" s="383"/>
      <c r="F71" s="440"/>
      <c r="G71" s="289"/>
      <c r="H71" s="565"/>
      <c r="I71" s="860"/>
      <c r="J71" s="860"/>
      <c r="K71" s="290"/>
      <c r="L71" s="287">
        <v>4</v>
      </c>
      <c r="M71" s="414" t="s">
        <v>374</v>
      </c>
      <c r="N71" s="397" t="s">
        <v>874</v>
      </c>
      <c r="O71" s="545">
        <v>-2</v>
      </c>
      <c r="P71" s="440">
        <v>189</v>
      </c>
      <c r="Q71" s="289">
        <f t="shared" si="6"/>
        <v>-378</v>
      </c>
      <c r="R71" s="583"/>
      <c r="S71" s="614"/>
      <c r="T71" s="514"/>
      <c r="U71" s="498"/>
      <c r="V71" s="869"/>
      <c r="W71" s="565"/>
      <c r="X71" s="863"/>
      <c r="Y71" s="472"/>
    </row>
    <row r="72" spans="2:26" ht="14.25" customHeight="1" x14ac:dyDescent="0.2">
      <c r="B72" s="309"/>
      <c r="C72" s="397"/>
      <c r="D72" s="397"/>
      <c r="E72" s="383"/>
      <c r="F72" s="440"/>
      <c r="G72" s="289"/>
      <c r="H72" s="565"/>
      <c r="I72" s="860"/>
      <c r="J72" s="860"/>
      <c r="K72" s="290"/>
      <c r="L72" s="287">
        <v>4</v>
      </c>
      <c r="M72" s="414" t="s">
        <v>374</v>
      </c>
      <c r="N72" s="397" t="s">
        <v>875</v>
      </c>
      <c r="O72" s="545">
        <v>-2</v>
      </c>
      <c r="P72" s="440">
        <v>180</v>
      </c>
      <c r="Q72" s="289">
        <f t="shared" si="6"/>
        <v>-360</v>
      </c>
      <c r="R72" s="583"/>
      <c r="S72" s="614"/>
      <c r="T72" s="514"/>
      <c r="U72" s="498"/>
      <c r="V72" s="869"/>
      <c r="W72" s="565"/>
      <c r="X72" s="863"/>
      <c r="Y72" s="472"/>
    </row>
    <row r="73" spans="2:26" ht="14.25" customHeight="1" x14ac:dyDescent="0.2">
      <c r="B73" s="309"/>
      <c r="C73" s="397"/>
      <c r="D73" s="397"/>
      <c r="E73" s="383"/>
      <c r="F73" s="440"/>
      <c r="G73" s="289"/>
      <c r="H73" s="565"/>
      <c r="I73" s="860"/>
      <c r="J73" s="860"/>
      <c r="K73" s="290"/>
      <c r="L73" s="287">
        <v>4</v>
      </c>
      <c r="M73" s="414" t="s">
        <v>374</v>
      </c>
      <c r="N73" s="397" t="s">
        <v>876</v>
      </c>
      <c r="O73" s="545">
        <v>-3</v>
      </c>
      <c r="P73" s="440">
        <v>470</v>
      </c>
      <c r="Q73" s="289">
        <f t="shared" si="6"/>
        <v>-1410</v>
      </c>
      <c r="R73" s="583"/>
      <c r="S73" s="614"/>
      <c r="T73" s="514"/>
      <c r="U73" s="498"/>
      <c r="V73" s="869"/>
      <c r="W73" s="565"/>
      <c r="X73" s="863"/>
      <c r="Y73" s="472"/>
    </row>
    <row r="74" spans="2:26" ht="14.25" customHeight="1" x14ac:dyDescent="0.2">
      <c r="B74" s="309"/>
      <c r="C74" s="397"/>
      <c r="D74" s="397"/>
      <c r="E74" s="383"/>
      <c r="F74" s="440"/>
      <c r="G74" s="289"/>
      <c r="H74" s="565"/>
      <c r="I74" s="860"/>
      <c r="J74" s="860"/>
      <c r="K74" s="290"/>
      <c r="L74" s="287">
        <v>4</v>
      </c>
      <c r="M74" s="414" t="s">
        <v>374</v>
      </c>
      <c r="N74" s="397" t="s">
        <v>877</v>
      </c>
      <c r="O74" s="545">
        <v>-2</v>
      </c>
      <c r="P74" s="440">
        <v>270</v>
      </c>
      <c r="Q74" s="289">
        <f t="shared" si="6"/>
        <v>-540</v>
      </c>
      <c r="R74" s="583"/>
      <c r="S74" s="614"/>
      <c r="T74" s="514"/>
      <c r="U74" s="498"/>
      <c r="V74" s="869"/>
      <c r="W74" s="565"/>
      <c r="X74" s="863"/>
      <c r="Y74" s="472"/>
    </row>
    <row r="75" spans="2:26" ht="14.25" customHeight="1" x14ac:dyDescent="0.2">
      <c r="B75" s="309"/>
      <c r="C75" s="397"/>
      <c r="D75" s="397"/>
      <c r="E75" s="383"/>
      <c r="F75" s="440"/>
      <c r="G75" s="289"/>
      <c r="H75" s="565"/>
      <c r="I75" s="860"/>
      <c r="J75" s="860"/>
      <c r="K75" s="290"/>
      <c r="L75" s="287">
        <v>4</v>
      </c>
      <c r="M75" s="414" t="s">
        <v>374</v>
      </c>
      <c r="N75" s="397" t="s">
        <v>878</v>
      </c>
      <c r="O75" s="545">
        <v>-1</v>
      </c>
      <c r="P75" s="440">
        <v>491</v>
      </c>
      <c r="Q75" s="289">
        <f t="shared" si="6"/>
        <v>-491</v>
      </c>
      <c r="R75" s="583"/>
      <c r="S75" s="614"/>
      <c r="T75" s="514"/>
      <c r="U75" s="498"/>
      <c r="V75" s="869"/>
      <c r="W75" s="565"/>
      <c r="X75" s="863"/>
      <c r="Y75" s="472"/>
    </row>
    <row r="76" spans="2:26" ht="14.25" customHeight="1" x14ac:dyDescent="0.2">
      <c r="B76" s="309"/>
      <c r="C76" s="397"/>
      <c r="D76" s="397"/>
      <c r="E76" s="383"/>
      <c r="F76" s="440"/>
      <c r="G76" s="289"/>
      <c r="H76" s="565"/>
      <c r="I76" s="860"/>
      <c r="J76" s="860"/>
      <c r="K76" s="290"/>
      <c r="L76" s="287">
        <v>4</v>
      </c>
      <c r="M76" s="414" t="s">
        <v>374</v>
      </c>
      <c r="N76" s="397"/>
      <c r="O76" s="545"/>
      <c r="P76" s="440"/>
      <c r="Q76" s="289"/>
      <c r="R76" s="583"/>
      <c r="S76" s="614"/>
      <c r="T76" s="514"/>
      <c r="U76" s="498"/>
      <c r="V76" s="869"/>
      <c r="W76" s="565"/>
      <c r="X76" s="863"/>
      <c r="Y76" s="472"/>
    </row>
    <row r="77" spans="2:26" ht="14.25" customHeight="1" x14ac:dyDescent="0.2">
      <c r="B77" s="309"/>
      <c r="C77" s="397"/>
      <c r="D77" s="397"/>
      <c r="E77" s="383"/>
      <c r="F77" s="440"/>
      <c r="G77" s="289"/>
      <c r="H77" s="565"/>
      <c r="I77" s="860"/>
      <c r="J77" s="860"/>
      <c r="K77" s="290"/>
      <c r="L77" s="287">
        <v>4</v>
      </c>
      <c r="M77" s="414" t="s">
        <v>374</v>
      </c>
      <c r="N77" s="397"/>
      <c r="O77" s="545"/>
      <c r="P77" s="440"/>
      <c r="Q77" s="289"/>
      <c r="R77" s="583"/>
      <c r="S77" s="614"/>
      <c r="T77" s="514"/>
      <c r="U77" s="498"/>
      <c r="V77" s="869"/>
      <c r="W77" s="565"/>
      <c r="X77" s="863"/>
      <c r="Y77" s="472"/>
    </row>
    <row r="78" spans="2:26" ht="14.25" customHeight="1" x14ac:dyDescent="0.2">
      <c r="B78" s="309"/>
      <c r="C78" s="397"/>
      <c r="D78" s="397"/>
      <c r="E78" s="383"/>
      <c r="F78" s="440"/>
      <c r="G78" s="289"/>
      <c r="H78" s="565"/>
      <c r="I78" s="860"/>
      <c r="J78" s="860"/>
      <c r="K78" s="290"/>
      <c r="L78" s="287">
        <v>4</v>
      </c>
      <c r="M78" s="414" t="s">
        <v>374</v>
      </c>
      <c r="N78" s="397"/>
      <c r="O78" s="545"/>
      <c r="P78" s="440"/>
      <c r="Q78" s="289"/>
      <c r="R78" s="583"/>
      <c r="S78" s="614"/>
      <c r="T78" s="514" t="str">
        <f t="shared" si="5"/>
        <v/>
      </c>
      <c r="U78" s="498">
        <f>(Q78/$X$53*$J$53)</f>
        <v>0</v>
      </c>
      <c r="V78" s="869"/>
      <c r="W78" s="565"/>
      <c r="X78" s="863"/>
      <c r="Y78" s="472"/>
      <c r="Z78" s="750"/>
    </row>
    <row r="79" spans="2:26" ht="14.25" customHeight="1" x14ac:dyDescent="0.2">
      <c r="B79" s="309"/>
      <c r="C79" s="397"/>
      <c r="D79" s="397"/>
      <c r="E79" s="383"/>
      <c r="F79" s="440"/>
      <c r="G79" s="289"/>
      <c r="H79" s="565"/>
      <c r="I79" s="860"/>
      <c r="J79" s="860"/>
      <c r="K79" s="290"/>
      <c r="L79" s="287">
        <v>4</v>
      </c>
      <c r="M79" s="414" t="s">
        <v>374</v>
      </c>
      <c r="N79" s="397"/>
      <c r="O79" s="545"/>
      <c r="P79" s="440"/>
      <c r="Q79" s="289"/>
      <c r="R79" s="583"/>
      <c r="S79" s="614"/>
      <c r="T79" s="514" t="str">
        <f t="shared" si="5"/>
        <v/>
      </c>
      <c r="U79" s="498">
        <f>(Q79/$X$53*$J$53)</f>
        <v>0</v>
      </c>
      <c r="V79" s="869"/>
      <c r="W79" s="565"/>
      <c r="X79" s="863"/>
      <c r="Y79" s="472"/>
    </row>
    <row r="80" spans="2:26" ht="14.25" customHeight="1" x14ac:dyDescent="0.2">
      <c r="B80" s="309">
        <v>4</v>
      </c>
      <c r="C80" s="397"/>
      <c r="D80" s="397"/>
      <c r="E80" s="383"/>
      <c r="F80" s="440"/>
      <c r="G80" s="289"/>
      <c r="H80" s="528"/>
      <c r="I80" s="860"/>
      <c r="J80" s="860"/>
      <c r="K80" s="290"/>
      <c r="L80" s="287">
        <v>4</v>
      </c>
      <c r="M80" s="414" t="s">
        <v>374</v>
      </c>
      <c r="N80" s="397" t="s">
        <v>385</v>
      </c>
      <c r="O80" s="555">
        <f>AC25/2</f>
        <v>275000</v>
      </c>
      <c r="P80" s="556">
        <v>0.5</v>
      </c>
      <c r="Q80" s="289">
        <f>$O$80*P80</f>
        <v>137500</v>
      </c>
      <c r="R80" s="871" t="s">
        <v>386</v>
      </c>
      <c r="S80" s="614" t="s">
        <v>387</v>
      </c>
      <c r="T80" s="672">
        <v>45838</v>
      </c>
      <c r="U80" s="681">
        <v>269290.51894131815</v>
      </c>
      <c r="V80" s="869"/>
      <c r="W80" s="528">
        <f>W85</f>
        <v>45834</v>
      </c>
      <c r="X80" s="863"/>
      <c r="Y80" s="472"/>
    </row>
    <row r="81" spans="1:25" ht="14.1" customHeight="1" x14ac:dyDescent="0.2">
      <c r="B81" s="309">
        <v>4</v>
      </c>
      <c r="C81" s="397"/>
      <c r="D81" s="397"/>
      <c r="E81" s="383"/>
      <c r="F81" s="440"/>
      <c r="G81" s="289"/>
      <c r="H81" s="528"/>
      <c r="I81" s="860"/>
      <c r="J81" s="860"/>
      <c r="K81" s="290"/>
      <c r="L81" s="287">
        <v>4</v>
      </c>
      <c r="M81" s="414" t="s">
        <v>374</v>
      </c>
      <c r="N81" s="397" t="s">
        <v>388</v>
      </c>
      <c r="O81" s="545"/>
      <c r="P81" s="556">
        <v>0.4</v>
      </c>
      <c r="Q81" s="289">
        <f t="shared" ref="Q81:Q82" si="7">$O$80*P81</f>
        <v>110000</v>
      </c>
      <c r="R81" s="874"/>
      <c r="S81" s="614" t="s">
        <v>389</v>
      </c>
      <c r="T81" s="672">
        <f t="shared" ref="T81:T82" si="8">T86</f>
        <v>45869</v>
      </c>
      <c r="U81" s="681">
        <v>230622.90667504517</v>
      </c>
      <c r="V81" s="869"/>
      <c r="W81" s="528">
        <f t="shared" ref="W81" si="9">W86</f>
        <v>45904</v>
      </c>
      <c r="X81" s="863"/>
      <c r="Y81" s="472"/>
    </row>
    <row r="82" spans="1:25" ht="14.25" customHeight="1" x14ac:dyDescent="0.2">
      <c r="B82" s="309">
        <v>4</v>
      </c>
      <c r="C82" s="397"/>
      <c r="D82" s="397"/>
      <c r="E82" s="383"/>
      <c r="F82" s="440"/>
      <c r="G82" s="289"/>
      <c r="H82" s="565"/>
      <c r="I82" s="860"/>
      <c r="J82" s="860"/>
      <c r="K82" s="290"/>
      <c r="L82" s="287">
        <v>4</v>
      </c>
      <c r="M82" s="414" t="s">
        <v>374</v>
      </c>
      <c r="N82" s="397" t="s">
        <v>390</v>
      </c>
      <c r="O82" s="545"/>
      <c r="P82" s="556">
        <v>0.1</v>
      </c>
      <c r="Q82" s="289">
        <f t="shared" si="7"/>
        <v>27500</v>
      </c>
      <c r="R82" s="874"/>
      <c r="S82" s="614" t="s">
        <v>391</v>
      </c>
      <c r="T82" s="672">
        <f t="shared" si="8"/>
        <v>45900</v>
      </c>
      <c r="U82" s="681">
        <v>71925.973060766104</v>
      </c>
      <c r="V82" s="869"/>
      <c r="W82" s="565">
        <f>W230</f>
        <v>46114</v>
      </c>
      <c r="X82" s="863"/>
      <c r="Y82" s="472"/>
    </row>
    <row r="83" spans="1:25" ht="14.25" customHeight="1" x14ac:dyDescent="0.2">
      <c r="B83" s="309">
        <v>4</v>
      </c>
      <c r="C83" s="397"/>
      <c r="D83" s="397"/>
      <c r="E83" s="383"/>
      <c r="F83" s="440"/>
      <c r="G83" s="289"/>
      <c r="H83" s="565"/>
      <c r="I83" s="860"/>
      <c r="J83" s="860"/>
      <c r="K83" s="290"/>
      <c r="L83" s="287">
        <v>4</v>
      </c>
      <c r="M83" s="414" t="s">
        <v>374</v>
      </c>
      <c r="N83" s="397"/>
      <c r="O83" s="545"/>
      <c r="P83" s="556"/>
      <c r="Q83" s="289"/>
      <c r="R83" s="874"/>
      <c r="S83" s="614"/>
      <c r="T83" s="514" t="str">
        <f t="shared" si="5"/>
        <v/>
      </c>
      <c r="U83" s="498">
        <f>(Q83/$X$53*$J$53)</f>
        <v>0</v>
      </c>
      <c r="V83" s="869"/>
      <c r="W83" s="565"/>
      <c r="X83" s="863"/>
      <c r="Y83" s="472"/>
    </row>
    <row r="84" spans="1:25" ht="14.25" customHeight="1" x14ac:dyDescent="0.2">
      <c r="B84" s="309">
        <v>4</v>
      </c>
      <c r="C84" s="397"/>
      <c r="D84" s="397"/>
      <c r="E84" s="383"/>
      <c r="F84" s="440"/>
      <c r="G84" s="289"/>
      <c r="H84" s="565"/>
      <c r="I84" s="860"/>
      <c r="J84" s="860"/>
      <c r="K84" s="290"/>
      <c r="L84" s="287">
        <v>4</v>
      </c>
      <c r="M84" s="414" t="s">
        <v>374</v>
      </c>
      <c r="N84" s="397"/>
      <c r="O84" s="545"/>
      <c r="P84" s="556"/>
      <c r="Q84" s="289"/>
      <c r="R84" s="874"/>
      <c r="S84" s="614"/>
      <c r="T84" s="514" t="str">
        <f t="shared" si="5"/>
        <v/>
      </c>
      <c r="U84" s="498">
        <f>(Q84/$X$53*$J$53)</f>
        <v>0</v>
      </c>
      <c r="V84" s="869"/>
      <c r="W84" s="565"/>
      <c r="X84" s="863"/>
      <c r="Y84" s="472"/>
    </row>
    <row r="85" spans="1:25" ht="14.25" customHeight="1" x14ac:dyDescent="0.2">
      <c r="B85" s="309">
        <v>4</v>
      </c>
      <c r="C85" s="397"/>
      <c r="D85" s="397"/>
      <c r="E85" s="383"/>
      <c r="F85" s="440"/>
      <c r="G85" s="289"/>
      <c r="H85" s="528"/>
      <c r="I85" s="860"/>
      <c r="J85" s="860"/>
      <c r="K85" s="290"/>
      <c r="L85" s="287">
        <v>4</v>
      </c>
      <c r="M85" s="414" t="s">
        <v>374</v>
      </c>
      <c r="N85" s="397" t="s">
        <v>392</v>
      </c>
      <c r="O85" s="555">
        <f>AC32/2</f>
        <v>295000</v>
      </c>
      <c r="P85" s="556">
        <v>0.5</v>
      </c>
      <c r="Q85" s="289">
        <f>$O$85*P85</f>
        <v>147500</v>
      </c>
      <c r="R85" s="874"/>
      <c r="S85" s="614" t="s">
        <v>387</v>
      </c>
      <c r="T85" s="672">
        <v>45838</v>
      </c>
      <c r="U85" s="681">
        <v>288875.28395523224</v>
      </c>
      <c r="V85" s="869"/>
      <c r="W85" s="528">
        <f>W211</f>
        <v>45834</v>
      </c>
      <c r="X85" s="863"/>
      <c r="Y85" s="472"/>
    </row>
    <row r="86" spans="1:25" ht="14.25" customHeight="1" x14ac:dyDescent="0.2">
      <c r="B86" s="309">
        <v>4</v>
      </c>
      <c r="C86" s="397"/>
      <c r="D86" s="397"/>
      <c r="E86" s="383"/>
      <c r="F86" s="440"/>
      <c r="G86" s="289"/>
      <c r="H86" s="528"/>
      <c r="I86" s="860"/>
      <c r="J86" s="860"/>
      <c r="K86" s="290"/>
      <c r="L86" s="287">
        <v>4</v>
      </c>
      <c r="M86" s="414" t="s">
        <v>374</v>
      </c>
      <c r="N86" s="397" t="s">
        <v>393</v>
      </c>
      <c r="O86" s="545"/>
      <c r="P86" s="556">
        <v>0.4</v>
      </c>
      <c r="Q86" s="289">
        <f t="shared" ref="Q86:Q87" si="10">$O$85*P86</f>
        <v>118000</v>
      </c>
      <c r="R86" s="874"/>
      <c r="S86" s="614" t="s">
        <v>389</v>
      </c>
      <c r="T86" s="672">
        <v>45869</v>
      </c>
      <c r="U86" s="681">
        <v>247395.48170595756</v>
      </c>
      <c r="V86" s="869"/>
      <c r="W86" s="528">
        <v>45904</v>
      </c>
      <c r="X86" s="863"/>
      <c r="Y86" s="472"/>
    </row>
    <row r="87" spans="1:25" ht="14.25" customHeight="1" x14ac:dyDescent="0.2">
      <c r="B87" s="309">
        <v>4</v>
      </c>
      <c r="C87" s="397"/>
      <c r="D87" s="397"/>
      <c r="E87" s="383"/>
      <c r="F87" s="440"/>
      <c r="G87" s="289"/>
      <c r="H87" s="565"/>
      <c r="I87" s="860"/>
      <c r="J87" s="860"/>
      <c r="K87" s="290"/>
      <c r="L87" s="287">
        <v>4</v>
      </c>
      <c r="M87" s="414" t="s">
        <v>374</v>
      </c>
      <c r="N87" s="397" t="s">
        <v>394</v>
      </c>
      <c r="O87" s="545"/>
      <c r="P87" s="556">
        <v>0.1</v>
      </c>
      <c r="Q87" s="289">
        <f t="shared" si="10"/>
        <v>29500</v>
      </c>
      <c r="R87" s="872"/>
      <c r="S87" s="614" t="s">
        <v>391</v>
      </c>
      <c r="T87" s="672">
        <v>45900</v>
      </c>
      <c r="U87" s="681">
        <v>77156.952919730917</v>
      </c>
      <c r="V87" s="869"/>
      <c r="W87" s="565">
        <f>W218</f>
        <v>46114</v>
      </c>
      <c r="X87" s="863"/>
      <c r="Y87" s="472"/>
    </row>
    <row r="88" spans="1:25" ht="14.25" customHeight="1" x14ac:dyDescent="0.2">
      <c r="B88" s="309">
        <v>4</v>
      </c>
      <c r="C88" s="397"/>
      <c r="D88" s="397"/>
      <c r="E88" s="383"/>
      <c r="F88" s="440"/>
      <c r="G88" s="289"/>
      <c r="H88" s="565"/>
      <c r="I88" s="860"/>
      <c r="J88" s="860"/>
      <c r="K88" s="290"/>
      <c r="L88" s="287">
        <v>4</v>
      </c>
      <c r="M88" s="414" t="s">
        <v>374</v>
      </c>
      <c r="N88" s="397"/>
      <c r="O88" s="545"/>
      <c r="P88" s="556"/>
      <c r="Q88" s="289"/>
      <c r="R88" s="579"/>
      <c r="S88" s="614"/>
      <c r="T88" s="514" t="str">
        <f t="shared" si="5"/>
        <v/>
      </c>
      <c r="U88" s="498">
        <f>(Q88/$X$53*$J$53)</f>
        <v>0</v>
      </c>
      <c r="V88" s="869"/>
      <c r="W88" s="565"/>
      <c r="X88" s="863"/>
      <c r="Y88" s="472"/>
    </row>
    <row r="89" spans="1:25" ht="14.25" customHeight="1" x14ac:dyDescent="0.2">
      <c r="B89" s="309">
        <v>4</v>
      </c>
      <c r="C89" s="397"/>
      <c r="D89" s="397"/>
      <c r="E89" s="383"/>
      <c r="F89" s="440"/>
      <c r="G89" s="289"/>
      <c r="H89" s="565"/>
      <c r="I89" s="860"/>
      <c r="J89" s="860"/>
      <c r="K89" s="290"/>
      <c r="L89" s="287">
        <v>4</v>
      </c>
      <c r="M89" s="414" t="s">
        <v>374</v>
      </c>
      <c r="N89" s="397"/>
      <c r="O89" s="545"/>
      <c r="P89" s="440"/>
      <c r="Q89" s="289"/>
      <c r="R89" s="579"/>
      <c r="S89" s="614"/>
      <c r="T89" s="514" t="str">
        <f t="shared" si="5"/>
        <v/>
      </c>
      <c r="U89" s="498">
        <f>(Q89/$X$53*$J$53)</f>
        <v>0</v>
      </c>
      <c r="V89" s="869"/>
      <c r="W89" s="565"/>
      <c r="X89" s="863"/>
      <c r="Y89" s="472"/>
    </row>
    <row r="90" spans="1:25" ht="15" customHeight="1" thickBot="1" x14ac:dyDescent="0.25">
      <c r="B90" s="291">
        <v>4</v>
      </c>
      <c r="C90" s="314"/>
      <c r="D90" s="314"/>
      <c r="E90" s="386"/>
      <c r="F90" s="442"/>
      <c r="G90" s="294"/>
      <c r="H90" s="566"/>
      <c r="I90" s="861"/>
      <c r="J90" s="861"/>
      <c r="K90" s="295"/>
      <c r="L90" s="291">
        <v>4</v>
      </c>
      <c r="M90" s="415" t="s">
        <v>374</v>
      </c>
      <c r="N90" s="314"/>
      <c r="O90" s="546"/>
      <c r="P90" s="442"/>
      <c r="Q90" s="294"/>
      <c r="R90" s="580"/>
      <c r="S90" s="615"/>
      <c r="T90" s="515" t="str">
        <f t="shared" si="5"/>
        <v/>
      </c>
      <c r="U90" s="499">
        <f>(Q90/$X$53*$J$53)</f>
        <v>0</v>
      </c>
      <c r="V90" s="870"/>
      <c r="W90" s="566"/>
      <c r="X90" s="864"/>
      <c r="Y90" s="472"/>
    </row>
    <row r="91" spans="1:25" ht="15" thickBot="1" x14ac:dyDescent="0.25">
      <c r="A91" s="24"/>
      <c r="B91" s="265"/>
      <c r="C91" s="266"/>
      <c r="D91" s="297"/>
      <c r="E91" s="280"/>
      <c r="F91" s="443"/>
      <c r="G91" s="281"/>
      <c r="H91" s="563"/>
      <c r="I91" s="269"/>
      <c r="J91" s="269"/>
      <c r="K91" s="24"/>
      <c r="L91" s="265"/>
      <c r="M91" s="266"/>
      <c r="N91" s="297"/>
      <c r="O91" s="543"/>
      <c r="P91" s="443"/>
      <c r="Q91" s="281"/>
      <c r="R91" s="582"/>
      <c r="S91" s="617"/>
      <c r="T91" s="512" t="str">
        <f t="shared" si="5"/>
        <v/>
      </c>
      <c r="U91" s="502"/>
      <c r="V91" s="486"/>
      <c r="W91" s="563"/>
      <c r="X91" s="339"/>
      <c r="Y91" s="472"/>
    </row>
    <row r="92" spans="1:25" ht="14.25" customHeight="1" x14ac:dyDescent="0.2">
      <c r="B92" s="270">
        <v>5</v>
      </c>
      <c r="C92" s="298" t="s">
        <v>395</v>
      </c>
      <c r="D92" s="316" t="s">
        <v>396</v>
      </c>
      <c r="E92" s="272"/>
      <c r="F92" s="424"/>
      <c r="G92" s="273">
        <v>26000</v>
      </c>
      <c r="H92" s="567">
        <f>H93</f>
        <v>45862</v>
      </c>
      <c r="I92" s="875">
        <f>SUM(G92:G113)</f>
        <v>64000</v>
      </c>
      <c r="J92" s="875">
        <f>F414</f>
        <v>69158.741102787666</v>
      </c>
      <c r="K92" s="274"/>
      <c r="L92" s="270">
        <v>5</v>
      </c>
      <c r="M92" s="410" t="s">
        <v>397</v>
      </c>
      <c r="N92" s="316" t="s">
        <v>398</v>
      </c>
      <c r="O92" s="539"/>
      <c r="P92" s="424"/>
      <c r="Q92" s="273"/>
      <c r="R92" s="581"/>
      <c r="S92" s="616"/>
      <c r="T92" s="516"/>
      <c r="U92" s="501">
        <f>(Q92/$X$92*$J$92)</f>
        <v>0</v>
      </c>
      <c r="V92" s="878">
        <f>J92-SUM(U92:U113)</f>
        <v>5.4426000860985368E-4</v>
      </c>
      <c r="W92" s="567"/>
      <c r="X92" s="865">
        <f>SUM(Q92:Q113)</f>
        <v>241577.30000000002</v>
      </c>
      <c r="Y92" s="472"/>
    </row>
    <row r="93" spans="1:25" ht="14.25" customHeight="1" x14ac:dyDescent="0.2">
      <c r="B93" s="275">
        <v>5</v>
      </c>
      <c r="C93" s="299"/>
      <c r="D93" s="302" t="s">
        <v>399</v>
      </c>
      <c r="E93" s="438"/>
      <c r="F93" s="439"/>
      <c r="G93" s="304">
        <v>8000</v>
      </c>
      <c r="H93" s="524">
        <v>45862</v>
      </c>
      <c r="I93" s="876"/>
      <c r="J93" s="876"/>
      <c r="K93" s="277"/>
      <c r="L93" s="275">
        <v>5</v>
      </c>
      <c r="M93" s="687" t="s">
        <v>397</v>
      </c>
      <c r="N93" s="276" t="s">
        <v>400</v>
      </c>
      <c r="O93" s="547">
        <v>1</v>
      </c>
      <c r="P93" s="439"/>
      <c r="Q93" s="304">
        <v>19205.5</v>
      </c>
      <c r="R93" s="627" t="s">
        <v>401</v>
      </c>
      <c r="S93" s="609" t="s">
        <v>402</v>
      </c>
      <c r="T93" s="674">
        <v>45869</v>
      </c>
      <c r="U93" s="679">
        <v>3006.8451525953706</v>
      </c>
      <c r="V93" s="879"/>
      <c r="W93" s="524">
        <v>45862</v>
      </c>
      <c r="X93" s="866"/>
      <c r="Y93" s="472"/>
    </row>
    <row r="94" spans="1:25" ht="14.25" customHeight="1" x14ac:dyDescent="0.2">
      <c r="B94" s="275"/>
      <c r="C94" s="299"/>
      <c r="D94" s="302"/>
      <c r="E94" s="438"/>
      <c r="F94" s="439"/>
      <c r="G94" s="304"/>
      <c r="H94" s="524"/>
      <c r="I94" s="876"/>
      <c r="J94" s="876"/>
      <c r="K94" s="277"/>
      <c r="L94" s="275">
        <v>5</v>
      </c>
      <c r="M94" s="687" t="s">
        <v>397</v>
      </c>
      <c r="N94" s="276" t="s">
        <v>403</v>
      </c>
      <c r="O94" s="547"/>
      <c r="P94" s="439"/>
      <c r="Q94" s="304">
        <v>264.26</v>
      </c>
      <c r="R94" s="627"/>
      <c r="S94" s="574" t="s">
        <v>404</v>
      </c>
      <c r="T94" s="674">
        <v>45869</v>
      </c>
      <c r="U94" s="679">
        <v>41.372986906086929</v>
      </c>
      <c r="V94" s="879"/>
      <c r="W94" s="524">
        <v>45900</v>
      </c>
      <c r="X94" s="866"/>
      <c r="Y94" s="472"/>
    </row>
    <row r="95" spans="1:25" ht="14.25" customHeight="1" x14ac:dyDescent="0.2">
      <c r="B95" s="275">
        <v>5</v>
      </c>
      <c r="C95" s="299"/>
      <c r="D95" s="302" t="s">
        <v>405</v>
      </c>
      <c r="E95" s="303"/>
      <c r="F95" s="446"/>
      <c r="G95" s="304">
        <v>30000</v>
      </c>
      <c r="H95" s="524">
        <v>45900</v>
      </c>
      <c r="I95" s="876"/>
      <c r="J95" s="876"/>
      <c r="K95" s="277"/>
      <c r="L95" s="275">
        <v>5</v>
      </c>
      <c r="M95" s="687" t="s">
        <v>397</v>
      </c>
      <c r="N95" s="302" t="s">
        <v>406</v>
      </c>
      <c r="O95" s="540">
        <v>1</v>
      </c>
      <c r="P95" s="446"/>
      <c r="Q95" s="304">
        <v>11169</v>
      </c>
      <c r="R95" s="574"/>
      <c r="S95" s="609" t="s">
        <v>407</v>
      </c>
      <c r="T95" s="674">
        <v>45900</v>
      </c>
      <c r="U95" s="679">
        <v>26948.87</v>
      </c>
      <c r="V95" s="879"/>
      <c r="W95" s="524">
        <v>45900</v>
      </c>
      <c r="X95" s="866"/>
      <c r="Y95" s="472" t="s">
        <v>408</v>
      </c>
    </row>
    <row r="96" spans="1:25" ht="14.25" customHeight="1" x14ac:dyDescent="0.2">
      <c r="B96" s="275"/>
      <c r="C96" s="299"/>
      <c r="D96" s="302"/>
      <c r="E96" s="303"/>
      <c r="F96" s="446"/>
      <c r="G96" s="304"/>
      <c r="H96" s="524"/>
      <c r="I96" s="876"/>
      <c r="J96" s="876"/>
      <c r="K96" s="277"/>
      <c r="L96" s="275">
        <v>5</v>
      </c>
      <c r="M96" s="687" t="s">
        <v>397</v>
      </c>
      <c r="N96" s="302" t="s">
        <v>409</v>
      </c>
      <c r="O96" s="540"/>
      <c r="P96" s="446"/>
      <c r="Q96" s="304">
        <v>175.56</v>
      </c>
      <c r="R96" s="574"/>
      <c r="S96" s="609" t="s">
        <v>404</v>
      </c>
      <c r="T96" s="674">
        <v>45869</v>
      </c>
      <c r="U96" s="679">
        <v>27.48596677981012</v>
      </c>
      <c r="V96" s="879"/>
      <c r="W96" s="524">
        <v>45900</v>
      </c>
      <c r="X96" s="866"/>
      <c r="Y96" s="472"/>
    </row>
    <row r="97" spans="2:25" ht="14.25" customHeight="1" x14ac:dyDescent="0.2">
      <c r="B97" s="275"/>
      <c r="C97" s="299"/>
      <c r="D97" s="302"/>
      <c r="E97" s="303"/>
      <c r="F97" s="446"/>
      <c r="G97" s="304"/>
      <c r="H97" s="524"/>
      <c r="I97" s="876"/>
      <c r="J97" s="876"/>
      <c r="K97" s="277"/>
      <c r="L97" s="275">
        <v>5</v>
      </c>
      <c r="M97" s="687" t="s">
        <v>397</v>
      </c>
      <c r="N97" s="302" t="s">
        <v>410</v>
      </c>
      <c r="O97" s="540">
        <v>1</v>
      </c>
      <c r="P97" s="446"/>
      <c r="Q97" s="304">
        <v>95374</v>
      </c>
      <c r="R97" s="574" t="s">
        <v>411</v>
      </c>
      <c r="S97" s="609" t="s">
        <v>412</v>
      </c>
      <c r="T97" s="674">
        <v>45869</v>
      </c>
      <c r="U97" s="679">
        <v>14931.912711651916</v>
      </c>
      <c r="V97" s="879"/>
      <c r="W97" s="524">
        <v>45930</v>
      </c>
      <c r="X97" s="866"/>
      <c r="Y97" s="472"/>
    </row>
    <row r="98" spans="2:25" ht="14.25" customHeight="1" x14ac:dyDescent="0.2">
      <c r="B98" s="275"/>
      <c r="C98" s="299"/>
      <c r="D98" s="302"/>
      <c r="E98" s="303"/>
      <c r="F98" s="446"/>
      <c r="G98" s="304"/>
      <c r="H98" s="524"/>
      <c r="I98" s="876"/>
      <c r="J98" s="876"/>
      <c r="K98" s="277"/>
      <c r="L98" s="275">
        <v>5</v>
      </c>
      <c r="M98" s="687" t="s">
        <v>397</v>
      </c>
      <c r="N98" s="302" t="s">
        <v>413</v>
      </c>
      <c r="O98" s="540"/>
      <c r="P98" s="446"/>
      <c r="Q98" s="304">
        <v>15921</v>
      </c>
      <c r="R98" s="574" t="s">
        <v>414</v>
      </c>
      <c r="S98" s="609" t="s">
        <v>415</v>
      </c>
      <c r="T98" s="674">
        <v>45869</v>
      </c>
      <c r="U98" s="679">
        <v>2492.6183475812081</v>
      </c>
      <c r="V98" s="879"/>
      <c r="W98" s="524">
        <f>T98+30</f>
        <v>45899</v>
      </c>
      <c r="X98" s="866"/>
      <c r="Y98" s="472"/>
    </row>
    <row r="99" spans="2:25" ht="14.25" customHeight="1" x14ac:dyDescent="0.2">
      <c r="B99" s="275"/>
      <c r="C99" s="299"/>
      <c r="D99" s="302"/>
      <c r="E99" s="303"/>
      <c r="F99" s="446"/>
      <c r="G99" s="304"/>
      <c r="H99" s="560"/>
      <c r="I99" s="876"/>
      <c r="J99" s="876"/>
      <c r="K99" s="277"/>
      <c r="L99" s="275">
        <v>5</v>
      </c>
      <c r="M99" s="687" t="s">
        <v>397</v>
      </c>
      <c r="N99" s="302" t="s">
        <v>205</v>
      </c>
      <c r="O99" s="540"/>
      <c r="P99" s="446"/>
      <c r="Q99" s="304">
        <v>83760</v>
      </c>
      <c r="R99" s="574" t="s">
        <v>416</v>
      </c>
      <c r="S99" s="609" t="s">
        <v>417</v>
      </c>
      <c r="T99" s="751">
        <v>46022</v>
      </c>
      <c r="U99" s="757">
        <v>17237.103282812757</v>
      </c>
      <c r="V99" s="879"/>
      <c r="W99" s="756">
        <v>46037</v>
      </c>
      <c r="X99" s="866"/>
      <c r="Y99" s="472"/>
    </row>
    <row r="100" spans="2:25" ht="14.25" customHeight="1" x14ac:dyDescent="0.2">
      <c r="B100" s="275"/>
      <c r="C100" s="299"/>
      <c r="D100" s="302"/>
      <c r="E100" s="303"/>
      <c r="F100" s="446"/>
      <c r="G100" s="304"/>
      <c r="H100" s="560"/>
      <c r="I100" s="876"/>
      <c r="J100" s="876"/>
      <c r="K100" s="277"/>
      <c r="L100" s="275">
        <v>5</v>
      </c>
      <c r="M100" s="687" t="s">
        <v>397</v>
      </c>
      <c r="N100" s="302" t="s">
        <v>418</v>
      </c>
      <c r="O100" s="540"/>
      <c r="P100" s="446"/>
      <c r="Q100" s="304">
        <v>1980</v>
      </c>
      <c r="R100" s="574"/>
      <c r="S100" s="609" t="s">
        <v>419</v>
      </c>
      <c r="T100" s="674">
        <v>46053</v>
      </c>
      <c r="U100" s="757">
        <v>562.22433163430321</v>
      </c>
      <c r="V100" s="879"/>
      <c r="W100" s="756">
        <v>46053</v>
      </c>
      <c r="X100" s="866"/>
      <c r="Y100" s="472"/>
    </row>
    <row r="101" spans="2:25" ht="14.25" customHeight="1" x14ac:dyDescent="0.2">
      <c r="B101" s="275"/>
      <c r="C101" s="299"/>
      <c r="D101" s="302"/>
      <c r="E101" s="303"/>
      <c r="F101" s="446"/>
      <c r="G101" s="304"/>
      <c r="H101" s="560"/>
      <c r="I101" s="876"/>
      <c r="J101" s="876"/>
      <c r="K101" s="277"/>
      <c r="L101" s="275">
        <v>5</v>
      </c>
      <c r="M101" s="687" t="s">
        <v>397</v>
      </c>
      <c r="N101" s="302"/>
      <c r="O101" s="540"/>
      <c r="P101" s="446"/>
      <c r="Q101" s="304">
        <v>-1980</v>
      </c>
      <c r="R101" s="574"/>
      <c r="S101" s="609" t="s">
        <v>420</v>
      </c>
      <c r="T101" s="751">
        <v>46053</v>
      </c>
      <c r="U101" s="757"/>
      <c r="V101" s="879"/>
      <c r="W101" s="756">
        <v>46053</v>
      </c>
      <c r="X101" s="866"/>
      <c r="Y101" s="472"/>
    </row>
    <row r="102" spans="2:25" ht="14.25" customHeight="1" x14ac:dyDescent="0.2">
      <c r="B102" s="275"/>
      <c r="C102" s="299"/>
      <c r="D102" s="302"/>
      <c r="E102" s="303"/>
      <c r="F102" s="446"/>
      <c r="G102" s="304"/>
      <c r="H102" s="524"/>
      <c r="I102" s="876"/>
      <c r="J102" s="876"/>
      <c r="K102" s="277"/>
      <c r="L102" s="275">
        <v>5</v>
      </c>
      <c r="M102" s="687" t="s">
        <v>397</v>
      </c>
      <c r="N102" s="302" t="s">
        <v>421</v>
      </c>
      <c r="O102" s="540">
        <v>1</v>
      </c>
      <c r="P102" s="446"/>
      <c r="Q102" s="304">
        <v>1060</v>
      </c>
      <c r="R102" s="574" t="s">
        <v>422</v>
      </c>
      <c r="S102" s="609" t="s">
        <v>423</v>
      </c>
      <c r="T102" s="674">
        <v>45930</v>
      </c>
      <c r="U102" s="757">
        <v>335.81690215918718</v>
      </c>
      <c r="V102" s="879"/>
      <c r="W102" s="524">
        <v>45904</v>
      </c>
      <c r="X102" s="866"/>
      <c r="Y102" s="472"/>
    </row>
    <row r="103" spans="2:25" ht="14.25" customHeight="1" x14ac:dyDescent="0.2">
      <c r="B103" s="275"/>
      <c r="C103" s="299"/>
      <c r="D103" s="302"/>
      <c r="E103" s="303"/>
      <c r="F103" s="446"/>
      <c r="G103" s="304"/>
      <c r="H103" s="560"/>
      <c r="I103" s="876"/>
      <c r="J103" s="876"/>
      <c r="K103" s="277"/>
      <c r="L103" s="275">
        <v>5</v>
      </c>
      <c r="M103" s="687" t="s">
        <v>397</v>
      </c>
      <c r="N103" s="302"/>
      <c r="O103" s="540"/>
      <c r="P103" s="446"/>
      <c r="Q103" s="304"/>
      <c r="R103" s="574"/>
      <c r="S103" s="609"/>
      <c r="T103" s="509"/>
      <c r="U103" s="493">
        <f t="shared" ref="U103:U113" si="11">(Q103/$X$92*$J$92)</f>
        <v>0</v>
      </c>
      <c r="V103" s="879"/>
      <c r="W103" s="560"/>
      <c r="X103" s="866"/>
      <c r="Y103" s="472"/>
    </row>
    <row r="104" spans="2:25" ht="14.25" customHeight="1" x14ac:dyDescent="0.2">
      <c r="B104" s="275"/>
      <c r="C104" s="299"/>
      <c r="D104" s="302"/>
      <c r="E104" s="303"/>
      <c r="F104" s="446"/>
      <c r="G104" s="304"/>
      <c r="H104" s="560"/>
      <c r="I104" s="876"/>
      <c r="J104" s="876"/>
      <c r="K104" s="277"/>
      <c r="L104" s="275">
        <v>5</v>
      </c>
      <c r="M104" s="687" t="s">
        <v>397</v>
      </c>
      <c r="N104" s="302" t="s">
        <v>424</v>
      </c>
      <c r="O104" s="540"/>
      <c r="P104" s="446"/>
      <c r="Q104" s="304">
        <v>11169</v>
      </c>
      <c r="R104" s="574"/>
      <c r="S104" s="609" t="s">
        <v>425</v>
      </c>
      <c r="T104" s="751">
        <v>45961</v>
      </c>
      <c r="U104" s="757">
        <v>3469.3217718440114</v>
      </c>
      <c r="V104" s="879"/>
      <c r="W104" s="524">
        <v>45974</v>
      </c>
      <c r="X104" s="866"/>
      <c r="Y104" s="472"/>
    </row>
    <row r="105" spans="2:25" ht="14.25" customHeight="1" x14ac:dyDescent="0.2">
      <c r="B105" s="275"/>
      <c r="C105" s="299"/>
      <c r="D105" s="302"/>
      <c r="E105" s="303"/>
      <c r="F105" s="446"/>
      <c r="G105" s="304"/>
      <c r="H105" s="560"/>
      <c r="I105" s="876"/>
      <c r="J105" s="876"/>
      <c r="K105" s="277"/>
      <c r="L105" s="275">
        <v>5</v>
      </c>
      <c r="M105" s="687" t="s">
        <v>397</v>
      </c>
      <c r="N105" s="302" t="s">
        <v>409</v>
      </c>
      <c r="O105" s="540"/>
      <c r="P105" s="446"/>
      <c r="Q105" s="304">
        <v>308.98</v>
      </c>
      <c r="R105" s="574"/>
      <c r="S105" s="574" t="s">
        <v>426</v>
      </c>
      <c r="T105" s="751">
        <v>45961</v>
      </c>
      <c r="U105" s="757">
        <v>97.749104563019316</v>
      </c>
      <c r="V105" s="879"/>
      <c r="W105" s="524">
        <v>45991</v>
      </c>
      <c r="X105" s="866"/>
      <c r="Y105" s="472"/>
    </row>
    <row r="106" spans="2:25" ht="14.25" customHeight="1" x14ac:dyDescent="0.2">
      <c r="B106" s="275"/>
      <c r="C106" s="299"/>
      <c r="D106" s="302"/>
      <c r="E106" s="303"/>
      <c r="F106" s="446"/>
      <c r="G106" s="304"/>
      <c r="H106" s="560"/>
      <c r="I106" s="876"/>
      <c r="J106" s="876"/>
      <c r="K106" s="277"/>
      <c r="L106" s="275">
        <v>5</v>
      </c>
      <c r="M106" s="687" t="s">
        <v>397</v>
      </c>
      <c r="N106" s="302"/>
      <c r="O106" s="540"/>
      <c r="P106" s="446"/>
      <c r="Q106" s="304"/>
      <c r="R106" s="574"/>
      <c r="S106" s="609"/>
      <c r="T106" s="674"/>
      <c r="U106" s="757"/>
      <c r="V106" s="879"/>
      <c r="W106" s="560"/>
      <c r="X106" s="866"/>
      <c r="Y106" s="472"/>
    </row>
    <row r="107" spans="2:25" ht="14.25" customHeight="1" x14ac:dyDescent="0.2">
      <c r="B107" s="275"/>
      <c r="C107" s="299"/>
      <c r="D107" s="302"/>
      <c r="E107" s="303"/>
      <c r="F107" s="446"/>
      <c r="G107" s="304"/>
      <c r="H107" s="560"/>
      <c r="I107" s="876"/>
      <c r="J107" s="876"/>
      <c r="K107" s="277"/>
      <c r="L107" s="275">
        <v>5</v>
      </c>
      <c r="M107" s="687" t="s">
        <v>397</v>
      </c>
      <c r="N107" s="302" t="s">
        <v>427</v>
      </c>
      <c r="O107" s="540"/>
      <c r="P107" s="446"/>
      <c r="Q107" s="304">
        <v>3170</v>
      </c>
      <c r="R107" s="574"/>
      <c r="S107" s="609" t="s">
        <v>428</v>
      </c>
      <c r="T107" s="674">
        <v>46053</v>
      </c>
      <c r="U107" s="757">
        <v>7.42</v>
      </c>
      <c r="V107" s="879"/>
      <c r="W107" s="756">
        <v>46079</v>
      </c>
      <c r="X107" s="866"/>
      <c r="Y107" s="472"/>
    </row>
    <row r="108" spans="2:25" ht="14.25" customHeight="1" x14ac:dyDescent="0.2">
      <c r="B108" s="275"/>
      <c r="C108" s="299"/>
      <c r="D108" s="302"/>
      <c r="E108" s="303"/>
      <c r="F108" s="446"/>
      <c r="G108" s="304"/>
      <c r="H108" s="560"/>
      <c r="I108" s="876"/>
      <c r="J108" s="876"/>
      <c r="K108" s="277"/>
      <c r="L108" s="275">
        <v>5</v>
      </c>
      <c r="M108" s="687" t="s">
        <v>397</v>
      </c>
      <c r="N108" s="302"/>
      <c r="O108" s="540"/>
      <c r="P108" s="446"/>
      <c r="Q108" s="304"/>
      <c r="R108" s="574"/>
      <c r="S108" s="609"/>
      <c r="T108" s="509" t="str">
        <f t="shared" ref="T108:T111" si="12">IF(W108&gt;1,EOMONTH(W108,0),"")</f>
        <v/>
      </c>
      <c r="U108" s="493">
        <f t="shared" si="11"/>
        <v>0</v>
      </c>
      <c r="V108" s="879"/>
      <c r="W108" s="560"/>
      <c r="X108" s="866"/>
      <c r="Y108" s="472"/>
    </row>
    <row r="109" spans="2:25" ht="14.25" customHeight="1" x14ac:dyDescent="0.2">
      <c r="B109" s="275"/>
      <c r="C109" s="299"/>
      <c r="D109" s="302"/>
      <c r="E109" s="303"/>
      <c r="F109" s="446"/>
      <c r="G109" s="304"/>
      <c r="H109" s="560"/>
      <c r="I109" s="876"/>
      <c r="J109" s="876"/>
      <c r="K109" s="277"/>
      <c r="L109" s="275">
        <v>5</v>
      </c>
      <c r="M109" s="687" t="s">
        <v>397</v>
      </c>
      <c r="N109" s="302"/>
      <c r="O109" s="540"/>
      <c r="P109" s="446"/>
      <c r="Q109" s="304"/>
      <c r="R109" s="574"/>
      <c r="S109" s="609"/>
      <c r="T109" s="509" t="str">
        <f t="shared" si="12"/>
        <v/>
      </c>
      <c r="U109" s="493">
        <f t="shared" si="11"/>
        <v>0</v>
      </c>
      <c r="V109" s="879"/>
      <c r="W109" s="560"/>
      <c r="X109" s="866"/>
      <c r="Y109" s="472"/>
    </row>
    <row r="110" spans="2:25" ht="14.25" customHeight="1" x14ac:dyDescent="0.2">
      <c r="B110" s="300">
        <v>5</v>
      </c>
      <c r="C110" s="301"/>
      <c r="D110" s="302"/>
      <c r="E110" s="303"/>
      <c r="F110" s="446"/>
      <c r="G110" s="304"/>
      <c r="H110" s="560"/>
      <c r="I110" s="876"/>
      <c r="J110" s="876"/>
      <c r="K110" s="277"/>
      <c r="L110" s="300">
        <v>5</v>
      </c>
      <c r="M110" s="687" t="s">
        <v>397</v>
      </c>
      <c r="N110" s="302"/>
      <c r="O110" s="540"/>
      <c r="P110" s="446"/>
      <c r="Q110" s="304"/>
      <c r="R110" s="574"/>
      <c r="S110" s="609"/>
      <c r="T110" s="509" t="str">
        <f t="shared" si="12"/>
        <v/>
      </c>
      <c r="U110" s="493">
        <f t="shared" si="11"/>
        <v>0</v>
      </c>
      <c r="V110" s="879"/>
      <c r="W110" s="560"/>
      <c r="X110" s="866"/>
      <c r="Y110" s="472"/>
    </row>
    <row r="111" spans="2:25" ht="14.25" customHeight="1" x14ac:dyDescent="0.2">
      <c r="B111" s="372">
        <v>5</v>
      </c>
      <c r="C111" s="373"/>
      <c r="D111" s="376"/>
      <c r="E111" s="395"/>
      <c r="F111" s="431"/>
      <c r="G111" s="375"/>
      <c r="H111" s="561"/>
      <c r="I111" s="876"/>
      <c r="J111" s="876"/>
      <c r="K111" s="277"/>
      <c r="L111" s="300">
        <v>5</v>
      </c>
      <c r="M111" s="687" t="s">
        <v>397</v>
      </c>
      <c r="N111" s="376"/>
      <c r="O111" s="541"/>
      <c r="P111" s="431"/>
      <c r="Q111" s="375"/>
      <c r="R111" s="575"/>
      <c r="S111" s="610"/>
      <c r="T111" s="510" t="str">
        <f t="shared" si="12"/>
        <v/>
      </c>
      <c r="U111" s="494">
        <f t="shared" si="11"/>
        <v>0</v>
      </c>
      <c r="V111" s="879"/>
      <c r="W111" s="561"/>
      <c r="X111" s="866"/>
      <c r="Y111" s="472"/>
    </row>
    <row r="112" spans="2:25" ht="14.25" customHeight="1" x14ac:dyDescent="0.2">
      <c r="B112" s="372">
        <v>5</v>
      </c>
      <c r="C112" s="373"/>
      <c r="D112" s="376"/>
      <c r="E112" s="395"/>
      <c r="F112" s="431"/>
      <c r="G112" s="375"/>
      <c r="H112" s="561"/>
      <c r="I112" s="876"/>
      <c r="J112" s="876"/>
      <c r="K112" s="277"/>
      <c r="L112" s="300">
        <v>5</v>
      </c>
      <c r="M112" s="687" t="s">
        <v>397</v>
      </c>
      <c r="N112" s="376"/>
      <c r="O112" s="541"/>
      <c r="P112" s="431"/>
      <c r="Q112" s="375"/>
      <c r="R112" s="575"/>
      <c r="S112" s="610"/>
      <c r="T112" s="510" t="str">
        <f t="shared" si="5"/>
        <v/>
      </c>
      <c r="U112" s="494">
        <f t="shared" si="11"/>
        <v>0</v>
      </c>
      <c r="V112" s="879"/>
      <c r="W112" s="561"/>
      <c r="X112" s="866"/>
      <c r="Y112" s="472"/>
    </row>
    <row r="113" spans="1:25" ht="15" customHeight="1" thickBot="1" x14ac:dyDescent="0.25">
      <c r="B113" s="305">
        <v>5</v>
      </c>
      <c r="C113" s="326"/>
      <c r="D113" s="306"/>
      <c r="E113" s="307"/>
      <c r="F113" s="447"/>
      <c r="G113" s="319"/>
      <c r="H113" s="562"/>
      <c r="I113" s="877"/>
      <c r="J113" s="877"/>
      <c r="K113" s="278"/>
      <c r="L113" s="305">
        <v>5</v>
      </c>
      <c r="M113" s="412" t="s">
        <v>397</v>
      </c>
      <c r="N113" s="306"/>
      <c r="O113" s="542"/>
      <c r="P113" s="447"/>
      <c r="Q113" s="319"/>
      <c r="R113" s="576"/>
      <c r="S113" s="611"/>
      <c r="T113" s="511" t="str">
        <f t="shared" si="5"/>
        <v/>
      </c>
      <c r="U113" s="495">
        <f t="shared" si="11"/>
        <v>0</v>
      </c>
      <c r="V113" s="880"/>
      <c r="W113" s="562"/>
      <c r="X113" s="867"/>
      <c r="Y113" s="472"/>
    </row>
    <row r="114" spans="1:25" ht="16.5" thickBot="1" x14ac:dyDescent="0.25">
      <c r="A114" s="24"/>
      <c r="B114" s="279"/>
      <c r="C114" s="296"/>
      <c r="D114" s="267"/>
      <c r="E114" s="280"/>
      <c r="F114" s="443"/>
      <c r="G114" s="281"/>
      <c r="H114" s="563"/>
      <c r="I114" s="315"/>
      <c r="J114" s="315"/>
      <c r="K114" s="24"/>
      <c r="L114" s="279"/>
      <c r="M114" s="296"/>
      <c r="N114" s="267"/>
      <c r="O114" s="543"/>
      <c r="P114" s="443"/>
      <c r="Q114" s="281"/>
      <c r="R114" s="577"/>
      <c r="S114" s="612"/>
      <c r="T114" s="512" t="str">
        <f t="shared" si="5"/>
        <v/>
      </c>
      <c r="U114" s="500"/>
      <c r="V114" s="483"/>
      <c r="W114" s="563"/>
      <c r="X114" s="473"/>
      <c r="Y114" s="472"/>
    </row>
    <row r="115" spans="1:25" ht="14.25" customHeight="1" x14ac:dyDescent="0.2">
      <c r="B115" s="282">
        <v>6</v>
      </c>
      <c r="C115" s="283" t="s">
        <v>319</v>
      </c>
      <c r="D115" s="284" t="s">
        <v>429</v>
      </c>
      <c r="E115" s="465"/>
      <c r="F115" s="444"/>
      <c r="G115" s="285">
        <f>D413</f>
        <v>2941866.9</v>
      </c>
      <c r="H115" s="564">
        <f>H116</f>
        <v>45901</v>
      </c>
      <c r="I115" s="859">
        <f>SUM(G115:G147)</f>
        <v>2941866.9</v>
      </c>
      <c r="J115" s="859">
        <f>F413</f>
        <v>3178997.0514993835</v>
      </c>
      <c r="K115" s="286"/>
      <c r="L115" s="282">
        <v>6</v>
      </c>
      <c r="M115" s="418" t="s">
        <v>430</v>
      </c>
      <c r="N115" s="284"/>
      <c r="O115" s="535"/>
      <c r="P115" s="444"/>
      <c r="Q115" s="285"/>
      <c r="R115" s="578"/>
      <c r="S115" s="613"/>
      <c r="T115" s="513"/>
      <c r="U115" s="497">
        <f>(Q115/$X$115*$J$115)</f>
        <v>0</v>
      </c>
      <c r="V115" s="868">
        <f>J115-SUM(U115:U147)</f>
        <v>2.9870779253542423E-3</v>
      </c>
      <c r="W115" s="564"/>
      <c r="X115" s="862">
        <f>SUM(Q115:Q147)</f>
        <v>2009152.35</v>
      </c>
      <c r="Y115" s="472"/>
    </row>
    <row r="116" spans="1:25" ht="14.25" customHeight="1" x14ac:dyDescent="0.2">
      <c r="B116" s="287">
        <v>6</v>
      </c>
      <c r="C116" s="397"/>
      <c r="D116" s="430"/>
      <c r="E116" s="383"/>
      <c r="F116" s="440"/>
      <c r="G116" s="310"/>
      <c r="H116" s="528">
        <v>45901</v>
      </c>
      <c r="I116" s="860"/>
      <c r="J116" s="860"/>
      <c r="K116" s="290"/>
      <c r="L116" s="287">
        <v>6</v>
      </c>
      <c r="M116" s="416" t="s">
        <v>430</v>
      </c>
      <c r="N116" s="430" t="s">
        <v>431</v>
      </c>
      <c r="O116" s="545"/>
      <c r="P116" s="440">
        <f>Q116/20</f>
        <v>27122.75</v>
      </c>
      <c r="Q116" s="310">
        <v>542455</v>
      </c>
      <c r="R116" s="579" t="s">
        <v>432</v>
      </c>
      <c r="S116" s="614" t="s">
        <v>433</v>
      </c>
      <c r="T116" s="672">
        <v>45869</v>
      </c>
      <c r="U116" s="681">
        <v>819376.53083841596</v>
      </c>
      <c r="V116" s="869"/>
      <c r="W116" s="528">
        <v>45901</v>
      </c>
      <c r="X116" s="863"/>
      <c r="Y116" s="472"/>
    </row>
    <row r="117" spans="1:25" ht="14.25" customHeight="1" x14ac:dyDescent="0.2">
      <c r="B117" s="287"/>
      <c r="C117" s="397"/>
      <c r="D117" s="430"/>
      <c r="E117" s="383"/>
      <c r="F117" s="440"/>
      <c r="G117" s="310"/>
      <c r="H117" s="565"/>
      <c r="I117" s="860"/>
      <c r="J117" s="860"/>
      <c r="K117" s="290"/>
      <c r="L117" s="287">
        <v>6</v>
      </c>
      <c r="M117" s="416" t="s">
        <v>430</v>
      </c>
      <c r="N117" s="430"/>
      <c r="O117" s="545"/>
      <c r="P117" s="440"/>
      <c r="Q117" s="310"/>
      <c r="R117" s="579"/>
      <c r="S117" s="614"/>
      <c r="T117" s="514"/>
      <c r="U117" s="498"/>
      <c r="V117" s="869"/>
      <c r="W117" s="565"/>
      <c r="X117" s="863"/>
      <c r="Y117" s="472"/>
    </row>
    <row r="118" spans="1:25" ht="14.25" customHeight="1" x14ac:dyDescent="0.2">
      <c r="B118" s="287"/>
      <c r="C118" s="397"/>
      <c r="D118" s="430"/>
      <c r="E118" s="383"/>
      <c r="F118" s="440"/>
      <c r="G118" s="310"/>
      <c r="H118" s="565"/>
      <c r="I118" s="860"/>
      <c r="J118" s="860"/>
      <c r="K118" s="290"/>
      <c r="L118" s="287">
        <v>6</v>
      </c>
      <c r="M118" s="416" t="s">
        <v>430</v>
      </c>
      <c r="N118" s="430" t="s">
        <v>434</v>
      </c>
      <c r="O118" s="545"/>
      <c r="P118" s="440"/>
      <c r="Q118" s="310">
        <v>111600</v>
      </c>
      <c r="R118" s="579"/>
      <c r="S118" s="614" t="s">
        <v>435</v>
      </c>
      <c r="T118" s="672">
        <v>46022</v>
      </c>
      <c r="U118" s="498"/>
      <c r="V118" s="869"/>
      <c r="W118" s="528">
        <v>46051</v>
      </c>
      <c r="X118" s="863"/>
      <c r="Y118" s="472"/>
    </row>
    <row r="119" spans="1:25" ht="14.25" customHeight="1" x14ac:dyDescent="0.2">
      <c r="B119" s="287"/>
      <c r="C119" s="397"/>
      <c r="D119" s="430"/>
      <c r="E119" s="383"/>
      <c r="F119" s="440"/>
      <c r="G119" s="310"/>
      <c r="H119" s="565"/>
      <c r="I119" s="860"/>
      <c r="J119" s="860"/>
      <c r="K119" s="290"/>
      <c r="L119" s="287">
        <v>6</v>
      </c>
      <c r="M119" s="416" t="s">
        <v>430</v>
      </c>
      <c r="N119" s="430" t="s">
        <v>436</v>
      </c>
      <c r="O119" s="545"/>
      <c r="P119" s="440"/>
      <c r="Q119" s="310"/>
      <c r="R119" s="579"/>
      <c r="S119" s="614"/>
      <c r="T119" s="672">
        <v>45900</v>
      </c>
      <c r="U119" s="681">
        <v>720273.72</v>
      </c>
      <c r="V119" s="869"/>
      <c r="W119" s="565"/>
      <c r="X119" s="863"/>
      <c r="Y119" s="472"/>
    </row>
    <row r="120" spans="1:25" ht="14.25" customHeight="1" x14ac:dyDescent="0.2">
      <c r="B120" s="287"/>
      <c r="C120" s="397"/>
      <c r="D120" s="430"/>
      <c r="E120" s="383"/>
      <c r="F120" s="440"/>
      <c r="G120" s="310"/>
      <c r="H120" s="565"/>
      <c r="I120" s="860"/>
      <c r="J120" s="860"/>
      <c r="K120" s="290"/>
      <c r="L120" s="287">
        <v>6</v>
      </c>
      <c r="M120" s="416" t="s">
        <v>430</v>
      </c>
      <c r="N120" s="430"/>
      <c r="O120" s="545"/>
      <c r="P120" s="440"/>
      <c r="Q120" s="310"/>
      <c r="R120" s="579"/>
      <c r="S120" s="614"/>
      <c r="T120" s="514"/>
      <c r="U120" s="498"/>
      <c r="V120" s="869"/>
      <c r="W120" s="565"/>
      <c r="X120" s="863"/>
      <c r="Y120" s="472"/>
    </row>
    <row r="121" spans="1:25" ht="14.25" customHeight="1" x14ac:dyDescent="0.2">
      <c r="B121" s="287"/>
      <c r="C121" s="397"/>
      <c r="D121" s="430"/>
      <c r="E121" s="383"/>
      <c r="F121" s="440"/>
      <c r="G121" s="310"/>
      <c r="H121" s="528"/>
      <c r="I121" s="860"/>
      <c r="J121" s="860"/>
      <c r="K121" s="290"/>
      <c r="L121" s="287">
        <v>6</v>
      </c>
      <c r="M121" s="416" t="s">
        <v>430</v>
      </c>
      <c r="N121" s="430" t="s">
        <v>437</v>
      </c>
      <c r="O121" s="545"/>
      <c r="P121" s="440">
        <f>Q121+Q124+Q131</f>
        <v>1126388</v>
      </c>
      <c r="Q121" s="310">
        <v>602839</v>
      </c>
      <c r="R121" s="871" t="s">
        <v>438</v>
      </c>
      <c r="S121" s="614" t="s">
        <v>439</v>
      </c>
      <c r="T121" s="672">
        <v>45869</v>
      </c>
      <c r="U121" s="681">
        <v>586595.33735154092</v>
      </c>
      <c r="V121" s="869"/>
      <c r="W121" s="528">
        <v>45900</v>
      </c>
      <c r="X121" s="863"/>
      <c r="Y121" s="472"/>
    </row>
    <row r="122" spans="1:25" ht="14.25" customHeight="1" x14ac:dyDescent="0.2">
      <c r="B122" s="287"/>
      <c r="C122" s="397"/>
      <c r="D122" s="430"/>
      <c r="E122" s="383"/>
      <c r="F122" s="440"/>
      <c r="G122" s="310"/>
      <c r="H122" s="528"/>
      <c r="I122" s="860"/>
      <c r="J122" s="860"/>
      <c r="K122" s="290"/>
      <c r="L122" s="287">
        <v>6</v>
      </c>
      <c r="M122" s="416" t="s">
        <v>430</v>
      </c>
      <c r="N122" s="430" t="s">
        <v>863</v>
      </c>
      <c r="O122" s="545">
        <v>-90</v>
      </c>
      <c r="P122" s="440">
        <v>2771</v>
      </c>
      <c r="Q122" s="310">
        <f>O122*P122</f>
        <v>-249390</v>
      </c>
      <c r="R122" s="874"/>
      <c r="S122" s="614"/>
      <c r="T122" s="514">
        <v>46081</v>
      </c>
      <c r="U122" s="681"/>
      <c r="V122" s="869"/>
      <c r="W122" s="565">
        <v>46081</v>
      </c>
      <c r="X122" s="863"/>
      <c r="Y122" s="472"/>
    </row>
    <row r="123" spans="1:25" ht="14.25" customHeight="1" x14ac:dyDescent="0.2">
      <c r="B123" s="287"/>
      <c r="C123" s="397"/>
      <c r="D123" s="430"/>
      <c r="E123" s="383"/>
      <c r="F123" s="440"/>
      <c r="G123" s="310"/>
      <c r="H123" s="528"/>
      <c r="I123" s="860"/>
      <c r="J123" s="860"/>
      <c r="K123" s="290"/>
      <c r="L123" s="287">
        <v>6</v>
      </c>
      <c r="M123" s="416" t="s">
        <v>430</v>
      </c>
      <c r="N123" s="430" t="s">
        <v>856</v>
      </c>
      <c r="O123" s="545">
        <v>-5000</v>
      </c>
      <c r="P123" s="440">
        <v>14.6</v>
      </c>
      <c r="Q123" s="310">
        <f>O123*P123</f>
        <v>-73000</v>
      </c>
      <c r="R123" s="874"/>
      <c r="S123" s="614"/>
      <c r="T123" s="514">
        <v>46081</v>
      </c>
      <c r="U123" s="681"/>
      <c r="V123" s="869"/>
      <c r="W123" s="565">
        <v>46081</v>
      </c>
      <c r="X123" s="863"/>
      <c r="Y123" s="472"/>
    </row>
    <row r="124" spans="1:25" ht="14.25" customHeight="1" x14ac:dyDescent="0.2">
      <c r="B124" s="287"/>
      <c r="C124" s="397"/>
      <c r="D124" s="430"/>
      <c r="E124" s="383"/>
      <c r="F124" s="440"/>
      <c r="G124" s="310"/>
      <c r="H124" s="528"/>
      <c r="I124" s="860"/>
      <c r="J124" s="860"/>
      <c r="K124" s="290"/>
      <c r="L124" s="287">
        <v>6</v>
      </c>
      <c r="M124" s="416" t="s">
        <v>430</v>
      </c>
      <c r="N124" s="430" t="s">
        <v>440</v>
      </c>
      <c r="O124" s="545"/>
      <c r="P124" s="440"/>
      <c r="Q124" s="310">
        <v>517469.18</v>
      </c>
      <c r="R124" s="874"/>
      <c r="S124" s="614" t="s">
        <v>441</v>
      </c>
      <c r="T124" s="672">
        <v>45869</v>
      </c>
      <c r="U124" s="681">
        <v>460970.25062994479</v>
      </c>
      <c r="V124" s="869"/>
      <c r="W124" s="528">
        <v>45900</v>
      </c>
      <c r="X124" s="863"/>
      <c r="Y124" s="472"/>
    </row>
    <row r="125" spans="1:25" ht="14.25" customHeight="1" x14ac:dyDescent="0.2">
      <c r="B125" s="287"/>
      <c r="C125" s="397"/>
      <c r="D125" s="430"/>
      <c r="E125" s="383"/>
      <c r="F125" s="440"/>
      <c r="G125" s="310"/>
      <c r="H125" s="528"/>
      <c r="I125" s="860"/>
      <c r="J125" s="860"/>
      <c r="K125" s="290"/>
      <c r="L125" s="287">
        <v>6</v>
      </c>
      <c r="M125" s="416" t="s">
        <v>430</v>
      </c>
      <c r="N125" s="430" t="s">
        <v>857</v>
      </c>
      <c r="O125" s="545">
        <v>-70</v>
      </c>
      <c r="P125" s="440">
        <v>140</v>
      </c>
      <c r="Q125" s="310">
        <f t="shared" ref="Q125:Q130" si="13">O125*P125</f>
        <v>-9800</v>
      </c>
      <c r="R125" s="874"/>
      <c r="S125" s="614"/>
      <c r="T125" s="514">
        <v>46081</v>
      </c>
      <c r="U125" s="681"/>
      <c r="V125" s="869"/>
      <c r="W125" s="565">
        <v>46081</v>
      </c>
      <c r="X125" s="863"/>
      <c r="Y125" s="472"/>
    </row>
    <row r="126" spans="1:25" ht="14.25" customHeight="1" x14ac:dyDescent="0.2">
      <c r="B126" s="287"/>
      <c r="C126" s="397"/>
      <c r="D126" s="430"/>
      <c r="E126" s="383"/>
      <c r="F126" s="440"/>
      <c r="G126" s="310"/>
      <c r="H126" s="528"/>
      <c r="I126" s="860"/>
      <c r="J126" s="860"/>
      <c r="K126" s="290"/>
      <c r="L126" s="287">
        <v>6</v>
      </c>
      <c r="M126" s="416" t="s">
        <v>430</v>
      </c>
      <c r="N126" s="430" t="s">
        <v>858</v>
      </c>
      <c r="O126" s="545">
        <v>-70</v>
      </c>
      <c r="P126" s="440">
        <v>198</v>
      </c>
      <c r="Q126" s="310">
        <f t="shared" si="13"/>
        <v>-13860</v>
      </c>
      <c r="R126" s="874"/>
      <c r="S126" s="614"/>
      <c r="T126" s="514">
        <v>46081</v>
      </c>
      <c r="U126" s="681"/>
      <c r="V126" s="869"/>
      <c r="W126" s="565">
        <v>46081</v>
      </c>
      <c r="X126" s="863"/>
      <c r="Y126" s="472"/>
    </row>
    <row r="127" spans="1:25" ht="14.25" customHeight="1" x14ac:dyDescent="0.2">
      <c r="B127" s="287"/>
      <c r="C127" s="397"/>
      <c r="D127" s="430"/>
      <c r="E127" s="383"/>
      <c r="F127" s="440"/>
      <c r="G127" s="310"/>
      <c r="H127" s="528"/>
      <c r="I127" s="860"/>
      <c r="J127" s="860"/>
      <c r="K127" s="290"/>
      <c r="L127" s="287">
        <v>6</v>
      </c>
      <c r="M127" s="416" t="s">
        <v>430</v>
      </c>
      <c r="N127" s="430" t="s">
        <v>859</v>
      </c>
      <c r="O127" s="545">
        <v>-125</v>
      </c>
      <c r="P127" s="440">
        <v>151</v>
      </c>
      <c r="Q127" s="310">
        <f t="shared" si="13"/>
        <v>-18875</v>
      </c>
      <c r="R127" s="874"/>
      <c r="S127" s="614"/>
      <c r="T127" s="514">
        <v>46081</v>
      </c>
      <c r="U127" s="681"/>
      <c r="V127" s="869"/>
      <c r="W127" s="565">
        <v>46081</v>
      </c>
      <c r="X127" s="863"/>
      <c r="Y127" s="472"/>
    </row>
    <row r="128" spans="1:25" ht="14.25" customHeight="1" x14ac:dyDescent="0.2">
      <c r="B128" s="287"/>
      <c r="C128" s="397"/>
      <c r="D128" s="430"/>
      <c r="E128" s="383"/>
      <c r="F128" s="440"/>
      <c r="G128" s="310"/>
      <c r="H128" s="528"/>
      <c r="I128" s="860"/>
      <c r="J128" s="860"/>
      <c r="K128" s="290"/>
      <c r="L128" s="287">
        <v>6</v>
      </c>
      <c r="M128" s="416" t="s">
        <v>430</v>
      </c>
      <c r="N128" s="430" t="s">
        <v>860</v>
      </c>
      <c r="O128" s="545">
        <v>-27</v>
      </c>
      <c r="P128" s="440">
        <v>595</v>
      </c>
      <c r="Q128" s="310">
        <f t="shared" si="13"/>
        <v>-16065</v>
      </c>
      <c r="R128" s="874"/>
      <c r="S128" s="614"/>
      <c r="T128" s="514">
        <v>46081</v>
      </c>
      <c r="U128" s="681"/>
      <c r="V128" s="869"/>
      <c r="W128" s="565">
        <v>46081</v>
      </c>
      <c r="X128" s="863"/>
      <c r="Y128" s="472"/>
    </row>
    <row r="129" spans="2:25" ht="14.25" customHeight="1" x14ac:dyDescent="0.2">
      <c r="B129" s="287"/>
      <c r="C129" s="397"/>
      <c r="D129" s="430"/>
      <c r="E129" s="383"/>
      <c r="F129" s="440"/>
      <c r="G129" s="310"/>
      <c r="H129" s="528"/>
      <c r="I129" s="860"/>
      <c r="J129" s="860"/>
      <c r="K129" s="290"/>
      <c r="L129" s="287">
        <v>6</v>
      </c>
      <c r="M129" s="416" t="s">
        <v>430</v>
      </c>
      <c r="N129" s="430" t="s">
        <v>861</v>
      </c>
      <c r="O129" s="545">
        <v>-15</v>
      </c>
      <c r="P129" s="440">
        <v>40.31</v>
      </c>
      <c r="Q129" s="310">
        <f t="shared" si="13"/>
        <v>-604.65000000000009</v>
      </c>
      <c r="R129" s="874"/>
      <c r="S129" s="614"/>
      <c r="T129" s="514">
        <v>46081</v>
      </c>
      <c r="U129" s="681"/>
      <c r="V129" s="869"/>
      <c r="W129" s="565">
        <v>46081</v>
      </c>
      <c r="X129" s="863"/>
      <c r="Y129" s="472"/>
    </row>
    <row r="130" spans="2:25" ht="14.25" customHeight="1" x14ac:dyDescent="0.2">
      <c r="B130" s="287"/>
      <c r="C130" s="397"/>
      <c r="D130" s="430"/>
      <c r="E130" s="383"/>
      <c r="F130" s="440"/>
      <c r="G130" s="310"/>
      <c r="H130" s="528"/>
      <c r="I130" s="860"/>
      <c r="J130" s="860"/>
      <c r="K130" s="290"/>
      <c r="L130" s="287">
        <v>6</v>
      </c>
      <c r="M130" s="416" t="s">
        <v>430</v>
      </c>
      <c r="N130" s="430" t="s">
        <v>862</v>
      </c>
      <c r="O130" s="545">
        <v>-30</v>
      </c>
      <c r="P130" s="440">
        <v>358</v>
      </c>
      <c r="Q130" s="310">
        <f t="shared" si="13"/>
        <v>-10740</v>
      </c>
      <c r="R130" s="874"/>
      <c r="S130" s="614"/>
      <c r="T130" s="514">
        <v>46081</v>
      </c>
      <c r="U130" s="681"/>
      <c r="V130" s="869"/>
      <c r="W130" s="565">
        <v>46081</v>
      </c>
      <c r="X130" s="863"/>
      <c r="Y130" s="472"/>
    </row>
    <row r="131" spans="2:25" ht="14.25" customHeight="1" x14ac:dyDescent="0.2">
      <c r="B131" s="287"/>
      <c r="C131" s="397"/>
      <c r="D131" s="430"/>
      <c r="E131" s="383"/>
      <c r="F131" s="440"/>
      <c r="G131" s="310"/>
      <c r="H131" s="528"/>
      <c r="I131" s="860"/>
      <c r="J131" s="860"/>
      <c r="K131" s="290"/>
      <c r="L131" s="287">
        <v>6</v>
      </c>
      <c r="M131" s="416" t="s">
        <v>430</v>
      </c>
      <c r="N131" s="430" t="s">
        <v>442</v>
      </c>
      <c r="O131" s="545"/>
      <c r="P131" s="440"/>
      <c r="Q131" s="310">
        <v>6079.82</v>
      </c>
      <c r="R131" s="872"/>
      <c r="S131" s="614" t="s">
        <v>443</v>
      </c>
      <c r="T131" s="672">
        <v>45869</v>
      </c>
      <c r="U131" s="681">
        <v>5915.9975780210725</v>
      </c>
      <c r="V131" s="869"/>
      <c r="W131" s="528">
        <v>45900</v>
      </c>
      <c r="X131" s="863"/>
      <c r="Y131" s="472"/>
    </row>
    <row r="132" spans="2:25" ht="14.25" customHeight="1" x14ac:dyDescent="0.2">
      <c r="B132" s="287"/>
      <c r="C132" s="397"/>
      <c r="D132" s="430"/>
      <c r="E132" s="383"/>
      <c r="F132" s="440"/>
      <c r="G132" s="310"/>
      <c r="H132" s="565"/>
      <c r="I132" s="860"/>
      <c r="J132" s="860"/>
      <c r="K132" s="290"/>
      <c r="L132" s="287">
        <v>6</v>
      </c>
      <c r="M132" s="416" t="s">
        <v>430</v>
      </c>
      <c r="N132" s="430"/>
      <c r="O132" s="545"/>
      <c r="P132" s="440"/>
      <c r="Q132" s="310"/>
      <c r="R132" s="579"/>
      <c r="S132" s="614"/>
      <c r="T132" s="514"/>
      <c r="U132" s="498"/>
      <c r="V132" s="869"/>
      <c r="W132" s="565"/>
      <c r="X132" s="863"/>
      <c r="Y132" s="472"/>
    </row>
    <row r="133" spans="2:25" ht="14.25" customHeight="1" x14ac:dyDescent="0.2">
      <c r="B133" s="287">
        <v>6</v>
      </c>
      <c r="C133" s="397"/>
      <c r="D133" s="430"/>
      <c r="E133" s="383"/>
      <c r="F133" s="440"/>
      <c r="G133" s="310"/>
      <c r="H133" s="565"/>
      <c r="I133" s="860"/>
      <c r="J133" s="860"/>
      <c r="K133" s="290"/>
      <c r="L133" s="287">
        <v>6</v>
      </c>
      <c r="M133" s="416" t="s">
        <v>430</v>
      </c>
      <c r="N133" s="430" t="s">
        <v>444</v>
      </c>
      <c r="O133" s="545"/>
      <c r="P133" s="440"/>
      <c r="Q133" s="310">
        <v>51044</v>
      </c>
      <c r="R133" s="579"/>
      <c r="S133" s="614" t="s">
        <v>445</v>
      </c>
      <c r="T133" s="672">
        <v>45991</v>
      </c>
      <c r="U133" s="498" t="s">
        <v>103</v>
      </c>
      <c r="V133" s="869"/>
      <c r="W133" s="528">
        <v>46029</v>
      </c>
      <c r="X133" s="863"/>
      <c r="Y133" s="472"/>
    </row>
    <row r="134" spans="2:25" ht="14.25" customHeight="1" x14ac:dyDescent="0.2">
      <c r="B134" s="287">
        <v>6</v>
      </c>
      <c r="C134" s="397"/>
      <c r="D134" s="430"/>
      <c r="E134" s="383"/>
      <c r="F134" s="440"/>
      <c r="G134" s="310"/>
      <c r="H134" s="565"/>
      <c r="I134" s="860"/>
      <c r="J134" s="860"/>
      <c r="K134" s="290"/>
      <c r="L134" s="287">
        <v>6</v>
      </c>
      <c r="M134" s="416" t="s">
        <v>430</v>
      </c>
      <c r="N134" s="430"/>
      <c r="O134" s="545"/>
      <c r="P134" s="440"/>
      <c r="Q134" s="310"/>
      <c r="R134" s="579"/>
      <c r="S134" s="614"/>
      <c r="T134" s="514" t="str">
        <f t="shared" si="5"/>
        <v/>
      </c>
      <c r="U134" s="498">
        <f>(Q134/$X$115*$J$115)</f>
        <v>0</v>
      </c>
      <c r="V134" s="869"/>
      <c r="W134" s="565"/>
      <c r="X134" s="863"/>
      <c r="Y134" s="472"/>
    </row>
    <row r="135" spans="2:25" ht="14.25" customHeight="1" x14ac:dyDescent="0.2">
      <c r="B135" s="287">
        <v>6</v>
      </c>
      <c r="C135" s="397"/>
      <c r="D135" s="430"/>
      <c r="E135" s="383"/>
      <c r="F135" s="440"/>
      <c r="G135" s="310"/>
      <c r="H135" s="565"/>
      <c r="I135" s="860"/>
      <c r="J135" s="860"/>
      <c r="K135" s="290"/>
      <c r="L135" s="287">
        <v>6</v>
      </c>
      <c r="M135" s="416" t="s">
        <v>430</v>
      </c>
      <c r="N135" s="430"/>
      <c r="O135" s="545"/>
      <c r="P135" s="440"/>
      <c r="Q135" s="310"/>
      <c r="R135" s="579"/>
      <c r="S135" s="614"/>
      <c r="T135" s="514" t="str">
        <f t="shared" si="5"/>
        <v/>
      </c>
      <c r="U135" s="498">
        <f>(Q135/$X$115*$J$115)</f>
        <v>0</v>
      </c>
      <c r="V135" s="869"/>
      <c r="W135" s="565"/>
      <c r="X135" s="863"/>
      <c r="Y135" s="472"/>
    </row>
    <row r="136" spans="2:25" ht="14.25" customHeight="1" x14ac:dyDescent="0.2">
      <c r="B136" s="287">
        <v>6</v>
      </c>
      <c r="C136" s="397"/>
      <c r="D136" s="430"/>
      <c r="E136" s="383"/>
      <c r="F136" s="440"/>
      <c r="G136" s="310"/>
      <c r="H136" s="565"/>
      <c r="I136" s="860"/>
      <c r="J136" s="860"/>
      <c r="K136" s="290"/>
      <c r="L136" s="287">
        <v>6</v>
      </c>
      <c r="M136" s="416" t="s">
        <v>430</v>
      </c>
      <c r="N136" s="430"/>
      <c r="O136" s="545"/>
      <c r="P136" s="440"/>
      <c r="Q136" s="310"/>
      <c r="R136" s="579"/>
      <c r="S136" s="614"/>
      <c r="T136" s="514" t="str">
        <f t="shared" si="5"/>
        <v/>
      </c>
      <c r="U136" s="498">
        <f>(Q136/$X$115*$J$115)</f>
        <v>0</v>
      </c>
      <c r="V136" s="869"/>
      <c r="W136" s="565"/>
      <c r="X136" s="863"/>
      <c r="Y136" s="472"/>
    </row>
    <row r="137" spans="2:25" ht="14.25" customHeight="1" x14ac:dyDescent="0.2">
      <c r="B137" s="287">
        <v>6</v>
      </c>
      <c r="C137" s="437"/>
      <c r="D137" s="288"/>
      <c r="E137" s="388"/>
      <c r="F137" s="441"/>
      <c r="G137" s="310"/>
      <c r="H137" s="528"/>
      <c r="I137" s="860"/>
      <c r="J137" s="860"/>
      <c r="K137" s="290"/>
      <c r="L137" s="287">
        <v>6</v>
      </c>
      <c r="M137" s="416" t="s">
        <v>430</v>
      </c>
      <c r="N137" s="397" t="s">
        <v>385</v>
      </c>
      <c r="O137" s="555">
        <f>AC25/2</f>
        <v>275000</v>
      </c>
      <c r="P137" s="556">
        <v>0.5</v>
      </c>
      <c r="Q137" s="289">
        <f>$O$137*P137</f>
        <v>137500</v>
      </c>
      <c r="R137" s="871" t="s">
        <v>386</v>
      </c>
      <c r="S137" s="614" t="s">
        <v>387</v>
      </c>
      <c r="T137" s="672">
        <v>45838</v>
      </c>
      <c r="U137" s="681">
        <v>136570.21466011828</v>
      </c>
      <c r="V137" s="869"/>
      <c r="W137" s="528">
        <f>W85</f>
        <v>45834</v>
      </c>
      <c r="X137" s="863"/>
      <c r="Y137" s="472"/>
    </row>
    <row r="138" spans="2:25" ht="14.25" customHeight="1" x14ac:dyDescent="0.2">
      <c r="B138" s="287">
        <v>6</v>
      </c>
      <c r="C138" s="389"/>
      <c r="D138" s="288"/>
      <c r="E138" s="388"/>
      <c r="F138" s="441"/>
      <c r="G138" s="310"/>
      <c r="H138" s="528"/>
      <c r="I138" s="860"/>
      <c r="J138" s="860"/>
      <c r="K138" s="290"/>
      <c r="L138" s="287">
        <v>6</v>
      </c>
      <c r="M138" s="417" t="s">
        <v>430</v>
      </c>
      <c r="N138" s="397" t="s">
        <v>446</v>
      </c>
      <c r="O138" s="545"/>
      <c r="P138" s="556">
        <v>0.4</v>
      </c>
      <c r="Q138" s="289">
        <f t="shared" ref="Q138:Q139" si="14">$O$137*P138</f>
        <v>110000</v>
      </c>
      <c r="R138" s="874"/>
      <c r="S138" s="614" t="s">
        <v>389</v>
      </c>
      <c r="T138" s="672">
        <v>45869</v>
      </c>
      <c r="U138" s="681">
        <v>107036.01974767643</v>
      </c>
      <c r="V138" s="869"/>
      <c r="W138" s="528">
        <f>W86</f>
        <v>45904</v>
      </c>
      <c r="X138" s="863"/>
      <c r="Y138" s="472"/>
    </row>
    <row r="139" spans="2:25" ht="14.25" customHeight="1" x14ac:dyDescent="0.2">
      <c r="B139" s="287">
        <v>6</v>
      </c>
      <c r="C139" s="389"/>
      <c r="D139" s="288"/>
      <c r="E139" s="388"/>
      <c r="F139" s="441"/>
      <c r="G139" s="310"/>
      <c r="H139" s="565"/>
      <c r="I139" s="860"/>
      <c r="J139" s="860"/>
      <c r="K139" s="290"/>
      <c r="L139" s="287">
        <v>6</v>
      </c>
      <c r="M139" s="417" t="s">
        <v>430</v>
      </c>
      <c r="N139" s="397" t="s">
        <v>390</v>
      </c>
      <c r="O139" s="545"/>
      <c r="P139" s="556">
        <v>0.1</v>
      </c>
      <c r="Q139" s="289">
        <f t="shared" si="14"/>
        <v>27500</v>
      </c>
      <c r="R139" s="874"/>
      <c r="S139" s="614" t="s">
        <v>391</v>
      </c>
      <c r="T139" s="672">
        <f>T87</f>
        <v>45900</v>
      </c>
      <c r="U139" s="715">
        <v>39048.034594758567</v>
      </c>
      <c r="V139" s="869"/>
      <c r="W139" s="565">
        <f>W218</f>
        <v>46114</v>
      </c>
      <c r="X139" s="863"/>
      <c r="Y139" s="472"/>
    </row>
    <row r="140" spans="2:25" ht="14.25" customHeight="1" x14ac:dyDescent="0.2">
      <c r="B140" s="287">
        <v>6</v>
      </c>
      <c r="C140" s="389"/>
      <c r="D140" s="288"/>
      <c r="E140" s="388"/>
      <c r="F140" s="441"/>
      <c r="G140" s="310"/>
      <c r="H140" s="565"/>
      <c r="I140" s="860"/>
      <c r="J140" s="860"/>
      <c r="K140" s="290"/>
      <c r="L140" s="287">
        <v>6</v>
      </c>
      <c r="M140" s="417" t="s">
        <v>430</v>
      </c>
      <c r="N140" s="397"/>
      <c r="O140" s="545"/>
      <c r="P140" s="556"/>
      <c r="Q140" s="289"/>
      <c r="R140" s="874"/>
      <c r="S140" s="614"/>
      <c r="T140" s="514" t="str">
        <f t="shared" si="5"/>
        <v/>
      </c>
      <c r="U140" s="498">
        <f>(Q140/$X$115*$J$115)</f>
        <v>0</v>
      </c>
      <c r="V140" s="869"/>
      <c r="W140" s="565"/>
      <c r="X140" s="863"/>
      <c r="Y140" s="472"/>
    </row>
    <row r="141" spans="2:25" ht="14.25" customHeight="1" x14ac:dyDescent="0.2">
      <c r="B141" s="287">
        <v>6</v>
      </c>
      <c r="C141" s="389"/>
      <c r="D141" s="288"/>
      <c r="E141" s="388"/>
      <c r="F141" s="441"/>
      <c r="G141" s="310"/>
      <c r="H141" s="565"/>
      <c r="I141" s="860"/>
      <c r="J141" s="860"/>
      <c r="K141" s="290"/>
      <c r="L141" s="287">
        <v>6</v>
      </c>
      <c r="M141" s="417" t="s">
        <v>430</v>
      </c>
      <c r="N141" s="397"/>
      <c r="O141" s="545"/>
      <c r="P141" s="556"/>
      <c r="Q141" s="289"/>
      <c r="R141" s="874"/>
      <c r="S141" s="614"/>
      <c r="T141" s="514" t="str">
        <f t="shared" si="5"/>
        <v/>
      </c>
      <c r="U141" s="498">
        <f>(Q141/$X$115*$J$115)</f>
        <v>0</v>
      </c>
      <c r="V141" s="869"/>
      <c r="W141" s="565"/>
      <c r="X141" s="863"/>
      <c r="Y141" s="472"/>
    </row>
    <row r="142" spans="2:25" ht="14.25" customHeight="1" x14ac:dyDescent="0.2">
      <c r="B142" s="287">
        <v>6</v>
      </c>
      <c r="C142" s="490"/>
      <c r="D142" s="324"/>
      <c r="E142" s="403"/>
      <c r="F142" s="448"/>
      <c r="G142" s="310"/>
      <c r="H142" s="528"/>
      <c r="I142" s="860"/>
      <c r="J142" s="860"/>
      <c r="K142" s="290"/>
      <c r="L142" s="287">
        <v>6</v>
      </c>
      <c r="M142" s="417" t="s">
        <v>430</v>
      </c>
      <c r="N142" s="397" t="s">
        <v>392</v>
      </c>
      <c r="O142" s="555">
        <f>AC32/2</f>
        <v>295000</v>
      </c>
      <c r="P142" s="556">
        <v>0.5</v>
      </c>
      <c r="Q142" s="289">
        <f>$O$142*P142</f>
        <v>147500</v>
      </c>
      <c r="R142" s="874"/>
      <c r="S142" s="618" t="s">
        <v>387</v>
      </c>
      <c r="T142" s="675">
        <v>45838</v>
      </c>
      <c r="U142" s="682">
        <v>146502.59390812687</v>
      </c>
      <c r="V142" s="869"/>
      <c r="W142" s="528">
        <f>W137</f>
        <v>45834</v>
      </c>
      <c r="X142" s="863"/>
      <c r="Y142" s="472"/>
    </row>
    <row r="143" spans="2:25" ht="14.25" customHeight="1" x14ac:dyDescent="0.2">
      <c r="B143" s="287">
        <v>6</v>
      </c>
      <c r="C143" s="490"/>
      <c r="D143" s="324"/>
      <c r="E143" s="403"/>
      <c r="F143" s="448"/>
      <c r="G143" s="310"/>
      <c r="H143" s="528"/>
      <c r="I143" s="860"/>
      <c r="J143" s="860"/>
      <c r="K143" s="290"/>
      <c r="L143" s="287">
        <v>6</v>
      </c>
      <c r="M143" s="417" t="s">
        <v>430</v>
      </c>
      <c r="N143" s="397" t="s">
        <v>447</v>
      </c>
      <c r="O143" s="545"/>
      <c r="P143" s="556">
        <v>0.4</v>
      </c>
      <c r="Q143" s="289">
        <f t="shared" ref="Q143:Q144" si="15">$O$142*P143</f>
        <v>118000</v>
      </c>
      <c r="R143" s="874"/>
      <c r="S143" s="618" t="s">
        <v>389</v>
      </c>
      <c r="T143" s="675">
        <v>45869</v>
      </c>
      <c r="U143" s="682">
        <v>114820.45754750744</v>
      </c>
      <c r="V143" s="869"/>
      <c r="W143" s="528">
        <f t="shared" ref="W143:W144" si="16">W138</f>
        <v>45904</v>
      </c>
      <c r="X143" s="863"/>
      <c r="Y143" s="472"/>
    </row>
    <row r="144" spans="2:25" ht="14.25" customHeight="1" x14ac:dyDescent="0.2">
      <c r="B144" s="287">
        <v>6</v>
      </c>
      <c r="C144" s="490"/>
      <c r="D144" s="324"/>
      <c r="E144" s="403"/>
      <c r="F144" s="448"/>
      <c r="G144" s="310"/>
      <c r="H144" s="565"/>
      <c r="I144" s="860"/>
      <c r="J144" s="860"/>
      <c r="K144" s="290"/>
      <c r="L144" s="287">
        <v>6</v>
      </c>
      <c r="M144" s="417" t="s">
        <v>430</v>
      </c>
      <c r="N144" s="397" t="s">
        <v>394</v>
      </c>
      <c r="O144" s="545"/>
      <c r="P144" s="556">
        <v>0.1</v>
      </c>
      <c r="Q144" s="289">
        <f t="shared" si="15"/>
        <v>29500</v>
      </c>
      <c r="R144" s="872"/>
      <c r="S144" s="618" t="s">
        <v>391</v>
      </c>
      <c r="T144" s="675">
        <f t="shared" ref="T144" si="17">T139</f>
        <v>45900</v>
      </c>
      <c r="U144" s="716">
        <v>41887.891656195548</v>
      </c>
      <c r="V144" s="869"/>
      <c r="W144" s="565">
        <f t="shared" si="16"/>
        <v>46114</v>
      </c>
      <c r="X144" s="863"/>
      <c r="Y144" s="472"/>
    </row>
    <row r="145" spans="1:25" ht="14.25" customHeight="1" x14ac:dyDescent="0.2">
      <c r="B145" s="287">
        <v>6</v>
      </c>
      <c r="C145" s="490"/>
      <c r="D145" s="324"/>
      <c r="E145" s="403"/>
      <c r="F145" s="448"/>
      <c r="G145" s="310"/>
      <c r="H145" s="568"/>
      <c r="I145" s="860"/>
      <c r="J145" s="860"/>
      <c r="K145" s="290"/>
      <c r="L145" s="287">
        <v>6</v>
      </c>
      <c r="M145" s="417" t="s">
        <v>430</v>
      </c>
      <c r="N145" s="397"/>
      <c r="O145" s="545"/>
      <c r="P145" s="556"/>
      <c r="Q145" s="289"/>
      <c r="R145" s="583"/>
      <c r="S145" s="618"/>
      <c r="T145" s="517" t="str">
        <f t="shared" si="5"/>
        <v/>
      </c>
      <c r="U145" s="503">
        <f>(Q145/$X$115*$J$115)</f>
        <v>0</v>
      </c>
      <c r="V145" s="869"/>
      <c r="W145" s="568"/>
      <c r="X145" s="863"/>
      <c r="Y145" s="472"/>
    </row>
    <row r="146" spans="1:25" ht="14.25" customHeight="1" x14ac:dyDescent="0.2">
      <c r="B146" s="287">
        <v>6</v>
      </c>
      <c r="C146" s="490"/>
      <c r="D146" s="324"/>
      <c r="E146" s="403"/>
      <c r="F146" s="448"/>
      <c r="G146" s="310"/>
      <c r="H146" s="568"/>
      <c r="I146" s="860"/>
      <c r="J146" s="860"/>
      <c r="K146" s="290"/>
      <c r="L146" s="287">
        <v>6</v>
      </c>
      <c r="M146" s="417" t="s">
        <v>430</v>
      </c>
      <c r="N146" s="397"/>
      <c r="O146" s="545"/>
      <c r="P146" s="556"/>
      <c r="Q146" s="289"/>
      <c r="R146" s="583"/>
      <c r="S146" s="618"/>
      <c r="T146" s="517" t="str">
        <f t="shared" si="5"/>
        <v/>
      </c>
      <c r="U146" s="503">
        <f>(Q146/$X$115*$J$115)</f>
        <v>0</v>
      </c>
      <c r="V146" s="869"/>
      <c r="W146" s="568"/>
      <c r="X146" s="863"/>
      <c r="Y146" s="472"/>
    </row>
    <row r="147" spans="1:25" ht="15" customHeight="1" thickBot="1" x14ac:dyDescent="0.25">
      <c r="B147" s="291">
        <v>6</v>
      </c>
      <c r="C147" s="390"/>
      <c r="D147" s="293"/>
      <c r="E147" s="445"/>
      <c r="F147" s="442"/>
      <c r="G147" s="294"/>
      <c r="H147" s="566"/>
      <c r="I147" s="861"/>
      <c r="J147" s="861"/>
      <c r="K147" s="295"/>
      <c r="L147" s="291">
        <v>6</v>
      </c>
      <c r="M147" s="419" t="s">
        <v>430</v>
      </c>
      <c r="N147" s="293"/>
      <c r="O147" s="549"/>
      <c r="P147" s="442"/>
      <c r="Q147" s="294"/>
      <c r="R147" s="580"/>
      <c r="S147" s="615"/>
      <c r="T147" s="515" t="str">
        <f t="shared" si="5"/>
        <v/>
      </c>
      <c r="U147" s="499">
        <f>(Q147/$X$115*$J$115)</f>
        <v>0</v>
      </c>
      <c r="V147" s="870"/>
      <c r="W147" s="566"/>
      <c r="X147" s="864"/>
      <c r="Y147" s="472"/>
    </row>
    <row r="148" spans="1:25" ht="15" thickBot="1" x14ac:dyDescent="0.25">
      <c r="A148" s="24"/>
      <c r="B148" s="279"/>
      <c r="C148" s="320"/>
      <c r="D148" s="297"/>
      <c r="E148" s="280"/>
      <c r="F148" s="443"/>
      <c r="G148" s="281"/>
      <c r="H148" s="569"/>
      <c r="I148" s="269"/>
      <c r="J148" s="269"/>
      <c r="K148" s="24"/>
      <c r="L148" s="279"/>
      <c r="M148" s="320"/>
      <c r="N148" s="297"/>
      <c r="O148" s="543"/>
      <c r="P148" s="443"/>
      <c r="Q148" s="281"/>
      <c r="R148" s="584"/>
      <c r="S148" s="619"/>
      <c r="T148" s="518" t="str">
        <f t="shared" si="5"/>
        <v/>
      </c>
      <c r="U148" s="504"/>
      <c r="V148" s="479"/>
      <c r="W148" s="569"/>
      <c r="X148" s="339"/>
      <c r="Y148" s="472"/>
    </row>
    <row r="149" spans="1:25" ht="14.25" customHeight="1" x14ac:dyDescent="0.2">
      <c r="B149" s="369">
        <v>7</v>
      </c>
      <c r="C149" s="298" t="s">
        <v>448</v>
      </c>
      <c r="D149" s="370"/>
      <c r="E149" s="449"/>
      <c r="F149" s="455"/>
      <c r="G149" s="371"/>
      <c r="H149" s="529"/>
      <c r="I149" s="875">
        <f>D432</f>
        <v>12030860.6085</v>
      </c>
      <c r="J149" s="875">
        <f>F432</f>
        <v>12664063.798421053</v>
      </c>
      <c r="K149" s="274"/>
      <c r="L149" s="369">
        <v>7</v>
      </c>
      <c r="M149" s="649" t="s">
        <v>449</v>
      </c>
      <c r="N149" s="370" t="s">
        <v>450</v>
      </c>
      <c r="O149" s="648">
        <v>0.3</v>
      </c>
      <c r="P149" s="455">
        <f>1423.48*17.7457*(23)</f>
        <v>580994.92782799993</v>
      </c>
      <c r="Q149" s="371">
        <f>O149*P149</f>
        <v>174298.47834839998</v>
      </c>
      <c r="R149" s="888" t="s">
        <v>326</v>
      </c>
      <c r="S149" s="620" t="s">
        <v>327</v>
      </c>
      <c r="T149" s="713">
        <v>45900</v>
      </c>
      <c r="U149" s="717">
        <v>312323.78861163039</v>
      </c>
      <c r="V149" s="893">
        <f>J149-SUM(U149:U186)</f>
        <v>7.3705613613128662E-4</v>
      </c>
      <c r="W149" s="529">
        <v>45820</v>
      </c>
      <c r="X149" s="865">
        <f>SUM(Q149:Q186)</f>
        <v>7046627.6127361013</v>
      </c>
      <c r="Y149" s="472"/>
    </row>
    <row r="150" spans="1:25" ht="14.25" customHeight="1" x14ac:dyDescent="0.2">
      <c r="B150" s="642"/>
      <c r="C150" s="643"/>
      <c r="D150" s="644"/>
      <c r="E150" s="645"/>
      <c r="F150" s="646"/>
      <c r="G150" s="647"/>
      <c r="H150" s="561"/>
      <c r="I150" s="876"/>
      <c r="J150" s="876"/>
      <c r="K150" s="277"/>
      <c r="L150" s="372">
        <v>7</v>
      </c>
      <c r="M150" s="373" t="s">
        <v>449</v>
      </c>
      <c r="N150" s="317" t="s">
        <v>450</v>
      </c>
      <c r="O150" s="650">
        <v>0.7</v>
      </c>
      <c r="P150" s="446"/>
      <c r="Q150" s="304">
        <v>408046.32</v>
      </c>
      <c r="R150" s="889"/>
      <c r="S150" s="609" t="s">
        <v>451</v>
      </c>
      <c r="T150" s="670">
        <v>45900</v>
      </c>
      <c r="U150" s="718">
        <v>731174.32693068369</v>
      </c>
      <c r="V150" s="894"/>
      <c r="W150" s="762">
        <v>45960</v>
      </c>
      <c r="X150" s="866"/>
      <c r="Y150" s="472"/>
    </row>
    <row r="151" spans="1:25" ht="14.25" customHeight="1" x14ac:dyDescent="0.2">
      <c r="B151" s="372"/>
      <c r="C151" s="373"/>
      <c r="D151" s="374"/>
      <c r="E151" s="395"/>
      <c r="F151" s="431"/>
      <c r="G151" s="375"/>
      <c r="H151" s="561"/>
      <c r="I151" s="876"/>
      <c r="J151" s="876"/>
      <c r="K151" s="277"/>
      <c r="L151" s="372">
        <v>7</v>
      </c>
      <c r="M151" s="373" t="s">
        <v>449</v>
      </c>
      <c r="N151" s="374"/>
      <c r="O151" s="395"/>
      <c r="P151" s="431"/>
      <c r="Q151" s="375"/>
      <c r="R151" s="889"/>
      <c r="S151" s="610"/>
      <c r="T151" s="510" t="str">
        <f t="shared" ref="T151:T170" si="18">IF(W151&gt;1,EOMONTH(W151,0),"")</f>
        <v/>
      </c>
      <c r="U151" s="494">
        <f t="shared" ref="U151:U186" si="19">(Q151/$X$149*$J$149)</f>
        <v>0</v>
      </c>
      <c r="V151" s="894"/>
      <c r="W151" s="561"/>
      <c r="X151" s="866"/>
      <c r="Y151" s="472"/>
    </row>
    <row r="152" spans="1:25" ht="14.25" customHeight="1" x14ac:dyDescent="0.2">
      <c r="B152" s="372"/>
      <c r="C152" s="373"/>
      <c r="D152" s="374"/>
      <c r="E152" s="395"/>
      <c r="F152" s="431"/>
      <c r="G152" s="375"/>
      <c r="H152" s="525"/>
      <c r="I152" s="876"/>
      <c r="J152" s="876"/>
      <c r="K152" s="277"/>
      <c r="L152" s="372">
        <v>7</v>
      </c>
      <c r="M152" s="373" t="s">
        <v>449</v>
      </c>
      <c r="N152" s="374" t="s">
        <v>452</v>
      </c>
      <c r="O152" s="632">
        <v>0.3</v>
      </c>
      <c r="P152" s="431">
        <f>17.7457*161957.61</f>
        <v>2874051.1597769996</v>
      </c>
      <c r="Q152" s="375">
        <f>O152*P152</f>
        <v>862215.34793309984</v>
      </c>
      <c r="R152" s="889"/>
      <c r="S152" s="610" t="s">
        <v>327</v>
      </c>
      <c r="T152" s="670">
        <v>45991</v>
      </c>
      <c r="U152" s="802">
        <v>1549556.8624156141</v>
      </c>
      <c r="V152" s="894"/>
      <c r="W152" s="525">
        <v>45820</v>
      </c>
      <c r="X152" s="866"/>
      <c r="Y152" s="472"/>
    </row>
    <row r="153" spans="1:25" ht="14.25" customHeight="1" x14ac:dyDescent="0.2">
      <c r="B153" s="372"/>
      <c r="C153" s="373"/>
      <c r="D153" s="374"/>
      <c r="E153" s="395"/>
      <c r="F153" s="431"/>
      <c r="G153" s="375"/>
      <c r="H153" s="561"/>
      <c r="I153" s="876"/>
      <c r="J153" s="876"/>
      <c r="K153" s="277"/>
      <c r="L153" s="372">
        <v>7</v>
      </c>
      <c r="M153" s="373" t="s">
        <v>449</v>
      </c>
      <c r="N153" s="374" t="s">
        <v>453</v>
      </c>
      <c r="O153" s="632">
        <v>0.7</v>
      </c>
      <c r="P153" s="431"/>
      <c r="Q153" s="375">
        <f>P152*O153</f>
        <v>2011835.8118438995</v>
      </c>
      <c r="R153" s="889"/>
      <c r="S153" s="610" t="s">
        <v>454</v>
      </c>
      <c r="T153" s="781">
        <v>45991</v>
      </c>
      <c r="U153" s="802">
        <v>3615632.678969766</v>
      </c>
      <c r="V153" s="894"/>
      <c r="W153" s="525">
        <v>45988</v>
      </c>
      <c r="X153" s="866"/>
      <c r="Y153" s="472"/>
    </row>
    <row r="154" spans="1:25" ht="14.25" customHeight="1" x14ac:dyDescent="0.2">
      <c r="B154" s="372"/>
      <c r="C154" s="373"/>
      <c r="D154" s="374"/>
      <c r="E154" s="395"/>
      <c r="F154" s="431"/>
      <c r="G154" s="375"/>
      <c r="H154" s="525"/>
      <c r="I154" s="876"/>
      <c r="J154" s="876"/>
      <c r="K154" s="277"/>
      <c r="L154" s="372">
        <v>7</v>
      </c>
      <c r="M154" s="373" t="s">
        <v>449</v>
      </c>
      <c r="N154" s="374" t="s">
        <v>455</v>
      </c>
      <c r="O154" s="632">
        <v>0.3</v>
      </c>
      <c r="P154" s="431">
        <f>17.7457*13967.44</f>
        <v>247862.000008</v>
      </c>
      <c r="Q154" s="375">
        <f>O154*P154</f>
        <v>74358.600002399995</v>
      </c>
      <c r="R154" s="889"/>
      <c r="S154" s="610" t="s">
        <v>327</v>
      </c>
      <c r="T154" s="670">
        <v>45991</v>
      </c>
      <c r="U154" s="802">
        <v>133635.84769112332</v>
      </c>
      <c r="V154" s="894"/>
      <c r="W154" s="525">
        <v>45820</v>
      </c>
      <c r="X154" s="866"/>
      <c r="Y154" s="472"/>
    </row>
    <row r="155" spans="1:25" ht="14.25" customHeight="1" x14ac:dyDescent="0.2">
      <c r="B155" s="372"/>
      <c r="C155" s="373"/>
      <c r="D155" s="374"/>
      <c r="E155" s="395"/>
      <c r="F155" s="431"/>
      <c r="G155" s="375"/>
      <c r="H155" s="561"/>
      <c r="I155" s="876"/>
      <c r="J155" s="876"/>
      <c r="K155" s="277"/>
      <c r="L155" s="372">
        <v>7</v>
      </c>
      <c r="M155" s="373" t="s">
        <v>449</v>
      </c>
      <c r="N155" s="374" t="s">
        <v>456</v>
      </c>
      <c r="O155" s="632">
        <v>0.7</v>
      </c>
      <c r="P155" s="431"/>
      <c r="Q155" s="375">
        <f>P154*O155</f>
        <v>173503.40000559998</v>
      </c>
      <c r="R155" s="889"/>
      <c r="S155" s="610" t="s">
        <v>454</v>
      </c>
      <c r="T155" s="781">
        <v>45991</v>
      </c>
      <c r="U155" s="802">
        <v>311816.97794595436</v>
      </c>
      <c r="V155" s="894"/>
      <c r="W155" s="525">
        <f>W153</f>
        <v>45988</v>
      </c>
      <c r="X155" s="866"/>
      <c r="Y155" s="472"/>
    </row>
    <row r="156" spans="1:25" ht="14.25" customHeight="1" x14ac:dyDescent="0.2">
      <c r="B156" s="372"/>
      <c r="C156" s="373"/>
      <c r="D156" s="374"/>
      <c r="E156" s="395"/>
      <c r="F156" s="431"/>
      <c r="G156" s="375"/>
      <c r="H156" s="561"/>
      <c r="I156" s="876"/>
      <c r="J156" s="876"/>
      <c r="K156" s="277"/>
      <c r="L156" s="372">
        <v>7</v>
      </c>
      <c r="M156" s="373" t="s">
        <v>449</v>
      </c>
      <c r="N156" s="374"/>
      <c r="O156" s="395"/>
      <c r="P156" s="431"/>
      <c r="Q156" s="375"/>
      <c r="R156" s="889"/>
      <c r="S156" s="610"/>
      <c r="T156" s="510" t="str">
        <f t="shared" si="18"/>
        <v/>
      </c>
      <c r="U156" s="494">
        <f t="shared" si="19"/>
        <v>0</v>
      </c>
      <c r="V156" s="894"/>
      <c r="W156" s="561"/>
      <c r="X156" s="866"/>
      <c r="Y156" s="472"/>
    </row>
    <row r="157" spans="1:25" ht="14.25" customHeight="1" x14ac:dyDescent="0.2">
      <c r="B157" s="372"/>
      <c r="C157" s="373"/>
      <c r="D157" s="374"/>
      <c r="E157" s="395"/>
      <c r="F157" s="431"/>
      <c r="G157" s="375"/>
      <c r="H157" s="525"/>
      <c r="I157" s="876"/>
      <c r="J157" s="876"/>
      <c r="K157" s="277"/>
      <c r="L157" s="372">
        <v>7</v>
      </c>
      <c r="M157" s="373" t="s">
        <v>449</v>
      </c>
      <c r="N157" s="374" t="s">
        <v>457</v>
      </c>
      <c r="O157" s="632">
        <v>0.3</v>
      </c>
      <c r="P157" s="431">
        <f>17.7457*130607.61</f>
        <v>2317723.4647769998</v>
      </c>
      <c r="Q157" s="375">
        <f>O157*P157</f>
        <v>695317.03943309991</v>
      </c>
      <c r="R157" s="889"/>
      <c r="S157" s="610" t="s">
        <v>327</v>
      </c>
      <c r="T157" s="670">
        <v>45991</v>
      </c>
      <c r="U157" s="802">
        <v>1252691.1980570836</v>
      </c>
      <c r="V157" s="894"/>
      <c r="W157" s="525">
        <v>45820</v>
      </c>
      <c r="X157" s="866"/>
      <c r="Y157" s="472"/>
    </row>
    <row r="158" spans="1:25" ht="14.25" customHeight="1" x14ac:dyDescent="0.2">
      <c r="B158" s="372">
        <v>7</v>
      </c>
      <c r="C158" s="373"/>
      <c r="D158" s="374" t="s">
        <v>458</v>
      </c>
      <c r="E158" s="395"/>
      <c r="F158" s="431"/>
      <c r="G158" s="375">
        <v>12030860.6085</v>
      </c>
      <c r="H158" s="561">
        <v>45946</v>
      </c>
      <c r="I158" s="876"/>
      <c r="J158" s="876"/>
      <c r="K158" s="277"/>
      <c r="L158" s="372">
        <v>7</v>
      </c>
      <c r="M158" s="373" t="s">
        <v>449</v>
      </c>
      <c r="N158" s="374" t="s">
        <v>459</v>
      </c>
      <c r="O158" s="632">
        <v>0.7</v>
      </c>
      <c r="P158" s="431"/>
      <c r="Q158" s="375">
        <f>P157*O158</f>
        <v>1622406.4253438998</v>
      </c>
      <c r="R158" s="889"/>
      <c r="S158" s="610" t="s">
        <v>454</v>
      </c>
      <c r="T158" s="781">
        <f t="shared" si="18"/>
        <v>45991</v>
      </c>
      <c r="U158" s="802">
        <v>2915757.6654665284</v>
      </c>
      <c r="V158" s="894"/>
      <c r="W158" s="525">
        <f>W153</f>
        <v>45988</v>
      </c>
      <c r="X158" s="866"/>
      <c r="Y158" s="472"/>
    </row>
    <row r="159" spans="1:25" ht="14.25" customHeight="1" x14ac:dyDescent="0.2">
      <c r="B159" s="372">
        <v>7</v>
      </c>
      <c r="C159" s="373"/>
      <c r="D159" s="374" t="s">
        <v>460</v>
      </c>
      <c r="E159" s="395"/>
      <c r="F159" s="431"/>
      <c r="G159" s="375"/>
      <c r="H159" s="561">
        <v>45946</v>
      </c>
      <c r="I159" s="876"/>
      <c r="J159" s="876"/>
      <c r="K159" s="277"/>
      <c r="L159" s="372">
        <v>7</v>
      </c>
      <c r="M159" s="373" t="s">
        <v>449</v>
      </c>
      <c r="N159" s="374" t="s">
        <v>461</v>
      </c>
      <c r="O159" s="632">
        <v>0.3</v>
      </c>
      <c r="P159" s="431">
        <f>17.7457*10852.53</f>
        <v>192585.74162099999</v>
      </c>
      <c r="Q159" s="375">
        <f>O159*P159</f>
        <v>57775.722486299994</v>
      </c>
      <c r="R159" s="889"/>
      <c r="S159" s="610" t="s">
        <v>327</v>
      </c>
      <c r="T159" s="670">
        <v>45991</v>
      </c>
      <c r="U159" s="802">
        <v>103833.41873266298</v>
      </c>
      <c r="V159" s="894"/>
      <c r="W159" s="525">
        <f>W157</f>
        <v>45820</v>
      </c>
      <c r="X159" s="866"/>
      <c r="Y159" s="472"/>
    </row>
    <row r="160" spans="1:25" ht="14.25" customHeight="1" x14ac:dyDescent="0.2">
      <c r="B160" s="372"/>
      <c r="C160" s="373"/>
      <c r="D160" s="374"/>
      <c r="E160" s="395"/>
      <c r="F160" s="431"/>
      <c r="G160" s="375"/>
      <c r="H160" s="561"/>
      <c r="I160" s="876"/>
      <c r="J160" s="876"/>
      <c r="K160" s="277"/>
      <c r="L160" s="372">
        <v>7</v>
      </c>
      <c r="M160" s="373" t="s">
        <v>449</v>
      </c>
      <c r="N160" s="374" t="s">
        <v>462</v>
      </c>
      <c r="O160" s="632">
        <v>0.7</v>
      </c>
      <c r="P160" s="431"/>
      <c r="Q160" s="375">
        <f>P159*O160</f>
        <v>134810.01913469998</v>
      </c>
      <c r="R160" s="889"/>
      <c r="S160" s="610" t="s">
        <v>454</v>
      </c>
      <c r="T160" s="781">
        <f t="shared" si="18"/>
        <v>45991</v>
      </c>
      <c r="U160" s="802">
        <v>242277.97704288029</v>
      </c>
      <c r="V160" s="894"/>
      <c r="W160" s="525">
        <f>W158</f>
        <v>45988</v>
      </c>
      <c r="X160" s="866"/>
      <c r="Y160" s="472"/>
    </row>
    <row r="161" spans="2:25" ht="14.25" customHeight="1" x14ac:dyDescent="0.2">
      <c r="B161" s="372"/>
      <c r="C161" s="373"/>
      <c r="D161" s="374"/>
      <c r="E161" s="395"/>
      <c r="F161" s="431"/>
      <c r="G161" s="375"/>
      <c r="H161" s="561"/>
      <c r="I161" s="876"/>
      <c r="J161" s="876"/>
      <c r="K161" s="277"/>
      <c r="L161" s="372">
        <v>7</v>
      </c>
      <c r="M161" s="373" t="s">
        <v>449</v>
      </c>
      <c r="N161" s="374"/>
      <c r="O161" s="395"/>
      <c r="P161" s="431"/>
      <c r="Q161" s="375"/>
      <c r="R161" s="889"/>
      <c r="S161" s="610"/>
      <c r="T161" s="510" t="str">
        <f t="shared" si="18"/>
        <v/>
      </c>
      <c r="U161" s="494">
        <f t="shared" si="19"/>
        <v>0</v>
      </c>
      <c r="V161" s="894"/>
      <c r="W161" s="561"/>
      <c r="X161" s="866"/>
      <c r="Y161" s="472"/>
    </row>
    <row r="162" spans="2:25" ht="14.25" customHeight="1" x14ac:dyDescent="0.2">
      <c r="B162" s="372">
        <v>7</v>
      </c>
      <c r="C162" s="373"/>
      <c r="D162" s="374" t="s">
        <v>450</v>
      </c>
      <c r="E162" s="395"/>
      <c r="F162" s="431"/>
      <c r="G162" s="375"/>
      <c r="H162" s="525">
        <v>45820</v>
      </c>
      <c r="I162" s="876"/>
      <c r="J162" s="876"/>
      <c r="K162" s="277"/>
      <c r="L162" s="372">
        <v>7</v>
      </c>
      <c r="M162" s="373" t="s">
        <v>449</v>
      </c>
      <c r="N162" s="376" t="s">
        <v>463</v>
      </c>
      <c r="O162" s="632">
        <v>0.3</v>
      </c>
      <c r="P162" s="431">
        <f>17.7457*(2333.33*2+3333.34+24.5+51.89+121.45+56.76+4635.94+764.04)</f>
        <v>242310.08030600002</v>
      </c>
      <c r="Q162" s="375">
        <f>O162*$P$162</f>
        <v>72693.024091800005</v>
      </c>
      <c r="R162" s="889"/>
      <c r="S162" s="610" t="s">
        <v>327</v>
      </c>
      <c r="T162" s="670">
        <v>45991</v>
      </c>
      <c r="U162" s="802">
        <v>130642.50665592682</v>
      </c>
      <c r="V162" s="894"/>
      <c r="W162" s="525">
        <v>45820</v>
      </c>
      <c r="X162" s="866"/>
      <c r="Y162" s="472"/>
    </row>
    <row r="163" spans="2:25" ht="14.25" customHeight="1" x14ac:dyDescent="0.2">
      <c r="B163" s="372"/>
      <c r="C163" s="373"/>
      <c r="D163" s="374"/>
      <c r="E163" s="395"/>
      <c r="F163" s="431"/>
      <c r="G163" s="375"/>
      <c r="H163" s="561"/>
      <c r="I163" s="876"/>
      <c r="J163" s="876"/>
      <c r="K163" s="277"/>
      <c r="L163" s="372">
        <v>7</v>
      </c>
      <c r="M163" s="373" t="s">
        <v>449</v>
      </c>
      <c r="N163" s="376" t="s">
        <v>464</v>
      </c>
      <c r="O163" s="632">
        <v>0.7</v>
      </c>
      <c r="P163" s="431"/>
      <c r="Q163" s="375">
        <f>O163*$P$162</f>
        <v>169617.05621420001</v>
      </c>
      <c r="R163" s="889"/>
      <c r="S163" s="610" t="s">
        <v>454</v>
      </c>
      <c r="T163" s="781">
        <v>45991</v>
      </c>
      <c r="U163" s="802">
        <v>304832.51553049596</v>
      </c>
      <c r="V163" s="894"/>
      <c r="W163" s="525">
        <f>W153</f>
        <v>45988</v>
      </c>
      <c r="X163" s="866"/>
      <c r="Y163" s="472"/>
    </row>
    <row r="164" spans="2:25" ht="14.25" customHeight="1" x14ac:dyDescent="0.2">
      <c r="B164" s="372"/>
      <c r="C164" s="373"/>
      <c r="D164" s="374"/>
      <c r="E164" s="395"/>
      <c r="F164" s="431"/>
      <c r="G164" s="375"/>
      <c r="H164" s="561"/>
      <c r="I164" s="876"/>
      <c r="J164" s="876"/>
      <c r="K164" s="277"/>
      <c r="L164" s="372">
        <v>7</v>
      </c>
      <c r="M164" s="373" t="s">
        <v>449</v>
      </c>
      <c r="N164" s="376"/>
      <c r="O164" s="395"/>
      <c r="P164" s="431"/>
      <c r="Q164" s="375"/>
      <c r="R164" s="889"/>
      <c r="S164" s="610"/>
      <c r="T164" s="510" t="str">
        <f t="shared" si="18"/>
        <v/>
      </c>
      <c r="U164" s="494">
        <f t="shared" si="19"/>
        <v>0</v>
      </c>
      <c r="V164" s="894"/>
      <c r="W164" s="561"/>
      <c r="X164" s="866"/>
      <c r="Y164" s="472"/>
    </row>
    <row r="165" spans="2:25" ht="14.25" customHeight="1" x14ac:dyDescent="0.2">
      <c r="B165" s="372"/>
      <c r="C165" s="373"/>
      <c r="D165" s="374"/>
      <c r="E165" s="395"/>
      <c r="F165" s="431"/>
      <c r="G165" s="375"/>
      <c r="H165" s="525"/>
      <c r="I165" s="876"/>
      <c r="J165" s="876"/>
      <c r="K165" s="277"/>
      <c r="L165" s="372">
        <v>7</v>
      </c>
      <c r="M165" s="373" t="s">
        <v>449</v>
      </c>
      <c r="N165" s="376" t="s">
        <v>465</v>
      </c>
      <c r="O165" s="632">
        <v>0.3</v>
      </c>
      <c r="P165" s="431">
        <f>17.7457*((2*(283.34+1691.67+34.19+20.76+13.43+408.34+20.76+8.18+19.53))+93+57.4)</f>
        <v>91404.551560000007</v>
      </c>
      <c r="Q165" s="375">
        <f>O165*$P$165</f>
        <v>27421.365468</v>
      </c>
      <c r="R165" s="889"/>
      <c r="S165" s="610" t="s">
        <v>327</v>
      </c>
      <c r="T165" s="670">
        <v>45991</v>
      </c>
      <c r="U165" s="802">
        <v>49281.151326759806</v>
      </c>
      <c r="V165" s="894"/>
      <c r="W165" s="525">
        <v>45820</v>
      </c>
      <c r="X165" s="866"/>
      <c r="Y165" s="472"/>
    </row>
    <row r="166" spans="2:25" ht="14.25" customHeight="1" x14ac:dyDescent="0.2">
      <c r="B166" s="372"/>
      <c r="C166" s="373"/>
      <c r="D166" s="374"/>
      <c r="E166" s="395"/>
      <c r="F166" s="431"/>
      <c r="G166" s="375"/>
      <c r="H166" s="561"/>
      <c r="I166" s="876"/>
      <c r="J166" s="876"/>
      <c r="K166" s="277"/>
      <c r="L166" s="372">
        <v>7</v>
      </c>
      <c r="M166" s="373" t="s">
        <v>449</v>
      </c>
      <c r="N166" s="376" t="s">
        <v>466</v>
      </c>
      <c r="O166" s="632">
        <v>0.7</v>
      </c>
      <c r="P166" s="431"/>
      <c r="Q166" s="375">
        <f>O166*$P$165</f>
        <v>63983.186092000004</v>
      </c>
      <c r="R166" s="889"/>
      <c r="S166" s="610" t="s">
        <v>454</v>
      </c>
      <c r="T166" s="781">
        <v>45991</v>
      </c>
      <c r="U166" s="802">
        <v>114989.35309577289</v>
      </c>
      <c r="V166" s="894"/>
      <c r="W166" s="525">
        <f>W153</f>
        <v>45988</v>
      </c>
      <c r="X166" s="866"/>
      <c r="Y166" s="472"/>
    </row>
    <row r="167" spans="2:25" ht="14.25" customHeight="1" x14ac:dyDescent="0.2">
      <c r="B167" s="372"/>
      <c r="C167" s="373"/>
      <c r="D167" s="374"/>
      <c r="E167" s="395"/>
      <c r="F167" s="431"/>
      <c r="G167" s="375"/>
      <c r="H167" s="561"/>
      <c r="I167" s="876"/>
      <c r="J167" s="876"/>
      <c r="K167" s="277"/>
      <c r="L167" s="372">
        <v>7</v>
      </c>
      <c r="M167" s="373" t="s">
        <v>449</v>
      </c>
      <c r="N167" s="376"/>
      <c r="O167" s="395"/>
      <c r="P167" s="431"/>
      <c r="Q167" s="375"/>
      <c r="R167" s="889"/>
      <c r="S167" s="610"/>
      <c r="T167" s="510" t="str">
        <f t="shared" si="18"/>
        <v/>
      </c>
      <c r="U167" s="494">
        <f t="shared" si="19"/>
        <v>0</v>
      </c>
      <c r="V167" s="894"/>
      <c r="W167" s="561"/>
      <c r="X167" s="866"/>
      <c r="Y167" s="472"/>
    </row>
    <row r="168" spans="2:25" ht="14.25" customHeight="1" x14ac:dyDescent="0.2">
      <c r="B168" s="372"/>
      <c r="C168" s="373"/>
      <c r="D168" s="374"/>
      <c r="E168" s="395"/>
      <c r="F168" s="431"/>
      <c r="G168" s="375"/>
      <c r="H168" s="525"/>
      <c r="I168" s="876"/>
      <c r="J168" s="876"/>
      <c r="K168" s="277"/>
      <c r="L168" s="372">
        <v>7</v>
      </c>
      <c r="M168" s="373" t="s">
        <v>449</v>
      </c>
      <c r="N168" s="374" t="s">
        <v>467</v>
      </c>
      <c r="O168" s="632">
        <v>0.3</v>
      </c>
      <c r="P168" s="375">
        <f>17.7457*(3297.63+2*8793.67+2*4185)</f>
        <v>519149.92112900002</v>
      </c>
      <c r="Q168" s="375">
        <v>159507.76633870002</v>
      </c>
      <c r="R168" s="889"/>
      <c r="S168" s="610" t="s">
        <v>327</v>
      </c>
      <c r="T168" s="670">
        <v>45991</v>
      </c>
      <c r="U168" s="802">
        <v>286664.29393912485</v>
      </c>
      <c r="V168" s="894"/>
      <c r="W168" s="525">
        <v>45820</v>
      </c>
      <c r="X168" s="866"/>
      <c r="Y168" s="472"/>
    </row>
    <row r="169" spans="2:25" ht="14.25" customHeight="1" x14ac:dyDescent="0.2">
      <c r="B169" s="372"/>
      <c r="C169" s="373"/>
      <c r="D169" s="374"/>
      <c r="E169" s="395"/>
      <c r="F169" s="431"/>
      <c r="G169" s="375"/>
      <c r="H169" s="561"/>
      <c r="I169" s="876"/>
      <c r="J169" s="876"/>
      <c r="K169" s="277"/>
      <c r="L169" s="372">
        <v>7</v>
      </c>
      <c r="M169" s="373" t="s">
        <v>449</v>
      </c>
      <c r="N169" s="374" t="s">
        <v>468</v>
      </c>
      <c r="O169" s="632">
        <v>0.7</v>
      </c>
      <c r="P169" s="431"/>
      <c r="Q169" s="375">
        <v>338838.05</v>
      </c>
      <c r="R169" s="890"/>
      <c r="S169" s="610" t="s">
        <v>454</v>
      </c>
      <c r="T169" s="781">
        <v>45991</v>
      </c>
      <c r="U169" s="802">
        <v>608953.23527198925</v>
      </c>
      <c r="V169" s="894"/>
      <c r="W169" s="525">
        <v>45988</v>
      </c>
      <c r="X169" s="866"/>
      <c r="Y169" s="472"/>
    </row>
    <row r="170" spans="2:25" ht="14.25" customHeight="1" x14ac:dyDescent="0.2">
      <c r="B170" s="372"/>
      <c r="C170" s="373"/>
      <c r="D170" s="374"/>
      <c r="E170" s="395"/>
      <c r="F170" s="431"/>
      <c r="G170" s="375"/>
      <c r="H170" s="561"/>
      <c r="I170" s="876"/>
      <c r="J170" s="876"/>
      <c r="K170" s="277"/>
      <c r="L170" s="372">
        <v>7</v>
      </c>
      <c r="M170" s="373" t="s">
        <v>449</v>
      </c>
      <c r="N170" s="376"/>
      <c r="O170" s="395"/>
      <c r="P170" s="431"/>
      <c r="Q170" s="375"/>
      <c r="R170" s="575"/>
      <c r="S170" s="610"/>
      <c r="T170" s="510" t="str">
        <f t="shared" si="18"/>
        <v/>
      </c>
      <c r="U170" s="494">
        <f t="shared" si="19"/>
        <v>0</v>
      </c>
      <c r="V170" s="894"/>
      <c r="W170" s="561"/>
      <c r="X170" s="866"/>
      <c r="Y170" s="472"/>
    </row>
    <row r="171" spans="2:25" ht="14.25" customHeight="1" x14ac:dyDescent="0.2">
      <c r="B171" s="372">
        <v>7</v>
      </c>
      <c r="C171" s="373"/>
      <c r="D171" s="374" t="s">
        <v>469</v>
      </c>
      <c r="E171" s="395"/>
      <c r="F171" s="431"/>
      <c r="G171" s="375"/>
      <c r="H171" s="561">
        <f>H158</f>
        <v>45946</v>
      </c>
      <c r="I171" s="876"/>
      <c r="J171" s="876"/>
      <c r="K171" s="277"/>
      <c r="L171" s="372">
        <v>7</v>
      </c>
      <c r="M171" s="373" t="s">
        <v>449</v>
      </c>
      <c r="N171" s="653"/>
      <c r="O171" s="654"/>
      <c r="P171" s="431"/>
      <c r="Q171" s="375"/>
      <c r="R171" s="575"/>
      <c r="S171" s="610"/>
      <c r="T171" s="510" t="str">
        <f t="shared" si="5"/>
        <v/>
      </c>
      <c r="U171" s="494">
        <f t="shared" si="19"/>
        <v>0</v>
      </c>
      <c r="V171" s="894"/>
      <c r="W171" s="561"/>
      <c r="X171" s="866"/>
      <c r="Y171" s="472"/>
    </row>
    <row r="172" spans="2:25" ht="14.25" customHeight="1" x14ac:dyDescent="0.2">
      <c r="B172" s="372">
        <v>7</v>
      </c>
      <c r="C172" s="373"/>
      <c r="D172" s="374" t="s">
        <v>470</v>
      </c>
      <c r="E172" s="395"/>
      <c r="F172" s="431"/>
      <c r="G172" s="375"/>
      <c r="H172" s="561">
        <f>H159</f>
        <v>45946</v>
      </c>
      <c r="I172" s="876"/>
      <c r="J172" s="876"/>
      <c r="K172" s="277"/>
      <c r="L172" s="372">
        <v>7</v>
      </c>
      <c r="M172" s="373" t="s">
        <v>449</v>
      </c>
      <c r="N172" s="374"/>
      <c r="O172" s="753"/>
      <c r="P172" s="431"/>
      <c r="Q172" s="375"/>
      <c r="R172" s="575"/>
      <c r="S172" s="610"/>
      <c r="T172" s="510"/>
      <c r="U172" s="494">
        <f t="shared" si="19"/>
        <v>0</v>
      </c>
      <c r="V172" s="894"/>
      <c r="W172" s="561"/>
      <c r="X172" s="866"/>
      <c r="Y172" s="472"/>
    </row>
    <row r="173" spans="2:25" ht="14.25" customHeight="1" x14ac:dyDescent="0.2">
      <c r="B173" s="372">
        <v>7</v>
      </c>
      <c r="C173" s="373"/>
      <c r="D173" s="374" t="s">
        <v>471</v>
      </c>
      <c r="E173" s="395"/>
      <c r="F173" s="431"/>
      <c r="G173" s="375"/>
      <c r="H173" s="561">
        <f>H172</f>
        <v>45946</v>
      </c>
      <c r="I173" s="876"/>
      <c r="J173" s="876"/>
      <c r="K173" s="277"/>
      <c r="L173" s="372">
        <v>7</v>
      </c>
      <c r="M173" s="373" t="s">
        <v>449</v>
      </c>
      <c r="N173" s="374"/>
      <c r="O173" s="753"/>
      <c r="P173" s="431"/>
      <c r="Q173" s="375"/>
      <c r="R173" s="575"/>
      <c r="S173" s="610"/>
      <c r="T173" s="510"/>
      <c r="U173" s="494">
        <f t="shared" si="19"/>
        <v>0</v>
      </c>
      <c r="V173" s="894"/>
      <c r="W173" s="561"/>
      <c r="X173" s="866"/>
      <c r="Y173" s="472"/>
    </row>
    <row r="174" spans="2:25" ht="14.25" customHeight="1" x14ac:dyDescent="0.2">
      <c r="B174" s="372"/>
      <c r="C174" s="373"/>
      <c r="D174" s="374"/>
      <c r="E174" s="395"/>
      <c r="F174" s="431"/>
      <c r="G174" s="375"/>
      <c r="H174" s="561"/>
      <c r="I174" s="876"/>
      <c r="J174" s="876"/>
      <c r="K174" s="277"/>
      <c r="L174" s="372">
        <v>7</v>
      </c>
      <c r="M174" s="373" t="s">
        <v>449</v>
      </c>
      <c r="N174" s="374"/>
      <c r="O174" s="785"/>
      <c r="P174" s="431"/>
      <c r="Q174" s="375"/>
      <c r="R174" s="575"/>
      <c r="S174" s="610"/>
      <c r="T174" s="510" t="str">
        <f t="shared" ref="T174:T180" si="20">IF(W174&gt;1,EOMONTH(W174,0),"")</f>
        <v/>
      </c>
      <c r="U174" s="494">
        <f t="shared" si="19"/>
        <v>0</v>
      </c>
      <c r="V174" s="894"/>
      <c r="W174" s="561"/>
      <c r="X174" s="866"/>
      <c r="Y174" s="472"/>
    </row>
    <row r="175" spans="2:25" ht="14.25" customHeight="1" x14ac:dyDescent="0.2">
      <c r="B175" s="372"/>
      <c r="C175" s="373"/>
      <c r="D175" s="374"/>
      <c r="E175" s="395"/>
      <c r="F175" s="431"/>
      <c r="G175" s="375"/>
      <c r="H175" s="561"/>
      <c r="I175" s="876"/>
      <c r="J175" s="876"/>
      <c r="K175" s="277"/>
      <c r="L175" s="372">
        <v>7</v>
      </c>
      <c r="M175" s="373" t="s">
        <v>449</v>
      </c>
      <c r="N175" s="374"/>
      <c r="O175" s="753"/>
      <c r="P175" s="431"/>
      <c r="Q175" s="375"/>
      <c r="R175" s="575"/>
      <c r="S175" s="610"/>
      <c r="T175" s="510"/>
      <c r="U175" s="494">
        <f t="shared" si="19"/>
        <v>0</v>
      </c>
      <c r="V175" s="894"/>
      <c r="W175" s="561"/>
      <c r="X175" s="866"/>
      <c r="Y175" s="472"/>
    </row>
    <row r="176" spans="2:25" ht="14.25" customHeight="1" x14ac:dyDescent="0.2">
      <c r="B176" s="372"/>
      <c r="C176" s="373"/>
      <c r="D176" s="374"/>
      <c r="E176" s="395"/>
      <c r="F176" s="431"/>
      <c r="G176" s="375"/>
      <c r="H176" s="561"/>
      <c r="I176" s="876"/>
      <c r="J176" s="876"/>
      <c r="K176" s="277"/>
      <c r="L176" s="372">
        <v>7</v>
      </c>
      <c r="M176" s="373" t="s">
        <v>449</v>
      </c>
      <c r="N176" s="374"/>
      <c r="O176" s="632"/>
      <c r="P176" s="431"/>
      <c r="Q176" s="375"/>
      <c r="R176" s="575"/>
      <c r="S176" s="610"/>
      <c r="T176" s="510"/>
      <c r="U176" s="494">
        <f t="shared" si="19"/>
        <v>0</v>
      </c>
      <c r="V176" s="894"/>
      <c r="W176" s="561"/>
      <c r="X176" s="866"/>
      <c r="Y176" s="472"/>
    </row>
    <row r="177" spans="1:25" ht="14.25" customHeight="1" x14ac:dyDescent="0.2">
      <c r="B177" s="372"/>
      <c r="C177" s="373"/>
      <c r="D177" s="374"/>
      <c r="E177" s="395"/>
      <c r="F177" s="431"/>
      <c r="G177" s="375"/>
      <c r="H177" s="561"/>
      <c r="I177" s="876"/>
      <c r="J177" s="876"/>
      <c r="K177" s="277"/>
      <c r="L177" s="372">
        <v>7</v>
      </c>
      <c r="M177" s="373" t="s">
        <v>449</v>
      </c>
      <c r="N177" s="374"/>
      <c r="O177" s="753"/>
      <c r="P177" s="375"/>
      <c r="Q177" s="375"/>
      <c r="R177" s="575"/>
      <c r="S177" s="610"/>
      <c r="T177" s="510"/>
      <c r="U177" s="494">
        <f t="shared" si="19"/>
        <v>0</v>
      </c>
      <c r="V177" s="894"/>
      <c r="W177" s="561"/>
      <c r="X177" s="866"/>
      <c r="Y177" s="472"/>
    </row>
    <row r="178" spans="1:25" ht="14.25" customHeight="1" x14ac:dyDescent="0.2">
      <c r="B178" s="372"/>
      <c r="C178" s="373"/>
      <c r="D178" s="374"/>
      <c r="E178" s="395"/>
      <c r="F178" s="431"/>
      <c r="G178" s="375"/>
      <c r="H178" s="561"/>
      <c r="I178" s="876"/>
      <c r="J178" s="876"/>
      <c r="K178" s="277"/>
      <c r="L178" s="372">
        <v>7</v>
      </c>
      <c r="M178" s="373" t="s">
        <v>449</v>
      </c>
      <c r="N178" s="374"/>
      <c r="O178" s="632"/>
      <c r="P178" s="431"/>
      <c r="Q178" s="375"/>
      <c r="R178" s="575"/>
      <c r="S178" s="610"/>
      <c r="T178" s="510" t="str">
        <f t="shared" si="20"/>
        <v/>
      </c>
      <c r="U178" s="494">
        <f t="shared" si="19"/>
        <v>0</v>
      </c>
      <c r="V178" s="894"/>
      <c r="W178" s="561"/>
      <c r="X178" s="866"/>
      <c r="Y178" s="472"/>
    </row>
    <row r="179" spans="1:25" ht="14.25" customHeight="1" x14ac:dyDescent="0.2">
      <c r="B179" s="372"/>
      <c r="C179" s="373"/>
      <c r="D179" s="374"/>
      <c r="E179" s="395"/>
      <c r="F179" s="431"/>
      <c r="G179" s="375"/>
      <c r="H179" s="561"/>
      <c r="I179" s="876"/>
      <c r="J179" s="876"/>
      <c r="K179" s="277"/>
      <c r="L179" s="372">
        <v>7</v>
      </c>
      <c r="M179" s="373" t="s">
        <v>449</v>
      </c>
      <c r="N179" s="374"/>
      <c r="O179" s="632"/>
      <c r="P179" s="375"/>
      <c r="Q179" s="375"/>
      <c r="R179" s="575"/>
      <c r="S179" s="610"/>
      <c r="T179" s="510" t="str">
        <f t="shared" si="20"/>
        <v/>
      </c>
      <c r="U179" s="494">
        <f t="shared" si="19"/>
        <v>0</v>
      </c>
      <c r="V179" s="894"/>
      <c r="W179" s="561"/>
      <c r="X179" s="866"/>
      <c r="Y179" s="472"/>
    </row>
    <row r="180" spans="1:25" ht="14.25" customHeight="1" x14ac:dyDescent="0.2">
      <c r="B180" s="372"/>
      <c r="C180" s="373"/>
      <c r="D180" s="374"/>
      <c r="E180" s="395"/>
      <c r="F180" s="431"/>
      <c r="G180" s="375"/>
      <c r="H180" s="561"/>
      <c r="I180" s="876"/>
      <c r="J180" s="876"/>
      <c r="K180" s="277"/>
      <c r="L180" s="372">
        <v>7</v>
      </c>
      <c r="M180" s="373" t="s">
        <v>449</v>
      </c>
      <c r="N180" s="374"/>
      <c r="O180" s="632"/>
      <c r="P180" s="431"/>
      <c r="Q180" s="375"/>
      <c r="R180" s="575"/>
      <c r="S180" s="610"/>
      <c r="T180" s="510" t="str">
        <f t="shared" si="20"/>
        <v/>
      </c>
      <c r="U180" s="494">
        <f t="shared" si="19"/>
        <v>0</v>
      </c>
      <c r="V180" s="894"/>
      <c r="W180" s="561"/>
      <c r="X180" s="866"/>
      <c r="Y180" s="472"/>
    </row>
    <row r="181" spans="1:25" ht="14.25" customHeight="1" x14ac:dyDescent="0.2">
      <c r="B181" s="372"/>
      <c r="C181" s="373"/>
      <c r="D181" s="374"/>
      <c r="E181" s="395"/>
      <c r="F181" s="431"/>
      <c r="G181" s="375"/>
      <c r="H181" s="561"/>
      <c r="I181" s="876"/>
      <c r="J181" s="876"/>
      <c r="K181" s="277"/>
      <c r="L181" s="372">
        <v>7</v>
      </c>
      <c r="M181" s="373" t="s">
        <v>449</v>
      </c>
      <c r="N181" s="374"/>
      <c r="O181" s="632"/>
      <c r="P181" s="431"/>
      <c r="Q181" s="375"/>
      <c r="R181" s="575"/>
      <c r="S181" s="610"/>
      <c r="T181" s="510"/>
      <c r="U181" s="494">
        <f t="shared" si="19"/>
        <v>0</v>
      </c>
      <c r="V181" s="894"/>
      <c r="W181" s="561"/>
      <c r="X181" s="866"/>
      <c r="Y181" s="472"/>
    </row>
    <row r="182" spans="1:25" ht="14.25" customHeight="1" x14ac:dyDescent="0.2">
      <c r="B182" s="372">
        <v>7</v>
      </c>
      <c r="C182" s="373"/>
      <c r="D182" s="374"/>
      <c r="E182" s="395"/>
      <c r="F182" s="431"/>
      <c r="G182" s="375"/>
      <c r="H182" s="561"/>
      <c r="I182" s="876"/>
      <c r="J182" s="876"/>
      <c r="K182" s="277"/>
      <c r="L182" s="372">
        <v>7</v>
      </c>
      <c r="M182" s="373" t="s">
        <v>449</v>
      </c>
      <c r="N182" s="374"/>
      <c r="O182" s="632"/>
      <c r="P182" s="431"/>
      <c r="Q182" s="375"/>
      <c r="R182" s="575"/>
      <c r="S182" s="610"/>
      <c r="T182" s="510"/>
      <c r="U182" s="494">
        <f t="shared" si="19"/>
        <v>0</v>
      </c>
      <c r="V182" s="894"/>
      <c r="W182" s="561"/>
      <c r="X182" s="866"/>
      <c r="Y182" s="472"/>
    </row>
    <row r="183" spans="1:25" ht="14.25" customHeight="1" x14ac:dyDescent="0.2">
      <c r="B183" s="372">
        <v>7</v>
      </c>
      <c r="C183" s="373"/>
      <c r="D183" s="374"/>
      <c r="E183" s="395"/>
      <c r="F183" s="431"/>
      <c r="G183" s="375"/>
      <c r="H183" s="561"/>
      <c r="I183" s="876"/>
      <c r="J183" s="876"/>
      <c r="K183" s="277"/>
      <c r="L183" s="372">
        <v>7</v>
      </c>
      <c r="M183" s="373" t="s">
        <v>449</v>
      </c>
      <c r="N183" s="374"/>
      <c r="O183" s="541"/>
      <c r="P183" s="431"/>
      <c r="Q183" s="375"/>
      <c r="R183" s="575"/>
      <c r="S183" s="610"/>
      <c r="T183" s="510" t="str">
        <f t="shared" ref="T183:T356" si="21">IF(W183&gt;1,EOMONTH(W183,0),"")</f>
        <v/>
      </c>
      <c r="U183" s="494">
        <f t="shared" si="19"/>
        <v>0</v>
      </c>
      <c r="V183" s="894"/>
      <c r="W183" s="561"/>
      <c r="X183" s="866"/>
      <c r="Y183" s="472"/>
    </row>
    <row r="184" spans="1:25" ht="14.25" customHeight="1" x14ac:dyDescent="0.2">
      <c r="B184" s="372">
        <v>7</v>
      </c>
      <c r="C184" s="373"/>
      <c r="D184" s="374"/>
      <c r="E184" s="395"/>
      <c r="F184" s="431"/>
      <c r="G184" s="375"/>
      <c r="H184" s="561"/>
      <c r="I184" s="876"/>
      <c r="J184" s="876"/>
      <c r="K184" s="277"/>
      <c r="L184" s="372">
        <v>7</v>
      </c>
      <c r="M184" s="373" t="s">
        <v>449</v>
      </c>
      <c r="N184" s="374"/>
      <c r="O184" s="541"/>
      <c r="P184" s="431"/>
      <c r="Q184" s="375"/>
      <c r="R184" s="575"/>
      <c r="S184" s="610"/>
      <c r="T184" s="510" t="str">
        <f t="shared" si="21"/>
        <v/>
      </c>
      <c r="U184" s="494">
        <f t="shared" si="19"/>
        <v>0</v>
      </c>
      <c r="V184" s="894"/>
      <c r="W184" s="561"/>
      <c r="X184" s="866"/>
      <c r="Y184" s="472"/>
    </row>
    <row r="185" spans="1:25" ht="14.25" customHeight="1" x14ac:dyDescent="0.2">
      <c r="B185" s="372">
        <v>7</v>
      </c>
      <c r="C185" s="373"/>
      <c r="D185" s="374"/>
      <c r="E185" s="395"/>
      <c r="F185" s="431"/>
      <c r="G185" s="375"/>
      <c r="H185" s="561"/>
      <c r="I185" s="876"/>
      <c r="J185" s="876"/>
      <c r="K185" s="277"/>
      <c r="L185" s="372">
        <v>7</v>
      </c>
      <c r="M185" s="373" t="s">
        <v>449</v>
      </c>
      <c r="N185" s="374"/>
      <c r="O185" s="541"/>
      <c r="P185" s="431"/>
      <c r="Q185" s="375"/>
      <c r="R185" s="575"/>
      <c r="S185" s="610"/>
      <c r="T185" s="510" t="str">
        <f t="shared" si="21"/>
        <v/>
      </c>
      <c r="U185" s="494">
        <f t="shared" si="19"/>
        <v>0</v>
      </c>
      <c r="V185" s="894"/>
      <c r="W185" s="561"/>
      <c r="X185" s="866"/>
      <c r="Y185" s="472"/>
    </row>
    <row r="186" spans="1:25" ht="15" customHeight="1" thickBot="1" x14ac:dyDescent="0.25">
      <c r="B186" s="305">
        <v>7</v>
      </c>
      <c r="C186" s="326"/>
      <c r="D186" s="318"/>
      <c r="E186" s="307"/>
      <c r="F186" s="447"/>
      <c r="G186" s="319"/>
      <c r="H186" s="562"/>
      <c r="I186" s="877"/>
      <c r="J186" s="877"/>
      <c r="K186" s="278"/>
      <c r="L186" s="305">
        <v>7</v>
      </c>
      <c r="M186" s="326" t="s">
        <v>449</v>
      </c>
      <c r="N186" s="318"/>
      <c r="O186" s="542"/>
      <c r="P186" s="447"/>
      <c r="Q186" s="319"/>
      <c r="R186" s="576"/>
      <c r="S186" s="611"/>
      <c r="T186" s="511" t="str">
        <f t="shared" si="21"/>
        <v/>
      </c>
      <c r="U186" s="495">
        <f t="shared" si="19"/>
        <v>0</v>
      </c>
      <c r="V186" s="895"/>
      <c r="W186" s="562"/>
      <c r="X186" s="867"/>
      <c r="Y186" s="472"/>
    </row>
    <row r="187" spans="1:25" ht="15" thickBot="1" x14ac:dyDescent="0.25">
      <c r="A187" s="24"/>
      <c r="B187" s="279"/>
      <c r="C187" s="320"/>
      <c r="D187" s="297"/>
      <c r="E187" s="280"/>
      <c r="F187" s="443"/>
      <c r="G187" s="281"/>
      <c r="H187" s="563"/>
      <c r="I187" s="269"/>
      <c r="J187" s="269"/>
      <c r="K187" s="24"/>
      <c r="L187" s="279"/>
      <c r="M187" s="320"/>
      <c r="N187" s="297"/>
      <c r="O187" s="543"/>
      <c r="P187" s="443"/>
      <c r="Q187" s="281"/>
      <c r="R187" s="577"/>
      <c r="S187" s="612"/>
      <c r="T187" s="512" t="str">
        <f t="shared" si="21"/>
        <v/>
      </c>
      <c r="U187" s="500"/>
      <c r="V187" s="483"/>
      <c r="W187" s="563"/>
      <c r="X187" s="339"/>
      <c r="Y187" s="472"/>
    </row>
    <row r="188" spans="1:25" ht="14.25" customHeight="1" x14ac:dyDescent="0.2">
      <c r="B188" s="321">
        <v>8</v>
      </c>
      <c r="C188" s="283" t="s">
        <v>472</v>
      </c>
      <c r="D188" s="322"/>
      <c r="E188" s="450"/>
      <c r="F188" s="404"/>
      <c r="G188" s="323"/>
      <c r="H188" s="564"/>
      <c r="I188" s="859">
        <f>D415+D416+D417</f>
        <v>2015000</v>
      </c>
      <c r="J188" s="859">
        <f>F415+F416+F417</f>
        <v>2177419.7394080805</v>
      </c>
      <c r="K188" s="286"/>
      <c r="L188" s="321">
        <v>8</v>
      </c>
      <c r="M188" s="413" t="s">
        <v>473</v>
      </c>
      <c r="N188" s="322"/>
      <c r="O188" s="550"/>
      <c r="P188" s="404"/>
      <c r="Q188" s="323"/>
      <c r="R188" s="578"/>
      <c r="S188" s="613"/>
      <c r="T188" s="513" t="str">
        <f t="shared" si="21"/>
        <v/>
      </c>
      <c r="U188" s="497">
        <f>(Q188/$X$188*$J$188)</f>
        <v>0</v>
      </c>
      <c r="V188" s="902">
        <f>J188-SUM(U188:U208)</f>
        <v>47805.181889298838</v>
      </c>
      <c r="W188" s="564"/>
      <c r="X188" s="862">
        <f>SUM(Q188:Q208)</f>
        <v>2175649.81</v>
      </c>
      <c r="Y188" s="472"/>
    </row>
    <row r="189" spans="1:25" ht="14.25" customHeight="1" x14ac:dyDescent="0.2">
      <c r="B189" s="311">
        <v>8</v>
      </c>
      <c r="C189" s="312"/>
      <c r="D189" s="324" t="s">
        <v>474</v>
      </c>
      <c r="E189" s="403"/>
      <c r="F189" s="448"/>
      <c r="G189" s="313">
        <v>25000</v>
      </c>
      <c r="H189" s="528">
        <v>45899</v>
      </c>
      <c r="I189" s="860"/>
      <c r="J189" s="860"/>
      <c r="K189" s="290"/>
      <c r="L189" s="311">
        <v>8</v>
      </c>
      <c r="M189" s="420" t="s">
        <v>473</v>
      </c>
      <c r="N189" s="324" t="s">
        <v>475</v>
      </c>
      <c r="O189" s="313">
        <v>78963</v>
      </c>
      <c r="P189" s="702">
        <v>2</v>
      </c>
      <c r="Q189" s="313">
        <f>O189*P189</f>
        <v>157926</v>
      </c>
      <c r="R189" s="579" t="s">
        <v>476</v>
      </c>
      <c r="S189" s="614" t="s">
        <v>477</v>
      </c>
      <c r="T189" s="672">
        <v>45869</v>
      </c>
      <c r="U189" s="681">
        <v>159363.64106558694</v>
      </c>
      <c r="V189" s="903"/>
      <c r="W189" s="528">
        <v>45899</v>
      </c>
      <c r="X189" s="863"/>
      <c r="Y189" s="472"/>
    </row>
    <row r="190" spans="1:25" ht="14.25" customHeight="1" x14ac:dyDescent="0.2">
      <c r="B190" s="311">
        <v>8</v>
      </c>
      <c r="C190" s="312"/>
      <c r="D190" s="324" t="s">
        <v>478</v>
      </c>
      <c r="E190" s="403"/>
      <c r="F190" s="448"/>
      <c r="G190" s="313">
        <v>540000</v>
      </c>
      <c r="H190" s="528">
        <v>45899</v>
      </c>
      <c r="I190" s="860"/>
      <c r="J190" s="860"/>
      <c r="K190" s="290"/>
      <c r="L190" s="311">
        <v>8</v>
      </c>
      <c r="M190" s="420" t="s">
        <v>473</v>
      </c>
      <c r="N190" s="324" t="s">
        <v>479</v>
      </c>
      <c r="O190" s="403"/>
      <c r="P190" s="448"/>
      <c r="Q190" s="313">
        <v>416290</v>
      </c>
      <c r="R190" s="579" t="s">
        <v>480</v>
      </c>
      <c r="S190" s="614" t="s">
        <v>481</v>
      </c>
      <c r="T190" s="672">
        <v>45869</v>
      </c>
      <c r="U190" s="681">
        <v>373906.90512172278</v>
      </c>
      <c r="V190" s="903"/>
      <c r="W190" s="528">
        <v>45899</v>
      </c>
      <c r="X190" s="863"/>
      <c r="Y190" s="472"/>
    </row>
    <row r="191" spans="1:25" ht="14.25" customHeight="1" x14ac:dyDescent="0.2">
      <c r="B191" s="311"/>
      <c r="C191" s="312"/>
      <c r="D191" s="324"/>
      <c r="E191" s="403"/>
      <c r="F191" s="448"/>
      <c r="G191" s="313"/>
      <c r="H191" s="528"/>
      <c r="I191" s="860"/>
      <c r="J191" s="860"/>
      <c r="K191" s="290"/>
      <c r="L191" s="311">
        <v>8</v>
      </c>
      <c r="M191" s="420" t="s">
        <v>473</v>
      </c>
      <c r="N191" s="324" t="s">
        <v>482</v>
      </c>
      <c r="O191" s="403"/>
      <c r="P191" s="448"/>
      <c r="Q191" s="313">
        <v>49639</v>
      </c>
      <c r="R191" s="579"/>
      <c r="S191" s="614" t="s">
        <v>483</v>
      </c>
      <c r="T191" s="672">
        <v>45869</v>
      </c>
      <c r="U191" s="681">
        <v>50090.876605844955</v>
      </c>
      <c r="V191" s="903"/>
      <c r="W191" s="528">
        <v>45899</v>
      </c>
      <c r="X191" s="863"/>
      <c r="Y191" s="472"/>
    </row>
    <row r="192" spans="1:25" ht="14.25" customHeight="1" x14ac:dyDescent="0.2">
      <c r="B192" s="311"/>
      <c r="C192" s="312"/>
      <c r="D192" s="324"/>
      <c r="E192" s="403"/>
      <c r="F192" s="448"/>
      <c r="G192" s="313"/>
      <c r="H192" s="528"/>
      <c r="I192" s="860"/>
      <c r="J192" s="860"/>
      <c r="K192" s="290"/>
      <c r="L192" s="311">
        <v>8</v>
      </c>
      <c r="M192" s="420" t="s">
        <v>473</v>
      </c>
      <c r="N192" s="324" t="s">
        <v>482</v>
      </c>
      <c r="O192" s="403"/>
      <c r="P192" s="448"/>
      <c r="Q192" s="313">
        <f>-Q191</f>
        <v>-49639</v>
      </c>
      <c r="R192" s="579"/>
      <c r="S192" s="614" t="s">
        <v>483</v>
      </c>
      <c r="T192" s="672">
        <v>45900</v>
      </c>
      <c r="U192" s="498">
        <v>0</v>
      </c>
      <c r="V192" s="903"/>
      <c r="W192" s="528">
        <v>45900</v>
      </c>
      <c r="X192" s="863"/>
      <c r="Y192" s="472"/>
    </row>
    <row r="193" spans="2:25" ht="14.25" customHeight="1" x14ac:dyDescent="0.2">
      <c r="B193" s="311"/>
      <c r="C193" s="312"/>
      <c r="D193" s="324"/>
      <c r="E193" s="403"/>
      <c r="F193" s="448"/>
      <c r="G193" s="313"/>
      <c r="H193" s="565"/>
      <c r="I193" s="860"/>
      <c r="J193" s="860"/>
      <c r="K193" s="290"/>
      <c r="L193" s="311">
        <v>8</v>
      </c>
      <c r="M193" s="420" t="s">
        <v>473</v>
      </c>
      <c r="N193" s="324" t="s">
        <v>484</v>
      </c>
      <c r="O193" s="686">
        <v>376996</v>
      </c>
      <c r="P193" s="685">
        <v>0.5</v>
      </c>
      <c r="Q193" s="313">
        <f>$O$193*P193</f>
        <v>188498</v>
      </c>
      <c r="R193" s="871" t="s">
        <v>485</v>
      </c>
      <c r="S193" s="614" t="s">
        <v>486</v>
      </c>
      <c r="T193" s="672">
        <v>45869</v>
      </c>
      <c r="U193" s="681">
        <v>190213.94585806647</v>
      </c>
      <c r="V193" s="903"/>
      <c r="W193" s="528">
        <v>45989</v>
      </c>
      <c r="X193" s="863"/>
      <c r="Y193" s="472"/>
    </row>
    <row r="194" spans="2:25" ht="14.25" customHeight="1" x14ac:dyDescent="0.2">
      <c r="B194" s="311"/>
      <c r="C194" s="312"/>
      <c r="D194" s="324"/>
      <c r="E194" s="403"/>
      <c r="F194" s="448"/>
      <c r="G194" s="313"/>
      <c r="H194" s="565"/>
      <c r="I194" s="860"/>
      <c r="J194" s="860"/>
      <c r="K194" s="290"/>
      <c r="L194" s="311">
        <v>8</v>
      </c>
      <c r="M194" s="420" t="s">
        <v>473</v>
      </c>
      <c r="N194" s="324" t="s">
        <v>487</v>
      </c>
      <c r="O194" s="835">
        <f>O193/2</f>
        <v>188498</v>
      </c>
      <c r="P194" s="685">
        <v>0.5</v>
      </c>
      <c r="Q194" s="313">
        <f>$O$193*P194</f>
        <v>188498</v>
      </c>
      <c r="R194" s="872"/>
      <c r="S194" s="614" t="s">
        <v>486</v>
      </c>
      <c r="T194" s="672">
        <v>45869</v>
      </c>
      <c r="U194" s="681">
        <v>190213.94585806647</v>
      </c>
      <c r="V194" s="903"/>
      <c r="W194" s="528">
        <v>45989</v>
      </c>
      <c r="X194" s="863"/>
      <c r="Y194" s="472"/>
    </row>
    <row r="195" spans="2:25" ht="14.25" customHeight="1" x14ac:dyDescent="0.2">
      <c r="B195" s="311"/>
      <c r="C195" s="312"/>
      <c r="D195" s="324"/>
      <c r="E195" s="403"/>
      <c r="F195" s="448"/>
      <c r="G195" s="313"/>
      <c r="H195" s="528"/>
      <c r="I195" s="860"/>
      <c r="J195" s="860"/>
      <c r="K195" s="290"/>
      <c r="L195" s="311">
        <v>8</v>
      </c>
      <c r="M195" s="420" t="s">
        <v>473</v>
      </c>
      <c r="N195" s="324" t="s">
        <v>478</v>
      </c>
      <c r="O195" s="403"/>
      <c r="P195" s="448"/>
      <c r="Q195" s="313">
        <v>264744.74</v>
      </c>
      <c r="R195" s="871" t="s">
        <v>488</v>
      </c>
      <c r="S195" s="614" t="s">
        <v>489</v>
      </c>
      <c r="T195" s="672">
        <v>45838</v>
      </c>
      <c r="U195" s="681">
        <v>311742.46060635644</v>
      </c>
      <c r="V195" s="903"/>
      <c r="W195" s="528">
        <v>45834</v>
      </c>
      <c r="X195" s="863"/>
      <c r="Y195" s="472"/>
    </row>
    <row r="196" spans="2:25" ht="14.25" customHeight="1" x14ac:dyDescent="0.2">
      <c r="B196" s="311"/>
      <c r="C196" s="312"/>
      <c r="D196" s="324"/>
      <c r="E196" s="403"/>
      <c r="F196" s="448"/>
      <c r="G196" s="313"/>
      <c r="H196" s="528"/>
      <c r="I196" s="860"/>
      <c r="J196" s="860"/>
      <c r="K196" s="290"/>
      <c r="L196" s="311">
        <v>8</v>
      </c>
      <c r="M196" s="420" t="s">
        <v>473</v>
      </c>
      <c r="N196" s="324" t="s">
        <v>490</v>
      </c>
      <c r="O196" s="403"/>
      <c r="P196" s="448"/>
      <c r="Q196" s="313">
        <v>8911.2000000000007</v>
      </c>
      <c r="R196" s="874"/>
      <c r="S196" s="614" t="s">
        <v>489</v>
      </c>
      <c r="T196" s="672">
        <v>45838</v>
      </c>
      <c r="U196" s="681">
        <v>10493.124112514432</v>
      </c>
      <c r="V196" s="903"/>
      <c r="W196" s="528">
        <v>45834</v>
      </c>
      <c r="X196" s="863"/>
      <c r="Y196" s="472"/>
    </row>
    <row r="197" spans="2:25" ht="14.25" customHeight="1" x14ac:dyDescent="0.2">
      <c r="B197" s="311"/>
      <c r="C197" s="312"/>
      <c r="D197" s="324"/>
      <c r="E197" s="403"/>
      <c r="F197" s="448"/>
      <c r="G197" s="313"/>
      <c r="H197" s="528"/>
      <c r="I197" s="860"/>
      <c r="J197" s="860"/>
      <c r="K197" s="290"/>
      <c r="L197" s="311">
        <v>8</v>
      </c>
      <c r="M197" s="420" t="s">
        <v>473</v>
      </c>
      <c r="N197" s="324" t="s">
        <v>491</v>
      </c>
      <c r="O197" s="403"/>
      <c r="P197" s="448"/>
      <c r="Q197" s="313">
        <v>500</v>
      </c>
      <c r="R197" s="872"/>
      <c r="S197" s="614" t="s">
        <v>489</v>
      </c>
      <c r="T197" s="672">
        <v>45838</v>
      </c>
      <c r="U197" s="681">
        <v>588.76044261796551</v>
      </c>
      <c r="V197" s="903"/>
      <c r="W197" s="528">
        <v>45834</v>
      </c>
      <c r="X197" s="863"/>
      <c r="Y197" s="472"/>
    </row>
    <row r="198" spans="2:25" ht="14.25" customHeight="1" x14ac:dyDescent="0.2">
      <c r="B198" s="311"/>
      <c r="C198" s="312"/>
      <c r="D198" s="324"/>
      <c r="E198" s="403"/>
      <c r="F198" s="448"/>
      <c r="G198" s="313"/>
      <c r="H198" s="528"/>
      <c r="I198" s="860"/>
      <c r="J198" s="860"/>
      <c r="K198" s="290"/>
      <c r="L198" s="311">
        <v>8</v>
      </c>
      <c r="M198" s="420" t="s">
        <v>473</v>
      </c>
      <c r="N198" s="324" t="s">
        <v>492</v>
      </c>
      <c r="O198" s="403">
        <v>5</v>
      </c>
      <c r="P198" s="448">
        <v>2900</v>
      </c>
      <c r="Q198" s="313">
        <v>56604</v>
      </c>
      <c r="R198" s="579" t="s">
        <v>493</v>
      </c>
      <c r="S198" s="614" t="s">
        <v>494</v>
      </c>
      <c r="T198" s="672">
        <v>45900</v>
      </c>
      <c r="U198" s="715">
        <v>37374.055508281563</v>
      </c>
      <c r="V198" s="903"/>
      <c r="W198" s="528">
        <v>45897</v>
      </c>
      <c r="X198" s="863"/>
      <c r="Y198" s="472"/>
    </row>
    <row r="199" spans="2:25" ht="14.25" customHeight="1" x14ac:dyDescent="0.2">
      <c r="B199" s="311"/>
      <c r="C199" s="312"/>
      <c r="D199" s="324"/>
      <c r="E199" s="403"/>
      <c r="F199" s="448"/>
      <c r="G199" s="313"/>
      <c r="H199" s="565"/>
      <c r="I199" s="860"/>
      <c r="J199" s="860"/>
      <c r="K199" s="290"/>
      <c r="L199" s="311">
        <v>8</v>
      </c>
      <c r="M199" s="420" t="s">
        <v>473</v>
      </c>
      <c r="N199" s="324"/>
      <c r="O199" s="403"/>
      <c r="P199" s="448"/>
      <c r="Q199" s="313"/>
      <c r="R199" s="583"/>
      <c r="S199" s="614"/>
      <c r="T199" s="514"/>
      <c r="U199" s="498"/>
      <c r="V199" s="903"/>
      <c r="W199" s="565"/>
      <c r="X199" s="863"/>
      <c r="Y199" s="472"/>
    </row>
    <row r="200" spans="2:25" ht="14.25" customHeight="1" x14ac:dyDescent="0.2">
      <c r="B200" s="311"/>
      <c r="C200" s="312"/>
      <c r="D200" s="324"/>
      <c r="E200" s="403"/>
      <c r="F200" s="448"/>
      <c r="G200" s="313"/>
      <c r="H200" s="565"/>
      <c r="I200" s="860"/>
      <c r="J200" s="860"/>
      <c r="K200" s="290"/>
      <c r="L200" s="311">
        <v>8</v>
      </c>
      <c r="M200" s="420" t="s">
        <v>473</v>
      </c>
      <c r="N200" s="324"/>
      <c r="O200" s="403"/>
      <c r="P200" s="448"/>
      <c r="Q200" s="313"/>
      <c r="R200" s="583"/>
      <c r="S200" s="614"/>
      <c r="T200" s="514"/>
      <c r="U200" s="498"/>
      <c r="V200" s="903"/>
      <c r="W200" s="565"/>
      <c r="X200" s="863"/>
      <c r="Y200" s="472"/>
    </row>
    <row r="201" spans="2:25" ht="14.25" customHeight="1" x14ac:dyDescent="0.2">
      <c r="B201" s="311"/>
      <c r="C201" s="312"/>
      <c r="D201" s="324"/>
      <c r="E201" s="403"/>
      <c r="F201" s="448"/>
      <c r="G201" s="313"/>
      <c r="H201" s="528"/>
      <c r="I201" s="860"/>
      <c r="J201" s="860"/>
      <c r="K201" s="290"/>
      <c r="L201" s="311">
        <v>8</v>
      </c>
      <c r="M201" s="420" t="s">
        <v>473</v>
      </c>
      <c r="N201" s="324" t="s">
        <v>495</v>
      </c>
      <c r="O201" s="686">
        <v>282770</v>
      </c>
      <c r="P201" s="685">
        <v>0.5</v>
      </c>
      <c r="Q201" s="313">
        <f>O201*P201</f>
        <v>141385</v>
      </c>
      <c r="R201" s="871" t="s">
        <v>496</v>
      </c>
      <c r="S201" s="614" t="s">
        <v>497</v>
      </c>
      <c r="T201" s="672">
        <v>45869</v>
      </c>
      <c r="U201" s="681">
        <v>142672.06408101268</v>
      </c>
      <c r="V201" s="903"/>
      <c r="W201" s="528">
        <v>45855</v>
      </c>
      <c r="X201" s="863"/>
      <c r="Y201" s="472"/>
    </row>
    <row r="202" spans="2:25" ht="14.25" customHeight="1" x14ac:dyDescent="0.2">
      <c r="B202" s="311"/>
      <c r="C202" s="312"/>
      <c r="D202" s="324"/>
      <c r="E202" s="403"/>
      <c r="F202" s="448"/>
      <c r="G202" s="313"/>
      <c r="H202" s="528"/>
      <c r="I202" s="860"/>
      <c r="J202" s="860"/>
      <c r="K202" s="290"/>
      <c r="L202" s="311">
        <v>8</v>
      </c>
      <c r="M202" s="420" t="s">
        <v>473</v>
      </c>
      <c r="N202" s="324" t="s">
        <v>498</v>
      </c>
      <c r="O202" s="403"/>
      <c r="P202" s="685">
        <v>0.5</v>
      </c>
      <c r="Q202" s="313">
        <f>O201*P202</f>
        <v>141385</v>
      </c>
      <c r="R202" s="872"/>
      <c r="S202" s="614" t="s">
        <v>499</v>
      </c>
      <c r="T202" s="672">
        <v>45900</v>
      </c>
      <c r="U202" s="715">
        <v>139002.42023511391</v>
      </c>
      <c r="V202" s="903"/>
      <c r="W202" s="528">
        <v>45910</v>
      </c>
      <c r="X202" s="863"/>
      <c r="Y202" s="472"/>
    </row>
    <row r="203" spans="2:25" ht="14.25" customHeight="1" x14ac:dyDescent="0.2">
      <c r="B203" s="311">
        <v>8</v>
      </c>
      <c r="C203" s="312"/>
      <c r="D203" s="324" t="s">
        <v>500</v>
      </c>
      <c r="E203" s="403"/>
      <c r="F203" s="448"/>
      <c r="G203" s="313">
        <v>250000</v>
      </c>
      <c r="H203" s="565">
        <f>H189</f>
        <v>45899</v>
      </c>
      <c r="I203" s="860"/>
      <c r="J203" s="860"/>
      <c r="K203" s="290"/>
      <c r="L203" s="311">
        <v>8</v>
      </c>
      <c r="M203" s="420" t="s">
        <v>473</v>
      </c>
      <c r="N203" s="324"/>
      <c r="O203" s="403"/>
      <c r="P203" s="448"/>
      <c r="Q203" s="313"/>
      <c r="R203" s="579"/>
      <c r="S203" s="614"/>
      <c r="T203" s="514" t="str">
        <f t="shared" si="21"/>
        <v/>
      </c>
      <c r="U203" s="498">
        <f>(Q203/$X$188*$J$188)</f>
        <v>0</v>
      </c>
      <c r="V203" s="903"/>
      <c r="W203" s="565"/>
      <c r="X203" s="863"/>
      <c r="Y203" s="472"/>
    </row>
    <row r="204" spans="2:25" ht="14.25" customHeight="1" x14ac:dyDescent="0.2">
      <c r="B204" s="311">
        <v>8</v>
      </c>
      <c r="C204" s="312"/>
      <c r="D204" s="324" t="s">
        <v>501</v>
      </c>
      <c r="E204" s="403"/>
      <c r="F204" s="448"/>
      <c r="G204" s="313">
        <v>600000</v>
      </c>
      <c r="H204" s="565">
        <f>H189</f>
        <v>45899</v>
      </c>
      <c r="I204" s="860"/>
      <c r="J204" s="860"/>
      <c r="K204" s="290"/>
      <c r="L204" s="311">
        <v>8</v>
      </c>
      <c r="M204" s="420" t="s">
        <v>473</v>
      </c>
      <c r="N204" s="324" t="s">
        <v>502</v>
      </c>
      <c r="O204" s="403"/>
      <c r="P204" s="448"/>
      <c r="Q204" s="313">
        <v>9531.6</v>
      </c>
      <c r="R204" s="579" t="s">
        <v>503</v>
      </c>
      <c r="S204" s="614" t="s">
        <v>504</v>
      </c>
      <c r="T204" s="672">
        <v>46081</v>
      </c>
      <c r="U204" s="498"/>
      <c r="V204" s="903"/>
      <c r="W204" s="565">
        <f>T204+7</f>
        <v>46088</v>
      </c>
      <c r="X204" s="863"/>
      <c r="Y204" s="472"/>
    </row>
    <row r="205" spans="2:25" ht="14.25" customHeight="1" x14ac:dyDescent="0.2">
      <c r="B205" s="311">
        <v>8</v>
      </c>
      <c r="C205" s="312"/>
      <c r="D205" s="324" t="s">
        <v>505</v>
      </c>
      <c r="E205" s="403"/>
      <c r="F205" s="448"/>
      <c r="G205" s="313">
        <v>600000</v>
      </c>
      <c r="H205" s="565">
        <f>H190</f>
        <v>45899</v>
      </c>
      <c r="I205" s="860"/>
      <c r="J205" s="860"/>
      <c r="K205" s="290"/>
      <c r="L205" s="311">
        <v>8</v>
      </c>
      <c r="M205" s="420" t="s">
        <v>473</v>
      </c>
      <c r="N205" s="324"/>
      <c r="O205" s="403"/>
      <c r="P205" s="448"/>
      <c r="Q205" s="313"/>
      <c r="R205" s="579"/>
      <c r="S205" s="614"/>
      <c r="T205" s="514" t="str">
        <f t="shared" si="21"/>
        <v/>
      </c>
      <c r="U205" s="498"/>
      <c r="V205" s="903"/>
      <c r="W205" s="565"/>
      <c r="X205" s="863"/>
      <c r="Y205" s="472"/>
    </row>
    <row r="206" spans="2:25" ht="14.25" customHeight="1" x14ac:dyDescent="0.2">
      <c r="B206" s="311">
        <v>8</v>
      </c>
      <c r="C206" s="312"/>
      <c r="D206" s="324"/>
      <c r="E206" s="403"/>
      <c r="F206" s="448"/>
      <c r="G206" s="313"/>
      <c r="H206" s="565"/>
      <c r="I206" s="860"/>
      <c r="J206" s="860"/>
      <c r="K206" s="290"/>
      <c r="L206" s="311">
        <v>8</v>
      </c>
      <c r="M206" s="420" t="s">
        <v>473</v>
      </c>
      <c r="N206" s="324" t="s">
        <v>506</v>
      </c>
      <c r="O206" s="548"/>
      <c r="P206" s="448"/>
      <c r="Q206" s="313">
        <v>1376.27</v>
      </c>
      <c r="R206" s="579"/>
      <c r="S206" s="839" t="s">
        <v>507</v>
      </c>
      <c r="T206" s="778">
        <v>45961</v>
      </c>
      <c r="U206" s="779">
        <v>1352.2371916952748</v>
      </c>
      <c r="V206" s="903"/>
      <c r="W206" s="767">
        <v>45940</v>
      </c>
      <c r="X206" s="863"/>
      <c r="Y206" s="472"/>
    </row>
    <row r="207" spans="2:25" ht="14.25" customHeight="1" x14ac:dyDescent="0.2">
      <c r="B207" s="311">
        <v>8</v>
      </c>
      <c r="C207" s="312"/>
      <c r="D207" s="324"/>
      <c r="E207" s="403"/>
      <c r="F207" s="448"/>
      <c r="G207" s="313"/>
      <c r="H207" s="568"/>
      <c r="I207" s="860"/>
      <c r="J207" s="860"/>
      <c r="K207" s="290"/>
      <c r="L207" s="311">
        <v>8</v>
      </c>
      <c r="M207" s="420" t="s">
        <v>473</v>
      </c>
      <c r="N207" s="324"/>
      <c r="O207" s="548"/>
      <c r="P207" s="448"/>
      <c r="Q207" s="313"/>
      <c r="R207" s="583"/>
      <c r="S207" s="618"/>
      <c r="T207" s="517" t="str">
        <f t="shared" si="21"/>
        <v/>
      </c>
      <c r="U207" s="503">
        <f>(Q207/$X$188*$J$188)</f>
        <v>0</v>
      </c>
      <c r="V207" s="903"/>
      <c r="W207" s="568"/>
      <c r="X207" s="863"/>
      <c r="Y207" s="472"/>
    </row>
    <row r="208" spans="2:25" ht="15" customHeight="1" thickBot="1" x14ac:dyDescent="0.25">
      <c r="B208" s="311">
        <v>8</v>
      </c>
      <c r="C208" s="292"/>
      <c r="D208" s="293"/>
      <c r="E208" s="445"/>
      <c r="F208" s="442"/>
      <c r="G208" s="294"/>
      <c r="H208" s="566"/>
      <c r="I208" s="861"/>
      <c r="J208" s="861"/>
      <c r="K208" s="295"/>
      <c r="L208" s="291">
        <v>8</v>
      </c>
      <c r="M208" s="419" t="s">
        <v>473</v>
      </c>
      <c r="N208" s="293" t="s">
        <v>505</v>
      </c>
      <c r="O208" s="549"/>
      <c r="P208" s="442"/>
      <c r="Q208" s="294">
        <v>600000</v>
      </c>
      <c r="R208" s="696"/>
      <c r="S208" s="615" t="s">
        <v>508</v>
      </c>
      <c r="T208" s="712">
        <v>45900</v>
      </c>
      <c r="U208" s="719">
        <v>522600.12083190132</v>
      </c>
      <c r="V208" s="904"/>
      <c r="W208" s="566">
        <f>'Revenue Tracking'!P20+7</f>
        <v>46154</v>
      </c>
      <c r="X208" s="864"/>
      <c r="Y208" s="472"/>
    </row>
    <row r="209" spans="1:25" ht="22.5" customHeight="1" thickBot="1" x14ac:dyDescent="0.45">
      <c r="A209" s="24"/>
      <c r="B209" s="325"/>
      <c r="C209" s="154"/>
      <c r="D209" s="154"/>
      <c r="E209" s="154"/>
      <c r="F209" s="456"/>
      <c r="G209" s="154"/>
      <c r="H209" s="530"/>
      <c r="I209" s="426"/>
      <c r="J209" s="427"/>
      <c r="K209" s="154"/>
      <c r="L209" s="325"/>
      <c r="M209" s="154"/>
      <c r="N209" s="154"/>
      <c r="O209" s="551"/>
      <c r="P209" s="456"/>
      <c r="Q209" s="154"/>
      <c r="R209" s="585"/>
      <c r="S209" s="325"/>
      <c r="T209" s="519" t="str">
        <f t="shared" si="21"/>
        <v/>
      </c>
      <c r="U209" s="485"/>
      <c r="V209" s="485"/>
      <c r="W209" s="530"/>
      <c r="X209" s="426"/>
      <c r="Y209" s="472"/>
    </row>
    <row r="210" spans="1:25" ht="15" customHeight="1" thickBot="1" x14ac:dyDescent="0.35">
      <c r="B210" s="300">
        <v>9</v>
      </c>
      <c r="C210" s="429" t="s">
        <v>509</v>
      </c>
      <c r="D210" s="316" t="s">
        <v>510</v>
      </c>
      <c r="E210" s="303"/>
      <c r="F210" s="424">
        <f>G210/7000000</f>
        <v>0.15172285714285713</v>
      </c>
      <c r="G210" s="604">
        <f>D422</f>
        <v>1062060</v>
      </c>
      <c r="H210" s="567">
        <f>H211</f>
        <v>45834</v>
      </c>
      <c r="I210" s="896">
        <f>SUM(G210:G252)</f>
        <v>4360411.2369999997</v>
      </c>
      <c r="J210" s="875">
        <f>F422+F423</f>
        <v>5129895.5729411766</v>
      </c>
      <c r="K210" s="277"/>
      <c r="L210" s="300">
        <v>9</v>
      </c>
      <c r="M210" s="411" t="s">
        <v>511</v>
      </c>
      <c r="N210" s="635" t="s">
        <v>512</v>
      </c>
      <c r="O210" s="540"/>
      <c r="P210" s="424"/>
      <c r="Q210" s="304"/>
      <c r="R210" s="581"/>
      <c r="S210" s="616"/>
      <c r="T210" s="516"/>
      <c r="U210" s="501">
        <f>(Q210/$X$210*$J$210)</f>
        <v>0</v>
      </c>
      <c r="V210" s="878">
        <f>J210-SUM(U210:U252)</f>
        <v>2.478407695889473E-3</v>
      </c>
      <c r="W210" s="567"/>
      <c r="X210" s="899">
        <f>SUM(Q210:Q252)</f>
        <v>8055680</v>
      </c>
      <c r="Y210" s="472"/>
    </row>
    <row r="211" spans="1:25" ht="15" customHeight="1" x14ac:dyDescent="0.2">
      <c r="B211" s="300">
        <v>9</v>
      </c>
      <c r="C211" s="429"/>
      <c r="D211" s="317" t="s">
        <v>513</v>
      </c>
      <c r="E211" s="303"/>
      <c r="F211" s="424">
        <f>G211/7000000</f>
        <v>0.47119303385714284</v>
      </c>
      <c r="G211" s="604">
        <f>D423</f>
        <v>3298351.2369999997</v>
      </c>
      <c r="H211" s="524">
        <v>45834</v>
      </c>
      <c r="I211" s="897"/>
      <c r="J211" s="876"/>
      <c r="K211" s="277"/>
      <c r="L211" s="300">
        <v>9</v>
      </c>
      <c r="M211" s="411" t="s">
        <v>511</v>
      </c>
      <c r="N211" s="317" t="s">
        <v>514</v>
      </c>
      <c r="O211" s="558">
        <f>AC22*0.6</f>
        <v>2400000</v>
      </c>
      <c r="P211" s="638">
        <v>0.17499999999999999</v>
      </c>
      <c r="Q211" s="304">
        <f>$O$211*P211</f>
        <v>420000</v>
      </c>
      <c r="R211" s="891" t="s">
        <v>386</v>
      </c>
      <c r="S211" s="609" t="s">
        <v>387</v>
      </c>
      <c r="T211" s="670">
        <v>45838</v>
      </c>
      <c r="U211" s="679">
        <v>326447.90009625664</v>
      </c>
      <c r="V211" s="879"/>
      <c r="W211" s="524">
        <v>45834</v>
      </c>
      <c r="X211" s="900"/>
      <c r="Y211" s="472"/>
    </row>
    <row r="212" spans="1:25" ht="15" customHeight="1" x14ac:dyDescent="0.2">
      <c r="B212" s="372">
        <v>9</v>
      </c>
      <c r="C212" s="491"/>
      <c r="D212" s="374"/>
      <c r="E212" s="395"/>
      <c r="F212" s="431"/>
      <c r="G212" s="375"/>
      <c r="H212" s="525"/>
      <c r="I212" s="897"/>
      <c r="J212" s="876"/>
      <c r="K212" s="277"/>
      <c r="L212" s="372">
        <v>9</v>
      </c>
      <c r="M212" s="492" t="s">
        <v>511</v>
      </c>
      <c r="N212" s="374" t="s">
        <v>515</v>
      </c>
      <c r="O212" s="637">
        <f>O211/4000000</f>
        <v>0.6</v>
      </c>
      <c r="P212" s="639">
        <v>0.2</v>
      </c>
      <c r="Q212" s="304">
        <f t="shared" ref="Q212:Q218" si="22">$O$211*P212</f>
        <v>480000</v>
      </c>
      <c r="R212" s="889"/>
      <c r="S212" s="610" t="s">
        <v>389</v>
      </c>
      <c r="T212" s="670">
        <v>45869</v>
      </c>
      <c r="U212" s="680">
        <v>242313.05694970069</v>
      </c>
      <c r="V212" s="879"/>
      <c r="W212" s="525">
        <v>45904</v>
      </c>
      <c r="X212" s="900"/>
      <c r="Y212" s="472"/>
    </row>
    <row r="213" spans="1:25" ht="15" customHeight="1" x14ac:dyDescent="0.2">
      <c r="B213" s="372">
        <v>9</v>
      </c>
      <c r="C213" s="491"/>
      <c r="D213" s="374"/>
      <c r="E213" s="395"/>
      <c r="F213" s="431"/>
      <c r="G213" s="375"/>
      <c r="H213" s="561"/>
      <c r="I213" s="897"/>
      <c r="J213" s="876"/>
      <c r="K213" s="277"/>
      <c r="L213" s="372">
        <v>9</v>
      </c>
      <c r="M213" s="492" t="s">
        <v>511</v>
      </c>
      <c r="N213" s="374" t="s">
        <v>516</v>
      </c>
      <c r="O213" s="541"/>
      <c r="P213" s="639">
        <v>0.2</v>
      </c>
      <c r="Q213" s="776">
        <f t="shared" si="22"/>
        <v>480000</v>
      </c>
      <c r="R213" s="889"/>
      <c r="S213" s="610" t="s">
        <v>391</v>
      </c>
      <c r="T213" s="670">
        <v>45900</v>
      </c>
      <c r="U213" s="718">
        <v>242313.04694970069</v>
      </c>
      <c r="V213" s="879"/>
      <c r="W213" s="762">
        <v>45932</v>
      </c>
      <c r="X213" s="900"/>
      <c r="Y213" s="472"/>
    </row>
    <row r="214" spans="1:25" ht="15" customHeight="1" x14ac:dyDescent="0.2">
      <c r="B214" s="372">
        <v>9</v>
      </c>
      <c r="C214" s="491"/>
      <c r="D214" s="374"/>
      <c r="E214" s="395"/>
      <c r="F214" s="431"/>
      <c r="G214" s="375"/>
      <c r="H214" s="561"/>
      <c r="I214" s="897"/>
      <c r="J214" s="876"/>
      <c r="K214" s="277"/>
      <c r="L214" s="372">
        <v>9</v>
      </c>
      <c r="M214" s="492" t="s">
        <v>511</v>
      </c>
      <c r="N214" s="374" t="s">
        <v>517</v>
      </c>
      <c r="O214" s="541"/>
      <c r="P214" s="639">
        <v>0.1</v>
      </c>
      <c r="Q214" s="776">
        <f t="shared" si="22"/>
        <v>240000</v>
      </c>
      <c r="R214" s="889"/>
      <c r="S214" s="610" t="s">
        <v>391</v>
      </c>
      <c r="T214" s="670">
        <v>45900</v>
      </c>
      <c r="U214" s="718">
        <v>152833.14847485034</v>
      </c>
      <c r="V214" s="879"/>
      <c r="W214" s="762">
        <v>45932</v>
      </c>
      <c r="X214" s="900"/>
      <c r="Y214" s="472"/>
    </row>
    <row r="215" spans="1:25" ht="15" customHeight="1" x14ac:dyDescent="0.2">
      <c r="B215" s="372">
        <v>9</v>
      </c>
      <c r="C215" s="491"/>
      <c r="D215" s="374"/>
      <c r="E215" s="395"/>
      <c r="F215" s="431"/>
      <c r="G215" s="375"/>
      <c r="H215" s="561"/>
      <c r="I215" s="897"/>
      <c r="J215" s="876"/>
      <c r="K215" s="277"/>
      <c r="L215" s="372">
        <v>9</v>
      </c>
      <c r="M215" s="492" t="s">
        <v>511</v>
      </c>
      <c r="N215" s="825" t="s">
        <v>518</v>
      </c>
      <c r="O215" s="826"/>
      <c r="P215" s="827">
        <v>0.2</v>
      </c>
      <c r="Q215" s="828">
        <f t="shared" si="22"/>
        <v>480000</v>
      </c>
      <c r="R215" s="889"/>
      <c r="S215" s="610" t="s">
        <v>519</v>
      </c>
      <c r="T215" s="670">
        <v>46053</v>
      </c>
      <c r="U215" s="802">
        <v>305666.29694970069</v>
      </c>
      <c r="V215" s="879"/>
      <c r="W215" s="525">
        <v>46045</v>
      </c>
      <c r="X215" s="900"/>
      <c r="Y215" s="472"/>
    </row>
    <row r="216" spans="1:25" ht="15" customHeight="1" x14ac:dyDescent="0.2">
      <c r="B216" s="372">
        <v>9</v>
      </c>
      <c r="C216" s="491"/>
      <c r="D216" s="374"/>
      <c r="E216" s="395"/>
      <c r="F216" s="431"/>
      <c r="G216" s="375"/>
      <c r="H216" s="561"/>
      <c r="I216" s="897"/>
      <c r="J216" s="876"/>
      <c r="K216" s="277"/>
      <c r="L216" s="372">
        <v>9</v>
      </c>
      <c r="M216" s="492" t="s">
        <v>511</v>
      </c>
      <c r="N216" s="825" t="s">
        <v>520</v>
      </c>
      <c r="O216" s="826"/>
      <c r="P216" s="827">
        <v>0.05</v>
      </c>
      <c r="Q216" s="828">
        <f t="shared" si="22"/>
        <v>120000</v>
      </c>
      <c r="R216" s="889"/>
      <c r="S216" s="610" t="s">
        <v>519</v>
      </c>
      <c r="T216" s="670">
        <v>46053</v>
      </c>
      <c r="U216" s="802">
        <v>76416.574237425171</v>
      </c>
      <c r="V216" s="879"/>
      <c r="W216" s="525">
        <f>W215</f>
        <v>46045</v>
      </c>
      <c r="X216" s="900"/>
      <c r="Y216" s="472"/>
    </row>
    <row r="217" spans="1:25" ht="15" customHeight="1" x14ac:dyDescent="0.2">
      <c r="B217" s="372">
        <v>9</v>
      </c>
      <c r="C217" s="491"/>
      <c r="D217" s="374"/>
      <c r="E217" s="395"/>
      <c r="F217" s="431"/>
      <c r="G217" s="375"/>
      <c r="H217" s="561"/>
      <c r="I217" s="897"/>
      <c r="J217" s="876"/>
      <c r="K217" s="277"/>
      <c r="L217" s="372">
        <v>9</v>
      </c>
      <c r="M217" s="492" t="s">
        <v>511</v>
      </c>
      <c r="N217" s="374" t="s">
        <v>521</v>
      </c>
      <c r="O217" s="541"/>
      <c r="P217" s="639">
        <v>0.05</v>
      </c>
      <c r="Q217" s="304">
        <f t="shared" si="22"/>
        <v>120000</v>
      </c>
      <c r="R217" s="889"/>
      <c r="S217" s="610" t="s">
        <v>519</v>
      </c>
      <c r="T217" s="670">
        <v>46053</v>
      </c>
      <c r="U217" s="802">
        <v>76416.574237425171</v>
      </c>
      <c r="V217" s="879"/>
      <c r="W217" s="561">
        <f>'Project Plan'!K110+7</f>
        <v>46084</v>
      </c>
      <c r="X217" s="900"/>
      <c r="Y217" s="472"/>
    </row>
    <row r="218" spans="1:25" ht="15" customHeight="1" x14ac:dyDescent="0.2">
      <c r="B218" s="372">
        <v>9</v>
      </c>
      <c r="C218" s="491"/>
      <c r="D218" s="374"/>
      <c r="E218" s="395"/>
      <c r="F218" s="431"/>
      <c r="G218" s="375"/>
      <c r="H218" s="561"/>
      <c r="I218" s="897"/>
      <c r="J218" s="876"/>
      <c r="K218" s="277"/>
      <c r="L218" s="372">
        <v>9</v>
      </c>
      <c r="M218" s="492" t="s">
        <v>511</v>
      </c>
      <c r="N218" s="374" t="s">
        <v>522</v>
      </c>
      <c r="O218" s="541"/>
      <c r="P218" s="639">
        <v>2.5000000000000001E-2</v>
      </c>
      <c r="Q218" s="304">
        <f t="shared" si="22"/>
        <v>60000</v>
      </c>
      <c r="R218" s="889"/>
      <c r="S218" s="610" t="s">
        <v>519</v>
      </c>
      <c r="T218" s="670">
        <v>46053</v>
      </c>
      <c r="U218" s="802">
        <v>38208.287118712586</v>
      </c>
      <c r="V218" s="879"/>
      <c r="W218" s="561">
        <f>W217+30</f>
        <v>46114</v>
      </c>
      <c r="X218" s="900"/>
      <c r="Y218" s="472"/>
    </row>
    <row r="219" spans="1:25" ht="15" customHeight="1" x14ac:dyDescent="0.2">
      <c r="B219" s="372">
        <v>9</v>
      </c>
      <c r="C219" s="491"/>
      <c r="D219" s="374"/>
      <c r="E219" s="395"/>
      <c r="F219" s="431"/>
      <c r="G219" s="375"/>
      <c r="H219" s="561"/>
      <c r="I219" s="897"/>
      <c r="J219" s="876"/>
      <c r="K219" s="277"/>
      <c r="L219" s="372">
        <v>9</v>
      </c>
      <c r="M219" s="492" t="s">
        <v>511</v>
      </c>
      <c r="N219" s="374"/>
      <c r="O219" s="541"/>
      <c r="P219" s="640"/>
      <c r="Q219" s="375"/>
      <c r="R219" s="889"/>
      <c r="S219" s="610"/>
      <c r="T219" s="510"/>
      <c r="U219" s="494">
        <f t="shared" ref="U219:U220" si="23">(Q219/$X$210*$J$210)</f>
        <v>0</v>
      </c>
      <c r="V219" s="879"/>
      <c r="W219" s="561"/>
      <c r="X219" s="900"/>
      <c r="Y219" s="472"/>
    </row>
    <row r="220" spans="1:25" ht="15" customHeight="1" x14ac:dyDescent="0.3">
      <c r="B220" s="372"/>
      <c r="C220" s="491"/>
      <c r="D220" s="374"/>
      <c r="E220" s="395"/>
      <c r="F220" s="431"/>
      <c r="G220" s="375"/>
      <c r="H220" s="561"/>
      <c r="I220" s="897"/>
      <c r="J220" s="876"/>
      <c r="K220" s="277"/>
      <c r="L220" s="372">
        <v>9</v>
      </c>
      <c r="M220" s="492" t="s">
        <v>511</v>
      </c>
      <c r="N220" s="636" t="s">
        <v>523</v>
      </c>
      <c r="O220" s="541"/>
      <c r="P220" s="640"/>
      <c r="Q220" s="375"/>
      <c r="R220" s="889"/>
      <c r="S220" s="610"/>
      <c r="T220" s="510"/>
      <c r="U220" s="494">
        <f t="shared" si="23"/>
        <v>0</v>
      </c>
      <c r="V220" s="879"/>
      <c r="W220" s="561"/>
      <c r="X220" s="900"/>
      <c r="Y220" s="472"/>
    </row>
    <row r="221" spans="1:25" ht="15" customHeight="1" x14ac:dyDescent="0.2">
      <c r="B221" s="372"/>
      <c r="C221" s="491"/>
      <c r="D221" s="374"/>
      <c r="E221" s="395"/>
      <c r="F221" s="431"/>
      <c r="G221" s="375"/>
      <c r="H221" s="525"/>
      <c r="I221" s="897"/>
      <c r="J221" s="876"/>
      <c r="K221" s="277"/>
      <c r="L221" s="372">
        <v>9</v>
      </c>
      <c r="M221" s="492" t="s">
        <v>511</v>
      </c>
      <c r="N221" s="317" t="s">
        <v>514</v>
      </c>
      <c r="O221" s="558">
        <f>AC29*0.6</f>
        <v>1500000</v>
      </c>
      <c r="P221" s="638">
        <f>P211</f>
        <v>0.17499999999999999</v>
      </c>
      <c r="Q221" s="304">
        <f>$O$221*P221</f>
        <v>262500</v>
      </c>
      <c r="R221" s="889"/>
      <c r="S221" s="610" t="s">
        <v>387</v>
      </c>
      <c r="T221" s="670">
        <v>45838</v>
      </c>
      <c r="U221" s="680">
        <v>204029.93756016044</v>
      </c>
      <c r="V221" s="879"/>
      <c r="W221" s="525">
        <f>W211</f>
        <v>45834</v>
      </c>
      <c r="X221" s="900"/>
      <c r="Y221" s="472"/>
    </row>
    <row r="222" spans="1:25" ht="15" customHeight="1" x14ac:dyDescent="0.2">
      <c r="B222" s="372"/>
      <c r="C222" s="491"/>
      <c r="D222" s="374"/>
      <c r="E222" s="395"/>
      <c r="F222" s="431"/>
      <c r="G222" s="375"/>
      <c r="H222" s="525"/>
      <c r="I222" s="897"/>
      <c r="J222" s="876"/>
      <c r="K222" s="277"/>
      <c r="L222" s="372">
        <v>9</v>
      </c>
      <c r="M222" s="492" t="s">
        <v>511</v>
      </c>
      <c r="N222" s="374" t="s">
        <v>515</v>
      </c>
      <c r="O222" s="637">
        <f>O221/3000000</f>
        <v>0.5</v>
      </c>
      <c r="P222" s="638">
        <f t="shared" ref="P222:P224" si="24">P212</f>
        <v>0.2</v>
      </c>
      <c r="Q222" s="304">
        <f t="shared" ref="Q222:Q230" si="25">$O$221*P222</f>
        <v>300000</v>
      </c>
      <c r="R222" s="889"/>
      <c r="S222" s="610" t="s">
        <v>389</v>
      </c>
      <c r="T222" s="670">
        <v>45869</v>
      </c>
      <c r="U222" s="680">
        <v>191041.43559356293</v>
      </c>
      <c r="V222" s="879"/>
      <c r="W222" s="525">
        <f>W212</f>
        <v>45904</v>
      </c>
      <c r="X222" s="900"/>
      <c r="Y222" s="472"/>
    </row>
    <row r="223" spans="1:25" ht="15" customHeight="1" x14ac:dyDescent="0.2">
      <c r="B223" s="372"/>
      <c r="C223" s="491"/>
      <c r="D223" s="374"/>
      <c r="E223" s="395"/>
      <c r="F223" s="431"/>
      <c r="G223" s="375"/>
      <c r="H223" s="561"/>
      <c r="I223" s="897"/>
      <c r="J223" s="876"/>
      <c r="K223" s="277"/>
      <c r="L223" s="372">
        <v>9</v>
      </c>
      <c r="M223" s="492" t="s">
        <v>511</v>
      </c>
      <c r="N223" s="374" t="s">
        <v>516</v>
      </c>
      <c r="O223" s="541"/>
      <c r="P223" s="638">
        <f t="shared" si="24"/>
        <v>0.2</v>
      </c>
      <c r="Q223" s="720">
        <f t="shared" si="25"/>
        <v>300000</v>
      </c>
      <c r="R223" s="889"/>
      <c r="S223" s="610" t="s">
        <v>391</v>
      </c>
      <c r="T223" s="670">
        <v>45900</v>
      </c>
      <c r="U223" s="718">
        <v>191041.43559356293</v>
      </c>
      <c r="V223" s="879"/>
      <c r="W223" s="525">
        <v>46360</v>
      </c>
      <c r="X223" s="900"/>
      <c r="Y223" s="472"/>
    </row>
    <row r="224" spans="1:25" ht="15" customHeight="1" x14ac:dyDescent="0.2">
      <c r="B224" s="372"/>
      <c r="C224" s="491"/>
      <c r="D224" s="374"/>
      <c r="E224" s="395"/>
      <c r="F224" s="431"/>
      <c r="G224" s="375"/>
      <c r="H224" s="561"/>
      <c r="I224" s="897"/>
      <c r="J224" s="876"/>
      <c r="K224" s="277"/>
      <c r="L224" s="372">
        <v>9</v>
      </c>
      <c r="M224" s="492" t="s">
        <v>511</v>
      </c>
      <c r="N224" s="374" t="s">
        <v>517</v>
      </c>
      <c r="O224" s="541"/>
      <c r="P224" s="638">
        <f t="shared" si="24"/>
        <v>0.1</v>
      </c>
      <c r="Q224" s="720">
        <f t="shared" si="25"/>
        <v>150000</v>
      </c>
      <c r="R224" s="889"/>
      <c r="S224" s="610" t="s">
        <v>391</v>
      </c>
      <c r="T224" s="670">
        <v>45900</v>
      </c>
      <c r="U224" s="718">
        <v>95520.717796781464</v>
      </c>
      <c r="V224" s="879"/>
      <c r="W224" s="774">
        <v>46079</v>
      </c>
      <c r="X224" s="900"/>
      <c r="Y224" s="472"/>
    </row>
    <row r="225" spans="2:25" ht="15" customHeight="1" x14ac:dyDescent="0.2">
      <c r="B225" s="372"/>
      <c r="C225" s="491"/>
      <c r="D225" s="374"/>
      <c r="E225" s="395"/>
      <c r="F225" s="431"/>
      <c r="G225" s="375"/>
      <c r="H225" s="561"/>
      <c r="I225" s="897"/>
      <c r="J225" s="876"/>
      <c r="K225" s="277"/>
      <c r="L225" s="372">
        <v>9</v>
      </c>
      <c r="M225" s="492" t="s">
        <v>511</v>
      </c>
      <c r="N225" s="374" t="s">
        <v>524</v>
      </c>
      <c r="O225" s="541"/>
      <c r="P225" s="638">
        <v>0.15</v>
      </c>
      <c r="Q225" s="720">
        <f t="shared" si="25"/>
        <v>225000</v>
      </c>
      <c r="R225" s="889"/>
      <c r="S225" s="610" t="s">
        <v>391</v>
      </c>
      <c r="T225" s="670">
        <v>45900</v>
      </c>
      <c r="U225" s="718">
        <v>191041.43559356293</v>
      </c>
      <c r="V225" s="879"/>
      <c r="W225" s="525">
        <v>46009</v>
      </c>
      <c r="X225" s="900"/>
      <c r="Y225" s="472"/>
    </row>
    <row r="226" spans="2:25" ht="15" customHeight="1" x14ac:dyDescent="0.2">
      <c r="B226" s="372"/>
      <c r="C226" s="491"/>
      <c r="D226" s="374"/>
      <c r="E226" s="395"/>
      <c r="F226" s="431"/>
      <c r="G226" s="375"/>
      <c r="H226" s="561"/>
      <c r="I226" s="897"/>
      <c r="J226" s="876"/>
      <c r="K226" s="277"/>
      <c r="L226" s="372"/>
      <c r="M226" s="492" t="s">
        <v>511</v>
      </c>
      <c r="N226" s="374" t="s">
        <v>525</v>
      </c>
      <c r="O226" s="541"/>
      <c r="P226" s="638">
        <v>0.05</v>
      </c>
      <c r="Q226" s="720">
        <f>O221*P226</f>
        <v>75000</v>
      </c>
      <c r="R226" s="889"/>
      <c r="S226" s="610" t="s">
        <v>391</v>
      </c>
      <c r="T226" s="670">
        <v>45900</v>
      </c>
      <c r="U226" s="718" t="s">
        <v>103</v>
      </c>
      <c r="V226" s="879"/>
      <c r="W226" s="525">
        <v>46015</v>
      </c>
      <c r="X226" s="900"/>
      <c r="Y226" s="472"/>
    </row>
    <row r="227" spans="2:25" ht="15" customHeight="1" x14ac:dyDescent="0.2">
      <c r="B227" s="372"/>
      <c r="C227" s="491"/>
      <c r="D227" s="374"/>
      <c r="E227" s="395"/>
      <c r="F227" s="431"/>
      <c r="G227" s="375"/>
      <c r="H227" s="561"/>
      <c r="I227" s="897"/>
      <c r="J227" s="876"/>
      <c r="K227" s="277"/>
      <c r="L227" s="372">
        <v>9</v>
      </c>
      <c r="M227" s="492" t="s">
        <v>511</v>
      </c>
      <c r="N227" s="374" t="s">
        <v>526</v>
      </c>
      <c r="O227" s="541"/>
      <c r="P227" s="815">
        <v>3.7499999999999999E-2</v>
      </c>
      <c r="Q227" s="720">
        <f t="shared" si="25"/>
        <v>56250</v>
      </c>
      <c r="R227" s="889"/>
      <c r="S227" s="610" t="s">
        <v>391</v>
      </c>
      <c r="T227" s="670">
        <v>45900</v>
      </c>
      <c r="U227" s="718">
        <v>47760.358898390732</v>
      </c>
      <c r="V227" s="879"/>
      <c r="W227" s="525">
        <v>46009</v>
      </c>
      <c r="X227" s="900"/>
      <c r="Y227" s="472"/>
    </row>
    <row r="228" spans="2:25" ht="15" customHeight="1" x14ac:dyDescent="0.2">
      <c r="B228" s="372"/>
      <c r="C228" s="491"/>
      <c r="D228" s="374"/>
      <c r="E228" s="395"/>
      <c r="F228" s="431"/>
      <c r="G228" s="375"/>
      <c r="H228" s="561"/>
      <c r="I228" s="897"/>
      <c r="J228" s="876"/>
      <c r="K228" s="277"/>
      <c r="L228" s="372"/>
      <c r="M228" s="492" t="s">
        <v>511</v>
      </c>
      <c r="N228" s="374" t="s">
        <v>527</v>
      </c>
      <c r="O228" s="541"/>
      <c r="P228" s="815">
        <v>1.2500000000000001E-2</v>
      </c>
      <c r="Q228" s="720">
        <f>O221*P228</f>
        <v>18750</v>
      </c>
      <c r="R228" s="889"/>
      <c r="S228" s="610" t="s">
        <v>391</v>
      </c>
      <c r="T228" s="670">
        <v>45900</v>
      </c>
      <c r="U228" s="718">
        <v>0</v>
      </c>
      <c r="V228" s="879"/>
      <c r="W228" s="774">
        <v>46015</v>
      </c>
      <c r="X228" s="900"/>
      <c r="Y228" s="472"/>
    </row>
    <row r="229" spans="2:25" ht="15" customHeight="1" x14ac:dyDescent="0.2">
      <c r="B229" s="372"/>
      <c r="C229" s="491"/>
      <c r="D229" s="374"/>
      <c r="E229" s="395"/>
      <c r="F229" s="431"/>
      <c r="G229" s="375"/>
      <c r="H229" s="561"/>
      <c r="I229" s="897"/>
      <c r="J229" s="876"/>
      <c r="K229" s="277"/>
      <c r="L229" s="372">
        <v>9</v>
      </c>
      <c r="M229" s="492" t="s">
        <v>511</v>
      </c>
      <c r="N229" s="374" t="s">
        <v>521</v>
      </c>
      <c r="O229" s="541"/>
      <c r="P229" s="638">
        <f>P217</f>
        <v>0.05</v>
      </c>
      <c r="Q229" s="304">
        <f t="shared" si="25"/>
        <v>75000</v>
      </c>
      <c r="R229" s="889"/>
      <c r="S229" s="610" t="s">
        <v>519</v>
      </c>
      <c r="T229" s="670">
        <v>46053</v>
      </c>
      <c r="U229" s="802">
        <v>47760.358898390732</v>
      </c>
      <c r="V229" s="879"/>
      <c r="W229" s="561">
        <f>W217</f>
        <v>46084</v>
      </c>
      <c r="X229" s="900"/>
      <c r="Y229" s="472"/>
    </row>
    <row r="230" spans="2:25" ht="15" customHeight="1" x14ac:dyDescent="0.2">
      <c r="B230" s="372"/>
      <c r="C230" s="491"/>
      <c r="D230" s="374"/>
      <c r="E230" s="395"/>
      <c r="F230" s="431"/>
      <c r="G230" s="375"/>
      <c r="H230" s="561"/>
      <c r="I230" s="897"/>
      <c r="J230" s="876"/>
      <c r="K230" s="277"/>
      <c r="L230" s="372">
        <v>9</v>
      </c>
      <c r="M230" s="492" t="s">
        <v>511</v>
      </c>
      <c r="N230" s="374" t="s">
        <v>522</v>
      </c>
      <c r="O230" s="541"/>
      <c r="P230" s="638">
        <f>P218</f>
        <v>2.5000000000000001E-2</v>
      </c>
      <c r="Q230" s="304">
        <f t="shared" si="25"/>
        <v>37500</v>
      </c>
      <c r="R230" s="889"/>
      <c r="S230" s="610" t="s">
        <v>519</v>
      </c>
      <c r="T230" s="670">
        <v>46053</v>
      </c>
      <c r="U230" s="802">
        <v>23880.179449195366</v>
      </c>
      <c r="V230" s="879"/>
      <c r="W230" s="561">
        <f>W229+30</f>
        <v>46114</v>
      </c>
      <c r="X230" s="900"/>
      <c r="Y230" s="472"/>
    </row>
    <row r="231" spans="2:25" ht="15" customHeight="1" x14ac:dyDescent="0.2">
      <c r="B231" s="372"/>
      <c r="C231" s="491"/>
      <c r="D231" s="374"/>
      <c r="E231" s="395"/>
      <c r="F231" s="431"/>
      <c r="G231" s="375"/>
      <c r="H231" s="561"/>
      <c r="I231" s="897"/>
      <c r="J231" s="876"/>
      <c r="K231" s="277"/>
      <c r="L231" s="372">
        <v>9</v>
      </c>
      <c r="M231" s="492" t="s">
        <v>511</v>
      </c>
      <c r="N231" s="374"/>
      <c r="O231" s="541"/>
      <c r="P231" s="557"/>
      <c r="Q231" s="375"/>
      <c r="R231" s="889"/>
      <c r="S231" s="610"/>
      <c r="T231" s="510"/>
      <c r="U231" s="494"/>
      <c r="V231" s="879"/>
      <c r="W231" s="561"/>
      <c r="X231" s="900"/>
      <c r="Y231" s="472"/>
    </row>
    <row r="232" spans="2:25" ht="15" customHeight="1" x14ac:dyDescent="0.3">
      <c r="B232" s="372"/>
      <c r="C232" s="491"/>
      <c r="D232" s="374"/>
      <c r="E232" s="395"/>
      <c r="F232" s="431"/>
      <c r="G232" s="375"/>
      <c r="H232" s="561"/>
      <c r="I232" s="897"/>
      <c r="J232" s="876"/>
      <c r="K232" s="277"/>
      <c r="L232" s="372">
        <v>9</v>
      </c>
      <c r="M232" s="492" t="s">
        <v>511</v>
      </c>
      <c r="N232" s="636" t="s">
        <v>528</v>
      </c>
      <c r="O232" s="637"/>
      <c r="P232" s="557"/>
      <c r="Q232" s="375"/>
      <c r="R232" s="889"/>
      <c r="S232" s="610"/>
      <c r="T232" s="510"/>
      <c r="U232" s="494"/>
      <c r="V232" s="879"/>
      <c r="W232" s="561"/>
      <c r="X232" s="900"/>
      <c r="Y232" s="472"/>
    </row>
    <row r="233" spans="2:25" ht="15" customHeight="1" x14ac:dyDescent="0.2">
      <c r="B233" s="372"/>
      <c r="C233" s="491"/>
      <c r="D233" s="374"/>
      <c r="E233" s="395"/>
      <c r="F233" s="431"/>
      <c r="G233" s="375"/>
      <c r="H233" s="525"/>
      <c r="I233" s="897"/>
      <c r="J233" s="876"/>
      <c r="K233" s="277"/>
      <c r="L233" s="372">
        <v>9</v>
      </c>
      <c r="M233" s="492" t="s">
        <v>511</v>
      </c>
      <c r="N233" s="317" t="s">
        <v>514</v>
      </c>
      <c r="O233" s="637">
        <f>AC22*0.3+AC29*0.3</f>
        <v>1950000</v>
      </c>
      <c r="P233" s="639">
        <v>0.17499999999999999</v>
      </c>
      <c r="Q233" s="304">
        <f>$O$233*P233</f>
        <v>341250</v>
      </c>
      <c r="R233" s="889"/>
      <c r="S233" s="610" t="s">
        <v>387</v>
      </c>
      <c r="T233" s="670">
        <v>45838</v>
      </c>
      <c r="U233" s="680">
        <v>265238.91882820858</v>
      </c>
      <c r="V233" s="879"/>
      <c r="W233" s="525">
        <f>W221</f>
        <v>45834</v>
      </c>
      <c r="X233" s="900"/>
      <c r="Y233" s="472"/>
    </row>
    <row r="234" spans="2:25" ht="15" customHeight="1" x14ac:dyDescent="0.2">
      <c r="B234" s="372"/>
      <c r="C234" s="491"/>
      <c r="D234" s="374"/>
      <c r="E234" s="395"/>
      <c r="F234" s="431"/>
      <c r="G234" s="375"/>
      <c r="H234" s="525"/>
      <c r="I234" s="897"/>
      <c r="J234" s="876"/>
      <c r="K234" s="277"/>
      <c r="L234" s="372">
        <v>9</v>
      </c>
      <c r="M234" s="492" t="s">
        <v>511</v>
      </c>
      <c r="N234" s="374" t="s">
        <v>515</v>
      </c>
      <c r="O234" s="637">
        <f>O233/7000000</f>
        <v>0.27857142857142858</v>
      </c>
      <c r="P234" s="639">
        <v>0.2</v>
      </c>
      <c r="Q234" s="304">
        <f t="shared" ref="Q234:Q241" si="26">$O$233*P234</f>
        <v>390000</v>
      </c>
      <c r="R234" s="889"/>
      <c r="S234" s="610" t="s">
        <v>389</v>
      </c>
      <c r="T234" s="670">
        <v>45869</v>
      </c>
      <c r="U234" s="680">
        <v>248353.86627163179</v>
      </c>
      <c r="V234" s="879"/>
      <c r="W234" s="525">
        <f>W222</f>
        <v>45904</v>
      </c>
      <c r="X234" s="900"/>
      <c r="Y234" s="472"/>
    </row>
    <row r="235" spans="2:25" ht="15" customHeight="1" x14ac:dyDescent="0.2">
      <c r="B235" s="372"/>
      <c r="C235" s="491"/>
      <c r="D235" s="374"/>
      <c r="E235" s="395"/>
      <c r="F235" s="431"/>
      <c r="G235" s="375"/>
      <c r="H235" s="561"/>
      <c r="I235" s="897"/>
      <c r="J235" s="876"/>
      <c r="K235" s="277"/>
      <c r="L235" s="372">
        <v>9</v>
      </c>
      <c r="M235" s="492" t="s">
        <v>511</v>
      </c>
      <c r="N235" s="374" t="s">
        <v>529</v>
      </c>
      <c r="O235" s="541"/>
      <c r="P235" s="639">
        <v>0.2</v>
      </c>
      <c r="Q235" s="720">
        <f t="shared" si="26"/>
        <v>390000</v>
      </c>
      <c r="R235" s="889"/>
      <c r="S235" s="610" t="s">
        <v>391</v>
      </c>
      <c r="T235" s="670">
        <v>45900</v>
      </c>
      <c r="U235" s="718">
        <v>248353.86627163179</v>
      </c>
      <c r="V235" s="879"/>
      <c r="W235" s="774">
        <v>45995</v>
      </c>
      <c r="X235" s="900"/>
      <c r="Y235" s="472"/>
    </row>
    <row r="236" spans="2:25" ht="15" customHeight="1" x14ac:dyDescent="0.2">
      <c r="B236" s="372"/>
      <c r="C236" s="491"/>
      <c r="D236" s="374"/>
      <c r="E236" s="395"/>
      <c r="F236" s="431"/>
      <c r="G236" s="375"/>
      <c r="H236" s="561"/>
      <c r="I236" s="897"/>
      <c r="J236" s="876"/>
      <c r="K236" s="277"/>
      <c r="L236" s="372">
        <v>9</v>
      </c>
      <c r="M236" s="492" t="s">
        <v>511</v>
      </c>
      <c r="N236" s="374" t="s">
        <v>530</v>
      </c>
      <c r="O236" s="541"/>
      <c r="P236" s="639">
        <v>0.1</v>
      </c>
      <c r="Q236" s="720">
        <f t="shared" si="26"/>
        <v>195000</v>
      </c>
      <c r="R236" s="889"/>
      <c r="S236" s="610" t="s">
        <v>391</v>
      </c>
      <c r="T236" s="670">
        <v>45900</v>
      </c>
      <c r="U236" s="718">
        <v>124176.9331358159</v>
      </c>
      <c r="V236" s="879"/>
      <c r="W236" s="525">
        <v>46009</v>
      </c>
      <c r="X236" s="900"/>
      <c r="Y236" s="472"/>
    </row>
    <row r="237" spans="2:25" x14ac:dyDescent="0.2">
      <c r="B237" s="372"/>
      <c r="C237" s="491"/>
      <c r="D237" s="374"/>
      <c r="E237" s="395"/>
      <c r="F237" s="431"/>
      <c r="G237" s="375"/>
      <c r="H237" s="561"/>
      <c r="I237" s="897"/>
      <c r="J237" s="876"/>
      <c r="K237" s="277"/>
      <c r="L237" s="372">
        <v>9</v>
      </c>
      <c r="M237" s="492" t="s">
        <v>511</v>
      </c>
      <c r="N237" s="374" t="s">
        <v>531</v>
      </c>
      <c r="O237" s="541"/>
      <c r="P237" s="639">
        <v>0.1</v>
      </c>
      <c r="Q237" s="720">
        <f t="shared" si="26"/>
        <v>195000</v>
      </c>
      <c r="R237" s="889"/>
      <c r="S237" s="610" t="s">
        <v>391</v>
      </c>
      <c r="T237" s="670">
        <v>45900</v>
      </c>
      <c r="U237" s="718">
        <v>248353.86627163179</v>
      </c>
      <c r="V237" s="879"/>
      <c r="W237" s="774">
        <v>46015</v>
      </c>
      <c r="X237" s="900"/>
      <c r="Y237" s="472"/>
    </row>
    <row r="238" spans="2:25" x14ac:dyDescent="0.2">
      <c r="B238" s="372"/>
      <c r="C238" s="491"/>
      <c r="D238" s="374"/>
      <c r="E238" s="395"/>
      <c r="F238" s="431"/>
      <c r="G238" s="375"/>
      <c r="H238" s="561"/>
      <c r="I238" s="897"/>
      <c r="J238" s="876"/>
      <c r="K238" s="277"/>
      <c r="L238" s="372">
        <v>9</v>
      </c>
      <c r="M238" s="492" t="s">
        <v>511</v>
      </c>
      <c r="N238" s="374" t="s">
        <v>531</v>
      </c>
      <c r="O238" s="541"/>
      <c r="P238" s="639">
        <v>0.1</v>
      </c>
      <c r="Q238" s="720">
        <f t="shared" si="26"/>
        <v>195000</v>
      </c>
      <c r="R238" s="889"/>
      <c r="S238" s="610" t="s">
        <v>391</v>
      </c>
      <c r="T238" s="670">
        <v>45900</v>
      </c>
      <c r="U238" s="718"/>
      <c r="V238" s="879"/>
      <c r="W238" s="525">
        <v>46051</v>
      </c>
      <c r="X238" s="900"/>
      <c r="Y238" s="472"/>
    </row>
    <row r="239" spans="2:25" ht="15" customHeight="1" x14ac:dyDescent="0.2">
      <c r="B239" s="372"/>
      <c r="C239" s="491"/>
      <c r="D239" s="374"/>
      <c r="E239" s="395"/>
      <c r="F239" s="431"/>
      <c r="G239" s="375"/>
      <c r="H239" s="561"/>
      <c r="I239" s="897"/>
      <c r="J239" s="876"/>
      <c r="K239" s="277"/>
      <c r="L239" s="372">
        <v>9</v>
      </c>
      <c r="M239" s="492" t="s">
        <v>511</v>
      </c>
      <c r="N239" s="374" t="s">
        <v>532</v>
      </c>
      <c r="O239" s="541"/>
      <c r="P239" s="639">
        <v>0.05</v>
      </c>
      <c r="Q239" s="720">
        <f t="shared" si="26"/>
        <v>97500</v>
      </c>
      <c r="R239" s="889"/>
      <c r="S239" s="610" t="s">
        <v>391</v>
      </c>
      <c r="T239" s="670">
        <v>45900</v>
      </c>
      <c r="U239" s="718">
        <v>62088.466567907948</v>
      </c>
      <c r="V239" s="879"/>
      <c r="W239" s="525">
        <v>46052</v>
      </c>
      <c r="X239" s="900"/>
      <c r="Y239" s="472"/>
    </row>
    <row r="240" spans="2:25" ht="15" customHeight="1" x14ac:dyDescent="0.2">
      <c r="B240" s="372"/>
      <c r="C240" s="491"/>
      <c r="D240" s="374"/>
      <c r="E240" s="395"/>
      <c r="F240" s="431"/>
      <c r="G240" s="375"/>
      <c r="H240" s="561"/>
      <c r="I240" s="897"/>
      <c r="J240" s="876"/>
      <c r="K240" s="277"/>
      <c r="L240" s="372">
        <v>9</v>
      </c>
      <c r="M240" s="492" t="s">
        <v>511</v>
      </c>
      <c r="N240" s="374" t="s">
        <v>521</v>
      </c>
      <c r="O240" s="541"/>
      <c r="P240" s="639">
        <v>0.05</v>
      </c>
      <c r="Q240" s="304">
        <f t="shared" si="26"/>
        <v>97500</v>
      </c>
      <c r="R240" s="889"/>
      <c r="S240" s="610" t="s">
        <v>519</v>
      </c>
      <c r="T240" s="670">
        <v>46053</v>
      </c>
      <c r="U240" s="802">
        <v>62088.466567907948</v>
      </c>
      <c r="V240" s="879"/>
      <c r="W240" s="561">
        <f>W217</f>
        <v>46084</v>
      </c>
      <c r="X240" s="900"/>
      <c r="Y240" s="472"/>
    </row>
    <row r="241" spans="1:25" ht="15" customHeight="1" x14ac:dyDescent="0.2">
      <c r="B241" s="372"/>
      <c r="C241" s="491"/>
      <c r="D241" s="374"/>
      <c r="E241" s="395"/>
      <c r="F241" s="431"/>
      <c r="G241" s="375"/>
      <c r="H241" s="561"/>
      <c r="I241" s="897"/>
      <c r="J241" s="876"/>
      <c r="K241" s="277"/>
      <c r="L241" s="372">
        <v>9</v>
      </c>
      <c r="M241" s="492" t="s">
        <v>511</v>
      </c>
      <c r="N241" s="374" t="s">
        <v>522</v>
      </c>
      <c r="O241" s="541"/>
      <c r="P241" s="639">
        <v>2.5000000000000001E-2</v>
      </c>
      <c r="Q241" s="304">
        <f t="shared" si="26"/>
        <v>48750</v>
      </c>
      <c r="R241" s="890"/>
      <c r="S241" s="610" t="s">
        <v>519</v>
      </c>
      <c r="T241" s="670">
        <v>46053</v>
      </c>
      <c r="U241" s="802">
        <v>31044.233283953974</v>
      </c>
      <c r="V241" s="879"/>
      <c r="W241" s="561">
        <f>W240+39</f>
        <v>46123</v>
      </c>
      <c r="X241" s="900"/>
      <c r="Y241" s="472"/>
    </row>
    <row r="242" spans="1:25" ht="15" customHeight="1" x14ac:dyDescent="0.2">
      <c r="B242" s="372"/>
      <c r="C242" s="491"/>
      <c r="D242" s="374"/>
      <c r="E242" s="395"/>
      <c r="F242" s="431"/>
      <c r="G242" s="375"/>
      <c r="H242" s="561"/>
      <c r="I242" s="897"/>
      <c r="J242" s="876"/>
      <c r="K242" s="277"/>
      <c r="L242" s="372">
        <v>9</v>
      </c>
      <c r="M242" s="492" t="s">
        <v>511</v>
      </c>
      <c r="N242" s="374"/>
      <c r="O242" s="541"/>
      <c r="P242" s="431"/>
      <c r="Q242" s="375"/>
      <c r="R242" s="575"/>
      <c r="S242" s="610"/>
      <c r="T242" s="510"/>
      <c r="U242" s="494">
        <f>(Q242/$X$210*$J$210)</f>
        <v>0</v>
      </c>
      <c r="V242" s="879"/>
      <c r="W242" s="561"/>
      <c r="X242" s="900"/>
      <c r="Y242" s="472"/>
    </row>
    <row r="243" spans="1:25" ht="15" customHeight="1" x14ac:dyDescent="0.3">
      <c r="B243" s="372"/>
      <c r="C243" s="491"/>
      <c r="D243" s="374"/>
      <c r="E243" s="395"/>
      <c r="F243" s="431"/>
      <c r="G243" s="375"/>
      <c r="H243" s="561"/>
      <c r="I243" s="897"/>
      <c r="J243" s="876"/>
      <c r="K243" s="277"/>
      <c r="L243" s="372">
        <v>9</v>
      </c>
      <c r="M243" s="492" t="s">
        <v>511</v>
      </c>
      <c r="N243" s="636" t="s">
        <v>533</v>
      </c>
      <c r="O243" s="541"/>
      <c r="P243" s="431"/>
      <c r="Q243" s="375"/>
      <c r="R243" s="575"/>
      <c r="S243" s="610"/>
      <c r="T243" s="510"/>
      <c r="U243" s="494">
        <f>(Q243/$X$210*$J$210)</f>
        <v>0</v>
      </c>
      <c r="V243" s="879"/>
      <c r="W243" s="561"/>
      <c r="X243" s="900"/>
      <c r="Y243" s="472"/>
    </row>
    <row r="244" spans="1:25" ht="15" customHeight="1" x14ac:dyDescent="0.2">
      <c r="B244" s="372"/>
      <c r="C244" s="491"/>
      <c r="D244" s="374"/>
      <c r="E244" s="395"/>
      <c r="F244" s="431"/>
      <c r="G244" s="375"/>
      <c r="H244" s="561"/>
      <c r="I244" s="897"/>
      <c r="J244" s="876"/>
      <c r="K244" s="277"/>
      <c r="L244" s="372">
        <v>9</v>
      </c>
      <c r="M244" s="492" t="s">
        <v>511</v>
      </c>
      <c r="N244" s="374" t="s">
        <v>514</v>
      </c>
      <c r="O244" s="671">
        <v>2205680</v>
      </c>
      <c r="P244" s="557">
        <v>0.25</v>
      </c>
      <c r="Q244" s="375">
        <f>$O$244*P244</f>
        <v>551420</v>
      </c>
      <c r="R244" s="891" t="s">
        <v>534</v>
      </c>
      <c r="S244" s="610" t="s">
        <v>535</v>
      </c>
      <c r="T244" s="670">
        <v>45869</v>
      </c>
      <c r="U244" s="680">
        <v>351146.89471667493</v>
      </c>
      <c r="V244" s="879"/>
      <c r="W244" s="762">
        <v>45932</v>
      </c>
      <c r="X244" s="900"/>
      <c r="Y244" s="472"/>
    </row>
    <row r="245" spans="1:25" ht="15" customHeight="1" x14ac:dyDescent="0.2">
      <c r="B245" s="372"/>
      <c r="C245" s="491"/>
      <c r="D245" s="374"/>
      <c r="E245" s="395"/>
      <c r="F245" s="431"/>
      <c r="G245" s="375"/>
      <c r="H245" s="561"/>
      <c r="I245" s="897"/>
      <c r="J245" s="876"/>
      <c r="K245" s="277"/>
      <c r="L245" s="372">
        <v>9</v>
      </c>
      <c r="M245" s="492" t="s">
        <v>511</v>
      </c>
      <c r="N245" s="374" t="s">
        <v>515</v>
      </c>
      <c r="O245" s="822">
        <f>O244/'Project Plan'!E3/100</f>
        <v>3.1153672316384182</v>
      </c>
      <c r="P245" s="557">
        <v>0.25</v>
      </c>
      <c r="Q245" s="375">
        <f t="shared" ref="Q245:Q249" si="27">$O$244*P245</f>
        <v>551420</v>
      </c>
      <c r="R245" s="889"/>
      <c r="S245" s="610" t="s">
        <v>535</v>
      </c>
      <c r="T245" s="670">
        <v>45869</v>
      </c>
      <c r="U245" s="680">
        <v>351146.89471667493</v>
      </c>
      <c r="V245" s="879"/>
      <c r="W245" s="762">
        <v>45932</v>
      </c>
      <c r="X245" s="900"/>
      <c r="Y245" s="472"/>
    </row>
    <row r="246" spans="1:25" ht="15" customHeight="1" x14ac:dyDescent="0.2">
      <c r="B246" s="372"/>
      <c r="C246" s="491"/>
      <c r="D246" s="374"/>
      <c r="E246" s="395"/>
      <c r="F246" s="431"/>
      <c r="G246" s="375"/>
      <c r="H246" s="561"/>
      <c r="I246" s="897"/>
      <c r="J246" s="876"/>
      <c r="K246" s="277"/>
      <c r="L246" s="372">
        <v>9</v>
      </c>
      <c r="M246" s="492" t="s">
        <v>511</v>
      </c>
      <c r="N246" s="374" t="s">
        <v>536</v>
      </c>
      <c r="O246" s="541"/>
      <c r="P246" s="557">
        <v>0.2</v>
      </c>
      <c r="Q246" s="375">
        <f t="shared" si="27"/>
        <v>441136</v>
      </c>
      <c r="R246" s="889"/>
      <c r="S246" s="610" t="s">
        <v>535</v>
      </c>
      <c r="T246" s="670">
        <v>45900</v>
      </c>
      <c r="U246" s="718">
        <v>561835.03154667979</v>
      </c>
      <c r="V246" s="879"/>
      <c r="W246" s="525">
        <v>46009</v>
      </c>
      <c r="X246" s="900"/>
      <c r="Y246" s="472"/>
    </row>
    <row r="247" spans="1:25" ht="15" customHeight="1" x14ac:dyDescent="0.2">
      <c r="B247" s="372"/>
      <c r="C247" s="491"/>
      <c r="D247" s="374"/>
      <c r="E247" s="395"/>
      <c r="F247" s="431"/>
      <c r="G247" s="375"/>
      <c r="H247" s="561"/>
      <c r="I247" s="897"/>
      <c r="J247" s="876"/>
      <c r="K247" s="277"/>
      <c r="L247" s="372">
        <v>9</v>
      </c>
      <c r="M247" s="492" t="s">
        <v>511</v>
      </c>
      <c r="N247" s="374"/>
      <c r="O247" s="541"/>
      <c r="P247" s="557">
        <v>0.1</v>
      </c>
      <c r="Q247" s="375">
        <f t="shared" si="27"/>
        <v>220568</v>
      </c>
      <c r="R247" s="889"/>
      <c r="S247" s="610" t="s">
        <v>535</v>
      </c>
      <c r="T247" s="670">
        <v>45900</v>
      </c>
      <c r="U247" s="718"/>
      <c r="V247" s="879"/>
      <c r="W247" s="525">
        <v>46015</v>
      </c>
      <c r="X247" s="900"/>
      <c r="Y247" s="472"/>
    </row>
    <row r="248" spans="1:25" ht="15" customHeight="1" x14ac:dyDescent="0.2">
      <c r="B248" s="372"/>
      <c r="C248" s="491"/>
      <c r="D248" s="374"/>
      <c r="E248" s="395"/>
      <c r="F248" s="431"/>
      <c r="G248" s="375"/>
      <c r="H248" s="561"/>
      <c r="I248" s="897"/>
      <c r="J248" s="876"/>
      <c r="K248" s="277"/>
      <c r="L248" s="372">
        <v>9</v>
      </c>
      <c r="M248" s="492" t="s">
        <v>511</v>
      </c>
      <c r="N248" s="374"/>
      <c r="O248" s="541"/>
      <c r="P248" s="557">
        <v>0.1</v>
      </c>
      <c r="Q248" s="375">
        <f t="shared" si="27"/>
        <v>220568</v>
      </c>
      <c r="R248" s="889"/>
      <c r="S248" s="610" t="s">
        <v>535</v>
      </c>
      <c r="T248" s="670">
        <v>45900</v>
      </c>
      <c r="U248" s="718"/>
      <c r="V248" s="879"/>
      <c r="W248" s="525">
        <v>46022</v>
      </c>
      <c r="X248" s="900"/>
      <c r="Y248" s="472"/>
    </row>
    <row r="249" spans="1:25" ht="15" customHeight="1" x14ac:dyDescent="0.2">
      <c r="B249" s="372"/>
      <c r="C249" s="491"/>
      <c r="D249" s="374"/>
      <c r="E249" s="395"/>
      <c r="F249" s="431"/>
      <c r="G249" s="375"/>
      <c r="H249" s="561"/>
      <c r="I249" s="897"/>
      <c r="J249" s="876"/>
      <c r="K249" s="277"/>
      <c r="L249" s="372">
        <v>9</v>
      </c>
      <c r="M249" s="492" t="s">
        <v>511</v>
      </c>
      <c r="N249" s="374" t="s">
        <v>522</v>
      </c>
      <c r="O249" s="541"/>
      <c r="P249" s="557">
        <v>0.1</v>
      </c>
      <c r="Q249" s="375">
        <f t="shared" si="27"/>
        <v>220568</v>
      </c>
      <c r="R249" s="890"/>
      <c r="S249" s="610" t="s">
        <v>535</v>
      </c>
      <c r="T249" s="670">
        <v>45900</v>
      </c>
      <c r="U249" s="718">
        <v>123377.38788666995</v>
      </c>
      <c r="V249" s="879"/>
      <c r="W249" s="525">
        <v>46029</v>
      </c>
      <c r="X249" s="900"/>
      <c r="Y249" s="472"/>
    </row>
    <row r="250" spans="1:25" ht="15" customHeight="1" x14ac:dyDescent="0.2">
      <c r="B250" s="372"/>
      <c r="C250" s="491"/>
      <c r="D250" s="374"/>
      <c r="E250" s="395"/>
      <c r="F250" s="431"/>
      <c r="G250" s="375"/>
      <c r="H250" s="561"/>
      <c r="I250" s="897"/>
      <c r="J250" s="876"/>
      <c r="K250" s="277"/>
      <c r="L250" s="372">
        <v>9</v>
      </c>
      <c r="M250" s="492" t="s">
        <v>511</v>
      </c>
      <c r="N250" s="374"/>
      <c r="O250" s="541"/>
      <c r="P250" s="431"/>
      <c r="Q250" s="375"/>
      <c r="R250" s="575"/>
      <c r="S250" s="610"/>
      <c r="T250" s="510"/>
      <c r="U250" s="494">
        <f>(Q250/$X$210*$J$210)</f>
        <v>0</v>
      </c>
      <c r="V250" s="879"/>
      <c r="W250" s="561"/>
      <c r="X250" s="900"/>
      <c r="Y250" s="472"/>
    </row>
    <row r="251" spans="1:25" ht="15" customHeight="1" x14ac:dyDescent="0.2">
      <c r="B251" s="372">
        <v>9</v>
      </c>
      <c r="C251" s="491"/>
      <c r="D251" s="374"/>
      <c r="E251" s="395"/>
      <c r="F251" s="431"/>
      <c r="G251" s="375"/>
      <c r="H251" s="561"/>
      <c r="I251" s="897"/>
      <c r="J251" s="876"/>
      <c r="K251" s="277"/>
      <c r="L251" s="372">
        <v>9</v>
      </c>
      <c r="M251" s="492" t="s">
        <v>511</v>
      </c>
      <c r="N251" s="374"/>
      <c r="O251" s="541"/>
      <c r="P251" s="431"/>
      <c r="Q251" s="375"/>
      <c r="R251" s="575"/>
      <c r="S251" s="610"/>
      <c r="T251" s="510" t="str">
        <f t="shared" si="21"/>
        <v/>
      </c>
      <c r="U251" s="494">
        <f>(Q251/$X$210*$J$210)</f>
        <v>0</v>
      </c>
      <c r="V251" s="879"/>
      <c r="W251" s="561"/>
      <c r="X251" s="900"/>
      <c r="Y251" s="472"/>
    </row>
    <row r="252" spans="1:25" ht="15" customHeight="1" thickBot="1" x14ac:dyDescent="0.25">
      <c r="B252" s="305">
        <v>9</v>
      </c>
      <c r="C252" s="425"/>
      <c r="D252" s="318"/>
      <c r="E252" s="307"/>
      <c r="F252" s="447"/>
      <c r="G252" s="319"/>
      <c r="H252" s="562"/>
      <c r="I252" s="898"/>
      <c r="J252" s="877"/>
      <c r="K252" s="278"/>
      <c r="L252" s="305">
        <v>9</v>
      </c>
      <c r="M252" s="428" t="s">
        <v>511</v>
      </c>
      <c r="N252" s="318"/>
      <c r="O252" s="542"/>
      <c r="P252" s="447"/>
      <c r="Q252" s="319"/>
      <c r="R252" s="576"/>
      <c r="S252" s="611"/>
      <c r="T252" s="511" t="str">
        <f t="shared" si="21"/>
        <v/>
      </c>
      <c r="U252" s="495">
        <f>(Q252/$X$210*$J$210)</f>
        <v>0</v>
      </c>
      <c r="V252" s="880"/>
      <c r="W252" s="562"/>
      <c r="X252" s="901"/>
      <c r="Y252" s="472"/>
    </row>
    <row r="253" spans="1:25" ht="15" thickBot="1" x14ac:dyDescent="0.25">
      <c r="A253" s="24"/>
      <c r="B253" s="279"/>
      <c r="C253" s="296"/>
      <c r="D253" s="297"/>
      <c r="E253" s="280"/>
      <c r="F253" s="443"/>
      <c r="G253" s="281"/>
      <c r="H253" s="563"/>
      <c r="I253" s="269"/>
      <c r="J253" s="391"/>
      <c r="K253" s="24"/>
      <c r="L253" s="279"/>
      <c r="M253" s="296"/>
      <c r="N253" s="297"/>
      <c r="O253" s="543"/>
      <c r="P253" s="443"/>
      <c r="Q253" s="281"/>
      <c r="R253" s="577"/>
      <c r="S253" s="612"/>
      <c r="T253" s="512" t="str">
        <f t="shared" si="21"/>
        <v/>
      </c>
      <c r="U253" s="500"/>
      <c r="V253" s="483"/>
      <c r="W253" s="563"/>
      <c r="X253" s="339"/>
      <c r="Y253" s="472"/>
    </row>
    <row r="254" spans="1:25" ht="14.25" customHeight="1" x14ac:dyDescent="0.2">
      <c r="B254" s="258">
        <v>10</v>
      </c>
      <c r="C254" s="259" t="s">
        <v>537</v>
      </c>
      <c r="D254" s="259" t="s">
        <v>335</v>
      </c>
      <c r="E254" s="260"/>
      <c r="F254" s="457"/>
      <c r="G254" s="327">
        <f>D426</f>
        <v>85000</v>
      </c>
      <c r="H254" s="570">
        <f>H255</f>
        <v>45925</v>
      </c>
      <c r="I254" s="905">
        <f>SUM(G254:G313)</f>
        <v>394304.23333333328</v>
      </c>
      <c r="J254" s="905">
        <f>F426+F429+F430+F428</f>
        <v>463887.33333333331</v>
      </c>
      <c r="K254" s="328"/>
      <c r="L254" s="258">
        <v>10</v>
      </c>
      <c r="M254" s="421" t="s">
        <v>538</v>
      </c>
      <c r="N254" s="259"/>
      <c r="O254" s="552"/>
      <c r="P254" s="457"/>
      <c r="Q254" s="327"/>
      <c r="R254" s="586"/>
      <c r="S254" s="621"/>
      <c r="T254" s="520" t="str">
        <f t="shared" si="21"/>
        <v/>
      </c>
      <c r="U254" s="505">
        <f>(Q254/$X$254*$J$254)</f>
        <v>0</v>
      </c>
      <c r="V254" s="911">
        <f>J254-SUM(U254:U313)</f>
        <v>5.9088593116030097E-4</v>
      </c>
      <c r="W254" s="570"/>
      <c r="X254" s="908">
        <f>SUM(Q254:Q313)</f>
        <v>987590.28000000014</v>
      </c>
      <c r="Y254" s="472"/>
    </row>
    <row r="255" spans="1:25" ht="14.25" customHeight="1" x14ac:dyDescent="0.2">
      <c r="B255" s="329">
        <v>10</v>
      </c>
      <c r="C255" s="330"/>
      <c r="D255" s="330" t="s">
        <v>338</v>
      </c>
      <c r="E255" s="331"/>
      <c r="F255" s="458"/>
      <c r="G255" s="332">
        <f>D430</f>
        <v>133245.9</v>
      </c>
      <c r="H255" s="532">
        <v>45925</v>
      </c>
      <c r="I255" s="906"/>
      <c r="J255" s="906"/>
      <c r="K255" s="261"/>
      <c r="L255" s="329">
        <v>10</v>
      </c>
      <c r="M255" s="422" t="s">
        <v>538</v>
      </c>
      <c r="N255" s="330" t="s">
        <v>539</v>
      </c>
      <c r="O255" s="743">
        <v>82020</v>
      </c>
      <c r="P255" s="742">
        <v>0.5</v>
      </c>
      <c r="Q255" s="332">
        <f>O255*P255</f>
        <v>41010</v>
      </c>
      <c r="R255" s="587" t="s">
        <v>540</v>
      </c>
      <c r="S255" s="622" t="s">
        <v>541</v>
      </c>
      <c r="T255" s="711">
        <v>45900</v>
      </c>
      <c r="U255" s="506">
        <v>0</v>
      </c>
      <c r="V255" s="912"/>
      <c r="W255" s="532">
        <v>45925</v>
      </c>
      <c r="X255" s="909"/>
      <c r="Y255" s="472"/>
    </row>
    <row r="256" spans="1:25" ht="14.25" customHeight="1" x14ac:dyDescent="0.2">
      <c r="B256" s="329">
        <v>10</v>
      </c>
      <c r="C256" s="330"/>
      <c r="D256" s="330" t="s">
        <v>542</v>
      </c>
      <c r="E256" s="331"/>
      <c r="F256" s="458"/>
      <c r="G256" s="332">
        <f>D429</f>
        <v>0</v>
      </c>
      <c r="H256" s="571"/>
      <c r="I256" s="906"/>
      <c r="J256" s="906"/>
      <c r="K256" s="261"/>
      <c r="L256" s="329">
        <v>10</v>
      </c>
      <c r="M256" s="422" t="s">
        <v>538</v>
      </c>
      <c r="N256" s="330"/>
      <c r="O256" s="553"/>
      <c r="P256" s="458"/>
      <c r="Q256" s="332">
        <f>O255*P255</f>
        <v>41010</v>
      </c>
      <c r="R256" s="587"/>
      <c r="S256" s="622" t="s">
        <v>541</v>
      </c>
      <c r="T256" s="676">
        <v>45900</v>
      </c>
      <c r="U256" s="506">
        <v>0</v>
      </c>
      <c r="V256" s="912"/>
      <c r="W256" s="532">
        <v>45967</v>
      </c>
      <c r="X256" s="909"/>
      <c r="Y256" s="472"/>
    </row>
    <row r="257" spans="2:25" ht="14.25" customHeight="1" x14ac:dyDescent="0.2">
      <c r="B257" s="329"/>
      <c r="C257" s="330"/>
      <c r="D257" s="330"/>
      <c r="E257" s="331"/>
      <c r="F257" s="458"/>
      <c r="G257" s="332"/>
      <c r="H257" s="571"/>
      <c r="I257" s="906"/>
      <c r="J257" s="906"/>
      <c r="K257" s="261"/>
      <c r="L257" s="329">
        <v>10</v>
      </c>
      <c r="M257" s="422" t="s">
        <v>538</v>
      </c>
      <c r="N257" s="330"/>
      <c r="O257" s="553"/>
      <c r="P257" s="458"/>
      <c r="Q257" s="332">
        <v>41010</v>
      </c>
      <c r="R257" s="587"/>
      <c r="S257" s="622" t="s">
        <v>543</v>
      </c>
      <c r="T257" s="676">
        <v>45991</v>
      </c>
      <c r="U257" s="506">
        <v>0</v>
      </c>
      <c r="V257" s="912"/>
      <c r="W257" s="532">
        <v>46037</v>
      </c>
      <c r="X257" s="909"/>
      <c r="Y257" s="472"/>
    </row>
    <row r="258" spans="2:25" ht="14.25" customHeight="1" x14ac:dyDescent="0.2">
      <c r="B258" s="329"/>
      <c r="C258" s="330"/>
      <c r="D258" s="330"/>
      <c r="E258" s="331"/>
      <c r="F258" s="458"/>
      <c r="G258" s="332"/>
      <c r="H258" s="571"/>
      <c r="I258" s="906"/>
      <c r="J258" s="906"/>
      <c r="K258" s="261"/>
      <c r="L258" s="329">
        <v>10</v>
      </c>
      <c r="M258" s="422" t="s">
        <v>538</v>
      </c>
      <c r="N258" s="330"/>
      <c r="O258" s="553"/>
      <c r="P258" s="458"/>
      <c r="Q258" s="332">
        <v>41010</v>
      </c>
      <c r="R258" s="587"/>
      <c r="S258" s="622" t="s">
        <v>544</v>
      </c>
      <c r="T258" s="676">
        <v>46022</v>
      </c>
      <c r="U258" s="506">
        <v>0</v>
      </c>
      <c r="V258" s="912"/>
      <c r="W258" s="818">
        <v>46031</v>
      </c>
      <c r="X258" s="909"/>
      <c r="Y258" s="472"/>
    </row>
    <row r="259" spans="2:25" ht="14.25" customHeight="1" x14ac:dyDescent="0.2">
      <c r="B259" s="329">
        <v>10</v>
      </c>
      <c r="C259" s="330"/>
      <c r="D259" s="330" t="s">
        <v>340</v>
      </c>
      <c r="E259" s="331"/>
      <c r="F259" s="458"/>
      <c r="G259" s="332">
        <f>D428</f>
        <v>176058.33333333331</v>
      </c>
      <c r="H259" s="571">
        <f>H255</f>
        <v>45925</v>
      </c>
      <c r="I259" s="906"/>
      <c r="J259" s="906"/>
      <c r="K259" s="261"/>
      <c r="L259" s="329">
        <v>10</v>
      </c>
      <c r="M259" s="422" t="s">
        <v>538</v>
      </c>
      <c r="N259" s="330" t="s">
        <v>545</v>
      </c>
      <c r="O259" s="553"/>
      <c r="P259" s="458"/>
      <c r="Q259" s="332">
        <f>41010+460</f>
        <v>41470</v>
      </c>
      <c r="R259" s="587"/>
      <c r="S259" s="622" t="s">
        <v>546</v>
      </c>
      <c r="T259" s="676">
        <v>46022</v>
      </c>
      <c r="U259" s="824">
        <v>790.55</v>
      </c>
      <c r="V259" s="912"/>
      <c r="W259" s="532">
        <v>46053</v>
      </c>
      <c r="X259" s="909"/>
      <c r="Y259" s="472"/>
    </row>
    <row r="260" spans="2:25" ht="14.25" customHeight="1" x14ac:dyDescent="0.2">
      <c r="B260" s="329"/>
      <c r="C260" s="330"/>
      <c r="D260" s="330"/>
      <c r="E260" s="331"/>
      <c r="F260" s="458"/>
      <c r="G260" s="332"/>
      <c r="H260" s="572"/>
      <c r="I260" s="906"/>
      <c r="J260" s="906"/>
      <c r="K260" s="261"/>
      <c r="L260" s="329">
        <v>10</v>
      </c>
      <c r="M260" s="422" t="s">
        <v>538</v>
      </c>
      <c r="N260" s="330" t="s">
        <v>547</v>
      </c>
      <c r="O260" s="553"/>
      <c r="P260" s="458"/>
      <c r="Q260" s="332">
        <v>460</v>
      </c>
      <c r="R260" s="588"/>
      <c r="S260" s="622" t="s">
        <v>548</v>
      </c>
      <c r="T260" s="676">
        <v>46022</v>
      </c>
      <c r="U260" s="507">
        <v>0</v>
      </c>
      <c r="V260" s="912"/>
      <c r="W260" s="755">
        <v>46031</v>
      </c>
      <c r="X260" s="909"/>
      <c r="Y260" s="472"/>
    </row>
    <row r="261" spans="2:25" ht="14.25" customHeight="1" x14ac:dyDescent="0.2">
      <c r="B261" s="329"/>
      <c r="C261" s="330"/>
      <c r="D261" s="330"/>
      <c r="E261" s="331"/>
      <c r="F261" s="458"/>
      <c r="G261" s="332"/>
      <c r="H261" s="572"/>
      <c r="I261" s="906"/>
      <c r="J261" s="906"/>
      <c r="K261" s="261"/>
      <c r="L261" s="329">
        <v>10</v>
      </c>
      <c r="M261" s="422" t="s">
        <v>538</v>
      </c>
      <c r="N261" s="330" t="s">
        <v>549</v>
      </c>
      <c r="O261" s="553"/>
      <c r="P261" s="458"/>
      <c r="Q261" s="332">
        <v>41470</v>
      </c>
      <c r="R261" s="588"/>
      <c r="S261" s="623" t="s">
        <v>550</v>
      </c>
      <c r="T261" s="676">
        <v>45716</v>
      </c>
      <c r="U261" s="507"/>
      <c r="V261" s="912"/>
      <c r="W261" s="572">
        <v>46112</v>
      </c>
      <c r="X261" s="909"/>
      <c r="Y261" s="472"/>
    </row>
    <row r="262" spans="2:25" ht="14.25" customHeight="1" x14ac:dyDescent="0.2">
      <c r="B262" s="329"/>
      <c r="C262" s="330"/>
      <c r="D262" s="330"/>
      <c r="E262" s="331"/>
      <c r="F262" s="458"/>
      <c r="G262" s="332"/>
      <c r="H262" s="572"/>
      <c r="I262" s="906"/>
      <c r="J262" s="906"/>
      <c r="K262" s="261"/>
      <c r="L262" s="329">
        <v>10</v>
      </c>
      <c r="M262" s="422" t="s">
        <v>538</v>
      </c>
      <c r="N262" s="330" t="s">
        <v>551</v>
      </c>
      <c r="O262" s="553"/>
      <c r="P262" s="458"/>
      <c r="Q262" s="332"/>
      <c r="R262" s="588"/>
      <c r="S262" s="823"/>
      <c r="T262" s="676"/>
      <c r="U262" s="507"/>
      <c r="V262" s="912"/>
      <c r="W262" s="755"/>
      <c r="X262" s="909"/>
      <c r="Y262" s="472"/>
    </row>
    <row r="263" spans="2:25" ht="14.25" customHeight="1" x14ac:dyDescent="0.2">
      <c r="B263" s="329">
        <v>10</v>
      </c>
      <c r="C263" s="330"/>
      <c r="D263" s="330"/>
      <c r="E263" s="331"/>
      <c r="F263" s="458"/>
      <c r="G263" s="332"/>
      <c r="H263" s="533"/>
      <c r="I263" s="906"/>
      <c r="J263" s="906"/>
      <c r="K263" s="261"/>
      <c r="L263" s="329">
        <v>10</v>
      </c>
      <c r="M263" s="422" t="s">
        <v>538</v>
      </c>
      <c r="N263" s="330" t="s">
        <v>385</v>
      </c>
      <c r="O263" s="669">
        <f>AC22*0.1</f>
        <v>400000</v>
      </c>
      <c r="P263" s="559">
        <v>0.5</v>
      </c>
      <c r="Q263" s="332">
        <f>$O$263*P263</f>
        <v>200000</v>
      </c>
      <c r="R263" s="914" t="s">
        <v>386</v>
      </c>
      <c r="S263" s="623" t="s">
        <v>387</v>
      </c>
      <c r="T263" s="676">
        <v>45838</v>
      </c>
      <c r="U263" s="683">
        <v>130552.96794014869</v>
      </c>
      <c r="V263" s="912"/>
      <c r="W263" s="533">
        <v>45834</v>
      </c>
      <c r="X263" s="909"/>
      <c r="Y263" s="472"/>
    </row>
    <row r="264" spans="2:25" ht="14.25" customHeight="1" x14ac:dyDescent="0.2">
      <c r="B264" s="329">
        <v>10</v>
      </c>
      <c r="C264" s="330"/>
      <c r="D264" s="330"/>
      <c r="E264" s="331"/>
      <c r="F264" s="458"/>
      <c r="G264" s="332"/>
      <c r="H264" s="533"/>
      <c r="I264" s="906"/>
      <c r="J264" s="906"/>
      <c r="K264" s="261"/>
      <c r="L264" s="329">
        <v>10</v>
      </c>
      <c r="M264" s="422" t="s">
        <v>538</v>
      </c>
      <c r="N264" s="330" t="s">
        <v>552</v>
      </c>
      <c r="O264" s="553"/>
      <c r="P264" s="559">
        <v>0.4</v>
      </c>
      <c r="Q264" s="332">
        <f>$O$263*P264</f>
        <v>160000</v>
      </c>
      <c r="R264" s="915"/>
      <c r="S264" s="623" t="s">
        <v>389</v>
      </c>
      <c r="T264" s="676">
        <v>45869</v>
      </c>
      <c r="U264" s="683">
        <v>105639.01698453363</v>
      </c>
      <c r="V264" s="912"/>
      <c r="W264" s="533">
        <v>45904</v>
      </c>
      <c r="X264" s="909"/>
      <c r="Y264" s="472"/>
    </row>
    <row r="265" spans="2:25" ht="14.25" customHeight="1" x14ac:dyDescent="0.2">
      <c r="B265" s="329">
        <v>10</v>
      </c>
      <c r="C265" s="330"/>
      <c r="D265" s="330"/>
      <c r="E265" s="331"/>
      <c r="F265" s="458"/>
      <c r="G265" s="332"/>
      <c r="H265" s="572"/>
      <c r="I265" s="906"/>
      <c r="J265" s="906"/>
      <c r="K265" s="261"/>
      <c r="L265" s="329">
        <v>10</v>
      </c>
      <c r="M265" s="422" t="s">
        <v>538</v>
      </c>
      <c r="N265" s="330" t="s">
        <v>553</v>
      </c>
      <c r="O265" s="553"/>
      <c r="P265" s="559">
        <v>0.1</v>
      </c>
      <c r="Q265" s="777">
        <f>$O$263*P265</f>
        <v>40000</v>
      </c>
      <c r="R265" s="915"/>
      <c r="S265" s="623" t="s">
        <v>391</v>
      </c>
      <c r="T265" s="676">
        <v>45900</v>
      </c>
      <c r="U265" s="721">
        <v>16629.772302381578</v>
      </c>
      <c r="V265" s="912"/>
      <c r="W265" s="572">
        <f>W218</f>
        <v>46114</v>
      </c>
      <c r="X265" s="909"/>
      <c r="Y265" s="472"/>
    </row>
    <row r="266" spans="2:25" ht="14.25" customHeight="1" x14ac:dyDescent="0.2">
      <c r="B266" s="329">
        <v>10</v>
      </c>
      <c r="C266" s="330"/>
      <c r="D266" s="330"/>
      <c r="E266" s="331"/>
      <c r="F266" s="458"/>
      <c r="G266" s="332"/>
      <c r="H266" s="572"/>
      <c r="I266" s="906"/>
      <c r="J266" s="906"/>
      <c r="K266" s="261"/>
      <c r="L266" s="329">
        <v>10</v>
      </c>
      <c r="M266" s="422" t="s">
        <v>538</v>
      </c>
      <c r="N266" s="330"/>
      <c r="O266" s="553"/>
      <c r="P266" s="559"/>
      <c r="Q266" s="332"/>
      <c r="R266" s="915"/>
      <c r="S266" s="623"/>
      <c r="T266" s="521"/>
      <c r="U266" s="507">
        <f>(Q266/$X$254*$J$254)</f>
        <v>0</v>
      </c>
      <c r="V266" s="912"/>
      <c r="W266" s="572"/>
      <c r="X266" s="909"/>
      <c r="Y266" s="472"/>
    </row>
    <row r="267" spans="2:25" ht="14.25" customHeight="1" x14ac:dyDescent="0.2">
      <c r="B267" s="329">
        <v>10</v>
      </c>
      <c r="C267" s="330"/>
      <c r="D267" s="330"/>
      <c r="E267" s="331"/>
      <c r="F267" s="458"/>
      <c r="G267" s="332"/>
      <c r="H267" s="572"/>
      <c r="I267" s="906"/>
      <c r="J267" s="906"/>
      <c r="K267" s="261"/>
      <c r="L267" s="329">
        <v>10</v>
      </c>
      <c r="M267" s="422" t="s">
        <v>538</v>
      </c>
      <c r="N267" s="330"/>
      <c r="O267" s="553"/>
      <c r="P267" s="559"/>
      <c r="Q267" s="332"/>
      <c r="R267" s="915"/>
      <c r="S267" s="623"/>
      <c r="T267" s="521" t="str">
        <f t="shared" si="21"/>
        <v/>
      </c>
      <c r="U267" s="507">
        <f>(Q267/$X$254*$J$254)</f>
        <v>0</v>
      </c>
      <c r="V267" s="912"/>
      <c r="W267" s="572"/>
      <c r="X267" s="909"/>
      <c r="Y267" s="472"/>
    </row>
    <row r="268" spans="2:25" ht="14.25" customHeight="1" x14ac:dyDescent="0.2">
      <c r="B268" s="329"/>
      <c r="C268" s="330"/>
      <c r="D268" s="330"/>
      <c r="E268" s="331"/>
      <c r="F268" s="458"/>
      <c r="G268" s="332"/>
      <c r="H268" s="572"/>
      <c r="I268" s="906"/>
      <c r="J268" s="906"/>
      <c r="K268" s="261"/>
      <c r="L268" s="329">
        <v>10</v>
      </c>
      <c r="M268" s="422" t="s">
        <v>538</v>
      </c>
      <c r="N268" s="330"/>
      <c r="O268" s="553"/>
      <c r="P268" s="559"/>
      <c r="Q268" s="332"/>
      <c r="R268" s="915"/>
      <c r="S268" s="623"/>
      <c r="T268" s="521"/>
      <c r="U268" s="507">
        <f>(Q268/$X$254*$J$254)</f>
        <v>0</v>
      </c>
      <c r="V268" s="912"/>
      <c r="W268" s="572"/>
      <c r="X268" s="909"/>
      <c r="Y268" s="472"/>
    </row>
    <row r="269" spans="2:25" ht="14.25" customHeight="1" x14ac:dyDescent="0.2">
      <c r="B269" s="329"/>
      <c r="C269" s="330"/>
      <c r="D269" s="330"/>
      <c r="E269" s="331"/>
      <c r="F269" s="458"/>
      <c r="G269" s="332"/>
      <c r="H269" s="533"/>
      <c r="I269" s="906"/>
      <c r="J269" s="906"/>
      <c r="K269" s="261"/>
      <c r="L269" s="329">
        <v>10</v>
      </c>
      <c r="M269" s="422" t="s">
        <v>538</v>
      </c>
      <c r="N269" s="330" t="s">
        <v>392</v>
      </c>
      <c r="O269" s="669">
        <f>AC29*0.1</f>
        <v>250000</v>
      </c>
      <c r="P269" s="559">
        <v>0.5</v>
      </c>
      <c r="Q269" s="332">
        <f>$O$269*P269</f>
        <v>125000</v>
      </c>
      <c r="R269" s="915"/>
      <c r="S269" s="623" t="s">
        <v>387</v>
      </c>
      <c r="T269" s="676">
        <v>45838</v>
      </c>
      <c r="U269" s="683">
        <v>81595.60496259293</v>
      </c>
      <c r="V269" s="912"/>
      <c r="W269" s="533">
        <v>45834</v>
      </c>
      <c r="X269" s="909"/>
      <c r="Y269" s="472"/>
    </row>
    <row r="270" spans="2:25" ht="14.25" customHeight="1" x14ac:dyDescent="0.2">
      <c r="B270" s="329"/>
      <c r="C270" s="330"/>
      <c r="D270" s="330"/>
      <c r="E270" s="331"/>
      <c r="F270" s="458"/>
      <c r="G270" s="332"/>
      <c r="H270" s="533"/>
      <c r="I270" s="906"/>
      <c r="J270" s="906"/>
      <c r="K270" s="261"/>
      <c r="L270" s="329">
        <v>10</v>
      </c>
      <c r="M270" s="422" t="s">
        <v>538</v>
      </c>
      <c r="N270" s="330" t="s">
        <v>554</v>
      </c>
      <c r="O270" s="553"/>
      <c r="P270" s="559">
        <v>0.4</v>
      </c>
      <c r="Q270" s="332">
        <f t="shared" ref="Q270:Q271" si="28">$O$269*P270</f>
        <v>100000</v>
      </c>
      <c r="R270" s="915"/>
      <c r="S270" s="623" t="s">
        <v>389</v>
      </c>
      <c r="T270" s="676">
        <v>45869</v>
      </c>
      <c r="U270" s="683">
        <v>68657.965615333524</v>
      </c>
      <c r="V270" s="912"/>
      <c r="W270" s="533">
        <f>W264</f>
        <v>45904</v>
      </c>
      <c r="X270" s="909"/>
      <c r="Y270" s="472"/>
    </row>
    <row r="271" spans="2:25" ht="14.25" customHeight="1" x14ac:dyDescent="0.2">
      <c r="B271" s="329"/>
      <c r="C271" s="330"/>
      <c r="D271" s="330"/>
      <c r="E271" s="331"/>
      <c r="F271" s="458"/>
      <c r="G271" s="332"/>
      <c r="H271" s="521"/>
      <c r="I271" s="906"/>
      <c r="J271" s="906"/>
      <c r="K271" s="261"/>
      <c r="L271" s="329">
        <v>10</v>
      </c>
      <c r="M271" s="422" t="s">
        <v>538</v>
      </c>
      <c r="N271" s="330" t="s">
        <v>555</v>
      </c>
      <c r="O271" s="553"/>
      <c r="P271" s="559">
        <v>0.1</v>
      </c>
      <c r="Q271" s="332">
        <f t="shared" si="28"/>
        <v>25000</v>
      </c>
      <c r="R271" s="916"/>
      <c r="S271" s="623" t="s">
        <v>391</v>
      </c>
      <c r="T271" s="676">
        <v>45900</v>
      </c>
      <c r="U271" s="721">
        <v>22162.210188988483</v>
      </c>
      <c r="V271" s="912"/>
      <c r="W271" s="521">
        <f>W218</f>
        <v>46114</v>
      </c>
      <c r="X271" s="909"/>
      <c r="Y271" s="472"/>
    </row>
    <row r="272" spans="2:25" ht="14.25" customHeight="1" x14ac:dyDescent="0.2">
      <c r="B272" s="329"/>
      <c r="C272" s="330"/>
      <c r="D272" s="330"/>
      <c r="E272" s="331"/>
      <c r="F272" s="458"/>
      <c r="G272" s="332"/>
      <c r="H272" s="572"/>
      <c r="I272" s="906"/>
      <c r="J272" s="906"/>
      <c r="K272" s="261"/>
      <c r="L272" s="329">
        <v>10</v>
      </c>
      <c r="M272" s="422" t="s">
        <v>538</v>
      </c>
      <c r="N272" s="330"/>
      <c r="O272" s="553"/>
      <c r="P272" s="559"/>
      <c r="Q272" s="332"/>
      <c r="R272" s="588"/>
      <c r="S272" s="623"/>
      <c r="T272" s="521"/>
      <c r="U272" s="507">
        <f>(Q272/$X$254*$J$254)</f>
        <v>0</v>
      </c>
      <c r="V272" s="912"/>
      <c r="W272" s="572"/>
      <c r="X272" s="909"/>
      <c r="Y272" s="472"/>
    </row>
    <row r="273" spans="2:25" ht="14.25" customHeight="1" x14ac:dyDescent="0.2">
      <c r="B273" s="329">
        <v>10</v>
      </c>
      <c r="C273" s="330"/>
      <c r="D273" s="330"/>
      <c r="E273" s="331"/>
      <c r="F273" s="458"/>
      <c r="G273" s="332"/>
      <c r="H273" s="533"/>
      <c r="I273" s="906"/>
      <c r="J273" s="906"/>
      <c r="K273" s="261"/>
      <c r="L273" s="329">
        <v>10</v>
      </c>
      <c r="M273" s="422" t="s">
        <v>538</v>
      </c>
      <c r="N273" s="330" t="s">
        <v>556</v>
      </c>
      <c r="O273" s="553"/>
      <c r="P273" s="559"/>
      <c r="Q273" s="332">
        <v>10400</v>
      </c>
      <c r="R273" s="588"/>
      <c r="S273" s="623" t="s">
        <v>557</v>
      </c>
      <c r="T273" s="676">
        <v>45838</v>
      </c>
      <c r="U273" s="683">
        <v>6788.7543328877318</v>
      </c>
      <c r="V273" s="912"/>
      <c r="W273" s="533">
        <v>45835</v>
      </c>
      <c r="X273" s="909"/>
      <c r="Y273" s="472"/>
    </row>
    <row r="274" spans="2:25" ht="14.25" customHeight="1" x14ac:dyDescent="0.2">
      <c r="B274" s="329">
        <v>10</v>
      </c>
      <c r="C274" s="330"/>
      <c r="D274" s="330"/>
      <c r="E274" s="331"/>
      <c r="F274" s="458"/>
      <c r="G274" s="332"/>
      <c r="H274" s="533"/>
      <c r="I274" s="906"/>
      <c r="J274" s="906"/>
      <c r="K274" s="261"/>
      <c r="L274" s="329">
        <v>10</v>
      </c>
      <c r="M274" s="422" t="s">
        <v>538</v>
      </c>
      <c r="N274" s="330" t="s">
        <v>558</v>
      </c>
      <c r="O274" s="553"/>
      <c r="P274" s="559"/>
      <c r="Q274" s="332">
        <v>10400</v>
      </c>
      <c r="R274" s="588"/>
      <c r="S274" s="623" t="s">
        <v>559</v>
      </c>
      <c r="T274" s="676">
        <v>45869</v>
      </c>
      <c r="U274" s="683">
        <v>6743.2861039946856</v>
      </c>
      <c r="V274" s="912"/>
      <c r="W274" s="533">
        <v>45845</v>
      </c>
      <c r="X274" s="909"/>
      <c r="Y274" s="472"/>
    </row>
    <row r="275" spans="2:25" ht="14.25" customHeight="1" x14ac:dyDescent="0.2">
      <c r="B275" s="329">
        <v>10</v>
      </c>
      <c r="C275" s="330"/>
      <c r="D275" s="330"/>
      <c r="E275" s="331"/>
      <c r="F275" s="458"/>
      <c r="G275" s="332"/>
      <c r="H275" s="572"/>
      <c r="I275" s="906"/>
      <c r="J275" s="906"/>
      <c r="K275" s="261"/>
      <c r="L275" s="329">
        <v>10</v>
      </c>
      <c r="M275" s="422" t="s">
        <v>538</v>
      </c>
      <c r="N275" s="330" t="s">
        <v>560</v>
      </c>
      <c r="O275" s="553"/>
      <c r="P275" s="559"/>
      <c r="Q275" s="332">
        <v>1550</v>
      </c>
      <c r="R275" s="588"/>
      <c r="S275" s="623" t="s">
        <v>561</v>
      </c>
      <c r="T275" s="676">
        <v>45869</v>
      </c>
      <c r="U275" s="683">
        <v>1023.3779770376696</v>
      </c>
      <c r="V275" s="912"/>
      <c r="W275" s="755">
        <v>45901</v>
      </c>
      <c r="X275" s="909"/>
      <c r="Y275" s="472"/>
    </row>
    <row r="276" spans="2:25" ht="14.25" customHeight="1" x14ac:dyDescent="0.2">
      <c r="B276" s="329"/>
      <c r="C276" s="330"/>
      <c r="D276" s="330"/>
      <c r="E276" s="331"/>
      <c r="F276" s="458"/>
      <c r="G276" s="332"/>
      <c r="H276" s="533"/>
      <c r="I276" s="906"/>
      <c r="J276" s="906"/>
      <c r="K276" s="261"/>
      <c r="L276" s="329">
        <v>10</v>
      </c>
      <c r="M276" s="422" t="s">
        <v>538</v>
      </c>
      <c r="N276" s="330" t="s">
        <v>560</v>
      </c>
      <c r="O276" s="553"/>
      <c r="P276" s="559"/>
      <c r="Q276" s="332">
        <v>11850</v>
      </c>
      <c r="R276" s="588"/>
      <c r="S276" s="623" t="s">
        <v>562</v>
      </c>
      <c r="T276" s="676">
        <v>45900</v>
      </c>
      <c r="U276" s="721">
        <v>6908.749169580542</v>
      </c>
      <c r="V276" s="912"/>
      <c r="W276" s="533">
        <v>45890</v>
      </c>
      <c r="X276" s="909"/>
      <c r="Y276" s="472"/>
    </row>
    <row r="277" spans="2:25" ht="14.25" customHeight="1" x14ac:dyDescent="0.2">
      <c r="B277" s="329">
        <v>10</v>
      </c>
      <c r="C277" s="330"/>
      <c r="D277" s="330"/>
      <c r="E277" s="331"/>
      <c r="F277" s="458"/>
      <c r="G277" s="332"/>
      <c r="H277" s="572"/>
      <c r="I277" s="906"/>
      <c r="J277" s="906"/>
      <c r="K277" s="261"/>
      <c r="L277" s="329">
        <v>10</v>
      </c>
      <c r="M277" s="422" t="s">
        <v>538</v>
      </c>
      <c r="N277" s="330" t="s">
        <v>563</v>
      </c>
      <c r="O277" s="553"/>
      <c r="P277" s="458"/>
      <c r="Q277" s="332">
        <v>1500</v>
      </c>
      <c r="R277" s="588"/>
      <c r="S277" s="623" t="s">
        <v>564</v>
      </c>
      <c r="T277" s="676">
        <v>45900</v>
      </c>
      <c r="U277" s="721">
        <v>874.52521133930907</v>
      </c>
      <c r="V277" s="912"/>
      <c r="W277" s="755">
        <v>45930</v>
      </c>
      <c r="X277" s="909"/>
      <c r="Y277" s="472"/>
    </row>
    <row r="278" spans="2:25" ht="14.25" customHeight="1" x14ac:dyDescent="0.2">
      <c r="B278" s="329"/>
      <c r="C278" s="330"/>
      <c r="D278" s="330"/>
      <c r="E278" s="331"/>
      <c r="F278" s="458"/>
      <c r="G278" s="332"/>
      <c r="H278" s="572"/>
      <c r="I278" s="906"/>
      <c r="J278" s="906"/>
      <c r="K278" s="261"/>
      <c r="L278" s="329">
        <v>10</v>
      </c>
      <c r="M278" s="422" t="s">
        <v>538</v>
      </c>
      <c r="N278" s="330" t="s">
        <v>565</v>
      </c>
      <c r="O278" s="553"/>
      <c r="P278" s="458"/>
      <c r="Q278" s="332">
        <v>1500</v>
      </c>
      <c r="R278" s="588"/>
      <c r="S278" s="623" t="s">
        <v>566</v>
      </c>
      <c r="T278" s="676">
        <v>45900</v>
      </c>
      <c r="U278" s="721">
        <v>874.52521133930907</v>
      </c>
      <c r="V278" s="912"/>
      <c r="W278" s="755">
        <v>45930</v>
      </c>
      <c r="X278" s="909"/>
      <c r="Y278" s="472"/>
    </row>
    <row r="279" spans="2:25" ht="14.25" customHeight="1" x14ac:dyDescent="0.2">
      <c r="B279" s="329"/>
      <c r="C279" s="330"/>
      <c r="D279" s="330"/>
      <c r="E279" s="331"/>
      <c r="F279" s="458"/>
      <c r="G279" s="332"/>
      <c r="H279" s="533"/>
      <c r="I279" s="906"/>
      <c r="J279" s="906"/>
      <c r="K279" s="261"/>
      <c r="L279" s="329">
        <v>10</v>
      </c>
      <c r="M279" s="422" t="s">
        <v>538</v>
      </c>
      <c r="N279" s="330" t="s">
        <v>567</v>
      </c>
      <c r="O279" s="553"/>
      <c r="P279" s="458"/>
      <c r="Q279" s="332">
        <v>250</v>
      </c>
      <c r="R279" s="588"/>
      <c r="S279" s="623" t="s">
        <v>568</v>
      </c>
      <c r="T279" s="676">
        <v>45838</v>
      </c>
      <c r="U279" s="683">
        <v>163.19120992518586</v>
      </c>
      <c r="V279" s="912"/>
      <c r="W279" s="533">
        <v>45876</v>
      </c>
      <c r="X279" s="909"/>
      <c r="Y279" s="472"/>
    </row>
    <row r="280" spans="2:25" ht="14.25" customHeight="1" x14ac:dyDescent="0.2">
      <c r="B280" s="329"/>
      <c r="C280" s="330"/>
      <c r="D280" s="330"/>
      <c r="E280" s="331"/>
      <c r="F280" s="458"/>
      <c r="G280" s="332"/>
      <c r="H280" s="572"/>
      <c r="I280" s="906"/>
      <c r="J280" s="906"/>
      <c r="K280" s="261"/>
      <c r="L280" s="329">
        <v>10</v>
      </c>
      <c r="M280" s="422" t="s">
        <v>538</v>
      </c>
      <c r="N280" s="330" t="s">
        <v>567</v>
      </c>
      <c r="O280" s="553"/>
      <c r="P280" s="458"/>
      <c r="Q280" s="332">
        <v>2635</v>
      </c>
      <c r="R280" s="588"/>
      <c r="S280" s="623" t="s">
        <v>569</v>
      </c>
      <c r="T280" s="676">
        <v>45930</v>
      </c>
      <c r="U280" s="683">
        <v>0</v>
      </c>
      <c r="V280" s="912"/>
      <c r="W280" s="755">
        <v>45930</v>
      </c>
      <c r="X280" s="909"/>
      <c r="Y280" s="472"/>
    </row>
    <row r="281" spans="2:25" ht="14.25" customHeight="1" x14ac:dyDescent="0.2">
      <c r="B281" s="329"/>
      <c r="C281" s="330"/>
      <c r="D281" s="330"/>
      <c r="E281" s="331"/>
      <c r="F281" s="458"/>
      <c r="G281" s="332"/>
      <c r="H281" s="572"/>
      <c r="I281" s="906"/>
      <c r="J281" s="906"/>
      <c r="K281" s="261"/>
      <c r="L281" s="329">
        <v>10</v>
      </c>
      <c r="M281" s="422" t="s">
        <v>538</v>
      </c>
      <c r="N281" s="330" t="s">
        <v>567</v>
      </c>
      <c r="O281" s="553"/>
      <c r="P281" s="458"/>
      <c r="Q281" s="332">
        <v>1550</v>
      </c>
      <c r="R281" s="588"/>
      <c r="S281" s="623" t="s">
        <v>570</v>
      </c>
      <c r="T281" s="676">
        <v>45930</v>
      </c>
      <c r="U281" s="683">
        <v>0</v>
      </c>
      <c r="V281" s="912"/>
      <c r="W281" s="755">
        <v>45930</v>
      </c>
      <c r="X281" s="909"/>
      <c r="Y281" s="472"/>
    </row>
    <row r="282" spans="2:25" ht="14.25" customHeight="1" x14ac:dyDescent="0.2">
      <c r="B282" s="329"/>
      <c r="C282" s="330"/>
      <c r="D282" s="330"/>
      <c r="E282" s="331"/>
      <c r="F282" s="458"/>
      <c r="G282" s="332"/>
      <c r="H282" s="572"/>
      <c r="I282" s="906"/>
      <c r="J282" s="906"/>
      <c r="K282" s="261"/>
      <c r="L282" s="329">
        <v>10</v>
      </c>
      <c r="M282" s="422" t="s">
        <v>538</v>
      </c>
      <c r="N282" s="330" t="s">
        <v>567</v>
      </c>
      <c r="O282" s="553"/>
      <c r="P282" s="458"/>
      <c r="Q282" s="332">
        <v>1550</v>
      </c>
      <c r="R282" s="588"/>
      <c r="S282" s="623" t="s">
        <v>571</v>
      </c>
      <c r="T282" s="676">
        <v>45930</v>
      </c>
      <c r="U282" s="683">
        <v>0</v>
      </c>
      <c r="V282" s="912"/>
      <c r="W282" s="755">
        <v>45930</v>
      </c>
      <c r="X282" s="909"/>
      <c r="Y282" s="472"/>
    </row>
    <row r="283" spans="2:25" ht="14.25" customHeight="1" x14ac:dyDescent="0.2">
      <c r="B283" s="329"/>
      <c r="C283" s="330"/>
      <c r="D283" s="330"/>
      <c r="E283" s="331"/>
      <c r="F283" s="458"/>
      <c r="G283" s="332"/>
      <c r="H283" s="572"/>
      <c r="I283" s="906"/>
      <c r="J283" s="906"/>
      <c r="K283" s="261"/>
      <c r="L283" s="329">
        <v>10</v>
      </c>
      <c r="M283" s="422" t="s">
        <v>538</v>
      </c>
      <c r="N283" s="330" t="s">
        <v>572</v>
      </c>
      <c r="O283" s="553"/>
      <c r="P283" s="458"/>
      <c r="Q283" s="332">
        <v>595</v>
      </c>
      <c r="R283" s="588"/>
      <c r="S283" s="623" t="s">
        <v>573</v>
      </c>
      <c r="T283" s="676">
        <v>45900</v>
      </c>
      <c r="U283" s="683">
        <v>346.89500049792593</v>
      </c>
      <c r="V283" s="912"/>
      <c r="W283" s="533">
        <v>45901</v>
      </c>
      <c r="X283" s="909"/>
      <c r="Y283" s="472"/>
    </row>
    <row r="284" spans="2:25" ht="14.25" customHeight="1" x14ac:dyDescent="0.2">
      <c r="B284" s="329"/>
      <c r="C284" s="330"/>
      <c r="D284" s="330"/>
      <c r="E284" s="331"/>
      <c r="F284" s="458"/>
      <c r="G284" s="332"/>
      <c r="H284" s="572"/>
      <c r="I284" s="906"/>
      <c r="J284" s="906"/>
      <c r="K284" s="261"/>
      <c r="L284" s="329">
        <v>10</v>
      </c>
      <c r="M284" s="422" t="s">
        <v>538</v>
      </c>
      <c r="N284" s="330" t="s">
        <v>572</v>
      </c>
      <c r="O284" s="553"/>
      <c r="P284" s="458"/>
      <c r="Q284" s="332">
        <v>1250</v>
      </c>
      <c r="R284" s="588"/>
      <c r="S284" s="623" t="s">
        <v>574</v>
      </c>
      <c r="T284" s="676">
        <v>45900</v>
      </c>
      <c r="U284" s="683">
        <v>728.77100944942424</v>
      </c>
      <c r="V284" s="912"/>
      <c r="W284" s="533">
        <v>45901</v>
      </c>
      <c r="X284" s="909"/>
      <c r="Y284" s="472"/>
    </row>
    <row r="285" spans="2:25" ht="14.25" customHeight="1" x14ac:dyDescent="0.2">
      <c r="B285" s="329"/>
      <c r="C285" s="330"/>
      <c r="D285" s="330"/>
      <c r="E285" s="331"/>
      <c r="F285" s="458"/>
      <c r="G285" s="332"/>
      <c r="H285" s="572"/>
      <c r="I285" s="906"/>
      <c r="J285" s="906"/>
      <c r="K285" s="261"/>
      <c r="L285" s="329">
        <v>10</v>
      </c>
      <c r="M285" s="422" t="s">
        <v>538</v>
      </c>
      <c r="N285" s="330" t="s">
        <v>575</v>
      </c>
      <c r="O285" s="553"/>
      <c r="P285" s="458"/>
      <c r="Q285" s="332">
        <v>1500</v>
      </c>
      <c r="R285" s="588"/>
      <c r="S285" s="623" t="s">
        <v>576</v>
      </c>
      <c r="T285" s="754">
        <v>45961</v>
      </c>
      <c r="U285" s="758">
        <v>865.42161616940507</v>
      </c>
      <c r="V285" s="912"/>
      <c r="W285" s="533">
        <v>45974</v>
      </c>
      <c r="X285" s="909"/>
      <c r="Y285" s="472"/>
    </row>
    <row r="286" spans="2:25" ht="14.25" customHeight="1" x14ac:dyDescent="0.2">
      <c r="B286" s="329"/>
      <c r="C286" s="330"/>
      <c r="D286" s="330"/>
      <c r="E286" s="331"/>
      <c r="F286" s="458"/>
      <c r="G286" s="332"/>
      <c r="H286" s="572"/>
      <c r="I286" s="906"/>
      <c r="J286" s="906"/>
      <c r="K286" s="261"/>
      <c r="L286" s="329">
        <v>10</v>
      </c>
      <c r="M286" s="422" t="s">
        <v>538</v>
      </c>
      <c r="N286" s="330" t="s">
        <v>575</v>
      </c>
      <c r="O286" s="553"/>
      <c r="P286" s="458"/>
      <c r="Q286" s="332">
        <v>1500</v>
      </c>
      <c r="R286" s="588"/>
      <c r="S286" s="623" t="s">
        <v>577</v>
      </c>
      <c r="T286" s="754">
        <v>45961</v>
      </c>
      <c r="U286" s="758">
        <v>865.42161616940507</v>
      </c>
      <c r="V286" s="912"/>
      <c r="W286" s="533">
        <v>45974</v>
      </c>
      <c r="X286" s="909"/>
      <c r="Y286" s="472"/>
    </row>
    <row r="287" spans="2:25" ht="14.25" customHeight="1" x14ac:dyDescent="0.2">
      <c r="B287" s="329"/>
      <c r="C287" s="330"/>
      <c r="D287" s="330"/>
      <c r="E287" s="331"/>
      <c r="F287" s="458"/>
      <c r="G287" s="332"/>
      <c r="H287" s="572"/>
      <c r="I287" s="906"/>
      <c r="J287" s="906"/>
      <c r="K287" s="261"/>
      <c r="L287" s="329">
        <v>10</v>
      </c>
      <c r="M287" s="422" t="s">
        <v>538</v>
      </c>
      <c r="N287" s="330" t="s">
        <v>575</v>
      </c>
      <c r="O287" s="553"/>
      <c r="P287" s="458"/>
      <c r="Q287" s="332">
        <v>2550</v>
      </c>
      <c r="R287" s="588"/>
      <c r="S287" s="623" t="s">
        <v>578</v>
      </c>
      <c r="T287" s="754">
        <v>45961</v>
      </c>
      <c r="U287" s="758">
        <v>1471.2167474879886</v>
      </c>
      <c r="V287" s="912"/>
      <c r="W287" s="533">
        <v>45974</v>
      </c>
      <c r="X287" s="909"/>
      <c r="Y287" s="472"/>
    </row>
    <row r="288" spans="2:25" ht="14.25" customHeight="1" x14ac:dyDescent="0.2">
      <c r="B288" s="329"/>
      <c r="C288" s="330"/>
      <c r="D288" s="330"/>
      <c r="E288" s="331"/>
      <c r="F288" s="458"/>
      <c r="G288" s="332"/>
      <c r="H288" s="572"/>
      <c r="I288" s="906"/>
      <c r="J288" s="906"/>
      <c r="K288" s="261"/>
      <c r="L288" s="329">
        <v>10</v>
      </c>
      <c r="M288" s="422" t="s">
        <v>538</v>
      </c>
      <c r="N288" s="330" t="s">
        <v>579</v>
      </c>
      <c r="O288" s="553"/>
      <c r="P288" s="458"/>
      <c r="Q288" s="332">
        <v>1550</v>
      </c>
      <c r="R288" s="783"/>
      <c r="S288" s="623" t="s">
        <v>580</v>
      </c>
      <c r="T288" s="676">
        <v>45991</v>
      </c>
      <c r="U288" s="758">
        <v>1770.4386486937569</v>
      </c>
      <c r="V288" s="912"/>
      <c r="W288" s="533">
        <v>45995</v>
      </c>
      <c r="X288" s="909"/>
      <c r="Y288" s="472"/>
    </row>
    <row r="289" spans="2:25" ht="14.25" customHeight="1" x14ac:dyDescent="0.2">
      <c r="B289" s="329"/>
      <c r="C289" s="330"/>
      <c r="D289" s="330"/>
      <c r="E289" s="331"/>
      <c r="F289" s="458"/>
      <c r="G289" s="332"/>
      <c r="H289" s="572"/>
      <c r="I289" s="906"/>
      <c r="J289" s="906"/>
      <c r="K289" s="261"/>
      <c r="L289" s="329">
        <v>10</v>
      </c>
      <c r="M289" s="422" t="s">
        <v>538</v>
      </c>
      <c r="N289" s="330" t="s">
        <v>581</v>
      </c>
      <c r="O289" s="553"/>
      <c r="P289" s="458"/>
      <c r="Q289" s="332">
        <v>1550</v>
      </c>
      <c r="R289" s="588"/>
      <c r="S289" s="623" t="s">
        <v>582</v>
      </c>
      <c r="T289" s="676">
        <v>45991</v>
      </c>
      <c r="U289" s="758">
        <v>1770.4386486937569</v>
      </c>
      <c r="V289" s="912"/>
      <c r="W289" s="533">
        <v>45995</v>
      </c>
      <c r="X289" s="909"/>
      <c r="Y289" s="472"/>
    </row>
    <row r="290" spans="2:25" ht="14.25" customHeight="1" x14ac:dyDescent="0.2">
      <c r="B290" s="329"/>
      <c r="C290" s="330"/>
      <c r="D290" s="330"/>
      <c r="E290" s="331"/>
      <c r="F290" s="458"/>
      <c r="G290" s="332"/>
      <c r="H290" s="572"/>
      <c r="I290" s="906"/>
      <c r="J290" s="906"/>
      <c r="K290" s="261"/>
      <c r="L290" s="329">
        <v>10</v>
      </c>
      <c r="M290" s="422" t="s">
        <v>538</v>
      </c>
      <c r="N290" s="330" t="s">
        <v>583</v>
      </c>
      <c r="O290" s="553"/>
      <c r="P290" s="458"/>
      <c r="Q290" s="332">
        <v>2635</v>
      </c>
      <c r="R290" s="588"/>
      <c r="S290" s="623" t="s">
        <v>584</v>
      </c>
      <c r="T290" s="676">
        <v>45991</v>
      </c>
      <c r="U290" s="758">
        <v>988.11070277938666</v>
      </c>
      <c r="V290" s="912"/>
      <c r="W290" s="533">
        <v>45995</v>
      </c>
      <c r="X290" s="909"/>
      <c r="Y290" s="472"/>
    </row>
    <row r="291" spans="2:25" ht="14.25" customHeight="1" x14ac:dyDescent="0.2">
      <c r="B291" s="329"/>
      <c r="C291" s="330"/>
      <c r="D291" s="330"/>
      <c r="E291" s="331"/>
      <c r="F291" s="458"/>
      <c r="G291" s="332"/>
      <c r="H291" s="572"/>
      <c r="I291" s="906"/>
      <c r="J291" s="906"/>
      <c r="K291" s="261"/>
      <c r="L291" s="329">
        <v>10</v>
      </c>
      <c r="M291" s="422" t="s">
        <v>538</v>
      </c>
      <c r="N291" s="330" t="s">
        <v>585</v>
      </c>
      <c r="O291" s="553"/>
      <c r="P291" s="458"/>
      <c r="Q291" s="332">
        <v>1550</v>
      </c>
      <c r="R291" s="588"/>
      <c r="S291" s="623" t="s">
        <v>586</v>
      </c>
      <c r="T291" s="676">
        <v>46022</v>
      </c>
      <c r="U291" s="758">
        <v>0</v>
      </c>
      <c r="V291" s="912"/>
      <c r="W291" s="755">
        <v>46031</v>
      </c>
      <c r="X291" s="909"/>
      <c r="Y291" s="472"/>
    </row>
    <row r="292" spans="2:25" ht="14.25" customHeight="1" x14ac:dyDescent="0.2">
      <c r="B292" s="329"/>
      <c r="C292" s="330"/>
      <c r="D292" s="330"/>
      <c r="E292" s="331"/>
      <c r="F292" s="458"/>
      <c r="G292" s="332"/>
      <c r="H292" s="572"/>
      <c r="I292" s="906"/>
      <c r="J292" s="906"/>
      <c r="K292" s="261"/>
      <c r="L292" s="329">
        <v>10</v>
      </c>
      <c r="M292" s="422" t="s">
        <v>538</v>
      </c>
      <c r="N292" s="330" t="s">
        <v>587</v>
      </c>
      <c r="O292" s="553"/>
      <c r="P292" s="458"/>
      <c r="Q292" s="332">
        <v>1550</v>
      </c>
      <c r="R292" s="588"/>
      <c r="S292" s="623" t="s">
        <v>588</v>
      </c>
      <c r="T292" s="676">
        <v>46022</v>
      </c>
      <c r="U292" s="758">
        <v>0</v>
      </c>
      <c r="V292" s="912"/>
      <c r="W292" s="755">
        <v>46031</v>
      </c>
      <c r="X292" s="909"/>
      <c r="Y292" s="472"/>
    </row>
    <row r="293" spans="2:25" ht="14.25" customHeight="1" x14ac:dyDescent="0.2">
      <c r="B293" s="329"/>
      <c r="C293" s="330"/>
      <c r="D293" s="330"/>
      <c r="E293" s="331"/>
      <c r="F293" s="458"/>
      <c r="G293" s="332"/>
      <c r="H293" s="572"/>
      <c r="I293" s="906"/>
      <c r="J293" s="906"/>
      <c r="K293" s="261"/>
      <c r="L293" s="329">
        <v>10</v>
      </c>
      <c r="M293" s="422" t="s">
        <v>538</v>
      </c>
      <c r="N293" s="330" t="s">
        <v>589</v>
      </c>
      <c r="O293" s="553"/>
      <c r="P293" s="458"/>
      <c r="Q293" s="332">
        <v>2635</v>
      </c>
      <c r="R293" s="588"/>
      <c r="S293" s="623" t="s">
        <v>590</v>
      </c>
      <c r="T293" s="676">
        <v>46022</v>
      </c>
      <c r="U293" s="758">
        <v>0</v>
      </c>
      <c r="V293" s="912"/>
      <c r="W293" s="755">
        <v>46031</v>
      </c>
      <c r="X293" s="909"/>
      <c r="Y293" s="472"/>
    </row>
    <row r="294" spans="2:25" ht="14.25" customHeight="1" x14ac:dyDescent="0.2">
      <c r="B294" s="329"/>
      <c r="C294" s="330"/>
      <c r="D294" s="330"/>
      <c r="E294" s="331"/>
      <c r="F294" s="458"/>
      <c r="G294" s="332"/>
      <c r="H294" s="572"/>
      <c r="I294" s="906"/>
      <c r="J294" s="906"/>
      <c r="K294" s="261"/>
      <c r="L294" s="329">
        <v>10</v>
      </c>
      <c r="M294" s="422" t="s">
        <v>538</v>
      </c>
      <c r="N294" s="330" t="s">
        <v>591</v>
      </c>
      <c r="O294" s="553"/>
      <c r="P294" s="458"/>
      <c r="Q294" s="332">
        <v>1400</v>
      </c>
      <c r="R294" s="588"/>
      <c r="S294" s="623" t="s">
        <v>592</v>
      </c>
      <c r="T294" s="676">
        <v>46053</v>
      </c>
      <c r="U294" s="758">
        <v>0</v>
      </c>
      <c r="V294" s="912"/>
      <c r="W294" s="533">
        <v>46058</v>
      </c>
      <c r="X294" s="909"/>
      <c r="Y294" s="472"/>
    </row>
    <row r="295" spans="2:25" ht="14.25" customHeight="1" x14ac:dyDescent="0.2">
      <c r="B295" s="329"/>
      <c r="C295" s="330"/>
      <c r="D295" s="330"/>
      <c r="E295" s="331"/>
      <c r="F295" s="458"/>
      <c r="G295" s="332"/>
      <c r="H295" s="572"/>
      <c r="I295" s="906"/>
      <c r="J295" s="906"/>
      <c r="K295" s="261"/>
      <c r="L295" s="329">
        <v>10</v>
      </c>
      <c r="M295" s="422" t="s">
        <v>538</v>
      </c>
      <c r="N295" s="330" t="s">
        <v>591</v>
      </c>
      <c r="O295" s="553"/>
      <c r="P295" s="458"/>
      <c r="Q295" s="332">
        <v>1400</v>
      </c>
      <c r="R295" s="588"/>
      <c r="S295" s="623" t="s">
        <v>593</v>
      </c>
      <c r="T295" s="676">
        <v>46053</v>
      </c>
      <c r="U295" s="758">
        <v>0</v>
      </c>
      <c r="V295" s="912"/>
      <c r="W295" s="533">
        <v>46058</v>
      </c>
      <c r="X295" s="909"/>
      <c r="Y295" s="472"/>
    </row>
    <row r="296" spans="2:25" ht="14.25" customHeight="1" x14ac:dyDescent="0.2">
      <c r="B296" s="329"/>
      <c r="C296" s="330"/>
      <c r="D296" s="330"/>
      <c r="E296" s="331"/>
      <c r="F296" s="458"/>
      <c r="G296" s="332"/>
      <c r="H296" s="572"/>
      <c r="I296" s="906"/>
      <c r="J296" s="906"/>
      <c r="K296" s="261"/>
      <c r="L296" s="329">
        <v>10</v>
      </c>
      <c r="M296" s="422" t="s">
        <v>538</v>
      </c>
      <c r="N296" s="330" t="s">
        <v>591</v>
      </c>
      <c r="O296" s="553"/>
      <c r="P296" s="458"/>
      <c r="Q296" s="332">
        <v>2380</v>
      </c>
      <c r="R296" s="588"/>
      <c r="S296" s="623" t="s">
        <v>594</v>
      </c>
      <c r="T296" s="676">
        <v>46053</v>
      </c>
      <c r="U296" s="758">
        <v>0</v>
      </c>
      <c r="V296" s="912"/>
      <c r="W296" s="533">
        <v>46058</v>
      </c>
      <c r="X296" s="909"/>
      <c r="Y296" s="472"/>
    </row>
    <row r="297" spans="2:25" ht="14.25" customHeight="1" x14ac:dyDescent="0.2">
      <c r="B297" s="329"/>
      <c r="C297" s="330"/>
      <c r="D297" s="330"/>
      <c r="E297" s="331"/>
      <c r="F297" s="458"/>
      <c r="G297" s="332"/>
      <c r="H297" s="572"/>
      <c r="I297" s="906"/>
      <c r="J297" s="906"/>
      <c r="K297" s="261"/>
      <c r="L297" s="329">
        <v>10</v>
      </c>
      <c r="M297" s="422" t="s">
        <v>538</v>
      </c>
      <c r="N297" s="330" t="s">
        <v>595</v>
      </c>
      <c r="O297" s="553"/>
      <c r="P297" s="458"/>
      <c r="Q297" s="332">
        <v>620</v>
      </c>
      <c r="R297" s="588"/>
      <c r="S297" s="623" t="s">
        <v>596</v>
      </c>
      <c r="T297" s="676">
        <v>46081</v>
      </c>
      <c r="U297" s="758">
        <v>0</v>
      </c>
      <c r="V297" s="912"/>
      <c r="W297" s="572">
        <v>46086</v>
      </c>
      <c r="X297" s="909"/>
      <c r="Y297" s="472"/>
    </row>
    <row r="298" spans="2:25" ht="14.25" customHeight="1" x14ac:dyDescent="0.2">
      <c r="B298" s="329"/>
      <c r="C298" s="330"/>
      <c r="D298" s="330"/>
      <c r="E298" s="331"/>
      <c r="F298" s="458"/>
      <c r="G298" s="332"/>
      <c r="H298" s="572"/>
      <c r="I298" s="906"/>
      <c r="J298" s="906"/>
      <c r="K298" s="261"/>
      <c r="L298" s="329">
        <v>10</v>
      </c>
      <c r="M298" s="422" t="s">
        <v>538</v>
      </c>
      <c r="N298" s="330" t="s">
        <v>595</v>
      </c>
      <c r="O298" s="553"/>
      <c r="P298" s="458"/>
      <c r="Q298" s="332">
        <v>1550</v>
      </c>
      <c r="R298" s="588"/>
      <c r="S298" s="623" t="s">
        <v>597</v>
      </c>
      <c r="T298" s="676">
        <v>46081</v>
      </c>
      <c r="U298" s="758">
        <v>0</v>
      </c>
      <c r="V298" s="912"/>
      <c r="W298" s="572">
        <v>46086</v>
      </c>
      <c r="X298" s="909"/>
      <c r="Y298" s="472"/>
    </row>
    <row r="299" spans="2:25" ht="14.25" customHeight="1" x14ac:dyDescent="0.2">
      <c r="B299" s="329"/>
      <c r="C299" s="330"/>
      <c r="D299" s="330"/>
      <c r="E299" s="331"/>
      <c r="F299" s="458"/>
      <c r="G299" s="332"/>
      <c r="H299" s="572"/>
      <c r="I299" s="906"/>
      <c r="J299" s="906"/>
      <c r="K299" s="261"/>
      <c r="L299" s="329">
        <v>10</v>
      </c>
      <c r="M299" s="422" t="s">
        <v>538</v>
      </c>
      <c r="N299" s="330" t="s">
        <v>595</v>
      </c>
      <c r="O299" s="553"/>
      <c r="P299" s="458"/>
      <c r="Q299" s="332">
        <v>1550</v>
      </c>
      <c r="R299" s="588"/>
      <c r="S299" s="623" t="s">
        <v>598</v>
      </c>
      <c r="T299" s="676">
        <v>46081</v>
      </c>
      <c r="U299" s="758">
        <v>0</v>
      </c>
      <c r="V299" s="912"/>
      <c r="W299" s="572">
        <v>46086</v>
      </c>
      <c r="X299" s="909"/>
      <c r="Y299" s="472"/>
    </row>
    <row r="300" spans="2:25" ht="14.25" customHeight="1" x14ac:dyDescent="0.2">
      <c r="B300" s="329"/>
      <c r="C300" s="330"/>
      <c r="D300" s="330"/>
      <c r="E300" s="331"/>
      <c r="F300" s="458"/>
      <c r="G300" s="332"/>
      <c r="H300" s="572"/>
      <c r="I300" s="906"/>
      <c r="J300" s="906"/>
      <c r="K300" s="261"/>
      <c r="L300" s="329">
        <v>10</v>
      </c>
      <c r="M300" s="422" t="s">
        <v>538</v>
      </c>
      <c r="N300" s="330" t="s">
        <v>595</v>
      </c>
      <c r="O300" s="553"/>
      <c r="P300" s="458"/>
      <c r="Q300" s="332">
        <v>2635</v>
      </c>
      <c r="R300" s="588"/>
      <c r="S300" s="623" t="s">
        <v>599</v>
      </c>
      <c r="T300" s="676">
        <v>46081</v>
      </c>
      <c r="U300" s="758">
        <v>0</v>
      </c>
      <c r="V300" s="912"/>
      <c r="W300" s="572">
        <v>46086</v>
      </c>
      <c r="X300" s="909"/>
      <c r="Y300" s="472"/>
    </row>
    <row r="301" spans="2:25" ht="14.25" customHeight="1" x14ac:dyDescent="0.2">
      <c r="B301" s="329"/>
      <c r="C301" s="330"/>
      <c r="D301" s="330"/>
      <c r="E301" s="331"/>
      <c r="F301" s="458"/>
      <c r="G301" s="332"/>
      <c r="H301" s="572"/>
      <c r="I301" s="906"/>
      <c r="J301" s="906"/>
      <c r="K301" s="261"/>
      <c r="L301" s="329">
        <v>10</v>
      </c>
      <c r="M301" s="422" t="s">
        <v>538</v>
      </c>
      <c r="N301" s="330"/>
      <c r="O301" s="553"/>
      <c r="P301" s="458"/>
      <c r="Q301" s="332"/>
      <c r="R301" s="588"/>
      <c r="S301" s="623"/>
      <c r="T301" s="754"/>
      <c r="U301" s="507"/>
      <c r="V301" s="912"/>
      <c r="W301" s="572"/>
      <c r="X301" s="909"/>
      <c r="Y301" s="472"/>
    </row>
    <row r="302" spans="2:25" ht="14.25" customHeight="1" x14ac:dyDescent="0.2">
      <c r="B302" s="329"/>
      <c r="C302" s="330"/>
      <c r="D302" s="330"/>
      <c r="E302" s="331"/>
      <c r="F302" s="458"/>
      <c r="G302" s="332"/>
      <c r="H302" s="533"/>
      <c r="I302" s="906"/>
      <c r="J302" s="906"/>
      <c r="K302" s="261"/>
      <c r="L302" s="329">
        <v>10</v>
      </c>
      <c r="M302" s="422" t="s">
        <v>538</v>
      </c>
      <c r="N302" s="330" t="s">
        <v>600</v>
      </c>
      <c r="O302" s="553"/>
      <c r="P302" s="458"/>
      <c r="Q302" s="332">
        <v>652.16999999999996</v>
      </c>
      <c r="R302" s="588"/>
      <c r="S302" s="623" t="s">
        <v>601</v>
      </c>
      <c r="T302" s="676">
        <v>45900</v>
      </c>
      <c r="U302" s="683">
        <v>380.22607138610476</v>
      </c>
      <c r="V302" s="912"/>
      <c r="W302" s="533">
        <v>45932</v>
      </c>
      <c r="X302" s="909"/>
      <c r="Y302" s="472"/>
    </row>
    <row r="303" spans="2:25" ht="14.25" customHeight="1" x14ac:dyDescent="0.2">
      <c r="B303" s="329"/>
      <c r="C303" s="330"/>
      <c r="D303" s="330"/>
      <c r="E303" s="331"/>
      <c r="F303" s="458"/>
      <c r="G303" s="332"/>
      <c r="H303" s="572"/>
      <c r="I303" s="906"/>
      <c r="J303" s="906"/>
      <c r="K303" s="261"/>
      <c r="L303" s="329">
        <v>10</v>
      </c>
      <c r="M303" s="422" t="s">
        <v>538</v>
      </c>
      <c r="N303" s="330" t="s">
        <v>602</v>
      </c>
      <c r="O303" s="553"/>
      <c r="P303" s="458"/>
      <c r="Q303" s="332">
        <v>2173.92</v>
      </c>
      <c r="R303" s="588"/>
      <c r="S303" s="623" t="s">
        <v>603</v>
      </c>
      <c r="T303" s="676">
        <v>45930</v>
      </c>
      <c r="U303" s="758">
        <v>1258.8741122956246</v>
      </c>
      <c r="V303" s="912"/>
      <c r="W303" s="533">
        <v>45939</v>
      </c>
      <c r="X303" s="909"/>
      <c r="Y303" s="472"/>
    </row>
    <row r="304" spans="2:25" ht="14.25" customHeight="1" x14ac:dyDescent="0.2">
      <c r="B304" s="329"/>
      <c r="C304" s="330"/>
      <c r="D304" s="330"/>
      <c r="E304" s="331"/>
      <c r="F304" s="458"/>
      <c r="G304" s="332"/>
      <c r="H304" s="572"/>
      <c r="I304" s="906"/>
      <c r="J304" s="906"/>
      <c r="K304" s="261"/>
      <c r="L304" s="329">
        <v>10</v>
      </c>
      <c r="M304" s="422" t="s">
        <v>538</v>
      </c>
      <c r="N304" s="330" t="s">
        <v>604</v>
      </c>
      <c r="O304" s="553"/>
      <c r="P304" s="458"/>
      <c r="Q304" s="332">
        <f>2434.8+652.17</f>
        <v>3086.9700000000003</v>
      </c>
      <c r="R304" s="588"/>
      <c r="S304" s="623" t="s">
        <v>605</v>
      </c>
      <c r="T304" s="754">
        <v>45961</v>
      </c>
      <c r="U304" s="758">
        <v>1781.0203776443125</v>
      </c>
      <c r="V304" s="912"/>
      <c r="W304" s="533">
        <v>45967</v>
      </c>
      <c r="X304" s="909"/>
      <c r="Y304" s="472"/>
    </row>
    <row r="305" spans="1:25" ht="14.25" customHeight="1" x14ac:dyDescent="0.2">
      <c r="B305" s="329"/>
      <c r="C305" s="330"/>
      <c r="D305" s="330"/>
      <c r="E305" s="331"/>
      <c r="F305" s="458"/>
      <c r="G305" s="332"/>
      <c r="H305" s="572"/>
      <c r="I305" s="906"/>
      <c r="J305" s="906"/>
      <c r="K305" s="261"/>
      <c r="L305" s="329">
        <v>10</v>
      </c>
      <c r="M305" s="422" t="s">
        <v>538</v>
      </c>
      <c r="N305" s="330" t="s">
        <v>606</v>
      </c>
      <c r="O305" s="553"/>
      <c r="P305" s="458"/>
      <c r="Q305" s="332">
        <v>2434.8000000000002</v>
      </c>
      <c r="R305" s="588"/>
      <c r="S305" s="623" t="s">
        <v>607</v>
      </c>
      <c r="T305" s="676">
        <v>45991</v>
      </c>
      <c r="U305" s="758">
        <v>1343.363433444877</v>
      </c>
      <c r="V305" s="912"/>
      <c r="W305" s="533">
        <v>45995</v>
      </c>
      <c r="X305" s="909"/>
      <c r="Y305" s="472"/>
    </row>
    <row r="306" spans="1:25" ht="14.25" customHeight="1" x14ac:dyDescent="0.2">
      <c r="B306" s="329"/>
      <c r="C306" s="330"/>
      <c r="D306" s="330"/>
      <c r="E306" s="331"/>
      <c r="F306" s="458"/>
      <c r="G306" s="332"/>
      <c r="H306" s="533"/>
      <c r="I306" s="906"/>
      <c r="J306" s="906"/>
      <c r="K306" s="261"/>
      <c r="L306" s="329">
        <v>10</v>
      </c>
      <c r="M306" s="422" t="s">
        <v>538</v>
      </c>
      <c r="N306" s="330" t="s">
        <v>608</v>
      </c>
      <c r="O306" s="553"/>
      <c r="P306" s="458"/>
      <c r="Q306" s="332">
        <v>1217.4000000000001</v>
      </c>
      <c r="R306" s="588"/>
      <c r="S306" s="623" t="s">
        <v>609</v>
      </c>
      <c r="T306" s="676">
        <v>46022</v>
      </c>
      <c r="U306" s="758">
        <v>608.42503176814455</v>
      </c>
      <c r="V306" s="912"/>
      <c r="W306" s="755">
        <v>46029</v>
      </c>
      <c r="X306" s="909"/>
      <c r="Y306" s="472"/>
    </row>
    <row r="307" spans="1:25" ht="14.25" customHeight="1" x14ac:dyDescent="0.2">
      <c r="B307" s="329"/>
      <c r="C307" s="330"/>
      <c r="D307" s="330"/>
      <c r="E307" s="331"/>
      <c r="F307" s="458"/>
      <c r="G307" s="332"/>
      <c r="H307" s="533"/>
      <c r="I307" s="906"/>
      <c r="J307" s="906"/>
      <c r="K307" s="261"/>
      <c r="L307" s="329">
        <v>10</v>
      </c>
      <c r="M307" s="422" t="s">
        <v>538</v>
      </c>
      <c r="N307" s="330" t="s">
        <v>608</v>
      </c>
      <c r="O307" s="553"/>
      <c r="P307" s="458"/>
      <c r="Q307" s="332">
        <v>608.70000000000005</v>
      </c>
      <c r="R307" s="588"/>
      <c r="S307" s="623" t="s">
        <v>610</v>
      </c>
      <c r="T307" s="676">
        <v>46022</v>
      </c>
      <c r="U307" s="758">
        <v>304.21251588407227</v>
      </c>
      <c r="V307" s="912"/>
      <c r="W307" s="755">
        <v>46029</v>
      </c>
      <c r="X307" s="909"/>
      <c r="Y307" s="472"/>
    </row>
    <row r="308" spans="1:25" ht="14.25" customHeight="1" x14ac:dyDescent="0.2">
      <c r="B308" s="329"/>
      <c r="C308" s="330"/>
      <c r="D308" s="330"/>
      <c r="E308" s="331"/>
      <c r="F308" s="458"/>
      <c r="G308" s="332"/>
      <c r="H308" s="572"/>
      <c r="I308" s="906"/>
      <c r="J308" s="906"/>
      <c r="K308" s="261"/>
      <c r="L308" s="329">
        <v>10</v>
      </c>
      <c r="M308" s="422" t="s">
        <v>538</v>
      </c>
      <c r="N308" s="834" t="s">
        <v>611</v>
      </c>
      <c r="O308" s="553"/>
      <c r="P308" s="458"/>
      <c r="Q308" s="332">
        <v>1826.1</v>
      </c>
      <c r="R308" s="588"/>
      <c r="S308" s="623" t="s">
        <v>612</v>
      </c>
      <c r="T308" s="754">
        <v>46053</v>
      </c>
      <c r="U308" s="507">
        <v>0</v>
      </c>
      <c r="V308" s="912"/>
      <c r="W308" s="533">
        <v>46058</v>
      </c>
      <c r="X308" s="909"/>
      <c r="Y308" s="472"/>
    </row>
    <row r="309" spans="1:25" ht="14.25" customHeight="1" x14ac:dyDescent="0.2">
      <c r="B309" s="329"/>
      <c r="C309" s="330"/>
      <c r="D309" s="330"/>
      <c r="E309" s="331"/>
      <c r="F309" s="458"/>
      <c r="G309" s="332"/>
      <c r="H309" s="572"/>
      <c r="I309" s="906"/>
      <c r="J309" s="906"/>
      <c r="K309" s="261"/>
      <c r="L309" s="329">
        <v>10</v>
      </c>
      <c r="M309" s="422" t="s">
        <v>538</v>
      </c>
      <c r="N309" s="330" t="s">
        <v>611</v>
      </c>
      <c r="O309" s="553"/>
      <c r="P309" s="458"/>
      <c r="Q309" s="332">
        <v>913.05</v>
      </c>
      <c r="R309" s="588"/>
      <c r="S309" s="623" t="s">
        <v>613</v>
      </c>
      <c r="T309" s="754">
        <v>46053</v>
      </c>
      <c r="U309" s="507">
        <v>0</v>
      </c>
      <c r="V309" s="912"/>
      <c r="W309" s="533">
        <v>46058</v>
      </c>
      <c r="X309" s="909"/>
      <c r="Y309" s="472"/>
    </row>
    <row r="310" spans="1:25" ht="14.25" customHeight="1" x14ac:dyDescent="0.2">
      <c r="B310" s="329"/>
      <c r="C310" s="330"/>
      <c r="D310" s="330"/>
      <c r="E310" s="331"/>
      <c r="F310" s="458"/>
      <c r="G310" s="332"/>
      <c r="H310" s="572"/>
      <c r="I310" s="906"/>
      <c r="J310" s="906"/>
      <c r="K310" s="261"/>
      <c r="L310" s="329">
        <v>10</v>
      </c>
      <c r="M310" s="422" t="s">
        <v>538</v>
      </c>
      <c r="N310" s="330" t="s">
        <v>614</v>
      </c>
      <c r="O310" s="553"/>
      <c r="P310" s="458"/>
      <c r="Q310" s="332">
        <v>2434.7800000000002</v>
      </c>
      <c r="R310" s="588"/>
      <c r="S310" s="623" t="s">
        <v>615</v>
      </c>
      <c r="T310" s="676">
        <v>46081</v>
      </c>
      <c r="U310" s="507">
        <v>0</v>
      </c>
      <c r="V310" s="912"/>
      <c r="W310" s="572">
        <v>46088</v>
      </c>
      <c r="X310" s="909"/>
      <c r="Y310" s="472"/>
    </row>
    <row r="311" spans="1:25" ht="14.25" customHeight="1" x14ac:dyDescent="0.2">
      <c r="B311" s="329"/>
      <c r="C311" s="330"/>
      <c r="D311" s="330"/>
      <c r="E311" s="331"/>
      <c r="F311" s="458"/>
      <c r="G311" s="332"/>
      <c r="H311" s="572"/>
      <c r="I311" s="906"/>
      <c r="J311" s="906"/>
      <c r="K311" s="261"/>
      <c r="L311" s="329">
        <v>10</v>
      </c>
      <c r="M311" s="422" t="s">
        <v>538</v>
      </c>
      <c r="N311" s="330" t="s">
        <v>614</v>
      </c>
      <c r="O311" s="553"/>
      <c r="P311" s="458"/>
      <c r="Q311" s="332">
        <v>1217.3900000000001</v>
      </c>
      <c r="R311" s="588"/>
      <c r="S311" s="623" t="s">
        <v>616</v>
      </c>
      <c r="T311" s="676">
        <v>46081</v>
      </c>
      <c r="U311" s="507">
        <v>0</v>
      </c>
      <c r="V311" s="912"/>
      <c r="W311" s="572">
        <v>46088</v>
      </c>
      <c r="X311" s="909"/>
      <c r="Y311" s="472"/>
    </row>
    <row r="312" spans="1:25" ht="14.25" customHeight="1" x14ac:dyDescent="0.2">
      <c r="B312" s="329">
        <v>10</v>
      </c>
      <c r="C312" s="330"/>
      <c r="D312" s="330"/>
      <c r="E312" s="331"/>
      <c r="F312" s="458"/>
      <c r="G312" s="332"/>
      <c r="H312" s="572"/>
      <c r="I312" s="906"/>
      <c r="J312" s="906"/>
      <c r="K312" s="261"/>
      <c r="L312" s="329">
        <v>10</v>
      </c>
      <c r="M312" s="422" t="s">
        <v>538</v>
      </c>
      <c r="N312" s="330"/>
      <c r="O312" s="553"/>
      <c r="P312" s="458"/>
      <c r="Q312" s="332"/>
      <c r="R312" s="588"/>
      <c r="S312" s="623"/>
      <c r="T312" s="521"/>
      <c r="U312" s="507">
        <f t="shared" ref="U312:U313" si="29">(Q312/$X$254*$J$254)</f>
        <v>0</v>
      </c>
      <c r="V312" s="912"/>
      <c r="W312" s="572"/>
      <c r="X312" s="909"/>
      <c r="Y312" s="472"/>
    </row>
    <row r="313" spans="1:25" ht="15" customHeight="1" thickBot="1" x14ac:dyDescent="0.25">
      <c r="B313" s="262">
        <v>10</v>
      </c>
      <c r="C313" s="333"/>
      <c r="D313" s="333"/>
      <c r="E313" s="334"/>
      <c r="F313" s="459"/>
      <c r="G313" s="263"/>
      <c r="H313" s="573"/>
      <c r="I313" s="907"/>
      <c r="J313" s="907"/>
      <c r="K313" s="264"/>
      <c r="L313" s="329">
        <v>10</v>
      </c>
      <c r="M313" s="423" t="s">
        <v>538</v>
      </c>
      <c r="N313" s="333"/>
      <c r="O313" s="554"/>
      <c r="P313" s="459"/>
      <c r="Q313" s="263"/>
      <c r="R313" s="589"/>
      <c r="S313" s="624"/>
      <c r="T313" s="522" t="str">
        <f t="shared" si="21"/>
        <v/>
      </c>
      <c r="U313" s="507">
        <f t="shared" si="29"/>
        <v>0</v>
      </c>
      <c r="V313" s="913"/>
      <c r="W313" s="573"/>
      <c r="X313" s="910"/>
      <c r="Y313" s="472"/>
    </row>
    <row r="314" spans="1:25" ht="15" thickBot="1" x14ac:dyDescent="0.25">
      <c r="A314" s="24"/>
      <c r="B314" s="265"/>
      <c r="C314" s="266"/>
      <c r="D314" s="266"/>
      <c r="E314" s="280"/>
      <c r="F314" s="443"/>
      <c r="G314" s="268"/>
      <c r="H314" s="563"/>
      <c r="I314" s="269"/>
      <c r="J314" s="391"/>
      <c r="K314" s="24"/>
      <c r="L314" s="265"/>
      <c r="M314" s="266"/>
      <c r="N314" s="266"/>
      <c r="O314" s="543"/>
      <c r="P314" s="443"/>
      <c r="Q314" s="268"/>
      <c r="R314" s="582"/>
      <c r="S314" s="617"/>
      <c r="T314" s="512" t="str">
        <f t="shared" si="21"/>
        <v/>
      </c>
      <c r="U314" s="496"/>
      <c r="V314" s="484"/>
      <c r="W314" s="563"/>
      <c r="X314" s="339"/>
      <c r="Y314" s="472"/>
    </row>
    <row r="315" spans="1:25" ht="14.25" customHeight="1" x14ac:dyDescent="0.2">
      <c r="B315" s="270">
        <v>11</v>
      </c>
      <c r="C315" s="271" t="s">
        <v>617</v>
      </c>
      <c r="D315" s="340" t="s">
        <v>618</v>
      </c>
      <c r="E315" s="272"/>
      <c r="F315" s="424"/>
      <c r="G315" s="273">
        <v>300000</v>
      </c>
      <c r="H315" s="567">
        <v>45991</v>
      </c>
      <c r="I315" s="875">
        <f>SUM(G315:G328)</f>
        <v>420000</v>
      </c>
      <c r="J315" s="875">
        <f>F425</f>
        <v>494117.64705882355</v>
      </c>
      <c r="K315" s="274"/>
      <c r="L315" s="270">
        <v>11</v>
      </c>
      <c r="M315" s="340" t="s">
        <v>619</v>
      </c>
      <c r="N315" s="340" t="s">
        <v>618</v>
      </c>
      <c r="O315" s="272"/>
      <c r="P315" s="424"/>
      <c r="Q315" s="273">
        <v>0</v>
      </c>
      <c r="R315" s="581"/>
      <c r="S315" s="616"/>
      <c r="T315" s="516">
        <v>46081</v>
      </c>
      <c r="U315" s="501">
        <f>(Q315/$X$315*$J$315)-4171.27+2311.1+2367.25</f>
        <v>507.07999999999947</v>
      </c>
      <c r="V315" s="878">
        <f>J315-SUM(U315:U328)</f>
        <v>151363.54601522174</v>
      </c>
      <c r="W315" s="567">
        <v>46112</v>
      </c>
      <c r="X315" s="865">
        <f>SUM(Q315:Q328)</f>
        <v>426656</v>
      </c>
      <c r="Y315" s="472"/>
    </row>
    <row r="316" spans="1:25" ht="14.25" customHeight="1" x14ac:dyDescent="0.2">
      <c r="B316" s="275"/>
      <c r="C316" s="276"/>
      <c r="D316" s="763"/>
      <c r="E316" s="438"/>
      <c r="F316" s="439"/>
      <c r="G316" s="764"/>
      <c r="H316" s="567"/>
      <c r="I316" s="876"/>
      <c r="J316" s="876"/>
      <c r="K316" s="277"/>
      <c r="L316" s="300">
        <v>11</v>
      </c>
      <c r="M316" s="378" t="s">
        <v>619</v>
      </c>
      <c r="N316" s="829" t="s">
        <v>620</v>
      </c>
      <c r="O316" s="438"/>
      <c r="P316" s="439"/>
      <c r="Q316" s="764">
        <v>35600</v>
      </c>
      <c r="R316" s="581" t="s">
        <v>621</v>
      </c>
      <c r="S316" s="616" t="s">
        <v>622</v>
      </c>
      <c r="T316" s="673">
        <v>46081</v>
      </c>
      <c r="U316" s="501">
        <f t="shared" ref="U316" si="30">(Q316/$X$315*$J$315)-4171.27+2311.1+2367.25</f>
        <v>41736.051900768107</v>
      </c>
      <c r="V316" s="879"/>
      <c r="W316" s="836">
        <v>46079</v>
      </c>
      <c r="X316" s="866"/>
      <c r="Y316" s="472"/>
    </row>
    <row r="317" spans="1:25" ht="14.25" customHeight="1" x14ac:dyDescent="0.2">
      <c r="B317" s="275"/>
      <c r="C317" s="276"/>
      <c r="D317" s="763"/>
      <c r="E317" s="438"/>
      <c r="F317" s="439"/>
      <c r="G317" s="764"/>
      <c r="H317" s="567"/>
      <c r="I317" s="876"/>
      <c r="J317" s="876"/>
      <c r="K317" s="277"/>
      <c r="L317" s="300">
        <v>11</v>
      </c>
      <c r="M317" s="378" t="s">
        <v>619</v>
      </c>
      <c r="N317" s="763" t="s">
        <v>623</v>
      </c>
      <c r="O317" s="438"/>
      <c r="P317" s="439"/>
      <c r="Q317" s="764">
        <v>28400</v>
      </c>
      <c r="R317" s="581" t="s">
        <v>624</v>
      </c>
      <c r="S317" s="616" t="s">
        <v>625</v>
      </c>
      <c r="T317" s="780">
        <v>45991</v>
      </c>
      <c r="U317" s="803">
        <v>21812.49766334868</v>
      </c>
      <c r="V317" s="879"/>
      <c r="W317" s="817">
        <v>45995</v>
      </c>
      <c r="X317" s="866"/>
      <c r="Y317" s="472"/>
    </row>
    <row r="318" spans="1:25" ht="14.25" customHeight="1" x14ac:dyDescent="0.2">
      <c r="B318" s="275"/>
      <c r="C318" s="276"/>
      <c r="D318" s="763"/>
      <c r="E318" s="438"/>
      <c r="F318" s="439"/>
      <c r="G318" s="764"/>
      <c r="H318" s="567"/>
      <c r="I318" s="876"/>
      <c r="J318" s="876"/>
      <c r="K318" s="277"/>
      <c r="L318" s="300">
        <v>11</v>
      </c>
      <c r="M318" s="378" t="s">
        <v>619</v>
      </c>
      <c r="N318" s="763"/>
      <c r="O318" s="438"/>
      <c r="P318" s="439"/>
      <c r="Q318" s="764"/>
      <c r="R318" s="581"/>
      <c r="S318" s="616"/>
      <c r="T318" s="516"/>
      <c r="U318" s="501"/>
      <c r="V318" s="879"/>
      <c r="W318" s="567"/>
      <c r="X318" s="866"/>
      <c r="Y318" s="472"/>
    </row>
    <row r="319" spans="1:25" ht="14.25" customHeight="1" x14ac:dyDescent="0.2">
      <c r="B319" s="275"/>
      <c r="C319" s="276"/>
      <c r="D319" s="763"/>
      <c r="E319" s="438"/>
      <c r="F319" s="439"/>
      <c r="G319" s="764"/>
      <c r="H319" s="567"/>
      <c r="I319" s="876"/>
      <c r="J319" s="876"/>
      <c r="K319" s="277"/>
      <c r="L319" s="300">
        <v>11</v>
      </c>
      <c r="M319" s="378" t="s">
        <v>619</v>
      </c>
      <c r="N319" s="763"/>
      <c r="O319" s="438"/>
      <c r="P319" s="439"/>
      <c r="Q319" s="764"/>
      <c r="R319" s="581"/>
      <c r="S319" s="616"/>
      <c r="T319" s="673">
        <v>46053</v>
      </c>
      <c r="U319" s="501"/>
      <c r="V319" s="879"/>
      <c r="W319" s="836">
        <v>46053</v>
      </c>
      <c r="X319" s="866"/>
      <c r="Y319" s="472"/>
    </row>
    <row r="320" spans="1:25" ht="14.25" customHeight="1" x14ac:dyDescent="0.2">
      <c r="B320" s="275"/>
      <c r="C320" s="276"/>
      <c r="D320" s="763"/>
      <c r="E320" s="438"/>
      <c r="F320" s="439"/>
      <c r="G320" s="764"/>
      <c r="H320" s="567"/>
      <c r="I320" s="876"/>
      <c r="J320" s="876"/>
      <c r="K320" s="277"/>
      <c r="L320" s="300">
        <v>11</v>
      </c>
      <c r="M320" s="378" t="s">
        <v>619</v>
      </c>
      <c r="N320" s="763"/>
      <c r="O320" s="438"/>
      <c r="P320" s="439"/>
      <c r="Q320" s="764"/>
      <c r="R320" s="581"/>
      <c r="S320" s="616"/>
      <c r="T320" s="516"/>
      <c r="U320" s="501"/>
      <c r="V320" s="879"/>
      <c r="W320" s="567"/>
      <c r="X320" s="866"/>
      <c r="Y320" s="472"/>
    </row>
    <row r="321" spans="1:25" ht="14.25" customHeight="1" x14ac:dyDescent="0.2">
      <c r="B321" s="275"/>
      <c r="C321" s="276"/>
      <c r="D321" s="763"/>
      <c r="E321" s="438"/>
      <c r="F321" s="439"/>
      <c r="G321" s="764"/>
      <c r="H321" s="567"/>
      <c r="I321" s="876"/>
      <c r="J321" s="876"/>
      <c r="K321" s="277"/>
      <c r="L321" s="300">
        <v>11</v>
      </c>
      <c r="M321" s="378" t="s">
        <v>619</v>
      </c>
      <c r="N321" s="763"/>
      <c r="O321" s="438"/>
      <c r="P321" s="439"/>
      <c r="Q321" s="764"/>
      <c r="R321" s="581"/>
      <c r="S321" s="616"/>
      <c r="T321" s="516"/>
      <c r="U321" s="501"/>
      <c r="V321" s="879"/>
      <c r="W321" s="567"/>
      <c r="X321" s="866"/>
      <c r="Y321" s="472"/>
    </row>
    <row r="322" spans="1:25" ht="15" customHeight="1" x14ac:dyDescent="0.2">
      <c r="B322" s="300">
        <v>11</v>
      </c>
      <c r="C322" s="302"/>
      <c r="D322" s="302" t="s">
        <v>626</v>
      </c>
      <c r="E322" s="303"/>
      <c r="F322" s="446"/>
      <c r="G322" s="304">
        <v>40000</v>
      </c>
      <c r="H322" s="524">
        <v>45841</v>
      </c>
      <c r="I322" s="876"/>
      <c r="J322" s="876"/>
      <c r="K322" s="277"/>
      <c r="L322" s="300">
        <v>11</v>
      </c>
      <c r="M322" s="378" t="s">
        <v>619</v>
      </c>
      <c r="N322" s="302" t="s">
        <v>626</v>
      </c>
      <c r="O322" s="303"/>
      <c r="P322" s="446"/>
      <c r="Q322" s="304">
        <v>10400</v>
      </c>
      <c r="R322" s="574" t="s">
        <v>627</v>
      </c>
      <c r="S322" s="609" t="s">
        <v>628</v>
      </c>
      <c r="T322" s="677">
        <v>45838</v>
      </c>
      <c r="U322" s="679">
        <v>12174.422007609013</v>
      </c>
      <c r="V322" s="879"/>
      <c r="W322" s="524">
        <v>45841</v>
      </c>
      <c r="X322" s="866"/>
      <c r="Y322" s="472"/>
    </row>
    <row r="323" spans="1:25" ht="15" customHeight="1" x14ac:dyDescent="0.2">
      <c r="B323" s="300">
        <v>11</v>
      </c>
      <c r="C323" s="302"/>
      <c r="D323" s="302" t="s">
        <v>629</v>
      </c>
      <c r="E323" s="303"/>
      <c r="F323" s="446"/>
      <c r="G323" s="304">
        <v>80000</v>
      </c>
      <c r="H323" s="524">
        <v>45841</v>
      </c>
      <c r="I323" s="876"/>
      <c r="J323" s="876"/>
      <c r="K323" s="277"/>
      <c r="L323" s="300">
        <v>11</v>
      </c>
      <c r="M323" s="378" t="s">
        <v>619</v>
      </c>
      <c r="N323" s="302" t="s">
        <v>629</v>
      </c>
      <c r="O323" s="303"/>
      <c r="P323" s="446"/>
      <c r="Q323" s="304">
        <v>79700</v>
      </c>
      <c r="R323" s="574" t="s">
        <v>630</v>
      </c>
      <c r="S323" s="609" t="s">
        <v>631</v>
      </c>
      <c r="T323" s="674">
        <v>45961</v>
      </c>
      <c r="U323" s="757">
        <v>58776.043794679215</v>
      </c>
      <c r="V323" s="879"/>
      <c r="W323" s="756">
        <v>46031</v>
      </c>
      <c r="X323" s="866"/>
      <c r="Y323" s="472"/>
    </row>
    <row r="324" spans="1:25" ht="15" customHeight="1" x14ac:dyDescent="0.2">
      <c r="B324" s="300">
        <v>11</v>
      </c>
      <c r="C324" s="376"/>
      <c r="D324" s="376"/>
      <c r="E324" s="395"/>
      <c r="F324" s="431"/>
      <c r="G324" s="375"/>
      <c r="H324" s="561"/>
      <c r="I324" s="876"/>
      <c r="J324" s="876"/>
      <c r="K324" s="277"/>
      <c r="L324" s="300">
        <v>11</v>
      </c>
      <c r="M324" s="378" t="s">
        <v>619</v>
      </c>
      <c r="N324" s="376" t="s">
        <v>632</v>
      </c>
      <c r="O324" s="395"/>
      <c r="P324" s="431"/>
      <c r="Q324" s="375">
        <v>252556</v>
      </c>
      <c r="R324" s="628" t="s">
        <v>633</v>
      </c>
      <c r="S324" s="610" t="s">
        <v>634</v>
      </c>
      <c r="T324" s="674">
        <v>45869</v>
      </c>
      <c r="U324" s="679">
        <v>184585.6619127203</v>
      </c>
      <c r="V324" s="879"/>
      <c r="W324" s="561">
        <v>46112</v>
      </c>
      <c r="X324" s="866"/>
      <c r="Y324" s="472"/>
    </row>
    <row r="325" spans="1:25" ht="15" customHeight="1" x14ac:dyDescent="0.2">
      <c r="B325" s="372"/>
      <c r="C325" s="376"/>
      <c r="D325" s="376"/>
      <c r="E325" s="395"/>
      <c r="F325" s="431"/>
      <c r="G325" s="375"/>
      <c r="H325" s="561"/>
      <c r="I325" s="876"/>
      <c r="J325" s="876"/>
      <c r="K325" s="277"/>
      <c r="L325" s="300">
        <v>11</v>
      </c>
      <c r="M325" s="378" t="s">
        <v>619</v>
      </c>
      <c r="N325" s="376"/>
      <c r="O325" s="395"/>
      <c r="P325" s="431"/>
      <c r="Q325" s="375"/>
      <c r="R325" s="628"/>
      <c r="S325" s="610"/>
      <c r="T325" s="510"/>
      <c r="U325" s="493">
        <f>(Q325/$X$315*$J$315)</f>
        <v>0</v>
      </c>
      <c r="V325" s="879"/>
      <c r="W325" s="561"/>
      <c r="X325" s="866"/>
      <c r="Y325" s="472"/>
    </row>
    <row r="326" spans="1:25" ht="15" customHeight="1" x14ac:dyDescent="0.2">
      <c r="B326" s="372"/>
      <c r="C326" s="376"/>
      <c r="D326" s="376"/>
      <c r="E326" s="395"/>
      <c r="F326" s="431"/>
      <c r="G326" s="375"/>
      <c r="H326" s="561"/>
      <c r="I326" s="876"/>
      <c r="J326" s="876"/>
      <c r="K326" s="277"/>
      <c r="L326" s="300">
        <v>11</v>
      </c>
      <c r="M326" s="378" t="s">
        <v>619</v>
      </c>
      <c r="N326" s="376"/>
      <c r="O326" s="395"/>
      <c r="P326" s="431"/>
      <c r="Q326" s="375"/>
      <c r="R326" s="628"/>
      <c r="S326" s="610"/>
      <c r="T326" s="510"/>
      <c r="U326" s="493">
        <f>(Q326/$X$315*$J$315)</f>
        <v>0</v>
      </c>
      <c r="V326" s="879"/>
      <c r="W326" s="561"/>
      <c r="X326" s="866"/>
      <c r="Y326" s="472"/>
    </row>
    <row r="327" spans="1:25" ht="15" customHeight="1" x14ac:dyDescent="0.2">
      <c r="B327" s="372"/>
      <c r="C327" s="376"/>
      <c r="D327" s="376"/>
      <c r="E327" s="395"/>
      <c r="F327" s="431"/>
      <c r="G327" s="375"/>
      <c r="H327" s="561"/>
      <c r="I327" s="876"/>
      <c r="J327" s="876"/>
      <c r="K327" s="277"/>
      <c r="L327" s="300">
        <v>11</v>
      </c>
      <c r="M327" s="378" t="s">
        <v>619</v>
      </c>
      <c r="N327" s="376" t="s">
        <v>635</v>
      </c>
      <c r="O327" s="395"/>
      <c r="P327" s="431"/>
      <c r="Q327" s="375">
        <v>10000</v>
      </c>
      <c r="R327" s="628"/>
      <c r="S327" s="610" t="s">
        <v>636</v>
      </c>
      <c r="T327" s="670">
        <v>46081</v>
      </c>
      <c r="U327" s="493">
        <f>(Q327/$X$315*$J$315)</f>
        <v>11581.171882238234</v>
      </c>
      <c r="V327" s="879"/>
      <c r="W327" s="561">
        <v>46112</v>
      </c>
      <c r="X327" s="866"/>
      <c r="Y327" s="472"/>
    </row>
    <row r="328" spans="1:25" ht="15" customHeight="1" thickBot="1" x14ac:dyDescent="0.25">
      <c r="B328" s="305">
        <v>11</v>
      </c>
      <c r="C328" s="306"/>
      <c r="D328" s="306"/>
      <c r="E328" s="307"/>
      <c r="F328" s="447"/>
      <c r="G328" s="319"/>
      <c r="H328" s="562"/>
      <c r="I328" s="877"/>
      <c r="J328" s="877"/>
      <c r="K328" s="278"/>
      <c r="L328" s="305">
        <v>11</v>
      </c>
      <c r="M328" s="407" t="s">
        <v>619</v>
      </c>
      <c r="N328" s="306" t="s">
        <v>637</v>
      </c>
      <c r="O328" s="542"/>
      <c r="P328" s="447"/>
      <c r="Q328" s="319">
        <v>10000</v>
      </c>
      <c r="R328" s="576"/>
      <c r="S328" s="611" t="s">
        <v>636</v>
      </c>
      <c r="T328" s="707">
        <v>46081</v>
      </c>
      <c r="U328" s="495">
        <f>(Q328/$X$315*$J$315)</f>
        <v>11581.171882238234</v>
      </c>
      <c r="V328" s="880"/>
      <c r="W328" s="562">
        <v>46112</v>
      </c>
      <c r="X328" s="867"/>
      <c r="Y328" s="472"/>
    </row>
    <row r="329" spans="1:25" ht="15" customHeight="1" thickBot="1" x14ac:dyDescent="0.25">
      <c r="A329" s="24"/>
      <c r="B329" s="279"/>
      <c r="C329" s="266"/>
      <c r="D329" s="266"/>
      <c r="E329" s="280"/>
      <c r="F329" s="443"/>
      <c r="G329" s="281"/>
      <c r="H329" s="563"/>
      <c r="I329" s="269"/>
      <c r="J329" s="269"/>
      <c r="K329" s="24"/>
      <c r="L329" s="279"/>
      <c r="M329" s="266"/>
      <c r="N329" s="266"/>
      <c r="O329" s="543"/>
      <c r="P329" s="443"/>
      <c r="Q329" s="281"/>
      <c r="R329" s="577"/>
      <c r="S329" s="612"/>
      <c r="T329" s="512" t="str">
        <f t="shared" si="21"/>
        <v/>
      </c>
      <c r="U329" s="500"/>
      <c r="V329" s="483"/>
      <c r="W329" s="563"/>
      <c r="X329" s="339"/>
      <c r="Y329" s="472"/>
    </row>
    <row r="330" spans="1:25" x14ac:dyDescent="0.2">
      <c r="B330" s="258">
        <v>12</v>
      </c>
      <c r="C330" s="259" t="s">
        <v>638</v>
      </c>
      <c r="D330" s="259"/>
      <c r="E330" s="260"/>
      <c r="F330" s="457"/>
      <c r="G330" s="327"/>
      <c r="H330" s="570"/>
      <c r="I330" s="905">
        <f>SUM(G330:G331)</f>
        <v>205449.89057158865</v>
      </c>
      <c r="J330" s="905">
        <v>0</v>
      </c>
      <c r="K330" s="462"/>
      <c r="L330" s="258">
        <v>12</v>
      </c>
      <c r="M330" s="259" t="s">
        <v>639</v>
      </c>
      <c r="N330" s="259"/>
      <c r="O330" s="552"/>
      <c r="P330" s="457"/>
      <c r="Q330" s="327"/>
      <c r="R330" s="586"/>
      <c r="S330" s="621"/>
      <c r="T330" s="520" t="str">
        <f t="shared" si="21"/>
        <v/>
      </c>
      <c r="U330" s="505"/>
      <c r="V330" s="482"/>
      <c r="W330" s="570"/>
      <c r="X330" s="908">
        <f>SUM(Q330:Q331)</f>
        <v>0</v>
      </c>
      <c r="Y330" s="472"/>
    </row>
    <row r="331" spans="1:25" ht="15" customHeight="1" thickBot="1" x14ac:dyDescent="0.25">
      <c r="B331" s="262">
        <v>12</v>
      </c>
      <c r="C331" s="333" t="s">
        <v>638</v>
      </c>
      <c r="D331" s="333" t="s">
        <v>640</v>
      </c>
      <c r="E331" s="334"/>
      <c r="F331" s="459"/>
      <c r="G331" s="263">
        <v>205449.89057158865</v>
      </c>
      <c r="H331" s="573">
        <f>H315</f>
        <v>45991</v>
      </c>
      <c r="I331" s="907"/>
      <c r="J331" s="907"/>
      <c r="K331" s="463"/>
      <c r="L331" s="262">
        <v>12</v>
      </c>
      <c r="M331" s="333" t="s">
        <v>639</v>
      </c>
      <c r="N331" s="333" t="s">
        <v>640</v>
      </c>
      <c r="O331" s="554"/>
      <c r="P331" s="459"/>
      <c r="Q331" s="263">
        <v>0</v>
      </c>
      <c r="R331" s="589"/>
      <c r="S331" s="624"/>
      <c r="T331" s="522" t="str">
        <f t="shared" si="21"/>
        <v/>
      </c>
      <c r="U331" s="508"/>
      <c r="V331" s="481"/>
      <c r="W331" s="573"/>
      <c r="X331" s="910"/>
      <c r="Y331" s="472"/>
    </row>
    <row r="332" spans="1:25" ht="16.5" thickBot="1" x14ac:dyDescent="0.25">
      <c r="A332" s="24"/>
      <c r="B332" s="279"/>
      <c r="C332" s="266"/>
      <c r="D332" s="266"/>
      <c r="E332" s="280"/>
      <c r="F332" s="443"/>
      <c r="G332" s="281"/>
      <c r="H332" s="563"/>
      <c r="I332" s="315"/>
      <c r="J332" s="315"/>
      <c r="K332" s="24"/>
      <c r="L332" s="279"/>
      <c r="M332" s="266"/>
      <c r="N332" s="266"/>
      <c r="O332" s="543"/>
      <c r="P332" s="443"/>
      <c r="Q332" s="281"/>
      <c r="R332" s="577"/>
      <c r="S332" s="612"/>
      <c r="T332" s="512" t="str">
        <f t="shared" si="21"/>
        <v/>
      </c>
      <c r="U332" s="500"/>
      <c r="V332" s="483"/>
      <c r="W332" s="563"/>
      <c r="X332" s="473"/>
      <c r="Y332" s="472"/>
    </row>
    <row r="333" spans="1:25" ht="15.75" customHeight="1" x14ac:dyDescent="0.3">
      <c r="B333" s="270">
        <v>13</v>
      </c>
      <c r="C333" s="271" t="s">
        <v>641</v>
      </c>
      <c r="D333" s="340" t="s">
        <v>642</v>
      </c>
      <c r="E333" s="272"/>
      <c r="F333" s="424"/>
      <c r="G333" s="273">
        <v>950000</v>
      </c>
      <c r="H333" s="567">
        <v>46022</v>
      </c>
      <c r="I333" s="875">
        <f>SUM(G333:G348)</f>
        <v>950000</v>
      </c>
      <c r="J333" s="875">
        <f>F424</f>
        <v>1079545.4545454546</v>
      </c>
      <c r="K333" s="274"/>
      <c r="L333" s="270">
        <v>13</v>
      </c>
      <c r="M333" s="340" t="s">
        <v>643</v>
      </c>
      <c r="N333" s="340" t="s">
        <v>644</v>
      </c>
      <c r="O333" s="539"/>
      <c r="P333" s="424"/>
      <c r="Q333" s="273">
        <f>985688/12</f>
        <v>82140.666666666672</v>
      </c>
      <c r="R333" s="838"/>
      <c r="S333" s="616" t="s">
        <v>645</v>
      </c>
      <c r="T333" s="673">
        <v>46081</v>
      </c>
      <c r="U333" s="501">
        <v>86896.76</v>
      </c>
      <c r="V333" s="878">
        <f>J333-SUM(U333:U355)</f>
        <v>-3.1437885481864214E-3</v>
      </c>
      <c r="W333" s="567">
        <v>46112</v>
      </c>
      <c r="X333" s="865">
        <f>SUM(Q333:Q355)</f>
        <v>1011274.9999999999</v>
      </c>
      <c r="Y333" s="472"/>
    </row>
    <row r="334" spans="1:25" ht="15.75" customHeight="1" x14ac:dyDescent="0.3">
      <c r="B334" s="275"/>
      <c r="C334" s="276"/>
      <c r="D334" s="763"/>
      <c r="E334" s="438"/>
      <c r="F334" s="439"/>
      <c r="G334" s="764"/>
      <c r="H334" s="567"/>
      <c r="I334" s="876"/>
      <c r="J334" s="876"/>
      <c r="K334" s="277"/>
      <c r="L334" s="275">
        <v>13</v>
      </c>
      <c r="M334" s="763" t="s">
        <v>643</v>
      </c>
      <c r="N334" s="763" t="s">
        <v>644</v>
      </c>
      <c r="O334" s="547"/>
      <c r="P334" s="439"/>
      <c r="Q334" s="764">
        <v>82140.666666666672</v>
      </c>
      <c r="R334" s="838"/>
      <c r="S334" s="616" t="s">
        <v>645</v>
      </c>
      <c r="T334" s="673">
        <v>46081</v>
      </c>
      <c r="U334" s="501">
        <v>86896.76</v>
      </c>
      <c r="V334" s="879"/>
      <c r="W334" s="567">
        <v>46142</v>
      </c>
      <c r="X334" s="866"/>
      <c r="Y334" s="472"/>
    </row>
    <row r="335" spans="1:25" ht="15.75" customHeight="1" x14ac:dyDescent="0.3">
      <c r="B335" s="275"/>
      <c r="C335" s="276"/>
      <c r="D335" s="763"/>
      <c r="E335" s="438"/>
      <c r="F335" s="439"/>
      <c r="G335" s="764"/>
      <c r="H335" s="567"/>
      <c r="I335" s="876"/>
      <c r="J335" s="876"/>
      <c r="K335" s="277"/>
      <c r="L335" s="275">
        <v>13</v>
      </c>
      <c r="M335" s="763" t="s">
        <v>643</v>
      </c>
      <c r="N335" s="763" t="s">
        <v>644</v>
      </c>
      <c r="O335" s="547"/>
      <c r="P335" s="439"/>
      <c r="Q335" s="764">
        <v>82140.666666666672</v>
      </c>
      <c r="R335" s="838"/>
      <c r="S335" s="616" t="s">
        <v>645</v>
      </c>
      <c r="T335" s="673">
        <v>46081</v>
      </c>
      <c r="U335" s="501">
        <v>86896.76</v>
      </c>
      <c r="V335" s="879"/>
      <c r="W335" s="567">
        <v>46173</v>
      </c>
      <c r="X335" s="866"/>
      <c r="Y335" s="472"/>
    </row>
    <row r="336" spans="1:25" ht="15.75" customHeight="1" x14ac:dyDescent="0.3">
      <c r="B336" s="275"/>
      <c r="C336" s="276"/>
      <c r="D336" s="763"/>
      <c r="E336" s="438"/>
      <c r="F336" s="439"/>
      <c r="G336" s="764"/>
      <c r="H336" s="567"/>
      <c r="I336" s="876"/>
      <c r="J336" s="876"/>
      <c r="K336" s="277"/>
      <c r="L336" s="275">
        <v>13</v>
      </c>
      <c r="M336" s="763" t="s">
        <v>643</v>
      </c>
      <c r="N336" s="763" t="s">
        <v>644</v>
      </c>
      <c r="O336" s="547"/>
      <c r="P336" s="439"/>
      <c r="Q336" s="764">
        <v>82140.666666666672</v>
      </c>
      <c r="R336" s="838"/>
      <c r="S336" s="616" t="s">
        <v>645</v>
      </c>
      <c r="T336" s="673">
        <v>46081</v>
      </c>
      <c r="U336" s="501">
        <v>86896.76</v>
      </c>
      <c r="V336" s="879"/>
      <c r="W336" s="567">
        <v>46203</v>
      </c>
      <c r="X336" s="866"/>
      <c r="Y336" s="472"/>
    </row>
    <row r="337" spans="2:25" ht="15.75" customHeight="1" x14ac:dyDescent="0.3">
      <c r="B337" s="275"/>
      <c r="C337" s="276"/>
      <c r="D337" s="763"/>
      <c r="E337" s="438"/>
      <c r="F337" s="439"/>
      <c r="G337" s="764"/>
      <c r="H337" s="567"/>
      <c r="I337" s="876"/>
      <c r="J337" s="876"/>
      <c r="K337" s="277"/>
      <c r="L337" s="275">
        <v>13</v>
      </c>
      <c r="M337" s="763" t="s">
        <v>643</v>
      </c>
      <c r="N337" s="763" t="s">
        <v>644</v>
      </c>
      <c r="O337" s="547"/>
      <c r="P337" s="439"/>
      <c r="Q337" s="764">
        <v>82140.666666666672</v>
      </c>
      <c r="R337" s="838"/>
      <c r="S337" s="616" t="s">
        <v>645</v>
      </c>
      <c r="T337" s="673">
        <v>46081</v>
      </c>
      <c r="U337" s="501">
        <v>86896.76</v>
      </c>
      <c r="V337" s="879"/>
      <c r="W337" s="567">
        <v>46234</v>
      </c>
      <c r="X337" s="866"/>
      <c r="Y337" s="472"/>
    </row>
    <row r="338" spans="2:25" ht="15.75" customHeight="1" x14ac:dyDescent="0.3">
      <c r="B338" s="275"/>
      <c r="C338" s="276"/>
      <c r="D338" s="763"/>
      <c r="E338" s="438"/>
      <c r="F338" s="439"/>
      <c r="G338" s="764"/>
      <c r="H338" s="567"/>
      <c r="I338" s="876"/>
      <c r="J338" s="876"/>
      <c r="K338" s="277"/>
      <c r="L338" s="275">
        <v>13</v>
      </c>
      <c r="M338" s="763" t="s">
        <v>643</v>
      </c>
      <c r="N338" s="763" t="s">
        <v>644</v>
      </c>
      <c r="O338" s="547"/>
      <c r="P338" s="439"/>
      <c r="Q338" s="764">
        <v>82140.666666666672</v>
      </c>
      <c r="R338" s="838"/>
      <c r="S338" s="616" t="s">
        <v>645</v>
      </c>
      <c r="T338" s="673">
        <v>46081</v>
      </c>
      <c r="U338" s="501">
        <v>86896.76</v>
      </c>
      <c r="V338" s="879"/>
      <c r="W338" s="567">
        <v>46265</v>
      </c>
      <c r="X338" s="866"/>
      <c r="Y338" s="472"/>
    </row>
    <row r="339" spans="2:25" ht="15.75" customHeight="1" x14ac:dyDescent="0.3">
      <c r="B339" s="275"/>
      <c r="C339" s="276"/>
      <c r="D339" s="763"/>
      <c r="E339" s="438"/>
      <c r="F339" s="439"/>
      <c r="G339" s="764"/>
      <c r="H339" s="567"/>
      <c r="I339" s="876"/>
      <c r="J339" s="876"/>
      <c r="K339" s="277"/>
      <c r="L339" s="275">
        <v>13</v>
      </c>
      <c r="M339" s="763" t="s">
        <v>643</v>
      </c>
      <c r="N339" s="763" t="s">
        <v>644</v>
      </c>
      <c r="O339" s="547"/>
      <c r="P339" s="439"/>
      <c r="Q339" s="764">
        <v>82140.666666666672</v>
      </c>
      <c r="R339" s="838"/>
      <c r="S339" s="616" t="s">
        <v>645</v>
      </c>
      <c r="T339" s="673">
        <v>46081</v>
      </c>
      <c r="U339" s="501">
        <v>86896.76</v>
      </c>
      <c r="V339" s="879"/>
      <c r="W339" s="567">
        <v>46295</v>
      </c>
      <c r="X339" s="866"/>
      <c r="Y339" s="472"/>
    </row>
    <row r="340" spans="2:25" ht="15.75" customHeight="1" x14ac:dyDescent="0.3">
      <c r="B340" s="275"/>
      <c r="C340" s="276"/>
      <c r="D340" s="763"/>
      <c r="E340" s="438"/>
      <c r="F340" s="439"/>
      <c r="G340" s="764"/>
      <c r="H340" s="567"/>
      <c r="I340" s="876"/>
      <c r="J340" s="876"/>
      <c r="K340" s="277"/>
      <c r="L340" s="275">
        <v>13</v>
      </c>
      <c r="M340" s="763" t="s">
        <v>643</v>
      </c>
      <c r="N340" s="763" t="s">
        <v>644</v>
      </c>
      <c r="O340" s="547"/>
      <c r="P340" s="439"/>
      <c r="Q340" s="764">
        <v>82140.666666666672</v>
      </c>
      <c r="R340" s="838"/>
      <c r="S340" s="616" t="s">
        <v>645</v>
      </c>
      <c r="T340" s="673">
        <v>46081</v>
      </c>
      <c r="U340" s="501">
        <v>86896.76</v>
      </c>
      <c r="V340" s="879"/>
      <c r="W340" s="567">
        <v>46326</v>
      </c>
      <c r="X340" s="866"/>
      <c r="Y340" s="472"/>
    </row>
    <row r="341" spans="2:25" ht="15.75" customHeight="1" x14ac:dyDescent="0.3">
      <c r="B341" s="275"/>
      <c r="C341" s="276"/>
      <c r="D341" s="763"/>
      <c r="E341" s="438"/>
      <c r="F341" s="439"/>
      <c r="G341" s="764"/>
      <c r="H341" s="567"/>
      <c r="I341" s="876"/>
      <c r="J341" s="876"/>
      <c r="K341" s="277"/>
      <c r="L341" s="275">
        <v>13</v>
      </c>
      <c r="M341" s="763" t="s">
        <v>643</v>
      </c>
      <c r="N341" s="763" t="s">
        <v>644</v>
      </c>
      <c r="O341" s="547"/>
      <c r="P341" s="439"/>
      <c r="Q341" s="764">
        <v>82140.666666666672</v>
      </c>
      <c r="R341" s="838"/>
      <c r="S341" s="616" t="s">
        <v>645</v>
      </c>
      <c r="T341" s="673">
        <v>46081</v>
      </c>
      <c r="U341" s="501">
        <v>86896.76</v>
      </c>
      <c r="V341" s="879"/>
      <c r="W341" s="567">
        <v>46356</v>
      </c>
      <c r="X341" s="866"/>
      <c r="Y341" s="472"/>
    </row>
    <row r="342" spans="2:25" ht="15.75" customHeight="1" x14ac:dyDescent="0.3">
      <c r="B342" s="275"/>
      <c r="C342" s="276"/>
      <c r="D342" s="763"/>
      <c r="E342" s="438"/>
      <c r="F342" s="439"/>
      <c r="G342" s="764"/>
      <c r="H342" s="567"/>
      <c r="I342" s="876"/>
      <c r="J342" s="876"/>
      <c r="K342" s="277"/>
      <c r="L342" s="275">
        <v>13</v>
      </c>
      <c r="M342" s="763" t="s">
        <v>643</v>
      </c>
      <c r="N342" s="763" t="s">
        <v>644</v>
      </c>
      <c r="O342" s="547"/>
      <c r="P342" s="439"/>
      <c r="Q342" s="764">
        <v>82140.666666666672</v>
      </c>
      <c r="R342" s="838"/>
      <c r="S342" s="616" t="s">
        <v>645</v>
      </c>
      <c r="T342" s="673">
        <v>46081</v>
      </c>
      <c r="U342" s="501">
        <v>86896.76</v>
      </c>
      <c r="V342" s="879"/>
      <c r="W342" s="567">
        <v>46387</v>
      </c>
      <c r="X342" s="866"/>
      <c r="Y342" s="472"/>
    </row>
    <row r="343" spans="2:25" ht="15.75" customHeight="1" x14ac:dyDescent="0.3">
      <c r="B343" s="275"/>
      <c r="C343" s="276"/>
      <c r="D343" s="763"/>
      <c r="E343" s="438"/>
      <c r="F343" s="439"/>
      <c r="G343" s="764"/>
      <c r="H343" s="567"/>
      <c r="I343" s="876"/>
      <c r="J343" s="876"/>
      <c r="K343" s="277"/>
      <c r="L343" s="275">
        <v>13</v>
      </c>
      <c r="M343" s="763" t="s">
        <v>643</v>
      </c>
      <c r="N343" s="763" t="s">
        <v>644</v>
      </c>
      <c r="O343" s="547"/>
      <c r="P343" s="439"/>
      <c r="Q343" s="764">
        <v>82140.666666666672</v>
      </c>
      <c r="R343" s="838"/>
      <c r="S343" s="616" t="s">
        <v>645</v>
      </c>
      <c r="T343" s="673">
        <v>46081</v>
      </c>
      <c r="U343" s="501">
        <v>86896.76</v>
      </c>
      <c r="V343" s="879"/>
      <c r="W343" s="567">
        <v>46418</v>
      </c>
      <c r="X343" s="866"/>
      <c r="Y343" s="472"/>
    </row>
    <row r="344" spans="2:25" ht="15.75" customHeight="1" x14ac:dyDescent="0.3">
      <c r="B344" s="275"/>
      <c r="C344" s="276"/>
      <c r="D344" s="763"/>
      <c r="E344" s="438"/>
      <c r="F344" s="439"/>
      <c r="G344" s="764"/>
      <c r="H344" s="567"/>
      <c r="I344" s="876"/>
      <c r="J344" s="876"/>
      <c r="K344" s="277"/>
      <c r="L344" s="275">
        <v>13</v>
      </c>
      <c r="M344" s="763" t="s">
        <v>643</v>
      </c>
      <c r="N344" s="763" t="s">
        <v>644</v>
      </c>
      <c r="O344" s="547"/>
      <c r="P344" s="439"/>
      <c r="Q344" s="764">
        <v>82140.666666666672</v>
      </c>
      <c r="R344" s="838"/>
      <c r="S344" s="616" t="s">
        <v>645</v>
      </c>
      <c r="T344" s="673">
        <v>46081</v>
      </c>
      <c r="U344" s="501">
        <v>86896.8</v>
      </c>
      <c r="V344" s="879"/>
      <c r="W344" s="567">
        <v>46443</v>
      </c>
      <c r="X344" s="866"/>
      <c r="Y344" s="472"/>
    </row>
    <row r="345" spans="2:25" ht="15.75" customHeight="1" x14ac:dyDescent="0.2">
      <c r="B345" s="300">
        <v>13</v>
      </c>
      <c r="C345" s="302"/>
      <c r="D345" s="302"/>
      <c r="E345" s="303"/>
      <c r="F345" s="446"/>
      <c r="G345" s="304"/>
      <c r="H345" s="524"/>
      <c r="I345" s="876"/>
      <c r="J345" s="876"/>
      <c r="K345" s="277"/>
      <c r="L345" s="300">
        <v>13</v>
      </c>
      <c r="M345" s="378" t="s">
        <v>643</v>
      </c>
      <c r="N345" s="302" t="s">
        <v>646</v>
      </c>
      <c r="O345" s="540"/>
      <c r="P345" s="446"/>
      <c r="Q345" s="304">
        <v>11372</v>
      </c>
      <c r="R345" s="574"/>
      <c r="S345" s="609" t="s">
        <v>647</v>
      </c>
      <c r="T345" s="674">
        <v>45900</v>
      </c>
      <c r="U345" s="679">
        <v>12657.57114292171</v>
      </c>
      <c r="V345" s="879"/>
      <c r="W345" s="524">
        <v>45900</v>
      </c>
      <c r="X345" s="866"/>
      <c r="Y345" s="472"/>
    </row>
    <row r="346" spans="2:25" ht="15.75" customHeight="1" x14ac:dyDescent="0.2">
      <c r="B346" s="300">
        <v>13</v>
      </c>
      <c r="C346" s="302"/>
      <c r="D346" s="302"/>
      <c r="E346" s="303"/>
      <c r="F346" s="446"/>
      <c r="G346" s="304"/>
      <c r="H346" s="560"/>
      <c r="I346" s="876"/>
      <c r="J346" s="876"/>
      <c r="K346" s="277"/>
      <c r="L346" s="300">
        <v>13</v>
      </c>
      <c r="M346" s="378" t="s">
        <v>643</v>
      </c>
      <c r="N346" s="302" t="s">
        <v>648</v>
      </c>
      <c r="O346" s="540"/>
      <c r="P346" s="446"/>
      <c r="Q346" s="304">
        <v>2843</v>
      </c>
      <c r="R346" s="574"/>
      <c r="S346" s="609" t="s">
        <v>649</v>
      </c>
      <c r="T346" s="674">
        <v>45930</v>
      </c>
      <c r="U346" s="757">
        <v>3164.3927857304275</v>
      </c>
      <c r="V346" s="879"/>
      <c r="W346" s="524">
        <v>45900</v>
      </c>
      <c r="X346" s="866"/>
      <c r="Y346" s="472"/>
    </row>
    <row r="347" spans="2:25" ht="15.75" customHeight="1" x14ac:dyDescent="0.2">
      <c r="B347" s="300">
        <v>13</v>
      </c>
      <c r="C347" s="302"/>
      <c r="D347" s="302"/>
      <c r="E347" s="303"/>
      <c r="F347" s="446"/>
      <c r="G347" s="304"/>
      <c r="H347" s="560"/>
      <c r="I347" s="876"/>
      <c r="J347" s="876"/>
      <c r="K347" s="277"/>
      <c r="L347" s="300">
        <v>13</v>
      </c>
      <c r="M347" s="378" t="s">
        <v>643</v>
      </c>
      <c r="N347" s="302" t="s">
        <v>650</v>
      </c>
      <c r="O347" s="540"/>
      <c r="P347" s="446"/>
      <c r="Q347" s="304">
        <v>2843</v>
      </c>
      <c r="R347" s="574"/>
      <c r="S347" s="609" t="s">
        <v>651</v>
      </c>
      <c r="T347" s="751">
        <v>45961</v>
      </c>
      <c r="U347" s="757">
        <v>3108.9043414431007</v>
      </c>
      <c r="V347" s="879"/>
      <c r="W347" s="524">
        <v>45989</v>
      </c>
      <c r="X347" s="866"/>
      <c r="Y347" s="472"/>
    </row>
    <row r="348" spans="2:25" ht="15.75" customHeight="1" x14ac:dyDescent="0.2">
      <c r="B348" s="300">
        <v>13</v>
      </c>
      <c r="C348" s="302"/>
      <c r="D348" s="302"/>
      <c r="E348" s="303"/>
      <c r="F348" s="446"/>
      <c r="G348" s="304"/>
      <c r="H348" s="560"/>
      <c r="I348" s="876"/>
      <c r="J348" s="876"/>
      <c r="K348" s="277"/>
      <c r="L348" s="300">
        <v>13</v>
      </c>
      <c r="M348" s="378" t="s">
        <v>643</v>
      </c>
      <c r="N348" s="302" t="s">
        <v>652</v>
      </c>
      <c r="O348" s="540"/>
      <c r="P348" s="446"/>
      <c r="Q348" s="304">
        <v>2843</v>
      </c>
      <c r="R348" s="574"/>
      <c r="S348" s="609" t="s">
        <v>653</v>
      </c>
      <c r="T348" s="674">
        <v>45991</v>
      </c>
      <c r="U348" s="757">
        <v>3155.1443414431005</v>
      </c>
      <c r="V348" s="879"/>
      <c r="W348" s="756">
        <v>46021</v>
      </c>
      <c r="X348" s="866"/>
      <c r="Y348" s="472"/>
    </row>
    <row r="349" spans="2:25" ht="15.75" customHeight="1" x14ac:dyDescent="0.2">
      <c r="B349" s="372"/>
      <c r="C349" s="376"/>
      <c r="D349" s="376"/>
      <c r="E349" s="395"/>
      <c r="F349" s="431"/>
      <c r="G349" s="375"/>
      <c r="H349" s="561"/>
      <c r="I349" s="876"/>
      <c r="J349" s="876"/>
      <c r="K349" s="277"/>
      <c r="L349" s="300">
        <v>13</v>
      </c>
      <c r="M349" s="378" t="s">
        <v>643</v>
      </c>
      <c r="N349" s="302" t="s">
        <v>654</v>
      </c>
      <c r="O349" s="541"/>
      <c r="P349" s="431"/>
      <c r="Q349" s="304">
        <v>2843</v>
      </c>
      <c r="R349" s="575"/>
      <c r="S349" s="609" t="s">
        <v>655</v>
      </c>
      <c r="T349" s="781">
        <v>46022</v>
      </c>
      <c r="U349" s="757">
        <v>3118.0250777042997</v>
      </c>
      <c r="V349" s="879"/>
      <c r="W349" s="525">
        <v>46051</v>
      </c>
      <c r="X349" s="866"/>
      <c r="Y349" s="472"/>
    </row>
    <row r="350" spans="2:25" ht="15.75" customHeight="1" x14ac:dyDescent="0.2">
      <c r="B350" s="372"/>
      <c r="C350" s="376"/>
      <c r="D350" s="376"/>
      <c r="E350" s="395"/>
      <c r="F350" s="431"/>
      <c r="G350" s="375"/>
      <c r="H350" s="561"/>
      <c r="I350" s="876"/>
      <c r="J350" s="876"/>
      <c r="K350" s="277"/>
      <c r="L350" s="300">
        <v>13</v>
      </c>
      <c r="M350" s="378" t="s">
        <v>643</v>
      </c>
      <c r="N350" s="302" t="s">
        <v>656</v>
      </c>
      <c r="O350" s="541"/>
      <c r="P350" s="431"/>
      <c r="Q350" s="304">
        <v>2843</v>
      </c>
      <c r="R350" s="575"/>
      <c r="S350" s="609" t="s">
        <v>657</v>
      </c>
      <c r="T350" s="781">
        <v>46053</v>
      </c>
      <c r="U350" s="757">
        <v>2843</v>
      </c>
      <c r="V350" s="879"/>
      <c r="W350" s="774">
        <v>46107</v>
      </c>
      <c r="X350" s="866"/>
      <c r="Y350" s="472"/>
    </row>
    <row r="351" spans="2:25" ht="15.75" customHeight="1" x14ac:dyDescent="0.2">
      <c r="B351" s="372"/>
      <c r="C351" s="376"/>
      <c r="D351" s="376"/>
      <c r="E351" s="395"/>
      <c r="F351" s="431"/>
      <c r="G351" s="375"/>
      <c r="H351" s="561"/>
      <c r="I351" s="876"/>
      <c r="J351" s="876"/>
      <c r="K351" s="277"/>
      <c r="L351" s="300">
        <v>13</v>
      </c>
      <c r="M351" s="378" t="s">
        <v>643</v>
      </c>
      <c r="N351" s="376" t="s">
        <v>658</v>
      </c>
      <c r="O351" s="541"/>
      <c r="P351" s="431"/>
      <c r="Q351" s="375">
        <v>8737.26</v>
      </c>
      <c r="R351" s="575"/>
      <c r="S351" s="609" t="s">
        <v>659</v>
      </c>
      <c r="T351" s="781">
        <v>46053</v>
      </c>
      <c r="U351" s="757">
        <v>8737.26</v>
      </c>
      <c r="V351" s="879"/>
      <c r="W351" s="774">
        <v>46081</v>
      </c>
      <c r="X351" s="866"/>
      <c r="Y351" s="472"/>
    </row>
    <row r="352" spans="2:25" ht="15.75" customHeight="1" x14ac:dyDescent="0.2">
      <c r="B352" s="372"/>
      <c r="C352" s="376"/>
      <c r="D352" s="376"/>
      <c r="E352" s="395"/>
      <c r="F352" s="431"/>
      <c r="G352" s="375"/>
      <c r="H352" s="561"/>
      <c r="I352" s="876"/>
      <c r="J352" s="876"/>
      <c r="K352" s="277"/>
      <c r="L352" s="300">
        <v>13</v>
      </c>
      <c r="M352" s="378" t="s">
        <v>643</v>
      </c>
      <c r="N352" s="376" t="s">
        <v>658</v>
      </c>
      <c r="O352" s="541"/>
      <c r="P352" s="431"/>
      <c r="Q352" s="375">
        <f>-Q351</f>
        <v>-8737.26</v>
      </c>
      <c r="R352" s="575"/>
      <c r="S352" s="609" t="s">
        <v>660</v>
      </c>
      <c r="T352" s="781">
        <v>46081</v>
      </c>
      <c r="U352" s="757">
        <v>0</v>
      </c>
      <c r="V352" s="879"/>
      <c r="W352" s="774">
        <v>46081</v>
      </c>
      <c r="X352" s="866"/>
      <c r="Y352" s="472"/>
    </row>
    <row r="353" spans="1:25" ht="15.75" customHeight="1" x14ac:dyDescent="0.2">
      <c r="B353" s="372"/>
      <c r="C353" s="376"/>
      <c r="D353" s="376"/>
      <c r="E353" s="395"/>
      <c r="F353" s="431"/>
      <c r="G353" s="375"/>
      <c r="H353" s="561"/>
      <c r="I353" s="876"/>
      <c r="J353" s="876"/>
      <c r="K353" s="277"/>
      <c r="L353" s="300">
        <v>13</v>
      </c>
      <c r="M353" s="378" t="s">
        <v>643</v>
      </c>
      <c r="N353" s="376" t="s">
        <v>661</v>
      </c>
      <c r="O353" s="541"/>
      <c r="P353" s="431"/>
      <c r="Q353" s="375">
        <v>2843</v>
      </c>
      <c r="R353" s="575"/>
      <c r="S353" s="610" t="s">
        <v>662</v>
      </c>
      <c r="T353" s="781">
        <v>46081</v>
      </c>
      <c r="U353" s="757">
        <v>0</v>
      </c>
      <c r="V353" s="879"/>
      <c r="W353" s="561">
        <v>46081</v>
      </c>
      <c r="X353" s="866"/>
      <c r="Y353" s="472"/>
    </row>
    <row r="354" spans="1:25" ht="15.75" customHeight="1" x14ac:dyDescent="0.2">
      <c r="B354" s="372"/>
      <c r="C354" s="376"/>
      <c r="D354" s="376"/>
      <c r="E354" s="395"/>
      <c r="F354" s="431"/>
      <c r="G354" s="375"/>
      <c r="H354" s="561"/>
      <c r="I354" s="876"/>
      <c r="J354" s="876"/>
      <c r="K354" s="277"/>
      <c r="L354" s="300">
        <v>13</v>
      </c>
      <c r="M354" s="378" t="s">
        <v>643</v>
      </c>
      <c r="N354" s="376" t="s">
        <v>661</v>
      </c>
      <c r="O354" s="541"/>
      <c r="P354" s="431"/>
      <c r="Q354" s="375">
        <f>-Q353</f>
        <v>-2843</v>
      </c>
      <c r="R354" s="575"/>
      <c r="S354" s="610"/>
      <c r="T354" s="510">
        <v>46081</v>
      </c>
      <c r="U354" s="802">
        <v>0</v>
      </c>
      <c r="V354" s="879"/>
      <c r="W354" s="561">
        <v>46081</v>
      </c>
      <c r="X354" s="866"/>
      <c r="Y354" s="472"/>
    </row>
    <row r="355" spans="1:25" ht="15.75" customHeight="1" thickBot="1" x14ac:dyDescent="0.25">
      <c r="B355" s="305">
        <v>13</v>
      </c>
      <c r="C355" s="306"/>
      <c r="D355" s="306"/>
      <c r="E355" s="307"/>
      <c r="F355" s="447"/>
      <c r="G355" s="319"/>
      <c r="H355" s="562"/>
      <c r="I355" s="877"/>
      <c r="J355" s="877"/>
      <c r="K355" s="464"/>
      <c r="L355" s="305">
        <v>13</v>
      </c>
      <c r="M355" s="407" t="s">
        <v>643</v>
      </c>
      <c r="N355" s="306"/>
      <c r="O355" s="542"/>
      <c r="P355" s="447"/>
      <c r="Q355" s="319"/>
      <c r="R355" s="576"/>
      <c r="S355" s="611"/>
      <c r="T355" s="511" t="str">
        <f t="shared" si="21"/>
        <v/>
      </c>
      <c r="U355" s="495">
        <f>(Q355/$X$333*$J$333)</f>
        <v>0</v>
      </c>
      <c r="V355" s="880"/>
      <c r="W355" s="562"/>
      <c r="X355" s="867"/>
      <c r="Y355" s="472"/>
    </row>
    <row r="356" spans="1:25" ht="16.5" thickBot="1" x14ac:dyDescent="0.25">
      <c r="A356" s="24"/>
      <c r="B356" s="279"/>
      <c r="C356" s="266"/>
      <c r="D356" s="266"/>
      <c r="E356" s="280"/>
      <c r="F356" s="443"/>
      <c r="G356" s="281"/>
      <c r="H356" s="563"/>
      <c r="I356" s="269"/>
      <c r="J356" s="269"/>
      <c r="K356" s="24"/>
      <c r="L356" s="279"/>
      <c r="M356" s="266"/>
      <c r="N356" s="266"/>
      <c r="O356" s="543"/>
      <c r="P356" s="443"/>
      <c r="Q356" s="281"/>
      <c r="R356" s="577"/>
      <c r="S356" s="612"/>
      <c r="T356" s="512" t="str">
        <f t="shared" si="21"/>
        <v/>
      </c>
      <c r="U356" s="500"/>
      <c r="V356" s="483"/>
      <c r="W356" s="563"/>
      <c r="X356" s="473"/>
      <c r="Y356" s="472"/>
    </row>
    <row r="357" spans="1:25" ht="14.25" customHeight="1" x14ac:dyDescent="0.2">
      <c r="B357" s="258">
        <v>14</v>
      </c>
      <c r="C357" s="259" t="s">
        <v>663</v>
      </c>
      <c r="D357" s="259" t="s">
        <v>664</v>
      </c>
      <c r="E357" s="260"/>
      <c r="F357" s="457"/>
      <c r="G357" s="327">
        <v>0</v>
      </c>
      <c r="H357" s="531">
        <v>45817</v>
      </c>
      <c r="I357" s="905">
        <f>SUM(G357:G368)</f>
        <v>0</v>
      </c>
      <c r="J357" s="905">
        <f>F435</f>
        <v>0</v>
      </c>
      <c r="K357" s="328"/>
      <c r="L357" s="258">
        <v>14</v>
      </c>
      <c r="M357" s="421" t="s">
        <v>665</v>
      </c>
      <c r="N357" s="259" t="s">
        <v>666</v>
      </c>
      <c r="O357" s="552"/>
      <c r="P357" s="457"/>
      <c r="Q357" s="327">
        <v>6509.8599999999988</v>
      </c>
      <c r="R357" s="588"/>
      <c r="S357" s="586" t="s">
        <v>667</v>
      </c>
      <c r="T357" s="641">
        <v>45808</v>
      </c>
      <c r="U357" s="507">
        <f t="shared" ref="U357:U368" si="31">(Q357/$X$357*$J$357)</f>
        <v>0</v>
      </c>
      <c r="V357" s="911">
        <f>J357-SUM(U357:U368)</f>
        <v>0</v>
      </c>
      <c r="W357" s="531">
        <v>45817</v>
      </c>
      <c r="X357" s="908">
        <f>SUM(Q357:Q368)</f>
        <v>301844.08</v>
      </c>
      <c r="Y357" s="472"/>
    </row>
    <row r="358" spans="1:25" ht="14.25" customHeight="1" x14ac:dyDescent="0.2">
      <c r="B358" s="329">
        <v>14</v>
      </c>
      <c r="C358" s="330"/>
      <c r="D358" s="330"/>
      <c r="E358" s="331"/>
      <c r="F358" s="458"/>
      <c r="G358" s="332"/>
      <c r="H358" s="533">
        <v>45842</v>
      </c>
      <c r="I358" s="906"/>
      <c r="J358" s="906"/>
      <c r="K358" s="261"/>
      <c r="L358" s="329">
        <v>14</v>
      </c>
      <c r="M358" s="422" t="s">
        <v>665</v>
      </c>
      <c r="N358" s="330" t="s">
        <v>666</v>
      </c>
      <c r="O358" s="553"/>
      <c r="P358" s="458"/>
      <c r="Q358" s="332">
        <f>5408.52+362.32</f>
        <v>5770.84</v>
      </c>
      <c r="R358" s="588"/>
      <c r="S358" s="586" t="s">
        <v>667</v>
      </c>
      <c r="T358" s="676">
        <v>45838</v>
      </c>
      <c r="U358" s="507">
        <f t="shared" si="31"/>
        <v>0</v>
      </c>
      <c r="V358" s="912"/>
      <c r="W358" s="533">
        <v>45842</v>
      </c>
      <c r="X358" s="909"/>
      <c r="Y358" s="472"/>
    </row>
    <row r="359" spans="1:25" ht="14.25" customHeight="1" x14ac:dyDescent="0.2">
      <c r="B359" s="329">
        <v>14</v>
      </c>
      <c r="C359" s="330"/>
      <c r="D359" s="330"/>
      <c r="E359" s="331"/>
      <c r="F359" s="458"/>
      <c r="G359" s="332"/>
      <c r="H359" s="533">
        <v>45876</v>
      </c>
      <c r="I359" s="906"/>
      <c r="J359" s="906"/>
      <c r="K359" s="261"/>
      <c r="L359" s="329">
        <v>14</v>
      </c>
      <c r="M359" s="422" t="s">
        <v>665</v>
      </c>
      <c r="N359" s="330" t="s">
        <v>666</v>
      </c>
      <c r="O359" s="553"/>
      <c r="P359" s="458"/>
      <c r="Q359" s="332">
        <v>21295.980000000003</v>
      </c>
      <c r="R359" s="588"/>
      <c r="S359" s="623" t="s">
        <v>667</v>
      </c>
      <c r="T359" s="676">
        <v>45869</v>
      </c>
      <c r="U359" s="507">
        <f t="shared" si="31"/>
        <v>0</v>
      </c>
      <c r="V359" s="912"/>
      <c r="W359" s="533">
        <v>45876</v>
      </c>
      <c r="X359" s="909"/>
      <c r="Y359" s="472"/>
    </row>
    <row r="360" spans="1:25" ht="14.25" customHeight="1" x14ac:dyDescent="0.2">
      <c r="B360" s="329">
        <v>14</v>
      </c>
      <c r="C360" s="330"/>
      <c r="D360" s="330"/>
      <c r="E360" s="331"/>
      <c r="F360" s="458"/>
      <c r="G360" s="332"/>
      <c r="H360" s="533">
        <v>45905</v>
      </c>
      <c r="I360" s="906"/>
      <c r="J360" s="906"/>
      <c r="K360" s="261"/>
      <c r="L360" s="329">
        <v>14</v>
      </c>
      <c r="M360" s="422" t="s">
        <v>665</v>
      </c>
      <c r="N360" s="330" t="s">
        <v>666</v>
      </c>
      <c r="O360" s="553"/>
      <c r="P360" s="458"/>
      <c r="Q360" s="332">
        <v>50534.6</v>
      </c>
      <c r="R360" s="588"/>
      <c r="S360" s="623" t="s">
        <v>667</v>
      </c>
      <c r="T360" s="676">
        <v>45900</v>
      </c>
      <c r="U360" s="507">
        <f t="shared" si="31"/>
        <v>0</v>
      </c>
      <c r="V360" s="912"/>
      <c r="W360" s="533">
        <v>45905</v>
      </c>
      <c r="X360" s="909"/>
      <c r="Y360" s="472"/>
    </row>
    <row r="361" spans="1:25" ht="14.25" customHeight="1" x14ac:dyDescent="0.2">
      <c r="B361" s="329">
        <v>14</v>
      </c>
      <c r="C361" s="330"/>
      <c r="D361" s="330"/>
      <c r="E361" s="331"/>
      <c r="F361" s="458"/>
      <c r="G361" s="332"/>
      <c r="H361" s="572">
        <v>45930</v>
      </c>
      <c r="I361" s="906"/>
      <c r="J361" s="906"/>
      <c r="K361" s="261"/>
      <c r="L361" s="329">
        <v>14</v>
      </c>
      <c r="M361" s="422" t="s">
        <v>665</v>
      </c>
      <c r="N361" s="330" t="s">
        <v>666</v>
      </c>
      <c r="O361" s="553"/>
      <c r="P361" s="458"/>
      <c r="Q361" s="332">
        <v>32154.959999999999</v>
      </c>
      <c r="R361" s="588"/>
      <c r="S361" s="623" t="s">
        <v>667</v>
      </c>
      <c r="T361" s="754">
        <v>45930</v>
      </c>
      <c r="U361" s="507">
        <f t="shared" si="31"/>
        <v>0</v>
      </c>
      <c r="V361" s="912"/>
      <c r="W361" s="755">
        <v>45940</v>
      </c>
      <c r="X361" s="909"/>
      <c r="Y361" s="472"/>
    </row>
    <row r="362" spans="1:25" ht="14.25" customHeight="1" x14ac:dyDescent="0.2">
      <c r="B362" s="329">
        <v>14</v>
      </c>
      <c r="C362" s="330"/>
      <c r="D362" s="330"/>
      <c r="E362" s="331"/>
      <c r="F362" s="458"/>
      <c r="G362" s="332"/>
      <c r="H362" s="572">
        <v>45961</v>
      </c>
      <c r="I362" s="906"/>
      <c r="J362" s="906"/>
      <c r="K362" s="261"/>
      <c r="L362" s="329">
        <v>14</v>
      </c>
      <c r="M362" s="422" t="s">
        <v>665</v>
      </c>
      <c r="N362" s="330" t="s">
        <v>666</v>
      </c>
      <c r="O362" s="553"/>
      <c r="P362" s="458"/>
      <c r="Q362" s="332">
        <v>20629.91</v>
      </c>
      <c r="R362" s="588"/>
      <c r="S362" s="623" t="s">
        <v>667</v>
      </c>
      <c r="T362" s="754">
        <v>45961</v>
      </c>
      <c r="U362" s="507">
        <f t="shared" si="31"/>
        <v>0</v>
      </c>
      <c r="V362" s="912"/>
      <c r="W362" s="755">
        <v>45967</v>
      </c>
      <c r="X362" s="909"/>
      <c r="Y362" s="472"/>
    </row>
    <row r="363" spans="1:25" ht="14.25" customHeight="1" x14ac:dyDescent="0.2">
      <c r="B363" s="329">
        <v>14</v>
      </c>
      <c r="C363" s="330"/>
      <c r="D363" s="330"/>
      <c r="E363" s="331"/>
      <c r="F363" s="458"/>
      <c r="G363" s="332"/>
      <c r="H363" s="572">
        <v>45991</v>
      </c>
      <c r="I363" s="906"/>
      <c r="J363" s="906"/>
      <c r="K363" s="261"/>
      <c r="L363" s="329">
        <v>14</v>
      </c>
      <c r="M363" s="422" t="s">
        <v>665</v>
      </c>
      <c r="N363" s="330" t="s">
        <v>666</v>
      </c>
      <c r="O363" s="553"/>
      <c r="P363" s="458"/>
      <c r="Q363" s="332">
        <v>15266.94</v>
      </c>
      <c r="R363" s="588"/>
      <c r="S363" s="623" t="s">
        <v>667</v>
      </c>
      <c r="T363" s="754">
        <v>45991</v>
      </c>
      <c r="U363" s="507">
        <f t="shared" si="31"/>
        <v>0</v>
      </c>
      <c r="V363" s="912"/>
      <c r="W363" s="755">
        <v>45996</v>
      </c>
      <c r="X363" s="909"/>
      <c r="Y363" s="472"/>
    </row>
    <row r="364" spans="1:25" ht="14.25" customHeight="1" x14ac:dyDescent="0.2">
      <c r="B364" s="329">
        <v>14</v>
      </c>
      <c r="C364" s="330"/>
      <c r="D364" s="330"/>
      <c r="E364" s="331"/>
      <c r="F364" s="458"/>
      <c r="G364" s="332"/>
      <c r="H364" s="572">
        <v>46022</v>
      </c>
      <c r="I364" s="906"/>
      <c r="J364" s="906"/>
      <c r="K364" s="261"/>
      <c r="L364" s="329">
        <v>14</v>
      </c>
      <c r="M364" s="422" t="s">
        <v>665</v>
      </c>
      <c r="N364" s="330" t="s">
        <v>666</v>
      </c>
      <c r="O364" s="553"/>
      <c r="P364" s="458"/>
      <c r="Q364" s="332">
        <v>59700.29</v>
      </c>
      <c r="R364" s="588"/>
      <c r="S364" s="623" t="s">
        <v>667</v>
      </c>
      <c r="T364" s="754">
        <v>46022</v>
      </c>
      <c r="U364" s="507">
        <f t="shared" si="31"/>
        <v>0</v>
      </c>
      <c r="V364" s="912"/>
      <c r="W364" s="755">
        <v>46030</v>
      </c>
      <c r="X364" s="909"/>
      <c r="Y364" s="472"/>
    </row>
    <row r="365" spans="1:25" ht="14.25" customHeight="1" x14ac:dyDescent="0.2">
      <c r="B365" s="329">
        <v>14</v>
      </c>
      <c r="C365" s="330"/>
      <c r="D365" s="330"/>
      <c r="E365" s="331"/>
      <c r="F365" s="458"/>
      <c r="G365" s="332"/>
      <c r="H365" s="572">
        <v>46053</v>
      </c>
      <c r="I365" s="906"/>
      <c r="J365" s="906"/>
      <c r="K365" s="261"/>
      <c r="L365" s="329">
        <v>14</v>
      </c>
      <c r="M365" s="422" t="s">
        <v>665</v>
      </c>
      <c r="N365" s="330" t="s">
        <v>666</v>
      </c>
      <c r="O365" s="553"/>
      <c r="P365" s="458"/>
      <c r="Q365" s="332">
        <v>28655.7</v>
      </c>
      <c r="R365" s="588"/>
      <c r="S365" s="623" t="s">
        <v>667</v>
      </c>
      <c r="T365" s="754">
        <v>46053</v>
      </c>
      <c r="U365" s="507">
        <f t="shared" si="31"/>
        <v>0</v>
      </c>
      <c r="V365" s="912"/>
      <c r="W365" s="755">
        <v>46058</v>
      </c>
      <c r="X365" s="909"/>
      <c r="Y365" s="472"/>
    </row>
    <row r="366" spans="1:25" ht="14.25" customHeight="1" x14ac:dyDescent="0.2">
      <c r="B366" s="329">
        <v>14</v>
      </c>
      <c r="C366" s="330"/>
      <c r="D366" s="330"/>
      <c r="E366" s="331"/>
      <c r="F366" s="458"/>
      <c r="G366" s="332"/>
      <c r="H366" s="572">
        <v>46081</v>
      </c>
      <c r="I366" s="906"/>
      <c r="J366" s="906"/>
      <c r="K366" s="261"/>
      <c r="L366" s="329">
        <v>14</v>
      </c>
      <c r="M366" s="422" t="s">
        <v>665</v>
      </c>
      <c r="N366" s="330" t="s">
        <v>666</v>
      </c>
      <c r="O366" s="553"/>
      <c r="P366" s="458"/>
      <c r="Q366" s="332">
        <f>30662.5*2</f>
        <v>61325</v>
      </c>
      <c r="R366" s="588"/>
      <c r="S366" s="623"/>
      <c r="T366" s="521">
        <v>46081</v>
      </c>
      <c r="U366" s="507">
        <f t="shared" si="31"/>
        <v>0</v>
      </c>
      <c r="V366" s="912"/>
      <c r="W366" s="572">
        <v>46086</v>
      </c>
      <c r="X366" s="909"/>
      <c r="Y366" s="472"/>
    </row>
    <row r="367" spans="1:25" ht="14.25" customHeight="1" x14ac:dyDescent="0.2">
      <c r="B367" s="329">
        <v>14</v>
      </c>
      <c r="C367" s="330"/>
      <c r="D367" s="330"/>
      <c r="E367" s="331"/>
      <c r="F367" s="458"/>
      <c r="G367" s="332"/>
      <c r="H367" s="572"/>
      <c r="I367" s="906"/>
      <c r="J367" s="906"/>
      <c r="K367" s="261"/>
      <c r="L367" s="329">
        <v>14</v>
      </c>
      <c r="M367" s="422" t="s">
        <v>665</v>
      </c>
      <c r="N367" s="330"/>
      <c r="O367" s="553"/>
      <c r="P367" s="458"/>
      <c r="Q367" s="332"/>
      <c r="R367" s="588"/>
      <c r="S367" s="623"/>
      <c r="T367" s="521" t="str">
        <f t="shared" ref="T367:T407" si="32">IF(W367&gt;1,EOMONTH(W367,0),"")</f>
        <v/>
      </c>
      <c r="U367" s="507">
        <f t="shared" si="31"/>
        <v>0</v>
      </c>
      <c r="V367" s="912"/>
      <c r="W367" s="572"/>
      <c r="X367" s="909"/>
      <c r="Y367" s="472"/>
    </row>
    <row r="368" spans="1:25" ht="15" customHeight="1" thickBot="1" x14ac:dyDescent="0.25">
      <c r="B368" s="262">
        <v>14</v>
      </c>
      <c r="C368" s="333"/>
      <c r="D368" s="333"/>
      <c r="E368" s="334"/>
      <c r="F368" s="459"/>
      <c r="G368" s="263"/>
      <c r="H368" s="573"/>
      <c r="I368" s="907"/>
      <c r="J368" s="907"/>
      <c r="K368" s="264"/>
      <c r="L368" s="262">
        <v>14</v>
      </c>
      <c r="M368" s="423" t="s">
        <v>665</v>
      </c>
      <c r="N368" s="333"/>
      <c r="O368" s="554"/>
      <c r="P368" s="459"/>
      <c r="Q368" s="263"/>
      <c r="R368" s="589"/>
      <c r="S368" s="624"/>
      <c r="T368" s="522" t="str">
        <f t="shared" si="32"/>
        <v/>
      </c>
      <c r="U368" s="508">
        <f t="shared" si="31"/>
        <v>0</v>
      </c>
      <c r="V368" s="913"/>
      <c r="W368" s="573"/>
      <c r="X368" s="910"/>
      <c r="Y368" s="472"/>
    </row>
    <row r="369" spans="1:25" ht="16.5" thickBot="1" x14ac:dyDescent="0.25">
      <c r="A369" s="24"/>
      <c r="B369" s="279"/>
      <c r="C369" s="266"/>
      <c r="D369" s="266"/>
      <c r="E369" s="280"/>
      <c r="F369" s="443"/>
      <c r="G369" s="281"/>
      <c r="H369" s="563"/>
      <c r="I369" s="335"/>
      <c r="J369" s="335"/>
      <c r="K369" s="24"/>
      <c r="L369" s="279"/>
      <c r="M369" s="266"/>
      <c r="N369" s="266"/>
      <c r="O369" s="543"/>
      <c r="P369" s="443"/>
      <c r="Q369" s="281"/>
      <c r="R369" s="577"/>
      <c r="S369" s="612"/>
      <c r="T369" s="512" t="str">
        <f t="shared" si="32"/>
        <v/>
      </c>
      <c r="U369" s="500"/>
      <c r="V369" s="483"/>
      <c r="W369" s="563"/>
      <c r="X369" s="480"/>
      <c r="Y369" s="472"/>
    </row>
    <row r="370" spans="1:25" x14ac:dyDescent="0.2">
      <c r="B370" s="270">
        <v>15</v>
      </c>
      <c r="C370" s="271" t="s">
        <v>668</v>
      </c>
      <c r="D370" s="271"/>
      <c r="E370" s="272"/>
      <c r="F370" s="424"/>
      <c r="G370" s="273"/>
      <c r="H370" s="567"/>
      <c r="I370" s="875">
        <v>0</v>
      </c>
      <c r="J370" s="875">
        <v>0</v>
      </c>
      <c r="K370" s="274"/>
      <c r="L370" s="270">
        <v>15</v>
      </c>
      <c r="M370" s="340" t="s">
        <v>669</v>
      </c>
      <c r="N370" s="271"/>
      <c r="O370" s="272"/>
      <c r="P370" s="424"/>
      <c r="Q370" s="273"/>
      <c r="R370" s="581"/>
      <c r="S370" s="616"/>
      <c r="T370" s="516" t="str">
        <f t="shared" si="32"/>
        <v/>
      </c>
      <c r="U370" s="501"/>
      <c r="V370" s="878"/>
      <c r="W370" s="567"/>
      <c r="X370" s="865">
        <f>SUM(Q370:Q407)</f>
        <v>1611918.93</v>
      </c>
      <c r="Y370" s="472"/>
    </row>
    <row r="371" spans="1:25" x14ac:dyDescent="0.2">
      <c r="B371" s="300">
        <v>15</v>
      </c>
      <c r="C371" s="302"/>
      <c r="D371" s="302"/>
      <c r="E371" s="303"/>
      <c r="F371" s="446"/>
      <c r="G371" s="304"/>
      <c r="H371" s="560"/>
      <c r="I371" s="876"/>
      <c r="J371" s="876"/>
      <c r="K371" s="277"/>
      <c r="L371" s="300">
        <v>15</v>
      </c>
      <c r="M371" s="378" t="s">
        <v>669</v>
      </c>
      <c r="N371" s="302" t="s">
        <v>670</v>
      </c>
      <c r="O371" s="540"/>
      <c r="P371" s="446"/>
      <c r="Q371" s="304"/>
      <c r="R371" s="574"/>
      <c r="S371" s="609"/>
      <c r="T371" s="509"/>
      <c r="U371" s="493"/>
      <c r="V371" s="879"/>
      <c r="W371" s="560"/>
      <c r="X371" s="866"/>
      <c r="Y371" s="472"/>
    </row>
    <row r="372" spans="1:25" x14ac:dyDescent="0.2">
      <c r="B372" s="300">
        <v>15</v>
      </c>
      <c r="C372" s="302"/>
      <c r="D372" s="302"/>
      <c r="E372" s="303"/>
      <c r="F372" s="446"/>
      <c r="G372" s="304"/>
      <c r="H372" s="560"/>
      <c r="I372" s="876"/>
      <c r="J372" s="876"/>
      <c r="K372" s="277"/>
      <c r="L372" s="300">
        <v>15</v>
      </c>
      <c r="M372" s="378" t="s">
        <v>669</v>
      </c>
      <c r="N372" s="302" t="s">
        <v>671</v>
      </c>
      <c r="O372" s="540"/>
      <c r="P372" s="446"/>
      <c r="Q372" s="304">
        <v>140.75</v>
      </c>
      <c r="R372" s="574" t="s">
        <v>672</v>
      </c>
      <c r="S372" s="609" t="s">
        <v>673</v>
      </c>
      <c r="T372" s="674">
        <v>46053</v>
      </c>
      <c r="U372" s="493"/>
      <c r="V372" s="879"/>
      <c r="W372" s="524">
        <v>46041</v>
      </c>
      <c r="X372" s="866"/>
      <c r="Y372" s="472"/>
    </row>
    <row r="373" spans="1:25" x14ac:dyDescent="0.2">
      <c r="B373" s="300">
        <v>15</v>
      </c>
      <c r="C373" s="302"/>
      <c r="D373" s="302"/>
      <c r="E373" s="303"/>
      <c r="F373" s="446"/>
      <c r="G373" s="304"/>
      <c r="H373" s="524"/>
      <c r="I373" s="876"/>
      <c r="J373" s="876"/>
      <c r="K373" s="277"/>
      <c r="L373" s="300">
        <v>15</v>
      </c>
      <c r="M373" s="378" t="s">
        <v>669</v>
      </c>
      <c r="N373" s="302" t="s">
        <v>671</v>
      </c>
      <c r="O373" s="540"/>
      <c r="P373" s="446"/>
      <c r="Q373" s="304">
        <v>3127.77</v>
      </c>
      <c r="R373" s="574" t="s">
        <v>674</v>
      </c>
      <c r="S373" s="609" t="s">
        <v>675</v>
      </c>
      <c r="T373" s="674">
        <v>45900</v>
      </c>
      <c r="U373" s="493"/>
      <c r="V373" s="879"/>
      <c r="W373" s="524">
        <v>45883</v>
      </c>
      <c r="X373" s="866"/>
      <c r="Y373" s="472"/>
    </row>
    <row r="374" spans="1:25" x14ac:dyDescent="0.2">
      <c r="B374" s="300">
        <v>15</v>
      </c>
      <c r="C374" s="302"/>
      <c r="D374" s="302"/>
      <c r="E374" s="303"/>
      <c r="F374" s="446"/>
      <c r="G374" s="304"/>
      <c r="H374" s="701"/>
      <c r="I374" s="876"/>
      <c r="J374" s="876"/>
      <c r="K374" s="277"/>
      <c r="L374" s="300">
        <v>15</v>
      </c>
      <c r="M374" s="378" t="s">
        <v>669</v>
      </c>
      <c r="N374" s="302" t="s">
        <v>671</v>
      </c>
      <c r="O374" s="540"/>
      <c r="P374" s="446"/>
      <c r="Q374" s="304">
        <v>1495.89</v>
      </c>
      <c r="R374" s="574" t="s">
        <v>676</v>
      </c>
      <c r="S374" s="609" t="s">
        <v>677</v>
      </c>
      <c r="T374" s="674">
        <v>45900</v>
      </c>
      <c r="U374" s="493"/>
      <c r="V374" s="879"/>
      <c r="W374" s="701">
        <v>45888</v>
      </c>
      <c r="X374" s="866"/>
      <c r="Y374" s="472"/>
    </row>
    <row r="375" spans="1:25" x14ac:dyDescent="0.2">
      <c r="B375" s="300">
        <v>15</v>
      </c>
      <c r="C375" s="302"/>
      <c r="D375" s="302"/>
      <c r="E375" s="303"/>
      <c r="F375" s="446"/>
      <c r="G375" s="304"/>
      <c r="H375" s="524"/>
      <c r="I375" s="876"/>
      <c r="J375" s="876"/>
      <c r="K375" s="277"/>
      <c r="L375" s="300">
        <v>15</v>
      </c>
      <c r="M375" s="378" t="s">
        <v>669</v>
      </c>
      <c r="N375" s="302" t="s">
        <v>671</v>
      </c>
      <c r="O375" s="540"/>
      <c r="P375" s="446"/>
      <c r="Q375" s="304">
        <v>407.97</v>
      </c>
      <c r="R375" s="574" t="s">
        <v>678</v>
      </c>
      <c r="S375" s="609" t="s">
        <v>679</v>
      </c>
      <c r="T375" s="677">
        <v>45900</v>
      </c>
      <c r="U375" s="493"/>
      <c r="V375" s="879"/>
      <c r="W375" s="524">
        <v>45890</v>
      </c>
      <c r="X375" s="866"/>
      <c r="Y375" s="472"/>
    </row>
    <row r="376" spans="1:25" x14ac:dyDescent="0.2">
      <c r="B376" s="300">
        <v>15</v>
      </c>
      <c r="C376" s="302"/>
      <c r="D376" s="302"/>
      <c r="E376" s="303"/>
      <c r="F376" s="446"/>
      <c r="G376" s="304"/>
      <c r="H376" s="524"/>
      <c r="I376" s="876"/>
      <c r="J376" s="876"/>
      <c r="K376" s="277"/>
      <c r="L376" s="300">
        <v>15</v>
      </c>
      <c r="M376" s="378" t="s">
        <v>669</v>
      </c>
      <c r="N376" s="302" t="s">
        <v>671</v>
      </c>
      <c r="O376" s="540"/>
      <c r="P376" s="446"/>
      <c r="Q376" s="304">
        <v>951.93</v>
      </c>
      <c r="R376" s="574" t="s">
        <v>680</v>
      </c>
      <c r="S376" s="609" t="s">
        <v>681</v>
      </c>
      <c r="T376" s="674">
        <v>45900</v>
      </c>
      <c r="U376" s="493"/>
      <c r="V376" s="879"/>
      <c r="W376" s="524">
        <v>45901</v>
      </c>
      <c r="X376" s="866"/>
      <c r="Y376" s="472"/>
    </row>
    <row r="377" spans="1:25" x14ac:dyDescent="0.2">
      <c r="B377" s="300">
        <v>15</v>
      </c>
      <c r="C377" s="302"/>
      <c r="D377" s="302"/>
      <c r="E377" s="303"/>
      <c r="F377" s="446"/>
      <c r="G377" s="304"/>
      <c r="H377" s="524"/>
      <c r="I377" s="876"/>
      <c r="J377" s="876"/>
      <c r="K377" s="277"/>
      <c r="L377" s="300">
        <v>15</v>
      </c>
      <c r="M377" s="378" t="s">
        <v>669</v>
      </c>
      <c r="N377" s="302" t="s">
        <v>671</v>
      </c>
      <c r="O377" s="540"/>
      <c r="P377" s="446"/>
      <c r="Q377" s="304">
        <v>135.99</v>
      </c>
      <c r="R377" s="574" t="s">
        <v>682</v>
      </c>
      <c r="S377" s="609" t="s">
        <v>683</v>
      </c>
      <c r="T377" s="674">
        <v>45930</v>
      </c>
      <c r="U377" s="493"/>
      <c r="V377" s="879"/>
      <c r="W377" s="524">
        <v>45910</v>
      </c>
      <c r="X377" s="866"/>
      <c r="Y377" s="472"/>
    </row>
    <row r="378" spans="1:25" x14ac:dyDescent="0.2">
      <c r="B378" s="300">
        <v>15</v>
      </c>
      <c r="C378" s="302"/>
      <c r="D378" s="302"/>
      <c r="E378" s="303"/>
      <c r="F378" s="446"/>
      <c r="G378" s="304"/>
      <c r="H378" s="524"/>
      <c r="I378" s="876"/>
      <c r="J378" s="876"/>
      <c r="K378" s="277"/>
      <c r="L378" s="300">
        <v>15</v>
      </c>
      <c r="M378" s="378" t="s">
        <v>669</v>
      </c>
      <c r="N378" s="302" t="s">
        <v>671</v>
      </c>
      <c r="O378" s="540"/>
      <c r="P378" s="446"/>
      <c r="Q378" s="304">
        <v>2719.8</v>
      </c>
      <c r="R378" s="574" t="s">
        <v>684</v>
      </c>
      <c r="S378" s="609" t="s">
        <v>685</v>
      </c>
      <c r="T378" s="674">
        <v>45930</v>
      </c>
      <c r="U378" s="493"/>
      <c r="V378" s="879"/>
      <c r="W378" s="524">
        <v>45923</v>
      </c>
      <c r="X378" s="866"/>
      <c r="Y378" s="472"/>
    </row>
    <row r="379" spans="1:25" x14ac:dyDescent="0.2">
      <c r="B379" s="300">
        <v>15</v>
      </c>
      <c r="C379" s="302"/>
      <c r="D379" s="302"/>
      <c r="E379" s="303"/>
      <c r="F379" s="446"/>
      <c r="G379" s="304"/>
      <c r="H379" s="524"/>
      <c r="I379" s="876"/>
      <c r="J379" s="876"/>
      <c r="K379" s="277"/>
      <c r="L379" s="300">
        <v>15</v>
      </c>
      <c r="M379" s="378" t="s">
        <v>669</v>
      </c>
      <c r="N379" s="302" t="s">
        <v>671</v>
      </c>
      <c r="O379" s="540"/>
      <c r="P379" s="446"/>
      <c r="Q379" s="304">
        <v>271.98</v>
      </c>
      <c r="R379" s="574" t="s">
        <v>686</v>
      </c>
      <c r="S379" s="609" t="s">
        <v>687</v>
      </c>
      <c r="T379" s="674">
        <v>45930</v>
      </c>
      <c r="U379" s="493"/>
      <c r="V379" s="879"/>
      <c r="W379" s="524">
        <v>45930</v>
      </c>
      <c r="X379" s="866"/>
      <c r="Y379" s="472"/>
    </row>
    <row r="380" spans="1:25" x14ac:dyDescent="0.2">
      <c r="B380" s="300">
        <v>15</v>
      </c>
      <c r="C380" s="302"/>
      <c r="D380" s="302"/>
      <c r="E380" s="303"/>
      <c r="F380" s="446"/>
      <c r="G380" s="304"/>
      <c r="H380" s="524"/>
      <c r="I380" s="876"/>
      <c r="J380" s="876"/>
      <c r="K380" s="277"/>
      <c r="L380" s="300">
        <v>15</v>
      </c>
      <c r="M380" s="378" t="s">
        <v>669</v>
      </c>
      <c r="N380" s="302" t="s">
        <v>671</v>
      </c>
      <c r="O380" s="540"/>
      <c r="P380" s="446"/>
      <c r="Q380" s="304">
        <v>271.98</v>
      </c>
      <c r="R380" s="574" t="s">
        <v>688</v>
      </c>
      <c r="S380" s="609" t="s">
        <v>689</v>
      </c>
      <c r="T380" s="674">
        <v>45930</v>
      </c>
      <c r="U380" s="493"/>
      <c r="V380" s="879"/>
      <c r="W380" s="524">
        <v>45930</v>
      </c>
      <c r="X380" s="866"/>
      <c r="Y380" s="472"/>
    </row>
    <row r="381" spans="1:25" x14ac:dyDescent="0.2">
      <c r="B381" s="300">
        <v>15</v>
      </c>
      <c r="C381" s="302"/>
      <c r="D381" s="302"/>
      <c r="E381" s="303"/>
      <c r="F381" s="446"/>
      <c r="G381" s="304"/>
      <c r="H381" s="524"/>
      <c r="I381" s="876"/>
      <c r="J381" s="876"/>
      <c r="K381" s="277"/>
      <c r="L381" s="300">
        <v>15</v>
      </c>
      <c r="M381" s="378" t="s">
        <v>669</v>
      </c>
      <c r="N381" s="302" t="s">
        <v>671</v>
      </c>
      <c r="O381" s="540"/>
      <c r="P381" s="446"/>
      <c r="Q381" s="304">
        <v>271.98</v>
      </c>
      <c r="R381" s="574" t="s">
        <v>690</v>
      </c>
      <c r="S381" s="609" t="s">
        <v>691</v>
      </c>
      <c r="T381" s="674">
        <v>45961</v>
      </c>
      <c r="U381" s="493"/>
      <c r="V381" s="879"/>
      <c r="W381" s="524">
        <v>45932</v>
      </c>
      <c r="X381" s="866"/>
      <c r="Y381" s="472"/>
    </row>
    <row r="382" spans="1:25" x14ac:dyDescent="0.2">
      <c r="B382" s="300">
        <v>15</v>
      </c>
      <c r="C382" s="302"/>
      <c r="D382" s="302"/>
      <c r="E382" s="303"/>
      <c r="F382" s="446"/>
      <c r="G382" s="304"/>
      <c r="H382" s="560"/>
      <c r="I382" s="876"/>
      <c r="J382" s="876"/>
      <c r="K382" s="277"/>
      <c r="L382" s="300">
        <v>15</v>
      </c>
      <c r="M382" s="378" t="s">
        <v>669</v>
      </c>
      <c r="N382" s="302" t="s">
        <v>692</v>
      </c>
      <c r="O382" s="540"/>
      <c r="P382" s="446"/>
      <c r="Q382" s="304">
        <v>12722.45</v>
      </c>
      <c r="R382" s="574" t="s">
        <v>693</v>
      </c>
      <c r="S382" s="609" t="s">
        <v>694</v>
      </c>
      <c r="T382" s="677">
        <v>45961</v>
      </c>
      <c r="U382" s="493"/>
      <c r="V382" s="879"/>
      <c r="W382" s="756">
        <v>45960</v>
      </c>
      <c r="X382" s="866"/>
      <c r="Y382" s="472"/>
    </row>
    <row r="383" spans="1:25" x14ac:dyDescent="0.2">
      <c r="B383" s="300">
        <v>15</v>
      </c>
      <c r="C383" s="302"/>
      <c r="D383" s="302"/>
      <c r="E383" s="303"/>
      <c r="F383" s="446"/>
      <c r="G383" s="304"/>
      <c r="H383" s="560"/>
      <c r="I383" s="876"/>
      <c r="J383" s="876"/>
      <c r="K383" s="277"/>
      <c r="L383" s="300">
        <v>15</v>
      </c>
      <c r="M383" s="378" t="s">
        <v>669</v>
      </c>
      <c r="N383" s="302" t="s">
        <v>692</v>
      </c>
      <c r="O383" s="540"/>
      <c r="P383" s="446"/>
      <c r="Q383" s="304">
        <v>14381.9</v>
      </c>
      <c r="R383" s="574" t="s">
        <v>695</v>
      </c>
      <c r="S383" s="609" t="s">
        <v>696</v>
      </c>
      <c r="T383" s="751">
        <v>45991</v>
      </c>
      <c r="U383" s="493"/>
      <c r="V383" s="879"/>
      <c r="W383" s="756">
        <v>46009</v>
      </c>
      <c r="X383" s="866"/>
      <c r="Y383" s="472"/>
    </row>
    <row r="384" spans="1:25" x14ac:dyDescent="0.2">
      <c r="B384" s="300"/>
      <c r="C384" s="302"/>
      <c r="D384" s="302"/>
      <c r="E384" s="303"/>
      <c r="F384" s="446"/>
      <c r="G384" s="304"/>
      <c r="H384" s="560"/>
      <c r="I384" s="876"/>
      <c r="J384" s="876"/>
      <c r="K384" s="277"/>
      <c r="L384" s="300">
        <v>15</v>
      </c>
      <c r="M384" s="378" t="s">
        <v>669</v>
      </c>
      <c r="N384" s="302" t="s">
        <v>692</v>
      </c>
      <c r="O384" s="540"/>
      <c r="P384" s="446"/>
      <c r="Q384" s="304">
        <v>9126.98</v>
      </c>
      <c r="R384" s="574"/>
      <c r="S384" s="609" t="s">
        <v>697</v>
      </c>
      <c r="T384" s="751">
        <v>45991</v>
      </c>
      <c r="U384" s="493"/>
      <c r="V384" s="879"/>
      <c r="W384" s="756">
        <v>45995</v>
      </c>
      <c r="X384" s="866"/>
      <c r="Y384" s="472"/>
    </row>
    <row r="385" spans="2:25" x14ac:dyDescent="0.2">
      <c r="B385" s="300"/>
      <c r="C385" s="302"/>
      <c r="D385" s="302"/>
      <c r="E385" s="303"/>
      <c r="F385" s="446"/>
      <c r="G385" s="304"/>
      <c r="H385" s="560"/>
      <c r="I385" s="876"/>
      <c r="J385" s="876"/>
      <c r="K385" s="277"/>
      <c r="L385" s="300">
        <v>15</v>
      </c>
      <c r="M385" s="378" t="s">
        <v>669</v>
      </c>
      <c r="N385" s="302" t="s">
        <v>692</v>
      </c>
      <c r="O385" s="540"/>
      <c r="P385" s="446"/>
      <c r="Q385" s="304">
        <v>1936.03</v>
      </c>
      <c r="R385" s="574" t="s">
        <v>698</v>
      </c>
      <c r="S385" s="609" t="s">
        <v>699</v>
      </c>
      <c r="T385" s="674">
        <v>46053</v>
      </c>
      <c r="U385" s="493"/>
      <c r="V385" s="879"/>
      <c r="W385" s="524">
        <v>46051</v>
      </c>
      <c r="X385" s="866"/>
      <c r="Y385" s="472"/>
    </row>
    <row r="386" spans="2:25" x14ac:dyDescent="0.2">
      <c r="B386" s="300"/>
      <c r="C386" s="302"/>
      <c r="D386" s="302"/>
      <c r="E386" s="303"/>
      <c r="F386" s="446"/>
      <c r="G386" s="304"/>
      <c r="H386" s="560"/>
      <c r="I386" s="876"/>
      <c r="J386" s="876"/>
      <c r="K386" s="277"/>
      <c r="L386" s="300">
        <v>15</v>
      </c>
      <c r="M386" s="378" t="s">
        <v>669</v>
      </c>
      <c r="N386" s="302" t="s">
        <v>692</v>
      </c>
      <c r="O386" s="540"/>
      <c r="P386" s="446"/>
      <c r="Q386" s="304">
        <v>5215.6099999999997</v>
      </c>
      <c r="R386" s="574" t="s">
        <v>700</v>
      </c>
      <c r="S386" s="609" t="s">
        <v>701</v>
      </c>
      <c r="T386" s="674">
        <v>46081</v>
      </c>
      <c r="U386" s="493"/>
      <c r="V386" s="879"/>
      <c r="W386" s="560">
        <v>46086</v>
      </c>
      <c r="X386" s="866"/>
      <c r="Y386" s="472"/>
    </row>
    <row r="387" spans="2:25" x14ac:dyDescent="0.2">
      <c r="B387" s="300"/>
      <c r="C387" s="302"/>
      <c r="D387" s="302"/>
      <c r="E387" s="303"/>
      <c r="F387" s="446"/>
      <c r="G387" s="304"/>
      <c r="H387" s="560"/>
      <c r="I387" s="876"/>
      <c r="J387" s="876"/>
      <c r="K387" s="277"/>
      <c r="L387" s="300">
        <v>15</v>
      </c>
      <c r="M387" s="378" t="s">
        <v>669</v>
      </c>
      <c r="N387" s="302" t="s">
        <v>692</v>
      </c>
      <c r="O387" s="438"/>
      <c r="P387" s="439"/>
      <c r="Q387" s="764">
        <v>7051.28</v>
      </c>
      <c r="R387" s="574" t="s">
        <v>702</v>
      </c>
      <c r="S387" s="609"/>
      <c r="T387" s="509">
        <v>46112</v>
      </c>
      <c r="U387" s="493"/>
      <c r="V387" s="879"/>
      <c r="W387" s="560">
        <f>T387+7</f>
        <v>46119</v>
      </c>
      <c r="X387" s="866"/>
      <c r="Y387" s="472"/>
    </row>
    <row r="388" spans="2:25" x14ac:dyDescent="0.2">
      <c r="B388" s="300"/>
      <c r="C388" s="302"/>
      <c r="D388" s="302"/>
      <c r="E388" s="303"/>
      <c r="F388" s="446"/>
      <c r="G388" s="304"/>
      <c r="H388" s="560"/>
      <c r="I388" s="876"/>
      <c r="J388" s="876"/>
      <c r="K388" s="277"/>
      <c r="L388" s="300">
        <v>15</v>
      </c>
      <c r="M388" s="378" t="s">
        <v>669</v>
      </c>
      <c r="N388" s="302"/>
      <c r="O388" s="540"/>
      <c r="P388" s="446"/>
      <c r="Q388" s="304"/>
      <c r="R388" s="574"/>
      <c r="S388" s="609"/>
      <c r="T388" s="751"/>
      <c r="U388" s="493"/>
      <c r="V388" s="879"/>
      <c r="W388" s="756"/>
      <c r="X388" s="866"/>
      <c r="Y388" s="472"/>
    </row>
    <row r="389" spans="2:25" x14ac:dyDescent="0.2">
      <c r="B389" s="300"/>
      <c r="C389" s="302"/>
      <c r="D389" s="302"/>
      <c r="E389" s="303"/>
      <c r="F389" s="446"/>
      <c r="G389" s="304"/>
      <c r="H389" s="560"/>
      <c r="I389" s="876"/>
      <c r="J389" s="876"/>
      <c r="K389" s="277"/>
      <c r="L389" s="300">
        <v>15</v>
      </c>
      <c r="M389" s="378" t="s">
        <v>669</v>
      </c>
      <c r="N389" s="302" t="s">
        <v>703</v>
      </c>
      <c r="O389" s="540"/>
      <c r="P389" s="446"/>
      <c r="Q389" s="304">
        <v>319.08999999999997</v>
      </c>
      <c r="R389" s="574"/>
      <c r="S389" s="609" t="s">
        <v>704</v>
      </c>
      <c r="T389" s="751">
        <v>46022</v>
      </c>
      <c r="U389" s="493"/>
      <c r="V389" s="879"/>
      <c r="W389" s="756">
        <v>46051</v>
      </c>
      <c r="X389" s="866"/>
      <c r="Y389" s="472"/>
    </row>
    <row r="390" spans="2:25" x14ac:dyDescent="0.2">
      <c r="B390" s="300"/>
      <c r="C390" s="302"/>
      <c r="D390" s="302"/>
      <c r="E390" s="303"/>
      <c r="F390" s="446"/>
      <c r="G390" s="304"/>
      <c r="H390" s="560"/>
      <c r="I390" s="876"/>
      <c r="J390" s="876"/>
      <c r="K390" s="277"/>
      <c r="L390" s="300">
        <v>15</v>
      </c>
      <c r="M390" s="378" t="s">
        <v>669</v>
      </c>
      <c r="N390" s="302" t="s">
        <v>705</v>
      </c>
      <c r="O390" s="540"/>
      <c r="P390" s="446"/>
      <c r="Q390" s="304">
        <v>1129.28</v>
      </c>
      <c r="R390" s="574"/>
      <c r="S390" s="609" t="s">
        <v>706</v>
      </c>
      <c r="T390" s="751">
        <v>46081</v>
      </c>
      <c r="U390" s="493"/>
      <c r="V390" s="879"/>
      <c r="W390" s="756">
        <v>46066</v>
      </c>
      <c r="X390" s="866"/>
      <c r="Y390" s="472"/>
    </row>
    <row r="391" spans="2:25" x14ac:dyDescent="0.2">
      <c r="B391" s="300"/>
      <c r="C391" s="302"/>
      <c r="D391" s="302"/>
      <c r="E391" s="303"/>
      <c r="F391" s="446"/>
      <c r="G391" s="304"/>
      <c r="H391" s="560"/>
      <c r="I391" s="876"/>
      <c r="J391" s="876"/>
      <c r="K391" s="277"/>
      <c r="L391" s="300">
        <v>15</v>
      </c>
      <c r="M391" s="378" t="s">
        <v>669</v>
      </c>
      <c r="N391" s="302"/>
      <c r="O391" s="540"/>
      <c r="P391" s="446"/>
      <c r="Q391" s="304"/>
      <c r="R391" s="574"/>
      <c r="S391" s="609"/>
      <c r="T391" s="751"/>
      <c r="U391" s="493"/>
      <c r="V391" s="879"/>
      <c r="W391" s="756"/>
      <c r="X391" s="866"/>
      <c r="Y391" s="472"/>
    </row>
    <row r="392" spans="2:25" x14ac:dyDescent="0.2">
      <c r="B392" s="300">
        <v>15</v>
      </c>
      <c r="C392" s="302"/>
      <c r="D392" s="302"/>
      <c r="E392" s="303"/>
      <c r="F392" s="446"/>
      <c r="G392" s="304"/>
      <c r="H392" s="560"/>
      <c r="I392" s="876"/>
      <c r="J392" s="876"/>
      <c r="K392" s="277"/>
      <c r="L392" s="300">
        <v>15</v>
      </c>
      <c r="M392" s="378" t="s">
        <v>669</v>
      </c>
      <c r="N392" s="302"/>
      <c r="O392" s="540"/>
      <c r="P392" s="446"/>
      <c r="Q392" s="304"/>
      <c r="R392" s="574"/>
      <c r="S392" s="609"/>
      <c r="T392" s="509"/>
      <c r="U392" s="493"/>
      <c r="V392" s="879"/>
      <c r="W392" s="560"/>
      <c r="X392" s="866"/>
      <c r="Y392" s="472"/>
    </row>
    <row r="393" spans="2:25" x14ac:dyDescent="0.2">
      <c r="B393" s="300">
        <v>15</v>
      </c>
      <c r="C393" s="302"/>
      <c r="D393" s="302"/>
      <c r="E393" s="303"/>
      <c r="F393" s="446"/>
      <c r="G393" s="304"/>
      <c r="H393" s="560"/>
      <c r="I393" s="876"/>
      <c r="J393" s="876"/>
      <c r="K393" s="277"/>
      <c r="L393" s="300">
        <v>15</v>
      </c>
      <c r="M393" s="378" t="s">
        <v>669</v>
      </c>
      <c r="N393" s="302" t="s">
        <v>208</v>
      </c>
      <c r="O393" s="540"/>
      <c r="P393" s="446"/>
      <c r="Q393" s="304">
        <v>160210.04999999999</v>
      </c>
      <c r="R393" s="574" t="s">
        <v>707</v>
      </c>
      <c r="S393" s="609" t="s">
        <v>708</v>
      </c>
      <c r="T393" s="674">
        <v>45991</v>
      </c>
      <c r="U393" s="493"/>
      <c r="V393" s="879"/>
      <c r="W393" s="524">
        <v>46003</v>
      </c>
      <c r="X393" s="866"/>
      <c r="Y393" s="472"/>
    </row>
    <row r="394" spans="2:25" x14ac:dyDescent="0.2">
      <c r="B394" s="300">
        <v>15</v>
      </c>
      <c r="C394" s="302"/>
      <c r="D394" s="302"/>
      <c r="E394" s="303"/>
      <c r="F394" s="446"/>
      <c r="G394" s="304"/>
      <c r="H394" s="560"/>
      <c r="I394" s="876"/>
      <c r="J394" s="876"/>
      <c r="K394" s="277"/>
      <c r="L394" s="300">
        <v>15</v>
      </c>
      <c r="M394" s="378" t="s">
        <v>669</v>
      </c>
      <c r="N394" s="302" t="s">
        <v>709</v>
      </c>
      <c r="O394" s="540"/>
      <c r="P394" s="446"/>
      <c r="Q394" s="304">
        <v>1200</v>
      </c>
      <c r="R394" s="574" t="s">
        <v>710</v>
      </c>
      <c r="S394" s="609" t="s">
        <v>711</v>
      </c>
      <c r="T394" s="751">
        <v>45961</v>
      </c>
      <c r="U394" s="493"/>
      <c r="V394" s="879"/>
      <c r="W394" s="756">
        <v>45946</v>
      </c>
      <c r="X394" s="866"/>
      <c r="Y394" s="472"/>
    </row>
    <row r="395" spans="2:25" x14ac:dyDescent="0.2">
      <c r="B395" s="300">
        <v>15</v>
      </c>
      <c r="C395" s="302"/>
      <c r="D395" s="302"/>
      <c r="E395" s="303"/>
      <c r="F395" s="446"/>
      <c r="G395" s="304"/>
      <c r="H395" s="560"/>
      <c r="I395" s="876"/>
      <c r="J395" s="876"/>
      <c r="K395" s="277"/>
      <c r="L395" s="300">
        <v>15</v>
      </c>
      <c r="M395" s="378" t="s">
        <v>669</v>
      </c>
      <c r="N395" s="302" t="s">
        <v>709</v>
      </c>
      <c r="O395" s="540"/>
      <c r="P395" s="446"/>
      <c r="Q395" s="304">
        <v>1200</v>
      </c>
      <c r="R395" s="574" t="s">
        <v>712</v>
      </c>
      <c r="S395" s="609" t="s">
        <v>713</v>
      </c>
      <c r="T395" s="674">
        <v>46022</v>
      </c>
      <c r="U395" s="493"/>
      <c r="V395" s="879"/>
      <c r="W395" s="524">
        <v>46003</v>
      </c>
      <c r="X395" s="866"/>
      <c r="Y395" s="472"/>
    </row>
    <row r="396" spans="2:25" x14ac:dyDescent="0.2">
      <c r="B396" s="300">
        <v>15</v>
      </c>
      <c r="C396" s="302"/>
      <c r="D396" s="302"/>
      <c r="E396" s="303"/>
      <c r="F396" s="446"/>
      <c r="G396" s="304"/>
      <c r="H396" s="560"/>
      <c r="I396" s="876"/>
      <c r="J396" s="876"/>
      <c r="K396" s="277"/>
      <c r="L396" s="300">
        <v>15</v>
      </c>
      <c r="M396" s="378" t="s">
        <v>669</v>
      </c>
      <c r="N396" s="302" t="s">
        <v>709</v>
      </c>
      <c r="O396" s="540"/>
      <c r="P396" s="446"/>
      <c r="Q396" s="304">
        <v>1200</v>
      </c>
      <c r="R396" s="574" t="s">
        <v>714</v>
      </c>
      <c r="S396" s="609" t="s">
        <v>715</v>
      </c>
      <c r="T396" s="674">
        <v>46053</v>
      </c>
      <c r="U396" s="493"/>
      <c r="V396" s="879"/>
      <c r="W396" s="560">
        <v>46086</v>
      </c>
      <c r="X396" s="866"/>
      <c r="Y396" s="472"/>
    </row>
    <row r="397" spans="2:25" x14ac:dyDescent="0.2">
      <c r="B397" s="300">
        <v>15</v>
      </c>
      <c r="C397" s="302"/>
      <c r="D397" s="302"/>
      <c r="E397" s="303"/>
      <c r="F397" s="446"/>
      <c r="G397" s="304"/>
      <c r="H397" s="560"/>
      <c r="I397" s="876"/>
      <c r="J397" s="876"/>
      <c r="K397" s="277"/>
      <c r="L397" s="300">
        <v>15</v>
      </c>
      <c r="M397" s="378" t="s">
        <v>669</v>
      </c>
      <c r="N397" s="302" t="s">
        <v>709</v>
      </c>
      <c r="O397" s="540"/>
      <c r="P397" s="446"/>
      <c r="Q397" s="304"/>
      <c r="R397" s="574"/>
      <c r="S397" s="609"/>
      <c r="T397" s="509"/>
      <c r="U397" s="493"/>
      <c r="V397" s="879"/>
      <c r="W397" s="560"/>
      <c r="X397" s="866"/>
      <c r="Y397" s="472"/>
    </row>
    <row r="398" spans="2:25" x14ac:dyDescent="0.2">
      <c r="B398" s="300"/>
      <c r="C398" s="302"/>
      <c r="D398" s="302"/>
      <c r="E398" s="303"/>
      <c r="F398" s="446"/>
      <c r="G398" s="304"/>
      <c r="H398" s="560"/>
      <c r="I398" s="876"/>
      <c r="J398" s="876"/>
      <c r="K398" s="277"/>
      <c r="L398" s="300">
        <v>15</v>
      </c>
      <c r="M398" s="378" t="s">
        <v>669</v>
      </c>
      <c r="N398" s="302" t="s">
        <v>709</v>
      </c>
      <c r="O398" s="540"/>
      <c r="P398" s="446"/>
      <c r="Q398" s="304"/>
      <c r="R398" s="574"/>
      <c r="S398" s="609"/>
      <c r="T398" s="509"/>
      <c r="U398" s="493"/>
      <c r="V398" s="879"/>
      <c r="W398" s="560"/>
      <c r="X398" s="866"/>
      <c r="Y398" s="472"/>
    </row>
    <row r="399" spans="2:25" x14ac:dyDescent="0.2">
      <c r="B399" s="300">
        <v>15</v>
      </c>
      <c r="C399" s="302"/>
      <c r="D399" s="302"/>
      <c r="E399" s="303"/>
      <c r="F399" s="446"/>
      <c r="G399" s="304"/>
      <c r="H399" s="560"/>
      <c r="I399" s="876"/>
      <c r="J399" s="876"/>
      <c r="K399" s="277"/>
      <c r="L399" s="300">
        <v>15</v>
      </c>
      <c r="M399" s="378" t="s">
        <v>669</v>
      </c>
      <c r="N399" s="302" t="s">
        <v>716</v>
      </c>
      <c r="O399" s="540">
        <v>270</v>
      </c>
      <c r="P399" s="446">
        <v>1005.8</v>
      </c>
      <c r="Q399" s="304">
        <f>O399*P399</f>
        <v>271566</v>
      </c>
      <c r="R399" s="574"/>
      <c r="S399" s="609"/>
      <c r="T399" s="509">
        <v>46142</v>
      </c>
      <c r="U399" s="493"/>
      <c r="V399" s="879"/>
      <c r="W399" s="560">
        <f>T399</f>
        <v>46142</v>
      </c>
      <c r="X399" s="866"/>
      <c r="Y399" s="472"/>
    </row>
    <row r="400" spans="2:25" x14ac:dyDescent="0.2">
      <c r="B400" s="300">
        <v>15</v>
      </c>
      <c r="C400" s="302"/>
      <c r="D400" s="302"/>
      <c r="E400" s="303"/>
      <c r="F400" s="446"/>
      <c r="G400" s="304"/>
      <c r="H400" s="560"/>
      <c r="I400" s="876"/>
      <c r="J400" s="876"/>
      <c r="K400" s="277"/>
      <c r="L400" s="300">
        <v>15</v>
      </c>
      <c r="M400" s="378" t="s">
        <v>669</v>
      </c>
      <c r="N400" s="302" t="s">
        <v>717</v>
      </c>
      <c r="O400" s="540">
        <v>85</v>
      </c>
      <c r="P400" s="446">
        <v>1005.8</v>
      </c>
      <c r="Q400" s="304">
        <f>O400*P400</f>
        <v>85493</v>
      </c>
      <c r="R400" s="574"/>
      <c r="S400" s="609"/>
      <c r="T400" s="509">
        <v>46142</v>
      </c>
      <c r="U400" s="493"/>
      <c r="V400" s="879"/>
      <c r="W400" s="560">
        <f>T400</f>
        <v>46142</v>
      </c>
      <c r="X400" s="866"/>
      <c r="Y400" s="472"/>
    </row>
    <row r="401" spans="2:75" x14ac:dyDescent="0.2">
      <c r="B401" s="300">
        <v>15</v>
      </c>
      <c r="C401" s="302"/>
      <c r="D401" s="302"/>
      <c r="E401" s="303"/>
      <c r="F401" s="446"/>
      <c r="G401" s="304"/>
      <c r="H401" s="560"/>
      <c r="I401" s="876"/>
      <c r="J401" s="876"/>
      <c r="K401" s="277"/>
      <c r="L401" s="300">
        <v>15</v>
      </c>
      <c r="M401" s="378" t="s">
        <v>669</v>
      </c>
      <c r="N401" s="302" t="s">
        <v>718</v>
      </c>
      <c r="O401" s="540"/>
      <c r="P401" s="446"/>
      <c r="Q401" s="304">
        <v>250000</v>
      </c>
      <c r="R401" s="574"/>
      <c r="S401" s="609"/>
      <c r="T401" s="509">
        <v>46142</v>
      </c>
      <c r="U401" s="493"/>
      <c r="V401" s="879"/>
      <c r="W401" s="560">
        <f>T401</f>
        <v>46142</v>
      </c>
      <c r="X401" s="866"/>
      <c r="Y401" s="472"/>
    </row>
    <row r="402" spans="2:75" x14ac:dyDescent="0.2">
      <c r="B402" s="300"/>
      <c r="C402" s="302"/>
      <c r="D402" s="302"/>
      <c r="E402" s="303"/>
      <c r="F402" s="446"/>
      <c r="G402" s="304"/>
      <c r="H402" s="560"/>
      <c r="I402" s="876"/>
      <c r="J402" s="876"/>
      <c r="K402" s="277"/>
      <c r="L402" s="300">
        <v>15</v>
      </c>
      <c r="M402" s="378" t="s">
        <v>669</v>
      </c>
      <c r="N402" s="302"/>
      <c r="O402" s="540"/>
      <c r="P402" s="446"/>
      <c r="Q402" s="304"/>
      <c r="R402" s="574"/>
      <c r="S402" s="609"/>
      <c r="T402" s="509"/>
      <c r="U402" s="493"/>
      <c r="V402" s="879"/>
      <c r="W402" s="560"/>
      <c r="X402" s="866"/>
      <c r="Y402" s="472"/>
    </row>
    <row r="403" spans="2:75" x14ac:dyDescent="0.2">
      <c r="B403" s="300">
        <v>15</v>
      </c>
      <c r="C403" s="302"/>
      <c r="D403" s="302"/>
      <c r="E403" s="303"/>
      <c r="F403" s="446"/>
      <c r="G403" s="304"/>
      <c r="H403" s="560"/>
      <c r="I403" s="876"/>
      <c r="J403" s="876"/>
      <c r="K403" s="277"/>
      <c r="L403" s="300">
        <v>15</v>
      </c>
      <c r="M403" s="378" t="s">
        <v>669</v>
      </c>
      <c r="N403" s="302" t="s">
        <v>719</v>
      </c>
      <c r="O403" s="540"/>
      <c r="P403" s="446"/>
      <c r="Q403" s="604">
        <v>0</v>
      </c>
      <c r="R403" s="574"/>
      <c r="S403" s="609"/>
      <c r="T403" s="509"/>
      <c r="U403" s="493"/>
      <c r="V403" s="879"/>
      <c r="W403" s="560"/>
      <c r="X403" s="866"/>
      <c r="Y403" s="472"/>
    </row>
    <row r="404" spans="2:75" x14ac:dyDescent="0.2">
      <c r="B404" s="300">
        <v>15</v>
      </c>
      <c r="C404" s="302"/>
      <c r="D404" s="302"/>
      <c r="E404" s="303"/>
      <c r="F404" s="446"/>
      <c r="G404" s="304"/>
      <c r="H404" s="560"/>
      <c r="I404" s="876"/>
      <c r="J404" s="876"/>
      <c r="K404" s="277"/>
      <c r="L404" s="300">
        <v>15</v>
      </c>
      <c r="M404" s="378" t="s">
        <v>669</v>
      </c>
      <c r="N404" s="302" t="s">
        <v>720</v>
      </c>
      <c r="O404" s="540"/>
      <c r="P404" s="446"/>
      <c r="Q404" s="304">
        <v>271125.69</v>
      </c>
      <c r="R404" s="574"/>
      <c r="S404" s="609" t="s">
        <v>721</v>
      </c>
      <c r="T404" s="751">
        <v>46053</v>
      </c>
      <c r="U404" s="493"/>
      <c r="V404" s="879"/>
      <c r="W404" s="524">
        <v>46051</v>
      </c>
      <c r="X404" s="866"/>
      <c r="Y404" s="472"/>
    </row>
    <row r="405" spans="2:75" x14ac:dyDescent="0.2">
      <c r="B405" s="300"/>
      <c r="C405" s="302"/>
      <c r="D405" s="302"/>
      <c r="E405" s="303"/>
      <c r="F405" s="446"/>
      <c r="G405" s="304"/>
      <c r="H405" s="560"/>
      <c r="I405" s="876"/>
      <c r="J405" s="876"/>
      <c r="K405" s="277"/>
      <c r="L405" s="300">
        <v>15</v>
      </c>
      <c r="M405" s="378" t="s">
        <v>669</v>
      </c>
      <c r="N405" s="302" t="s">
        <v>722</v>
      </c>
      <c r="O405" s="540"/>
      <c r="P405" s="446"/>
      <c r="Q405" s="304">
        <v>496745.53</v>
      </c>
      <c r="R405" s="574"/>
      <c r="S405" s="609" t="s">
        <v>723</v>
      </c>
      <c r="T405" s="674">
        <v>46081</v>
      </c>
      <c r="U405" s="493"/>
      <c r="V405" s="879"/>
      <c r="W405" s="756">
        <v>46079</v>
      </c>
      <c r="X405" s="866"/>
      <c r="Y405" s="472"/>
    </row>
    <row r="406" spans="2:75" x14ac:dyDescent="0.2">
      <c r="B406" s="300">
        <v>15</v>
      </c>
      <c r="C406" s="302"/>
      <c r="D406" s="302"/>
      <c r="E406" s="303"/>
      <c r="F406" s="446"/>
      <c r="G406" s="304"/>
      <c r="H406" s="560"/>
      <c r="I406" s="876"/>
      <c r="J406" s="876"/>
      <c r="K406" s="277"/>
      <c r="L406" s="300">
        <v>15</v>
      </c>
      <c r="M406" s="378" t="s">
        <v>669</v>
      </c>
      <c r="N406" s="302" t="s">
        <v>724</v>
      </c>
      <c r="O406" s="540"/>
      <c r="P406" s="446"/>
      <c r="Q406" s="304">
        <v>11500</v>
      </c>
      <c r="R406" s="574"/>
      <c r="S406" s="609"/>
      <c r="T406" s="509">
        <v>46112</v>
      </c>
      <c r="U406" s="493"/>
      <c r="V406" s="879"/>
      <c r="W406" s="560">
        <f>T406+30</f>
        <v>46142</v>
      </c>
      <c r="X406" s="866"/>
      <c r="Y406" s="472"/>
    </row>
    <row r="407" spans="2:75" ht="15" customHeight="1" thickBot="1" x14ac:dyDescent="0.25">
      <c r="B407" s="305">
        <v>15</v>
      </c>
      <c r="C407" s="306"/>
      <c r="D407" s="306"/>
      <c r="E407" s="307"/>
      <c r="F407" s="447"/>
      <c r="G407" s="319"/>
      <c r="H407" s="562"/>
      <c r="I407" s="877"/>
      <c r="J407" s="877"/>
      <c r="K407" s="278"/>
      <c r="L407" s="305">
        <v>15</v>
      </c>
      <c r="M407" s="407" t="s">
        <v>669</v>
      </c>
      <c r="N407" s="306"/>
      <c r="O407" s="542"/>
      <c r="P407" s="447"/>
      <c r="Q407" s="319"/>
      <c r="R407" s="576"/>
      <c r="S407" s="611"/>
      <c r="T407" s="511" t="str">
        <f t="shared" si="32"/>
        <v/>
      </c>
      <c r="U407" s="495"/>
      <c r="V407" s="880"/>
      <c r="W407" s="562"/>
      <c r="X407" s="867"/>
      <c r="Y407" s="472"/>
    </row>
    <row r="408" spans="2:75" s="3" customFormat="1" x14ac:dyDescent="0.2">
      <c r="B408" s="109"/>
      <c r="E408" s="4"/>
      <c r="F408" s="460"/>
      <c r="G408" s="5"/>
      <c r="H408" s="337"/>
      <c r="I408" s="336"/>
      <c r="J408" s="336"/>
      <c r="L408" s="109"/>
      <c r="O408" s="4"/>
      <c r="P408" s="460"/>
      <c r="Q408" s="337"/>
      <c r="R408" s="337"/>
      <c r="S408" s="337"/>
      <c r="T408" s="337"/>
      <c r="U408" s="337"/>
      <c r="V408" s="337"/>
      <c r="W408" s="337"/>
      <c r="X408" s="337"/>
    </row>
    <row r="409" spans="2:75" x14ac:dyDescent="0.2">
      <c r="B409" s="112"/>
      <c r="C409" s="626" t="s">
        <v>725</v>
      </c>
      <c r="D409" s="65">
        <v>14537831.300000001</v>
      </c>
      <c r="E409" s="534"/>
      <c r="F409" s="626">
        <v>15101045.605359133</v>
      </c>
      <c r="G409" s="112"/>
      <c r="I409" s="112"/>
      <c r="J409" s="112"/>
    </row>
    <row r="410" spans="2:75" x14ac:dyDescent="0.2">
      <c r="B410" s="112"/>
      <c r="C410" s="626" t="s">
        <v>726</v>
      </c>
      <c r="D410" s="65">
        <v>2760000</v>
      </c>
      <c r="E410" s="534"/>
      <c r="F410" s="626">
        <v>2982470.7100577182</v>
      </c>
      <c r="G410" s="112"/>
      <c r="I410" s="245"/>
      <c r="J410" s="245"/>
    </row>
    <row r="411" spans="2:75" x14ac:dyDescent="0.2">
      <c r="B411" s="112"/>
      <c r="C411" s="626" t="s">
        <v>727</v>
      </c>
      <c r="D411" s="65">
        <v>7358785.9097348731</v>
      </c>
      <c r="E411" s="534"/>
      <c r="F411" s="626">
        <v>7951943.2744093109</v>
      </c>
      <c r="G411" s="112"/>
      <c r="I411" s="338"/>
      <c r="J411" s="338"/>
    </row>
    <row r="412" spans="2:75" x14ac:dyDescent="0.2">
      <c r="B412" s="112"/>
      <c r="C412" s="626" t="s">
        <v>375</v>
      </c>
      <c r="D412" s="65">
        <v>8057942</v>
      </c>
      <c r="E412" s="534"/>
      <c r="F412" s="626">
        <v>8707455.0718637351</v>
      </c>
      <c r="G412" s="112"/>
      <c r="I412" s="245"/>
      <c r="J412" s="245"/>
    </row>
    <row r="413" spans="2:75" x14ac:dyDescent="0.2">
      <c r="B413" s="112"/>
      <c r="C413" s="626" t="s">
        <v>429</v>
      </c>
      <c r="D413" s="65">
        <v>2941866.9</v>
      </c>
      <c r="E413" s="534"/>
      <c r="F413" s="626">
        <v>3178997.0514993835</v>
      </c>
      <c r="G413" s="112"/>
      <c r="I413" s="338"/>
      <c r="J413" s="338"/>
    </row>
    <row r="414" spans="2:75" ht="15.75" x14ac:dyDescent="0.3">
      <c r="B414" s="112"/>
      <c r="C414" s="626" t="s">
        <v>396</v>
      </c>
      <c r="D414" s="65">
        <v>64000</v>
      </c>
      <c r="E414" s="534"/>
      <c r="F414" s="626">
        <v>69158.741102787666</v>
      </c>
      <c r="G414" s="112"/>
      <c r="I414" s="245"/>
      <c r="J414" s="245"/>
      <c r="O414" s="474" t="s">
        <v>728</v>
      </c>
      <c r="P414" s="761">
        <v>45982</v>
      </c>
    </row>
    <row r="415" spans="2:75" ht="15.75" x14ac:dyDescent="0.3">
      <c r="B415" s="112"/>
      <c r="C415" s="626" t="s">
        <v>729</v>
      </c>
      <c r="D415" s="65">
        <v>565000</v>
      </c>
      <c r="E415" s="534"/>
      <c r="F415" s="626">
        <v>610542.01129804738</v>
      </c>
      <c r="G415" s="112"/>
      <c r="I415" s="245"/>
      <c r="J415" s="245"/>
      <c r="O415" s="474" t="s">
        <v>730</v>
      </c>
      <c r="P415" s="761">
        <f>'Project Plan'!I99</f>
        <v>46006</v>
      </c>
    </row>
    <row r="416" spans="2:75" ht="15.75" x14ac:dyDescent="0.3">
      <c r="B416" s="112"/>
      <c r="C416" s="626" t="s">
        <v>731</v>
      </c>
      <c r="D416" s="65">
        <v>250000</v>
      </c>
      <c r="E416" s="534"/>
      <c r="F416" s="626">
        <v>270151.33243276435</v>
      </c>
      <c r="G416" s="112"/>
      <c r="I416" s="245"/>
      <c r="J416" s="245"/>
      <c r="O416" s="474" t="s">
        <v>732</v>
      </c>
      <c r="P416" s="474">
        <f>P415-P414</f>
        <v>24</v>
      </c>
      <c r="BV416" s="24"/>
      <c r="BW416" s="24"/>
    </row>
    <row r="417" spans="2:10" x14ac:dyDescent="0.2">
      <c r="B417" s="112"/>
      <c r="C417" s="626" t="s">
        <v>733</v>
      </c>
      <c r="D417" s="65">
        <v>1200000</v>
      </c>
      <c r="E417" s="534"/>
      <c r="F417" s="626">
        <v>1296726.3956772687</v>
      </c>
      <c r="G417" s="112"/>
      <c r="I417" s="245"/>
      <c r="J417" s="245"/>
    </row>
    <row r="418" spans="2:10" x14ac:dyDescent="0.2">
      <c r="B418" s="112"/>
      <c r="C418" s="626" t="s">
        <v>734</v>
      </c>
      <c r="D418" s="65">
        <v>0</v>
      </c>
      <c r="E418" s="534"/>
      <c r="F418" s="626">
        <v>0</v>
      </c>
      <c r="G418" s="112"/>
      <c r="I418" s="245"/>
      <c r="J418" s="245"/>
    </row>
    <row r="419" spans="2:10" x14ac:dyDescent="0.2">
      <c r="B419" s="112"/>
      <c r="C419" s="626" t="s">
        <v>735</v>
      </c>
      <c r="D419" s="65">
        <v>0</v>
      </c>
      <c r="E419" s="534"/>
      <c r="F419" s="626">
        <v>0</v>
      </c>
      <c r="G419" s="112"/>
      <c r="I419" s="245"/>
      <c r="J419" s="245"/>
    </row>
    <row r="420" spans="2:10" x14ac:dyDescent="0.2">
      <c r="B420" s="112"/>
      <c r="C420" s="626" t="s">
        <v>736</v>
      </c>
      <c r="D420" s="65"/>
      <c r="E420" s="534"/>
      <c r="F420" s="626"/>
      <c r="G420" s="112"/>
      <c r="I420" s="245"/>
      <c r="J420" s="245"/>
    </row>
    <row r="421" spans="2:10" x14ac:dyDescent="0.2">
      <c r="B421" s="112"/>
      <c r="C421" s="626"/>
      <c r="D421" s="65"/>
      <c r="E421" s="534"/>
      <c r="F421" s="626"/>
      <c r="G421" s="112"/>
      <c r="I421" s="245"/>
      <c r="J421" s="245"/>
    </row>
    <row r="422" spans="2:10" s="112" customFormat="1" x14ac:dyDescent="0.2">
      <c r="C422" s="626" t="s">
        <v>737</v>
      </c>
      <c r="D422" s="626">
        <v>1062060</v>
      </c>
      <c r="E422" s="534"/>
      <c r="F422" s="626">
        <v>1249482.3529411764</v>
      </c>
      <c r="I422" s="245"/>
      <c r="J422" s="245"/>
    </row>
    <row r="423" spans="2:10" s="112" customFormat="1" x14ac:dyDescent="0.2">
      <c r="C423" s="626" t="s">
        <v>738</v>
      </c>
      <c r="D423" s="626">
        <v>3298351.2369999997</v>
      </c>
      <c r="E423" s="534"/>
      <c r="F423" s="626">
        <v>3880413.2199999997</v>
      </c>
      <c r="I423" s="245"/>
      <c r="J423" s="245"/>
    </row>
    <row r="424" spans="2:10" s="112" customFormat="1" x14ac:dyDescent="0.2">
      <c r="C424" s="626" t="s">
        <v>739</v>
      </c>
      <c r="D424" s="626">
        <v>950000</v>
      </c>
      <c r="E424" s="534"/>
      <c r="F424" s="626">
        <v>1079545.4545454546</v>
      </c>
      <c r="I424" s="245"/>
      <c r="J424" s="245"/>
    </row>
    <row r="425" spans="2:10" s="112" customFormat="1" x14ac:dyDescent="0.2">
      <c r="C425" s="626" t="s">
        <v>740</v>
      </c>
      <c r="D425" s="626">
        <v>420000</v>
      </c>
      <c r="E425" s="534"/>
      <c r="F425" s="626">
        <v>494117.64705882355</v>
      </c>
      <c r="I425" s="245"/>
      <c r="J425" s="245"/>
    </row>
    <row r="426" spans="2:10" s="112" customFormat="1" x14ac:dyDescent="0.2">
      <c r="C426" s="626" t="s">
        <v>741</v>
      </c>
      <c r="D426" s="626">
        <v>85000</v>
      </c>
      <c r="E426" s="534"/>
      <c r="F426" s="626">
        <v>100000</v>
      </c>
      <c r="I426" s="245"/>
      <c r="J426" s="245"/>
    </row>
    <row r="427" spans="2:10" s="112" customFormat="1" x14ac:dyDescent="0.2">
      <c r="C427" s="626" t="s">
        <v>742</v>
      </c>
      <c r="D427" s="626">
        <v>0</v>
      </c>
      <c r="E427" s="534"/>
      <c r="F427" s="626">
        <v>0</v>
      </c>
      <c r="I427" s="245"/>
      <c r="J427" s="245"/>
    </row>
    <row r="428" spans="2:10" s="112" customFormat="1" x14ac:dyDescent="0.2">
      <c r="C428" s="626" t="s">
        <v>743</v>
      </c>
      <c r="D428" s="626">
        <v>176058.33333333331</v>
      </c>
      <c r="E428" s="534"/>
      <c r="F428" s="626">
        <v>207127.45098039214</v>
      </c>
      <c r="I428" s="245"/>
      <c r="J428" s="245"/>
    </row>
    <row r="429" spans="2:10" s="112" customFormat="1" x14ac:dyDescent="0.2">
      <c r="C429" s="626" t="s">
        <v>744</v>
      </c>
      <c r="D429" s="626">
        <v>0</v>
      </c>
      <c r="E429" s="534"/>
      <c r="F429" s="626">
        <v>0</v>
      </c>
      <c r="I429" s="245"/>
      <c r="J429" s="245"/>
    </row>
    <row r="430" spans="2:10" s="112" customFormat="1" x14ac:dyDescent="0.2">
      <c r="C430" s="626" t="s">
        <v>745</v>
      </c>
      <c r="D430" s="626">
        <v>133245.9</v>
      </c>
      <c r="E430" s="534"/>
      <c r="F430" s="626">
        <v>156759.88235294117</v>
      </c>
      <c r="I430" s="245"/>
      <c r="J430" s="245"/>
    </row>
    <row r="431" spans="2:10" s="112" customFormat="1" x14ac:dyDescent="0.2">
      <c r="C431" s="626" t="s">
        <v>746</v>
      </c>
      <c r="D431" s="626">
        <v>0</v>
      </c>
      <c r="E431" s="534"/>
      <c r="F431" s="626">
        <v>0</v>
      </c>
      <c r="I431" s="245"/>
      <c r="J431" s="245"/>
    </row>
    <row r="432" spans="2:10" s="112" customFormat="1" x14ac:dyDescent="0.2">
      <c r="C432" s="626" t="s">
        <v>747</v>
      </c>
      <c r="D432" s="626">
        <v>12030860.6085</v>
      </c>
      <c r="E432" s="534"/>
      <c r="F432" s="626">
        <v>12664063.798421053</v>
      </c>
      <c r="I432" s="245"/>
      <c r="J432" s="245"/>
    </row>
    <row r="433" spans="3:10" s="112" customFormat="1" x14ac:dyDescent="0.2">
      <c r="C433" s="626"/>
      <c r="D433" s="626"/>
      <c r="E433" s="534"/>
      <c r="F433" s="626"/>
      <c r="I433" s="245"/>
      <c r="J433" s="245"/>
    </row>
    <row r="434" spans="3:10" s="112" customFormat="1" x14ac:dyDescent="0.2">
      <c r="C434" s="626" t="s">
        <v>748</v>
      </c>
      <c r="D434" s="626"/>
      <c r="E434" s="534"/>
      <c r="F434" s="626"/>
      <c r="I434" s="245"/>
      <c r="J434" s="245"/>
    </row>
    <row r="435" spans="3:10" s="112" customFormat="1" x14ac:dyDescent="0.2">
      <c r="C435" s="626" t="s">
        <v>749</v>
      </c>
      <c r="D435" s="626">
        <v>0</v>
      </c>
      <c r="E435" s="534"/>
      <c r="F435" s="626">
        <v>0</v>
      </c>
      <c r="I435" s="245"/>
      <c r="J435" s="245"/>
    </row>
    <row r="436" spans="3:10" s="112" customFormat="1" x14ac:dyDescent="0.2">
      <c r="C436" s="538"/>
      <c r="D436" s="538"/>
      <c r="E436" s="155"/>
      <c r="F436" s="451"/>
      <c r="I436" s="245"/>
      <c r="J436" s="245"/>
    </row>
    <row r="437" spans="3:10" s="112" customFormat="1" x14ac:dyDescent="0.2">
      <c r="C437" s="538"/>
      <c r="D437" s="538"/>
      <c r="E437" s="155"/>
      <c r="F437" s="451"/>
      <c r="I437" s="245"/>
      <c r="J437" s="245"/>
    </row>
    <row r="438" spans="3:10" s="112" customFormat="1" x14ac:dyDescent="0.2">
      <c r="C438" s="538"/>
      <c r="D438" s="538"/>
      <c r="E438" s="155"/>
      <c r="F438" s="451"/>
      <c r="I438" s="245"/>
      <c r="J438" s="245"/>
    </row>
    <row r="439" spans="3:10" s="112" customFormat="1" x14ac:dyDescent="0.2">
      <c r="C439" s="538"/>
      <c r="D439" s="538"/>
      <c r="E439" s="155"/>
      <c r="F439" s="451"/>
      <c r="I439" s="245"/>
      <c r="J439" s="245"/>
    </row>
    <row r="440" spans="3:10" s="112" customFormat="1" x14ac:dyDescent="0.2">
      <c r="C440" s="538"/>
      <c r="D440" s="538"/>
      <c r="E440" s="155"/>
      <c r="F440" s="451"/>
      <c r="I440" s="245"/>
      <c r="J440" s="245"/>
    </row>
    <row r="441" spans="3:10" s="112" customFormat="1" x14ac:dyDescent="0.2">
      <c r="C441" s="538"/>
      <c r="D441" s="538"/>
      <c r="E441" s="155"/>
      <c r="F441" s="451"/>
      <c r="I441" s="245"/>
      <c r="J441" s="245"/>
    </row>
    <row r="442" spans="3:10" s="112" customFormat="1" x14ac:dyDescent="0.2">
      <c r="C442" s="538"/>
      <c r="D442" s="538"/>
      <c r="E442" s="155"/>
      <c r="F442" s="451"/>
      <c r="I442" s="245"/>
      <c r="J442" s="245"/>
    </row>
    <row r="443" spans="3:10" s="112" customFormat="1" x14ac:dyDescent="0.2">
      <c r="C443" s="538"/>
      <c r="D443" s="538"/>
      <c r="E443" s="155"/>
      <c r="F443" s="451"/>
      <c r="I443" s="245"/>
      <c r="J443" s="245"/>
    </row>
    <row r="444" spans="3:10" s="112" customFormat="1" x14ac:dyDescent="0.2">
      <c r="C444" s="538"/>
      <c r="D444" s="538"/>
      <c r="E444" s="155"/>
      <c r="F444" s="451"/>
      <c r="I444" s="245"/>
      <c r="J444" s="245"/>
    </row>
    <row r="445" spans="3:10" s="112" customFormat="1" x14ac:dyDescent="0.2">
      <c r="C445" s="538"/>
      <c r="D445" s="538"/>
      <c r="E445" s="155"/>
      <c r="F445" s="451"/>
      <c r="I445" s="245"/>
      <c r="J445" s="245"/>
    </row>
    <row r="446" spans="3:10" s="112" customFormat="1" x14ac:dyDescent="0.2">
      <c r="C446" s="538"/>
      <c r="D446" s="538"/>
      <c r="E446" s="155"/>
      <c r="F446" s="451"/>
      <c r="I446" s="245"/>
      <c r="J446" s="245"/>
    </row>
    <row r="447" spans="3:10" s="112" customFormat="1" x14ac:dyDescent="0.2">
      <c r="C447" s="538"/>
      <c r="D447" s="538"/>
      <c r="E447" s="155"/>
      <c r="F447" s="451"/>
      <c r="I447" s="245"/>
      <c r="J447" s="245"/>
    </row>
    <row r="448" spans="3:10" s="112" customFormat="1" x14ac:dyDescent="0.2">
      <c r="C448" s="538"/>
      <c r="D448" s="538"/>
      <c r="E448" s="155"/>
      <c r="F448" s="451"/>
      <c r="I448" s="245"/>
      <c r="J448" s="245"/>
    </row>
    <row r="449" spans="3:10" s="112" customFormat="1" x14ac:dyDescent="0.2">
      <c r="C449" s="538"/>
      <c r="D449" s="538"/>
      <c r="E449" s="155"/>
      <c r="F449" s="451"/>
      <c r="I449" s="245"/>
      <c r="J449" s="245"/>
    </row>
    <row r="450" spans="3:10" s="112" customFormat="1" x14ac:dyDescent="0.2">
      <c r="C450" s="538"/>
      <c r="D450" s="538"/>
      <c r="E450" s="155"/>
      <c r="F450" s="451"/>
      <c r="I450" s="245"/>
      <c r="J450" s="245"/>
    </row>
    <row r="451" spans="3:10" s="112" customFormat="1" x14ac:dyDescent="0.2">
      <c r="C451" s="538"/>
      <c r="D451" s="538"/>
      <c r="E451" s="155"/>
      <c r="F451" s="451"/>
      <c r="I451" s="245"/>
      <c r="J451" s="245"/>
    </row>
    <row r="452" spans="3:10" s="112" customFormat="1" x14ac:dyDescent="0.2">
      <c r="C452" s="538"/>
      <c r="D452" s="538"/>
      <c r="E452" s="155"/>
      <c r="F452" s="451"/>
      <c r="I452" s="245"/>
      <c r="J452" s="245"/>
    </row>
    <row r="453" spans="3:10" s="112" customFormat="1" x14ac:dyDescent="0.2">
      <c r="C453" s="538"/>
      <c r="D453" s="538"/>
      <c r="E453" s="155"/>
      <c r="F453" s="451"/>
      <c r="I453" s="245"/>
      <c r="J453" s="245"/>
    </row>
    <row r="454" spans="3:10" s="112" customFormat="1" x14ac:dyDescent="0.2">
      <c r="C454" s="538"/>
      <c r="D454" s="538"/>
      <c r="E454" s="155"/>
      <c r="F454" s="451"/>
      <c r="I454" s="245"/>
      <c r="J454" s="245"/>
    </row>
    <row r="455" spans="3:10" s="112" customFormat="1" x14ac:dyDescent="0.2">
      <c r="C455" s="538"/>
      <c r="D455" s="538"/>
      <c r="E455" s="155"/>
      <c r="F455" s="451"/>
      <c r="I455" s="245"/>
      <c r="J455" s="245"/>
    </row>
    <row r="456" spans="3:10" s="112" customFormat="1" x14ac:dyDescent="0.2">
      <c r="E456" s="155"/>
      <c r="F456" s="451"/>
      <c r="I456" s="245"/>
      <c r="J456" s="245"/>
    </row>
    <row r="457" spans="3:10" s="112" customFormat="1" x14ac:dyDescent="0.2">
      <c r="E457" s="155"/>
      <c r="F457" s="451"/>
      <c r="I457" s="245"/>
      <c r="J457" s="245"/>
    </row>
    <row r="458" spans="3:10" s="112" customFormat="1" x14ac:dyDescent="0.2">
      <c r="E458" s="155"/>
      <c r="F458" s="451"/>
      <c r="I458" s="245"/>
      <c r="J458" s="245"/>
    </row>
    <row r="459" spans="3:10" s="112" customFormat="1" x14ac:dyDescent="0.2">
      <c r="E459" s="155"/>
      <c r="F459" s="451"/>
      <c r="I459" s="245"/>
      <c r="J459" s="245"/>
    </row>
    <row r="460" spans="3:10" s="112" customFormat="1" x14ac:dyDescent="0.2">
      <c r="E460" s="155"/>
      <c r="F460" s="451"/>
      <c r="I460" s="245"/>
      <c r="J460" s="245"/>
    </row>
    <row r="461" spans="3:10" s="112" customFormat="1" x14ac:dyDescent="0.2">
      <c r="E461" s="155"/>
      <c r="F461" s="451"/>
      <c r="I461" s="245"/>
      <c r="J461" s="245"/>
    </row>
    <row r="462" spans="3:10" s="112" customFormat="1" x14ac:dyDescent="0.2">
      <c r="E462" s="155"/>
      <c r="F462" s="451"/>
      <c r="I462" s="245"/>
      <c r="J462" s="245"/>
    </row>
    <row r="463" spans="3:10" s="112" customFormat="1" x14ac:dyDescent="0.2">
      <c r="E463" s="155"/>
      <c r="F463" s="451"/>
      <c r="I463" s="245"/>
      <c r="J463" s="245"/>
    </row>
    <row r="464" spans="3:10" s="112" customFormat="1" x14ac:dyDescent="0.2">
      <c r="E464" s="155"/>
      <c r="F464" s="451"/>
      <c r="I464" s="245"/>
      <c r="J464" s="245"/>
    </row>
    <row r="465" spans="5:10" s="112" customFormat="1" x14ac:dyDescent="0.2">
      <c r="E465" s="155"/>
      <c r="F465" s="451"/>
      <c r="I465" s="245"/>
      <c r="J465" s="245"/>
    </row>
    <row r="466" spans="5:10" s="112" customFormat="1" x14ac:dyDescent="0.2">
      <c r="E466" s="155"/>
      <c r="F466" s="451"/>
      <c r="I466" s="245"/>
      <c r="J466" s="245"/>
    </row>
    <row r="467" spans="5:10" s="112" customFormat="1" x14ac:dyDescent="0.2">
      <c r="E467" s="155"/>
      <c r="F467" s="451"/>
      <c r="I467" s="245"/>
      <c r="J467" s="245"/>
    </row>
    <row r="468" spans="5:10" s="112" customFormat="1" x14ac:dyDescent="0.2">
      <c r="E468" s="155"/>
      <c r="F468" s="451"/>
      <c r="I468" s="245"/>
      <c r="J468" s="245"/>
    </row>
    <row r="469" spans="5:10" s="112" customFormat="1" x14ac:dyDescent="0.2">
      <c r="E469" s="155"/>
      <c r="F469" s="451"/>
      <c r="I469" s="245"/>
      <c r="J469" s="245"/>
    </row>
    <row r="470" spans="5:10" s="112" customFormat="1" x14ac:dyDescent="0.2">
      <c r="E470" s="155"/>
      <c r="F470" s="451"/>
      <c r="I470" s="245"/>
      <c r="J470" s="245"/>
    </row>
    <row r="471" spans="5:10" s="112" customFormat="1" x14ac:dyDescent="0.2">
      <c r="E471" s="155"/>
      <c r="F471" s="451"/>
      <c r="I471" s="245"/>
      <c r="J471" s="245"/>
    </row>
    <row r="472" spans="5:10" s="112" customFormat="1" x14ac:dyDescent="0.2">
      <c r="E472" s="155"/>
      <c r="F472" s="451"/>
      <c r="I472" s="245"/>
      <c r="J472" s="245"/>
    </row>
    <row r="473" spans="5:10" s="112" customFormat="1" x14ac:dyDescent="0.2">
      <c r="E473" s="155"/>
      <c r="F473" s="451"/>
      <c r="I473" s="245"/>
      <c r="J473" s="245"/>
    </row>
    <row r="474" spans="5:10" s="112" customFormat="1" x14ac:dyDescent="0.2">
      <c r="E474" s="155"/>
      <c r="F474" s="451"/>
      <c r="I474" s="245"/>
      <c r="J474" s="245"/>
    </row>
    <row r="475" spans="5:10" s="112" customFormat="1" x14ac:dyDescent="0.2">
      <c r="E475" s="155"/>
      <c r="F475" s="451"/>
      <c r="I475" s="245"/>
      <c r="J475" s="245"/>
    </row>
    <row r="476" spans="5:10" s="112" customFormat="1" x14ac:dyDescent="0.2">
      <c r="E476" s="155"/>
      <c r="F476" s="451"/>
      <c r="I476" s="245"/>
      <c r="J476" s="245"/>
    </row>
    <row r="477" spans="5:10" s="112" customFormat="1" x14ac:dyDescent="0.2">
      <c r="E477" s="155"/>
      <c r="F477" s="451"/>
      <c r="I477" s="245"/>
      <c r="J477" s="245"/>
    </row>
    <row r="478" spans="5:10" s="112" customFormat="1" x14ac:dyDescent="0.2">
      <c r="E478" s="155"/>
      <c r="F478" s="451"/>
      <c r="I478" s="245"/>
      <c r="J478" s="245"/>
    </row>
    <row r="479" spans="5:10" s="112" customFormat="1" x14ac:dyDescent="0.2">
      <c r="E479" s="155"/>
      <c r="F479" s="451"/>
      <c r="I479" s="245"/>
      <c r="J479" s="245"/>
    </row>
    <row r="480" spans="5:10" s="112" customFormat="1" x14ac:dyDescent="0.2">
      <c r="E480" s="155"/>
      <c r="F480" s="451"/>
      <c r="I480" s="245"/>
      <c r="J480" s="245"/>
    </row>
    <row r="481" spans="5:10" s="112" customFormat="1" x14ac:dyDescent="0.2">
      <c r="E481" s="155"/>
      <c r="F481" s="451"/>
      <c r="I481" s="245"/>
      <c r="J481" s="245"/>
    </row>
    <row r="482" spans="5:10" s="112" customFormat="1" x14ac:dyDescent="0.2">
      <c r="E482" s="155"/>
      <c r="F482" s="451"/>
      <c r="I482" s="245"/>
      <c r="J482" s="245"/>
    </row>
    <row r="483" spans="5:10" s="112" customFormat="1" x14ac:dyDescent="0.2">
      <c r="E483" s="155"/>
      <c r="F483" s="451"/>
      <c r="I483" s="245"/>
      <c r="J483" s="245"/>
    </row>
    <row r="484" spans="5:10" s="112" customFormat="1" x14ac:dyDescent="0.2">
      <c r="E484" s="155"/>
      <c r="F484" s="451"/>
      <c r="I484" s="245"/>
      <c r="J484" s="245"/>
    </row>
    <row r="485" spans="5:10" s="112" customFormat="1" x14ac:dyDescent="0.2">
      <c r="E485" s="155"/>
      <c r="F485" s="451"/>
      <c r="I485" s="245"/>
      <c r="J485" s="245"/>
    </row>
    <row r="486" spans="5:10" s="112" customFormat="1" x14ac:dyDescent="0.2">
      <c r="E486" s="155"/>
      <c r="F486" s="451"/>
      <c r="I486" s="245"/>
      <c r="J486" s="245"/>
    </row>
    <row r="487" spans="5:10" s="112" customFormat="1" x14ac:dyDescent="0.2">
      <c r="E487" s="155"/>
      <c r="F487" s="451"/>
      <c r="I487" s="245"/>
      <c r="J487" s="245"/>
    </row>
    <row r="488" spans="5:10" s="112" customFormat="1" x14ac:dyDescent="0.2">
      <c r="E488" s="155"/>
      <c r="F488" s="451"/>
      <c r="I488" s="245"/>
      <c r="J488" s="245"/>
    </row>
    <row r="489" spans="5:10" s="112" customFormat="1" x14ac:dyDescent="0.2">
      <c r="E489" s="155"/>
      <c r="F489" s="451"/>
      <c r="I489" s="245"/>
      <c r="J489" s="245"/>
    </row>
    <row r="490" spans="5:10" s="112" customFormat="1" x14ac:dyDescent="0.2">
      <c r="E490" s="155"/>
      <c r="F490" s="451"/>
      <c r="I490" s="245"/>
      <c r="J490" s="245"/>
    </row>
    <row r="491" spans="5:10" s="112" customFormat="1" x14ac:dyDescent="0.2">
      <c r="E491" s="155"/>
      <c r="F491" s="451"/>
      <c r="I491" s="245"/>
      <c r="J491" s="245"/>
    </row>
    <row r="492" spans="5:10" s="112" customFormat="1" x14ac:dyDescent="0.2">
      <c r="E492" s="155"/>
      <c r="F492" s="451"/>
      <c r="I492" s="245"/>
      <c r="J492" s="245"/>
    </row>
    <row r="493" spans="5:10" s="112" customFormat="1" x14ac:dyDescent="0.2">
      <c r="E493" s="155"/>
      <c r="F493" s="451"/>
      <c r="I493" s="245"/>
      <c r="J493" s="245"/>
    </row>
    <row r="494" spans="5:10" s="112" customFormat="1" x14ac:dyDescent="0.2">
      <c r="E494" s="155"/>
      <c r="F494" s="451"/>
      <c r="I494" s="245"/>
      <c r="J494" s="245"/>
    </row>
    <row r="495" spans="5:10" s="112" customFormat="1" x14ac:dyDescent="0.2">
      <c r="E495" s="155"/>
      <c r="F495" s="451"/>
      <c r="I495" s="245"/>
      <c r="J495" s="245"/>
    </row>
    <row r="496" spans="5:10" s="112" customFormat="1" x14ac:dyDescent="0.2">
      <c r="E496" s="155"/>
      <c r="F496" s="451"/>
      <c r="I496" s="245"/>
      <c r="J496" s="245"/>
    </row>
    <row r="497" spans="5:10" s="112" customFormat="1" x14ac:dyDescent="0.2">
      <c r="E497" s="155"/>
      <c r="F497" s="451"/>
      <c r="I497" s="245"/>
      <c r="J497" s="245"/>
    </row>
    <row r="498" spans="5:10" s="112" customFormat="1" x14ac:dyDescent="0.2">
      <c r="E498" s="155"/>
      <c r="F498" s="451"/>
      <c r="I498" s="245"/>
      <c r="J498" s="245"/>
    </row>
    <row r="499" spans="5:10" s="112" customFormat="1" x14ac:dyDescent="0.2">
      <c r="E499" s="155"/>
      <c r="F499" s="451"/>
      <c r="I499" s="245"/>
      <c r="J499" s="245"/>
    </row>
    <row r="500" spans="5:10" s="112" customFormat="1" x14ac:dyDescent="0.2">
      <c r="E500" s="155"/>
      <c r="F500" s="451"/>
      <c r="I500" s="245"/>
      <c r="J500" s="245"/>
    </row>
    <row r="501" spans="5:10" s="112" customFormat="1" x14ac:dyDescent="0.2">
      <c r="E501" s="155"/>
      <c r="F501" s="451"/>
      <c r="I501" s="245"/>
      <c r="J501" s="245"/>
    </row>
    <row r="502" spans="5:10" s="112" customFormat="1" x14ac:dyDescent="0.2">
      <c r="E502" s="155"/>
      <c r="F502" s="451"/>
      <c r="I502" s="245"/>
      <c r="J502" s="245"/>
    </row>
    <row r="503" spans="5:10" s="112" customFormat="1" x14ac:dyDescent="0.2">
      <c r="E503" s="155"/>
      <c r="F503" s="451"/>
      <c r="I503" s="245"/>
      <c r="J503" s="245"/>
    </row>
    <row r="504" spans="5:10" s="112" customFormat="1" x14ac:dyDescent="0.2">
      <c r="E504" s="155"/>
      <c r="F504" s="451"/>
      <c r="I504" s="245"/>
      <c r="J504" s="245"/>
    </row>
    <row r="505" spans="5:10" s="112" customFormat="1" x14ac:dyDescent="0.2">
      <c r="E505" s="155"/>
      <c r="F505" s="451"/>
      <c r="I505" s="245"/>
      <c r="J505" s="245"/>
    </row>
    <row r="506" spans="5:10" s="112" customFormat="1" x14ac:dyDescent="0.2">
      <c r="E506" s="155"/>
      <c r="F506" s="451"/>
      <c r="I506" s="245"/>
      <c r="J506" s="245"/>
    </row>
    <row r="507" spans="5:10" s="112" customFormat="1" x14ac:dyDescent="0.2">
      <c r="E507" s="155"/>
      <c r="F507" s="451"/>
      <c r="I507" s="245"/>
      <c r="J507" s="245"/>
    </row>
    <row r="508" spans="5:10" s="112" customFormat="1" x14ac:dyDescent="0.2">
      <c r="E508" s="155"/>
      <c r="F508" s="451"/>
      <c r="I508" s="245"/>
      <c r="J508" s="245"/>
    </row>
    <row r="509" spans="5:10" s="112" customFormat="1" x14ac:dyDescent="0.2">
      <c r="E509" s="155"/>
      <c r="F509" s="451"/>
      <c r="I509" s="245"/>
      <c r="J509" s="245"/>
    </row>
    <row r="510" spans="5:10" s="112" customFormat="1" x14ac:dyDescent="0.2">
      <c r="E510" s="155"/>
      <c r="F510" s="451"/>
      <c r="I510" s="245"/>
      <c r="J510" s="245"/>
    </row>
    <row r="511" spans="5:10" s="112" customFormat="1" x14ac:dyDescent="0.2">
      <c r="E511" s="155"/>
      <c r="F511" s="451"/>
      <c r="I511" s="245"/>
      <c r="J511" s="245"/>
    </row>
    <row r="512" spans="5:10" s="112" customFormat="1" x14ac:dyDescent="0.2">
      <c r="E512" s="155"/>
      <c r="F512" s="451"/>
      <c r="I512" s="245"/>
      <c r="J512" s="245"/>
    </row>
    <row r="513" spans="5:10" s="112" customFormat="1" x14ac:dyDescent="0.2">
      <c r="E513" s="155"/>
      <c r="F513" s="451"/>
      <c r="I513" s="245"/>
      <c r="J513" s="245"/>
    </row>
    <row r="514" spans="5:10" s="112" customFormat="1" x14ac:dyDescent="0.2">
      <c r="E514" s="155"/>
      <c r="F514" s="451"/>
      <c r="I514" s="245"/>
      <c r="J514" s="245"/>
    </row>
    <row r="515" spans="5:10" s="112" customFormat="1" x14ac:dyDescent="0.2">
      <c r="E515" s="155"/>
      <c r="F515" s="451"/>
      <c r="I515" s="245"/>
      <c r="J515" s="245"/>
    </row>
    <row r="516" spans="5:10" s="112" customFormat="1" x14ac:dyDescent="0.2">
      <c r="E516" s="155"/>
      <c r="F516" s="451"/>
      <c r="I516" s="245"/>
      <c r="J516" s="245"/>
    </row>
    <row r="517" spans="5:10" s="112" customFormat="1" x14ac:dyDescent="0.2">
      <c r="E517" s="155"/>
      <c r="F517" s="451"/>
      <c r="I517" s="245"/>
      <c r="J517" s="245"/>
    </row>
    <row r="518" spans="5:10" s="112" customFormat="1" x14ac:dyDescent="0.2">
      <c r="E518" s="155"/>
      <c r="F518" s="451"/>
      <c r="I518" s="245"/>
      <c r="J518" s="245"/>
    </row>
    <row r="519" spans="5:10" s="112" customFormat="1" x14ac:dyDescent="0.2">
      <c r="E519" s="155"/>
      <c r="F519" s="451"/>
      <c r="I519" s="245"/>
      <c r="J519" s="245"/>
    </row>
    <row r="520" spans="5:10" s="112" customFormat="1" x14ac:dyDescent="0.2">
      <c r="E520" s="155"/>
      <c r="F520" s="451"/>
      <c r="I520" s="245"/>
      <c r="J520" s="245"/>
    </row>
    <row r="521" spans="5:10" s="112" customFormat="1" x14ac:dyDescent="0.2">
      <c r="E521" s="155"/>
      <c r="F521" s="451"/>
      <c r="I521" s="245"/>
      <c r="J521" s="245"/>
    </row>
    <row r="522" spans="5:10" s="112" customFormat="1" x14ac:dyDescent="0.2">
      <c r="E522" s="155"/>
      <c r="F522" s="451"/>
      <c r="I522" s="245"/>
      <c r="J522" s="245"/>
    </row>
    <row r="523" spans="5:10" s="112" customFormat="1" x14ac:dyDescent="0.2">
      <c r="E523" s="155"/>
      <c r="F523" s="451"/>
      <c r="I523" s="245"/>
      <c r="J523" s="245"/>
    </row>
    <row r="524" spans="5:10" s="112" customFormat="1" x14ac:dyDescent="0.2">
      <c r="E524" s="155"/>
      <c r="F524" s="451"/>
      <c r="I524" s="245"/>
      <c r="J524" s="245"/>
    </row>
    <row r="525" spans="5:10" s="112" customFormat="1" x14ac:dyDescent="0.2">
      <c r="E525" s="155"/>
      <c r="F525" s="451"/>
      <c r="I525" s="245"/>
      <c r="J525" s="245"/>
    </row>
    <row r="526" spans="5:10" s="112" customFormat="1" x14ac:dyDescent="0.2">
      <c r="E526" s="155"/>
      <c r="F526" s="451"/>
      <c r="I526" s="245"/>
      <c r="J526" s="245"/>
    </row>
    <row r="527" spans="5:10" s="112" customFormat="1" x14ac:dyDescent="0.2">
      <c r="E527" s="155"/>
      <c r="F527" s="451"/>
      <c r="I527" s="245"/>
      <c r="J527" s="245"/>
    </row>
    <row r="528" spans="5:10" s="112" customFormat="1" x14ac:dyDescent="0.2">
      <c r="E528" s="155"/>
      <c r="F528" s="451"/>
      <c r="I528" s="245"/>
      <c r="J528" s="245"/>
    </row>
    <row r="529" spans="5:10" s="112" customFormat="1" x14ac:dyDescent="0.2">
      <c r="E529" s="155"/>
      <c r="F529" s="451"/>
      <c r="I529" s="245"/>
      <c r="J529" s="245"/>
    </row>
    <row r="530" spans="5:10" s="112" customFormat="1" x14ac:dyDescent="0.2">
      <c r="E530" s="155"/>
      <c r="F530" s="451"/>
      <c r="I530" s="245"/>
      <c r="J530" s="245"/>
    </row>
    <row r="531" spans="5:10" s="112" customFormat="1" x14ac:dyDescent="0.2">
      <c r="E531" s="155"/>
      <c r="F531" s="451"/>
      <c r="I531" s="245"/>
      <c r="J531" s="245"/>
    </row>
    <row r="532" spans="5:10" s="112" customFormat="1" x14ac:dyDescent="0.2">
      <c r="E532" s="155"/>
      <c r="F532" s="451"/>
      <c r="I532" s="245"/>
      <c r="J532" s="245"/>
    </row>
    <row r="533" spans="5:10" s="112" customFormat="1" x14ac:dyDescent="0.2">
      <c r="E533" s="155"/>
      <c r="F533" s="451"/>
      <c r="I533" s="245"/>
      <c r="J533" s="245"/>
    </row>
    <row r="534" spans="5:10" s="112" customFormat="1" x14ac:dyDescent="0.2">
      <c r="E534" s="155"/>
      <c r="F534" s="451"/>
      <c r="I534" s="245"/>
      <c r="J534" s="245"/>
    </row>
    <row r="535" spans="5:10" s="112" customFormat="1" x14ac:dyDescent="0.2">
      <c r="E535" s="155"/>
      <c r="F535" s="451"/>
      <c r="I535" s="245"/>
      <c r="J535" s="245"/>
    </row>
    <row r="536" spans="5:10" s="112" customFormat="1" x14ac:dyDescent="0.2">
      <c r="E536" s="155"/>
      <c r="F536" s="451"/>
      <c r="I536" s="245"/>
      <c r="J536" s="245"/>
    </row>
    <row r="537" spans="5:10" s="112" customFormat="1" x14ac:dyDescent="0.2">
      <c r="E537" s="155"/>
      <c r="F537" s="451"/>
      <c r="I537" s="245"/>
      <c r="J537" s="245"/>
    </row>
    <row r="538" spans="5:10" s="112" customFormat="1" x14ac:dyDescent="0.2">
      <c r="E538" s="155"/>
      <c r="F538" s="451"/>
      <c r="I538" s="245"/>
      <c r="J538" s="245"/>
    </row>
    <row r="539" spans="5:10" s="112" customFormat="1" x14ac:dyDescent="0.2">
      <c r="E539" s="155"/>
      <c r="F539" s="451"/>
      <c r="I539" s="245"/>
      <c r="J539" s="245"/>
    </row>
    <row r="540" spans="5:10" s="112" customFormat="1" x14ac:dyDescent="0.2">
      <c r="E540" s="155"/>
      <c r="F540" s="451"/>
      <c r="I540" s="245"/>
      <c r="J540" s="245"/>
    </row>
    <row r="541" spans="5:10" s="112" customFormat="1" x14ac:dyDescent="0.2">
      <c r="E541" s="155"/>
      <c r="F541" s="451"/>
      <c r="I541" s="245"/>
      <c r="J541" s="245"/>
    </row>
    <row r="542" spans="5:10" s="112" customFormat="1" x14ac:dyDescent="0.2">
      <c r="E542" s="155"/>
      <c r="F542" s="451"/>
      <c r="I542" s="245"/>
      <c r="J542" s="245"/>
    </row>
    <row r="543" spans="5:10" s="112" customFormat="1" x14ac:dyDescent="0.2">
      <c r="E543" s="155"/>
      <c r="F543" s="451"/>
      <c r="I543" s="245"/>
      <c r="J543" s="245"/>
    </row>
    <row r="544" spans="5:10" s="112" customFormat="1" x14ac:dyDescent="0.2">
      <c r="E544" s="155"/>
      <c r="F544" s="451"/>
      <c r="I544" s="245"/>
      <c r="J544" s="245"/>
    </row>
    <row r="545" spans="5:10" s="112" customFormat="1" x14ac:dyDescent="0.2">
      <c r="E545" s="155"/>
      <c r="F545" s="451"/>
      <c r="I545" s="245"/>
      <c r="J545" s="245"/>
    </row>
    <row r="546" spans="5:10" s="112" customFormat="1" x14ac:dyDescent="0.2">
      <c r="E546" s="155"/>
      <c r="F546" s="451"/>
      <c r="I546" s="245"/>
      <c r="J546" s="245"/>
    </row>
    <row r="547" spans="5:10" s="112" customFormat="1" x14ac:dyDescent="0.2">
      <c r="E547" s="155"/>
      <c r="F547" s="451"/>
      <c r="I547" s="245"/>
      <c r="J547" s="245"/>
    </row>
    <row r="548" spans="5:10" s="112" customFormat="1" x14ac:dyDescent="0.2">
      <c r="E548" s="155"/>
      <c r="F548" s="451"/>
      <c r="I548" s="245"/>
      <c r="J548" s="245"/>
    </row>
    <row r="549" spans="5:10" s="112" customFormat="1" x14ac:dyDescent="0.2">
      <c r="E549" s="155"/>
      <c r="F549" s="451"/>
      <c r="I549" s="245"/>
      <c r="J549" s="245"/>
    </row>
    <row r="550" spans="5:10" s="112" customFormat="1" x14ac:dyDescent="0.2">
      <c r="E550" s="155"/>
      <c r="F550" s="451"/>
      <c r="I550" s="245"/>
      <c r="J550" s="245"/>
    </row>
    <row r="551" spans="5:10" s="112" customFormat="1" x14ac:dyDescent="0.2">
      <c r="E551" s="155"/>
      <c r="F551" s="451"/>
      <c r="I551" s="245"/>
      <c r="J551" s="245"/>
    </row>
    <row r="552" spans="5:10" s="112" customFormat="1" x14ac:dyDescent="0.2">
      <c r="E552" s="155"/>
      <c r="F552" s="451"/>
      <c r="I552" s="245"/>
      <c r="J552" s="245"/>
    </row>
    <row r="553" spans="5:10" s="112" customFormat="1" x14ac:dyDescent="0.2">
      <c r="E553" s="155"/>
      <c r="F553" s="451"/>
      <c r="I553" s="245"/>
      <c r="J553" s="245"/>
    </row>
    <row r="554" spans="5:10" s="112" customFormat="1" x14ac:dyDescent="0.2">
      <c r="E554" s="155"/>
      <c r="F554" s="451"/>
      <c r="I554" s="245"/>
      <c r="J554" s="245"/>
    </row>
    <row r="555" spans="5:10" s="112" customFormat="1" x14ac:dyDescent="0.2">
      <c r="E555" s="155"/>
      <c r="F555" s="451"/>
      <c r="I555" s="245"/>
      <c r="J555" s="245"/>
    </row>
    <row r="556" spans="5:10" s="112" customFormat="1" x14ac:dyDescent="0.2">
      <c r="E556" s="155"/>
      <c r="F556" s="451"/>
      <c r="I556" s="245"/>
      <c r="J556" s="245"/>
    </row>
    <row r="557" spans="5:10" s="112" customFormat="1" x14ac:dyDescent="0.2">
      <c r="E557" s="155"/>
      <c r="F557" s="451"/>
      <c r="I557" s="245"/>
      <c r="J557" s="245"/>
    </row>
    <row r="558" spans="5:10" s="112" customFormat="1" x14ac:dyDescent="0.2">
      <c r="E558" s="155"/>
      <c r="F558" s="451"/>
      <c r="I558" s="245"/>
      <c r="J558" s="245"/>
    </row>
    <row r="559" spans="5:10" s="112" customFormat="1" x14ac:dyDescent="0.2">
      <c r="E559" s="155"/>
      <c r="F559" s="451"/>
      <c r="I559" s="245"/>
      <c r="J559" s="245"/>
    </row>
    <row r="560" spans="5:10" s="112" customFormat="1" x14ac:dyDescent="0.2">
      <c r="E560" s="155"/>
      <c r="F560" s="451"/>
      <c r="I560" s="245"/>
      <c r="J560" s="245"/>
    </row>
    <row r="561" spans="5:10" s="112" customFormat="1" x14ac:dyDescent="0.2">
      <c r="E561" s="155"/>
      <c r="F561" s="451"/>
      <c r="I561" s="245"/>
      <c r="J561" s="245"/>
    </row>
    <row r="562" spans="5:10" s="112" customFormat="1" x14ac:dyDescent="0.2">
      <c r="E562" s="155"/>
      <c r="F562" s="451"/>
      <c r="I562" s="245"/>
      <c r="J562" s="245"/>
    </row>
    <row r="563" spans="5:10" s="112" customFormat="1" x14ac:dyDescent="0.2">
      <c r="E563" s="155"/>
      <c r="F563" s="451"/>
      <c r="I563" s="245"/>
      <c r="J563" s="245"/>
    </row>
    <row r="564" spans="5:10" s="112" customFormat="1" x14ac:dyDescent="0.2">
      <c r="E564" s="155"/>
      <c r="F564" s="451"/>
      <c r="I564" s="245"/>
      <c r="J564" s="245"/>
    </row>
    <row r="565" spans="5:10" s="112" customFormat="1" x14ac:dyDescent="0.2">
      <c r="E565" s="155"/>
      <c r="F565" s="451"/>
      <c r="I565" s="245"/>
      <c r="J565" s="245"/>
    </row>
    <row r="566" spans="5:10" s="112" customFormat="1" x14ac:dyDescent="0.2">
      <c r="E566" s="155"/>
      <c r="F566" s="451"/>
      <c r="I566" s="245"/>
      <c r="J566" s="245"/>
    </row>
    <row r="567" spans="5:10" s="112" customFormat="1" x14ac:dyDescent="0.2">
      <c r="E567" s="155"/>
      <c r="F567" s="451"/>
      <c r="I567" s="245"/>
      <c r="J567" s="245"/>
    </row>
    <row r="568" spans="5:10" s="112" customFormat="1" x14ac:dyDescent="0.2">
      <c r="E568" s="155"/>
      <c r="F568" s="451"/>
      <c r="I568" s="245"/>
      <c r="J568" s="245"/>
    </row>
    <row r="569" spans="5:10" s="112" customFormat="1" x14ac:dyDescent="0.2">
      <c r="E569" s="155"/>
      <c r="F569" s="451"/>
      <c r="I569" s="245"/>
      <c r="J569" s="245"/>
    </row>
    <row r="570" spans="5:10" s="112" customFormat="1" x14ac:dyDescent="0.2">
      <c r="E570" s="155"/>
      <c r="F570" s="451"/>
      <c r="I570" s="245"/>
      <c r="J570" s="245"/>
    </row>
    <row r="571" spans="5:10" s="112" customFormat="1" x14ac:dyDescent="0.2">
      <c r="E571" s="155"/>
      <c r="F571" s="451"/>
      <c r="I571" s="245"/>
      <c r="J571" s="245"/>
    </row>
    <row r="572" spans="5:10" s="112" customFormat="1" x14ac:dyDescent="0.2">
      <c r="E572" s="155"/>
      <c r="F572" s="451"/>
      <c r="I572" s="245"/>
      <c r="J572" s="245"/>
    </row>
    <row r="573" spans="5:10" s="112" customFormat="1" x14ac:dyDescent="0.2">
      <c r="E573" s="155"/>
      <c r="F573" s="451"/>
      <c r="I573" s="245"/>
      <c r="J573" s="245"/>
    </row>
    <row r="574" spans="5:10" s="112" customFormat="1" x14ac:dyDescent="0.2">
      <c r="E574" s="155"/>
      <c r="F574" s="451"/>
      <c r="I574" s="245"/>
      <c r="J574" s="245"/>
    </row>
    <row r="575" spans="5:10" s="112" customFormat="1" x14ac:dyDescent="0.2">
      <c r="E575" s="155"/>
      <c r="F575" s="451"/>
      <c r="I575" s="245"/>
      <c r="J575" s="245"/>
    </row>
    <row r="576" spans="5:10" s="112" customFormat="1" x14ac:dyDescent="0.2">
      <c r="E576" s="155"/>
      <c r="F576" s="451"/>
      <c r="I576" s="245"/>
      <c r="J576" s="245"/>
    </row>
    <row r="577" spans="5:10" s="112" customFormat="1" x14ac:dyDescent="0.2">
      <c r="E577" s="155"/>
      <c r="F577" s="451"/>
      <c r="I577" s="245"/>
      <c r="J577" s="245"/>
    </row>
    <row r="578" spans="5:10" s="112" customFormat="1" x14ac:dyDescent="0.2">
      <c r="E578" s="155"/>
      <c r="F578" s="451"/>
      <c r="I578" s="245"/>
      <c r="J578" s="245"/>
    </row>
    <row r="579" spans="5:10" s="112" customFormat="1" x14ac:dyDescent="0.2">
      <c r="E579" s="155"/>
      <c r="F579" s="451"/>
      <c r="I579" s="245"/>
      <c r="J579" s="245"/>
    </row>
    <row r="580" spans="5:10" s="112" customFormat="1" x14ac:dyDescent="0.2">
      <c r="E580" s="155"/>
      <c r="F580" s="451"/>
      <c r="I580" s="245"/>
      <c r="J580" s="245"/>
    </row>
    <row r="581" spans="5:10" s="112" customFormat="1" x14ac:dyDescent="0.2">
      <c r="E581" s="155"/>
      <c r="F581" s="451"/>
      <c r="I581" s="245"/>
      <c r="J581" s="245"/>
    </row>
    <row r="582" spans="5:10" s="112" customFormat="1" x14ac:dyDescent="0.2">
      <c r="E582" s="155"/>
      <c r="F582" s="451"/>
      <c r="I582" s="245"/>
      <c r="J582" s="245"/>
    </row>
    <row r="583" spans="5:10" s="112" customFormat="1" x14ac:dyDescent="0.2">
      <c r="E583" s="155"/>
      <c r="F583" s="451"/>
      <c r="I583" s="245"/>
      <c r="J583" s="245"/>
    </row>
    <row r="584" spans="5:10" s="112" customFormat="1" x14ac:dyDescent="0.2">
      <c r="E584" s="155"/>
      <c r="F584" s="451"/>
      <c r="I584" s="245"/>
      <c r="J584" s="245"/>
    </row>
    <row r="585" spans="5:10" s="112" customFormat="1" x14ac:dyDescent="0.2">
      <c r="E585" s="155"/>
      <c r="F585" s="451"/>
      <c r="I585" s="245"/>
      <c r="J585" s="245"/>
    </row>
    <row r="586" spans="5:10" s="112" customFormat="1" x14ac:dyDescent="0.2">
      <c r="E586" s="155"/>
      <c r="F586" s="451"/>
      <c r="I586" s="245"/>
      <c r="J586" s="245"/>
    </row>
    <row r="587" spans="5:10" s="112" customFormat="1" x14ac:dyDescent="0.2">
      <c r="E587" s="155"/>
      <c r="F587" s="451"/>
      <c r="I587" s="245"/>
      <c r="J587" s="245"/>
    </row>
    <row r="588" spans="5:10" s="112" customFormat="1" x14ac:dyDescent="0.2">
      <c r="E588" s="155"/>
      <c r="F588" s="451"/>
      <c r="I588" s="245"/>
      <c r="J588" s="245"/>
    </row>
    <row r="589" spans="5:10" s="112" customFormat="1" x14ac:dyDescent="0.2">
      <c r="E589" s="155"/>
      <c r="F589" s="451"/>
      <c r="I589" s="245"/>
      <c r="J589" s="245"/>
    </row>
    <row r="590" spans="5:10" s="112" customFormat="1" x14ac:dyDescent="0.2">
      <c r="E590" s="155"/>
      <c r="F590" s="451"/>
      <c r="I590" s="245"/>
      <c r="J590" s="245"/>
    </row>
    <row r="591" spans="5:10" s="112" customFormat="1" x14ac:dyDescent="0.2">
      <c r="E591" s="155"/>
      <c r="F591" s="451"/>
      <c r="I591" s="245"/>
      <c r="J591" s="245"/>
    </row>
    <row r="592" spans="5:10" s="112" customFormat="1" x14ac:dyDescent="0.2">
      <c r="E592" s="155"/>
      <c r="F592" s="451"/>
      <c r="I592" s="245"/>
      <c r="J592" s="245"/>
    </row>
    <row r="593" spans="5:10" s="112" customFormat="1" x14ac:dyDescent="0.2">
      <c r="E593" s="155"/>
      <c r="F593" s="451"/>
      <c r="I593" s="245"/>
      <c r="J593" s="245"/>
    </row>
    <row r="594" spans="5:10" s="112" customFormat="1" x14ac:dyDescent="0.2">
      <c r="E594" s="155"/>
      <c r="F594" s="451"/>
      <c r="I594" s="245"/>
      <c r="J594" s="245"/>
    </row>
    <row r="595" spans="5:10" s="112" customFormat="1" x14ac:dyDescent="0.2">
      <c r="E595" s="155"/>
      <c r="F595" s="451"/>
      <c r="I595" s="245"/>
      <c r="J595" s="245"/>
    </row>
    <row r="596" spans="5:10" s="112" customFormat="1" x14ac:dyDescent="0.2">
      <c r="E596" s="155"/>
      <c r="F596" s="451"/>
      <c r="I596" s="245"/>
      <c r="J596" s="245"/>
    </row>
    <row r="597" spans="5:10" s="112" customFormat="1" x14ac:dyDescent="0.2">
      <c r="E597" s="155"/>
      <c r="F597" s="451"/>
      <c r="I597" s="245"/>
      <c r="J597" s="245"/>
    </row>
    <row r="598" spans="5:10" s="112" customFormat="1" x14ac:dyDescent="0.2">
      <c r="E598" s="155"/>
      <c r="F598" s="451"/>
      <c r="I598" s="245"/>
      <c r="J598" s="245"/>
    </row>
    <row r="599" spans="5:10" s="112" customFormat="1" x14ac:dyDescent="0.2">
      <c r="E599" s="155"/>
      <c r="F599" s="451"/>
      <c r="I599" s="245"/>
      <c r="J599" s="245"/>
    </row>
    <row r="600" spans="5:10" s="112" customFormat="1" x14ac:dyDescent="0.2">
      <c r="E600" s="155"/>
      <c r="F600" s="451"/>
      <c r="I600" s="245"/>
      <c r="J600" s="245"/>
    </row>
    <row r="601" spans="5:10" s="112" customFormat="1" x14ac:dyDescent="0.2">
      <c r="E601" s="155"/>
      <c r="F601" s="451"/>
      <c r="I601" s="245"/>
      <c r="J601" s="245"/>
    </row>
    <row r="602" spans="5:10" s="112" customFormat="1" x14ac:dyDescent="0.2">
      <c r="E602" s="155"/>
      <c r="F602" s="451"/>
      <c r="I602" s="245"/>
      <c r="J602" s="245"/>
    </row>
    <row r="603" spans="5:10" s="112" customFormat="1" x14ac:dyDescent="0.2">
      <c r="E603" s="155"/>
      <c r="F603" s="451"/>
      <c r="I603" s="245"/>
      <c r="J603" s="245"/>
    </row>
    <row r="604" spans="5:10" s="112" customFormat="1" x14ac:dyDescent="0.2">
      <c r="E604" s="155"/>
      <c r="F604" s="451"/>
      <c r="I604" s="245"/>
      <c r="J604" s="245"/>
    </row>
    <row r="605" spans="5:10" s="112" customFormat="1" x14ac:dyDescent="0.2">
      <c r="E605" s="155"/>
      <c r="F605" s="451"/>
      <c r="I605" s="245"/>
      <c r="J605" s="245"/>
    </row>
    <row r="606" spans="5:10" s="112" customFormat="1" x14ac:dyDescent="0.2">
      <c r="E606" s="155"/>
      <c r="F606" s="451"/>
      <c r="I606" s="245"/>
      <c r="J606" s="245"/>
    </row>
    <row r="607" spans="5:10" s="112" customFormat="1" x14ac:dyDescent="0.2">
      <c r="E607" s="155"/>
      <c r="F607" s="451"/>
      <c r="I607" s="245"/>
      <c r="J607" s="245"/>
    </row>
    <row r="608" spans="5:10" s="112" customFormat="1" x14ac:dyDescent="0.2">
      <c r="E608" s="155"/>
      <c r="F608" s="451"/>
      <c r="I608" s="245"/>
      <c r="J608" s="245"/>
    </row>
    <row r="609" spans="5:10" s="112" customFormat="1" x14ac:dyDescent="0.2">
      <c r="E609" s="155"/>
      <c r="F609" s="451"/>
      <c r="I609" s="245"/>
      <c r="J609" s="245"/>
    </row>
    <row r="610" spans="5:10" s="112" customFormat="1" x14ac:dyDescent="0.2">
      <c r="E610" s="155"/>
      <c r="F610" s="451"/>
      <c r="I610" s="245"/>
      <c r="J610" s="245"/>
    </row>
    <row r="611" spans="5:10" s="112" customFormat="1" x14ac:dyDescent="0.2">
      <c r="E611" s="155"/>
      <c r="F611" s="451"/>
      <c r="I611" s="245"/>
      <c r="J611" s="245"/>
    </row>
    <row r="612" spans="5:10" s="112" customFormat="1" x14ac:dyDescent="0.2">
      <c r="E612" s="155"/>
      <c r="F612" s="451"/>
      <c r="I612" s="245"/>
      <c r="J612" s="245"/>
    </row>
    <row r="613" spans="5:10" s="112" customFormat="1" x14ac:dyDescent="0.2">
      <c r="E613" s="155"/>
      <c r="F613" s="451"/>
      <c r="I613" s="245"/>
      <c r="J613" s="245"/>
    </row>
    <row r="614" spans="5:10" s="112" customFormat="1" x14ac:dyDescent="0.2">
      <c r="E614" s="155"/>
      <c r="F614" s="451"/>
      <c r="I614" s="245"/>
      <c r="J614" s="245"/>
    </row>
    <row r="615" spans="5:10" s="112" customFormat="1" x14ac:dyDescent="0.2">
      <c r="E615" s="155"/>
      <c r="F615" s="451"/>
      <c r="I615" s="245"/>
      <c r="J615" s="245"/>
    </row>
    <row r="616" spans="5:10" s="112" customFormat="1" x14ac:dyDescent="0.2">
      <c r="E616" s="155"/>
      <c r="F616" s="451"/>
      <c r="I616" s="245"/>
      <c r="J616" s="245"/>
    </row>
    <row r="617" spans="5:10" s="112" customFormat="1" x14ac:dyDescent="0.2">
      <c r="E617" s="155"/>
      <c r="F617" s="451"/>
      <c r="I617" s="245"/>
      <c r="J617" s="245"/>
    </row>
    <row r="618" spans="5:10" s="112" customFormat="1" x14ac:dyDescent="0.2">
      <c r="E618" s="155"/>
      <c r="F618" s="451"/>
      <c r="I618" s="245"/>
      <c r="J618" s="245"/>
    </row>
    <row r="619" spans="5:10" s="112" customFormat="1" x14ac:dyDescent="0.2">
      <c r="E619" s="155"/>
      <c r="F619" s="451"/>
      <c r="I619" s="245"/>
      <c r="J619" s="245"/>
    </row>
    <row r="620" spans="5:10" s="112" customFormat="1" x14ac:dyDescent="0.2">
      <c r="E620" s="155"/>
      <c r="F620" s="451"/>
      <c r="I620" s="245"/>
      <c r="J620" s="245"/>
    </row>
    <row r="621" spans="5:10" s="112" customFormat="1" x14ac:dyDescent="0.2">
      <c r="E621" s="155"/>
      <c r="F621" s="451"/>
      <c r="I621" s="245"/>
      <c r="J621" s="245"/>
    </row>
    <row r="622" spans="5:10" s="112" customFormat="1" x14ac:dyDescent="0.2">
      <c r="E622" s="155"/>
      <c r="F622" s="451"/>
      <c r="I622" s="245"/>
      <c r="J622" s="245"/>
    </row>
    <row r="623" spans="5:10" s="112" customFormat="1" x14ac:dyDescent="0.2">
      <c r="E623" s="155"/>
      <c r="F623" s="451"/>
      <c r="I623" s="245"/>
      <c r="J623" s="245"/>
    </row>
    <row r="624" spans="5:10" s="112" customFormat="1" x14ac:dyDescent="0.2">
      <c r="E624" s="155"/>
      <c r="F624" s="451"/>
      <c r="I624" s="245"/>
      <c r="J624" s="245"/>
    </row>
    <row r="625" spans="5:10" s="112" customFormat="1" x14ac:dyDescent="0.2">
      <c r="E625" s="155"/>
      <c r="F625" s="451"/>
      <c r="I625" s="245"/>
      <c r="J625" s="245"/>
    </row>
    <row r="626" spans="5:10" s="112" customFormat="1" x14ac:dyDescent="0.2">
      <c r="E626" s="155"/>
      <c r="F626" s="451"/>
      <c r="I626" s="245"/>
      <c r="J626" s="245"/>
    </row>
    <row r="627" spans="5:10" s="112" customFormat="1" x14ac:dyDescent="0.2">
      <c r="E627" s="155"/>
      <c r="F627" s="451"/>
      <c r="I627" s="245"/>
      <c r="J627" s="245"/>
    </row>
    <row r="628" spans="5:10" s="112" customFormat="1" x14ac:dyDescent="0.2">
      <c r="E628" s="155"/>
      <c r="F628" s="451"/>
      <c r="I628" s="245"/>
      <c r="J628" s="245"/>
    </row>
    <row r="629" spans="5:10" s="112" customFormat="1" x14ac:dyDescent="0.2">
      <c r="E629" s="155"/>
      <c r="F629" s="451"/>
      <c r="I629" s="245"/>
      <c r="J629" s="245"/>
    </row>
    <row r="630" spans="5:10" s="112" customFormat="1" x14ac:dyDescent="0.2">
      <c r="E630" s="155"/>
      <c r="F630" s="451"/>
      <c r="I630" s="245"/>
      <c r="J630" s="245"/>
    </row>
    <row r="631" spans="5:10" s="112" customFormat="1" x14ac:dyDescent="0.2">
      <c r="E631" s="155"/>
      <c r="F631" s="451"/>
      <c r="I631" s="245"/>
      <c r="J631" s="245"/>
    </row>
    <row r="632" spans="5:10" s="112" customFormat="1" x14ac:dyDescent="0.2">
      <c r="E632" s="155"/>
      <c r="F632" s="451"/>
      <c r="I632" s="245"/>
      <c r="J632" s="245"/>
    </row>
    <row r="633" spans="5:10" s="112" customFormat="1" x14ac:dyDescent="0.2">
      <c r="E633" s="155"/>
      <c r="F633" s="451"/>
      <c r="I633" s="245"/>
      <c r="J633" s="245"/>
    </row>
    <row r="634" spans="5:10" s="112" customFormat="1" x14ac:dyDescent="0.2">
      <c r="E634" s="155"/>
      <c r="F634" s="451"/>
      <c r="I634" s="245"/>
      <c r="J634" s="245"/>
    </row>
    <row r="635" spans="5:10" s="112" customFormat="1" x14ac:dyDescent="0.2">
      <c r="E635" s="155"/>
      <c r="F635" s="451"/>
      <c r="I635" s="245"/>
      <c r="J635" s="245"/>
    </row>
    <row r="636" spans="5:10" s="112" customFormat="1" x14ac:dyDescent="0.2">
      <c r="E636" s="155"/>
      <c r="F636" s="451"/>
      <c r="I636" s="245"/>
      <c r="J636" s="245"/>
    </row>
    <row r="637" spans="5:10" s="112" customFormat="1" x14ac:dyDescent="0.2">
      <c r="E637" s="155"/>
      <c r="F637" s="451"/>
      <c r="I637" s="245"/>
      <c r="J637" s="245"/>
    </row>
    <row r="638" spans="5:10" s="112" customFormat="1" x14ac:dyDescent="0.2">
      <c r="E638" s="155"/>
      <c r="F638" s="451"/>
      <c r="I638" s="245"/>
      <c r="J638" s="245"/>
    </row>
    <row r="639" spans="5:10" s="112" customFormat="1" x14ac:dyDescent="0.2">
      <c r="E639" s="155"/>
      <c r="F639" s="451"/>
      <c r="I639" s="245"/>
      <c r="J639" s="245"/>
    </row>
    <row r="640" spans="5:10" s="112" customFormat="1" x14ac:dyDescent="0.2">
      <c r="E640" s="155"/>
      <c r="F640" s="451"/>
      <c r="I640" s="245"/>
      <c r="J640" s="245"/>
    </row>
    <row r="641" spans="5:10" s="112" customFormat="1" x14ac:dyDescent="0.2">
      <c r="E641" s="155"/>
      <c r="F641" s="451"/>
      <c r="I641" s="245"/>
      <c r="J641" s="245"/>
    </row>
    <row r="642" spans="5:10" s="112" customFormat="1" x14ac:dyDescent="0.2">
      <c r="E642" s="155"/>
      <c r="F642" s="451"/>
      <c r="I642" s="245"/>
      <c r="J642" s="245"/>
    </row>
    <row r="643" spans="5:10" s="112" customFormat="1" x14ac:dyDescent="0.2">
      <c r="E643" s="155"/>
      <c r="F643" s="451"/>
      <c r="I643" s="245"/>
      <c r="J643" s="245"/>
    </row>
    <row r="644" spans="5:10" s="112" customFormat="1" x14ac:dyDescent="0.2">
      <c r="E644" s="155"/>
      <c r="F644" s="451"/>
      <c r="I644" s="245"/>
      <c r="J644" s="245"/>
    </row>
    <row r="645" spans="5:10" s="112" customFormat="1" x14ac:dyDescent="0.2">
      <c r="E645" s="155"/>
      <c r="F645" s="451"/>
      <c r="I645" s="245"/>
      <c r="J645" s="245"/>
    </row>
    <row r="646" spans="5:10" s="112" customFormat="1" x14ac:dyDescent="0.2">
      <c r="E646" s="155"/>
      <c r="F646" s="451"/>
      <c r="I646" s="245"/>
      <c r="J646" s="245"/>
    </row>
    <row r="647" spans="5:10" s="112" customFormat="1" x14ac:dyDescent="0.2">
      <c r="E647" s="155"/>
      <c r="F647" s="451"/>
      <c r="I647" s="245"/>
      <c r="J647" s="245"/>
    </row>
    <row r="648" spans="5:10" s="112" customFormat="1" x14ac:dyDescent="0.2">
      <c r="E648" s="155"/>
      <c r="F648" s="451"/>
      <c r="I648" s="245"/>
      <c r="J648" s="245"/>
    </row>
    <row r="649" spans="5:10" s="112" customFormat="1" x14ac:dyDescent="0.2">
      <c r="E649" s="155"/>
      <c r="F649" s="451"/>
      <c r="I649" s="245"/>
      <c r="J649" s="245"/>
    </row>
    <row r="650" spans="5:10" s="112" customFormat="1" x14ac:dyDescent="0.2">
      <c r="E650" s="155"/>
      <c r="F650" s="451"/>
      <c r="I650" s="245"/>
      <c r="J650" s="245"/>
    </row>
    <row r="651" spans="5:10" s="112" customFormat="1" x14ac:dyDescent="0.2">
      <c r="E651" s="155"/>
      <c r="F651" s="451"/>
      <c r="I651" s="245"/>
      <c r="J651" s="245"/>
    </row>
    <row r="652" spans="5:10" s="112" customFormat="1" x14ac:dyDescent="0.2">
      <c r="E652" s="155"/>
      <c r="F652" s="451"/>
      <c r="I652" s="245"/>
      <c r="J652" s="245"/>
    </row>
    <row r="653" spans="5:10" s="112" customFormat="1" x14ac:dyDescent="0.2">
      <c r="E653" s="155"/>
      <c r="F653" s="451"/>
      <c r="I653" s="245"/>
      <c r="J653" s="245"/>
    </row>
    <row r="654" spans="5:10" s="112" customFormat="1" x14ac:dyDescent="0.2">
      <c r="E654" s="155"/>
      <c r="F654" s="451"/>
      <c r="I654" s="245"/>
      <c r="J654" s="245"/>
    </row>
    <row r="655" spans="5:10" s="112" customFormat="1" x14ac:dyDescent="0.2">
      <c r="E655" s="155"/>
      <c r="F655" s="451"/>
      <c r="I655" s="245"/>
      <c r="J655" s="245"/>
    </row>
    <row r="656" spans="5:10" s="112" customFormat="1" x14ac:dyDescent="0.2">
      <c r="E656" s="155"/>
      <c r="F656" s="451"/>
      <c r="I656" s="245"/>
      <c r="J656" s="245"/>
    </row>
    <row r="657" spans="5:10" s="112" customFormat="1" x14ac:dyDescent="0.2">
      <c r="E657" s="155"/>
      <c r="F657" s="451"/>
      <c r="I657" s="245"/>
      <c r="J657" s="245"/>
    </row>
    <row r="658" spans="5:10" s="112" customFormat="1" x14ac:dyDescent="0.2">
      <c r="E658" s="155"/>
      <c r="F658" s="451"/>
      <c r="I658" s="245"/>
      <c r="J658" s="245"/>
    </row>
    <row r="659" spans="5:10" s="112" customFormat="1" x14ac:dyDescent="0.2">
      <c r="E659" s="155"/>
      <c r="F659" s="451"/>
      <c r="I659" s="245"/>
      <c r="J659" s="245"/>
    </row>
    <row r="660" spans="5:10" s="112" customFormat="1" x14ac:dyDescent="0.2">
      <c r="E660" s="155"/>
      <c r="F660" s="451"/>
      <c r="I660" s="245"/>
      <c r="J660" s="245"/>
    </row>
    <row r="661" spans="5:10" s="112" customFormat="1" x14ac:dyDescent="0.2">
      <c r="E661" s="155"/>
      <c r="F661" s="451"/>
      <c r="I661" s="245"/>
      <c r="J661" s="245"/>
    </row>
    <row r="662" spans="5:10" s="112" customFormat="1" x14ac:dyDescent="0.2">
      <c r="E662" s="155"/>
      <c r="F662" s="451"/>
      <c r="I662" s="245"/>
      <c r="J662" s="245"/>
    </row>
    <row r="663" spans="5:10" s="112" customFormat="1" x14ac:dyDescent="0.2">
      <c r="E663" s="155"/>
      <c r="F663" s="451"/>
      <c r="I663" s="245"/>
      <c r="J663" s="245"/>
    </row>
    <row r="664" spans="5:10" s="112" customFormat="1" x14ac:dyDescent="0.2">
      <c r="E664" s="155"/>
      <c r="F664" s="451"/>
      <c r="I664" s="245"/>
      <c r="J664" s="245"/>
    </row>
    <row r="665" spans="5:10" s="112" customFormat="1" x14ac:dyDescent="0.2">
      <c r="E665" s="155"/>
      <c r="F665" s="451"/>
      <c r="I665" s="245"/>
      <c r="J665" s="245"/>
    </row>
    <row r="666" spans="5:10" s="112" customFormat="1" x14ac:dyDescent="0.2">
      <c r="E666" s="155"/>
      <c r="F666" s="451"/>
      <c r="I666" s="245"/>
      <c r="J666" s="245"/>
    </row>
    <row r="667" spans="5:10" s="112" customFormat="1" x14ac:dyDescent="0.2">
      <c r="E667" s="155"/>
      <c r="F667" s="451"/>
      <c r="I667" s="245"/>
      <c r="J667" s="245"/>
    </row>
    <row r="668" spans="5:10" s="112" customFormat="1" x14ac:dyDescent="0.2">
      <c r="E668" s="155"/>
      <c r="F668" s="451"/>
      <c r="I668" s="245"/>
      <c r="J668" s="245"/>
    </row>
    <row r="669" spans="5:10" s="112" customFormat="1" x14ac:dyDescent="0.2">
      <c r="E669" s="155"/>
      <c r="F669" s="451"/>
      <c r="I669" s="245"/>
      <c r="J669" s="245"/>
    </row>
    <row r="670" spans="5:10" s="112" customFormat="1" x14ac:dyDescent="0.2">
      <c r="E670" s="155"/>
      <c r="F670" s="451"/>
      <c r="I670" s="245"/>
      <c r="J670" s="245"/>
    </row>
    <row r="671" spans="5:10" s="112" customFormat="1" x14ac:dyDescent="0.2">
      <c r="E671" s="155"/>
      <c r="F671" s="451"/>
      <c r="I671" s="245"/>
      <c r="J671" s="245"/>
    </row>
    <row r="672" spans="5:10" s="112" customFormat="1" x14ac:dyDescent="0.2">
      <c r="E672" s="155"/>
      <c r="F672" s="451"/>
      <c r="I672" s="245"/>
      <c r="J672" s="245"/>
    </row>
    <row r="673" spans="5:10" s="112" customFormat="1" x14ac:dyDescent="0.2">
      <c r="E673" s="155"/>
      <c r="F673" s="451"/>
      <c r="I673" s="245"/>
      <c r="J673" s="245"/>
    </row>
    <row r="674" spans="5:10" s="112" customFormat="1" x14ac:dyDescent="0.2">
      <c r="E674" s="155"/>
      <c r="F674" s="451"/>
      <c r="I674" s="245"/>
      <c r="J674" s="245"/>
    </row>
    <row r="675" spans="5:10" s="112" customFormat="1" x14ac:dyDescent="0.2">
      <c r="E675" s="155"/>
      <c r="F675" s="451"/>
      <c r="I675" s="245"/>
      <c r="J675" s="245"/>
    </row>
    <row r="676" spans="5:10" s="112" customFormat="1" x14ac:dyDescent="0.2">
      <c r="E676" s="155"/>
      <c r="F676" s="451"/>
      <c r="I676" s="245"/>
      <c r="J676" s="245"/>
    </row>
    <row r="677" spans="5:10" s="112" customFormat="1" x14ac:dyDescent="0.2">
      <c r="E677" s="155"/>
      <c r="F677" s="451"/>
      <c r="I677" s="245"/>
      <c r="J677" s="245"/>
    </row>
    <row r="678" spans="5:10" s="112" customFormat="1" x14ac:dyDescent="0.2">
      <c r="E678" s="155"/>
      <c r="F678" s="451"/>
      <c r="I678" s="245"/>
      <c r="J678" s="245"/>
    </row>
    <row r="679" spans="5:10" s="112" customFormat="1" x14ac:dyDescent="0.2">
      <c r="E679" s="155"/>
      <c r="F679" s="451"/>
      <c r="I679" s="245"/>
      <c r="J679" s="245"/>
    </row>
    <row r="680" spans="5:10" s="112" customFormat="1" x14ac:dyDescent="0.2">
      <c r="E680" s="155"/>
      <c r="F680" s="451"/>
      <c r="I680" s="245"/>
      <c r="J680" s="245"/>
    </row>
    <row r="681" spans="5:10" s="112" customFormat="1" x14ac:dyDescent="0.2">
      <c r="E681" s="155"/>
      <c r="F681" s="451"/>
      <c r="I681" s="245"/>
      <c r="J681" s="245"/>
    </row>
    <row r="682" spans="5:10" s="112" customFormat="1" x14ac:dyDescent="0.2">
      <c r="E682" s="155"/>
      <c r="F682" s="451"/>
      <c r="I682" s="245"/>
      <c r="J682" s="245"/>
    </row>
    <row r="683" spans="5:10" s="112" customFormat="1" x14ac:dyDescent="0.2">
      <c r="E683" s="155"/>
      <c r="F683" s="451"/>
      <c r="I683" s="245"/>
      <c r="J683" s="245"/>
    </row>
    <row r="684" spans="5:10" s="112" customFormat="1" x14ac:dyDescent="0.2">
      <c r="E684" s="155"/>
      <c r="F684" s="451"/>
      <c r="I684" s="245"/>
      <c r="J684" s="245"/>
    </row>
    <row r="685" spans="5:10" s="112" customFormat="1" x14ac:dyDescent="0.2">
      <c r="E685" s="155"/>
      <c r="F685" s="451"/>
      <c r="I685" s="245"/>
      <c r="J685" s="245"/>
    </row>
    <row r="686" spans="5:10" s="112" customFormat="1" x14ac:dyDescent="0.2">
      <c r="E686" s="155"/>
      <c r="F686" s="451"/>
      <c r="I686" s="245"/>
      <c r="J686" s="245"/>
    </row>
    <row r="687" spans="5:10" s="112" customFormat="1" x14ac:dyDescent="0.2">
      <c r="E687" s="155"/>
      <c r="F687" s="451"/>
      <c r="I687" s="245"/>
      <c r="J687" s="245"/>
    </row>
    <row r="688" spans="5:10" s="112" customFormat="1" x14ac:dyDescent="0.2">
      <c r="E688" s="155"/>
      <c r="F688" s="451"/>
      <c r="I688" s="245"/>
      <c r="J688" s="245"/>
    </row>
    <row r="689" spans="5:10" s="112" customFormat="1" x14ac:dyDescent="0.2">
      <c r="E689" s="155"/>
      <c r="F689" s="451"/>
      <c r="I689" s="245"/>
      <c r="J689" s="245"/>
    </row>
    <row r="690" spans="5:10" s="112" customFormat="1" x14ac:dyDescent="0.2">
      <c r="E690" s="155"/>
      <c r="F690" s="451"/>
      <c r="I690" s="245"/>
      <c r="J690" s="245"/>
    </row>
    <row r="691" spans="5:10" s="112" customFormat="1" x14ac:dyDescent="0.2">
      <c r="E691" s="155"/>
      <c r="F691" s="451"/>
      <c r="I691" s="245"/>
      <c r="J691" s="245"/>
    </row>
    <row r="692" spans="5:10" s="112" customFormat="1" x14ac:dyDescent="0.2">
      <c r="E692" s="155"/>
      <c r="F692" s="451"/>
      <c r="I692" s="245"/>
      <c r="J692" s="245"/>
    </row>
    <row r="693" spans="5:10" s="112" customFormat="1" x14ac:dyDescent="0.2">
      <c r="E693" s="155"/>
      <c r="F693" s="451"/>
      <c r="I693" s="245"/>
      <c r="J693" s="245"/>
    </row>
    <row r="694" spans="5:10" s="112" customFormat="1" x14ac:dyDescent="0.2">
      <c r="E694" s="155"/>
      <c r="F694" s="451"/>
      <c r="I694" s="245"/>
      <c r="J694" s="245"/>
    </row>
    <row r="695" spans="5:10" s="112" customFormat="1" x14ac:dyDescent="0.2">
      <c r="E695" s="155"/>
      <c r="F695" s="451"/>
      <c r="I695" s="245"/>
      <c r="J695" s="245"/>
    </row>
    <row r="696" spans="5:10" s="112" customFormat="1" x14ac:dyDescent="0.2">
      <c r="E696" s="155"/>
      <c r="F696" s="451"/>
      <c r="I696" s="245"/>
      <c r="J696" s="245"/>
    </row>
    <row r="697" spans="5:10" s="112" customFormat="1" x14ac:dyDescent="0.2">
      <c r="E697" s="155"/>
      <c r="F697" s="451"/>
      <c r="I697" s="245"/>
      <c r="J697" s="245"/>
    </row>
    <row r="698" spans="5:10" s="112" customFormat="1" x14ac:dyDescent="0.2">
      <c r="E698" s="155"/>
      <c r="F698" s="451"/>
      <c r="I698" s="245"/>
      <c r="J698" s="245"/>
    </row>
    <row r="699" spans="5:10" s="112" customFormat="1" x14ac:dyDescent="0.2">
      <c r="E699" s="155"/>
      <c r="F699" s="451"/>
      <c r="I699" s="245"/>
      <c r="J699" s="245"/>
    </row>
    <row r="700" spans="5:10" s="112" customFormat="1" x14ac:dyDescent="0.2">
      <c r="E700" s="155"/>
      <c r="F700" s="451"/>
      <c r="I700" s="245"/>
      <c r="J700" s="245"/>
    </row>
    <row r="701" spans="5:10" s="112" customFormat="1" x14ac:dyDescent="0.2">
      <c r="E701" s="155"/>
      <c r="F701" s="451"/>
      <c r="I701" s="245"/>
      <c r="J701" s="245"/>
    </row>
    <row r="702" spans="5:10" s="112" customFormat="1" x14ac:dyDescent="0.2">
      <c r="E702" s="155"/>
      <c r="F702" s="451"/>
      <c r="I702" s="245"/>
      <c r="J702" s="245"/>
    </row>
    <row r="703" spans="5:10" s="112" customFormat="1" x14ac:dyDescent="0.2">
      <c r="E703" s="155"/>
      <c r="F703" s="451"/>
      <c r="I703" s="245"/>
      <c r="J703" s="245"/>
    </row>
    <row r="704" spans="5:10" s="112" customFormat="1" x14ac:dyDescent="0.2">
      <c r="E704" s="155"/>
      <c r="F704" s="451"/>
      <c r="I704" s="245"/>
      <c r="J704" s="245"/>
    </row>
    <row r="705" spans="5:10" s="112" customFormat="1" x14ac:dyDescent="0.2">
      <c r="E705" s="155"/>
      <c r="F705" s="451"/>
      <c r="I705" s="245"/>
      <c r="J705" s="245"/>
    </row>
    <row r="706" spans="5:10" s="112" customFormat="1" x14ac:dyDescent="0.2">
      <c r="E706" s="155"/>
      <c r="F706" s="451"/>
      <c r="I706" s="245"/>
      <c r="J706" s="245"/>
    </row>
    <row r="707" spans="5:10" s="112" customFormat="1" x14ac:dyDescent="0.2">
      <c r="E707" s="155"/>
      <c r="F707" s="451"/>
      <c r="I707" s="245"/>
      <c r="J707" s="245"/>
    </row>
    <row r="708" spans="5:10" s="112" customFormat="1" x14ac:dyDescent="0.2">
      <c r="E708" s="155"/>
      <c r="F708" s="451"/>
      <c r="I708" s="245"/>
      <c r="J708" s="245"/>
    </row>
    <row r="709" spans="5:10" s="112" customFormat="1" x14ac:dyDescent="0.2">
      <c r="E709" s="155"/>
      <c r="F709" s="451"/>
      <c r="I709" s="245"/>
      <c r="J709" s="245"/>
    </row>
    <row r="710" spans="5:10" s="112" customFormat="1" x14ac:dyDescent="0.2">
      <c r="E710" s="155"/>
      <c r="F710" s="451"/>
      <c r="I710" s="245"/>
      <c r="J710" s="245"/>
    </row>
    <row r="711" spans="5:10" s="112" customFormat="1" x14ac:dyDescent="0.2">
      <c r="E711" s="155"/>
      <c r="F711" s="451"/>
      <c r="I711" s="245"/>
      <c r="J711" s="245"/>
    </row>
    <row r="712" spans="5:10" s="112" customFormat="1" x14ac:dyDescent="0.2">
      <c r="E712" s="155"/>
      <c r="F712" s="451"/>
      <c r="I712" s="245"/>
      <c r="J712" s="245"/>
    </row>
    <row r="713" spans="5:10" s="112" customFormat="1" x14ac:dyDescent="0.2">
      <c r="E713" s="155"/>
      <c r="F713" s="451"/>
      <c r="I713" s="245"/>
      <c r="J713" s="245"/>
    </row>
    <row r="714" spans="5:10" s="112" customFormat="1" x14ac:dyDescent="0.2">
      <c r="E714" s="155"/>
      <c r="F714" s="451"/>
      <c r="I714" s="245"/>
      <c r="J714" s="245"/>
    </row>
    <row r="715" spans="5:10" s="112" customFormat="1" x14ac:dyDescent="0.2">
      <c r="E715" s="155"/>
      <c r="F715" s="451"/>
      <c r="I715" s="245"/>
      <c r="J715" s="245"/>
    </row>
    <row r="716" spans="5:10" s="112" customFormat="1" x14ac:dyDescent="0.2">
      <c r="E716" s="155"/>
      <c r="F716" s="451"/>
      <c r="I716" s="245"/>
      <c r="J716" s="245"/>
    </row>
    <row r="717" spans="5:10" s="112" customFormat="1" x14ac:dyDescent="0.2">
      <c r="E717" s="155"/>
      <c r="F717" s="451"/>
      <c r="I717" s="245"/>
      <c r="J717" s="245"/>
    </row>
    <row r="718" spans="5:10" s="112" customFormat="1" x14ac:dyDescent="0.2">
      <c r="E718" s="155"/>
      <c r="F718" s="451"/>
      <c r="I718" s="245"/>
      <c r="J718" s="245"/>
    </row>
    <row r="719" spans="5:10" s="112" customFormat="1" x14ac:dyDescent="0.2">
      <c r="E719" s="155"/>
      <c r="F719" s="451"/>
      <c r="I719" s="245"/>
      <c r="J719" s="245"/>
    </row>
    <row r="720" spans="5:10" s="112" customFormat="1" x14ac:dyDescent="0.2">
      <c r="E720" s="155"/>
      <c r="F720" s="451"/>
      <c r="I720" s="245"/>
      <c r="J720" s="245"/>
    </row>
    <row r="721" spans="5:10" s="112" customFormat="1" x14ac:dyDescent="0.2">
      <c r="E721" s="155"/>
      <c r="F721" s="451"/>
      <c r="I721" s="245"/>
      <c r="J721" s="245"/>
    </row>
    <row r="722" spans="5:10" s="112" customFormat="1" x14ac:dyDescent="0.2">
      <c r="E722" s="155"/>
      <c r="F722" s="451"/>
      <c r="I722" s="245"/>
      <c r="J722" s="245"/>
    </row>
    <row r="723" spans="5:10" s="112" customFormat="1" x14ac:dyDescent="0.2">
      <c r="E723" s="155"/>
      <c r="F723" s="451"/>
      <c r="I723" s="245"/>
      <c r="J723" s="245"/>
    </row>
    <row r="724" spans="5:10" s="112" customFormat="1" x14ac:dyDescent="0.2">
      <c r="E724" s="155"/>
      <c r="F724" s="451"/>
      <c r="I724" s="245"/>
      <c r="J724" s="245"/>
    </row>
    <row r="725" spans="5:10" s="112" customFormat="1" x14ac:dyDescent="0.2">
      <c r="E725" s="155"/>
      <c r="F725" s="451"/>
      <c r="I725" s="245"/>
      <c r="J725" s="245"/>
    </row>
    <row r="726" spans="5:10" s="112" customFormat="1" x14ac:dyDescent="0.2">
      <c r="E726" s="155"/>
      <c r="F726" s="451"/>
      <c r="I726" s="245"/>
      <c r="J726" s="245"/>
    </row>
    <row r="727" spans="5:10" s="112" customFormat="1" x14ac:dyDescent="0.2">
      <c r="E727" s="155"/>
      <c r="F727" s="451"/>
      <c r="I727" s="245"/>
      <c r="J727" s="245"/>
    </row>
    <row r="728" spans="5:10" s="112" customFormat="1" x14ac:dyDescent="0.2">
      <c r="E728" s="155"/>
      <c r="F728" s="451"/>
      <c r="I728" s="245"/>
      <c r="J728" s="245"/>
    </row>
    <row r="729" spans="5:10" s="112" customFormat="1" x14ac:dyDescent="0.2">
      <c r="E729" s="155"/>
      <c r="F729" s="451"/>
      <c r="I729" s="245"/>
      <c r="J729" s="245"/>
    </row>
    <row r="730" spans="5:10" s="112" customFormat="1" x14ac:dyDescent="0.2">
      <c r="E730" s="155"/>
      <c r="F730" s="451"/>
      <c r="I730" s="245"/>
      <c r="J730" s="245"/>
    </row>
    <row r="731" spans="5:10" s="112" customFormat="1" x14ac:dyDescent="0.2">
      <c r="E731" s="155"/>
      <c r="F731" s="451"/>
      <c r="I731" s="245"/>
      <c r="J731" s="245"/>
    </row>
    <row r="732" spans="5:10" s="112" customFormat="1" x14ac:dyDescent="0.2">
      <c r="E732" s="155"/>
      <c r="F732" s="451"/>
      <c r="I732" s="245"/>
      <c r="J732" s="245"/>
    </row>
    <row r="733" spans="5:10" s="112" customFormat="1" x14ac:dyDescent="0.2">
      <c r="E733" s="155"/>
      <c r="F733" s="451"/>
      <c r="I733" s="245"/>
      <c r="J733" s="245"/>
    </row>
    <row r="734" spans="5:10" s="112" customFormat="1" x14ac:dyDescent="0.2">
      <c r="E734" s="155"/>
      <c r="F734" s="451"/>
      <c r="I734" s="245"/>
      <c r="J734" s="245"/>
    </row>
    <row r="735" spans="5:10" s="112" customFormat="1" x14ac:dyDescent="0.2">
      <c r="E735" s="155"/>
      <c r="F735" s="451"/>
      <c r="I735" s="245"/>
      <c r="J735" s="245"/>
    </row>
    <row r="736" spans="5:10" s="112" customFormat="1" x14ac:dyDescent="0.2">
      <c r="E736" s="155"/>
      <c r="F736" s="451"/>
      <c r="I736" s="245"/>
      <c r="J736" s="245"/>
    </row>
    <row r="737" spans="5:10" s="112" customFormat="1" x14ac:dyDescent="0.2">
      <c r="E737" s="155"/>
      <c r="F737" s="451"/>
      <c r="I737" s="245"/>
      <c r="J737" s="245"/>
    </row>
    <row r="738" spans="5:10" s="112" customFormat="1" x14ac:dyDescent="0.2">
      <c r="E738" s="155"/>
      <c r="F738" s="451"/>
      <c r="I738" s="245"/>
      <c r="J738" s="245"/>
    </row>
    <row r="739" spans="5:10" s="112" customFormat="1" x14ac:dyDescent="0.2">
      <c r="E739" s="155"/>
      <c r="F739" s="451"/>
      <c r="I739" s="245"/>
      <c r="J739" s="245"/>
    </row>
    <row r="740" spans="5:10" s="112" customFormat="1" x14ac:dyDescent="0.2">
      <c r="E740" s="155"/>
      <c r="F740" s="451"/>
      <c r="I740" s="245"/>
      <c r="J740" s="245"/>
    </row>
    <row r="741" spans="5:10" s="112" customFormat="1" x14ac:dyDescent="0.2">
      <c r="E741" s="155"/>
      <c r="F741" s="451"/>
      <c r="I741" s="245"/>
      <c r="J741" s="245"/>
    </row>
    <row r="742" spans="5:10" s="112" customFormat="1" x14ac:dyDescent="0.2">
      <c r="E742" s="155"/>
      <c r="F742" s="451"/>
      <c r="I742" s="245"/>
      <c r="J742" s="245"/>
    </row>
    <row r="743" spans="5:10" s="112" customFormat="1" x14ac:dyDescent="0.2">
      <c r="E743" s="155"/>
      <c r="F743" s="451"/>
      <c r="I743" s="245"/>
      <c r="J743" s="245"/>
    </row>
    <row r="744" spans="5:10" s="112" customFormat="1" x14ac:dyDescent="0.2">
      <c r="E744" s="155"/>
      <c r="F744" s="451"/>
      <c r="I744" s="245"/>
      <c r="J744" s="245"/>
    </row>
    <row r="745" spans="5:10" s="112" customFormat="1" x14ac:dyDescent="0.2">
      <c r="E745" s="155"/>
      <c r="F745" s="451"/>
      <c r="I745" s="245"/>
      <c r="J745" s="245"/>
    </row>
    <row r="746" spans="5:10" s="112" customFormat="1" x14ac:dyDescent="0.2">
      <c r="E746" s="155"/>
      <c r="F746" s="451"/>
      <c r="I746" s="245"/>
      <c r="J746" s="245"/>
    </row>
    <row r="747" spans="5:10" s="112" customFormat="1" x14ac:dyDescent="0.2">
      <c r="E747" s="155"/>
      <c r="F747" s="451"/>
      <c r="I747" s="245"/>
      <c r="J747" s="245"/>
    </row>
    <row r="748" spans="5:10" s="112" customFormat="1" x14ac:dyDescent="0.2">
      <c r="E748" s="155"/>
      <c r="F748" s="451"/>
      <c r="I748" s="245"/>
      <c r="J748" s="245"/>
    </row>
    <row r="749" spans="5:10" s="112" customFormat="1" x14ac:dyDescent="0.2">
      <c r="E749" s="155"/>
      <c r="F749" s="451"/>
      <c r="I749" s="245"/>
      <c r="J749" s="245"/>
    </row>
    <row r="750" spans="5:10" s="112" customFormat="1" x14ac:dyDescent="0.2">
      <c r="E750" s="155"/>
      <c r="F750" s="451"/>
      <c r="I750" s="245"/>
      <c r="J750" s="245"/>
    </row>
    <row r="751" spans="5:10" s="112" customFormat="1" x14ac:dyDescent="0.2">
      <c r="E751" s="155"/>
      <c r="F751" s="451"/>
      <c r="I751" s="245"/>
      <c r="J751" s="245"/>
    </row>
    <row r="752" spans="5:10" s="112" customFormat="1" x14ac:dyDescent="0.2">
      <c r="E752" s="155"/>
      <c r="F752" s="451"/>
      <c r="I752" s="245"/>
      <c r="J752" s="245"/>
    </row>
    <row r="753" spans="5:10" s="112" customFormat="1" x14ac:dyDescent="0.2">
      <c r="E753" s="155"/>
      <c r="F753" s="451"/>
      <c r="I753" s="245"/>
      <c r="J753" s="245"/>
    </row>
    <row r="754" spans="5:10" s="112" customFormat="1" x14ac:dyDescent="0.2">
      <c r="E754" s="155"/>
      <c r="F754" s="451"/>
      <c r="I754" s="245"/>
      <c r="J754" s="245"/>
    </row>
    <row r="755" spans="5:10" s="112" customFormat="1" x14ac:dyDescent="0.2">
      <c r="E755" s="155"/>
      <c r="F755" s="451"/>
      <c r="I755" s="245"/>
      <c r="J755" s="245"/>
    </row>
    <row r="756" spans="5:10" s="112" customFormat="1" x14ac:dyDescent="0.2">
      <c r="E756" s="155"/>
      <c r="F756" s="451"/>
      <c r="I756" s="245"/>
      <c r="J756" s="245"/>
    </row>
    <row r="757" spans="5:10" s="112" customFormat="1" x14ac:dyDescent="0.2">
      <c r="E757" s="155"/>
      <c r="F757" s="451"/>
      <c r="I757" s="245"/>
      <c r="J757" s="245"/>
    </row>
    <row r="758" spans="5:10" s="112" customFormat="1" x14ac:dyDescent="0.2">
      <c r="E758" s="155"/>
      <c r="F758" s="451"/>
      <c r="I758" s="245"/>
      <c r="J758" s="245"/>
    </row>
    <row r="759" spans="5:10" s="112" customFormat="1" x14ac:dyDescent="0.2">
      <c r="E759" s="155"/>
      <c r="F759" s="451"/>
      <c r="I759" s="245"/>
      <c r="J759" s="245"/>
    </row>
    <row r="760" spans="5:10" s="112" customFormat="1" x14ac:dyDescent="0.2">
      <c r="E760" s="155"/>
      <c r="F760" s="451"/>
      <c r="I760" s="245"/>
      <c r="J760" s="245"/>
    </row>
    <row r="761" spans="5:10" s="112" customFormat="1" x14ac:dyDescent="0.2">
      <c r="E761" s="155"/>
      <c r="F761" s="451"/>
      <c r="I761" s="245"/>
      <c r="J761" s="245"/>
    </row>
    <row r="762" spans="5:10" s="112" customFormat="1" x14ac:dyDescent="0.2">
      <c r="E762" s="155"/>
      <c r="F762" s="451"/>
      <c r="I762" s="245"/>
      <c r="J762" s="245"/>
    </row>
    <row r="763" spans="5:10" s="112" customFormat="1" x14ac:dyDescent="0.2">
      <c r="E763" s="155"/>
      <c r="F763" s="451"/>
      <c r="I763" s="245"/>
      <c r="J763" s="245"/>
    </row>
    <row r="764" spans="5:10" s="112" customFormat="1" x14ac:dyDescent="0.2">
      <c r="E764" s="155"/>
      <c r="F764" s="451"/>
      <c r="I764" s="245"/>
      <c r="J764" s="245"/>
    </row>
    <row r="765" spans="5:10" s="112" customFormat="1" x14ac:dyDescent="0.2">
      <c r="E765" s="155"/>
      <c r="F765" s="451"/>
      <c r="I765" s="245"/>
      <c r="J765" s="245"/>
    </row>
    <row r="766" spans="5:10" s="112" customFormat="1" x14ac:dyDescent="0.2">
      <c r="E766" s="155"/>
      <c r="F766" s="451"/>
      <c r="I766" s="245"/>
      <c r="J766" s="245"/>
    </row>
    <row r="767" spans="5:10" s="112" customFormat="1" x14ac:dyDescent="0.2">
      <c r="E767" s="155"/>
      <c r="F767" s="451"/>
      <c r="I767" s="245"/>
      <c r="J767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X92:X113"/>
    <mergeCell ref="V92:V113"/>
    <mergeCell ref="R263:R271"/>
    <mergeCell ref="R195:R197"/>
    <mergeCell ref="R193:R194"/>
    <mergeCell ref="R244:R249"/>
    <mergeCell ref="R121:R131"/>
    <mergeCell ref="R137:R144"/>
    <mergeCell ref="R211:R241"/>
    <mergeCell ref="J333:J355"/>
    <mergeCell ref="X333:X355"/>
    <mergeCell ref="I357:I368"/>
    <mergeCell ref="J357:J368"/>
    <mergeCell ref="X357:X368"/>
    <mergeCell ref="V333:V355"/>
    <mergeCell ref="V357:V368"/>
    <mergeCell ref="I370:I407"/>
    <mergeCell ref="J370:J407"/>
    <mergeCell ref="X370:X407"/>
    <mergeCell ref="V370:V407"/>
    <mergeCell ref="I254:I313"/>
    <mergeCell ref="J254:J313"/>
    <mergeCell ref="X254:X313"/>
    <mergeCell ref="V254:V313"/>
    <mergeCell ref="I315:I328"/>
    <mergeCell ref="J315:J328"/>
    <mergeCell ref="X315:X328"/>
    <mergeCell ref="I330:I331"/>
    <mergeCell ref="J330:J331"/>
    <mergeCell ref="X330:X331"/>
    <mergeCell ref="V315:V328"/>
    <mergeCell ref="I333:I355"/>
    <mergeCell ref="I210:I252"/>
    <mergeCell ref="J210:J252"/>
    <mergeCell ref="X210:X252"/>
    <mergeCell ref="V188:V208"/>
    <mergeCell ref="V210:V252"/>
    <mergeCell ref="R201:R202"/>
    <mergeCell ref="I115:I147"/>
    <mergeCell ref="J115:J147"/>
    <mergeCell ref="X115:X147"/>
    <mergeCell ref="I188:I208"/>
    <mergeCell ref="J188:J208"/>
    <mergeCell ref="X188:X208"/>
    <mergeCell ref="I149:I186"/>
    <mergeCell ref="J149:J186"/>
    <mergeCell ref="V149:V186"/>
    <mergeCell ref="V115:V147"/>
    <mergeCell ref="R149:R169"/>
    <mergeCell ref="X149:X186"/>
    <mergeCell ref="I92:I113"/>
    <mergeCell ref="J92:J113"/>
    <mergeCell ref="V31:V51"/>
    <mergeCell ref="R6:R17"/>
    <mergeCell ref="R31:R41"/>
    <mergeCell ref="R45:R51"/>
    <mergeCell ref="R54:R55"/>
    <mergeCell ref="R80:R87"/>
    <mergeCell ref="B2:G2"/>
    <mergeCell ref="L2:Q2"/>
    <mergeCell ref="I6:I19"/>
    <mergeCell ref="J6:J19"/>
    <mergeCell ref="R2:W2"/>
    <mergeCell ref="AB17:AC17"/>
    <mergeCell ref="I53:I90"/>
    <mergeCell ref="J53:J90"/>
    <mergeCell ref="X53:X90"/>
    <mergeCell ref="I23:I29"/>
    <mergeCell ref="J23:J29"/>
    <mergeCell ref="X23:X29"/>
    <mergeCell ref="X6:X19"/>
    <mergeCell ref="V53:V90"/>
    <mergeCell ref="X31:X51"/>
    <mergeCell ref="R56:R57"/>
    <mergeCell ref="R23:R26"/>
    <mergeCell ref="I31:I51"/>
    <mergeCell ref="J31:J51"/>
    <mergeCell ref="V6:V19"/>
    <mergeCell ref="V23:V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K24" sqref="K24"/>
      <selection pane="bottomLeft" activeCell="K24" sqref="K24"/>
      <selection pane="bottomRight" activeCell="BF11" sqref="BF11"/>
    </sheetView>
  </sheetViews>
  <sheetFormatPr defaultColWidth="9.42578125" defaultRowHeight="15" x14ac:dyDescent="0.2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140625" bestFit="1" customWidth="1"/>
    <col min="7" max="7" width="20.42578125" customWidth="1"/>
    <col min="8" max="316" width="15.42578125" bestFit="1" customWidth="1"/>
    <col min="317" max="317" width="9.42578125" style="181"/>
  </cols>
  <sheetData>
    <row r="1" spans="1:794" x14ac:dyDescent="0.25">
      <c r="D1" s="177" t="s">
        <v>750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 x14ac:dyDescent="0.25">
      <c r="A2" s="943" t="s">
        <v>751</v>
      </c>
      <c r="B2" s="182"/>
      <c r="C2" s="183" t="s">
        <v>300</v>
      </c>
      <c r="D2" s="183" t="s">
        <v>300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 x14ac:dyDescent="0.25">
      <c r="A3" s="944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 x14ac:dyDescent="0.25">
      <c r="A4" s="944"/>
      <c r="B4" s="185" t="s">
        <v>752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 x14ac:dyDescent="0.25">
      <c r="A5" s="944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Breakdown'!$G$6:$G$415, 'Expenditure Breakdown'!$H$6:$H$415, "&gt;="&amp;F1,'Expenditure Breakdown'!$H$6:$H$415, "&lt;"&amp;G1)</f>
        <v>0</v>
      </c>
      <c r="G5" s="191">
        <f>SUMIFS('Expenditure Breakdown'!$G$6:$G$415, 'Expenditure Breakdown'!$H$6:$H$415, "&gt;="&amp;G1,'Expenditure Breakdown'!$H$6:$H$415, "&lt;"&amp;H1)</f>
        <v>0</v>
      </c>
      <c r="H5" s="191">
        <f>SUMIFS('Expenditure Breakdown'!$G$6:$G$415, 'Expenditure Breakdown'!$H$6:$H$415, "&gt;="&amp;H1,'Expenditure Breakdown'!$H$6:$H$415, "&lt;"&amp;I1)</f>
        <v>0</v>
      </c>
      <c r="I5" s="191">
        <f>SUMIFS('Expenditure Breakdown'!$G$6:$G$415, 'Expenditure Breakdown'!$H$6:$H$415, "&gt;="&amp;I1,'Expenditure Breakdown'!$H$6:$H$415, "&lt;"&amp;J1)</f>
        <v>0</v>
      </c>
      <c r="J5" s="191">
        <f>SUMIFS('Expenditure Breakdown'!$G$6:$G$415, 'Expenditure Breakdown'!$H$6:$H$415, "&gt;="&amp;J1,'Expenditure Breakdown'!$H$6:$H$415, "&lt;"&amp;K1)</f>
        <v>0</v>
      </c>
      <c r="K5" s="191">
        <f>SUMIFS('Expenditure Breakdown'!$G$6:$G$415, 'Expenditure Breakdown'!$H$6:$H$415, "&gt;="&amp;K1,'Expenditure Breakdown'!$H$6:$H$415, "&lt;"&amp;L1)</f>
        <v>0</v>
      </c>
      <c r="L5" s="191">
        <f>SUMIFS('Expenditure Breakdown'!$G$6:$G$415, 'Expenditure Breakdown'!$H$6:$H$415, "&gt;="&amp;L1,'Expenditure Breakdown'!$H$6:$H$415, "&lt;"&amp;M1)</f>
        <v>0</v>
      </c>
      <c r="M5" s="191">
        <f>SUMIFS('Expenditure Breakdown'!$G$6:$G$415, 'Expenditure Breakdown'!$H$6:$H$415, "&gt;="&amp;M1,'Expenditure Breakdown'!$H$6:$H$415, "&lt;"&amp;N1)</f>
        <v>0</v>
      </c>
      <c r="N5" s="191">
        <f>SUMIFS('Expenditure Breakdown'!$G$6:$G$415, 'Expenditure Breakdown'!$H$6:$H$415, "&gt;="&amp;N1,'Expenditure Breakdown'!$H$6:$H$415, "&lt;"&amp;O1)</f>
        <v>0</v>
      </c>
      <c r="O5" s="191">
        <f>SUMIFS('Expenditure Breakdown'!$G$6:$G$415, 'Expenditure Breakdown'!$H$6:$H$415, "&gt;="&amp;O1,'Expenditure Breakdown'!$H$6:$H$415, "&lt;"&amp;P1)</f>
        <v>0</v>
      </c>
      <c r="P5" s="191">
        <f>SUMIFS('Expenditure Breakdown'!$G$6:$G$415, 'Expenditure Breakdown'!$H$6:$H$415, "&gt;="&amp;P1,'Expenditure Breakdown'!$H$6:$H$415, "&lt;"&amp;Q1)</f>
        <v>0</v>
      </c>
      <c r="Q5" s="191">
        <f>SUMIFS('Expenditure Breakdown'!$G$6:$G$415, 'Expenditure Breakdown'!$H$6:$H$415, "&gt;="&amp;Q1,'Expenditure Breakdown'!$H$6:$H$415, "&lt;"&amp;R1)</f>
        <v>0</v>
      </c>
      <c r="R5" s="191">
        <f>SUMIFS('Expenditure Breakdown'!$G$6:$G$415, 'Expenditure Breakdown'!$H$6:$H$415, "&gt;="&amp;R1,'Expenditure Breakdown'!$H$6:$H$415, "&lt;"&amp;S1)</f>
        <v>0</v>
      </c>
      <c r="S5" s="191">
        <f>SUMIFS('Expenditure Breakdown'!$G$6:$G$415, 'Expenditure Breakdown'!$H$6:$H$415, "&gt;="&amp;S1,'Expenditure Breakdown'!$H$6:$H$415, "&lt;"&amp;T1)</f>
        <v>0</v>
      </c>
      <c r="T5" s="191">
        <f>SUMIFS('Expenditure Breakdown'!$G$6:$G$415, 'Expenditure Breakdown'!$H$6:$H$415, "&gt;="&amp;T1,'Expenditure Breakdown'!$H$6:$H$415, "&lt;"&amp;U1)</f>
        <v>0</v>
      </c>
      <c r="U5" s="191">
        <f>SUMIFS('Expenditure Breakdown'!$G$6:$G$415, 'Expenditure Breakdown'!$H$6:$H$415, "&gt;="&amp;U1,'Expenditure Breakdown'!$H$6:$H$415, "&lt;"&amp;V1)</f>
        <v>0</v>
      </c>
      <c r="V5" s="191">
        <f>SUMIFS('Expenditure Breakdown'!$G$6:$G$415, 'Expenditure Breakdown'!$H$6:$H$415, "&gt;="&amp;V1,'Expenditure Breakdown'!$H$6:$H$415, "&lt;"&amp;W1)</f>
        <v>0</v>
      </c>
      <c r="W5" s="191">
        <f>SUMIFS('Expenditure Breakdown'!$G$6:$G$415, 'Expenditure Breakdown'!$H$6:$H$415, "&gt;="&amp;W1,'Expenditure Breakdown'!$H$6:$H$415, "&lt;"&amp;X1)</f>
        <v>0</v>
      </c>
      <c r="X5" s="191">
        <f>SUMIFS('Expenditure Breakdown'!$G$6:$G$415, 'Expenditure Breakdown'!$H$6:$H$415, "&gt;="&amp;X1,'Expenditure Breakdown'!$H$6:$H$415, "&lt;"&amp;Y1)</f>
        <v>0</v>
      </c>
      <c r="Y5" s="191">
        <f>SUMIFS('Expenditure Breakdown'!$G$6:$G$415, 'Expenditure Breakdown'!$H$6:$H$415, "&gt;="&amp;Y1,'Expenditure Breakdown'!$H$6:$H$415, "&lt;"&amp;Z1)</f>
        <v>0</v>
      </c>
      <c r="Z5" s="191">
        <f>SUMIFS('Expenditure Breakdown'!$G$6:$G$415, 'Expenditure Breakdown'!$H$6:$H$415, "&gt;="&amp;Z1,'Expenditure Breakdown'!$H$6:$H$415, "&lt;"&amp;AA1)</f>
        <v>2760000</v>
      </c>
      <c r="AA5" s="191">
        <f>SUMIFS('Expenditure Breakdown'!$G$6:$G$415, 'Expenditure Breakdown'!$H$6:$H$415, "&gt;="&amp;AA1,'Expenditure Breakdown'!$H$6:$H$415, "&lt;"&amp;AB1)</f>
        <v>14537831.300000001</v>
      </c>
      <c r="AB5" s="191">
        <f>SUMIFS('Expenditure Breakdown'!$G$6:$G$415, 'Expenditure Breakdown'!$H$6:$H$415, "&gt;="&amp;AB1,'Expenditure Breakdown'!$H$6:$H$415, "&lt;"&amp;AC1)</f>
        <v>4360411.2369999997</v>
      </c>
      <c r="AC5" s="191">
        <f>SUMIFS('Expenditure Breakdown'!$G$6:$G$415, 'Expenditure Breakdown'!$H$6:$H$415, "&gt;="&amp;AC1,'Expenditure Breakdown'!$H$6:$H$415, "&lt;"&amp;AD1)</f>
        <v>120000</v>
      </c>
      <c r="AD5" s="191">
        <f>SUMIFS('Expenditure Breakdown'!$G$6:$G$415, 'Expenditure Breakdown'!$H$6:$H$415, "&gt;="&amp;AD1,'Expenditure Breakdown'!$H$6:$H$415, "&lt;"&amp;AE1)</f>
        <v>0</v>
      </c>
      <c r="AE5" s="191">
        <f>SUMIFS('Expenditure Breakdown'!$G$6:$G$415, 'Expenditure Breakdown'!$H$6:$H$415, "&gt;="&amp;AE1,'Expenditure Breakdown'!$H$6:$H$415, "&lt;"&amp;AF1)</f>
        <v>0</v>
      </c>
      <c r="AF5" s="191">
        <f>SUMIFS('Expenditure Breakdown'!$G$6:$G$415, 'Expenditure Breakdown'!$H$6:$H$415, "&gt;="&amp;AF1,'Expenditure Breakdown'!$H$6:$H$415, "&lt;"&amp;AG1)</f>
        <v>34000</v>
      </c>
      <c r="AG5" s="191">
        <f>SUMIFS('Expenditure Breakdown'!$G$6:$G$415, 'Expenditure Breakdown'!$H$6:$H$415, "&gt;="&amp;AG1,'Expenditure Breakdown'!$H$6:$H$415, "&lt;"&amp;AH1)</f>
        <v>7358785.9097348731</v>
      </c>
      <c r="AH5" s="191">
        <f>SUMIFS('Expenditure Breakdown'!$G$6:$G$415, 'Expenditure Breakdown'!$H$6:$H$415, "&gt;="&amp;AH1,'Expenditure Breakdown'!$H$6:$H$415, "&lt;"&amp;AI1)</f>
        <v>0</v>
      </c>
      <c r="AI5" s="191">
        <f>SUMIFS('Expenditure Breakdown'!$G$6:$G$415, 'Expenditure Breakdown'!$H$6:$H$415, "&gt;="&amp;AI1,'Expenditure Breakdown'!$H$6:$H$415, "&lt;"&amp;AJ1)</f>
        <v>0</v>
      </c>
      <c r="AJ5" s="191">
        <f>SUMIFS('Expenditure Breakdown'!$G$6:$G$415, 'Expenditure Breakdown'!$H$6:$H$415, "&gt;="&amp;AJ1,'Expenditure Breakdown'!$H$6:$H$415, "&lt;"&amp;AK1)</f>
        <v>0</v>
      </c>
      <c r="AK5" s="191">
        <f>SUMIFS('Expenditure Breakdown'!$G$6:$G$415, 'Expenditure Breakdown'!$H$6:$H$415, "&gt;="&amp;AK1,'Expenditure Breakdown'!$H$6:$H$415, "&lt;"&amp;AL1)</f>
        <v>2045000</v>
      </c>
      <c r="AL5" s="191">
        <f>SUMIFS('Expenditure Breakdown'!$G$6:$G$415, 'Expenditure Breakdown'!$H$6:$H$415, "&gt;="&amp;AL1,'Expenditure Breakdown'!$H$6:$H$415, "&lt;"&amp;AM1)</f>
        <v>10999808.9</v>
      </c>
      <c r="AM5" s="191">
        <f>SUMIFS('Expenditure Breakdown'!$G$6:$G$415, 'Expenditure Breakdown'!$H$6:$H$415, "&gt;="&amp;AM1,'Expenditure Breakdown'!$H$6:$H$415, "&lt;"&amp;AN1)</f>
        <v>0</v>
      </c>
      <c r="AN5" s="191">
        <f>SUMIFS('Expenditure Breakdown'!$G$6:$G$415, 'Expenditure Breakdown'!$H$6:$H$415, "&gt;="&amp;AN1,'Expenditure Breakdown'!$H$6:$H$415, "&lt;"&amp;AO1)</f>
        <v>0</v>
      </c>
      <c r="AO5" s="191">
        <f>SUMIFS('Expenditure Breakdown'!$G$6:$G$415, 'Expenditure Breakdown'!$H$6:$H$415, "&gt;="&amp;AO1,'Expenditure Breakdown'!$H$6:$H$415, "&lt;"&amp;AP1)</f>
        <v>394304.23333333328</v>
      </c>
      <c r="AP5" s="191">
        <f>SUMIFS('Expenditure Breakdown'!$G$6:$G$415, 'Expenditure Breakdown'!$H$6:$H$415, "&gt;="&amp;AP1,'Expenditure Breakdown'!$H$6:$H$415, "&lt;"&amp;AQ1)</f>
        <v>0</v>
      </c>
      <c r="AQ5" s="191">
        <f>SUMIFS('Expenditure Breakdown'!$G$6:$G$415, 'Expenditure Breakdown'!$H$6:$H$415, "&gt;="&amp;AQ1,'Expenditure Breakdown'!$H$6:$H$415, "&lt;"&amp;AR1)</f>
        <v>0</v>
      </c>
      <c r="AR5" s="191">
        <f>SUMIFS('Expenditure Breakdown'!$G$6:$G$415, 'Expenditure Breakdown'!$H$6:$H$415, "&gt;="&amp;AR1,'Expenditure Breakdown'!$H$6:$H$415, "&lt;"&amp;AS1)</f>
        <v>12030860.6085</v>
      </c>
      <c r="AS5" s="191">
        <f>SUMIFS('Expenditure Breakdown'!$G$6:$G$415, 'Expenditure Breakdown'!$H$6:$H$415, "&gt;="&amp;AS1,'Expenditure Breakdown'!$H$6:$H$415, "&lt;"&amp;AT1)</f>
        <v>0</v>
      </c>
      <c r="AT5" s="191">
        <f>SUMIFS('Expenditure Breakdown'!$G$6:$G$415, 'Expenditure Breakdown'!$H$6:$H$415, "&gt;="&amp;AT1,'Expenditure Breakdown'!$H$6:$H$415, "&lt;"&amp;AU1)</f>
        <v>0</v>
      </c>
      <c r="AU5" s="191">
        <f>SUMIFS('Expenditure Breakdown'!$G$6:$G$415, 'Expenditure Breakdown'!$H$6:$H$415, "&gt;="&amp;AU1,'Expenditure Breakdown'!$H$6:$H$415, "&lt;"&amp;AV1)</f>
        <v>0</v>
      </c>
      <c r="AV5" s="191">
        <f>SUMIFS('Expenditure Breakdown'!$G$6:$G$415, 'Expenditure Breakdown'!$H$6:$H$415, "&gt;="&amp;AV1,'Expenditure Breakdown'!$H$6:$H$415, "&lt;"&amp;AW1)</f>
        <v>0</v>
      </c>
      <c r="AW5" s="191">
        <f>SUMIFS('Expenditure Breakdown'!$G$6:$G$415, 'Expenditure Breakdown'!$H$6:$H$415, "&gt;="&amp;AW1,'Expenditure Breakdown'!$H$6:$H$415, "&lt;"&amp;AX1)</f>
        <v>0</v>
      </c>
      <c r="AX5" s="191">
        <f>SUMIFS('Expenditure Breakdown'!$G$6:$G$415, 'Expenditure Breakdown'!$H$6:$H$415, "&gt;="&amp;AX1,'Expenditure Breakdown'!$H$6:$H$415, "&lt;"&amp;AY1)</f>
        <v>505449.89057158865</v>
      </c>
      <c r="AY5" s="191">
        <f>SUMIFS('Expenditure Breakdown'!$G$6:$G$415, 'Expenditure Breakdown'!$H$6:$H$415, "&gt;="&amp;AY1,'Expenditure Breakdown'!$H$6:$H$415, "&lt;"&amp;AZ1)</f>
        <v>0</v>
      </c>
      <c r="AZ5" s="191">
        <f>SUMIFS('Expenditure Breakdown'!$G$6:$G$415, 'Expenditure Breakdown'!$H$6:$H$415, "&gt;="&amp;AZ1,'Expenditure Breakdown'!$H$6:$H$415, "&lt;"&amp;BA1)</f>
        <v>0</v>
      </c>
      <c r="BA5" s="191">
        <f>SUMIFS('Expenditure Breakdown'!$G$6:$G$415, 'Expenditure Breakdown'!$H$6:$H$415, "&gt;="&amp;BA1,'Expenditure Breakdown'!$H$6:$H$415, "&lt;"&amp;BB1)</f>
        <v>0</v>
      </c>
      <c r="BB5" s="191">
        <f>SUMIFS('Expenditure Breakdown'!$G$6:$G$415, 'Expenditure Breakdown'!$H$6:$H$415, "&gt;="&amp;BB1,'Expenditure Breakdown'!$H$6:$H$415, "&lt;"&amp;BC1)</f>
        <v>0</v>
      </c>
      <c r="BC5" s="191">
        <f>SUMIFS('Expenditure Breakdown'!$G$6:$G$415, 'Expenditure Breakdown'!$H$6:$H$415, "&gt;="&amp;BC1,'Expenditure Breakdown'!$H$6:$H$415, "&lt;"&amp;BD1)</f>
        <v>950000</v>
      </c>
      <c r="BD5" s="191">
        <f>SUMIFS('Expenditure Breakdown'!$G$6:$G$415, 'Expenditure Breakdown'!$H$6:$H$415, "&gt;="&amp;BD1,'Expenditure Breakdown'!$H$6:$H$415, "&lt;"&amp;BE1)</f>
        <v>0</v>
      </c>
      <c r="BE5" s="191">
        <f>SUMIFS('Expenditure Breakdown'!$G$6:$G$415, 'Expenditure Breakdown'!$H$6:$H$415, "&gt;="&amp;BE1,'Expenditure Breakdown'!$H$6:$H$415, "&lt;"&amp;BF1)</f>
        <v>0</v>
      </c>
      <c r="BF5" s="191">
        <f>SUMIFS('Expenditure Breakdown'!$G$6:$G$415, 'Expenditure Breakdown'!$H$6:$H$415, "&gt;="&amp;BF1,'Expenditure Breakdown'!$H$6:$H$415, "&lt;"&amp;BG1)</f>
        <v>0</v>
      </c>
      <c r="BG5" s="191">
        <f>SUMIFS('Expenditure Breakdown'!$G$6:$G$415, 'Expenditure Breakdown'!$H$6:$H$415, "&gt;="&amp;BG1,'Expenditure Breakdown'!$H$6:$H$415, "&lt;"&amp;BH1)</f>
        <v>0</v>
      </c>
      <c r="BH5" s="191">
        <f>SUMIFS('Expenditure Breakdown'!$G$6:$G$415, 'Expenditure Breakdown'!$H$6:$H$415, "&gt;="&amp;BH1,'Expenditure Breakdown'!$H$6:$H$415, "&lt;"&amp;BI1)</f>
        <v>0</v>
      </c>
      <c r="BI5" s="191">
        <f>SUMIFS('Expenditure Breakdown'!$G$6:$G$415, 'Expenditure Breakdown'!$H$6:$H$415, "&gt;="&amp;BI1,'Expenditure Breakdown'!$H$6:$H$415, "&lt;"&amp;BJ1)</f>
        <v>0</v>
      </c>
      <c r="BJ5" s="191">
        <f>SUMIFS('Expenditure Breakdown'!$G$6:$G$415, 'Expenditure Breakdown'!$H$6:$H$415, "&gt;="&amp;BJ1,'Expenditure Breakdown'!$H$6:$H$415, "&lt;"&amp;BK1)</f>
        <v>0</v>
      </c>
      <c r="BK5" s="191">
        <f>SUMIFS('Expenditure Breakdown'!$G$6:$G$415, 'Expenditure Breakdown'!$H$6:$H$415, "&gt;="&amp;BK1,'Expenditure Breakdown'!$H$6:$H$415, "&lt;"&amp;BL1)</f>
        <v>0</v>
      </c>
      <c r="BL5" s="191">
        <f>SUMIFS('Expenditure Breakdown'!$G$6:$G$415, 'Expenditure Breakdown'!$H$6:$H$415, "&gt;="&amp;BL1,'Expenditure Breakdown'!$H$6:$H$415, "&lt;"&amp;BM1)</f>
        <v>0</v>
      </c>
      <c r="BM5" s="191">
        <f>SUMIFS('Expenditure Breakdown'!$G$6:$G$415, 'Expenditure Breakdown'!$H$6:$H$415, "&gt;="&amp;BM1,'Expenditure Breakdown'!$H$6:$H$415, "&lt;"&amp;BN1)</f>
        <v>0</v>
      </c>
      <c r="BN5" s="191">
        <f>SUMIFS('Expenditure Breakdown'!$G$6:$G$415, 'Expenditure Breakdown'!$H$6:$H$415, "&gt;="&amp;BN1,'Expenditure Breakdown'!$H$6:$H$415, "&lt;"&amp;BO1)</f>
        <v>0</v>
      </c>
      <c r="BO5" s="191">
        <f>SUMIFS('Expenditure Breakdown'!$G$6:$G$415, 'Expenditure Breakdown'!$H$6:$H$415, "&gt;="&amp;BO1,'Expenditure Breakdown'!$H$6:$H$415, "&lt;"&amp;BP1)</f>
        <v>0</v>
      </c>
      <c r="BP5" s="191">
        <f>SUMIFS('Expenditure Breakdown'!$G$6:$G$415, 'Expenditure Breakdown'!$H$6:$H$415, "&gt;="&amp;BP1,'Expenditure Breakdown'!$H$6:$H$415, "&lt;"&amp;BQ1)</f>
        <v>0</v>
      </c>
      <c r="BQ5" s="191">
        <f>SUMIFS('Expenditure Breakdown'!$G$6:$G$415, 'Expenditure Breakdown'!$H$6:$H$415, "&gt;="&amp;BQ1,'Expenditure Breakdown'!$H$6:$H$415, "&lt;"&amp;BR1)</f>
        <v>0</v>
      </c>
      <c r="BR5" s="191">
        <f>SUMIFS('Expenditure Breakdown'!$G$6:$G$415, 'Expenditure Breakdown'!$H$6:$H$415, "&gt;="&amp;BR1,'Expenditure Breakdown'!$H$6:$H$415, "&lt;"&amp;BS1)</f>
        <v>0</v>
      </c>
      <c r="BS5" s="191">
        <f>SUMIFS('Expenditure Breakdown'!$G$6:$G$415, 'Expenditure Breakdown'!$H$6:$H$415, "&gt;="&amp;BS1,'Expenditure Breakdown'!$H$6:$H$415, "&lt;"&amp;BT1)</f>
        <v>0</v>
      </c>
      <c r="BT5" s="191">
        <f>SUMIFS('Expenditure Breakdown'!$G$6:$G$415, 'Expenditure Breakdown'!$H$6:$H$415, "&gt;="&amp;BT1,'Expenditure Breakdown'!$H$6:$H$415, "&lt;"&amp;BU1)</f>
        <v>0</v>
      </c>
      <c r="BU5" s="191">
        <f>SUMIFS('Expenditure Breakdown'!$G$6:$G$415, 'Expenditure Breakdown'!$H$6:$H$415, "&gt;="&amp;BU1,'Expenditure Breakdown'!$H$6:$H$415, "&lt;"&amp;BV1)</f>
        <v>0</v>
      </c>
      <c r="BV5" s="191">
        <f>SUMIFS('Expenditure Breakdown'!$G$6:$G$415, 'Expenditure Breakdown'!$H$6:$H$415, "&gt;="&amp;BV1,'Expenditure Breakdown'!$H$6:$H$415, "&lt;"&amp;BW1)</f>
        <v>0</v>
      </c>
      <c r="BW5" s="191">
        <f>SUMIFS('Expenditure Breakdown'!$G$6:$G$415, 'Expenditure Breakdown'!$H$6:$H$415, "&gt;="&amp;BW1,'Expenditure Breakdown'!$H$6:$H$415, "&lt;"&amp;BX1)</f>
        <v>0</v>
      </c>
      <c r="BX5" s="191">
        <f>SUMIFS('Expenditure Breakdown'!$G$6:$G$415, 'Expenditure Breakdown'!$H$6:$H$415, "&gt;="&amp;BX1,'Expenditure Breakdown'!$H$6:$H$415, "&lt;"&amp;BY1)</f>
        <v>0</v>
      </c>
      <c r="BY5" s="191">
        <f>SUMIFS('Expenditure Breakdown'!$G$6:$G$415, 'Expenditure Breakdown'!$H$6:$H$415, "&gt;="&amp;BY1,'Expenditure Breakdown'!$H$6:$H$415, "&lt;"&amp;BZ1)</f>
        <v>0</v>
      </c>
      <c r="BZ5" s="191">
        <f>SUMIFS('Expenditure Breakdown'!$G$6:$G$415, 'Expenditure Breakdown'!$H$6:$H$415, "&gt;="&amp;BZ1,'Expenditure Breakdown'!$H$6:$H$415, "&lt;"&amp;CA1)</f>
        <v>0</v>
      </c>
      <c r="CA5" s="191">
        <f>SUMIFS('Expenditure Breakdown'!$G$6:$G$415, 'Expenditure Breakdown'!$H$6:$H$415, "&gt;="&amp;CA1,'Expenditure Breakdown'!$H$6:$H$415, "&lt;"&amp;CB1)</f>
        <v>0</v>
      </c>
      <c r="CB5" s="191">
        <f>SUMIFS('Expenditure Breakdown'!$G$6:$G$415, 'Expenditure Breakdown'!$H$6:$H$415, "&gt;="&amp;CB1,'Expenditure Breakdown'!$H$6:$H$415, "&lt;"&amp;CC1)</f>
        <v>0</v>
      </c>
      <c r="CC5" s="191">
        <f>SUMIFS('Expenditure Breakdown'!$G$6:$G$415, 'Expenditure Breakdown'!$H$6:$H$415, "&gt;="&amp;CC1,'Expenditure Breakdown'!$H$6:$H$415, "&lt;"&amp;CD1)</f>
        <v>0</v>
      </c>
      <c r="CD5" s="191">
        <f>SUMIFS('Expenditure Breakdown'!$G$6:$G$415, 'Expenditure Breakdown'!$H$6:$H$415, "&gt;="&amp;CD1,'Expenditure Breakdown'!$H$6:$H$415, "&lt;"&amp;CE1)</f>
        <v>0</v>
      </c>
      <c r="CE5" s="191">
        <f>SUMIFS('Expenditure Breakdown'!$G$6:$G$415, 'Expenditure Breakdown'!$H$6:$H$415, "&gt;="&amp;CE1,'Expenditure Breakdown'!$H$6:$H$415, "&lt;"&amp;CF1)</f>
        <v>0</v>
      </c>
      <c r="CF5" s="191">
        <f>SUMIFS('Expenditure Breakdown'!$G$6:$G$415, 'Expenditure Breakdown'!$H$6:$H$415, "&gt;="&amp;CF1,'Expenditure Breakdown'!$H$6:$H$415, "&lt;"&amp;CG1)</f>
        <v>0</v>
      </c>
      <c r="CG5" s="191">
        <f>SUMIFS('Expenditure Breakdown'!$G$6:$G$415, 'Expenditure Breakdown'!$H$6:$H$415, "&gt;="&amp;CG1,'Expenditure Breakdown'!$H$6:$H$415, "&lt;"&amp;CH1)</f>
        <v>0</v>
      </c>
      <c r="CH5" s="191">
        <f>SUMIFS('Expenditure Breakdown'!$G$6:$G$415, 'Expenditure Breakdown'!$H$6:$H$415, "&gt;="&amp;CH1,'Expenditure Breakdown'!$H$6:$H$415, "&lt;"&amp;CI1)</f>
        <v>0</v>
      </c>
      <c r="CI5" s="191">
        <f>SUMIFS('Expenditure Breakdown'!$G$6:$G$415, 'Expenditure Breakdown'!$H$6:$H$415, "&gt;="&amp;CI1,'Expenditure Breakdown'!$H$6:$H$415, "&lt;"&amp;CJ1)</f>
        <v>0</v>
      </c>
      <c r="CJ5" s="191">
        <f>SUMIFS('Expenditure Breakdown'!$G$6:$G$415, 'Expenditure Breakdown'!$H$6:$H$415, "&gt;="&amp;CJ1,'Expenditure Breakdown'!$H$6:$H$415, "&lt;"&amp;CK1)</f>
        <v>0</v>
      </c>
      <c r="CK5" s="191">
        <f>SUMIFS('Expenditure Breakdown'!$G$6:$G$415, 'Expenditure Breakdown'!$H$6:$H$415, "&gt;="&amp;CK1,'Expenditure Breakdown'!$H$6:$H$415, "&lt;"&amp;CL1)</f>
        <v>0</v>
      </c>
      <c r="CL5" s="191">
        <f>SUMIFS('Expenditure Breakdown'!$G$6:$G$415, 'Expenditure Breakdown'!$H$6:$H$415, "&gt;="&amp;CL1,'Expenditure Breakdown'!$H$6:$H$415, "&lt;"&amp;CM1)</f>
        <v>0</v>
      </c>
      <c r="CM5" s="191">
        <f>SUMIFS('Expenditure Breakdown'!$G$6:$G$415, 'Expenditure Breakdown'!$H$6:$H$415, "&gt;="&amp;CM1,'Expenditure Breakdown'!$H$6:$H$415, "&lt;"&amp;CN1)</f>
        <v>0</v>
      </c>
      <c r="CN5" s="191">
        <f>SUMIFS('Expenditure Breakdown'!$G$6:$G$415, 'Expenditure Breakdown'!$H$6:$H$415, "&gt;="&amp;CN1,'Expenditure Breakdown'!$H$6:$H$415, "&lt;"&amp;CO1)</f>
        <v>0</v>
      </c>
      <c r="CO5" s="191">
        <f>SUMIFS('Expenditure Breakdown'!$G$6:$G$415, 'Expenditure Breakdown'!$H$6:$H$415, "&gt;="&amp;CO1,'Expenditure Breakdown'!$H$6:$H$415, "&lt;"&amp;CP1)</f>
        <v>0</v>
      </c>
      <c r="CP5" s="191">
        <f>SUMIFS('Expenditure Breakdown'!$G$6:$G$415, 'Expenditure Breakdown'!$H$6:$H$415, "&gt;="&amp;CP1,'Expenditure Breakdown'!$H$6:$H$415, "&lt;"&amp;CQ1)</f>
        <v>0</v>
      </c>
      <c r="CQ5" s="191">
        <f>SUMIFS('Expenditure Breakdown'!$G$6:$G$415, 'Expenditure Breakdown'!$H$6:$H$415, "&gt;="&amp;CQ1,'Expenditure Breakdown'!$H$6:$H$415, "&lt;"&amp;CR1)</f>
        <v>0</v>
      </c>
      <c r="CR5" s="191">
        <f>SUMIFS('Expenditure Breakdown'!$G$6:$G$415, 'Expenditure Breakdown'!$H$6:$H$415, "&gt;="&amp;CR1,'Expenditure Breakdown'!$H$6:$H$415, "&lt;"&amp;CS1)</f>
        <v>0</v>
      </c>
      <c r="CS5" s="191">
        <f>SUMIFS('Expenditure Breakdown'!$G$6:$G$415, 'Expenditure Breakdown'!$H$6:$H$415, "&gt;="&amp;CS1,'Expenditure Breakdown'!$H$6:$H$415, "&lt;"&amp;CT1)</f>
        <v>0</v>
      </c>
      <c r="CT5" s="191">
        <f>SUMIFS('Expenditure Breakdown'!$G$6:$G$415, 'Expenditure Breakdown'!$H$6:$H$415, "&gt;="&amp;CT1,'Expenditure Breakdown'!$H$6:$H$415, "&lt;"&amp;CU1)</f>
        <v>0</v>
      </c>
      <c r="CU5" s="191">
        <f>SUMIFS('Expenditure Breakdown'!$G$6:$G$415, 'Expenditure Breakdown'!$H$6:$H$415, "&gt;="&amp;CU1,'Expenditure Breakdown'!$H$6:$H$415, "&lt;"&amp;CV1)</f>
        <v>0</v>
      </c>
      <c r="CV5" s="191">
        <f>SUMIFS('Expenditure Breakdown'!$G$6:$G$415, 'Expenditure Breakdown'!$H$6:$H$415, "&gt;="&amp;CV1,'Expenditure Breakdown'!$H$6:$H$415, "&lt;"&amp;CW1)</f>
        <v>0</v>
      </c>
      <c r="CW5" s="191">
        <f>SUMIFS('Expenditure Breakdown'!$G$6:$G$415, 'Expenditure Breakdown'!$H$6:$H$415, "&gt;="&amp;CW1,'Expenditure Breakdown'!$H$6:$H$415, "&lt;"&amp;CX1)</f>
        <v>0</v>
      </c>
      <c r="CX5" s="191">
        <f>SUMIFS('Expenditure Breakdown'!$G$6:$G$415, 'Expenditure Breakdown'!$H$6:$H$415, "&gt;="&amp;CX1,'Expenditure Breakdown'!$H$6:$H$415, "&lt;"&amp;CY1)</f>
        <v>0</v>
      </c>
      <c r="CY5" s="191">
        <f>SUMIFS('Expenditure Breakdown'!$G$6:$G$415, 'Expenditure Breakdown'!$H$6:$H$415, "&gt;="&amp;CY1,'Expenditure Breakdown'!$H$6:$H$415, "&lt;"&amp;CZ1)</f>
        <v>0</v>
      </c>
      <c r="CZ5" s="191">
        <f>SUMIFS('Expenditure Breakdown'!$G$6:$G$415, 'Expenditure Breakdown'!$H$6:$H$415, "&gt;="&amp;CZ1,'Expenditure Breakdown'!$H$6:$H$415, "&lt;"&amp;DA1)</f>
        <v>0</v>
      </c>
      <c r="DA5" s="191">
        <f>SUMIFS('Expenditure Breakdown'!$G$6:$G$415, 'Expenditure Breakdown'!$H$6:$H$415, "&gt;="&amp;DA1,'Expenditure Breakdown'!$H$6:$H$415, "&lt;"&amp;DB1)</f>
        <v>0</v>
      </c>
      <c r="DB5" s="191">
        <f>SUMIFS('Expenditure Breakdown'!$G$6:$G$415, 'Expenditure Breakdown'!$H$6:$H$415, "&gt;="&amp;DB1,'Expenditure Breakdown'!$H$6:$H$415, "&lt;"&amp;DC1)</f>
        <v>0</v>
      </c>
      <c r="DC5" s="191">
        <f>SUMIFS('Expenditure Breakdown'!$G$6:$G$415, 'Expenditure Breakdown'!$H$6:$H$415, "&gt;="&amp;DC1,'Expenditure Breakdown'!$H$6:$H$415, "&lt;"&amp;DD1)</f>
        <v>0</v>
      </c>
      <c r="DD5" s="191">
        <f>SUMIFS('Expenditure Breakdown'!$G$6:$G$415, 'Expenditure Breakdown'!$H$6:$H$415, "&gt;="&amp;DD1,'Expenditure Breakdown'!$H$6:$H$415, "&lt;"&amp;DE1)</f>
        <v>0</v>
      </c>
      <c r="DE5" s="191">
        <f>SUMIFS('Expenditure Breakdown'!$G$6:$G$415, 'Expenditure Breakdown'!$H$6:$H$415, "&gt;="&amp;DE1,'Expenditure Breakdown'!$H$6:$H$415, "&lt;"&amp;DF1)</f>
        <v>0</v>
      </c>
      <c r="DF5" s="191">
        <f>SUMIFS('Expenditure Breakdown'!$G$6:$G$415, 'Expenditure Breakdown'!$H$6:$H$415, "&gt;="&amp;DF1,'Expenditure Breakdown'!$H$6:$H$415, "&lt;"&amp;DG1)</f>
        <v>0</v>
      </c>
      <c r="DG5" s="191">
        <f>SUMIFS('Expenditure Breakdown'!$G$6:$G$415, 'Expenditure Breakdown'!$H$6:$H$415, "&gt;="&amp;DG1,'Expenditure Breakdown'!$H$6:$H$415, "&lt;"&amp;DH1)</f>
        <v>0</v>
      </c>
      <c r="DH5" s="191">
        <f>SUMIFS('Expenditure Breakdown'!$G$6:$G$415, 'Expenditure Breakdown'!$H$6:$H$415, "&gt;="&amp;DH1,'Expenditure Breakdown'!$H$6:$H$415, "&lt;"&amp;DI1)</f>
        <v>0</v>
      </c>
      <c r="DI5" s="191">
        <f>SUMIFS('Expenditure Breakdown'!$G$6:$G$415, 'Expenditure Breakdown'!$H$6:$H$415, "&gt;="&amp;DI1,'Expenditure Breakdown'!$H$6:$H$415, "&lt;"&amp;DJ1)</f>
        <v>0</v>
      </c>
      <c r="DJ5" s="191">
        <f>SUMIFS('Expenditure Breakdown'!$G$6:$G$415, 'Expenditure Breakdown'!$H$6:$H$415, "&gt;="&amp;DJ1,'Expenditure Breakdown'!$H$6:$H$415, "&lt;"&amp;DK1)</f>
        <v>0</v>
      </c>
      <c r="DK5" s="191">
        <f>SUMIFS('Expenditure Breakdown'!$G$6:$G$415, 'Expenditure Breakdown'!$H$6:$H$415, "&gt;="&amp;DK1,'Expenditure Breakdown'!$H$6:$H$415, "&lt;"&amp;DL1)</f>
        <v>0</v>
      </c>
      <c r="DL5" s="191">
        <f>SUMIFS('Expenditure Breakdown'!$G$6:$G$415, 'Expenditure Breakdown'!$H$6:$H$415, "&gt;="&amp;DL1,'Expenditure Breakdown'!$H$6:$H$415, "&lt;"&amp;DM1)</f>
        <v>0</v>
      </c>
      <c r="DM5" s="191">
        <f>SUMIFS('Expenditure Breakdown'!$G$6:$G$415, 'Expenditure Breakdown'!$H$6:$H$415, "&gt;="&amp;DM1,'Expenditure Breakdown'!$H$6:$H$415, "&lt;"&amp;DN1)</f>
        <v>0</v>
      </c>
      <c r="DN5" s="191">
        <f>SUMIFS('Expenditure Breakdown'!$G$6:$G$415, 'Expenditure Breakdown'!$H$6:$H$415, "&gt;="&amp;DN1,'Expenditure Breakdown'!$H$6:$H$415, "&lt;"&amp;DO1)</f>
        <v>0</v>
      </c>
      <c r="DO5" s="191">
        <f>SUMIFS('Expenditure Breakdown'!$G$6:$G$415, 'Expenditure Breakdown'!$H$6:$H$415, "&gt;="&amp;DO1,'Expenditure Breakdown'!$H$6:$H$415, "&lt;"&amp;DP1)</f>
        <v>0</v>
      </c>
      <c r="DP5" s="191">
        <f>SUMIFS('Expenditure Breakdown'!$G$6:$G$415, 'Expenditure Breakdown'!$H$6:$H$415, "&gt;="&amp;DP1,'Expenditure Breakdown'!$H$6:$H$415, "&lt;"&amp;DQ1)</f>
        <v>0</v>
      </c>
      <c r="DQ5" s="191">
        <f>SUMIFS('Expenditure Breakdown'!$G$6:$G$415, 'Expenditure Breakdown'!$H$6:$H$415, "&gt;="&amp;DQ1,'Expenditure Breakdown'!$H$6:$H$415, "&lt;"&amp;DR1)</f>
        <v>0</v>
      </c>
      <c r="DR5" s="191">
        <f>SUMIFS('Expenditure Breakdown'!$G$6:$G$415, 'Expenditure Breakdown'!$H$6:$H$415, "&gt;="&amp;DR1,'Expenditure Breakdown'!$H$6:$H$415, "&lt;"&amp;DS1)</f>
        <v>0</v>
      </c>
      <c r="DS5" s="191">
        <f>SUMIFS('Expenditure Breakdown'!$G$6:$G$415, 'Expenditure Breakdown'!$H$6:$H$415, "&gt;="&amp;DS1,'Expenditure Breakdown'!$H$6:$H$415, "&lt;"&amp;DT1)</f>
        <v>0</v>
      </c>
      <c r="DT5" s="191">
        <f>SUMIFS('Expenditure Breakdown'!$G$6:$G$415, 'Expenditure Breakdown'!$H$6:$H$415, "&gt;="&amp;DT1,'Expenditure Breakdown'!$H$6:$H$415, "&lt;"&amp;DU1)</f>
        <v>0</v>
      </c>
      <c r="DU5" s="191">
        <f>SUMIFS('Expenditure Breakdown'!$G$6:$G$415, 'Expenditure Breakdown'!$H$6:$H$415, "&gt;="&amp;DU1,'Expenditure Breakdown'!$H$6:$H$415, "&lt;"&amp;DV1)</f>
        <v>0</v>
      </c>
      <c r="DV5" s="191">
        <f>SUMIFS('Expenditure Breakdown'!$G$6:$G$415, 'Expenditure Breakdown'!$H$6:$H$415, "&gt;="&amp;DV1,'Expenditure Breakdown'!$H$6:$H$415, "&lt;"&amp;DW1)</f>
        <v>0</v>
      </c>
      <c r="DW5" s="191">
        <f>SUMIFS('Expenditure Breakdown'!$G$6:$G$415, 'Expenditure Breakdown'!$H$6:$H$415, "&gt;="&amp;DW1,'Expenditure Breakdown'!$H$6:$H$415, "&lt;"&amp;DX1)</f>
        <v>0</v>
      </c>
      <c r="DX5" s="191">
        <f>SUMIFS('Expenditure Breakdown'!$G$6:$G$415, 'Expenditure Breakdown'!$H$6:$H$415, "&gt;="&amp;DX1,'Expenditure Breakdown'!$H$6:$H$415, "&lt;"&amp;DY1)</f>
        <v>0</v>
      </c>
      <c r="DY5" s="191">
        <f>SUMIFS('Expenditure Breakdown'!$G$6:$G$415, 'Expenditure Breakdown'!$H$6:$H$415, "&gt;="&amp;DY1,'Expenditure Breakdown'!$H$6:$H$415, "&lt;"&amp;DZ1)</f>
        <v>0</v>
      </c>
      <c r="DZ5" s="191">
        <f>SUMIFS('Expenditure Breakdown'!$G$6:$G$415, 'Expenditure Breakdown'!$H$6:$H$415, "&gt;="&amp;DZ1,'Expenditure Breakdown'!$H$6:$H$415, "&lt;"&amp;EA1)</f>
        <v>0</v>
      </c>
      <c r="EA5" s="191">
        <f>SUMIFS('Expenditure Breakdown'!$G$6:$G$415, 'Expenditure Breakdown'!$H$6:$H$415, "&gt;="&amp;EA1,'Expenditure Breakdown'!$H$6:$H$415, "&lt;"&amp;EB1)</f>
        <v>0</v>
      </c>
      <c r="EB5" s="191">
        <f>SUMIFS('Expenditure Breakdown'!$G$6:$G$415, 'Expenditure Breakdown'!$H$6:$H$415, "&gt;="&amp;EB1,'Expenditure Breakdown'!$H$6:$H$415, "&lt;"&amp;EC1)</f>
        <v>0</v>
      </c>
      <c r="EC5" s="191">
        <f>SUMIFS('Expenditure Breakdown'!$G$6:$G$415, 'Expenditure Breakdown'!$H$6:$H$415, "&gt;="&amp;EC1,'Expenditure Breakdown'!$H$6:$H$415, "&lt;"&amp;ED1)</f>
        <v>0</v>
      </c>
      <c r="ED5" s="191">
        <f>SUMIFS('Expenditure Breakdown'!$G$6:$G$415, 'Expenditure Breakdown'!$H$6:$H$415, "&gt;="&amp;ED1,'Expenditure Breakdown'!$H$6:$H$415, "&lt;"&amp;EE1)</f>
        <v>0</v>
      </c>
      <c r="EE5" s="191">
        <f>SUMIFS('Expenditure Breakdown'!$G$6:$G$415, 'Expenditure Breakdown'!$H$6:$H$415, "&gt;="&amp;EE1,'Expenditure Breakdown'!$H$6:$H$415, "&lt;"&amp;EF1)</f>
        <v>0</v>
      </c>
      <c r="EF5" s="191">
        <f>SUMIFS('Expenditure Breakdown'!$G$6:$G$415, 'Expenditure Breakdown'!$H$6:$H$415, "&gt;="&amp;EF1,'Expenditure Breakdown'!$H$6:$H$415, "&lt;"&amp;EG1)</f>
        <v>0</v>
      </c>
      <c r="EG5" s="191">
        <f>SUMIFS('Expenditure Breakdown'!$G$6:$G$415, 'Expenditure Breakdown'!$H$6:$H$415, "&gt;="&amp;EG1,'Expenditure Breakdown'!$H$6:$H$415, "&lt;"&amp;EH1)</f>
        <v>0</v>
      </c>
      <c r="EH5" s="191">
        <f>SUMIFS('Expenditure Breakdown'!$G$6:$G$415, 'Expenditure Breakdown'!$H$6:$H$415, "&gt;="&amp;EH1,'Expenditure Breakdown'!$H$6:$H$415, "&lt;"&amp;EI1)</f>
        <v>0</v>
      </c>
      <c r="EI5" s="191">
        <f>SUMIFS('Expenditure Breakdown'!$G$6:$G$415, 'Expenditure Breakdown'!$H$6:$H$415, "&gt;="&amp;EI1,'Expenditure Breakdown'!$H$6:$H$415, "&lt;"&amp;EJ1)</f>
        <v>0</v>
      </c>
      <c r="EJ5" s="191">
        <f>SUMIFS('Expenditure Breakdown'!$G$6:$G$415, 'Expenditure Breakdown'!$H$6:$H$415, "&gt;="&amp;EJ1,'Expenditure Breakdown'!$H$6:$H$415, "&lt;"&amp;EK1)</f>
        <v>0</v>
      </c>
      <c r="EK5" s="191">
        <f>SUMIFS('Expenditure Breakdown'!$G$6:$G$415, 'Expenditure Breakdown'!$H$6:$H$415, "&gt;="&amp;EK1,'Expenditure Breakdown'!$H$6:$H$415, "&lt;"&amp;EL1)</f>
        <v>0</v>
      </c>
      <c r="EL5" s="191">
        <f>SUMIFS('Expenditure Breakdown'!$G$6:$G$415, 'Expenditure Breakdown'!$H$6:$H$415, "&gt;="&amp;EL1,'Expenditure Breakdown'!$H$6:$H$415, "&lt;"&amp;EM1)</f>
        <v>0</v>
      </c>
      <c r="EM5" s="191">
        <f>SUMIFS('Expenditure Breakdown'!$G$6:$G$415, 'Expenditure Breakdown'!$H$6:$H$415, "&gt;="&amp;EM1,'Expenditure Breakdown'!$H$6:$H$415, "&lt;"&amp;EN1)</f>
        <v>0</v>
      </c>
      <c r="EN5" s="191">
        <f>SUMIFS('Expenditure Breakdown'!$G$6:$G$415, 'Expenditure Breakdown'!$H$6:$H$415, "&gt;="&amp;EN1,'Expenditure Breakdown'!$H$6:$H$415, "&lt;"&amp;EO1)</f>
        <v>0</v>
      </c>
      <c r="EO5" s="191">
        <f>SUMIFS('Expenditure Breakdown'!$G$6:$G$415, 'Expenditure Breakdown'!$H$6:$H$415, "&gt;="&amp;EO1,'Expenditure Breakdown'!$H$6:$H$415, "&lt;"&amp;EP1)</f>
        <v>0</v>
      </c>
      <c r="EP5" s="191">
        <f>SUMIFS('Expenditure Breakdown'!$G$6:$G$415, 'Expenditure Breakdown'!$H$6:$H$415, "&gt;="&amp;EP1,'Expenditure Breakdown'!$H$6:$H$415, "&lt;"&amp;EQ1)</f>
        <v>0</v>
      </c>
      <c r="EQ5" s="191">
        <f>SUMIFS('Expenditure Breakdown'!$G$6:$G$415, 'Expenditure Breakdown'!$H$6:$H$415, "&gt;="&amp;EQ1,'Expenditure Breakdown'!$H$6:$H$415, "&lt;"&amp;ER1)</f>
        <v>0</v>
      </c>
      <c r="ER5" s="191">
        <f>SUMIFS('Expenditure Breakdown'!$G$6:$G$415, 'Expenditure Breakdown'!$H$6:$H$415, "&gt;="&amp;ER1,'Expenditure Breakdown'!$H$6:$H$415, "&lt;"&amp;ES1)</f>
        <v>0</v>
      </c>
      <c r="ES5" s="191">
        <f>SUMIFS('Expenditure Breakdown'!$G$6:$G$415, 'Expenditure Breakdown'!$H$6:$H$415, "&gt;="&amp;ES1,'Expenditure Breakdown'!$H$6:$H$415, "&lt;"&amp;ET1)</f>
        <v>0</v>
      </c>
      <c r="ET5" s="191">
        <f>SUMIFS('Expenditure Breakdown'!$G$6:$G$415, 'Expenditure Breakdown'!$H$6:$H$415, "&gt;="&amp;ET1,'Expenditure Breakdown'!$H$6:$H$415, "&lt;"&amp;EU1)</f>
        <v>0</v>
      </c>
      <c r="EU5" s="191">
        <f>SUMIFS('Expenditure Breakdown'!$G$6:$G$415, 'Expenditure Breakdown'!$H$6:$H$415, "&gt;="&amp;EU1,'Expenditure Breakdown'!$H$6:$H$415, "&lt;"&amp;EV1)</f>
        <v>0</v>
      </c>
      <c r="EV5" s="191">
        <f>SUMIFS('Expenditure Breakdown'!$G$6:$G$415, 'Expenditure Breakdown'!$H$6:$H$415, "&gt;="&amp;EV1,'Expenditure Breakdown'!$H$6:$H$415, "&lt;"&amp;EW1)</f>
        <v>0</v>
      </c>
      <c r="EW5" s="191">
        <f>SUMIFS('Expenditure Breakdown'!$G$6:$G$415, 'Expenditure Breakdown'!$H$6:$H$415, "&gt;="&amp;EW1,'Expenditure Breakdown'!$H$6:$H$415, "&lt;"&amp;EX1)</f>
        <v>0</v>
      </c>
      <c r="EX5" s="191">
        <f>SUMIFS('Expenditure Breakdown'!$G$6:$G$415, 'Expenditure Breakdown'!$H$6:$H$415, "&gt;="&amp;EX1,'Expenditure Breakdown'!$H$6:$H$415, "&lt;"&amp;EY1)</f>
        <v>0</v>
      </c>
      <c r="EY5" s="191">
        <f>SUMIFS('Expenditure Breakdown'!$G$6:$G$415, 'Expenditure Breakdown'!$H$6:$H$415, "&gt;="&amp;EY1,'Expenditure Breakdown'!$H$6:$H$415, "&lt;"&amp;EZ1)</f>
        <v>0</v>
      </c>
      <c r="EZ5" s="191">
        <f>SUMIFS('Expenditure Breakdown'!$G$6:$G$415, 'Expenditure Breakdown'!$H$6:$H$415, "&gt;="&amp;EZ1,'Expenditure Breakdown'!$H$6:$H$415, "&lt;"&amp;FA1)</f>
        <v>0</v>
      </c>
      <c r="FA5" s="191">
        <f>SUMIFS('Expenditure Breakdown'!$G$6:$G$415, 'Expenditure Breakdown'!$H$6:$H$415, "&gt;="&amp;FA1,'Expenditure Breakdown'!$H$6:$H$415, "&lt;"&amp;FB1)</f>
        <v>0</v>
      </c>
      <c r="FB5" s="191">
        <f>SUMIFS('Expenditure Breakdown'!$G$6:$G$415, 'Expenditure Breakdown'!$H$6:$H$415, "&gt;="&amp;FB1,'Expenditure Breakdown'!$H$6:$H$415, "&lt;"&amp;FC1)</f>
        <v>0</v>
      </c>
      <c r="FC5" s="191">
        <f>SUMIFS('Expenditure Breakdown'!$G$6:$G$415, 'Expenditure Breakdown'!$H$6:$H$415, "&gt;="&amp;FC1,'Expenditure Breakdown'!$H$6:$H$415, "&lt;"&amp;FD1)</f>
        <v>0</v>
      </c>
      <c r="FD5" s="191">
        <f>SUMIFS('Expenditure Breakdown'!$G$6:$G$415, 'Expenditure Breakdown'!$H$6:$H$415, "&gt;="&amp;FD1,'Expenditure Breakdown'!$H$6:$H$415, "&lt;"&amp;FE1)</f>
        <v>0</v>
      </c>
      <c r="FE5" s="191">
        <f>SUMIFS('Expenditure Breakdown'!$G$6:$G$415, 'Expenditure Breakdown'!$H$6:$H$415, "&gt;="&amp;FE1,'Expenditure Breakdown'!$H$6:$H$415, "&lt;"&amp;FF1)</f>
        <v>0</v>
      </c>
      <c r="FF5" s="191">
        <f>SUMIFS('Expenditure Breakdown'!$G$6:$G$415, 'Expenditure Breakdown'!$H$6:$H$415, "&gt;="&amp;FF1,'Expenditure Breakdown'!$H$6:$H$415, "&lt;"&amp;FG1)</f>
        <v>0</v>
      </c>
      <c r="FG5" s="191">
        <f>SUMIFS('Expenditure Breakdown'!$G$6:$G$415, 'Expenditure Breakdown'!$H$6:$H$415, "&gt;="&amp;FG1,'Expenditure Breakdown'!$H$6:$H$415, "&lt;"&amp;FH1)</f>
        <v>0</v>
      </c>
      <c r="FH5" s="191">
        <f>SUMIFS('Expenditure Breakdown'!$G$6:$G$415, 'Expenditure Breakdown'!$H$6:$H$415, "&gt;="&amp;FH1,'Expenditure Breakdown'!$H$6:$H$415, "&lt;"&amp;FI1)</f>
        <v>0</v>
      </c>
      <c r="FI5" s="191">
        <f>SUMIFS('Expenditure Breakdown'!$G$6:$G$415, 'Expenditure Breakdown'!$H$6:$H$415, "&gt;="&amp;FI1,'Expenditure Breakdown'!$H$6:$H$415, "&lt;"&amp;FJ1)</f>
        <v>0</v>
      </c>
      <c r="FJ5" s="191">
        <f>SUMIFS('Expenditure Breakdown'!$G$6:$G$415, 'Expenditure Breakdown'!$H$6:$H$415, "&gt;="&amp;FJ1,'Expenditure Breakdown'!$H$6:$H$415, "&lt;"&amp;FK1)</f>
        <v>0</v>
      </c>
      <c r="FK5" s="191">
        <f>SUMIFS('Expenditure Breakdown'!$G$6:$G$415, 'Expenditure Breakdown'!$H$6:$H$415, "&gt;="&amp;FK1,'Expenditure Breakdown'!$H$6:$H$415, "&lt;"&amp;FL1)</f>
        <v>0</v>
      </c>
      <c r="FL5" s="191">
        <f>SUMIFS('Expenditure Breakdown'!$G$6:$G$415, 'Expenditure Breakdown'!$H$6:$H$415, "&gt;="&amp;FL1,'Expenditure Breakdown'!$H$6:$H$415, "&lt;"&amp;FM1)</f>
        <v>0</v>
      </c>
      <c r="FM5" s="191">
        <f>SUMIFS('Expenditure Breakdown'!$G$6:$G$415, 'Expenditure Breakdown'!$H$6:$H$415, "&gt;="&amp;FM1,'Expenditure Breakdown'!$H$6:$H$415, "&lt;"&amp;FN1)</f>
        <v>0</v>
      </c>
      <c r="FN5" s="191">
        <f>SUMIFS('Expenditure Breakdown'!$G$6:$G$415, 'Expenditure Breakdown'!$H$6:$H$415, "&gt;="&amp;FN1,'Expenditure Breakdown'!$H$6:$H$415, "&lt;"&amp;FO1)</f>
        <v>0</v>
      </c>
      <c r="FO5" s="191">
        <f>SUMIFS('Expenditure Breakdown'!$G$6:$G$415, 'Expenditure Breakdown'!$H$6:$H$415, "&gt;="&amp;FO1,'Expenditure Breakdown'!$H$6:$H$415, "&lt;"&amp;FP1)</f>
        <v>0</v>
      </c>
      <c r="FP5" s="191">
        <f>SUMIFS('Expenditure Breakdown'!$G$6:$G$415, 'Expenditure Breakdown'!$H$6:$H$415, "&gt;="&amp;FP1,'Expenditure Breakdown'!$H$6:$H$415, "&lt;"&amp;FQ1)</f>
        <v>0</v>
      </c>
      <c r="FQ5" s="191">
        <f>SUMIFS('Expenditure Breakdown'!$G$6:$G$415, 'Expenditure Breakdown'!$H$6:$H$415, "&gt;="&amp;FQ1,'Expenditure Breakdown'!$H$6:$H$415, "&lt;"&amp;FR1)</f>
        <v>0</v>
      </c>
      <c r="FR5" s="191">
        <f>SUMIFS('Expenditure Breakdown'!$G$6:$G$415, 'Expenditure Breakdown'!$H$6:$H$415, "&gt;="&amp;FR1,'Expenditure Breakdown'!$H$6:$H$415, "&lt;"&amp;FS1)</f>
        <v>0</v>
      </c>
      <c r="FS5" s="191">
        <f>SUMIFS('Expenditure Breakdown'!$G$6:$G$415, 'Expenditure Breakdown'!$H$6:$H$415, "&gt;="&amp;FS1,'Expenditure Breakdown'!$H$6:$H$415, "&lt;"&amp;FT1)</f>
        <v>0</v>
      </c>
      <c r="FT5" s="191">
        <f>SUMIFS('Expenditure Breakdown'!$G$6:$G$415, 'Expenditure Breakdown'!$H$6:$H$415, "&gt;="&amp;FT1,'Expenditure Breakdown'!$H$6:$H$415, "&lt;"&amp;FU1)</f>
        <v>0</v>
      </c>
      <c r="FU5" s="191">
        <f>SUMIFS('Expenditure Breakdown'!$G$6:$G$415, 'Expenditure Breakdown'!$H$6:$H$415, "&gt;="&amp;FU1,'Expenditure Breakdown'!$H$6:$H$415, "&lt;"&amp;FV1)</f>
        <v>0</v>
      </c>
      <c r="FV5" s="191">
        <f>SUMIFS('Expenditure Breakdown'!$G$6:$G$415, 'Expenditure Breakdown'!$H$6:$H$415, "&gt;="&amp;FV1,'Expenditure Breakdown'!$H$6:$H$415, "&lt;"&amp;FW1)</f>
        <v>0</v>
      </c>
      <c r="FW5" s="191">
        <f>SUMIFS('Expenditure Breakdown'!$G$6:$G$415, 'Expenditure Breakdown'!$H$6:$H$415, "&gt;="&amp;FW1,'Expenditure Breakdown'!$H$6:$H$415, "&lt;"&amp;FX1)</f>
        <v>0</v>
      </c>
      <c r="FX5" s="191">
        <f>SUMIFS('Expenditure Breakdown'!$G$6:$G$415, 'Expenditure Breakdown'!$H$6:$H$415, "&gt;="&amp;FX1,'Expenditure Breakdown'!$H$6:$H$415, "&lt;"&amp;FY1)</f>
        <v>0</v>
      </c>
      <c r="FY5" s="191">
        <f>SUMIFS('Expenditure Breakdown'!$G$6:$G$415, 'Expenditure Breakdown'!$H$6:$H$415, "&gt;="&amp;FY1,'Expenditure Breakdown'!$H$6:$H$415, "&lt;"&amp;FZ1)</f>
        <v>0</v>
      </c>
      <c r="FZ5" s="191">
        <f>SUMIFS('Expenditure Breakdown'!$G$6:$G$415, 'Expenditure Breakdown'!$H$6:$H$415, "&gt;="&amp;FZ1,'Expenditure Breakdown'!$H$6:$H$415, "&lt;"&amp;GA1)</f>
        <v>0</v>
      </c>
      <c r="GA5" s="191">
        <f>SUMIFS('Expenditure Breakdown'!$G$6:$G$415, 'Expenditure Breakdown'!$H$6:$H$415, "&gt;="&amp;GA1,'Expenditure Breakdown'!$H$6:$H$415, "&lt;"&amp;GB1)</f>
        <v>0</v>
      </c>
      <c r="GB5" s="191">
        <f>SUMIFS('Expenditure Breakdown'!$G$6:$G$415, 'Expenditure Breakdown'!$H$6:$H$415, "&gt;="&amp;GB1,'Expenditure Breakdown'!$H$6:$H$415, "&lt;"&amp;GC1)</f>
        <v>0</v>
      </c>
      <c r="GC5" s="191">
        <f>SUMIFS('Expenditure Breakdown'!$G$6:$G$415, 'Expenditure Breakdown'!$H$6:$H$415, "&gt;="&amp;GC1,'Expenditure Breakdown'!$H$6:$H$415, "&lt;"&amp;GD1)</f>
        <v>0</v>
      </c>
      <c r="GD5" s="191">
        <f>SUMIFS('Expenditure Breakdown'!$G$6:$G$415, 'Expenditure Breakdown'!$H$6:$H$415, "&gt;="&amp;GD1,'Expenditure Breakdown'!$H$6:$H$415, "&lt;"&amp;GE1)</f>
        <v>0</v>
      </c>
      <c r="GE5" s="191">
        <f>SUMIFS('Expenditure Breakdown'!$G$6:$G$415, 'Expenditure Breakdown'!$H$6:$H$415, "&gt;="&amp;GE1,'Expenditure Breakdown'!$H$6:$H$415, "&lt;"&amp;GF1)</f>
        <v>0</v>
      </c>
      <c r="GF5" s="191">
        <f>SUMIFS('Expenditure Breakdown'!$G$6:$G$415, 'Expenditure Breakdown'!$H$6:$H$415, "&gt;="&amp;GF1,'Expenditure Breakdown'!$H$6:$H$415, "&lt;"&amp;GG1)</f>
        <v>0</v>
      </c>
      <c r="GG5" s="191">
        <f>SUMIFS('Expenditure Breakdown'!$G$6:$G$415, 'Expenditure Breakdown'!$H$6:$H$415, "&gt;="&amp;GG1,'Expenditure Breakdown'!$H$6:$H$415, "&lt;"&amp;GH1)</f>
        <v>0</v>
      </c>
      <c r="GH5" s="191">
        <f>SUMIFS('Expenditure Breakdown'!$G$6:$G$415, 'Expenditure Breakdown'!$H$6:$H$415, "&gt;="&amp;GH1,'Expenditure Breakdown'!$H$6:$H$415, "&lt;"&amp;GI1)</f>
        <v>0</v>
      </c>
      <c r="GI5" s="191">
        <f>SUMIFS('Expenditure Breakdown'!$G$6:$G$415, 'Expenditure Breakdown'!$H$6:$H$415, "&gt;="&amp;GI1,'Expenditure Breakdown'!$H$6:$H$415, "&lt;"&amp;GJ1)</f>
        <v>0</v>
      </c>
      <c r="GJ5" s="191">
        <f>SUMIFS('Expenditure Breakdown'!$G$6:$G$415, 'Expenditure Breakdown'!$H$6:$H$415, "&gt;="&amp;GJ1,'Expenditure Breakdown'!$H$6:$H$415, "&lt;"&amp;GK1)</f>
        <v>0</v>
      </c>
      <c r="GK5" s="191">
        <f>SUMIFS('Expenditure Breakdown'!$G$6:$G$415, 'Expenditure Breakdown'!$H$6:$H$415, "&gt;="&amp;GK1,'Expenditure Breakdown'!$H$6:$H$415, "&lt;"&amp;GL1)</f>
        <v>0</v>
      </c>
      <c r="GL5" s="191">
        <f>SUMIFS('Expenditure Breakdown'!$G$6:$G$415, 'Expenditure Breakdown'!$H$6:$H$415, "&gt;="&amp;GL1,'Expenditure Breakdown'!$H$6:$H$415, "&lt;"&amp;GM1)</f>
        <v>0</v>
      </c>
      <c r="GM5" s="191">
        <f>SUMIFS('Expenditure Breakdown'!$G$6:$G$415, 'Expenditure Breakdown'!$H$6:$H$415, "&gt;="&amp;GM1,'Expenditure Breakdown'!$H$6:$H$415, "&lt;"&amp;GN1)</f>
        <v>0</v>
      </c>
      <c r="GN5" s="191">
        <f>SUMIFS('Expenditure Breakdown'!$G$6:$G$415, 'Expenditure Breakdown'!$H$6:$H$415, "&gt;="&amp;GN1,'Expenditure Breakdown'!$H$6:$H$415, "&lt;"&amp;GO1)</f>
        <v>0</v>
      </c>
      <c r="GO5" s="191">
        <f>SUMIFS('Expenditure Breakdown'!$G$6:$G$415, 'Expenditure Breakdown'!$H$6:$H$415, "&gt;="&amp;GO1,'Expenditure Breakdown'!$H$6:$H$415, "&lt;"&amp;GP1)</f>
        <v>0</v>
      </c>
      <c r="GP5" s="191">
        <f>SUMIFS('Expenditure Breakdown'!$G$6:$G$415, 'Expenditure Breakdown'!$H$6:$H$415, "&gt;="&amp;GP1,'Expenditure Breakdown'!$H$6:$H$415, "&lt;"&amp;GQ1)</f>
        <v>0</v>
      </c>
      <c r="GQ5" s="191">
        <f>SUMIFS('Expenditure Breakdown'!$G$6:$G$415, 'Expenditure Breakdown'!$H$6:$H$415, "&gt;="&amp;GQ1,'Expenditure Breakdown'!$H$6:$H$415, "&lt;"&amp;GR1)</f>
        <v>0</v>
      </c>
      <c r="GR5" s="191">
        <f>SUMIFS('Expenditure Breakdown'!$G$6:$G$415, 'Expenditure Breakdown'!$H$6:$H$415, "&gt;="&amp;GR1,'Expenditure Breakdown'!$H$6:$H$415, "&lt;"&amp;GS1)</f>
        <v>0</v>
      </c>
      <c r="GS5" s="191">
        <f>SUMIFS('Expenditure Breakdown'!$G$6:$G$415, 'Expenditure Breakdown'!$H$6:$H$415, "&gt;="&amp;GS1,'Expenditure Breakdown'!$H$6:$H$415, "&lt;"&amp;GT1)</f>
        <v>0</v>
      </c>
      <c r="GT5" s="191">
        <f>SUMIFS('Expenditure Breakdown'!$G$6:$G$415, 'Expenditure Breakdown'!$H$6:$H$415, "&gt;="&amp;GT1,'Expenditure Breakdown'!$H$6:$H$415, "&lt;"&amp;GU1)</f>
        <v>0</v>
      </c>
      <c r="GU5" s="191">
        <f>SUMIFS('Expenditure Breakdown'!$G$6:$G$415, 'Expenditure Breakdown'!$H$6:$H$415, "&gt;="&amp;GU1,'Expenditure Breakdown'!$H$6:$H$415, "&lt;"&amp;GV1)</f>
        <v>0</v>
      </c>
      <c r="GV5" s="191">
        <f>SUMIFS('Expenditure Breakdown'!$G$6:$G$415, 'Expenditure Breakdown'!$H$6:$H$415, "&gt;="&amp;GV1,'Expenditure Breakdown'!$H$6:$H$415, "&lt;"&amp;GW1)</f>
        <v>0</v>
      </c>
      <c r="GW5" s="191">
        <f>SUMIFS('Expenditure Breakdown'!$G$6:$G$415, 'Expenditure Breakdown'!$H$6:$H$415, "&gt;="&amp;GW1,'Expenditure Breakdown'!$H$6:$H$415, "&lt;"&amp;GX1)</f>
        <v>0</v>
      </c>
      <c r="GX5" s="191">
        <f>SUMIFS('Expenditure Breakdown'!$G$6:$G$415, 'Expenditure Breakdown'!$H$6:$H$415, "&gt;="&amp;GX1,'Expenditure Breakdown'!$H$6:$H$415, "&lt;"&amp;GY1)</f>
        <v>0</v>
      </c>
      <c r="GY5" s="191">
        <f>SUMIFS('Expenditure Breakdown'!$G$6:$G$415, 'Expenditure Breakdown'!$H$6:$H$415, "&gt;="&amp;GY1,'Expenditure Breakdown'!$H$6:$H$415, "&lt;"&amp;GZ1)</f>
        <v>0</v>
      </c>
      <c r="GZ5" s="191">
        <f>SUMIFS('Expenditure Breakdown'!$G$6:$G$415, 'Expenditure Breakdown'!$H$6:$H$415, "&gt;="&amp;GZ1,'Expenditure Breakdown'!$H$6:$H$415, "&lt;"&amp;HA1)</f>
        <v>0</v>
      </c>
      <c r="HA5" s="191">
        <f>SUMIFS('Expenditure Breakdown'!$G$6:$G$415, 'Expenditure Breakdown'!$H$6:$H$415, "&gt;="&amp;HA1,'Expenditure Breakdown'!$H$6:$H$415, "&lt;"&amp;HB1)</f>
        <v>0</v>
      </c>
      <c r="HB5" s="191">
        <f>SUMIFS('Expenditure Breakdown'!$G$6:$G$415, 'Expenditure Breakdown'!$H$6:$H$415, "&gt;="&amp;HB1,'Expenditure Breakdown'!$H$6:$H$415, "&lt;"&amp;HC1)</f>
        <v>0</v>
      </c>
      <c r="HC5" s="191">
        <f>SUMIFS('Expenditure Breakdown'!$G$6:$G$415, 'Expenditure Breakdown'!$H$6:$H$415, "&gt;="&amp;HC1,'Expenditure Breakdown'!$H$6:$H$415, "&lt;"&amp;HD1)</f>
        <v>0</v>
      </c>
      <c r="HD5" s="191">
        <f>SUMIFS('Expenditure Breakdown'!$G$6:$G$415, 'Expenditure Breakdown'!$H$6:$H$415, "&gt;="&amp;HD1,'Expenditure Breakdown'!$H$6:$H$415, "&lt;"&amp;HE1)</f>
        <v>0</v>
      </c>
      <c r="HE5" s="191">
        <f>SUMIFS('Expenditure Breakdown'!$G$6:$G$415, 'Expenditure Breakdown'!$H$6:$H$415, "&gt;="&amp;HE1,'Expenditure Breakdown'!$H$6:$H$415, "&lt;"&amp;HF1)</f>
        <v>0</v>
      </c>
      <c r="HF5" s="191">
        <f>SUMIFS('Expenditure Breakdown'!$G$6:$G$415, 'Expenditure Breakdown'!$H$6:$H$415, "&gt;="&amp;HF1,'Expenditure Breakdown'!$H$6:$H$415, "&lt;"&amp;HG1)</f>
        <v>0</v>
      </c>
      <c r="HG5" s="191">
        <f>SUMIFS('Expenditure Breakdown'!$G$6:$G$415, 'Expenditure Breakdown'!$H$6:$H$415, "&gt;="&amp;HG1,'Expenditure Breakdown'!$H$6:$H$415, "&lt;"&amp;HH1)</f>
        <v>0</v>
      </c>
      <c r="HH5" s="191">
        <f>SUMIFS('Expenditure Breakdown'!$G$6:$G$415, 'Expenditure Breakdown'!$H$6:$H$415, "&gt;="&amp;HH1,'Expenditure Breakdown'!$H$6:$H$415, "&lt;"&amp;HI1)</f>
        <v>0</v>
      </c>
      <c r="HI5" s="191">
        <f>SUMIFS('Expenditure Breakdown'!$G$6:$G$415, 'Expenditure Breakdown'!$H$6:$H$415, "&gt;="&amp;HI1,'Expenditure Breakdown'!$H$6:$H$415, "&lt;"&amp;HJ1)</f>
        <v>0</v>
      </c>
      <c r="HJ5" s="191">
        <f>SUMIFS('Expenditure Breakdown'!$G$6:$G$415, 'Expenditure Breakdown'!$H$6:$H$415, "&gt;="&amp;HJ1,'Expenditure Breakdown'!$H$6:$H$415, "&lt;"&amp;HK1)</f>
        <v>0</v>
      </c>
      <c r="HK5" s="191">
        <f>SUMIFS('Expenditure Breakdown'!$G$6:$G$415, 'Expenditure Breakdown'!$H$6:$H$415, "&gt;="&amp;HK1,'Expenditure Breakdown'!$H$6:$H$415, "&lt;"&amp;HL1)</f>
        <v>0</v>
      </c>
      <c r="HL5" s="191">
        <f>SUMIFS('Expenditure Breakdown'!$G$6:$G$415, 'Expenditure Breakdown'!$H$6:$H$415, "&gt;="&amp;HL1,'Expenditure Breakdown'!$H$6:$H$415, "&lt;"&amp;HM1)</f>
        <v>0</v>
      </c>
      <c r="HM5" s="191">
        <f>SUMIFS('Expenditure Breakdown'!$G$6:$G$415, 'Expenditure Breakdown'!$H$6:$H$415, "&gt;="&amp;HM1,'Expenditure Breakdown'!$H$6:$H$415, "&lt;"&amp;HN1)</f>
        <v>0</v>
      </c>
      <c r="HN5" s="191">
        <f>SUMIFS('Expenditure Breakdown'!$G$6:$G$415, 'Expenditure Breakdown'!$H$6:$H$415, "&gt;="&amp;HN1,'Expenditure Breakdown'!$H$6:$H$415, "&lt;"&amp;HO1)</f>
        <v>0</v>
      </c>
      <c r="HO5" s="191">
        <f>SUMIFS('Expenditure Breakdown'!$G$6:$G$415, 'Expenditure Breakdown'!$H$6:$H$415, "&gt;="&amp;HO1,'Expenditure Breakdown'!$H$6:$H$415, "&lt;"&amp;HP1)</f>
        <v>0</v>
      </c>
      <c r="HP5" s="191">
        <f>SUMIFS('Expenditure Breakdown'!$G$6:$G$415, 'Expenditure Breakdown'!$H$6:$H$415, "&gt;="&amp;HP1,'Expenditure Breakdown'!$H$6:$H$415, "&lt;"&amp;HQ1)</f>
        <v>0</v>
      </c>
      <c r="HQ5" s="191">
        <f>SUMIFS('Expenditure Breakdown'!$G$6:$G$415, 'Expenditure Breakdown'!$H$6:$H$415, "&gt;="&amp;HQ1,'Expenditure Breakdown'!$H$6:$H$415, "&lt;"&amp;HR1)</f>
        <v>0</v>
      </c>
      <c r="HR5" s="191">
        <f>SUMIFS('Expenditure Breakdown'!$G$6:$G$415, 'Expenditure Breakdown'!$H$6:$H$415, "&gt;="&amp;HR1,'Expenditure Breakdown'!$H$6:$H$415, "&lt;"&amp;HS1)</f>
        <v>0</v>
      </c>
      <c r="HS5" s="191">
        <f>SUMIFS('Expenditure Breakdown'!$G$6:$G$415, 'Expenditure Breakdown'!$H$6:$H$415, "&gt;="&amp;HS1,'Expenditure Breakdown'!$H$6:$H$415, "&lt;"&amp;HT1)</f>
        <v>0</v>
      </c>
      <c r="HT5" s="191">
        <f>SUMIFS('Expenditure Breakdown'!$G$6:$G$415, 'Expenditure Breakdown'!$H$6:$H$415, "&gt;="&amp;HT1,'Expenditure Breakdown'!$H$6:$H$415, "&lt;"&amp;HU1)</f>
        <v>0</v>
      </c>
      <c r="HU5" s="191">
        <f>SUMIFS('Expenditure Breakdown'!$G$6:$G$415, 'Expenditure Breakdown'!$H$6:$H$415, "&gt;="&amp;HU1,'Expenditure Breakdown'!$H$6:$H$415, "&lt;"&amp;HV1)</f>
        <v>0</v>
      </c>
      <c r="HV5" s="191">
        <f>SUMIFS('Expenditure Breakdown'!$G$6:$G$415, 'Expenditure Breakdown'!$H$6:$H$415, "&gt;="&amp;HV1,'Expenditure Breakdown'!$H$6:$H$415, "&lt;"&amp;HW1)</f>
        <v>0</v>
      </c>
      <c r="HW5" s="191">
        <f>SUMIFS('Expenditure Breakdown'!$G$6:$G$415, 'Expenditure Breakdown'!$H$6:$H$415, "&gt;="&amp;HW1,'Expenditure Breakdown'!$H$6:$H$415, "&lt;"&amp;HX1)</f>
        <v>0</v>
      </c>
      <c r="HX5" s="191">
        <f>SUMIFS('Expenditure Breakdown'!$G$6:$G$415, 'Expenditure Breakdown'!$H$6:$H$415, "&gt;="&amp;HX1,'Expenditure Breakdown'!$H$6:$H$415, "&lt;"&amp;HY1)</f>
        <v>0</v>
      </c>
      <c r="HY5" s="191">
        <f>SUMIFS('Expenditure Breakdown'!$G$6:$G$415, 'Expenditure Breakdown'!$H$6:$H$415, "&gt;="&amp;HY1,'Expenditure Breakdown'!$H$6:$H$415, "&lt;"&amp;HZ1)</f>
        <v>0</v>
      </c>
      <c r="HZ5" s="191">
        <f>SUMIFS('Expenditure Breakdown'!$G$6:$G$415, 'Expenditure Breakdown'!$H$6:$H$415, "&gt;="&amp;HZ1,'Expenditure Breakdown'!$H$6:$H$415, "&lt;"&amp;IA1)</f>
        <v>0</v>
      </c>
      <c r="IA5" s="191">
        <f>SUMIFS('Expenditure Breakdown'!$G$6:$G$415, 'Expenditure Breakdown'!$H$6:$H$415, "&gt;="&amp;IA1,'Expenditure Breakdown'!$H$6:$H$415, "&lt;"&amp;IB1)</f>
        <v>0</v>
      </c>
      <c r="IB5" s="191">
        <f>SUMIFS('Expenditure Breakdown'!$G$6:$G$415, 'Expenditure Breakdown'!$H$6:$H$415, "&gt;="&amp;IB1,'Expenditure Breakdown'!$H$6:$H$415, "&lt;"&amp;IC1)</f>
        <v>0</v>
      </c>
      <c r="IC5" s="191">
        <f>SUMIFS('Expenditure Breakdown'!$G$6:$G$415, 'Expenditure Breakdown'!$H$6:$H$415, "&gt;="&amp;IC1,'Expenditure Breakdown'!$H$6:$H$415, "&lt;"&amp;ID1)</f>
        <v>0</v>
      </c>
      <c r="ID5" s="191">
        <f>SUMIFS('Expenditure Breakdown'!$G$6:$G$415, 'Expenditure Breakdown'!$H$6:$H$415, "&gt;="&amp;ID1,'Expenditure Breakdown'!$H$6:$H$415, "&lt;"&amp;IE1)</f>
        <v>0</v>
      </c>
      <c r="IE5" s="191">
        <f>SUMIFS('Expenditure Breakdown'!$G$6:$G$415, 'Expenditure Breakdown'!$H$6:$H$415, "&gt;="&amp;IE1,'Expenditure Breakdown'!$H$6:$H$415, "&lt;"&amp;IF1)</f>
        <v>0</v>
      </c>
      <c r="IF5" s="191">
        <f>SUMIFS('Expenditure Breakdown'!$G$6:$G$415, 'Expenditure Breakdown'!$H$6:$H$415, "&gt;="&amp;IF1,'Expenditure Breakdown'!$H$6:$H$415, "&lt;"&amp;IG1)</f>
        <v>0</v>
      </c>
      <c r="IG5" s="191">
        <f>SUMIFS('Expenditure Breakdown'!$G$6:$G$415, 'Expenditure Breakdown'!$H$6:$H$415, "&gt;="&amp;IG1,'Expenditure Breakdown'!$H$6:$H$415, "&lt;"&amp;IH1)</f>
        <v>0</v>
      </c>
      <c r="IH5" s="191">
        <f>SUMIFS('Expenditure Breakdown'!$G$6:$G$415, 'Expenditure Breakdown'!$H$6:$H$415, "&gt;="&amp;IH1,'Expenditure Breakdown'!$H$6:$H$415, "&lt;"&amp;II1)</f>
        <v>0</v>
      </c>
      <c r="II5" s="191">
        <f>SUMIFS('Expenditure Breakdown'!$G$6:$G$415, 'Expenditure Breakdown'!$H$6:$H$415, "&gt;="&amp;II1,'Expenditure Breakdown'!$H$6:$H$415, "&lt;"&amp;IJ1)</f>
        <v>0</v>
      </c>
      <c r="IJ5" s="191">
        <f>SUMIFS('Expenditure Breakdown'!$G$6:$G$415, 'Expenditure Breakdown'!$H$6:$H$415, "&gt;="&amp;IJ1,'Expenditure Breakdown'!$H$6:$H$415, "&lt;"&amp;IK1)</f>
        <v>0</v>
      </c>
      <c r="IK5" s="191">
        <f>SUMIFS('Expenditure Breakdown'!$G$6:$G$415, 'Expenditure Breakdown'!$H$6:$H$415, "&gt;="&amp;IK1,'Expenditure Breakdown'!$H$6:$H$415, "&lt;"&amp;IL1)</f>
        <v>0</v>
      </c>
      <c r="IL5" s="191">
        <f>SUMIFS('Expenditure Breakdown'!$G$6:$G$415, 'Expenditure Breakdown'!$H$6:$H$415, "&gt;="&amp;IL1,'Expenditure Breakdown'!$H$6:$H$415, "&lt;"&amp;IM1)</f>
        <v>0</v>
      </c>
      <c r="IM5" s="191">
        <f>SUMIFS('Expenditure Breakdown'!$G$6:$G$415, 'Expenditure Breakdown'!$H$6:$H$415, "&gt;="&amp;IM1,'Expenditure Breakdown'!$H$6:$H$415, "&lt;"&amp;IN1)</f>
        <v>0</v>
      </c>
      <c r="IN5" s="191">
        <f>SUMIFS('Expenditure Breakdown'!$G$6:$G$415, 'Expenditure Breakdown'!$H$6:$H$415, "&gt;="&amp;IN1,'Expenditure Breakdown'!$H$6:$H$415, "&lt;"&amp;IO1)</f>
        <v>0</v>
      </c>
      <c r="IO5" s="191">
        <f>SUMIFS('Expenditure Breakdown'!$G$6:$G$415, 'Expenditure Breakdown'!$H$6:$H$415, "&gt;="&amp;IO1,'Expenditure Breakdown'!$H$6:$H$415, "&lt;"&amp;IP1)</f>
        <v>0</v>
      </c>
      <c r="IP5" s="191">
        <f>SUMIFS('Expenditure Breakdown'!$G$6:$G$415, 'Expenditure Breakdown'!$H$6:$H$415, "&gt;="&amp;IP1,'Expenditure Breakdown'!$H$6:$H$415, "&lt;"&amp;IQ1)</f>
        <v>0</v>
      </c>
      <c r="IQ5" s="191">
        <f>SUMIFS('Expenditure Breakdown'!$G$6:$G$415, 'Expenditure Breakdown'!$H$6:$H$415, "&gt;="&amp;IQ1,'Expenditure Breakdown'!$H$6:$H$415, "&lt;"&amp;IR1)</f>
        <v>0</v>
      </c>
      <c r="IR5" s="191">
        <f>SUMIFS('Expenditure Breakdown'!$G$6:$G$415, 'Expenditure Breakdown'!$H$6:$H$415, "&gt;="&amp;IR1,'Expenditure Breakdown'!$H$6:$H$415, "&lt;"&amp;IS1)</f>
        <v>0</v>
      </c>
      <c r="IS5" s="191">
        <f>SUMIFS('Expenditure Breakdown'!$G$6:$G$415, 'Expenditure Breakdown'!$H$6:$H$415, "&gt;="&amp;IS1,'Expenditure Breakdown'!$H$6:$H$415, "&lt;"&amp;IT1)</f>
        <v>0</v>
      </c>
      <c r="IT5" s="191">
        <f>SUMIFS('Expenditure Breakdown'!$G$6:$G$415, 'Expenditure Breakdown'!$H$6:$H$415, "&gt;="&amp;IT1,'Expenditure Breakdown'!$H$6:$H$415, "&lt;"&amp;IU1)</f>
        <v>0</v>
      </c>
      <c r="IU5" s="191">
        <f>SUMIFS('Expenditure Breakdown'!$G$6:$G$415, 'Expenditure Breakdown'!$H$6:$H$415, "&gt;="&amp;IU1,'Expenditure Breakdown'!$H$6:$H$415, "&lt;"&amp;IV1)</f>
        <v>0</v>
      </c>
      <c r="IV5" s="191">
        <f>SUMIFS('Expenditure Breakdown'!$G$6:$G$415, 'Expenditure Breakdown'!$H$6:$H$415, "&gt;="&amp;IV1,'Expenditure Breakdown'!$H$6:$H$415, "&lt;"&amp;IW1)</f>
        <v>0</v>
      </c>
      <c r="IW5" s="191">
        <f>SUMIFS('Expenditure Breakdown'!$G$6:$G$415, 'Expenditure Breakdown'!$H$6:$H$415, "&gt;="&amp;IW1,'Expenditure Breakdown'!$H$6:$H$415, "&lt;"&amp;IX1)</f>
        <v>0</v>
      </c>
      <c r="IX5" s="191">
        <f>SUMIFS('Expenditure Breakdown'!$G$6:$G$415, 'Expenditure Breakdown'!$H$6:$H$415, "&gt;="&amp;IX1,'Expenditure Breakdown'!$H$6:$H$415, "&lt;"&amp;IY1)</f>
        <v>0</v>
      </c>
      <c r="IY5" s="191">
        <f>SUMIFS('Expenditure Breakdown'!$G$6:$G$415, 'Expenditure Breakdown'!$H$6:$H$415, "&gt;="&amp;IY1,'Expenditure Breakdown'!$H$6:$H$415, "&lt;"&amp;IZ1)</f>
        <v>0</v>
      </c>
      <c r="IZ5" s="191">
        <f>SUMIFS('Expenditure Breakdown'!$G$6:$G$415, 'Expenditure Breakdown'!$H$6:$H$415, "&gt;="&amp;IZ1,'Expenditure Breakdown'!$H$6:$H$415, "&lt;"&amp;JA1)</f>
        <v>0</v>
      </c>
      <c r="JA5" s="191">
        <f>SUMIFS('Expenditure Breakdown'!$G$6:$G$415, 'Expenditure Breakdown'!$H$6:$H$415, "&gt;="&amp;JA1,'Expenditure Breakdown'!$H$6:$H$415, "&lt;"&amp;JB1)</f>
        <v>0</v>
      </c>
      <c r="JB5" s="191">
        <f>SUMIFS('Expenditure Breakdown'!$G$6:$G$415, 'Expenditure Breakdown'!$H$6:$H$415, "&gt;="&amp;JB1,'Expenditure Breakdown'!$H$6:$H$415, "&lt;"&amp;JC1)</f>
        <v>0</v>
      </c>
      <c r="JC5" s="191">
        <f>SUMIFS('Expenditure Breakdown'!$G$6:$G$415, 'Expenditure Breakdown'!$H$6:$H$415, "&gt;="&amp;JC1,'Expenditure Breakdown'!$H$6:$H$415, "&lt;"&amp;JD1)</f>
        <v>0</v>
      </c>
      <c r="JD5" s="191">
        <f>SUMIFS('Expenditure Breakdown'!$G$6:$G$415, 'Expenditure Breakdown'!$H$6:$H$415, "&gt;="&amp;JD1,'Expenditure Breakdown'!$H$6:$H$415, "&lt;"&amp;JE1)</f>
        <v>0</v>
      </c>
      <c r="JE5" s="191">
        <f>SUMIFS('Expenditure Breakdown'!$G$6:$G$415, 'Expenditure Breakdown'!$H$6:$H$415, "&gt;="&amp;JE1,'Expenditure Breakdown'!$H$6:$H$415, "&lt;"&amp;JF1)</f>
        <v>0</v>
      </c>
      <c r="JF5" s="191">
        <f>SUMIFS('Expenditure Breakdown'!$G$6:$G$415, 'Expenditure Breakdown'!$H$6:$H$415, "&gt;="&amp;JF1,'Expenditure Breakdown'!$H$6:$H$415, "&lt;"&amp;JG1)</f>
        <v>0</v>
      </c>
      <c r="JG5" s="191">
        <f>SUMIFS('Expenditure Breakdown'!$G$6:$G$415, 'Expenditure Breakdown'!$H$6:$H$415, "&gt;="&amp;JG1,'Expenditure Breakdown'!$H$6:$H$415, "&lt;"&amp;JH1)</f>
        <v>0</v>
      </c>
      <c r="JH5" s="191">
        <f>SUMIFS('Expenditure Breakdown'!$G$6:$G$415, 'Expenditure Breakdown'!$H$6:$H$415, "&gt;="&amp;JH1,'Expenditure Breakdown'!$H$6:$H$415, "&lt;"&amp;JI1)</f>
        <v>0</v>
      </c>
      <c r="JI5" s="191">
        <f>SUMIFS('Expenditure Breakdown'!$G$6:$G$415, 'Expenditure Breakdown'!$H$6:$H$415, "&gt;="&amp;JI1,'Expenditure Breakdown'!$H$6:$H$415, "&lt;"&amp;JJ1)</f>
        <v>0</v>
      </c>
      <c r="JJ5" s="191">
        <f>SUMIFS('Expenditure Breakdown'!$G$6:$G$415, 'Expenditure Breakdown'!$H$6:$H$415, "&gt;="&amp;JJ1,'Expenditure Breakdown'!$H$6:$H$415, "&lt;"&amp;JK1)</f>
        <v>0</v>
      </c>
      <c r="JK5" s="191">
        <f>SUMIFS('Expenditure Breakdown'!$G$6:$G$415, 'Expenditure Breakdown'!$H$6:$H$415, "&gt;="&amp;JK1,'Expenditure Breakdown'!$H$6:$H$415, "&lt;"&amp;JL1)</f>
        <v>0</v>
      </c>
      <c r="JL5" s="191">
        <f>SUMIFS('Expenditure Breakdown'!$G$6:$G$415, 'Expenditure Breakdown'!$H$6:$H$415, "&gt;="&amp;JL1,'Expenditure Breakdown'!$H$6:$H$415, "&lt;"&amp;JM1)</f>
        <v>0</v>
      </c>
      <c r="JM5" s="191">
        <f>SUMIFS('Expenditure Breakdown'!$G$6:$G$415, 'Expenditure Breakdown'!$H$6:$H$415, "&gt;="&amp;JM1,'Expenditure Breakdown'!$H$6:$H$415, "&lt;"&amp;JN1)</f>
        <v>0</v>
      </c>
      <c r="JN5" s="191">
        <f>SUMIFS('Expenditure Breakdown'!$G$6:$G$415, 'Expenditure Breakdown'!$H$6:$H$415, "&gt;="&amp;JN1,'Expenditure Breakdown'!$H$6:$H$415, "&lt;"&amp;JO1)</f>
        <v>0</v>
      </c>
      <c r="JO5" s="191">
        <f>SUMIFS('Expenditure Breakdown'!$G$6:$G$415, 'Expenditure Breakdown'!$H$6:$H$415, "&gt;="&amp;JO1,'Expenditure Breakdown'!$H$6:$H$415, "&lt;"&amp;JP1)</f>
        <v>0</v>
      </c>
      <c r="JP5" s="191">
        <f>SUMIFS('Expenditure Breakdown'!$G$6:$G$415, 'Expenditure Breakdown'!$H$6:$H$415, "&gt;="&amp;JP1,'Expenditure Breakdown'!$H$6:$H$415, "&lt;"&amp;JQ1)</f>
        <v>0</v>
      </c>
      <c r="JQ5" s="191">
        <f>SUMIFS('Expenditure Breakdown'!$G$6:$G$415, 'Expenditure Breakdown'!$H$6:$H$415, "&gt;="&amp;JQ1,'Expenditure Breakdown'!$H$6:$H$415, "&lt;"&amp;JR1)</f>
        <v>0</v>
      </c>
      <c r="JR5" s="191">
        <f>SUMIFS('Expenditure Breakdown'!$G$6:$G$415, 'Expenditure Breakdown'!$H$6:$H$415, "&gt;="&amp;JR1,'Expenditure Breakdown'!$H$6:$H$415, "&lt;"&amp;JS1)</f>
        <v>0</v>
      </c>
      <c r="JS5" s="191">
        <f>SUMIFS('Expenditure Breakdown'!$G$6:$G$415, 'Expenditure Breakdown'!$H$6:$H$415, "&gt;="&amp;JS1,'Expenditure Breakdown'!$H$6:$H$415, "&lt;"&amp;JT1)</f>
        <v>0</v>
      </c>
      <c r="JT5" s="191">
        <f>SUMIFS('Expenditure Breakdown'!$G$6:$G$415, 'Expenditure Breakdown'!$H$6:$H$415, "&gt;="&amp;JT1,'Expenditure Breakdown'!$H$6:$H$415, "&lt;"&amp;JU1)</f>
        <v>0</v>
      </c>
      <c r="JU5" s="191">
        <f>SUMIFS('Expenditure Breakdown'!$G$6:$G$415, 'Expenditure Breakdown'!$H$6:$H$415, "&gt;="&amp;JU1,'Expenditure Breakdown'!$H$6:$H$415, "&lt;"&amp;JV1)</f>
        <v>0</v>
      </c>
      <c r="JV5" s="191">
        <f>SUMIFS('Expenditure Breakdown'!$G$6:$G$415, 'Expenditure Breakdown'!$H$6:$H$415, "&gt;="&amp;JV1,'Expenditure Breakdown'!$H$6:$H$415, "&lt;"&amp;JW1)</f>
        <v>0</v>
      </c>
      <c r="JW5" s="191">
        <f>SUMIFS('Expenditure Breakdown'!$G$6:$G$415, 'Expenditure Breakdown'!$H$6:$H$415, "&gt;="&amp;JW1,'Expenditure Breakdown'!$H$6:$H$415, "&lt;"&amp;JX1)</f>
        <v>0</v>
      </c>
      <c r="JX5" s="191">
        <f>SUMIFS('Expenditure Breakdown'!$G$6:$G$415, 'Expenditure Breakdown'!$H$6:$H$415, "&gt;="&amp;JX1,'Expenditure Breakdown'!$H$6:$H$415, "&lt;"&amp;JY1)</f>
        <v>0</v>
      </c>
      <c r="JY5" s="191">
        <f>SUMIFS('Expenditure Breakdown'!$G$6:$G$415, 'Expenditure Breakdown'!$H$6:$H$415, "&gt;="&amp;JY1,'Expenditure Breakdown'!$H$6:$H$415, "&lt;"&amp;JZ1)</f>
        <v>0</v>
      </c>
      <c r="JZ5" s="191">
        <f>SUMIFS('Expenditure Breakdown'!$G$6:$G$415, 'Expenditure Breakdown'!$H$6:$H$415, "&gt;="&amp;JZ1,'Expenditure Breakdown'!$H$6:$H$415, "&lt;"&amp;KA1)</f>
        <v>0</v>
      </c>
      <c r="KA5" s="191">
        <f>SUMIFS('Expenditure Breakdown'!$G$6:$G$415, 'Expenditure Breakdown'!$H$6:$H$415, "&gt;="&amp;KA1,'Expenditure Breakdown'!$H$6:$H$415, "&lt;"&amp;KB1)</f>
        <v>0</v>
      </c>
      <c r="KB5" s="191">
        <f>SUMIFS('Expenditure Breakdown'!$G$6:$G$415, 'Expenditure Breakdown'!$H$6:$H$415, "&gt;="&amp;KB1,'Expenditure Breakdown'!$H$6:$H$415, "&lt;"&amp;KC1)</f>
        <v>0</v>
      </c>
      <c r="KC5" s="191">
        <f>SUMIFS('Expenditure Breakdown'!$G$6:$G$415, 'Expenditure Breakdown'!$H$6:$H$415, "&gt;="&amp;KC1,'Expenditure Breakdown'!$H$6:$H$415, "&lt;"&amp;KD1)</f>
        <v>0</v>
      </c>
      <c r="KD5" s="191">
        <f>SUMIFS('Expenditure Breakdown'!$G$6:$G$415, 'Expenditure Breakdown'!$H$6:$H$415, "&gt;="&amp;KD1,'Expenditure Breakdown'!$H$6:$H$415, "&lt;"&amp;KE1)</f>
        <v>0</v>
      </c>
      <c r="KE5" s="191">
        <f>SUMIFS('Expenditure Breakdown'!$G$6:$G$415, 'Expenditure Breakdown'!$H$6:$H$415, "&gt;="&amp;KE1,'Expenditure Breakdown'!$H$6:$H$415, "&lt;"&amp;KF1)</f>
        <v>0</v>
      </c>
      <c r="KF5" s="191">
        <f>SUMIFS('Expenditure Breakdown'!$G$6:$G$415, 'Expenditure Breakdown'!$H$6:$H$415, "&gt;="&amp;KF1,'Expenditure Breakdown'!$H$6:$H$415, "&lt;"&amp;KG1)</f>
        <v>0</v>
      </c>
      <c r="KG5" s="191">
        <f>SUMIFS('Expenditure Breakdown'!$G$6:$G$415, 'Expenditure Breakdown'!$H$6:$H$415, "&gt;="&amp;KG1,'Expenditure Breakdown'!$H$6:$H$415, "&lt;"&amp;KH1)</f>
        <v>0</v>
      </c>
      <c r="KH5" s="191">
        <f>SUMIFS('Expenditure Breakdown'!$G$6:$G$415, 'Expenditure Breakdown'!$H$6:$H$415, "&gt;="&amp;KH1,'Expenditure Breakdown'!$H$6:$H$415, "&lt;"&amp;KI1)</f>
        <v>0</v>
      </c>
      <c r="KI5" s="191">
        <f>SUMIFS('Expenditure Breakdown'!$G$6:$G$415, 'Expenditure Breakdown'!$H$6:$H$415, "&gt;="&amp;KI1,'Expenditure Breakdown'!$H$6:$H$415, "&lt;"&amp;KJ1)</f>
        <v>0</v>
      </c>
      <c r="KJ5" s="191">
        <f>SUMIFS('Expenditure Breakdown'!$G$6:$G$415, 'Expenditure Breakdown'!$H$6:$H$415, "&gt;="&amp;KJ1,'Expenditure Breakdown'!$H$6:$H$415, "&lt;"&amp;KK1)</f>
        <v>0</v>
      </c>
      <c r="KK5" s="191">
        <f>SUMIFS('Expenditure Breakdown'!$G$6:$G$415, 'Expenditure Breakdown'!$H$6:$H$415, "&gt;="&amp;KK1,'Expenditure Breakdown'!$H$6:$H$415, "&lt;"&amp;KL1)</f>
        <v>0</v>
      </c>
      <c r="KL5" s="191">
        <f>SUMIFS('Expenditure Breakdown'!$G$6:$G$415, 'Expenditure Breakdown'!$H$6:$H$415, "&gt;="&amp;KL1,'Expenditure Breakdown'!$H$6:$H$415, "&lt;"&amp;KM1)</f>
        <v>0</v>
      </c>
      <c r="KM5" s="191">
        <f>SUMIFS('Expenditure Breakdown'!$G$6:$G$415, 'Expenditure Breakdown'!$H$6:$H$415, "&gt;="&amp;KM1,'Expenditure Breakdown'!$H$6:$H$415, "&lt;"&amp;KN1)</f>
        <v>0</v>
      </c>
      <c r="KN5" s="191">
        <f>SUMIFS('Expenditure Breakdown'!$G$6:$G$415, 'Expenditure Breakdown'!$H$6:$H$415, "&gt;="&amp;KN1,'Expenditure Breakdown'!$H$6:$H$415, "&lt;"&amp;KO1)</f>
        <v>0</v>
      </c>
      <c r="KO5" s="191">
        <f>SUMIFS('Expenditure Breakdown'!$G$6:$G$415, 'Expenditure Breakdown'!$H$6:$H$415, "&gt;="&amp;KO1,'Expenditure Breakdown'!$H$6:$H$415, "&lt;"&amp;KP1)</f>
        <v>0</v>
      </c>
      <c r="KP5" s="191">
        <f>SUMIFS('Expenditure Breakdown'!$G$6:$G$415, 'Expenditure Breakdown'!$H$6:$H$415, "&gt;="&amp;KP1,'Expenditure Breakdown'!$H$6:$H$415, "&lt;"&amp;KQ1)</f>
        <v>0</v>
      </c>
      <c r="KQ5" s="191">
        <f>SUMIFS('Expenditure Breakdown'!$G$6:$G$415, 'Expenditure Breakdown'!$H$6:$H$415, "&gt;="&amp;KQ1,'Expenditure Breakdown'!$H$6:$H$415, "&lt;"&amp;KR1)</f>
        <v>0</v>
      </c>
      <c r="KR5" s="191">
        <f>SUMIFS('Expenditure Breakdown'!$G$6:$G$415, 'Expenditure Breakdown'!$H$6:$H$415, "&gt;="&amp;KR1,'Expenditure Breakdown'!$H$6:$H$415, "&lt;"&amp;KS1)</f>
        <v>0</v>
      </c>
      <c r="KS5" s="191">
        <f>SUMIFS('Expenditure Breakdown'!$G$6:$G$415, 'Expenditure Breakdown'!$H$6:$H$415, "&gt;="&amp;KS1,'Expenditure Breakdown'!$H$6:$H$415, "&lt;"&amp;KT1)</f>
        <v>0</v>
      </c>
      <c r="KT5" s="191">
        <f>SUMIFS('Expenditure Breakdown'!$G$6:$G$415, 'Expenditure Breakdown'!$H$6:$H$415, "&gt;="&amp;KT1,'Expenditure Breakdown'!$H$6:$H$415, "&lt;"&amp;KU1)</f>
        <v>0</v>
      </c>
      <c r="KU5" s="191">
        <f>SUMIFS('Expenditure Breakdown'!$G$6:$G$415, 'Expenditure Breakdown'!$H$6:$H$415, "&gt;="&amp;KU1,'Expenditure Breakdown'!$H$6:$H$415, "&lt;"&amp;KV1)</f>
        <v>0</v>
      </c>
      <c r="KV5" s="191">
        <f>SUMIFS('Expenditure Breakdown'!$G$6:$G$415, 'Expenditure Breakdown'!$H$6:$H$415, "&gt;="&amp;KV1,'Expenditure Breakdown'!$H$6:$H$415, "&lt;"&amp;KW1)</f>
        <v>0</v>
      </c>
      <c r="KW5" s="191">
        <f>SUMIFS('Expenditure Breakdown'!$G$6:$G$415, 'Expenditure Breakdown'!$H$6:$H$415, "&gt;="&amp;KW1,'Expenditure Breakdown'!$H$6:$H$415, "&lt;"&amp;KX1)</f>
        <v>0</v>
      </c>
      <c r="KX5" s="191">
        <f>SUMIFS('Expenditure Breakdown'!$G$6:$G$415, 'Expenditure Breakdown'!$H$6:$H$415, "&gt;="&amp;KX1,'Expenditure Breakdown'!$H$6:$H$415, "&lt;"&amp;KY1)</f>
        <v>0</v>
      </c>
      <c r="KY5" s="191">
        <f>SUMIFS('Expenditure Breakdown'!$G$6:$G$415, 'Expenditure Breakdown'!$H$6:$H$415, "&gt;="&amp;KY1,'Expenditure Breakdown'!$H$6:$H$415, "&lt;"&amp;KZ1)</f>
        <v>0</v>
      </c>
      <c r="KZ5" s="191">
        <f>SUMIFS('Expenditure Breakdown'!$G$6:$G$415, 'Expenditure Breakdown'!$H$6:$H$415, "&gt;="&amp;KZ1,'Expenditure Breakdown'!$H$6:$H$415, "&lt;"&amp;LA1)</f>
        <v>0</v>
      </c>
      <c r="LA5" s="191">
        <f>SUMIFS('Expenditure Breakdown'!$G$6:$G$415, 'Expenditure Breakdown'!$H$6:$H$415, "&gt;="&amp;LA1,'Expenditure Breakdown'!$H$6:$H$415, "&lt;"&amp;LB1)</f>
        <v>0</v>
      </c>
      <c r="LB5" s="191">
        <f>SUMIFS('Expenditure Breakdown'!$G$6:$G$415, 'Expenditure Breakdown'!$H$6:$H$415, "&gt;="&amp;LB1,'Expenditure Breakdown'!$H$6:$H$415, "&lt;"&amp;LC1)</f>
        <v>0</v>
      </c>
      <c r="LC5" s="191">
        <f>SUMIFS('Expenditure Breakdown'!$G$6:$G$415, 'Expenditure Breakdown'!$H$6:$H$415, "&gt;="&amp;LC1,'Expenditure Breakdown'!$H$6:$H$415, "&lt;"&amp;LD1)</f>
        <v>0</v>
      </c>
      <c r="LD5" s="191">
        <f>SUMIFS('Expenditure Breakdown'!$G$6:$G$415, 'Expenditure Breakdown'!$H$6:$H$415, "&gt;="&amp;LD1,'Expenditure Breakdown'!$H$6:$H$415, "&lt;"&amp;#REF!)</f>
        <v>0</v>
      </c>
      <c r="LE5" s="181"/>
      <c r="LF5" s="192"/>
      <c r="LG5" s="192"/>
    </row>
    <row r="6" spans="1:794" s="193" customFormat="1" x14ac:dyDescent="0.25">
      <c r="A6" s="944"/>
      <c r="B6" s="189" t="s">
        <v>753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 x14ac:dyDescent="0.25">
      <c r="A7" s="944"/>
      <c r="B7" s="194" t="s">
        <v>754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 x14ac:dyDescent="0.25">
      <c r="A8" s="943" t="s">
        <v>60</v>
      </c>
      <c r="B8" s="182"/>
      <c r="C8" s="183" t="s">
        <v>300</v>
      </c>
      <c r="D8" s="183" t="s">
        <v>300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 x14ac:dyDescent="0.25">
      <c r="A9" s="944"/>
      <c r="B9" s="199" t="s">
        <v>755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0</v>
      </c>
      <c r="BT9" s="201">
        <f>SUMIFS('Revenue Tracking'!$F$13:$F$21, 'Revenue Tracking'!$P$13:$P$21, "&gt;="&amp;BT1,'Revenue Tracking'!$P$13:$P$21, "&lt;"&amp;BU1)</f>
        <v>0</v>
      </c>
      <c r="BU9" s="201">
        <f>SUMIFS('Revenue Tracking'!$F$13:$F$21, 'Revenue Tracking'!$P$13:$P$21, "&gt;="&amp;BU1,'Revenue Tracking'!$P$13:$P$21, "&lt;"&amp;BV1)</f>
        <v>2999750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 x14ac:dyDescent="0.25">
      <c r="A10" s="944"/>
      <c r="B10" s="199" t="s">
        <v>756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56995250</v>
      </c>
      <c r="BT10" s="201">
        <f t="shared" si="21"/>
        <v>56995250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 x14ac:dyDescent="0.25">
      <c r="A11" s="944"/>
      <c r="B11" s="202" t="s">
        <v>757</v>
      </c>
      <c r="C11" s="203">
        <f>'Revenue Tracking'!F5</f>
        <v>47353351.446446106</v>
      </c>
      <c r="D11" s="203">
        <f>SUM(F11:LD11)</f>
        <v>47372520.446446061</v>
      </c>
      <c r="E11" s="187"/>
      <c r="F11" s="204">
        <f>SUMIFS('Expenditure Breakdown'!$Q$6:$Q$415, 'Expenditure Breakdown'!$W$6:$W$415, "&gt;="&amp;F1,'Expenditure Breakdown'!$W$6:$W$415, "&lt;"&amp;G1)</f>
        <v>0</v>
      </c>
      <c r="G11" s="204">
        <f>SUMIFS('Expenditure Breakdown'!$Q$6:$Q$415, 'Expenditure Breakdown'!$W$6:$W$415, "&gt;="&amp;G1,'Expenditure Breakdown'!$W$6:$W$415, "&lt;"&amp;H1)</f>
        <v>0</v>
      </c>
      <c r="H11" s="204">
        <f>SUMIFS('Expenditure Breakdown'!$Q$6:$Q$415, 'Expenditure Breakdown'!$W$6:$W$415, "&gt;="&amp;H1,'Expenditure Breakdown'!$W$6:$W$415, "&lt;"&amp;I1)</f>
        <v>0</v>
      </c>
      <c r="I11" s="204">
        <f>SUMIFS('Expenditure Breakdown'!$Q$6:$Q$415, 'Expenditure Breakdown'!$W$6:$W$415, "&gt;="&amp;I1,'Expenditure Breakdown'!$W$6:$W$415, "&lt;"&amp;J1)</f>
        <v>0</v>
      </c>
      <c r="J11" s="204">
        <f>SUMIFS('Expenditure Breakdown'!$Q$6:$Q$415, 'Expenditure Breakdown'!$W$6:$W$415, "&gt;="&amp;J1,'Expenditure Breakdown'!$W$6:$W$415, "&lt;"&amp;K1)</f>
        <v>0</v>
      </c>
      <c r="K11" s="204">
        <f>SUMIFS('Expenditure Breakdown'!$Q$6:$Q$415, 'Expenditure Breakdown'!$W$6:$W$415, "&gt;="&amp;K1,'Expenditure Breakdown'!$W$6:$W$415, "&lt;"&amp;L1)</f>
        <v>0</v>
      </c>
      <c r="L11" s="204">
        <f>SUMIFS('Expenditure Breakdown'!$Q$6:$Q$415, 'Expenditure Breakdown'!$W$6:$W$415, "&gt;="&amp;L1,'Expenditure Breakdown'!$W$6:$W$415, "&lt;"&amp;M1)</f>
        <v>0</v>
      </c>
      <c r="M11" s="204">
        <f>SUMIFS('Expenditure Breakdown'!$Q$6:$Q$415, 'Expenditure Breakdown'!$W$6:$W$415, "&gt;="&amp;M1,'Expenditure Breakdown'!$W$6:$W$415, "&lt;"&amp;N1)</f>
        <v>0</v>
      </c>
      <c r="N11" s="204">
        <f>SUMIFS('Expenditure Breakdown'!$Q$6:$Q$415, 'Expenditure Breakdown'!$W$6:$W$415, "&gt;="&amp;N1,'Expenditure Breakdown'!$W$6:$W$415, "&lt;"&amp;O1)</f>
        <v>0</v>
      </c>
      <c r="O11" s="204">
        <f>SUMIFS('Expenditure Breakdown'!$Q$6:$Q$415, 'Expenditure Breakdown'!$W$6:$W$415, "&gt;="&amp;O1,'Expenditure Breakdown'!$W$6:$W$415, "&lt;"&amp;P1)</f>
        <v>0</v>
      </c>
      <c r="P11" s="204">
        <f>SUMIFS('Expenditure Breakdown'!$Q$6:$Q$415, 'Expenditure Breakdown'!$W$6:$W$415, "&gt;="&amp;P1,'Expenditure Breakdown'!$W$6:$W$415, "&lt;"&amp;Q1)</f>
        <v>0</v>
      </c>
      <c r="Q11" s="204">
        <f>SUMIFS('Expenditure Breakdown'!$Q$6:$Q$415, 'Expenditure Breakdown'!$W$6:$W$415, "&gt;="&amp;Q1,'Expenditure Breakdown'!$W$6:$W$415, "&lt;"&amp;R1)</f>
        <v>0</v>
      </c>
      <c r="R11" s="204">
        <f>SUMIFS('Expenditure Breakdown'!$Q$6:$Q$415, 'Expenditure Breakdown'!$W$6:$W$415, "&gt;="&amp;R1,'Expenditure Breakdown'!$W$6:$W$415, "&lt;"&amp;S1)</f>
        <v>0</v>
      </c>
      <c r="S11" s="204">
        <f>SUMIFS('Expenditure Breakdown'!$Q$6:$Q$415, 'Expenditure Breakdown'!$W$6:$W$415, "&gt;="&amp;S1,'Expenditure Breakdown'!$W$6:$W$415, "&lt;"&amp;T1)</f>
        <v>0</v>
      </c>
      <c r="T11" s="204">
        <f>SUMIFS('Expenditure Breakdown'!$Q$6:$Q$415, 'Expenditure Breakdown'!$W$6:$W$415, "&gt;="&amp;T1,'Expenditure Breakdown'!$W$6:$W$415, "&lt;"&amp;U1)</f>
        <v>0</v>
      </c>
      <c r="U11" s="204">
        <f>SUMIFS('Expenditure Breakdown'!$Q$6:$Q$415, 'Expenditure Breakdown'!$W$6:$W$415, "&gt;="&amp;U1,'Expenditure Breakdown'!$W$6:$W$415, "&lt;"&amp;V1)</f>
        <v>0</v>
      </c>
      <c r="V11" s="204">
        <f>SUMIFS('Expenditure Breakdown'!$Q$6:$Q$415, 'Expenditure Breakdown'!$W$6:$W$415, "&gt;="&amp;V1,'Expenditure Breakdown'!$W$6:$W$415, "&lt;"&amp;W1)</f>
        <v>0</v>
      </c>
      <c r="W11" s="204">
        <f>SUMIFS('Expenditure Breakdown'!$Q$6:$Q$415, 'Expenditure Breakdown'!$W$6:$W$415, "&gt;="&amp;W1,'Expenditure Breakdown'!$W$6:$W$415, "&lt;"&amp;X1)</f>
        <v>0</v>
      </c>
      <c r="X11" s="204">
        <f>SUMIFS('Expenditure Breakdown'!$Q$6:$Q$415, 'Expenditure Breakdown'!$W$6:$W$415, "&gt;="&amp;X1,'Expenditure Breakdown'!$W$6:$W$415, "&lt;"&amp;Y1)</f>
        <v>0</v>
      </c>
      <c r="Y11" s="204">
        <f>SUMIFS('Expenditure Breakdown'!$Q$6:$Q$415, 'Expenditure Breakdown'!$W$6:$W$415, "&gt;="&amp;Y1,'Expenditure Breakdown'!$W$6:$W$415, "&lt;"&amp;Z1)</f>
        <v>0</v>
      </c>
      <c r="Z11" s="204">
        <f>SUMIFS('Expenditure Breakdown'!$Q$6:$Q$415, 'Expenditure Breakdown'!$W$6:$W$415, "&gt;="&amp;Z1,'Expenditure Breakdown'!$W$6:$W$415, "&lt;"&amp;AA1)</f>
        <v>2875421.9278117996</v>
      </c>
      <c r="AA11" s="204">
        <f>SUMIFS('Expenditure Breakdown'!$Q$6:$Q$415, 'Expenditure Breakdown'!$W$6:$W$415, "&gt;="&amp;AA1,'Expenditure Breakdown'!$W$6:$W$415, "&lt;"&amp;AB1)</f>
        <v>2950967.6</v>
      </c>
      <c r="AB11" s="204">
        <f>SUMIFS('Expenditure Breakdown'!$Q$6:$Q$415, 'Expenditure Breakdown'!$W$6:$W$415, "&gt;="&amp;AB1,'Expenditure Breakdown'!$W$6:$W$415, "&lt;"&amp;AC1)</f>
        <v>2203305.94</v>
      </c>
      <c r="AC11" s="204">
        <f>SUMIFS('Expenditure Breakdown'!$Q$6:$Q$415, 'Expenditure Breakdown'!$W$6:$W$415, "&gt;="&amp;AC1,'Expenditure Breakdown'!$W$6:$W$415, "&lt;"&amp;AD1)</f>
        <v>16170.84</v>
      </c>
      <c r="AD11" s="204">
        <f>SUMIFS('Expenditure Breakdown'!$Q$6:$Q$415, 'Expenditure Breakdown'!$W$6:$W$415, "&gt;="&amp;AD1,'Expenditure Breakdown'!$W$6:$W$415, "&lt;"&amp;AE1)</f>
        <v>10400</v>
      </c>
      <c r="AE11" s="204">
        <f>SUMIFS('Expenditure Breakdown'!$Q$6:$Q$415, 'Expenditure Breakdown'!$W$6:$W$415, "&gt;="&amp;AE1,'Expenditure Breakdown'!$W$6:$W$415, "&lt;"&amp;AF1)</f>
        <v>1891236.5</v>
      </c>
      <c r="AF11" s="204">
        <f>SUMIFS('Expenditure Breakdown'!$Q$6:$Q$415, 'Expenditure Breakdown'!$W$6:$W$415, "&gt;="&amp;AF1,'Expenditure Breakdown'!$W$6:$W$415, "&lt;"&amp;AG1)</f>
        <v>19205.5</v>
      </c>
      <c r="AG11" s="204">
        <f>SUMIFS('Expenditure Breakdown'!$Q$6:$Q$415, 'Expenditure Breakdown'!$W$6:$W$415, "&gt;="&amp;AG1,'Expenditure Breakdown'!$W$6:$W$415, "&lt;"&amp;AH1)</f>
        <v>990304.26</v>
      </c>
      <c r="AH11" s="204">
        <f>SUMIFS('Expenditure Breakdown'!$Q$6:$Q$415, 'Expenditure Breakdown'!$W$6:$W$415, "&gt;="&amp;AH1,'Expenditure Breakdown'!$W$6:$W$415, "&lt;"&amp;AI1)</f>
        <v>21545.980000000003</v>
      </c>
      <c r="AI11" s="204">
        <f>SUMIFS('Expenditure Breakdown'!$Q$6:$Q$415, 'Expenditure Breakdown'!$W$6:$W$415, "&gt;="&amp;AI1,'Expenditure Breakdown'!$W$6:$W$415, "&lt;"&amp;AJ1)</f>
        <v>3127.77</v>
      </c>
      <c r="AJ11" s="204">
        <f>SUMIFS('Expenditure Breakdown'!$Q$6:$Q$415, 'Expenditure Breakdown'!$W$6:$W$415, "&gt;="&amp;AJ1,'Expenditure Breakdown'!$W$6:$W$415, "&lt;"&amp;AK1)</f>
        <v>13753.859999999999</v>
      </c>
      <c r="AK11" s="204">
        <f>SUMIFS('Expenditure Breakdown'!$Q$6:$Q$415, 'Expenditure Breakdown'!$W$6:$W$415, "&gt;="&amp;AK1,'Expenditure Breakdown'!$W$6:$W$415, "&lt;"&amp;AL1)</f>
        <v>1798952.82</v>
      </c>
      <c r="AL11" s="204">
        <f>SUMIFS('Expenditure Breakdown'!$Q$6:$Q$415, 'Expenditure Breakdown'!$W$6:$W$415, "&gt;="&amp;AL1,'Expenditure Breakdown'!$W$6:$W$415, "&lt;"&amp;AM1)</f>
        <v>5230583.5299999993</v>
      </c>
      <c r="AM11" s="204">
        <f>SUMIFS('Expenditure Breakdown'!$Q$6:$Q$415, 'Expenditure Breakdown'!$W$6:$W$415, "&gt;="&amp;AM1,'Expenditure Breakdown'!$W$6:$W$415, "&lt;"&amp;AN1)</f>
        <v>141520.99</v>
      </c>
      <c r="AN11" s="204">
        <f>SUMIFS('Expenditure Breakdown'!$Q$6:$Q$415, 'Expenditure Breakdown'!$W$6:$W$415, "&gt;="&amp;AN1,'Expenditure Breakdown'!$W$6:$W$415, "&lt;"&amp;AO1)</f>
        <v>0</v>
      </c>
      <c r="AO11" s="204">
        <f>SUMIFS('Expenditure Breakdown'!$Q$6:$Q$415, 'Expenditure Breakdown'!$W$6:$W$415, "&gt;="&amp;AO1,'Expenditure Breakdown'!$W$6:$W$415, "&lt;"&amp;AP1)</f>
        <v>1513895.8521739133</v>
      </c>
      <c r="AP11" s="204">
        <f>SUMIFS('Expenditure Breakdown'!$Q$6:$Q$415, 'Expenditure Breakdown'!$W$6:$W$415, "&gt;="&amp;AP1,'Expenditure Breakdown'!$W$6:$W$415, "&lt;"&amp;AQ1)</f>
        <v>3431787.11</v>
      </c>
      <c r="AQ11" s="204">
        <f>SUMIFS('Expenditure Breakdown'!$Q$6:$Q$415, 'Expenditure Breakdown'!$W$6:$W$415, "&gt;="&amp;AQ1,'Expenditure Breakdown'!$W$6:$W$415, "&lt;"&amp;AR1)</f>
        <v>35705.15</v>
      </c>
      <c r="AR11" s="204">
        <f>SUMIFS('Expenditure Breakdown'!$Q$6:$Q$415, 'Expenditure Breakdown'!$W$6:$W$415, "&gt;="&amp;AR1,'Expenditure Breakdown'!$W$6:$W$415, "&lt;"&amp;AS1)</f>
        <v>3941564.8800000008</v>
      </c>
      <c r="AS11" s="204">
        <f>SUMIFS('Expenditure Breakdown'!$Q$6:$Q$415, 'Expenditure Breakdown'!$W$6:$W$415, "&gt;="&amp;AS1,'Expenditure Breakdown'!$W$6:$W$415, "&lt;"&amp;AT1)</f>
        <v>0</v>
      </c>
      <c r="AT11" s="204">
        <f>SUMIFS('Expenditure Breakdown'!$Q$6:$Q$415, 'Expenditure Breakdown'!$W$6:$W$415, "&gt;="&amp;AT1,'Expenditure Breakdown'!$W$6:$W$415, "&lt;"&amp;AU1)</f>
        <v>420768.77</v>
      </c>
      <c r="AU11" s="204">
        <f>SUMIFS('Expenditure Breakdown'!$Q$6:$Q$415, 'Expenditure Breakdown'!$W$6:$W$415, "&gt;="&amp;AU1,'Expenditure Breakdown'!$W$6:$W$415, "&lt;"&amp;AV1)</f>
        <v>64726.880000000005</v>
      </c>
      <c r="AV11" s="204">
        <f>SUMIFS('Expenditure Breakdown'!$Q$6:$Q$415, 'Expenditure Breakdown'!$W$6:$W$415, "&gt;="&amp;AV1,'Expenditure Breakdown'!$W$6:$W$415, "&lt;"&amp;AW1)</f>
        <v>16719</v>
      </c>
      <c r="AW11" s="204">
        <f>SUMIFS('Expenditure Breakdown'!$Q$6:$Q$415, 'Expenditure Breakdown'!$W$6:$W$415, "&gt;="&amp;AW1,'Expenditure Breakdown'!$W$6:$W$415, "&lt;"&amp;AX1)</f>
        <v>0</v>
      </c>
      <c r="AX11" s="204">
        <f>SUMIFS('Expenditure Breakdown'!$Q$6:$Q$415, 'Expenditure Breakdown'!$W$6:$W$415, "&gt;="&amp;AX1,'Expenditure Breakdown'!$W$6:$W$415, "&lt;"&amp;AY1)</f>
        <v>4895141.928634299</v>
      </c>
      <c r="AY11" s="204">
        <f>SUMIFS('Expenditure Breakdown'!$Q$6:$Q$415, 'Expenditure Breakdown'!$W$6:$W$415, "&gt;="&amp;AY1,'Expenditure Breakdown'!$W$6:$W$415, "&lt;"&amp;AZ1)</f>
        <v>450963.72</v>
      </c>
      <c r="AZ11" s="204">
        <f>SUMIFS('Expenditure Breakdown'!$Q$6:$Q$415, 'Expenditure Breakdown'!$W$6:$W$415, "&gt;="&amp;AZ1,'Expenditure Breakdown'!$W$6:$W$415, "&lt;"&amp;BA1)</f>
        <v>161410.04999999999</v>
      </c>
      <c r="BA11" s="204">
        <f>SUMIFS('Expenditure Breakdown'!$Q$6:$Q$415, 'Expenditure Breakdown'!$W$6:$W$415, "&gt;="&amp;BA1,'Expenditure Breakdown'!$W$6:$W$415, "&lt;"&amp;BB1)</f>
        <v>931767.9</v>
      </c>
      <c r="BB11" s="204">
        <f>SUMIFS('Expenditure Breakdown'!$Q$6:$Q$415, 'Expenditure Breakdown'!$W$6:$W$415, "&gt;="&amp;BB1,'Expenditure Breakdown'!$W$6:$W$415, "&lt;"&amp;BC1)</f>
        <v>509318</v>
      </c>
      <c r="BC11" s="204">
        <f>SUMIFS('Expenditure Breakdown'!$Q$6:$Q$415, 'Expenditure Breakdown'!$W$6:$W$415, "&gt;="&amp;BC1,'Expenditure Breakdown'!$W$6:$W$415, "&lt;"&amp;BD1)</f>
        <v>223411</v>
      </c>
      <c r="BD11" s="204">
        <f>SUMIFS('Expenditure Breakdown'!$Q$6:$Q$415, 'Expenditure Breakdown'!$W$6:$W$415, "&gt;="&amp;BD1,'Expenditure Breakdown'!$W$6:$W$415, "&lt;"&amp;BE1)</f>
        <v>2146674.1078260848</v>
      </c>
      <c r="BE11" s="204">
        <f>SUMIFS('Expenditure Breakdown'!$Q$6:$Q$415, 'Expenditure Breakdown'!$W$6:$W$415, "&gt;="&amp;BE1,'Expenditure Breakdown'!$W$6:$W$415, "&lt;"&amp;BF1)</f>
        <v>1131449.1304347827</v>
      </c>
      <c r="BF11" s="204">
        <f>SUMIFS('Expenditure Breakdown'!$Q$6:$Q$415, 'Expenditure Breakdown'!$W$6:$W$415, "&gt;="&amp;BF1,'Expenditure Breakdown'!$W$6:$W$415, "&lt;"&amp;BG1)</f>
        <v>1877737.959</v>
      </c>
      <c r="BG11" s="204">
        <f>SUMIFS('Expenditure Breakdown'!$Q$6:$Q$415, 'Expenditure Breakdown'!$W$6:$W$415, "&gt;="&amp;BG1,'Expenditure Breakdown'!$W$6:$W$415, "&lt;"&amp;BH1)</f>
        <v>3715734.2205652175</v>
      </c>
      <c r="BH11" s="204">
        <f>SUMIFS('Expenditure Breakdown'!$Q$6:$Q$415, 'Expenditure Breakdown'!$W$6:$W$415, "&gt;="&amp;BH1,'Expenditure Breakdown'!$W$6:$W$415, "&lt;"&amp;BI1)</f>
        <v>36574.85</v>
      </c>
      <c r="BI11" s="204">
        <f>SUMIFS('Expenditure Breakdown'!$Q$6:$Q$415, 'Expenditure Breakdown'!$W$6:$W$415, "&gt;="&amp;BI1,'Expenditure Breakdown'!$W$6:$W$415, "&lt;"&amp;BJ1)</f>
        <v>1129.28</v>
      </c>
      <c r="BJ11" s="204">
        <f>SUMIFS('Expenditure Breakdown'!$Q$6:$Q$415, 'Expenditure Breakdown'!$W$6:$W$415, "&gt;="&amp;BJ1,'Expenditure Breakdown'!$W$6:$W$415, "&lt;"&amp;BK1)</f>
        <v>0</v>
      </c>
      <c r="BK11" s="204">
        <f>SUMIFS('Expenditure Breakdown'!$Q$6:$Q$415, 'Expenditure Breakdown'!$W$6:$W$415, "&gt;="&amp;BK1,'Expenditure Breakdown'!$W$6:$W$415, "&lt;"&amp;BL1)</f>
        <v>151106.47999999998</v>
      </c>
      <c r="BL11" s="204">
        <f>SUMIFS('Expenditure Breakdown'!$Q$6:$Q$415, 'Expenditure Breakdown'!$W$6:$W$415, "&gt;="&amp;BL1,'Expenditure Breakdown'!$W$6:$W$415, "&lt;"&amp;BM1)</f>
        <v>379779.38</v>
      </c>
      <c r="BM11" s="204">
        <f>SUMIFS('Expenditure Breakdown'!$Q$6:$Q$415, 'Expenditure Breakdown'!$W$6:$W$415, "&gt;="&amp;BM1,'Expenditure Breakdown'!$W$6:$W$415, "&lt;"&amp;BN1)</f>
        <v>0</v>
      </c>
      <c r="BN11" s="204">
        <f>SUMIFS('Expenditure Breakdown'!$Q$6:$Q$415, 'Expenditure Breakdown'!$W$6:$W$415, "&gt;="&amp;BN1,'Expenditure Breakdown'!$W$6:$W$415, "&lt;"&amp;BO1)</f>
        <v>0</v>
      </c>
      <c r="BO11" s="204">
        <f>SUMIFS('Expenditure Breakdown'!$Q$6:$Q$415, 'Expenditure Breakdown'!$W$6:$W$415, "&gt;="&amp;BO1,'Expenditure Breakdown'!$W$6:$W$415, "&lt;"&amp;BP1)</f>
        <v>2843</v>
      </c>
      <c r="BP11" s="204">
        <f>SUMIFS('Expenditure Breakdown'!$Q$6:$Q$415, 'Expenditure Breakdown'!$W$6:$W$415, "&gt;="&amp;BP1,'Expenditure Breakdown'!$W$6:$W$415, "&lt;"&amp;BQ1)</f>
        <v>672666.66666666663</v>
      </c>
      <c r="BQ11" s="204">
        <f>SUMIFS('Expenditure Breakdown'!$Q$6:$Q$415, 'Expenditure Breakdown'!$W$6:$W$415, "&gt;="&amp;BQ1,'Expenditure Breakdown'!$W$6:$W$415, "&lt;"&amp;BR1)</f>
        <v>55801.279999999999</v>
      </c>
      <c r="BR11" s="204">
        <f>SUMIFS('Expenditure Breakdown'!$Q$6:$Q$415, 'Expenditure Breakdown'!$W$6:$W$415, "&gt;="&amp;BR1,'Expenditure Breakdown'!$W$6:$W$415, "&lt;"&amp;BS1)</f>
        <v>0</v>
      </c>
      <c r="BS11" s="204">
        <f>SUMIFS('Expenditure Breakdown'!$Q$6:$Q$415, 'Expenditure Breakdown'!$W$6:$W$415, "&gt;="&amp;BS1,'Expenditure Breakdown'!$W$6:$W$415, "&lt;"&amp;BT1)</f>
        <v>0</v>
      </c>
      <c r="BT11" s="204">
        <f>SUMIFS('Expenditure Breakdown'!$Q$6:$Q$415, 'Expenditure Breakdown'!$W$6:$W$415, "&gt;="&amp;BT1,'Expenditure Breakdown'!$W$6:$W$415, "&lt;"&amp;BU1)</f>
        <v>715939.66666666674</v>
      </c>
      <c r="BU11" s="204">
        <f>SUMIFS('Expenditure Breakdown'!$Q$6:$Q$415, 'Expenditure Breakdown'!$W$6:$W$415, "&gt;="&amp;BU1,'Expenditure Breakdown'!$W$6:$W$415, "&lt;"&amp;BV1)</f>
        <v>0</v>
      </c>
      <c r="BV11" s="204">
        <f>SUMIFS('Expenditure Breakdown'!$Q$6:$Q$415, 'Expenditure Breakdown'!$W$6:$W$415, "&gt;="&amp;BV1,'Expenditure Breakdown'!$W$6:$W$415, "&lt;"&amp;BW1)</f>
        <v>600000</v>
      </c>
      <c r="BW11" s="204">
        <f>SUMIFS('Expenditure Breakdown'!$Q$6:$Q$415, 'Expenditure Breakdown'!$W$6:$W$415, "&gt;="&amp;BW1,'Expenditure Breakdown'!$W$6:$W$415, "&lt;"&amp;BX1)</f>
        <v>0</v>
      </c>
      <c r="BX11" s="204">
        <f>SUMIFS('Expenditure Breakdown'!$Q$6:$Q$415, 'Expenditure Breakdown'!$W$6:$W$415, "&gt;="&amp;BX1,'Expenditure Breakdown'!$W$6:$W$415, "&lt;"&amp;BY1)</f>
        <v>82140.666666666672</v>
      </c>
      <c r="BY11" s="204">
        <f>SUMIFS('Expenditure Breakdown'!$Q$6:$Q$415, 'Expenditure Breakdown'!$W$6:$W$415, "&gt;="&amp;BY1,'Expenditure Breakdown'!$W$6:$W$415, "&lt;"&amp;BZ1)</f>
        <v>0</v>
      </c>
      <c r="BZ11" s="204">
        <f>SUMIFS('Expenditure Breakdown'!$Q$6:$Q$415, 'Expenditure Breakdown'!$W$6:$W$415, "&gt;="&amp;BZ1,'Expenditure Breakdown'!$W$6:$W$415, "&lt;"&amp;CA1)</f>
        <v>0</v>
      </c>
      <c r="CA11" s="204">
        <f>SUMIFS('Expenditure Breakdown'!$Q$6:$Q$415, 'Expenditure Breakdown'!$W$6:$W$415, "&gt;="&amp;CA1,'Expenditure Breakdown'!$W$6:$W$415, "&lt;"&amp;CB1)</f>
        <v>0</v>
      </c>
      <c r="CB11" s="204">
        <f>SUMIFS('Expenditure Breakdown'!$Q$6:$Q$415, 'Expenditure Breakdown'!$W$6:$W$415, "&gt;="&amp;CB1,'Expenditure Breakdown'!$W$6:$W$415, "&lt;"&amp;CC1)</f>
        <v>0</v>
      </c>
      <c r="CC11" s="204">
        <f>SUMIFS('Expenditure Breakdown'!$Q$6:$Q$415, 'Expenditure Breakdown'!$W$6:$W$415, "&gt;="&amp;CC1,'Expenditure Breakdown'!$W$6:$W$415, "&lt;"&amp;CD1)</f>
        <v>82140.666666666672</v>
      </c>
      <c r="CD11" s="204">
        <f>SUMIFS('Expenditure Breakdown'!$Q$6:$Q$415, 'Expenditure Breakdown'!$W$6:$W$415, "&gt;="&amp;CD1,'Expenditure Breakdown'!$W$6:$W$415, "&lt;"&amp;CE1)</f>
        <v>0</v>
      </c>
      <c r="CE11" s="204">
        <f>SUMIFS('Expenditure Breakdown'!$Q$6:$Q$415, 'Expenditure Breakdown'!$W$6:$W$415, "&gt;="&amp;CE1,'Expenditure Breakdown'!$W$6:$W$415, "&lt;"&amp;CF1)</f>
        <v>0</v>
      </c>
      <c r="CF11" s="204">
        <f>SUMIFS('Expenditure Breakdown'!$Q$6:$Q$415, 'Expenditure Breakdown'!$W$6:$W$415, "&gt;="&amp;CF1,'Expenditure Breakdown'!$W$6:$W$415, "&lt;"&amp;CG1)</f>
        <v>0</v>
      </c>
      <c r="CG11" s="204">
        <f>SUMIFS('Expenditure Breakdown'!$Q$6:$Q$415, 'Expenditure Breakdown'!$W$6:$W$415, "&gt;="&amp;CG1,'Expenditure Breakdown'!$W$6:$W$415, "&lt;"&amp;CH1)</f>
        <v>82140.666666666672</v>
      </c>
      <c r="CH11" s="204">
        <f>SUMIFS('Expenditure Breakdown'!$Q$6:$Q$415, 'Expenditure Breakdown'!$W$6:$W$415, "&gt;="&amp;CH1,'Expenditure Breakdown'!$W$6:$W$415, "&lt;"&amp;CI1)</f>
        <v>0</v>
      </c>
      <c r="CI11" s="204">
        <f>SUMIFS('Expenditure Breakdown'!$Q$6:$Q$415, 'Expenditure Breakdown'!$W$6:$W$415, "&gt;="&amp;CI1,'Expenditure Breakdown'!$W$6:$W$415, "&lt;"&amp;CJ1)</f>
        <v>0</v>
      </c>
      <c r="CJ11" s="204">
        <f>SUMIFS('Expenditure Breakdown'!$Q$6:$Q$415, 'Expenditure Breakdown'!$W$6:$W$415, "&gt;="&amp;CJ1,'Expenditure Breakdown'!$W$6:$W$415, "&lt;"&amp;CK1)</f>
        <v>0</v>
      </c>
      <c r="CK11" s="204">
        <f>SUMIFS('Expenditure Breakdown'!$Q$6:$Q$415, 'Expenditure Breakdown'!$W$6:$W$415, "&gt;="&amp;CK1,'Expenditure Breakdown'!$W$6:$W$415, "&lt;"&amp;CL1)</f>
        <v>0</v>
      </c>
      <c r="CL11" s="204">
        <f>SUMIFS('Expenditure Breakdown'!$Q$6:$Q$415, 'Expenditure Breakdown'!$W$6:$W$415, "&gt;="&amp;CL1,'Expenditure Breakdown'!$W$6:$W$415, "&lt;"&amp;CM1)</f>
        <v>82140.666666666672</v>
      </c>
      <c r="CM11" s="204">
        <f>SUMIFS('Expenditure Breakdown'!$Q$6:$Q$415, 'Expenditure Breakdown'!$W$6:$W$415, "&gt;="&amp;CM1,'Expenditure Breakdown'!$W$6:$W$415, "&lt;"&amp;CN1)</f>
        <v>0</v>
      </c>
      <c r="CN11" s="204">
        <f>SUMIFS('Expenditure Breakdown'!$Q$6:$Q$415, 'Expenditure Breakdown'!$W$6:$W$415, "&gt;="&amp;CN1,'Expenditure Breakdown'!$W$6:$W$415, "&lt;"&amp;CO1)</f>
        <v>0</v>
      </c>
      <c r="CO11" s="204">
        <f>SUMIFS('Expenditure Breakdown'!$Q$6:$Q$415, 'Expenditure Breakdown'!$W$6:$W$415, "&gt;="&amp;CO1,'Expenditure Breakdown'!$W$6:$W$415, "&lt;"&amp;CP1)</f>
        <v>0</v>
      </c>
      <c r="CP11" s="204">
        <f>SUMIFS('Expenditure Breakdown'!$Q$6:$Q$415, 'Expenditure Breakdown'!$W$6:$W$415, "&gt;="&amp;CP1,'Expenditure Breakdown'!$W$6:$W$415, "&lt;"&amp;CQ1)</f>
        <v>82140.666666666672</v>
      </c>
      <c r="CQ11" s="204">
        <f>SUMIFS('Expenditure Breakdown'!$Q$6:$Q$415, 'Expenditure Breakdown'!$W$6:$W$415, "&gt;="&amp;CQ1,'Expenditure Breakdown'!$W$6:$W$415, "&lt;"&amp;CR1)</f>
        <v>0</v>
      </c>
      <c r="CR11" s="204">
        <f>SUMIFS('Expenditure Breakdown'!$Q$6:$Q$415, 'Expenditure Breakdown'!$W$6:$W$415, "&gt;="&amp;CR1,'Expenditure Breakdown'!$W$6:$W$415, "&lt;"&amp;CS1)</f>
        <v>0</v>
      </c>
      <c r="CS11" s="204">
        <f>SUMIFS('Expenditure Breakdown'!$Q$6:$Q$415, 'Expenditure Breakdown'!$W$6:$W$415, "&gt;="&amp;CS1,'Expenditure Breakdown'!$W$6:$W$415, "&lt;"&amp;CT1)</f>
        <v>0</v>
      </c>
      <c r="CT11" s="204">
        <f>SUMIFS('Expenditure Breakdown'!$Q$6:$Q$415, 'Expenditure Breakdown'!$W$6:$W$415, "&gt;="&amp;CT1,'Expenditure Breakdown'!$W$6:$W$415, "&lt;"&amp;CU1)</f>
        <v>82140.666666666672</v>
      </c>
      <c r="CU11" s="204">
        <f>SUMIFS('Expenditure Breakdown'!$Q$6:$Q$415, 'Expenditure Breakdown'!$W$6:$W$415, "&gt;="&amp;CU1,'Expenditure Breakdown'!$W$6:$W$415, "&lt;"&amp;CV1)</f>
        <v>0</v>
      </c>
      <c r="CV11" s="204">
        <f>SUMIFS('Expenditure Breakdown'!$Q$6:$Q$415, 'Expenditure Breakdown'!$W$6:$W$415, "&gt;="&amp;CV1,'Expenditure Breakdown'!$W$6:$W$415, "&lt;"&amp;CW1)</f>
        <v>0</v>
      </c>
      <c r="CW11" s="204">
        <f>SUMIFS('Expenditure Breakdown'!$Q$6:$Q$415, 'Expenditure Breakdown'!$W$6:$W$415, "&gt;="&amp;CW1,'Expenditure Breakdown'!$W$6:$W$415, "&lt;"&amp;CX1)</f>
        <v>0</v>
      </c>
      <c r="CX11" s="204">
        <f>SUMIFS('Expenditure Breakdown'!$Q$6:$Q$415, 'Expenditure Breakdown'!$W$6:$W$415, "&gt;="&amp;CX1,'Expenditure Breakdown'!$W$6:$W$415, "&lt;"&amp;CY1)</f>
        <v>0</v>
      </c>
      <c r="CY11" s="204">
        <f>SUMIFS('Expenditure Breakdown'!$Q$6:$Q$415, 'Expenditure Breakdown'!$W$6:$W$415, "&gt;="&amp;CY1,'Expenditure Breakdown'!$W$6:$W$415, "&lt;"&amp;CZ1)</f>
        <v>382140.66666666669</v>
      </c>
      <c r="CZ11" s="204">
        <f>SUMIFS('Expenditure Breakdown'!$Q$6:$Q$415, 'Expenditure Breakdown'!$W$6:$W$415, "&gt;="&amp;CZ1,'Expenditure Breakdown'!$W$6:$W$415, "&lt;"&amp;DA1)</f>
        <v>0</v>
      </c>
      <c r="DA11" s="204">
        <f>SUMIFS('Expenditure Breakdown'!$Q$6:$Q$415, 'Expenditure Breakdown'!$W$6:$W$415, "&gt;="&amp;DA1,'Expenditure Breakdown'!$W$6:$W$415, "&lt;"&amp;DB1)</f>
        <v>0</v>
      </c>
      <c r="DB11" s="204">
        <f>SUMIFS('Expenditure Breakdown'!$Q$6:$Q$415, 'Expenditure Breakdown'!$W$6:$W$415, "&gt;="&amp;DB1,'Expenditure Breakdown'!$W$6:$W$415, "&lt;"&amp;DC1)</f>
        <v>0</v>
      </c>
      <c r="DC11" s="204">
        <f>SUMIFS('Expenditure Breakdown'!$Q$6:$Q$415, 'Expenditure Breakdown'!$W$6:$W$415, "&gt;="&amp;DC1,'Expenditure Breakdown'!$W$6:$W$415, "&lt;"&amp;DD1)</f>
        <v>82140.666666666672</v>
      </c>
      <c r="DD11" s="204">
        <f>SUMIFS('Expenditure Breakdown'!$Q$6:$Q$415, 'Expenditure Breakdown'!$W$6:$W$415, "&gt;="&amp;DD1,'Expenditure Breakdown'!$W$6:$W$415, "&lt;"&amp;DE1)</f>
        <v>0</v>
      </c>
      <c r="DE11" s="204">
        <f>SUMIFS('Expenditure Breakdown'!$Q$6:$Q$415, 'Expenditure Breakdown'!$W$6:$W$415, "&gt;="&amp;DE1,'Expenditure Breakdown'!$W$6:$W$415, "&lt;"&amp;DF1)</f>
        <v>0</v>
      </c>
      <c r="DF11" s="204">
        <f>SUMIFS('Expenditure Breakdown'!$Q$6:$Q$415, 'Expenditure Breakdown'!$W$6:$W$415, "&gt;="&amp;DF1,'Expenditure Breakdown'!$W$6:$W$415, "&lt;"&amp;DG1)</f>
        <v>0</v>
      </c>
      <c r="DG11" s="204">
        <f>SUMIFS('Expenditure Breakdown'!$Q$6:$Q$415, 'Expenditure Breakdown'!$W$6:$W$415, "&gt;="&amp;DG1,'Expenditure Breakdown'!$W$6:$W$415, "&lt;"&amp;DH1)</f>
        <v>82140.666666666672</v>
      </c>
      <c r="DH11" s="204">
        <f>SUMIFS('Expenditure Breakdown'!$Q$6:$Q$415, 'Expenditure Breakdown'!$W$6:$W$415, "&gt;="&amp;DH1,'Expenditure Breakdown'!$W$6:$W$415, "&lt;"&amp;DI1)</f>
        <v>0</v>
      </c>
      <c r="DI11" s="204">
        <f>SUMIFS('Expenditure Breakdown'!$Q$6:$Q$415, 'Expenditure Breakdown'!$W$6:$W$415, "&gt;="&amp;DI1,'Expenditure Breakdown'!$W$6:$W$415, "&lt;"&amp;DJ1)</f>
        <v>0</v>
      </c>
      <c r="DJ11" s="204">
        <f>SUMIFS('Expenditure Breakdown'!$Q$6:$Q$415, 'Expenditure Breakdown'!$W$6:$W$415, "&gt;="&amp;DJ1,'Expenditure Breakdown'!$W$6:$W$415, "&lt;"&amp;DK1)</f>
        <v>0</v>
      </c>
      <c r="DK11" s="204">
        <f>SUMIFS('Expenditure Breakdown'!$Q$6:$Q$415, 'Expenditure Breakdown'!$W$6:$W$415, "&gt;="&amp;DK1,'Expenditure Breakdown'!$W$6:$W$415, "&lt;"&amp;DL1)</f>
        <v>82140.666666666672</v>
      </c>
      <c r="DL11" s="204">
        <f>SUMIFS('Expenditure Breakdown'!$Q$6:$Q$415, 'Expenditure Breakdown'!$W$6:$W$415, "&gt;="&amp;DL1,'Expenditure Breakdown'!$W$6:$W$415, "&lt;"&amp;DM1)</f>
        <v>0</v>
      </c>
      <c r="DM11" s="204">
        <f>SUMIFS('Expenditure Breakdown'!$Q$6:$Q$415, 'Expenditure Breakdown'!$W$6:$W$415, "&gt;="&amp;DM1,'Expenditure Breakdown'!$W$6:$W$415, "&lt;"&amp;DN1)</f>
        <v>0</v>
      </c>
      <c r="DN11" s="204">
        <f>SUMIFS('Expenditure Breakdown'!$Q$6:$Q$415, 'Expenditure Breakdown'!$W$6:$W$415, "&gt;="&amp;DN1,'Expenditure Breakdown'!$W$6:$W$415, "&lt;"&amp;DO1)</f>
        <v>0</v>
      </c>
      <c r="DO11" s="204">
        <f>SUMIFS('Expenditure Breakdown'!$Q$6:$Q$415, 'Expenditure Breakdown'!$W$6:$W$415, "&gt;="&amp;DO1,'Expenditure Breakdown'!$W$6:$W$415, "&lt;"&amp;DP1)</f>
        <v>0</v>
      </c>
      <c r="DP11" s="204">
        <f>SUMIFS('Expenditure Breakdown'!$Q$6:$Q$415, 'Expenditure Breakdown'!$W$6:$W$415, "&gt;="&amp;DP1,'Expenditure Breakdown'!$W$6:$W$415, "&lt;"&amp;DQ1)</f>
        <v>0</v>
      </c>
      <c r="DQ11" s="204">
        <f>SUMIFS('Expenditure Breakdown'!$Q$6:$Q$415, 'Expenditure Breakdown'!$W$6:$W$415, "&gt;="&amp;DQ1,'Expenditure Breakdown'!$W$6:$W$415, "&lt;"&amp;DR1)</f>
        <v>0</v>
      </c>
      <c r="DR11" s="204">
        <f>SUMIFS('Expenditure Breakdown'!$Q$6:$Q$415, 'Expenditure Breakdown'!$W$6:$W$415, "&gt;="&amp;DR1,'Expenditure Breakdown'!$W$6:$W$415, "&lt;"&amp;DS1)</f>
        <v>0</v>
      </c>
      <c r="DS11" s="204">
        <f>SUMIFS('Expenditure Breakdown'!$Q$6:$Q$415, 'Expenditure Breakdown'!$W$6:$W$415, "&gt;="&amp;DS1,'Expenditure Breakdown'!$W$6:$W$415, "&lt;"&amp;DT1)</f>
        <v>0</v>
      </c>
      <c r="DT11" s="204">
        <f>SUMIFS('Expenditure Breakdown'!$Q$6:$Q$415, 'Expenditure Breakdown'!$W$6:$W$415, "&gt;="&amp;DT1,'Expenditure Breakdown'!$W$6:$W$415, "&lt;"&amp;DU1)</f>
        <v>0</v>
      </c>
      <c r="DU11" s="204">
        <f>SUMIFS('Expenditure Breakdown'!$Q$6:$Q$415, 'Expenditure Breakdown'!$W$6:$W$415, "&gt;="&amp;DU1,'Expenditure Breakdown'!$W$6:$W$415, "&lt;"&amp;DV1)</f>
        <v>0</v>
      </c>
      <c r="DV11" s="204">
        <f>SUMIFS('Expenditure Breakdown'!$Q$6:$Q$415, 'Expenditure Breakdown'!$W$6:$W$415, "&gt;="&amp;DV1,'Expenditure Breakdown'!$W$6:$W$415, "&lt;"&amp;DW1)</f>
        <v>0</v>
      </c>
      <c r="DW11" s="204">
        <f>SUMIFS('Expenditure Breakdown'!$Q$6:$Q$415, 'Expenditure Breakdown'!$W$6:$W$415, "&gt;="&amp;DW1,'Expenditure Breakdown'!$W$6:$W$415, "&lt;"&amp;DX1)</f>
        <v>0</v>
      </c>
      <c r="DX11" s="204">
        <f>SUMIFS('Expenditure Breakdown'!$Q$6:$Q$415, 'Expenditure Breakdown'!$W$6:$W$415, "&gt;="&amp;DX1,'Expenditure Breakdown'!$W$6:$W$415, "&lt;"&amp;DY1)</f>
        <v>0</v>
      </c>
      <c r="DY11" s="204">
        <f>SUMIFS('Expenditure Breakdown'!$Q$6:$Q$415, 'Expenditure Breakdown'!$W$6:$W$415, "&gt;="&amp;DY1,'Expenditure Breakdown'!$W$6:$W$415, "&lt;"&amp;DZ1)</f>
        <v>0</v>
      </c>
      <c r="DZ11" s="204">
        <f>SUMIFS('Expenditure Breakdown'!$Q$6:$Q$415, 'Expenditure Breakdown'!$W$6:$W$415, "&gt;="&amp;DZ1,'Expenditure Breakdown'!$W$6:$W$415, "&lt;"&amp;EA1)</f>
        <v>0</v>
      </c>
      <c r="EA11" s="204">
        <f>SUMIFS('Expenditure Breakdown'!$Q$6:$Q$415, 'Expenditure Breakdown'!$W$6:$W$415, "&gt;="&amp;EA1,'Expenditure Breakdown'!$W$6:$W$415, "&lt;"&amp;EB1)</f>
        <v>0</v>
      </c>
      <c r="EB11" s="204">
        <f>SUMIFS('Expenditure Breakdown'!$Q$6:$Q$415, 'Expenditure Breakdown'!$W$6:$W$415, "&gt;="&amp;EB1,'Expenditure Breakdown'!$W$6:$W$415, "&lt;"&amp;EC1)</f>
        <v>0</v>
      </c>
      <c r="EC11" s="204">
        <f>SUMIFS('Expenditure Breakdown'!$Q$6:$Q$415, 'Expenditure Breakdown'!$W$6:$W$415, "&gt;="&amp;EC1,'Expenditure Breakdown'!$W$6:$W$415, "&lt;"&amp;ED1)</f>
        <v>0</v>
      </c>
      <c r="ED11" s="204">
        <f>SUMIFS('Expenditure Breakdown'!$Q$6:$Q$415, 'Expenditure Breakdown'!$W$6:$W$415, "&gt;="&amp;ED1,'Expenditure Breakdown'!$W$6:$W$415, "&lt;"&amp;EE1)</f>
        <v>0</v>
      </c>
      <c r="EE11" s="204">
        <f>SUMIFS('Expenditure Breakdown'!$Q$6:$Q$415, 'Expenditure Breakdown'!$W$6:$W$415, "&gt;="&amp;EE1,'Expenditure Breakdown'!$W$6:$W$415, "&lt;"&amp;EF1)</f>
        <v>0</v>
      </c>
      <c r="EF11" s="204">
        <f>SUMIFS('Expenditure Breakdown'!$Q$6:$Q$415, 'Expenditure Breakdown'!$W$6:$W$415, "&gt;="&amp;EF1,'Expenditure Breakdown'!$W$6:$W$415, "&lt;"&amp;EG1)</f>
        <v>0</v>
      </c>
      <c r="EG11" s="204">
        <f>SUMIFS('Expenditure Breakdown'!$Q$6:$Q$415, 'Expenditure Breakdown'!$W$6:$W$415, "&gt;="&amp;EG1,'Expenditure Breakdown'!$W$6:$W$415, "&lt;"&amp;EH1)</f>
        <v>0</v>
      </c>
      <c r="EH11" s="204">
        <f>SUMIFS('Expenditure Breakdown'!$Q$6:$Q$415, 'Expenditure Breakdown'!$W$6:$W$415, "&gt;="&amp;EH1,'Expenditure Breakdown'!$W$6:$W$415, "&lt;"&amp;EI1)</f>
        <v>0</v>
      </c>
      <c r="EI11" s="204">
        <f>SUMIFS('Expenditure Breakdown'!$Q$6:$Q$415, 'Expenditure Breakdown'!$W$6:$W$415, "&gt;="&amp;EI1,'Expenditure Breakdown'!$W$6:$W$415, "&lt;"&amp;EJ1)</f>
        <v>0</v>
      </c>
      <c r="EJ11" s="204">
        <f>SUMIFS('Expenditure Breakdown'!$Q$6:$Q$415, 'Expenditure Breakdown'!$W$6:$W$415, "&gt;="&amp;EJ1,'Expenditure Breakdown'!$W$6:$W$415, "&lt;"&amp;EK1)</f>
        <v>0</v>
      </c>
      <c r="EK11" s="204">
        <f>SUMIFS('Expenditure Breakdown'!$Q$6:$Q$415, 'Expenditure Breakdown'!$W$6:$W$415, "&gt;="&amp;EK1,'Expenditure Breakdown'!$W$6:$W$415, "&lt;"&amp;EL1)</f>
        <v>0</v>
      </c>
      <c r="EL11" s="204">
        <f>SUMIFS('Expenditure Breakdown'!$Q$6:$Q$415, 'Expenditure Breakdown'!$W$6:$W$415, "&gt;="&amp;EL1,'Expenditure Breakdown'!$W$6:$W$415, "&lt;"&amp;EM1)</f>
        <v>0</v>
      </c>
      <c r="EM11" s="204">
        <f>SUMIFS('Expenditure Breakdown'!$Q$6:$Q$415, 'Expenditure Breakdown'!$W$6:$W$415, "&gt;="&amp;EM1,'Expenditure Breakdown'!$W$6:$W$415, "&lt;"&amp;EN1)</f>
        <v>0</v>
      </c>
      <c r="EN11" s="204">
        <f>SUMIFS('Expenditure Breakdown'!$Q$6:$Q$415, 'Expenditure Breakdown'!$W$6:$W$415, "&gt;="&amp;EN1,'Expenditure Breakdown'!$W$6:$W$415, "&lt;"&amp;EO1)</f>
        <v>0</v>
      </c>
      <c r="EO11" s="204">
        <f>SUMIFS('Expenditure Breakdown'!$Q$6:$Q$415, 'Expenditure Breakdown'!$W$6:$W$415, "&gt;="&amp;EO1,'Expenditure Breakdown'!$W$6:$W$415, "&lt;"&amp;EP1)</f>
        <v>0</v>
      </c>
      <c r="EP11" s="204">
        <f>SUMIFS('Expenditure Breakdown'!$Q$6:$Q$415, 'Expenditure Breakdown'!$W$6:$W$415, "&gt;="&amp;EP1,'Expenditure Breakdown'!$W$6:$W$415, "&lt;"&amp;EQ1)</f>
        <v>0</v>
      </c>
      <c r="EQ11" s="204">
        <f>SUMIFS('Expenditure Breakdown'!$Q$6:$Q$415, 'Expenditure Breakdown'!$W$6:$W$415, "&gt;="&amp;EQ1,'Expenditure Breakdown'!$W$6:$W$415, "&lt;"&amp;ER1)</f>
        <v>0</v>
      </c>
      <c r="ER11" s="204">
        <f>SUMIFS('Expenditure Breakdown'!$Q$6:$Q$415, 'Expenditure Breakdown'!$W$6:$W$415, "&gt;="&amp;ER1,'Expenditure Breakdown'!$W$6:$W$415, "&lt;"&amp;ES1)</f>
        <v>0</v>
      </c>
      <c r="ES11" s="204">
        <f>SUMIFS('Expenditure Breakdown'!$Q$6:$Q$415, 'Expenditure Breakdown'!$W$6:$W$415, "&gt;="&amp;ES1,'Expenditure Breakdown'!$W$6:$W$415, "&lt;"&amp;ET1)</f>
        <v>0</v>
      </c>
      <c r="ET11" s="204">
        <f>SUMIFS('Expenditure Breakdown'!$Q$6:$Q$415, 'Expenditure Breakdown'!$W$6:$W$415, "&gt;="&amp;ET1,'Expenditure Breakdown'!$W$6:$W$415, "&lt;"&amp;EU1)</f>
        <v>0</v>
      </c>
      <c r="EU11" s="204">
        <f>SUMIFS('Expenditure Breakdown'!$Q$6:$Q$415, 'Expenditure Breakdown'!$W$6:$W$415, "&gt;="&amp;EU1,'Expenditure Breakdown'!$W$6:$W$415, "&lt;"&amp;EV1)</f>
        <v>0</v>
      </c>
      <c r="EV11" s="204">
        <f>SUMIFS('Expenditure Breakdown'!$Q$6:$Q$415, 'Expenditure Breakdown'!$W$6:$W$415, "&gt;="&amp;EV1,'Expenditure Breakdown'!$W$6:$W$415, "&lt;"&amp;EW1)</f>
        <v>0</v>
      </c>
      <c r="EW11" s="204">
        <f>SUMIFS('Expenditure Breakdown'!$Q$6:$Q$415, 'Expenditure Breakdown'!$W$6:$W$415, "&gt;="&amp;EW1,'Expenditure Breakdown'!$W$6:$W$415, "&lt;"&amp;EX1)</f>
        <v>0</v>
      </c>
      <c r="EX11" s="204">
        <f>SUMIFS('Expenditure Breakdown'!$Q$6:$Q$415, 'Expenditure Breakdown'!$W$6:$W$415, "&gt;="&amp;EX1,'Expenditure Breakdown'!$W$6:$W$415, "&lt;"&amp;EY1)</f>
        <v>0</v>
      </c>
      <c r="EY11" s="204">
        <f>SUMIFS('Expenditure Breakdown'!$Q$6:$Q$415, 'Expenditure Breakdown'!$W$6:$W$415, "&gt;="&amp;EY1,'Expenditure Breakdown'!$W$6:$W$415, "&lt;"&amp;EZ1)</f>
        <v>0</v>
      </c>
      <c r="EZ11" s="204">
        <f>SUMIFS('Expenditure Breakdown'!$Q$6:$Q$415, 'Expenditure Breakdown'!$W$6:$W$415, "&gt;="&amp;EZ1,'Expenditure Breakdown'!$W$6:$W$415, "&lt;"&amp;FA1)</f>
        <v>0</v>
      </c>
      <c r="FA11" s="204">
        <f>SUMIFS('Expenditure Breakdown'!$Q$6:$Q$415, 'Expenditure Breakdown'!$W$6:$W$415, "&gt;="&amp;FA1,'Expenditure Breakdown'!$W$6:$W$415, "&lt;"&amp;FB1)</f>
        <v>0</v>
      </c>
      <c r="FB11" s="204">
        <f>SUMIFS('Expenditure Breakdown'!$Q$6:$Q$415, 'Expenditure Breakdown'!$W$6:$W$415, "&gt;="&amp;FB1,'Expenditure Breakdown'!$W$6:$W$415, "&lt;"&amp;FC1)</f>
        <v>0</v>
      </c>
      <c r="FC11" s="204">
        <f>SUMIFS('Expenditure Breakdown'!$Q$6:$Q$415, 'Expenditure Breakdown'!$W$6:$W$415, "&gt;="&amp;FC1,'Expenditure Breakdown'!$W$6:$W$415, "&lt;"&amp;FD1)</f>
        <v>0</v>
      </c>
      <c r="FD11" s="204">
        <f>SUMIFS('Expenditure Breakdown'!$Q$6:$Q$415, 'Expenditure Breakdown'!$W$6:$W$415, "&gt;="&amp;FD1,'Expenditure Breakdown'!$W$6:$W$415, "&lt;"&amp;FE1)</f>
        <v>0</v>
      </c>
      <c r="FE11" s="204">
        <f>SUMIFS('Expenditure Breakdown'!$Q$6:$Q$415, 'Expenditure Breakdown'!$W$6:$W$415, "&gt;="&amp;FE1,'Expenditure Breakdown'!$W$6:$W$415, "&lt;"&amp;FF1)</f>
        <v>0</v>
      </c>
      <c r="FF11" s="204">
        <f>SUMIFS('Expenditure Breakdown'!$Q$6:$Q$415, 'Expenditure Breakdown'!$W$6:$W$415, "&gt;="&amp;FF1,'Expenditure Breakdown'!$W$6:$W$415, "&lt;"&amp;FG1)</f>
        <v>0</v>
      </c>
      <c r="FG11" s="204">
        <f>SUMIFS('Expenditure Breakdown'!$Q$6:$Q$415, 'Expenditure Breakdown'!$W$6:$W$415, "&gt;="&amp;FG1,'Expenditure Breakdown'!$W$6:$W$415, "&lt;"&amp;FH1)</f>
        <v>0</v>
      </c>
      <c r="FH11" s="204">
        <f>SUMIFS('Expenditure Breakdown'!$Q$6:$Q$415, 'Expenditure Breakdown'!$W$6:$W$415, "&gt;="&amp;FH1,'Expenditure Breakdown'!$W$6:$W$415, "&lt;"&amp;FI1)</f>
        <v>0</v>
      </c>
      <c r="FI11" s="204">
        <f>SUMIFS('Expenditure Breakdown'!$Q$6:$Q$415, 'Expenditure Breakdown'!$W$6:$W$415, "&gt;="&amp;FI1,'Expenditure Breakdown'!$W$6:$W$415, "&lt;"&amp;FJ1)</f>
        <v>0</v>
      </c>
      <c r="FJ11" s="204">
        <f>SUMIFS('Expenditure Breakdown'!$Q$6:$Q$415, 'Expenditure Breakdown'!$W$6:$W$415, "&gt;="&amp;FJ1,'Expenditure Breakdown'!$W$6:$W$415, "&lt;"&amp;FK1)</f>
        <v>0</v>
      </c>
      <c r="FK11" s="204">
        <f>SUMIFS('Expenditure Breakdown'!$Q$6:$Q$415, 'Expenditure Breakdown'!$W$6:$W$415, "&gt;="&amp;FK1,'Expenditure Breakdown'!$W$6:$W$415, "&lt;"&amp;FL1)</f>
        <v>0</v>
      </c>
      <c r="FL11" s="204">
        <f>SUMIFS('Expenditure Breakdown'!$Q$6:$Q$415, 'Expenditure Breakdown'!$W$6:$W$415, "&gt;="&amp;FL1,'Expenditure Breakdown'!$W$6:$W$415, "&lt;"&amp;FM1)</f>
        <v>0</v>
      </c>
      <c r="FM11" s="204">
        <f>SUMIFS('Expenditure Breakdown'!$Q$6:$Q$415, 'Expenditure Breakdown'!$W$6:$W$415, "&gt;="&amp;FM1,'Expenditure Breakdown'!$W$6:$W$415, "&lt;"&amp;FN1)</f>
        <v>0</v>
      </c>
      <c r="FN11" s="204">
        <f>SUMIFS('Expenditure Breakdown'!$Q$6:$Q$415, 'Expenditure Breakdown'!$W$6:$W$415, "&gt;="&amp;FN1,'Expenditure Breakdown'!$W$6:$W$415, "&lt;"&amp;FO1)</f>
        <v>0</v>
      </c>
      <c r="FO11" s="204">
        <f>SUMIFS('Expenditure Breakdown'!$Q$6:$Q$415, 'Expenditure Breakdown'!$W$6:$W$415, "&gt;="&amp;FO1,'Expenditure Breakdown'!$W$6:$W$415, "&lt;"&amp;FP1)</f>
        <v>0</v>
      </c>
      <c r="FP11" s="204">
        <f>SUMIFS('Expenditure Breakdown'!$Q$6:$Q$415, 'Expenditure Breakdown'!$W$6:$W$415, "&gt;="&amp;FP1,'Expenditure Breakdown'!$W$6:$W$415, "&lt;"&amp;FQ1)</f>
        <v>0</v>
      </c>
      <c r="FQ11" s="204">
        <f>SUMIFS('Expenditure Breakdown'!$Q$6:$Q$415, 'Expenditure Breakdown'!$W$6:$W$415, "&gt;="&amp;FQ1,'Expenditure Breakdown'!$W$6:$W$415, "&lt;"&amp;FR1)</f>
        <v>0</v>
      </c>
      <c r="FR11" s="204">
        <f>SUMIFS('Expenditure Breakdown'!$Q$6:$Q$415, 'Expenditure Breakdown'!$W$6:$W$415, "&gt;="&amp;FR1,'Expenditure Breakdown'!$W$6:$W$415, "&lt;"&amp;FS1)</f>
        <v>0</v>
      </c>
      <c r="FS11" s="204">
        <f>SUMIFS('Expenditure Breakdown'!$Q$6:$Q$415, 'Expenditure Breakdown'!$W$6:$W$415, "&gt;="&amp;FS1,'Expenditure Breakdown'!$W$6:$W$415, "&lt;"&amp;FT1)</f>
        <v>0</v>
      </c>
      <c r="FT11" s="204">
        <f>SUMIFS('Expenditure Breakdown'!$Q$6:$Q$415, 'Expenditure Breakdown'!$W$6:$W$415, "&gt;="&amp;FT1,'Expenditure Breakdown'!$W$6:$W$415, "&lt;"&amp;FU1)</f>
        <v>0</v>
      </c>
      <c r="FU11" s="204">
        <f>SUMIFS('Expenditure Breakdown'!$Q$6:$Q$415, 'Expenditure Breakdown'!$W$6:$W$415, "&gt;="&amp;FU1,'Expenditure Breakdown'!$W$6:$W$415, "&lt;"&amp;FV1)</f>
        <v>0</v>
      </c>
      <c r="FV11" s="204">
        <f>SUMIFS('Expenditure Breakdown'!$Q$6:$Q$415, 'Expenditure Breakdown'!$W$6:$W$415, "&gt;="&amp;FV1,'Expenditure Breakdown'!$W$6:$W$415, "&lt;"&amp;FW1)</f>
        <v>0</v>
      </c>
      <c r="FW11" s="204">
        <f>SUMIFS('Expenditure Breakdown'!$Q$6:$Q$415, 'Expenditure Breakdown'!$W$6:$W$415, "&gt;="&amp;FW1,'Expenditure Breakdown'!$W$6:$W$415, "&lt;"&amp;FX1)</f>
        <v>0</v>
      </c>
      <c r="FX11" s="204">
        <f>SUMIFS('Expenditure Breakdown'!$Q$6:$Q$415, 'Expenditure Breakdown'!$W$6:$W$415, "&gt;="&amp;FX1,'Expenditure Breakdown'!$W$6:$W$415, "&lt;"&amp;FY1)</f>
        <v>0</v>
      </c>
      <c r="FY11" s="204">
        <f>SUMIFS('Expenditure Breakdown'!$Q$6:$Q$415, 'Expenditure Breakdown'!$W$6:$W$415, "&gt;="&amp;FY1,'Expenditure Breakdown'!$W$6:$W$415, "&lt;"&amp;FZ1)</f>
        <v>0</v>
      </c>
      <c r="FZ11" s="204">
        <f>SUMIFS('Expenditure Breakdown'!$Q$6:$Q$415, 'Expenditure Breakdown'!$W$6:$W$415, "&gt;="&amp;FZ1,'Expenditure Breakdown'!$W$6:$W$415, "&lt;"&amp;GA1)</f>
        <v>0</v>
      </c>
      <c r="GA11" s="204">
        <f>SUMIFS('Expenditure Breakdown'!$Q$6:$Q$415, 'Expenditure Breakdown'!$W$6:$W$415, "&gt;="&amp;GA1,'Expenditure Breakdown'!$W$6:$W$415, "&lt;"&amp;GB1)</f>
        <v>0</v>
      </c>
      <c r="GB11" s="204">
        <f>SUMIFS('Expenditure Breakdown'!$Q$6:$Q$415, 'Expenditure Breakdown'!$W$6:$W$415, "&gt;="&amp;GB1,'Expenditure Breakdown'!$W$6:$W$415, "&lt;"&amp;GC1)</f>
        <v>0</v>
      </c>
      <c r="GC11" s="204">
        <f>SUMIFS('Expenditure Breakdown'!$Q$6:$Q$415, 'Expenditure Breakdown'!$W$6:$W$415, "&gt;="&amp;GC1,'Expenditure Breakdown'!$W$6:$W$415, "&lt;"&amp;GD1)</f>
        <v>0</v>
      </c>
      <c r="GD11" s="204">
        <f>SUMIFS('Expenditure Breakdown'!$Q$6:$Q$415, 'Expenditure Breakdown'!$W$6:$W$415, "&gt;="&amp;GD1,'Expenditure Breakdown'!$W$6:$W$415, "&lt;"&amp;GE1)</f>
        <v>0</v>
      </c>
      <c r="GE11" s="204">
        <f>SUMIFS('Expenditure Breakdown'!$Q$6:$Q$415, 'Expenditure Breakdown'!$W$6:$W$415, "&gt;="&amp;GE1,'Expenditure Breakdown'!$W$6:$W$415, "&lt;"&amp;GF1)</f>
        <v>0</v>
      </c>
      <c r="GF11" s="204">
        <f>SUMIFS('Expenditure Breakdown'!$Q$6:$Q$415, 'Expenditure Breakdown'!$W$6:$W$415, "&gt;="&amp;GF1,'Expenditure Breakdown'!$W$6:$W$415, "&lt;"&amp;GG1)</f>
        <v>0</v>
      </c>
      <c r="GG11" s="204">
        <f>SUMIFS('Expenditure Breakdown'!$Q$6:$Q$415, 'Expenditure Breakdown'!$W$6:$W$415, "&gt;="&amp;GG1,'Expenditure Breakdown'!$W$6:$W$415, "&lt;"&amp;GH1)</f>
        <v>0</v>
      </c>
      <c r="GH11" s="204">
        <f>SUMIFS('Expenditure Breakdown'!$Q$6:$Q$415, 'Expenditure Breakdown'!$W$6:$W$415, "&gt;="&amp;GH1,'Expenditure Breakdown'!$W$6:$W$415, "&lt;"&amp;GI1)</f>
        <v>0</v>
      </c>
      <c r="GI11" s="204">
        <f>SUMIFS('Expenditure Breakdown'!$Q$6:$Q$415, 'Expenditure Breakdown'!$W$6:$W$415, "&gt;="&amp;GI1,'Expenditure Breakdown'!$W$6:$W$415, "&lt;"&amp;GJ1)</f>
        <v>0</v>
      </c>
      <c r="GJ11" s="204">
        <f>SUMIFS('Expenditure Breakdown'!$Q$6:$Q$415, 'Expenditure Breakdown'!$W$6:$W$415, "&gt;="&amp;GJ1,'Expenditure Breakdown'!$W$6:$W$415, "&lt;"&amp;GK1)</f>
        <v>0</v>
      </c>
      <c r="GK11" s="204">
        <f>SUMIFS('Expenditure Breakdown'!$Q$6:$Q$415, 'Expenditure Breakdown'!$W$6:$W$415, "&gt;="&amp;GK1,'Expenditure Breakdown'!$W$6:$W$415, "&lt;"&amp;GL1)</f>
        <v>0</v>
      </c>
      <c r="GL11" s="204">
        <f>SUMIFS('Expenditure Breakdown'!$Q$6:$Q$415, 'Expenditure Breakdown'!$W$6:$W$415, "&gt;="&amp;GL1,'Expenditure Breakdown'!$W$6:$W$415, "&lt;"&amp;GM1)</f>
        <v>0</v>
      </c>
      <c r="GM11" s="204">
        <f>SUMIFS('Expenditure Breakdown'!$Q$6:$Q$415, 'Expenditure Breakdown'!$W$6:$W$415, "&gt;="&amp;GM1,'Expenditure Breakdown'!$W$6:$W$415, "&lt;"&amp;GN1)</f>
        <v>0</v>
      </c>
      <c r="GN11" s="204">
        <f>SUMIFS('Expenditure Breakdown'!$Q$6:$Q$415, 'Expenditure Breakdown'!$W$6:$W$415, "&gt;="&amp;GN1,'Expenditure Breakdown'!$W$6:$W$415, "&lt;"&amp;GO1)</f>
        <v>0</v>
      </c>
      <c r="GO11" s="204">
        <f>SUMIFS('Expenditure Breakdown'!$Q$6:$Q$415, 'Expenditure Breakdown'!$W$6:$W$415, "&gt;="&amp;GO1,'Expenditure Breakdown'!$W$6:$W$415, "&lt;"&amp;GP1)</f>
        <v>0</v>
      </c>
      <c r="GP11" s="204">
        <f>SUMIFS('Expenditure Breakdown'!$Q$6:$Q$415, 'Expenditure Breakdown'!$W$6:$W$415, "&gt;="&amp;GP1,'Expenditure Breakdown'!$W$6:$W$415, "&lt;"&amp;GQ1)</f>
        <v>0</v>
      </c>
      <c r="GQ11" s="204">
        <f>SUMIFS('Expenditure Breakdown'!$Q$6:$Q$415, 'Expenditure Breakdown'!$W$6:$W$415, "&gt;="&amp;GQ1,'Expenditure Breakdown'!$W$6:$W$415, "&lt;"&amp;GR1)</f>
        <v>0</v>
      </c>
      <c r="GR11" s="204">
        <f>SUMIFS('Expenditure Breakdown'!$Q$6:$Q$415, 'Expenditure Breakdown'!$W$6:$W$415, "&gt;="&amp;GR1,'Expenditure Breakdown'!$W$6:$W$415, "&lt;"&amp;GS1)</f>
        <v>0</v>
      </c>
      <c r="GS11" s="204">
        <f>SUMIFS('Expenditure Breakdown'!$Q$6:$Q$415, 'Expenditure Breakdown'!$W$6:$W$415, "&gt;="&amp;GS1,'Expenditure Breakdown'!$W$6:$W$415, "&lt;"&amp;GT1)</f>
        <v>0</v>
      </c>
      <c r="GT11" s="204">
        <f>SUMIFS('Expenditure Breakdown'!$Q$6:$Q$415, 'Expenditure Breakdown'!$W$6:$W$415, "&gt;="&amp;GT1,'Expenditure Breakdown'!$W$6:$W$415, "&lt;"&amp;GU1)</f>
        <v>0</v>
      </c>
      <c r="GU11" s="204">
        <f>SUMIFS('Expenditure Breakdown'!$Q$6:$Q$415, 'Expenditure Breakdown'!$W$6:$W$415, "&gt;="&amp;GU1,'Expenditure Breakdown'!$W$6:$W$415, "&lt;"&amp;GV1)</f>
        <v>0</v>
      </c>
      <c r="GV11" s="204">
        <f>SUMIFS('Expenditure Breakdown'!$Q$6:$Q$415, 'Expenditure Breakdown'!$W$6:$W$415, "&gt;="&amp;GV1,'Expenditure Breakdown'!$W$6:$W$415, "&lt;"&amp;GW1)</f>
        <v>0</v>
      </c>
      <c r="GW11" s="204">
        <f>SUMIFS('Expenditure Breakdown'!$Q$6:$Q$415, 'Expenditure Breakdown'!$W$6:$W$415, "&gt;="&amp;GW1,'Expenditure Breakdown'!$W$6:$W$415, "&lt;"&amp;GX1)</f>
        <v>0</v>
      </c>
      <c r="GX11" s="204">
        <f>SUMIFS('Expenditure Breakdown'!$Q$6:$Q$415, 'Expenditure Breakdown'!$W$6:$W$415, "&gt;="&amp;GX1,'Expenditure Breakdown'!$W$6:$W$415, "&lt;"&amp;GY1)</f>
        <v>0</v>
      </c>
      <c r="GY11" s="204">
        <f>SUMIFS('Expenditure Breakdown'!$Q$6:$Q$415, 'Expenditure Breakdown'!$W$6:$W$415, "&gt;="&amp;GY1,'Expenditure Breakdown'!$W$6:$W$415, "&lt;"&amp;GZ1)</f>
        <v>0</v>
      </c>
      <c r="GZ11" s="204">
        <f>SUMIFS('Expenditure Breakdown'!$Q$6:$Q$415, 'Expenditure Breakdown'!$W$6:$W$415, "&gt;="&amp;GZ1,'Expenditure Breakdown'!$W$6:$W$415, "&lt;"&amp;HA1)</f>
        <v>0</v>
      </c>
      <c r="HA11" s="204">
        <f>SUMIFS('Expenditure Breakdown'!$Q$6:$Q$415, 'Expenditure Breakdown'!$W$6:$W$415, "&gt;="&amp;HA1,'Expenditure Breakdown'!$W$6:$W$415, "&lt;"&amp;HB1)</f>
        <v>0</v>
      </c>
      <c r="HB11" s="204">
        <f>SUMIFS('Expenditure Breakdown'!$Q$6:$Q$415, 'Expenditure Breakdown'!$W$6:$W$415, "&gt;="&amp;HB1,'Expenditure Breakdown'!$W$6:$W$415, "&lt;"&amp;HC1)</f>
        <v>0</v>
      </c>
      <c r="HC11" s="204">
        <f>SUMIFS('Expenditure Breakdown'!$Q$6:$Q$415, 'Expenditure Breakdown'!$W$6:$W$415, "&gt;="&amp;HC1,'Expenditure Breakdown'!$W$6:$W$415, "&lt;"&amp;HD1)</f>
        <v>0</v>
      </c>
      <c r="HD11" s="204">
        <f>SUMIFS('Expenditure Breakdown'!$Q$6:$Q$415, 'Expenditure Breakdown'!$W$6:$W$415, "&gt;="&amp;HD1,'Expenditure Breakdown'!$W$6:$W$415, "&lt;"&amp;HE1)</f>
        <v>0</v>
      </c>
      <c r="HE11" s="204">
        <f>SUMIFS('Expenditure Breakdown'!$Q$6:$Q$415, 'Expenditure Breakdown'!$W$6:$W$415, "&gt;="&amp;HE1,'Expenditure Breakdown'!$W$6:$W$415, "&lt;"&amp;HF1)</f>
        <v>0</v>
      </c>
      <c r="HF11" s="204">
        <f>SUMIFS('Expenditure Breakdown'!$Q$6:$Q$415, 'Expenditure Breakdown'!$W$6:$W$415, "&gt;="&amp;HF1,'Expenditure Breakdown'!$W$6:$W$415, "&lt;"&amp;HG1)</f>
        <v>0</v>
      </c>
      <c r="HG11" s="204">
        <f>SUMIFS('Expenditure Breakdown'!$Q$6:$Q$415, 'Expenditure Breakdown'!$W$6:$W$415, "&gt;="&amp;HG1,'Expenditure Breakdown'!$W$6:$W$415, "&lt;"&amp;HH1)</f>
        <v>0</v>
      </c>
      <c r="HH11" s="204">
        <f>SUMIFS('Expenditure Breakdown'!$Q$6:$Q$415, 'Expenditure Breakdown'!$W$6:$W$415, "&gt;="&amp;HH1,'Expenditure Breakdown'!$W$6:$W$415, "&lt;"&amp;HI1)</f>
        <v>0</v>
      </c>
      <c r="HI11" s="204">
        <f>SUMIFS('Expenditure Breakdown'!$Q$6:$Q$415, 'Expenditure Breakdown'!$W$6:$W$415, "&gt;="&amp;HI1,'Expenditure Breakdown'!$W$6:$W$415, "&lt;"&amp;HJ1)</f>
        <v>0</v>
      </c>
      <c r="HJ11" s="204">
        <f>SUMIFS('Expenditure Breakdown'!$Q$6:$Q$415, 'Expenditure Breakdown'!$W$6:$W$415, "&gt;="&amp;HJ1,'Expenditure Breakdown'!$W$6:$W$415, "&lt;"&amp;HK1)</f>
        <v>0</v>
      </c>
      <c r="HK11" s="204">
        <f>SUMIFS('Expenditure Breakdown'!$Q$6:$Q$415, 'Expenditure Breakdown'!$W$6:$W$415, "&gt;="&amp;HK1,'Expenditure Breakdown'!$W$6:$W$415, "&lt;"&amp;HL1)</f>
        <v>0</v>
      </c>
      <c r="HL11" s="204">
        <f>SUMIFS('Expenditure Breakdown'!$Q$6:$Q$415, 'Expenditure Breakdown'!$W$6:$W$415, "&gt;="&amp;HL1,'Expenditure Breakdown'!$W$6:$W$415, "&lt;"&amp;HM1)</f>
        <v>0</v>
      </c>
      <c r="HM11" s="204">
        <f>SUMIFS('Expenditure Breakdown'!$Q$6:$Q$415, 'Expenditure Breakdown'!$W$6:$W$415, "&gt;="&amp;HM1,'Expenditure Breakdown'!$W$6:$W$415, "&lt;"&amp;HN1)</f>
        <v>0</v>
      </c>
      <c r="HN11" s="204">
        <f>SUMIFS('Expenditure Breakdown'!$Q$6:$Q$415, 'Expenditure Breakdown'!$W$6:$W$415, "&gt;="&amp;HN1,'Expenditure Breakdown'!$W$6:$W$415, "&lt;"&amp;HO1)</f>
        <v>0</v>
      </c>
      <c r="HO11" s="204">
        <f>SUMIFS('Expenditure Breakdown'!$Q$6:$Q$415, 'Expenditure Breakdown'!$W$6:$W$415, "&gt;="&amp;HO1,'Expenditure Breakdown'!$W$6:$W$415, "&lt;"&amp;HP1)</f>
        <v>0</v>
      </c>
      <c r="HP11" s="204">
        <f>SUMIFS('Expenditure Breakdown'!$Q$6:$Q$415, 'Expenditure Breakdown'!$W$6:$W$415, "&gt;="&amp;HP1,'Expenditure Breakdown'!$W$6:$W$415, "&lt;"&amp;HQ1)</f>
        <v>0</v>
      </c>
      <c r="HQ11" s="204">
        <f>SUMIFS('Expenditure Breakdown'!$Q$6:$Q$415, 'Expenditure Breakdown'!$W$6:$W$415, "&gt;="&amp;HQ1,'Expenditure Breakdown'!$W$6:$W$415, "&lt;"&amp;HR1)</f>
        <v>0</v>
      </c>
      <c r="HR11" s="204">
        <f>SUMIFS('Expenditure Breakdown'!$Q$6:$Q$415, 'Expenditure Breakdown'!$W$6:$W$415, "&gt;="&amp;HR1,'Expenditure Breakdown'!$W$6:$W$415, "&lt;"&amp;HS1)</f>
        <v>0</v>
      </c>
      <c r="HS11" s="204">
        <f>SUMIFS('Expenditure Breakdown'!$Q$6:$Q$415, 'Expenditure Breakdown'!$W$6:$W$415, "&gt;="&amp;HS1,'Expenditure Breakdown'!$W$6:$W$415, "&lt;"&amp;HT1)</f>
        <v>0</v>
      </c>
      <c r="HT11" s="204">
        <f>SUMIFS('Expenditure Breakdown'!$Q$6:$Q$415, 'Expenditure Breakdown'!$W$6:$W$415, "&gt;="&amp;HT1,'Expenditure Breakdown'!$W$6:$W$415, "&lt;"&amp;HU1)</f>
        <v>0</v>
      </c>
      <c r="HU11" s="204">
        <f>SUMIFS('Expenditure Breakdown'!$Q$6:$Q$415, 'Expenditure Breakdown'!$W$6:$W$415, "&gt;="&amp;HU1,'Expenditure Breakdown'!$W$6:$W$415, "&lt;"&amp;HV1)</f>
        <v>0</v>
      </c>
      <c r="HV11" s="204">
        <f>SUMIFS('Expenditure Breakdown'!$Q$6:$Q$415, 'Expenditure Breakdown'!$W$6:$W$415, "&gt;="&amp;HV1,'Expenditure Breakdown'!$W$6:$W$415, "&lt;"&amp;HW1)</f>
        <v>0</v>
      </c>
      <c r="HW11" s="204">
        <f>SUMIFS('Expenditure Breakdown'!$Q$6:$Q$415, 'Expenditure Breakdown'!$W$6:$W$415, "&gt;="&amp;HW1,'Expenditure Breakdown'!$W$6:$W$415, "&lt;"&amp;HX1)</f>
        <v>0</v>
      </c>
      <c r="HX11" s="204">
        <f>SUMIFS('Expenditure Breakdown'!$Q$6:$Q$415, 'Expenditure Breakdown'!$W$6:$W$415, "&gt;="&amp;HX1,'Expenditure Breakdown'!$W$6:$W$415, "&lt;"&amp;HY1)</f>
        <v>0</v>
      </c>
      <c r="HY11" s="204">
        <f>SUMIFS('Expenditure Breakdown'!$Q$6:$Q$415, 'Expenditure Breakdown'!$W$6:$W$415, "&gt;="&amp;HY1,'Expenditure Breakdown'!$W$6:$W$415, "&lt;"&amp;HZ1)</f>
        <v>0</v>
      </c>
      <c r="HZ11" s="204">
        <f>SUMIFS('Expenditure Breakdown'!$Q$6:$Q$415, 'Expenditure Breakdown'!$W$6:$W$415, "&gt;="&amp;HZ1,'Expenditure Breakdown'!$W$6:$W$415, "&lt;"&amp;IA1)</f>
        <v>0</v>
      </c>
      <c r="IA11" s="204">
        <f>SUMIFS('Expenditure Breakdown'!$Q$6:$Q$415, 'Expenditure Breakdown'!$W$6:$W$415, "&gt;="&amp;IA1,'Expenditure Breakdown'!$W$6:$W$415, "&lt;"&amp;IB1)</f>
        <v>0</v>
      </c>
      <c r="IB11" s="204">
        <f>SUMIFS('Expenditure Breakdown'!$Q$6:$Q$415, 'Expenditure Breakdown'!$W$6:$W$415, "&gt;="&amp;IB1,'Expenditure Breakdown'!$W$6:$W$415, "&lt;"&amp;IC1)</f>
        <v>0</v>
      </c>
      <c r="IC11" s="204">
        <f>SUMIFS('Expenditure Breakdown'!$Q$6:$Q$415, 'Expenditure Breakdown'!$W$6:$W$415, "&gt;="&amp;IC1,'Expenditure Breakdown'!$W$6:$W$415, "&lt;"&amp;ID1)</f>
        <v>0</v>
      </c>
      <c r="ID11" s="204">
        <f>SUMIFS('Expenditure Breakdown'!$Q$6:$Q$415, 'Expenditure Breakdown'!$W$6:$W$415, "&gt;="&amp;ID1,'Expenditure Breakdown'!$W$6:$W$415, "&lt;"&amp;IE1)</f>
        <v>0</v>
      </c>
      <c r="IE11" s="204">
        <f>SUMIFS('Expenditure Breakdown'!$Q$6:$Q$415, 'Expenditure Breakdown'!$W$6:$W$415, "&gt;="&amp;IE1,'Expenditure Breakdown'!$W$6:$W$415, "&lt;"&amp;IF1)</f>
        <v>0</v>
      </c>
      <c r="IF11" s="204">
        <f>SUMIFS('Expenditure Breakdown'!$Q$6:$Q$415, 'Expenditure Breakdown'!$W$6:$W$415, "&gt;="&amp;IF1,'Expenditure Breakdown'!$W$6:$W$415, "&lt;"&amp;IG1)</f>
        <v>0</v>
      </c>
      <c r="IG11" s="204">
        <f>SUMIFS('Expenditure Breakdown'!$Q$6:$Q$415, 'Expenditure Breakdown'!$W$6:$W$415, "&gt;="&amp;IG1,'Expenditure Breakdown'!$W$6:$W$415, "&lt;"&amp;IH1)</f>
        <v>0</v>
      </c>
      <c r="IH11" s="204">
        <f>SUMIFS('Expenditure Breakdown'!$Q$6:$Q$415, 'Expenditure Breakdown'!$W$6:$W$415, "&gt;="&amp;IH1,'Expenditure Breakdown'!$W$6:$W$415, "&lt;"&amp;II1)</f>
        <v>0</v>
      </c>
      <c r="II11" s="204">
        <f>SUMIFS('Expenditure Breakdown'!$Q$6:$Q$415, 'Expenditure Breakdown'!$W$6:$W$415, "&gt;="&amp;II1,'Expenditure Breakdown'!$W$6:$W$415, "&lt;"&amp;IJ1)</f>
        <v>0</v>
      </c>
      <c r="IJ11" s="204">
        <f>SUMIFS('Expenditure Breakdown'!$Q$6:$Q$415, 'Expenditure Breakdown'!$W$6:$W$415, "&gt;="&amp;IJ1,'Expenditure Breakdown'!$W$6:$W$415, "&lt;"&amp;IK1)</f>
        <v>0</v>
      </c>
      <c r="IK11" s="204">
        <f>SUMIFS('Expenditure Breakdown'!$Q$6:$Q$415, 'Expenditure Breakdown'!$W$6:$W$415, "&gt;="&amp;IK1,'Expenditure Breakdown'!$W$6:$W$415, "&lt;"&amp;IL1)</f>
        <v>0</v>
      </c>
      <c r="IL11" s="204">
        <f>SUMIFS('Expenditure Breakdown'!$Q$6:$Q$415, 'Expenditure Breakdown'!$W$6:$W$415, "&gt;="&amp;IL1,'Expenditure Breakdown'!$W$6:$W$415, "&lt;"&amp;IM1)</f>
        <v>0</v>
      </c>
      <c r="IM11" s="204">
        <f>SUMIFS('Expenditure Breakdown'!$Q$6:$Q$415, 'Expenditure Breakdown'!$W$6:$W$415, "&gt;="&amp;IM1,'Expenditure Breakdown'!$W$6:$W$415, "&lt;"&amp;IN1)</f>
        <v>0</v>
      </c>
      <c r="IN11" s="204">
        <f>SUMIFS('Expenditure Breakdown'!$Q$6:$Q$415, 'Expenditure Breakdown'!$W$6:$W$415, "&gt;="&amp;IN1,'Expenditure Breakdown'!$W$6:$W$415, "&lt;"&amp;IO1)</f>
        <v>0</v>
      </c>
      <c r="IO11" s="204">
        <f>SUMIFS('Expenditure Breakdown'!$Q$6:$Q$415, 'Expenditure Breakdown'!$W$6:$W$415, "&gt;="&amp;IO1,'Expenditure Breakdown'!$W$6:$W$415, "&lt;"&amp;IP1)</f>
        <v>0</v>
      </c>
      <c r="IP11" s="204">
        <f>SUMIFS('Expenditure Breakdown'!$Q$6:$Q$415, 'Expenditure Breakdown'!$W$6:$W$415, "&gt;="&amp;IP1,'Expenditure Breakdown'!$W$6:$W$415, "&lt;"&amp;IQ1)</f>
        <v>0</v>
      </c>
      <c r="IQ11" s="204">
        <f>SUMIFS('Expenditure Breakdown'!$Q$6:$Q$415, 'Expenditure Breakdown'!$W$6:$W$415, "&gt;="&amp;IQ1,'Expenditure Breakdown'!$W$6:$W$415, "&lt;"&amp;IR1)</f>
        <v>0</v>
      </c>
      <c r="IR11" s="204">
        <f>SUMIFS('Expenditure Breakdown'!$Q$6:$Q$415, 'Expenditure Breakdown'!$W$6:$W$415, "&gt;="&amp;IR1,'Expenditure Breakdown'!$W$6:$W$415, "&lt;"&amp;IS1)</f>
        <v>0</v>
      </c>
      <c r="IS11" s="204">
        <f>SUMIFS('Expenditure Breakdown'!$Q$6:$Q$415, 'Expenditure Breakdown'!$W$6:$W$415, "&gt;="&amp;IS1,'Expenditure Breakdown'!$W$6:$W$415, "&lt;"&amp;IT1)</f>
        <v>0</v>
      </c>
      <c r="IT11" s="204">
        <f>SUMIFS('Expenditure Breakdown'!$Q$6:$Q$415, 'Expenditure Breakdown'!$W$6:$W$415, "&gt;="&amp;IT1,'Expenditure Breakdown'!$W$6:$W$415, "&lt;"&amp;IU1)</f>
        <v>0</v>
      </c>
      <c r="IU11" s="204">
        <f>SUMIFS('Expenditure Breakdown'!$Q$6:$Q$415, 'Expenditure Breakdown'!$W$6:$W$415, "&gt;="&amp;IU1,'Expenditure Breakdown'!$W$6:$W$415, "&lt;"&amp;IV1)</f>
        <v>0</v>
      </c>
      <c r="IV11" s="204">
        <f>SUMIFS('Expenditure Breakdown'!$Q$6:$Q$415, 'Expenditure Breakdown'!$W$6:$W$415, "&gt;="&amp;IV1,'Expenditure Breakdown'!$W$6:$W$415, "&lt;"&amp;IW1)</f>
        <v>0</v>
      </c>
      <c r="IW11" s="204">
        <f>SUMIFS('Expenditure Breakdown'!$Q$6:$Q$415, 'Expenditure Breakdown'!$W$6:$W$415, "&gt;="&amp;IW1,'Expenditure Breakdown'!$W$6:$W$415, "&lt;"&amp;IX1)</f>
        <v>0</v>
      </c>
      <c r="IX11" s="204">
        <f>SUMIFS('Expenditure Breakdown'!$Q$6:$Q$415, 'Expenditure Breakdown'!$W$6:$W$415, "&gt;="&amp;IX1,'Expenditure Breakdown'!$W$6:$W$415, "&lt;"&amp;IY1)</f>
        <v>0</v>
      </c>
      <c r="IY11" s="204">
        <f>SUMIFS('Expenditure Breakdown'!$Q$6:$Q$415, 'Expenditure Breakdown'!$W$6:$W$415, "&gt;="&amp;IY1,'Expenditure Breakdown'!$W$6:$W$415, "&lt;"&amp;IZ1)</f>
        <v>0</v>
      </c>
      <c r="IZ11" s="204">
        <f>SUMIFS('Expenditure Breakdown'!$Q$6:$Q$415, 'Expenditure Breakdown'!$W$6:$W$415, "&gt;="&amp;IZ1,'Expenditure Breakdown'!$W$6:$W$415, "&lt;"&amp;JA1)</f>
        <v>0</v>
      </c>
      <c r="JA11" s="204">
        <f>SUMIFS('Expenditure Breakdown'!$Q$6:$Q$415, 'Expenditure Breakdown'!$W$6:$W$415, "&gt;="&amp;JA1,'Expenditure Breakdown'!$W$6:$W$415, "&lt;"&amp;JB1)</f>
        <v>0</v>
      </c>
      <c r="JB11" s="204">
        <f>SUMIFS('Expenditure Breakdown'!$Q$6:$Q$415, 'Expenditure Breakdown'!$W$6:$W$415, "&gt;="&amp;JB1,'Expenditure Breakdown'!$W$6:$W$415, "&lt;"&amp;JC1)</f>
        <v>0</v>
      </c>
      <c r="JC11" s="204">
        <f>SUMIFS('Expenditure Breakdown'!$Q$6:$Q$415, 'Expenditure Breakdown'!$W$6:$W$415, "&gt;="&amp;JC1,'Expenditure Breakdown'!$W$6:$W$415, "&lt;"&amp;JD1)</f>
        <v>0</v>
      </c>
      <c r="JD11" s="204">
        <f>SUMIFS('Expenditure Breakdown'!$Q$6:$Q$415, 'Expenditure Breakdown'!$W$6:$W$415, "&gt;="&amp;JD1,'Expenditure Breakdown'!$W$6:$W$415, "&lt;"&amp;JE1)</f>
        <v>0</v>
      </c>
      <c r="JE11" s="204">
        <f>SUMIFS('Expenditure Breakdown'!$Q$6:$Q$415, 'Expenditure Breakdown'!$W$6:$W$415, "&gt;="&amp;JE1,'Expenditure Breakdown'!$W$6:$W$415, "&lt;"&amp;JF1)</f>
        <v>0</v>
      </c>
      <c r="JF11" s="204">
        <f>SUMIFS('Expenditure Breakdown'!$Q$6:$Q$415, 'Expenditure Breakdown'!$W$6:$W$415, "&gt;="&amp;JF1,'Expenditure Breakdown'!$W$6:$W$415, "&lt;"&amp;JG1)</f>
        <v>0</v>
      </c>
      <c r="JG11" s="204">
        <f>SUMIFS('Expenditure Breakdown'!$Q$6:$Q$415, 'Expenditure Breakdown'!$W$6:$W$415, "&gt;="&amp;JG1,'Expenditure Breakdown'!$W$6:$W$415, "&lt;"&amp;JH1)</f>
        <v>0</v>
      </c>
      <c r="JH11" s="204">
        <f>SUMIFS('Expenditure Breakdown'!$Q$6:$Q$415, 'Expenditure Breakdown'!$W$6:$W$415, "&gt;="&amp;JH1,'Expenditure Breakdown'!$W$6:$W$415, "&lt;"&amp;JI1)</f>
        <v>0</v>
      </c>
      <c r="JI11" s="204">
        <f>SUMIFS('Expenditure Breakdown'!$Q$6:$Q$415, 'Expenditure Breakdown'!$W$6:$W$415, "&gt;="&amp;JI1,'Expenditure Breakdown'!$W$6:$W$415, "&lt;"&amp;JJ1)</f>
        <v>0</v>
      </c>
      <c r="JJ11" s="204">
        <f>SUMIFS('Expenditure Breakdown'!$Q$6:$Q$415, 'Expenditure Breakdown'!$W$6:$W$415, "&gt;="&amp;JJ1,'Expenditure Breakdown'!$W$6:$W$415, "&lt;"&amp;JK1)</f>
        <v>0</v>
      </c>
      <c r="JK11" s="204">
        <f>SUMIFS('Expenditure Breakdown'!$Q$6:$Q$415, 'Expenditure Breakdown'!$W$6:$W$415, "&gt;="&amp;JK1,'Expenditure Breakdown'!$W$6:$W$415, "&lt;"&amp;JL1)</f>
        <v>0</v>
      </c>
      <c r="JL11" s="204">
        <f>SUMIFS('Expenditure Breakdown'!$Q$6:$Q$415, 'Expenditure Breakdown'!$W$6:$W$415, "&gt;="&amp;JL1,'Expenditure Breakdown'!$W$6:$W$415, "&lt;"&amp;JM1)</f>
        <v>0</v>
      </c>
      <c r="JM11" s="204">
        <f>SUMIFS('Expenditure Breakdown'!$Q$6:$Q$415, 'Expenditure Breakdown'!$W$6:$W$415, "&gt;="&amp;JM1,'Expenditure Breakdown'!$W$6:$W$415, "&lt;"&amp;JN1)</f>
        <v>0</v>
      </c>
      <c r="JN11" s="204">
        <f>SUMIFS('Expenditure Breakdown'!$Q$6:$Q$415, 'Expenditure Breakdown'!$W$6:$W$415, "&gt;="&amp;JN1,'Expenditure Breakdown'!$W$6:$W$415, "&lt;"&amp;JO1)</f>
        <v>0</v>
      </c>
      <c r="JO11" s="204">
        <f>SUMIFS('Expenditure Breakdown'!$Q$6:$Q$415, 'Expenditure Breakdown'!$W$6:$W$415, "&gt;="&amp;JO1,'Expenditure Breakdown'!$W$6:$W$415, "&lt;"&amp;JP1)</f>
        <v>0</v>
      </c>
      <c r="JP11" s="204">
        <f>SUMIFS('Expenditure Breakdown'!$Q$6:$Q$415, 'Expenditure Breakdown'!$W$6:$W$415, "&gt;="&amp;JP1,'Expenditure Breakdown'!$W$6:$W$415, "&lt;"&amp;JQ1)</f>
        <v>0</v>
      </c>
      <c r="JQ11" s="204">
        <f>SUMIFS('Expenditure Breakdown'!$Q$6:$Q$415, 'Expenditure Breakdown'!$W$6:$W$415, "&gt;="&amp;JQ1,'Expenditure Breakdown'!$W$6:$W$415, "&lt;"&amp;JR1)</f>
        <v>0</v>
      </c>
      <c r="JR11" s="204">
        <f>SUMIFS('Expenditure Breakdown'!$Q$6:$Q$415, 'Expenditure Breakdown'!$W$6:$W$415, "&gt;="&amp;JR1,'Expenditure Breakdown'!$W$6:$W$415, "&lt;"&amp;JS1)</f>
        <v>0</v>
      </c>
      <c r="JS11" s="204">
        <f>SUMIFS('Expenditure Breakdown'!$Q$6:$Q$415, 'Expenditure Breakdown'!$W$6:$W$415, "&gt;="&amp;JS1,'Expenditure Breakdown'!$W$6:$W$415, "&lt;"&amp;JT1)</f>
        <v>0</v>
      </c>
      <c r="JT11" s="204">
        <f>SUMIFS('Expenditure Breakdown'!$Q$6:$Q$415, 'Expenditure Breakdown'!$W$6:$W$415, "&gt;="&amp;JT1,'Expenditure Breakdown'!$W$6:$W$415, "&lt;"&amp;JU1)</f>
        <v>0</v>
      </c>
      <c r="JU11" s="204">
        <f>SUMIFS('Expenditure Breakdown'!$Q$6:$Q$415, 'Expenditure Breakdown'!$W$6:$W$415, "&gt;="&amp;JU1,'Expenditure Breakdown'!$W$6:$W$415, "&lt;"&amp;JV1)</f>
        <v>0</v>
      </c>
      <c r="JV11" s="204">
        <f>SUMIFS('Expenditure Breakdown'!$Q$6:$Q$415, 'Expenditure Breakdown'!$W$6:$W$415, "&gt;="&amp;JV1,'Expenditure Breakdown'!$W$6:$W$415, "&lt;"&amp;JW1)</f>
        <v>0</v>
      </c>
      <c r="JW11" s="204">
        <f>SUMIFS('Expenditure Breakdown'!$Q$6:$Q$415, 'Expenditure Breakdown'!$W$6:$W$415, "&gt;="&amp;JW1,'Expenditure Breakdown'!$W$6:$W$415, "&lt;"&amp;JX1)</f>
        <v>0</v>
      </c>
      <c r="JX11" s="204">
        <f>SUMIFS('Expenditure Breakdown'!$Q$6:$Q$415, 'Expenditure Breakdown'!$W$6:$W$415, "&gt;="&amp;JX1,'Expenditure Breakdown'!$W$6:$W$415, "&lt;"&amp;JY1)</f>
        <v>0</v>
      </c>
      <c r="JY11" s="204">
        <f>SUMIFS('Expenditure Breakdown'!$Q$6:$Q$415, 'Expenditure Breakdown'!$W$6:$W$415, "&gt;="&amp;JY1,'Expenditure Breakdown'!$W$6:$W$415, "&lt;"&amp;JZ1)</f>
        <v>0</v>
      </c>
      <c r="JZ11" s="204">
        <f>SUMIFS('Expenditure Breakdown'!$Q$6:$Q$415, 'Expenditure Breakdown'!$W$6:$W$415, "&gt;="&amp;JZ1,'Expenditure Breakdown'!$W$6:$W$415, "&lt;"&amp;KA1)</f>
        <v>0</v>
      </c>
      <c r="KA11" s="204">
        <f>SUMIFS('Expenditure Breakdown'!$Q$6:$Q$415, 'Expenditure Breakdown'!$W$6:$W$415, "&gt;="&amp;KA1,'Expenditure Breakdown'!$W$6:$W$415, "&lt;"&amp;KB1)</f>
        <v>0</v>
      </c>
      <c r="KB11" s="204">
        <f>SUMIFS('Expenditure Breakdown'!$Q$6:$Q$415, 'Expenditure Breakdown'!$W$6:$W$415, "&gt;="&amp;KB1,'Expenditure Breakdown'!$W$6:$W$415, "&lt;"&amp;KC1)</f>
        <v>0</v>
      </c>
      <c r="KC11" s="204">
        <f>SUMIFS('Expenditure Breakdown'!$Q$6:$Q$415, 'Expenditure Breakdown'!$W$6:$W$415, "&gt;="&amp;KC1,'Expenditure Breakdown'!$W$6:$W$415, "&lt;"&amp;KD1)</f>
        <v>0</v>
      </c>
      <c r="KD11" s="204">
        <f>SUMIFS('Expenditure Breakdown'!$Q$6:$Q$415, 'Expenditure Breakdown'!$W$6:$W$415, "&gt;="&amp;KD1,'Expenditure Breakdown'!$W$6:$W$415, "&lt;"&amp;KE1)</f>
        <v>0</v>
      </c>
      <c r="KE11" s="204">
        <f>SUMIFS('Expenditure Breakdown'!$Q$6:$Q$415, 'Expenditure Breakdown'!$W$6:$W$415, "&gt;="&amp;KE1,'Expenditure Breakdown'!$W$6:$W$415, "&lt;"&amp;KF1)</f>
        <v>0</v>
      </c>
      <c r="KF11" s="204">
        <f>SUMIFS('Expenditure Breakdown'!$Q$6:$Q$415, 'Expenditure Breakdown'!$W$6:$W$415, "&gt;="&amp;KF1,'Expenditure Breakdown'!$W$6:$W$415, "&lt;"&amp;KG1)</f>
        <v>0</v>
      </c>
      <c r="KG11" s="204">
        <f>SUMIFS('Expenditure Breakdown'!$Q$6:$Q$415, 'Expenditure Breakdown'!$W$6:$W$415, "&gt;="&amp;KG1,'Expenditure Breakdown'!$W$6:$W$415, "&lt;"&amp;KH1)</f>
        <v>0</v>
      </c>
      <c r="KH11" s="204">
        <f>SUMIFS('Expenditure Breakdown'!$Q$6:$Q$415, 'Expenditure Breakdown'!$W$6:$W$415, "&gt;="&amp;KH1,'Expenditure Breakdown'!$W$6:$W$415, "&lt;"&amp;KI1)</f>
        <v>0</v>
      </c>
      <c r="KI11" s="204">
        <f>SUMIFS('Expenditure Breakdown'!$Q$6:$Q$415, 'Expenditure Breakdown'!$W$6:$W$415, "&gt;="&amp;KI1,'Expenditure Breakdown'!$W$6:$W$415, "&lt;"&amp;KJ1)</f>
        <v>0</v>
      </c>
      <c r="KJ11" s="204">
        <f>SUMIFS('Expenditure Breakdown'!$Q$6:$Q$415, 'Expenditure Breakdown'!$W$6:$W$415, "&gt;="&amp;KJ1,'Expenditure Breakdown'!$W$6:$W$415, "&lt;"&amp;KK1)</f>
        <v>0</v>
      </c>
      <c r="KK11" s="204">
        <f>SUMIFS('Expenditure Breakdown'!$Q$6:$Q$415, 'Expenditure Breakdown'!$W$6:$W$415, "&gt;="&amp;KK1,'Expenditure Breakdown'!$W$6:$W$415, "&lt;"&amp;KL1)</f>
        <v>0</v>
      </c>
      <c r="KL11" s="204">
        <f>SUMIFS('Expenditure Breakdown'!$Q$6:$Q$415, 'Expenditure Breakdown'!$W$6:$W$415, "&gt;="&amp;KL1,'Expenditure Breakdown'!$W$6:$W$415, "&lt;"&amp;KM1)</f>
        <v>0</v>
      </c>
      <c r="KM11" s="204">
        <f>SUMIFS('Expenditure Breakdown'!$Q$6:$Q$415, 'Expenditure Breakdown'!$W$6:$W$415, "&gt;="&amp;KM1,'Expenditure Breakdown'!$W$6:$W$415, "&lt;"&amp;KN1)</f>
        <v>0</v>
      </c>
      <c r="KN11" s="204">
        <f>SUMIFS('Expenditure Breakdown'!$Q$6:$Q$415, 'Expenditure Breakdown'!$W$6:$W$415, "&gt;="&amp;KN1,'Expenditure Breakdown'!$W$6:$W$415, "&lt;"&amp;KO1)</f>
        <v>0</v>
      </c>
      <c r="KO11" s="204">
        <f>SUMIFS('Expenditure Breakdown'!$Q$6:$Q$415, 'Expenditure Breakdown'!$W$6:$W$415, "&gt;="&amp;KO1,'Expenditure Breakdown'!$W$6:$W$415, "&lt;"&amp;KP1)</f>
        <v>0</v>
      </c>
      <c r="KP11" s="204">
        <f>SUMIFS('Expenditure Breakdown'!$Q$6:$Q$415, 'Expenditure Breakdown'!$W$6:$W$415, "&gt;="&amp;KP1,'Expenditure Breakdown'!$W$6:$W$415, "&lt;"&amp;KQ1)</f>
        <v>0</v>
      </c>
      <c r="KQ11" s="204">
        <f>SUMIFS('Expenditure Breakdown'!$Q$6:$Q$415, 'Expenditure Breakdown'!$W$6:$W$415, "&gt;="&amp;KQ1,'Expenditure Breakdown'!$W$6:$W$415, "&lt;"&amp;KR1)</f>
        <v>0</v>
      </c>
      <c r="KR11" s="204">
        <f>SUMIFS('Expenditure Breakdown'!$Q$6:$Q$415, 'Expenditure Breakdown'!$W$6:$W$415, "&gt;="&amp;KR1,'Expenditure Breakdown'!$W$6:$W$415, "&lt;"&amp;KS1)</f>
        <v>0</v>
      </c>
      <c r="KS11" s="204">
        <f>SUMIFS('Expenditure Breakdown'!$Q$6:$Q$415, 'Expenditure Breakdown'!$W$6:$W$415, "&gt;="&amp;KS1,'Expenditure Breakdown'!$W$6:$W$415, "&lt;"&amp;KT1)</f>
        <v>0</v>
      </c>
      <c r="KT11" s="204">
        <f>SUMIFS('Expenditure Breakdown'!$Q$6:$Q$415, 'Expenditure Breakdown'!$W$6:$W$415, "&gt;="&amp;KT1,'Expenditure Breakdown'!$W$6:$W$415, "&lt;"&amp;KU1)</f>
        <v>0</v>
      </c>
      <c r="KU11" s="204">
        <f>SUMIFS('Expenditure Breakdown'!$Q$6:$Q$415, 'Expenditure Breakdown'!$W$6:$W$415, "&gt;="&amp;KU1,'Expenditure Breakdown'!$W$6:$W$415, "&lt;"&amp;KV1)</f>
        <v>0</v>
      </c>
      <c r="KV11" s="204">
        <f>SUMIFS('Expenditure Breakdown'!$Q$6:$Q$415, 'Expenditure Breakdown'!$W$6:$W$415, "&gt;="&amp;KV1,'Expenditure Breakdown'!$W$6:$W$415, "&lt;"&amp;KW1)</f>
        <v>0</v>
      </c>
      <c r="KW11" s="204">
        <f>SUMIFS('Expenditure Breakdown'!$Q$6:$Q$415, 'Expenditure Breakdown'!$W$6:$W$415, "&gt;="&amp;KW1,'Expenditure Breakdown'!$W$6:$W$415, "&lt;"&amp;KX1)</f>
        <v>0</v>
      </c>
      <c r="KX11" s="204">
        <f>SUMIFS('Expenditure Breakdown'!$Q$6:$Q$415, 'Expenditure Breakdown'!$W$6:$W$415, "&gt;="&amp;KX1,'Expenditure Breakdown'!$W$6:$W$415, "&lt;"&amp;KY1)</f>
        <v>0</v>
      </c>
      <c r="KY11" s="204">
        <f>SUMIFS('Expenditure Breakdown'!$Q$6:$Q$415, 'Expenditure Breakdown'!$W$6:$W$415, "&gt;="&amp;KY1,'Expenditure Breakdown'!$W$6:$W$415, "&lt;"&amp;KZ1)</f>
        <v>0</v>
      </c>
      <c r="KZ11" s="204">
        <f>SUMIFS('Expenditure Breakdown'!$Q$6:$Q$415, 'Expenditure Breakdown'!$W$6:$W$415, "&gt;="&amp;KZ1,'Expenditure Breakdown'!$W$6:$W$415, "&lt;"&amp;LA1)</f>
        <v>0</v>
      </c>
      <c r="LA11" s="204">
        <f>SUMIFS('Expenditure Breakdown'!$Q$6:$Q$415, 'Expenditure Breakdown'!$W$6:$W$415, "&gt;="&amp;LA1,'Expenditure Breakdown'!$W$6:$W$415, "&lt;"&amp;LB1)</f>
        <v>0</v>
      </c>
      <c r="LB11" s="204">
        <f>SUMIFS('Expenditure Breakdown'!$Q$6:$Q$415, 'Expenditure Breakdown'!$W$6:$W$415, "&gt;="&amp;LB1,'Expenditure Breakdown'!$W$6:$W$415, "&lt;"&amp;LC1)</f>
        <v>0</v>
      </c>
      <c r="LC11" s="204">
        <f>SUMIFS('Expenditure Breakdown'!$Q$6:$Q$415, 'Expenditure Breakdown'!$W$6:$W$415, "&gt;="&amp;LC1,'Expenditure Breakdown'!$W$6:$W$415, "&lt;"&amp;LD1)</f>
        <v>0</v>
      </c>
      <c r="LD11" s="204">
        <f>SUMIFS('Expenditure Breakdown'!$Q$6:$Q$415, 'Expenditure Breakdown'!$W$6:$W$415, "&gt;="&amp;LD1,'Expenditure Breakdown'!$W$6:$W$415, "&lt;"&amp;LE1)</f>
        <v>0</v>
      </c>
      <c r="LE11" s="181"/>
      <c r="LF11" s="192"/>
      <c r="LG11" s="192"/>
    </row>
    <row r="12" spans="1:794" s="193" customFormat="1" x14ac:dyDescent="0.25">
      <c r="A12" s="944"/>
      <c r="B12" s="202" t="s">
        <v>758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18024976.527811795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23112180.479985707</v>
      </c>
      <c r="AQ12" s="204">
        <f t="shared" si="26"/>
        <v>23147885.629985705</v>
      </c>
      <c r="AR12" s="204">
        <f t="shared" si="26"/>
        <v>27089450.509985708</v>
      </c>
      <c r="AS12" s="204">
        <f t="shared" si="26"/>
        <v>27089450.509985708</v>
      </c>
      <c r="AT12" s="204">
        <f t="shared" si="26"/>
        <v>27510219.279985707</v>
      </c>
      <c r="AU12" s="204">
        <f t="shared" si="26"/>
        <v>27574946.159985706</v>
      </c>
      <c r="AV12" s="204">
        <f t="shared" si="26"/>
        <v>27591665.159985706</v>
      </c>
      <c r="AW12" s="204">
        <f t="shared" si="26"/>
        <v>27591665.159985706</v>
      </c>
      <c r="AX12" s="204">
        <f t="shared" si="26"/>
        <v>32486807.088620007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39919538.955880873</v>
      </c>
      <c r="BG12" s="204">
        <f t="shared" si="26"/>
        <v>43635273.176446088</v>
      </c>
      <c r="BH12" s="204">
        <f t="shared" si="26"/>
        <v>43671848.026446089</v>
      </c>
      <c r="BI12" s="204">
        <f t="shared" si="26"/>
        <v>43672977.30644609</v>
      </c>
      <c r="BJ12" s="204">
        <f t="shared" si="26"/>
        <v>43672977.30644609</v>
      </c>
      <c r="BK12" s="204">
        <f t="shared" si="26"/>
        <v>43824083.786446087</v>
      </c>
      <c r="BL12" s="204">
        <f t="shared" si="26"/>
        <v>44203863.16644609</v>
      </c>
      <c r="BM12" s="204">
        <f t="shared" si="26"/>
        <v>44203863.16644609</v>
      </c>
      <c r="BN12" s="204">
        <f t="shared" si="26"/>
        <v>44203863.16644609</v>
      </c>
      <c r="BO12" s="204">
        <f t="shared" si="26"/>
        <v>44206706.16644609</v>
      </c>
      <c r="BP12" s="204">
        <f t="shared" si="26"/>
        <v>44879372.833112754</v>
      </c>
      <c r="BQ12" s="204">
        <f t="shared" si="26"/>
        <v>44935174.113112755</v>
      </c>
      <c r="BR12" s="204">
        <f t="shared" si="26"/>
        <v>44935174.113112755</v>
      </c>
      <c r="BS12" s="204">
        <f t="shared" si="26"/>
        <v>44935174.113112755</v>
      </c>
      <c r="BT12" s="204">
        <f t="shared" si="26"/>
        <v>45651113.779779419</v>
      </c>
      <c r="BU12" s="204">
        <f t="shared" ref="BU12:EF12" si="27">BT12+BU11</f>
        <v>45651113.779779419</v>
      </c>
      <c r="BV12" s="204">
        <f t="shared" si="27"/>
        <v>46251113.779779419</v>
      </c>
      <c r="BW12" s="204">
        <f t="shared" si="27"/>
        <v>46251113.779779419</v>
      </c>
      <c r="BX12" s="204">
        <f t="shared" si="27"/>
        <v>46333254.446446083</v>
      </c>
      <c r="BY12" s="204">
        <f t="shared" si="27"/>
        <v>46333254.446446083</v>
      </c>
      <c r="BZ12" s="204">
        <f t="shared" si="27"/>
        <v>46333254.446446083</v>
      </c>
      <c r="CA12" s="204">
        <f t="shared" si="27"/>
        <v>46333254.446446083</v>
      </c>
      <c r="CB12" s="204">
        <f t="shared" si="27"/>
        <v>46333254.446446083</v>
      </c>
      <c r="CC12" s="204">
        <f t="shared" si="27"/>
        <v>46415395.113112748</v>
      </c>
      <c r="CD12" s="204">
        <f t="shared" si="27"/>
        <v>46415395.113112748</v>
      </c>
      <c r="CE12" s="204">
        <f t="shared" si="27"/>
        <v>46415395.113112748</v>
      </c>
      <c r="CF12" s="204">
        <f t="shared" si="27"/>
        <v>46415395.113112748</v>
      </c>
      <c r="CG12" s="204">
        <f t="shared" si="27"/>
        <v>46497535.779779412</v>
      </c>
      <c r="CH12" s="204">
        <f t="shared" si="27"/>
        <v>46497535.779779412</v>
      </c>
      <c r="CI12" s="204">
        <f t="shared" si="27"/>
        <v>46497535.779779412</v>
      </c>
      <c r="CJ12" s="204">
        <f t="shared" si="27"/>
        <v>46497535.779779412</v>
      </c>
      <c r="CK12" s="204">
        <f t="shared" si="27"/>
        <v>46497535.779779412</v>
      </c>
      <c r="CL12" s="204">
        <f t="shared" si="27"/>
        <v>46579676.446446076</v>
      </c>
      <c r="CM12" s="204">
        <f t="shared" si="27"/>
        <v>46579676.446446076</v>
      </c>
      <c r="CN12" s="204">
        <f t="shared" si="27"/>
        <v>46579676.446446076</v>
      </c>
      <c r="CO12" s="204">
        <f t="shared" si="27"/>
        <v>46579676.446446076</v>
      </c>
      <c r="CP12" s="204">
        <f t="shared" si="27"/>
        <v>46661817.11311274</v>
      </c>
      <c r="CQ12" s="204">
        <f t="shared" si="27"/>
        <v>46661817.11311274</v>
      </c>
      <c r="CR12" s="204">
        <f t="shared" si="27"/>
        <v>46661817.11311274</v>
      </c>
      <c r="CS12" s="204">
        <f t="shared" si="27"/>
        <v>46661817.11311274</v>
      </c>
      <c r="CT12" s="204">
        <f t="shared" si="27"/>
        <v>46743957.779779404</v>
      </c>
      <c r="CU12" s="204">
        <f t="shared" si="27"/>
        <v>46743957.779779404</v>
      </c>
      <c r="CV12" s="204">
        <f t="shared" si="27"/>
        <v>46743957.779779404</v>
      </c>
      <c r="CW12" s="204">
        <f t="shared" si="27"/>
        <v>46743957.779779404</v>
      </c>
      <c r="CX12" s="204">
        <f t="shared" si="27"/>
        <v>46743957.779779404</v>
      </c>
      <c r="CY12" s="204">
        <f t="shared" si="27"/>
        <v>47126098.446446069</v>
      </c>
      <c r="CZ12" s="204">
        <f t="shared" si="27"/>
        <v>47126098.446446069</v>
      </c>
      <c r="DA12" s="204">
        <f t="shared" si="27"/>
        <v>47126098.446446069</v>
      </c>
      <c r="DB12" s="204">
        <f t="shared" si="27"/>
        <v>47126098.446446069</v>
      </c>
      <c r="DC12" s="204">
        <f t="shared" si="27"/>
        <v>47208239.113112733</v>
      </c>
      <c r="DD12" s="204">
        <f t="shared" si="27"/>
        <v>47208239.113112733</v>
      </c>
      <c r="DE12" s="204">
        <f t="shared" si="27"/>
        <v>47208239.113112733</v>
      </c>
      <c r="DF12" s="204">
        <f t="shared" si="27"/>
        <v>47208239.113112733</v>
      </c>
      <c r="DG12" s="204">
        <f t="shared" si="27"/>
        <v>47290379.779779397</v>
      </c>
      <c r="DH12" s="204">
        <f t="shared" si="27"/>
        <v>47290379.779779397</v>
      </c>
      <c r="DI12" s="204">
        <f t="shared" si="27"/>
        <v>47290379.779779397</v>
      </c>
      <c r="DJ12" s="204">
        <f t="shared" si="27"/>
        <v>47290379.779779397</v>
      </c>
      <c r="DK12" s="204">
        <f t="shared" si="27"/>
        <v>47372520.446446061</v>
      </c>
      <c r="DL12" s="204">
        <f t="shared" si="27"/>
        <v>47372520.446446061</v>
      </c>
      <c r="DM12" s="204">
        <f t="shared" si="27"/>
        <v>47372520.446446061</v>
      </c>
      <c r="DN12" s="204">
        <f t="shared" si="27"/>
        <v>47372520.446446061</v>
      </c>
      <c r="DO12" s="204">
        <f t="shared" si="27"/>
        <v>47372520.446446061</v>
      </c>
      <c r="DP12" s="204">
        <f t="shared" si="27"/>
        <v>47372520.446446061</v>
      </c>
      <c r="DQ12" s="204">
        <f t="shared" si="27"/>
        <v>47372520.446446061</v>
      </c>
      <c r="DR12" s="204">
        <f t="shared" si="27"/>
        <v>47372520.446446061</v>
      </c>
      <c r="DS12" s="204">
        <f t="shared" si="27"/>
        <v>47372520.446446061</v>
      </c>
      <c r="DT12" s="204">
        <f t="shared" si="27"/>
        <v>47372520.446446061</v>
      </c>
      <c r="DU12" s="204">
        <f t="shared" si="27"/>
        <v>47372520.446446061</v>
      </c>
      <c r="DV12" s="204">
        <f t="shared" si="27"/>
        <v>47372520.446446061</v>
      </c>
      <c r="DW12" s="204">
        <f t="shared" si="27"/>
        <v>47372520.446446061</v>
      </c>
      <c r="DX12" s="204">
        <f t="shared" si="27"/>
        <v>47372520.446446061</v>
      </c>
      <c r="DY12" s="204">
        <f t="shared" si="27"/>
        <v>47372520.446446061</v>
      </c>
      <c r="DZ12" s="204">
        <f t="shared" si="27"/>
        <v>47372520.446446061</v>
      </c>
      <c r="EA12" s="204">
        <f t="shared" si="27"/>
        <v>47372520.446446061</v>
      </c>
      <c r="EB12" s="204">
        <f t="shared" si="27"/>
        <v>47372520.446446061</v>
      </c>
      <c r="EC12" s="204">
        <f t="shared" si="27"/>
        <v>47372520.446446061</v>
      </c>
      <c r="ED12" s="204">
        <f t="shared" si="27"/>
        <v>47372520.446446061</v>
      </c>
      <c r="EE12" s="204">
        <f t="shared" si="27"/>
        <v>47372520.446446061</v>
      </c>
      <c r="EF12" s="204">
        <f t="shared" si="27"/>
        <v>47372520.446446061</v>
      </c>
      <c r="EG12" s="204">
        <f t="shared" ref="EG12:GR12" si="28">EF12+EG11</f>
        <v>47372520.446446061</v>
      </c>
      <c r="EH12" s="204">
        <f t="shared" si="28"/>
        <v>47372520.446446061</v>
      </c>
      <c r="EI12" s="204">
        <f t="shared" si="28"/>
        <v>47372520.446446061</v>
      </c>
      <c r="EJ12" s="204">
        <f t="shared" si="28"/>
        <v>47372520.446446061</v>
      </c>
      <c r="EK12" s="204">
        <f t="shared" si="28"/>
        <v>47372520.446446061</v>
      </c>
      <c r="EL12" s="204">
        <f t="shared" si="28"/>
        <v>47372520.446446061</v>
      </c>
      <c r="EM12" s="204">
        <f t="shared" si="28"/>
        <v>47372520.446446061</v>
      </c>
      <c r="EN12" s="204">
        <f t="shared" si="28"/>
        <v>47372520.446446061</v>
      </c>
      <c r="EO12" s="204">
        <f t="shared" si="28"/>
        <v>47372520.446446061</v>
      </c>
      <c r="EP12" s="204">
        <f t="shared" si="28"/>
        <v>47372520.446446061</v>
      </c>
      <c r="EQ12" s="204">
        <f t="shared" si="28"/>
        <v>47372520.446446061</v>
      </c>
      <c r="ER12" s="204">
        <f t="shared" si="28"/>
        <v>47372520.446446061</v>
      </c>
      <c r="ES12" s="204">
        <f t="shared" si="28"/>
        <v>47372520.446446061</v>
      </c>
      <c r="ET12" s="204">
        <f t="shared" si="28"/>
        <v>47372520.446446061</v>
      </c>
      <c r="EU12" s="204">
        <f t="shared" si="28"/>
        <v>47372520.446446061</v>
      </c>
      <c r="EV12" s="204">
        <f t="shared" si="28"/>
        <v>47372520.446446061</v>
      </c>
      <c r="EW12" s="204">
        <f t="shared" si="28"/>
        <v>47372520.446446061</v>
      </c>
      <c r="EX12" s="204">
        <f t="shared" si="28"/>
        <v>47372520.446446061</v>
      </c>
      <c r="EY12" s="204">
        <f t="shared" si="28"/>
        <v>47372520.446446061</v>
      </c>
      <c r="EZ12" s="204">
        <f t="shared" si="28"/>
        <v>47372520.446446061</v>
      </c>
      <c r="FA12" s="204">
        <f t="shared" si="28"/>
        <v>47372520.446446061</v>
      </c>
      <c r="FB12" s="204">
        <f t="shared" si="28"/>
        <v>47372520.446446061</v>
      </c>
      <c r="FC12" s="204">
        <f t="shared" si="28"/>
        <v>47372520.446446061</v>
      </c>
      <c r="FD12" s="204">
        <f t="shared" si="28"/>
        <v>47372520.446446061</v>
      </c>
      <c r="FE12" s="204">
        <f t="shared" si="28"/>
        <v>47372520.446446061</v>
      </c>
      <c r="FF12" s="204">
        <f t="shared" si="28"/>
        <v>47372520.446446061</v>
      </c>
      <c r="FG12" s="204">
        <f t="shared" si="28"/>
        <v>47372520.446446061</v>
      </c>
      <c r="FH12" s="204">
        <f t="shared" si="28"/>
        <v>47372520.446446061</v>
      </c>
      <c r="FI12" s="204">
        <f t="shared" si="28"/>
        <v>47372520.446446061</v>
      </c>
      <c r="FJ12" s="204">
        <f t="shared" si="28"/>
        <v>47372520.446446061</v>
      </c>
      <c r="FK12" s="204">
        <f t="shared" si="28"/>
        <v>47372520.446446061</v>
      </c>
      <c r="FL12" s="204">
        <f t="shared" si="28"/>
        <v>47372520.446446061</v>
      </c>
      <c r="FM12" s="204">
        <f t="shared" si="28"/>
        <v>47372520.446446061</v>
      </c>
      <c r="FN12" s="204">
        <f t="shared" si="28"/>
        <v>47372520.446446061</v>
      </c>
      <c r="FO12" s="204">
        <f t="shared" si="28"/>
        <v>47372520.446446061</v>
      </c>
      <c r="FP12" s="204">
        <f t="shared" si="28"/>
        <v>47372520.446446061</v>
      </c>
      <c r="FQ12" s="204">
        <f t="shared" si="28"/>
        <v>47372520.446446061</v>
      </c>
      <c r="FR12" s="204">
        <f t="shared" si="28"/>
        <v>47372520.446446061</v>
      </c>
      <c r="FS12" s="204">
        <f t="shared" si="28"/>
        <v>47372520.446446061</v>
      </c>
      <c r="FT12" s="204">
        <f t="shared" si="28"/>
        <v>47372520.446446061</v>
      </c>
      <c r="FU12" s="204">
        <f t="shared" si="28"/>
        <v>47372520.446446061</v>
      </c>
      <c r="FV12" s="204">
        <f t="shared" si="28"/>
        <v>47372520.446446061</v>
      </c>
      <c r="FW12" s="204">
        <f t="shared" si="28"/>
        <v>47372520.446446061</v>
      </c>
      <c r="FX12" s="204">
        <f t="shared" si="28"/>
        <v>47372520.446446061</v>
      </c>
      <c r="FY12" s="204">
        <f t="shared" si="28"/>
        <v>47372520.446446061</v>
      </c>
      <c r="FZ12" s="204">
        <f t="shared" si="28"/>
        <v>47372520.446446061</v>
      </c>
      <c r="GA12" s="204">
        <f t="shared" si="28"/>
        <v>47372520.446446061</v>
      </c>
      <c r="GB12" s="204">
        <f t="shared" si="28"/>
        <v>47372520.446446061</v>
      </c>
      <c r="GC12" s="204">
        <f t="shared" si="28"/>
        <v>47372520.446446061</v>
      </c>
      <c r="GD12" s="204">
        <f t="shared" si="28"/>
        <v>47372520.446446061</v>
      </c>
      <c r="GE12" s="204">
        <f t="shared" si="28"/>
        <v>47372520.446446061</v>
      </c>
      <c r="GF12" s="204">
        <f t="shared" si="28"/>
        <v>47372520.446446061</v>
      </c>
      <c r="GG12" s="204">
        <f t="shared" si="28"/>
        <v>47372520.446446061</v>
      </c>
      <c r="GH12" s="204">
        <f t="shared" si="28"/>
        <v>47372520.446446061</v>
      </c>
      <c r="GI12" s="204">
        <f t="shared" si="28"/>
        <v>47372520.446446061</v>
      </c>
      <c r="GJ12" s="204">
        <f t="shared" si="28"/>
        <v>47372520.446446061</v>
      </c>
      <c r="GK12" s="204">
        <f t="shared" si="28"/>
        <v>47372520.446446061</v>
      </c>
      <c r="GL12" s="204">
        <f t="shared" si="28"/>
        <v>47372520.446446061</v>
      </c>
      <c r="GM12" s="204">
        <f t="shared" si="28"/>
        <v>47372520.446446061</v>
      </c>
      <c r="GN12" s="204">
        <f t="shared" si="28"/>
        <v>47372520.446446061</v>
      </c>
      <c r="GO12" s="204">
        <f t="shared" si="28"/>
        <v>47372520.446446061</v>
      </c>
      <c r="GP12" s="204">
        <f t="shared" si="28"/>
        <v>47372520.446446061</v>
      </c>
      <c r="GQ12" s="204">
        <f t="shared" si="28"/>
        <v>47372520.446446061</v>
      </c>
      <c r="GR12" s="204">
        <f t="shared" si="28"/>
        <v>47372520.446446061</v>
      </c>
      <c r="GS12" s="204">
        <f t="shared" ref="GS12:JD12" si="29">GR12+GS11</f>
        <v>47372520.446446061</v>
      </c>
      <c r="GT12" s="204">
        <f t="shared" si="29"/>
        <v>47372520.446446061</v>
      </c>
      <c r="GU12" s="204">
        <f t="shared" si="29"/>
        <v>47372520.446446061</v>
      </c>
      <c r="GV12" s="204">
        <f t="shared" si="29"/>
        <v>47372520.446446061</v>
      </c>
      <c r="GW12" s="204">
        <f t="shared" si="29"/>
        <v>47372520.446446061</v>
      </c>
      <c r="GX12" s="204">
        <f t="shared" si="29"/>
        <v>47372520.446446061</v>
      </c>
      <c r="GY12" s="204">
        <f t="shared" si="29"/>
        <v>47372520.446446061</v>
      </c>
      <c r="GZ12" s="204">
        <f t="shared" si="29"/>
        <v>47372520.446446061</v>
      </c>
      <c r="HA12" s="204">
        <f t="shared" si="29"/>
        <v>47372520.446446061</v>
      </c>
      <c r="HB12" s="204">
        <f t="shared" si="29"/>
        <v>47372520.446446061</v>
      </c>
      <c r="HC12" s="204">
        <f t="shared" si="29"/>
        <v>47372520.446446061</v>
      </c>
      <c r="HD12" s="204">
        <f t="shared" si="29"/>
        <v>47372520.446446061</v>
      </c>
      <c r="HE12" s="204">
        <f t="shared" si="29"/>
        <v>47372520.446446061</v>
      </c>
      <c r="HF12" s="204">
        <f t="shared" si="29"/>
        <v>47372520.446446061</v>
      </c>
      <c r="HG12" s="204">
        <f t="shared" si="29"/>
        <v>47372520.446446061</v>
      </c>
      <c r="HH12" s="204">
        <f t="shared" si="29"/>
        <v>47372520.446446061</v>
      </c>
      <c r="HI12" s="204">
        <f t="shared" si="29"/>
        <v>47372520.446446061</v>
      </c>
      <c r="HJ12" s="204">
        <f t="shared" si="29"/>
        <v>47372520.446446061</v>
      </c>
      <c r="HK12" s="204">
        <f t="shared" si="29"/>
        <v>47372520.446446061</v>
      </c>
      <c r="HL12" s="204">
        <f t="shared" si="29"/>
        <v>47372520.446446061</v>
      </c>
      <c r="HM12" s="204">
        <f t="shared" si="29"/>
        <v>47372520.446446061</v>
      </c>
      <c r="HN12" s="204">
        <f t="shared" si="29"/>
        <v>47372520.446446061</v>
      </c>
      <c r="HO12" s="204">
        <f t="shared" si="29"/>
        <v>47372520.446446061</v>
      </c>
      <c r="HP12" s="204">
        <f t="shared" si="29"/>
        <v>47372520.446446061</v>
      </c>
      <c r="HQ12" s="204">
        <f t="shared" si="29"/>
        <v>47372520.446446061</v>
      </c>
      <c r="HR12" s="204">
        <f t="shared" si="29"/>
        <v>47372520.446446061</v>
      </c>
      <c r="HS12" s="204">
        <f t="shared" si="29"/>
        <v>47372520.446446061</v>
      </c>
      <c r="HT12" s="204">
        <f t="shared" si="29"/>
        <v>47372520.446446061</v>
      </c>
      <c r="HU12" s="204">
        <f t="shared" si="29"/>
        <v>47372520.446446061</v>
      </c>
      <c r="HV12" s="204">
        <f t="shared" si="29"/>
        <v>47372520.446446061</v>
      </c>
      <c r="HW12" s="204">
        <f t="shared" si="29"/>
        <v>47372520.446446061</v>
      </c>
      <c r="HX12" s="204">
        <f t="shared" si="29"/>
        <v>47372520.446446061</v>
      </c>
      <c r="HY12" s="204">
        <f t="shared" si="29"/>
        <v>47372520.446446061</v>
      </c>
      <c r="HZ12" s="204">
        <f t="shared" si="29"/>
        <v>47372520.446446061</v>
      </c>
      <c r="IA12" s="204">
        <f t="shared" si="29"/>
        <v>47372520.446446061</v>
      </c>
      <c r="IB12" s="204">
        <f t="shared" si="29"/>
        <v>47372520.446446061</v>
      </c>
      <c r="IC12" s="204">
        <f t="shared" si="29"/>
        <v>47372520.446446061</v>
      </c>
      <c r="ID12" s="204">
        <f t="shared" si="29"/>
        <v>47372520.446446061</v>
      </c>
      <c r="IE12" s="204">
        <f t="shared" si="29"/>
        <v>47372520.446446061</v>
      </c>
      <c r="IF12" s="204">
        <f t="shared" si="29"/>
        <v>47372520.446446061</v>
      </c>
      <c r="IG12" s="204">
        <f t="shared" si="29"/>
        <v>47372520.446446061</v>
      </c>
      <c r="IH12" s="204">
        <f t="shared" si="29"/>
        <v>47372520.446446061</v>
      </c>
      <c r="II12" s="204">
        <f t="shared" si="29"/>
        <v>47372520.446446061</v>
      </c>
      <c r="IJ12" s="204">
        <f t="shared" si="29"/>
        <v>47372520.446446061</v>
      </c>
      <c r="IK12" s="204">
        <f t="shared" si="29"/>
        <v>47372520.446446061</v>
      </c>
      <c r="IL12" s="204">
        <f t="shared" si="29"/>
        <v>47372520.446446061</v>
      </c>
      <c r="IM12" s="204">
        <f t="shared" si="29"/>
        <v>47372520.446446061</v>
      </c>
      <c r="IN12" s="204">
        <f t="shared" si="29"/>
        <v>47372520.446446061</v>
      </c>
      <c r="IO12" s="204">
        <f t="shared" si="29"/>
        <v>47372520.446446061</v>
      </c>
      <c r="IP12" s="204">
        <f t="shared" si="29"/>
        <v>47372520.446446061</v>
      </c>
      <c r="IQ12" s="204">
        <f t="shared" si="29"/>
        <v>47372520.446446061</v>
      </c>
      <c r="IR12" s="204">
        <f t="shared" si="29"/>
        <v>47372520.446446061</v>
      </c>
      <c r="IS12" s="204">
        <f t="shared" si="29"/>
        <v>47372520.446446061</v>
      </c>
      <c r="IT12" s="204">
        <f t="shared" si="29"/>
        <v>47372520.446446061</v>
      </c>
      <c r="IU12" s="204">
        <f t="shared" si="29"/>
        <v>47372520.446446061</v>
      </c>
      <c r="IV12" s="204">
        <f t="shared" si="29"/>
        <v>47372520.446446061</v>
      </c>
      <c r="IW12" s="204">
        <f t="shared" si="29"/>
        <v>47372520.446446061</v>
      </c>
      <c r="IX12" s="204">
        <f t="shared" si="29"/>
        <v>47372520.446446061</v>
      </c>
      <c r="IY12" s="204">
        <f t="shared" si="29"/>
        <v>47372520.446446061</v>
      </c>
      <c r="IZ12" s="204">
        <f t="shared" si="29"/>
        <v>47372520.446446061</v>
      </c>
      <c r="JA12" s="204">
        <f t="shared" si="29"/>
        <v>47372520.446446061</v>
      </c>
      <c r="JB12" s="204">
        <f t="shared" si="29"/>
        <v>47372520.446446061</v>
      </c>
      <c r="JC12" s="204">
        <f t="shared" si="29"/>
        <v>47372520.446446061</v>
      </c>
      <c r="JD12" s="204">
        <f t="shared" si="29"/>
        <v>47372520.446446061</v>
      </c>
      <c r="JE12" s="204">
        <f t="shared" ref="JE12:LD12" si="30">JD12+JE11</f>
        <v>47372520.446446061</v>
      </c>
      <c r="JF12" s="204">
        <f t="shared" si="30"/>
        <v>47372520.446446061</v>
      </c>
      <c r="JG12" s="204">
        <f t="shared" si="30"/>
        <v>47372520.446446061</v>
      </c>
      <c r="JH12" s="204">
        <f t="shared" si="30"/>
        <v>47372520.446446061</v>
      </c>
      <c r="JI12" s="204">
        <f t="shared" si="30"/>
        <v>47372520.446446061</v>
      </c>
      <c r="JJ12" s="204">
        <f t="shared" si="30"/>
        <v>47372520.446446061</v>
      </c>
      <c r="JK12" s="204">
        <f t="shared" si="30"/>
        <v>47372520.446446061</v>
      </c>
      <c r="JL12" s="204">
        <f t="shared" si="30"/>
        <v>47372520.446446061</v>
      </c>
      <c r="JM12" s="204">
        <f t="shared" si="30"/>
        <v>47372520.446446061</v>
      </c>
      <c r="JN12" s="204">
        <f t="shared" si="30"/>
        <v>47372520.446446061</v>
      </c>
      <c r="JO12" s="204">
        <f t="shared" si="30"/>
        <v>47372520.446446061</v>
      </c>
      <c r="JP12" s="204">
        <f t="shared" si="30"/>
        <v>47372520.446446061</v>
      </c>
      <c r="JQ12" s="204">
        <f t="shared" si="30"/>
        <v>47372520.446446061</v>
      </c>
      <c r="JR12" s="204">
        <f t="shared" si="30"/>
        <v>47372520.446446061</v>
      </c>
      <c r="JS12" s="204">
        <f t="shared" si="30"/>
        <v>47372520.446446061</v>
      </c>
      <c r="JT12" s="204">
        <f t="shared" si="30"/>
        <v>47372520.446446061</v>
      </c>
      <c r="JU12" s="204">
        <f t="shared" si="30"/>
        <v>47372520.446446061</v>
      </c>
      <c r="JV12" s="204">
        <f t="shared" si="30"/>
        <v>47372520.446446061</v>
      </c>
      <c r="JW12" s="204">
        <f t="shared" si="30"/>
        <v>47372520.446446061</v>
      </c>
      <c r="JX12" s="204">
        <f t="shared" si="30"/>
        <v>47372520.446446061</v>
      </c>
      <c r="JY12" s="204">
        <f t="shared" si="30"/>
        <v>47372520.446446061</v>
      </c>
      <c r="JZ12" s="204">
        <f t="shared" si="30"/>
        <v>47372520.446446061</v>
      </c>
      <c r="KA12" s="204">
        <f t="shared" si="30"/>
        <v>47372520.446446061</v>
      </c>
      <c r="KB12" s="204">
        <f t="shared" si="30"/>
        <v>47372520.446446061</v>
      </c>
      <c r="KC12" s="204">
        <f t="shared" si="30"/>
        <v>47372520.446446061</v>
      </c>
      <c r="KD12" s="204">
        <f t="shared" si="30"/>
        <v>47372520.446446061</v>
      </c>
      <c r="KE12" s="204">
        <f t="shared" si="30"/>
        <v>47372520.446446061</v>
      </c>
      <c r="KF12" s="204">
        <f t="shared" si="30"/>
        <v>47372520.446446061</v>
      </c>
      <c r="KG12" s="204">
        <f t="shared" si="30"/>
        <v>47372520.446446061</v>
      </c>
      <c r="KH12" s="204">
        <f t="shared" si="30"/>
        <v>47372520.446446061</v>
      </c>
      <c r="KI12" s="204">
        <f t="shared" si="30"/>
        <v>47372520.446446061</v>
      </c>
      <c r="KJ12" s="204">
        <f t="shared" si="30"/>
        <v>47372520.446446061</v>
      </c>
      <c r="KK12" s="204">
        <f t="shared" si="30"/>
        <v>47372520.446446061</v>
      </c>
      <c r="KL12" s="204">
        <f t="shared" si="30"/>
        <v>47372520.446446061</v>
      </c>
      <c r="KM12" s="204">
        <f t="shared" si="30"/>
        <v>47372520.446446061</v>
      </c>
      <c r="KN12" s="204">
        <f t="shared" si="30"/>
        <v>47372520.446446061</v>
      </c>
      <c r="KO12" s="204">
        <f t="shared" si="30"/>
        <v>47372520.446446061</v>
      </c>
      <c r="KP12" s="204">
        <f t="shared" si="30"/>
        <v>47372520.446446061</v>
      </c>
      <c r="KQ12" s="204">
        <f t="shared" si="30"/>
        <v>47372520.446446061</v>
      </c>
      <c r="KR12" s="204">
        <f t="shared" si="30"/>
        <v>47372520.446446061</v>
      </c>
      <c r="KS12" s="204">
        <f t="shared" si="30"/>
        <v>47372520.446446061</v>
      </c>
      <c r="KT12" s="204">
        <f t="shared" si="30"/>
        <v>47372520.446446061</v>
      </c>
      <c r="KU12" s="204">
        <f t="shared" si="30"/>
        <v>47372520.446446061</v>
      </c>
      <c r="KV12" s="204">
        <f t="shared" si="30"/>
        <v>47372520.446446061</v>
      </c>
      <c r="KW12" s="204">
        <f t="shared" si="30"/>
        <v>47372520.446446061</v>
      </c>
      <c r="KX12" s="204">
        <f t="shared" si="30"/>
        <v>47372520.446446061</v>
      </c>
      <c r="KY12" s="204">
        <f t="shared" si="30"/>
        <v>47372520.446446061</v>
      </c>
      <c r="KZ12" s="204">
        <f t="shared" si="30"/>
        <v>47372520.446446061</v>
      </c>
      <c r="LA12" s="204">
        <f t="shared" si="30"/>
        <v>47372520.446446061</v>
      </c>
      <c r="LB12" s="204">
        <f t="shared" si="30"/>
        <v>47372520.446446061</v>
      </c>
      <c r="LC12" s="204">
        <f t="shared" si="30"/>
        <v>47372520.446446061</v>
      </c>
      <c r="LD12" s="204">
        <f t="shared" si="30"/>
        <v>47372520.446446061</v>
      </c>
      <c r="LE12" s="181"/>
      <c r="LF12" s="192"/>
    </row>
    <row r="13" spans="1:794" s="181" customFormat="1" x14ac:dyDescent="0.25">
      <c r="A13" s="944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 x14ac:dyDescent="0.25">
      <c r="A14" s="944"/>
      <c r="B14" s="194" t="s">
        <v>759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23971523.472188205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27883569.520014293</v>
      </c>
      <c r="AQ14" s="197">
        <f t="shared" si="32"/>
        <v>27847864.370014295</v>
      </c>
      <c r="AR14" s="197">
        <f t="shared" si="32"/>
        <v>23906299.490014292</v>
      </c>
      <c r="AS14" s="197">
        <f t="shared" si="32"/>
        <v>23906299.490014292</v>
      </c>
      <c r="AT14" s="197">
        <f t="shared" si="32"/>
        <v>23485530.720014293</v>
      </c>
      <c r="AU14" s="197">
        <f t="shared" si="32"/>
        <v>23420803.840014294</v>
      </c>
      <c r="AV14" s="197">
        <f t="shared" si="32"/>
        <v>23404084.840014294</v>
      </c>
      <c r="AW14" s="197">
        <f t="shared" si="32"/>
        <v>23404084.840014294</v>
      </c>
      <c r="AX14" s="197">
        <f t="shared" si="32"/>
        <v>18508942.911379993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11126051.77455391</v>
      </c>
      <c r="BG14" s="197">
        <f t="shared" si="32"/>
        <v>7410317.5539886951</v>
      </c>
      <c r="BH14" s="197">
        <f t="shared" si="32"/>
        <v>7373742.7039886937</v>
      </c>
      <c r="BI14" s="197">
        <f t="shared" si="32"/>
        <v>13322272.69355391</v>
      </c>
      <c r="BJ14" s="197">
        <f t="shared" si="32"/>
        <v>13322272.69355391</v>
      </c>
      <c r="BK14" s="197">
        <f t="shared" si="32"/>
        <v>13171166.213553913</v>
      </c>
      <c r="BL14" s="197">
        <f t="shared" si="32"/>
        <v>12791386.83355391</v>
      </c>
      <c r="BM14" s="197">
        <f t="shared" si="32"/>
        <v>12791386.83355391</v>
      </c>
      <c r="BN14" s="197">
        <f t="shared" si="32"/>
        <v>12791386.83355391</v>
      </c>
      <c r="BO14" s="197">
        <f t="shared" si="32"/>
        <v>12788543.83355391</v>
      </c>
      <c r="BP14" s="197">
        <f t="shared" si="32"/>
        <v>12115877.166887246</v>
      </c>
      <c r="BQ14" s="197">
        <f t="shared" si="32"/>
        <v>12060075.886887245</v>
      </c>
      <c r="BR14" s="197">
        <f t="shared" si="32"/>
        <v>12060075.886887245</v>
      </c>
      <c r="BS14" s="197">
        <f t="shared" si="32"/>
        <v>12060075.886887245</v>
      </c>
      <c r="BT14" s="197">
        <f t="shared" si="32"/>
        <v>11344136.220220581</v>
      </c>
      <c r="BU14" s="197">
        <f t="shared" ref="BU14:EF14" si="33">BU10-BU12</f>
        <v>14343886.220220581</v>
      </c>
      <c r="BV14" s="197">
        <f t="shared" si="33"/>
        <v>13743886.220220581</v>
      </c>
      <c r="BW14" s="197">
        <f t="shared" si="33"/>
        <v>13743886.220220581</v>
      </c>
      <c r="BX14" s="197">
        <f t="shared" si="33"/>
        <v>13661745.553553917</v>
      </c>
      <c r="BY14" s="197">
        <f t="shared" si="33"/>
        <v>13661745.553553917</v>
      </c>
      <c r="BZ14" s="197">
        <f t="shared" si="33"/>
        <v>13661745.553553917</v>
      </c>
      <c r="CA14" s="197">
        <f t="shared" si="33"/>
        <v>13661745.553553917</v>
      </c>
      <c r="CB14" s="197">
        <f t="shared" si="33"/>
        <v>13661745.553553917</v>
      </c>
      <c r="CC14" s="197">
        <f t="shared" si="33"/>
        <v>13579604.886887252</v>
      </c>
      <c r="CD14" s="197">
        <f t="shared" si="33"/>
        <v>13579604.886887252</v>
      </c>
      <c r="CE14" s="197">
        <f t="shared" si="33"/>
        <v>13579604.886887252</v>
      </c>
      <c r="CF14" s="197">
        <f t="shared" si="33"/>
        <v>13579604.886887252</v>
      </c>
      <c r="CG14" s="197">
        <f t="shared" si="33"/>
        <v>13497464.220220588</v>
      </c>
      <c r="CH14" s="197">
        <f t="shared" si="33"/>
        <v>13497464.220220588</v>
      </c>
      <c r="CI14" s="197">
        <f t="shared" si="33"/>
        <v>13497464.220220588</v>
      </c>
      <c r="CJ14" s="197">
        <f t="shared" si="33"/>
        <v>13497464.220220588</v>
      </c>
      <c r="CK14" s="197">
        <f t="shared" si="33"/>
        <v>13497464.220220588</v>
      </c>
      <c r="CL14" s="197">
        <f t="shared" si="33"/>
        <v>13415323.553553924</v>
      </c>
      <c r="CM14" s="197">
        <f t="shared" si="33"/>
        <v>13415323.553553924</v>
      </c>
      <c r="CN14" s="197">
        <f t="shared" si="33"/>
        <v>13415323.553553924</v>
      </c>
      <c r="CO14" s="197">
        <f t="shared" si="33"/>
        <v>13415323.553553924</v>
      </c>
      <c r="CP14" s="197">
        <f t="shared" si="33"/>
        <v>13333182.88688726</v>
      </c>
      <c r="CQ14" s="197">
        <f t="shared" si="33"/>
        <v>13333182.88688726</v>
      </c>
      <c r="CR14" s="197">
        <f t="shared" si="33"/>
        <v>13333182.88688726</v>
      </c>
      <c r="CS14" s="197">
        <f t="shared" si="33"/>
        <v>13333182.88688726</v>
      </c>
      <c r="CT14" s="197">
        <f t="shared" si="33"/>
        <v>13251042.220220596</v>
      </c>
      <c r="CU14" s="197">
        <f t="shared" si="33"/>
        <v>13251042.220220596</v>
      </c>
      <c r="CV14" s="197">
        <f t="shared" si="33"/>
        <v>13251042.220220596</v>
      </c>
      <c r="CW14" s="197">
        <f t="shared" si="33"/>
        <v>13251042.220220596</v>
      </c>
      <c r="CX14" s="197">
        <f t="shared" si="33"/>
        <v>13251042.220220596</v>
      </c>
      <c r="CY14" s="197">
        <f t="shared" si="33"/>
        <v>12868901.553553931</v>
      </c>
      <c r="CZ14" s="197">
        <f t="shared" si="33"/>
        <v>12868901.553553931</v>
      </c>
      <c r="DA14" s="197">
        <f t="shared" si="33"/>
        <v>12868901.553553931</v>
      </c>
      <c r="DB14" s="197">
        <f t="shared" si="33"/>
        <v>12868901.553553931</v>
      </c>
      <c r="DC14" s="197">
        <f t="shared" si="33"/>
        <v>12786760.886887267</v>
      </c>
      <c r="DD14" s="197">
        <f t="shared" si="33"/>
        <v>12786760.886887267</v>
      </c>
      <c r="DE14" s="197">
        <f t="shared" si="33"/>
        <v>12786760.886887267</v>
      </c>
      <c r="DF14" s="197">
        <f t="shared" si="33"/>
        <v>12786760.886887267</v>
      </c>
      <c r="DG14" s="197">
        <f t="shared" si="33"/>
        <v>12704620.220220603</v>
      </c>
      <c r="DH14" s="197">
        <f t="shared" si="33"/>
        <v>12704620.220220603</v>
      </c>
      <c r="DI14" s="197">
        <f t="shared" si="33"/>
        <v>12704620.220220603</v>
      </c>
      <c r="DJ14" s="197">
        <f t="shared" si="33"/>
        <v>12704620.220220603</v>
      </c>
      <c r="DK14" s="197">
        <f t="shared" si="33"/>
        <v>12622479.553553939</v>
      </c>
      <c r="DL14" s="197">
        <f t="shared" si="33"/>
        <v>12622479.553553939</v>
      </c>
      <c r="DM14" s="197">
        <f t="shared" si="33"/>
        <v>12622479.553553939</v>
      </c>
      <c r="DN14" s="197">
        <f t="shared" si="33"/>
        <v>12622479.553553939</v>
      </c>
      <c r="DO14" s="197">
        <f t="shared" si="33"/>
        <v>12622479.553553939</v>
      </c>
      <c r="DP14" s="197">
        <f t="shared" si="33"/>
        <v>12622479.553553939</v>
      </c>
      <c r="DQ14" s="197">
        <f t="shared" si="33"/>
        <v>12622479.553553939</v>
      </c>
      <c r="DR14" s="197">
        <f t="shared" si="33"/>
        <v>12622479.553553939</v>
      </c>
      <c r="DS14" s="197">
        <f t="shared" si="33"/>
        <v>12622479.553553939</v>
      </c>
      <c r="DT14" s="197">
        <f t="shared" si="33"/>
        <v>12622479.553553939</v>
      </c>
      <c r="DU14" s="197">
        <f t="shared" si="33"/>
        <v>12622479.553553939</v>
      </c>
      <c r="DV14" s="197">
        <f t="shared" si="33"/>
        <v>12622479.553553939</v>
      </c>
      <c r="DW14" s="197">
        <f t="shared" si="33"/>
        <v>12622479.553553939</v>
      </c>
      <c r="DX14" s="197">
        <f t="shared" si="33"/>
        <v>12622479.553553939</v>
      </c>
      <c r="DY14" s="197">
        <f t="shared" si="33"/>
        <v>12622479.553553939</v>
      </c>
      <c r="DZ14" s="197">
        <f t="shared" si="33"/>
        <v>12622479.553553939</v>
      </c>
      <c r="EA14" s="197">
        <f t="shared" si="33"/>
        <v>12622479.553553939</v>
      </c>
      <c r="EB14" s="197">
        <f t="shared" si="33"/>
        <v>12622479.553553939</v>
      </c>
      <c r="EC14" s="197">
        <f t="shared" si="33"/>
        <v>12622479.553553939</v>
      </c>
      <c r="ED14" s="197">
        <f t="shared" si="33"/>
        <v>12622479.553553939</v>
      </c>
      <c r="EE14" s="197">
        <f t="shared" si="33"/>
        <v>12622479.553553939</v>
      </c>
      <c r="EF14" s="197">
        <f t="shared" si="33"/>
        <v>12622479.553553939</v>
      </c>
      <c r="EG14" s="197">
        <f t="shared" ref="EG14:GR14" si="34">EG10-EG12</f>
        <v>12622479.553553939</v>
      </c>
      <c r="EH14" s="197">
        <f t="shared" si="34"/>
        <v>12622479.553553939</v>
      </c>
      <c r="EI14" s="197">
        <f t="shared" si="34"/>
        <v>12622479.553553939</v>
      </c>
      <c r="EJ14" s="197">
        <f t="shared" si="34"/>
        <v>12622479.553553939</v>
      </c>
      <c r="EK14" s="197">
        <f t="shared" si="34"/>
        <v>12622479.553553939</v>
      </c>
      <c r="EL14" s="197">
        <f t="shared" si="34"/>
        <v>12622479.553553939</v>
      </c>
      <c r="EM14" s="197">
        <f t="shared" si="34"/>
        <v>12622479.553553939</v>
      </c>
      <c r="EN14" s="197">
        <f t="shared" si="34"/>
        <v>12622479.553553939</v>
      </c>
      <c r="EO14" s="197">
        <f t="shared" si="34"/>
        <v>12622479.553553939</v>
      </c>
      <c r="EP14" s="197">
        <f t="shared" si="34"/>
        <v>12622479.553553939</v>
      </c>
      <c r="EQ14" s="197">
        <f t="shared" si="34"/>
        <v>12622479.553553939</v>
      </c>
      <c r="ER14" s="197">
        <f t="shared" si="34"/>
        <v>12622479.553553939</v>
      </c>
      <c r="ES14" s="197">
        <f t="shared" si="34"/>
        <v>12622479.553553939</v>
      </c>
      <c r="ET14" s="197">
        <f t="shared" si="34"/>
        <v>12622479.553553939</v>
      </c>
      <c r="EU14" s="197">
        <f t="shared" si="34"/>
        <v>12622479.553553939</v>
      </c>
      <c r="EV14" s="197">
        <f t="shared" si="34"/>
        <v>12622479.553553939</v>
      </c>
      <c r="EW14" s="197">
        <f t="shared" si="34"/>
        <v>12622479.553553939</v>
      </c>
      <c r="EX14" s="197">
        <f t="shared" si="34"/>
        <v>12622479.553553939</v>
      </c>
      <c r="EY14" s="197">
        <f t="shared" si="34"/>
        <v>12622479.553553939</v>
      </c>
      <c r="EZ14" s="197">
        <f t="shared" si="34"/>
        <v>12622479.553553939</v>
      </c>
      <c r="FA14" s="197">
        <f t="shared" si="34"/>
        <v>12622479.553553939</v>
      </c>
      <c r="FB14" s="197">
        <f t="shared" si="34"/>
        <v>12622479.553553939</v>
      </c>
      <c r="FC14" s="197">
        <f t="shared" si="34"/>
        <v>12622479.553553939</v>
      </c>
      <c r="FD14" s="197">
        <f t="shared" si="34"/>
        <v>12622479.553553939</v>
      </c>
      <c r="FE14" s="197">
        <f t="shared" si="34"/>
        <v>12622479.553553939</v>
      </c>
      <c r="FF14" s="197">
        <f t="shared" si="34"/>
        <v>12622479.553553939</v>
      </c>
      <c r="FG14" s="197">
        <f t="shared" si="34"/>
        <v>12622479.553553939</v>
      </c>
      <c r="FH14" s="197">
        <f t="shared" si="34"/>
        <v>12622479.553553939</v>
      </c>
      <c r="FI14" s="197">
        <f t="shared" si="34"/>
        <v>12622479.553553939</v>
      </c>
      <c r="FJ14" s="197">
        <f t="shared" si="34"/>
        <v>12622479.553553939</v>
      </c>
      <c r="FK14" s="197">
        <f t="shared" si="34"/>
        <v>12622479.553553939</v>
      </c>
      <c r="FL14" s="197">
        <f t="shared" si="34"/>
        <v>12622479.553553939</v>
      </c>
      <c r="FM14" s="197">
        <f t="shared" si="34"/>
        <v>12622479.553553939</v>
      </c>
      <c r="FN14" s="197">
        <f t="shared" si="34"/>
        <v>12622479.553553939</v>
      </c>
      <c r="FO14" s="197">
        <f t="shared" si="34"/>
        <v>12622479.553553939</v>
      </c>
      <c r="FP14" s="197">
        <f t="shared" si="34"/>
        <v>12622479.553553939</v>
      </c>
      <c r="FQ14" s="197">
        <f t="shared" si="34"/>
        <v>12622479.553553939</v>
      </c>
      <c r="FR14" s="197">
        <f t="shared" si="34"/>
        <v>12622479.553553939</v>
      </c>
      <c r="FS14" s="197">
        <f t="shared" si="34"/>
        <v>12622479.553553939</v>
      </c>
      <c r="FT14" s="197">
        <f t="shared" si="34"/>
        <v>12622479.553553939</v>
      </c>
      <c r="FU14" s="197">
        <f t="shared" si="34"/>
        <v>12622479.553553939</v>
      </c>
      <c r="FV14" s="197">
        <f t="shared" si="34"/>
        <v>12622479.553553939</v>
      </c>
      <c r="FW14" s="197">
        <f t="shared" si="34"/>
        <v>12622479.553553939</v>
      </c>
      <c r="FX14" s="197">
        <f t="shared" si="34"/>
        <v>12622479.553553939</v>
      </c>
      <c r="FY14" s="197">
        <f t="shared" si="34"/>
        <v>12622479.553553939</v>
      </c>
      <c r="FZ14" s="197">
        <f t="shared" si="34"/>
        <v>12622479.553553939</v>
      </c>
      <c r="GA14" s="197">
        <f t="shared" si="34"/>
        <v>12622479.553553939</v>
      </c>
      <c r="GB14" s="197">
        <f t="shared" si="34"/>
        <v>12622479.553553939</v>
      </c>
      <c r="GC14" s="197">
        <f t="shared" si="34"/>
        <v>12622479.553553939</v>
      </c>
      <c r="GD14" s="197">
        <f t="shared" si="34"/>
        <v>12622479.553553939</v>
      </c>
      <c r="GE14" s="197">
        <f t="shared" si="34"/>
        <v>12622479.553553939</v>
      </c>
      <c r="GF14" s="197">
        <f t="shared" si="34"/>
        <v>12622479.553553939</v>
      </c>
      <c r="GG14" s="197">
        <f t="shared" si="34"/>
        <v>12622479.553553939</v>
      </c>
      <c r="GH14" s="197">
        <f t="shared" si="34"/>
        <v>12622479.553553939</v>
      </c>
      <c r="GI14" s="197">
        <f t="shared" si="34"/>
        <v>12622479.553553939</v>
      </c>
      <c r="GJ14" s="197">
        <f t="shared" si="34"/>
        <v>12622479.553553939</v>
      </c>
      <c r="GK14" s="197">
        <f t="shared" si="34"/>
        <v>12622479.553553939</v>
      </c>
      <c r="GL14" s="197">
        <f t="shared" si="34"/>
        <v>12622479.553553939</v>
      </c>
      <c r="GM14" s="197">
        <f t="shared" si="34"/>
        <v>12622479.553553939</v>
      </c>
      <c r="GN14" s="197">
        <f t="shared" si="34"/>
        <v>12622479.553553939</v>
      </c>
      <c r="GO14" s="197">
        <f t="shared" si="34"/>
        <v>12622479.553553939</v>
      </c>
      <c r="GP14" s="197">
        <f t="shared" si="34"/>
        <v>12622479.553553939</v>
      </c>
      <c r="GQ14" s="197">
        <f t="shared" si="34"/>
        <v>12622479.553553939</v>
      </c>
      <c r="GR14" s="197">
        <f t="shared" si="34"/>
        <v>12622479.553553939</v>
      </c>
      <c r="GS14" s="197">
        <f t="shared" ref="GS14:JD14" si="35">GS10-GS12</f>
        <v>12622479.553553939</v>
      </c>
      <c r="GT14" s="197">
        <f t="shared" si="35"/>
        <v>12622479.553553939</v>
      </c>
      <c r="GU14" s="197">
        <f t="shared" si="35"/>
        <v>12622479.553553939</v>
      </c>
      <c r="GV14" s="197">
        <f t="shared" si="35"/>
        <v>12622479.553553939</v>
      </c>
      <c r="GW14" s="197">
        <f t="shared" si="35"/>
        <v>12622479.553553939</v>
      </c>
      <c r="GX14" s="197">
        <f t="shared" si="35"/>
        <v>12622479.553553939</v>
      </c>
      <c r="GY14" s="197">
        <f t="shared" si="35"/>
        <v>12622479.553553939</v>
      </c>
      <c r="GZ14" s="197">
        <f t="shared" si="35"/>
        <v>12622479.553553939</v>
      </c>
      <c r="HA14" s="197">
        <f t="shared" si="35"/>
        <v>12622479.553553939</v>
      </c>
      <c r="HB14" s="197">
        <f t="shared" si="35"/>
        <v>12622479.553553939</v>
      </c>
      <c r="HC14" s="197">
        <f t="shared" si="35"/>
        <v>12622479.553553939</v>
      </c>
      <c r="HD14" s="197">
        <f t="shared" si="35"/>
        <v>12622479.553553939</v>
      </c>
      <c r="HE14" s="197">
        <f t="shared" si="35"/>
        <v>12622479.553553939</v>
      </c>
      <c r="HF14" s="197">
        <f t="shared" si="35"/>
        <v>12622479.553553939</v>
      </c>
      <c r="HG14" s="197">
        <f t="shared" si="35"/>
        <v>12622479.553553939</v>
      </c>
      <c r="HH14" s="197">
        <f t="shared" si="35"/>
        <v>12622479.553553939</v>
      </c>
      <c r="HI14" s="197">
        <f t="shared" si="35"/>
        <v>12622479.553553939</v>
      </c>
      <c r="HJ14" s="197">
        <f t="shared" si="35"/>
        <v>12622479.553553939</v>
      </c>
      <c r="HK14" s="197">
        <f t="shared" si="35"/>
        <v>12622479.553553939</v>
      </c>
      <c r="HL14" s="197">
        <f t="shared" si="35"/>
        <v>12622479.553553939</v>
      </c>
      <c r="HM14" s="197">
        <f t="shared" si="35"/>
        <v>12622479.553553939</v>
      </c>
      <c r="HN14" s="197">
        <f t="shared" si="35"/>
        <v>12622479.553553939</v>
      </c>
      <c r="HO14" s="197">
        <f t="shared" si="35"/>
        <v>12622479.553553939</v>
      </c>
      <c r="HP14" s="197">
        <f t="shared" si="35"/>
        <v>12622479.553553939</v>
      </c>
      <c r="HQ14" s="197">
        <f t="shared" si="35"/>
        <v>12622479.553553939</v>
      </c>
      <c r="HR14" s="197">
        <f t="shared" si="35"/>
        <v>12622479.553553939</v>
      </c>
      <c r="HS14" s="197">
        <f t="shared" si="35"/>
        <v>12622479.553553939</v>
      </c>
      <c r="HT14" s="197">
        <f t="shared" si="35"/>
        <v>12622479.553553939</v>
      </c>
      <c r="HU14" s="197">
        <f t="shared" si="35"/>
        <v>12622479.553553939</v>
      </c>
      <c r="HV14" s="197">
        <f t="shared" si="35"/>
        <v>12622479.553553939</v>
      </c>
      <c r="HW14" s="197">
        <f t="shared" si="35"/>
        <v>12622479.553553939</v>
      </c>
      <c r="HX14" s="197">
        <f t="shared" si="35"/>
        <v>12622479.553553939</v>
      </c>
      <c r="HY14" s="197">
        <f t="shared" si="35"/>
        <v>12622479.553553939</v>
      </c>
      <c r="HZ14" s="197">
        <f t="shared" si="35"/>
        <v>12622479.553553939</v>
      </c>
      <c r="IA14" s="197">
        <f t="shared" si="35"/>
        <v>12622479.553553939</v>
      </c>
      <c r="IB14" s="197">
        <f t="shared" si="35"/>
        <v>12622479.553553939</v>
      </c>
      <c r="IC14" s="197">
        <f t="shared" si="35"/>
        <v>12622479.553553939</v>
      </c>
      <c r="ID14" s="197">
        <f t="shared" si="35"/>
        <v>12622479.553553939</v>
      </c>
      <c r="IE14" s="197">
        <f t="shared" si="35"/>
        <v>12622479.553553939</v>
      </c>
      <c r="IF14" s="197">
        <f t="shared" si="35"/>
        <v>12622479.553553939</v>
      </c>
      <c r="IG14" s="197">
        <f t="shared" si="35"/>
        <v>12622479.553553939</v>
      </c>
      <c r="IH14" s="197">
        <f t="shared" si="35"/>
        <v>12622479.553553939</v>
      </c>
      <c r="II14" s="197">
        <f t="shared" si="35"/>
        <v>12622479.553553939</v>
      </c>
      <c r="IJ14" s="197">
        <f t="shared" si="35"/>
        <v>12622479.553553939</v>
      </c>
      <c r="IK14" s="197">
        <f t="shared" si="35"/>
        <v>12622479.553553939</v>
      </c>
      <c r="IL14" s="197">
        <f t="shared" si="35"/>
        <v>12622479.553553939</v>
      </c>
      <c r="IM14" s="197">
        <f t="shared" si="35"/>
        <v>12622479.553553939</v>
      </c>
      <c r="IN14" s="197">
        <f t="shared" si="35"/>
        <v>12622479.553553939</v>
      </c>
      <c r="IO14" s="197">
        <f t="shared" si="35"/>
        <v>12622479.553553939</v>
      </c>
      <c r="IP14" s="197">
        <f t="shared" si="35"/>
        <v>12622479.553553939</v>
      </c>
      <c r="IQ14" s="197">
        <f t="shared" si="35"/>
        <v>12622479.553553939</v>
      </c>
      <c r="IR14" s="197">
        <f t="shared" si="35"/>
        <v>12622479.553553939</v>
      </c>
      <c r="IS14" s="197">
        <f t="shared" si="35"/>
        <v>12622479.553553939</v>
      </c>
      <c r="IT14" s="197">
        <f t="shared" si="35"/>
        <v>12622479.553553939</v>
      </c>
      <c r="IU14" s="197">
        <f t="shared" si="35"/>
        <v>12622479.553553939</v>
      </c>
      <c r="IV14" s="197">
        <f t="shared" si="35"/>
        <v>12622479.553553939</v>
      </c>
      <c r="IW14" s="197">
        <f t="shared" si="35"/>
        <v>12622479.553553939</v>
      </c>
      <c r="IX14" s="197">
        <f t="shared" si="35"/>
        <v>12622479.553553939</v>
      </c>
      <c r="IY14" s="197">
        <f t="shared" si="35"/>
        <v>12622479.553553939</v>
      </c>
      <c r="IZ14" s="197">
        <f t="shared" si="35"/>
        <v>12622479.553553939</v>
      </c>
      <c r="JA14" s="197">
        <f t="shared" si="35"/>
        <v>12622479.553553939</v>
      </c>
      <c r="JB14" s="197">
        <f t="shared" si="35"/>
        <v>12622479.553553939</v>
      </c>
      <c r="JC14" s="197">
        <f t="shared" si="35"/>
        <v>12622479.553553939</v>
      </c>
      <c r="JD14" s="197">
        <f t="shared" si="35"/>
        <v>12622479.553553939</v>
      </c>
      <c r="JE14" s="197">
        <f t="shared" ref="JE14:LD14" si="36">JE10-JE12</f>
        <v>12622479.553553939</v>
      </c>
      <c r="JF14" s="197">
        <f t="shared" si="36"/>
        <v>12622479.553553939</v>
      </c>
      <c r="JG14" s="197">
        <f t="shared" si="36"/>
        <v>12622479.553553939</v>
      </c>
      <c r="JH14" s="197">
        <f t="shared" si="36"/>
        <v>12622479.553553939</v>
      </c>
      <c r="JI14" s="197">
        <f t="shared" si="36"/>
        <v>12622479.553553939</v>
      </c>
      <c r="JJ14" s="197">
        <f t="shared" si="36"/>
        <v>12622479.553553939</v>
      </c>
      <c r="JK14" s="197">
        <f t="shared" si="36"/>
        <v>12622479.553553939</v>
      </c>
      <c r="JL14" s="197">
        <f t="shared" si="36"/>
        <v>12622479.553553939</v>
      </c>
      <c r="JM14" s="197">
        <f t="shared" si="36"/>
        <v>12622479.553553939</v>
      </c>
      <c r="JN14" s="197">
        <f t="shared" si="36"/>
        <v>12622479.553553939</v>
      </c>
      <c r="JO14" s="197">
        <f t="shared" si="36"/>
        <v>12622479.553553939</v>
      </c>
      <c r="JP14" s="197">
        <f t="shared" si="36"/>
        <v>12622479.553553939</v>
      </c>
      <c r="JQ14" s="197">
        <f t="shared" si="36"/>
        <v>12622479.553553939</v>
      </c>
      <c r="JR14" s="197">
        <f t="shared" si="36"/>
        <v>12622479.553553939</v>
      </c>
      <c r="JS14" s="197">
        <f t="shared" si="36"/>
        <v>12622479.553553939</v>
      </c>
      <c r="JT14" s="197">
        <f t="shared" si="36"/>
        <v>12622479.553553939</v>
      </c>
      <c r="JU14" s="197">
        <f t="shared" si="36"/>
        <v>12622479.553553939</v>
      </c>
      <c r="JV14" s="197">
        <f t="shared" si="36"/>
        <v>12622479.553553939</v>
      </c>
      <c r="JW14" s="197">
        <f t="shared" si="36"/>
        <v>12622479.553553939</v>
      </c>
      <c r="JX14" s="197">
        <f t="shared" si="36"/>
        <v>12622479.553553939</v>
      </c>
      <c r="JY14" s="197">
        <f t="shared" si="36"/>
        <v>12622479.553553939</v>
      </c>
      <c r="JZ14" s="197">
        <f t="shared" si="36"/>
        <v>12622479.553553939</v>
      </c>
      <c r="KA14" s="197">
        <f t="shared" si="36"/>
        <v>12622479.553553939</v>
      </c>
      <c r="KB14" s="197">
        <f t="shared" si="36"/>
        <v>12622479.553553939</v>
      </c>
      <c r="KC14" s="197">
        <f t="shared" si="36"/>
        <v>12622479.553553939</v>
      </c>
      <c r="KD14" s="197">
        <f t="shared" si="36"/>
        <v>12622479.553553939</v>
      </c>
      <c r="KE14" s="197">
        <f t="shared" si="36"/>
        <v>12622479.553553939</v>
      </c>
      <c r="KF14" s="197">
        <f t="shared" si="36"/>
        <v>12622479.553553939</v>
      </c>
      <c r="KG14" s="197">
        <f t="shared" si="36"/>
        <v>12622479.553553939</v>
      </c>
      <c r="KH14" s="197">
        <f t="shared" si="36"/>
        <v>12622479.553553939</v>
      </c>
      <c r="KI14" s="197">
        <f t="shared" si="36"/>
        <v>12622479.553553939</v>
      </c>
      <c r="KJ14" s="197">
        <f t="shared" si="36"/>
        <v>12622479.553553939</v>
      </c>
      <c r="KK14" s="197">
        <f t="shared" si="36"/>
        <v>12622479.553553939</v>
      </c>
      <c r="KL14" s="197">
        <f t="shared" si="36"/>
        <v>12622479.553553939</v>
      </c>
      <c r="KM14" s="197">
        <f t="shared" si="36"/>
        <v>12622479.553553939</v>
      </c>
      <c r="KN14" s="197">
        <f t="shared" si="36"/>
        <v>12622479.553553939</v>
      </c>
      <c r="KO14" s="197">
        <f t="shared" si="36"/>
        <v>12622479.553553939</v>
      </c>
      <c r="KP14" s="197">
        <f t="shared" si="36"/>
        <v>12622479.553553939</v>
      </c>
      <c r="KQ14" s="197">
        <f t="shared" si="36"/>
        <v>12622479.553553939</v>
      </c>
      <c r="KR14" s="197">
        <f t="shared" si="36"/>
        <v>12622479.553553939</v>
      </c>
      <c r="KS14" s="197">
        <f t="shared" si="36"/>
        <v>12622479.553553939</v>
      </c>
      <c r="KT14" s="197">
        <f t="shared" si="36"/>
        <v>12622479.553553939</v>
      </c>
      <c r="KU14" s="197">
        <f t="shared" si="36"/>
        <v>12622479.553553939</v>
      </c>
      <c r="KV14" s="197">
        <f t="shared" si="36"/>
        <v>12622479.553553939</v>
      </c>
      <c r="KW14" s="197">
        <f t="shared" si="36"/>
        <v>12622479.553553939</v>
      </c>
      <c r="KX14" s="197">
        <f t="shared" si="36"/>
        <v>12622479.553553939</v>
      </c>
      <c r="KY14" s="197">
        <f t="shared" si="36"/>
        <v>12622479.553553939</v>
      </c>
      <c r="KZ14" s="197">
        <f t="shared" si="36"/>
        <v>12622479.553553939</v>
      </c>
      <c r="LA14" s="197">
        <f t="shared" si="36"/>
        <v>12622479.553553939</v>
      </c>
      <c r="LB14" s="197">
        <f t="shared" si="36"/>
        <v>12622479.553553939</v>
      </c>
      <c r="LC14" s="197">
        <f t="shared" si="36"/>
        <v>12622479.553553939</v>
      </c>
      <c r="LD14" s="197">
        <f t="shared" si="36"/>
        <v>12622479.553553939</v>
      </c>
    </row>
    <row r="15" spans="1:794" s="181" customFormat="1" x14ac:dyDescent="0.25"/>
    <row r="16" spans="1:794" s="181" customFormat="1" x14ac:dyDescent="0.25">
      <c r="C16" s="183" t="s">
        <v>300</v>
      </c>
      <c r="D16" s="183" t="s">
        <v>300</v>
      </c>
    </row>
    <row r="17" spans="1:316" x14ac:dyDescent="0.25">
      <c r="A17" s="945"/>
      <c r="B17" s="185" t="s">
        <v>760</v>
      </c>
      <c r="C17" s="363">
        <f>C3-D17</f>
        <v>194168.72705621272</v>
      </c>
      <c r="D17" s="186">
        <f>SUM(F17:LD17)</f>
        <v>59800831.272943787</v>
      </c>
      <c r="E17" s="196"/>
      <c r="F17" s="204">
        <f>SUMIFS('Expenditure Breakdown'!$U$6:$U$415, 'Expenditure Breakdown'!$T$6:$T$415, "&gt;="&amp;F1,'Expenditure Breakdown'!$T$6:$T$415, "&lt;"&amp;G1)</f>
        <v>0</v>
      </c>
      <c r="G17" s="204">
        <f>SUMIFS('Expenditure Breakdown'!$U$6:$U$415, 'Expenditure Breakdown'!$T$6:$T$415, "&gt;="&amp;G1,'Expenditure Breakdown'!$T$6:$T$415, "&lt;"&amp;H1)</f>
        <v>0</v>
      </c>
      <c r="H17" s="204">
        <f>SUMIFS('Expenditure Breakdown'!$U$6:$U$415, 'Expenditure Breakdown'!$T$6:$T$415, "&gt;="&amp;H1,'Expenditure Breakdown'!$T$6:$T$415, "&lt;"&amp;I1)</f>
        <v>0</v>
      </c>
      <c r="I17" s="204">
        <f>SUMIFS('Expenditure Breakdown'!$U$6:$U$415, 'Expenditure Breakdown'!$T$6:$T$415, "&gt;="&amp;I1,'Expenditure Breakdown'!$T$6:$T$415, "&lt;"&amp;J1)</f>
        <v>0</v>
      </c>
      <c r="J17" s="204">
        <f>SUMIFS('Expenditure Breakdown'!$U$6:$U$415, 'Expenditure Breakdown'!$T$6:$T$415, "&gt;="&amp;J1,'Expenditure Breakdown'!$T$6:$T$415, "&lt;"&amp;K1)</f>
        <v>0</v>
      </c>
      <c r="K17" s="204">
        <f>SUMIFS('Expenditure Breakdown'!$U$6:$U$415, 'Expenditure Breakdown'!$T$6:$T$415, "&gt;="&amp;K1,'Expenditure Breakdown'!$T$6:$T$415, "&lt;"&amp;L1)</f>
        <v>0</v>
      </c>
      <c r="L17" s="204">
        <f>SUMIFS('Expenditure Breakdown'!$U$6:$U$415, 'Expenditure Breakdown'!$T$6:$T$415, "&gt;="&amp;L1,'Expenditure Breakdown'!$T$6:$T$415, "&lt;"&amp;M1)</f>
        <v>0</v>
      </c>
      <c r="M17" s="204">
        <f>SUMIFS('Expenditure Breakdown'!$U$6:$U$415, 'Expenditure Breakdown'!$T$6:$T$415, "&gt;="&amp;M1,'Expenditure Breakdown'!$T$6:$T$415, "&lt;"&amp;N1)</f>
        <v>0</v>
      </c>
      <c r="N17" s="204">
        <f>SUMIFS('Expenditure Breakdown'!$U$6:$U$415, 'Expenditure Breakdown'!$T$6:$T$415, "&gt;="&amp;N1,'Expenditure Breakdown'!$T$6:$T$415, "&lt;"&amp;O1)</f>
        <v>0</v>
      </c>
      <c r="O17" s="204">
        <f>SUMIFS('Expenditure Breakdown'!$U$6:$U$415, 'Expenditure Breakdown'!$T$6:$T$415, "&gt;="&amp;O1,'Expenditure Breakdown'!$T$6:$T$415, "&lt;"&amp;P1)</f>
        <v>0</v>
      </c>
      <c r="P17" s="204">
        <f>SUMIFS('Expenditure Breakdown'!$U$6:$U$415, 'Expenditure Breakdown'!$T$6:$T$415, "&gt;="&amp;P1,'Expenditure Breakdown'!$T$6:$T$415, "&lt;"&amp;Q1)</f>
        <v>0</v>
      </c>
      <c r="Q17" s="204">
        <f>SUMIFS('Expenditure Breakdown'!$U$6:$U$415, 'Expenditure Breakdown'!$T$6:$T$415, "&gt;="&amp;Q1,'Expenditure Breakdown'!$T$6:$T$415, "&lt;"&amp;R1)</f>
        <v>0</v>
      </c>
      <c r="R17" s="204">
        <f>SUMIFS('Expenditure Breakdown'!$U$6:$U$415, 'Expenditure Breakdown'!$T$6:$T$415, "&gt;="&amp;R1,'Expenditure Breakdown'!$T$6:$T$415, "&lt;"&amp;S1)</f>
        <v>0</v>
      </c>
      <c r="S17" s="204">
        <f>SUMIFS('Expenditure Breakdown'!$U$6:$U$415, 'Expenditure Breakdown'!$T$6:$T$415, "&gt;="&amp;S1,'Expenditure Breakdown'!$T$6:$T$415, "&lt;"&amp;T1)</f>
        <v>0</v>
      </c>
      <c r="T17" s="204">
        <f>SUMIFS('Expenditure Breakdown'!$U$6:$U$415, 'Expenditure Breakdown'!$T$6:$T$415, "&gt;="&amp;T1,'Expenditure Breakdown'!$T$6:$T$415, "&lt;"&amp;U1)</f>
        <v>0</v>
      </c>
      <c r="U17" s="204">
        <f>SUMIFS('Expenditure Breakdown'!$U$6:$U$415, 'Expenditure Breakdown'!$T$6:$T$415, "&gt;="&amp;U1,'Expenditure Breakdown'!$T$6:$T$415, "&lt;"&amp;V1)</f>
        <v>0</v>
      </c>
      <c r="V17" s="204">
        <f>SUMIFS('Expenditure Breakdown'!$U$6:$U$415, 'Expenditure Breakdown'!$T$6:$T$415, "&gt;="&amp;V1,'Expenditure Breakdown'!$T$6:$T$415, "&lt;"&amp;W1)</f>
        <v>0</v>
      </c>
      <c r="W17" s="204">
        <f>SUMIFS('Expenditure Breakdown'!$U$6:$U$415, 'Expenditure Breakdown'!$T$6:$T$415, "&gt;="&amp;W1,'Expenditure Breakdown'!$T$6:$T$415, "&lt;"&amp;X1)</f>
        <v>0</v>
      </c>
      <c r="X17" s="204">
        <f>SUMIFS('Expenditure Breakdown'!$U$6:$U$415, 'Expenditure Breakdown'!$T$6:$T$415, "&gt;="&amp;X1,'Expenditure Breakdown'!$T$6:$T$415, "&lt;"&amp;Y1)</f>
        <v>0</v>
      </c>
      <c r="Y17" s="204">
        <f>SUMIFS('Expenditure Breakdown'!$U$6:$U$415, 'Expenditure Breakdown'!$T$6:$T$415, "&gt;="&amp;Y1,'Expenditure Breakdown'!$T$6:$T$415, "&lt;"&amp;Z1)</f>
        <v>0</v>
      </c>
      <c r="Z17" s="204">
        <f>SUMIFS('Expenditure Breakdown'!$U$6:$U$415, 'Expenditure Breakdown'!$T$6:$T$415, "&gt;="&amp;Z1,'Expenditure Breakdown'!$T$6:$T$415, "&lt;"&amp;AA1)</f>
        <v>0</v>
      </c>
      <c r="AA17" s="204">
        <f>SUMIFS('Expenditure Breakdown'!$U$6:$U$415, 'Expenditure Breakdown'!$T$6:$T$415, "&gt;="&amp;AA1,'Expenditure Breakdown'!$T$6:$T$415, "&lt;"&amp;AB1)</f>
        <v>0</v>
      </c>
      <c r="AB17" s="204">
        <f>SUMIFS('Expenditure Breakdown'!$U$6:$U$415, 'Expenditure Breakdown'!$T$6:$T$415, "&gt;="&amp;AB1,'Expenditure Breakdown'!$T$6:$T$415, "&lt;"&amp;AC1)</f>
        <v>0</v>
      </c>
      <c r="AC17" s="204">
        <f>SUMIFS('Expenditure Breakdown'!$U$6:$U$415, 'Expenditure Breakdown'!$T$6:$T$415, "&gt;="&amp;AC1,'Expenditure Breakdown'!$T$6:$T$415, "&lt;"&amp;AD1)</f>
        <v>8815197.7094932552</v>
      </c>
      <c r="AD17" s="204">
        <f>SUMIFS('Expenditure Breakdown'!$U$6:$U$415, 'Expenditure Breakdown'!$T$6:$T$415, "&gt;="&amp;AD1,'Expenditure Breakdown'!$T$6:$T$415, "&lt;"&amp;AE1)</f>
        <v>0</v>
      </c>
      <c r="AE17" s="204">
        <f>SUMIFS('Expenditure Breakdown'!$U$6:$U$415, 'Expenditure Breakdown'!$T$6:$T$415, "&gt;="&amp;AE1,'Expenditure Breakdown'!$T$6:$T$415, "&lt;"&amp;AF1)</f>
        <v>0</v>
      </c>
      <c r="AF17" s="204">
        <f>SUMIFS('Expenditure Breakdown'!$U$6:$U$415, 'Expenditure Breakdown'!$T$6:$T$415, "&gt;="&amp;AF1,'Expenditure Breakdown'!$T$6:$T$415, "&lt;"&amp;AG1)</f>
        <v>0</v>
      </c>
      <c r="AG17" s="204">
        <f>SUMIFS('Expenditure Breakdown'!$U$6:$U$415, 'Expenditure Breakdown'!$T$6:$T$415, "&gt;="&amp;AG1,'Expenditure Breakdown'!$T$6:$T$415, "&lt;"&amp;AH1)</f>
        <v>25270274.790430568</v>
      </c>
      <c r="AH17" s="204">
        <f>SUMIFS('Expenditure Breakdown'!$U$6:$U$415, 'Expenditure Breakdown'!$T$6:$T$415, "&gt;="&amp;AH1,'Expenditure Breakdown'!$T$6:$T$415, "&lt;"&amp;AI1)</f>
        <v>0</v>
      </c>
      <c r="AI17" s="204">
        <f>SUMIFS('Expenditure Breakdown'!$U$6:$U$415, 'Expenditure Breakdown'!$T$6:$T$415, "&gt;="&amp;AI1,'Expenditure Breakdown'!$T$6:$T$415, "&lt;"&amp;AJ1)</f>
        <v>0</v>
      </c>
      <c r="AJ17" s="204">
        <f>SUMIFS('Expenditure Breakdown'!$U$6:$U$415, 'Expenditure Breakdown'!$T$6:$T$415, "&gt;="&amp;AJ1,'Expenditure Breakdown'!$T$6:$T$415, "&lt;"&amp;AK1)</f>
        <v>0</v>
      </c>
      <c r="AK17" s="204">
        <f>SUMIFS('Expenditure Breakdown'!$U$6:$U$415, 'Expenditure Breakdown'!$T$6:$T$415, "&gt;="&amp;AK1,'Expenditure Breakdown'!$T$6:$T$415, "&lt;"&amp;AL1)</f>
        <v>12183550.850430239</v>
      </c>
      <c r="AL17" s="204">
        <f>SUMIFS('Expenditure Breakdown'!$U$6:$U$415, 'Expenditure Breakdown'!$T$6:$T$415, "&gt;="&amp;AL1,'Expenditure Breakdown'!$T$6:$T$415, "&lt;"&amp;AM1)</f>
        <v>0</v>
      </c>
      <c r="AM17" s="204">
        <f>SUMIFS('Expenditure Breakdown'!$U$6:$U$415, 'Expenditure Breakdown'!$T$6:$T$415, "&gt;="&amp;AM1,'Expenditure Breakdown'!$T$6:$T$415, "&lt;"&amp;AN1)</f>
        <v>0</v>
      </c>
      <c r="AN17" s="204">
        <f>SUMIFS('Expenditure Breakdown'!$U$6:$U$415, 'Expenditure Breakdown'!$T$6:$T$415, "&gt;="&amp;AN1,'Expenditure Breakdown'!$T$6:$T$415, "&lt;"&amp;AO1)</f>
        <v>0</v>
      </c>
      <c r="AO17" s="204">
        <f>SUMIFS('Expenditure Breakdown'!$U$6:$U$415, 'Expenditure Breakdown'!$T$6:$T$415, "&gt;="&amp;AO1,'Expenditure Breakdown'!$T$6:$T$415, "&lt;"&amp;AP1)</f>
        <v>0</v>
      </c>
      <c r="AP17" s="204">
        <f>SUMIFS('Expenditure Breakdown'!$U$6:$U$415, 'Expenditure Breakdown'!$T$6:$T$415, "&gt;="&amp;AP1,'Expenditure Breakdown'!$T$6:$T$415, "&lt;"&amp;AQ1)</f>
        <v>4759.0838001852389</v>
      </c>
      <c r="AQ17" s="204">
        <f>SUMIFS('Expenditure Breakdown'!$U$6:$U$415, 'Expenditure Breakdown'!$T$6:$T$415, "&gt;="&amp;AQ1,'Expenditure Breakdown'!$T$6:$T$415, "&lt;"&amp;AR1)</f>
        <v>0</v>
      </c>
      <c r="AR17" s="204">
        <f>SUMIFS('Expenditure Breakdown'!$U$6:$U$415, 'Expenditure Breakdown'!$T$6:$T$415, "&gt;="&amp;AR1,'Expenditure Breakdown'!$T$6:$T$415, "&lt;"&amp;AS1)</f>
        <v>0</v>
      </c>
      <c r="AS17" s="204">
        <f>SUMIFS('Expenditure Breakdown'!$U$6:$U$415, 'Expenditure Breakdown'!$T$6:$T$415, "&gt;="&amp;AS1,'Expenditure Breakdown'!$T$6:$T$415, "&lt;"&amp;AT1)</f>
        <v>0</v>
      </c>
      <c r="AT17" s="204">
        <f>SUMIFS('Expenditure Breakdown'!$U$6:$U$415, 'Expenditure Breakdown'!$T$6:$T$415, "&gt;="&amp;AT1,'Expenditure Breakdown'!$T$6:$T$415, "&lt;"&amp;AU1)</f>
        <v>71787.336561695745</v>
      </c>
      <c r="AU17" s="204">
        <f>SUMIFS('Expenditure Breakdown'!$U$6:$U$415, 'Expenditure Breakdown'!$T$6:$T$415, "&gt;="&amp;AU1,'Expenditure Breakdown'!$T$6:$T$415, "&lt;"&amp;AV1)</f>
        <v>0</v>
      </c>
      <c r="AV17" s="204">
        <f>SUMIFS('Expenditure Breakdown'!$U$6:$U$415, 'Expenditure Breakdown'!$T$6:$T$415, "&gt;="&amp;AV1,'Expenditure Breakdown'!$T$6:$T$415, "&lt;"&amp;AW1)</f>
        <v>0</v>
      </c>
      <c r="AW17" s="204">
        <f>SUMIFS('Expenditure Breakdown'!$U$6:$U$415, 'Expenditure Breakdown'!$T$6:$T$415, "&gt;="&amp;AW1,'Expenditure Breakdown'!$T$6:$T$415, "&lt;"&amp;AX1)</f>
        <v>0</v>
      </c>
      <c r="AX17" s="204">
        <f>SUMIFS('Expenditure Breakdown'!$U$6:$U$415, 'Expenditure Breakdown'!$T$6:$T$415, "&gt;="&amp;AX1,'Expenditure Breakdown'!$T$6:$T$415, "&lt;"&amp;AY1)</f>
        <v>11651405.675580088</v>
      </c>
      <c r="AY17" s="204">
        <f>SUMIFS('Expenditure Breakdown'!$U$6:$U$415, 'Expenditure Breakdown'!$T$6:$T$415, "&gt;="&amp;AY1,'Expenditure Breakdown'!$T$6:$T$415, "&lt;"&amp;AZ1)</f>
        <v>0</v>
      </c>
      <c r="AZ17" s="204">
        <f>SUMIFS('Expenditure Breakdown'!$U$6:$U$415, 'Expenditure Breakdown'!$T$6:$T$415, "&gt;="&amp;AZ1,'Expenditure Breakdown'!$T$6:$T$415, "&lt;"&amp;BA1)</f>
        <v>0</v>
      </c>
      <c r="BA17" s="204">
        <f>SUMIFS('Expenditure Breakdown'!$U$6:$U$415, 'Expenditure Breakdown'!$T$6:$T$415, "&gt;="&amp;BA1,'Expenditure Breakdown'!$T$6:$T$415, "&lt;"&amp;BB1)</f>
        <v>0</v>
      </c>
      <c r="BB17" s="204">
        <f>SUMIFS('Expenditure Breakdown'!$U$6:$U$415, 'Expenditure Breakdown'!$T$6:$T$415, "&gt;="&amp;BB1,'Expenditure Breakdown'!$T$6:$T$415, "&lt;"&amp;BC1)</f>
        <v>0</v>
      </c>
      <c r="BC17" s="204">
        <f>SUMIFS('Expenditure Breakdown'!$U$6:$U$415, 'Expenditure Breakdown'!$T$6:$T$415, "&gt;="&amp;BC1,'Expenditure Breakdown'!$T$6:$T$415, "&lt;"&amp;BD1)</f>
        <v>22058.315908169272</v>
      </c>
      <c r="BD17" s="204">
        <f>SUMIFS('Expenditure Breakdown'!$U$6:$U$415, 'Expenditure Breakdown'!$T$6:$T$415, "&gt;="&amp;BD1,'Expenditure Breakdown'!$T$6:$T$415, "&lt;"&amp;BE1)</f>
        <v>0</v>
      </c>
      <c r="BE17" s="204">
        <f>SUMIFS('Expenditure Breakdown'!$U$6:$U$415, 'Expenditure Breakdown'!$T$6:$T$415, "&gt;="&amp;BE1,'Expenditure Breakdown'!$T$6:$T$415, "&lt;"&amp;BF1)</f>
        <v>0</v>
      </c>
      <c r="BF17" s="204">
        <f>SUMIFS('Expenditure Breakdown'!$U$6:$U$415, 'Expenditure Breakdown'!$T$6:$T$415, "&gt;="&amp;BF1,'Expenditure Breakdown'!$T$6:$T$415, "&lt;"&amp;BG1)</f>
        <v>0</v>
      </c>
      <c r="BG17" s="204">
        <f>SUMIFS('Expenditure Breakdown'!$U$6:$U$415, 'Expenditure Breakdown'!$T$6:$T$415, "&gt;="&amp;BG1,'Expenditure Breakdown'!$T$6:$T$415, "&lt;"&amp;BH1)</f>
        <v>673630.87507434597</v>
      </c>
      <c r="BH17" s="204">
        <f>SUMIFS('Expenditure Breakdown'!$U$6:$U$415, 'Expenditure Breakdown'!$T$6:$T$415, "&gt;="&amp;BH1,'Expenditure Breakdown'!$T$6:$T$415, "&lt;"&amp;BI1)</f>
        <v>0</v>
      </c>
      <c r="BI17" s="204">
        <f>SUMIFS('Expenditure Breakdown'!$U$6:$U$415, 'Expenditure Breakdown'!$T$6:$T$415, "&gt;="&amp;BI1,'Expenditure Breakdown'!$T$6:$T$415, "&lt;"&amp;BJ1)</f>
        <v>0</v>
      </c>
      <c r="BJ17" s="204">
        <f>SUMIFS('Expenditure Breakdown'!$U$6:$U$415, 'Expenditure Breakdown'!$T$6:$T$415, "&gt;="&amp;BJ1,'Expenditure Breakdown'!$T$6:$T$415, "&lt;"&amp;BK1)</f>
        <v>0</v>
      </c>
      <c r="BK17" s="204">
        <f>SUMIFS('Expenditure Breakdown'!$U$6:$U$415, 'Expenditure Breakdown'!$T$6:$T$415, "&gt;="&amp;BK1,'Expenditure Breakdown'!$T$6:$T$415, "&lt;"&amp;BL1)</f>
        <v>1108166.6356652447</v>
      </c>
      <c r="BL17" s="204">
        <f>SUMIFS('Expenditure Breakdown'!$U$6:$U$415, 'Expenditure Breakdown'!$T$6:$T$415, "&gt;="&amp;BL1,'Expenditure Breakdown'!$T$6:$T$415, "&lt;"&amp;BM1)</f>
        <v>0</v>
      </c>
      <c r="BM17" s="204">
        <f>SUMIFS('Expenditure Breakdown'!$U$6:$U$415, 'Expenditure Breakdown'!$T$6:$T$415, "&gt;="&amp;BM1,'Expenditure Breakdown'!$T$6:$T$415, "&lt;"&amp;BN1)</f>
        <v>0</v>
      </c>
      <c r="BN17" s="204">
        <f>SUMIFS('Expenditure Breakdown'!$U$6:$U$415, 'Expenditure Breakdown'!$T$6:$T$415, "&gt;="&amp;BN1,'Expenditure Breakdown'!$T$6:$T$415, "&lt;"&amp;BO1)</f>
        <v>0</v>
      </c>
      <c r="BO17" s="204">
        <f>SUMIFS('Expenditure Breakdown'!$U$6:$U$415, 'Expenditure Breakdown'!$T$6:$T$415, "&gt;="&amp;BO1,'Expenditure Breakdown'!$T$6:$T$415, "&lt;"&amp;BP1)</f>
        <v>0</v>
      </c>
      <c r="BP17" s="204">
        <f>SUMIFS('Expenditure Breakdown'!$U$6:$U$415, 'Expenditure Breakdown'!$T$6:$T$415, "&gt;="&amp;BP1,'Expenditure Breakdown'!$T$6:$T$415, "&lt;"&amp;BQ1)</f>
        <v>0</v>
      </c>
      <c r="BQ17" s="204">
        <f>SUMIFS('Expenditure Breakdown'!$U$6:$U$415, 'Expenditure Breakdown'!$T$6:$T$415, "&gt;="&amp;BQ1,'Expenditure Breakdown'!$T$6:$T$415, "&lt;"&amp;BR1)</f>
        <v>0</v>
      </c>
      <c r="BR17" s="204">
        <f>SUMIFS('Expenditure Breakdown'!$U$6:$U$415, 'Expenditure Breakdown'!$T$6:$T$415, "&gt;="&amp;BR1,'Expenditure Breakdown'!$T$6:$T$415, "&lt;"&amp;BS1)</f>
        <v>0</v>
      </c>
      <c r="BS17" s="204">
        <f>SUMIFS('Expenditure Breakdown'!$U$6:$U$415, 'Expenditure Breakdown'!$T$6:$T$415, "&gt;="&amp;BS1,'Expenditure Breakdown'!$T$6:$T$415, "&lt;"&amp;BT1)</f>
        <v>0</v>
      </c>
      <c r="BT17" s="204">
        <f>SUMIFS('Expenditure Breakdown'!$U$6:$U$415, 'Expenditure Breakdown'!$T$6:$T$415, "&gt;="&amp;BT1,'Expenditure Breakdown'!$T$6:$T$415, "&lt;"&amp;BU1)</f>
        <v>0</v>
      </c>
      <c r="BU17" s="204">
        <f>SUMIFS('Expenditure Breakdown'!$U$6:$U$415, 'Expenditure Breakdown'!$T$6:$T$415, "&gt;="&amp;BU1,'Expenditure Breakdown'!$T$6:$T$415, "&lt;"&amp;BV1)</f>
        <v>0</v>
      </c>
      <c r="BV17" s="204">
        <f>SUMIFS('Expenditure Breakdown'!$U$6:$U$415, 'Expenditure Breakdown'!$T$6:$T$415, "&gt;="&amp;BV1,'Expenditure Breakdown'!$T$6:$T$415, "&lt;"&amp;BW1)</f>
        <v>0</v>
      </c>
      <c r="BW17" s="204">
        <f>SUMIFS('Expenditure Breakdown'!$U$6:$U$415, 'Expenditure Breakdown'!$T$6:$T$415, "&gt;="&amp;BW1,'Expenditure Breakdown'!$T$6:$T$415, "&lt;"&amp;BX1)</f>
        <v>0</v>
      </c>
      <c r="BX17" s="204">
        <f>SUMIFS('Expenditure Breakdown'!$U$6:$U$415, 'Expenditure Breakdown'!$T$6:$T$415, "&gt;="&amp;BX1,'Expenditure Breakdown'!$T$6:$T$415, "&lt;"&amp;BY1)</f>
        <v>0</v>
      </c>
      <c r="BY17" s="204">
        <f>SUMIFS('Expenditure Breakdown'!$U$6:$U$415, 'Expenditure Breakdown'!$T$6:$T$415, "&gt;="&amp;BY1,'Expenditure Breakdown'!$T$6:$T$415, "&lt;"&amp;BZ1)</f>
        <v>0</v>
      </c>
      <c r="BZ17" s="204">
        <f>SUMIFS('Expenditure Breakdown'!$U$6:$U$415, 'Expenditure Breakdown'!$T$6:$T$415, "&gt;="&amp;BZ1,'Expenditure Breakdown'!$T$6:$T$415, "&lt;"&amp;CA1)</f>
        <v>0</v>
      </c>
      <c r="CA17" s="204">
        <f>SUMIFS('Expenditure Breakdown'!$U$6:$U$415, 'Expenditure Breakdown'!$T$6:$T$415, "&gt;="&amp;CA1,'Expenditure Breakdown'!$T$6:$T$415, "&lt;"&amp;CB1)</f>
        <v>0</v>
      </c>
      <c r="CB17" s="204">
        <f>SUMIFS('Expenditure Breakdown'!$U$6:$U$415, 'Expenditure Breakdown'!$T$6:$T$415, "&gt;="&amp;CB1,'Expenditure Breakdown'!$T$6:$T$415, "&lt;"&amp;CC1)</f>
        <v>0</v>
      </c>
      <c r="CC17" s="204">
        <f>SUMIFS('Expenditure Breakdown'!$U$6:$U$415, 'Expenditure Breakdown'!$T$6:$T$415, "&gt;="&amp;CC1,'Expenditure Breakdown'!$T$6:$T$415, "&lt;"&amp;CD1)</f>
        <v>0</v>
      </c>
      <c r="CD17" s="204">
        <f>SUMIFS('Expenditure Breakdown'!$U$6:$U$415, 'Expenditure Breakdown'!$T$6:$T$415, "&gt;="&amp;CD1,'Expenditure Breakdown'!$T$6:$T$415, "&lt;"&amp;CE1)</f>
        <v>0</v>
      </c>
      <c r="CE17" s="204">
        <f>SUMIFS('Expenditure Breakdown'!$U$6:$U$415, 'Expenditure Breakdown'!$T$6:$T$415, "&gt;="&amp;CE1,'Expenditure Breakdown'!$T$6:$T$415, "&lt;"&amp;CF1)</f>
        <v>0</v>
      </c>
      <c r="CF17" s="204">
        <f>SUMIFS('Expenditure Breakdown'!$U$6:$U$415, 'Expenditure Breakdown'!$T$6:$T$415, "&gt;="&amp;CF1,'Expenditure Breakdown'!$T$6:$T$415, "&lt;"&amp;CG1)</f>
        <v>0</v>
      </c>
      <c r="CG17" s="204">
        <f>SUMIFS('Expenditure Breakdown'!$U$6:$U$415, 'Expenditure Breakdown'!$T$6:$T$415, "&gt;="&amp;CG1,'Expenditure Breakdown'!$T$6:$T$415, "&lt;"&amp;CH1)</f>
        <v>0</v>
      </c>
      <c r="CH17" s="204">
        <f>SUMIFS('Expenditure Breakdown'!$U$6:$U$415, 'Expenditure Breakdown'!$T$6:$T$415, "&gt;="&amp;CH1,'Expenditure Breakdown'!$T$6:$T$415, "&lt;"&amp;CI1)</f>
        <v>0</v>
      </c>
      <c r="CI17" s="204">
        <f>SUMIFS('Expenditure Breakdown'!$U$6:$U$415, 'Expenditure Breakdown'!$T$6:$T$415, "&gt;="&amp;CI1,'Expenditure Breakdown'!$T$6:$T$415, "&lt;"&amp;CJ1)</f>
        <v>0</v>
      </c>
      <c r="CJ17" s="204">
        <f>SUMIFS('Expenditure Breakdown'!$U$6:$U$415, 'Expenditure Breakdown'!$T$6:$T$415, "&gt;="&amp;CJ1,'Expenditure Breakdown'!$T$6:$T$415, "&lt;"&amp;CK1)</f>
        <v>0</v>
      </c>
      <c r="CK17" s="204">
        <f>SUMIFS('Expenditure Breakdown'!$U$6:$U$415, 'Expenditure Breakdown'!$T$6:$T$415, "&gt;="&amp;CK1,'Expenditure Breakdown'!$T$6:$T$415, "&lt;"&amp;CL1)</f>
        <v>0</v>
      </c>
      <c r="CL17" s="204">
        <f>SUMIFS('Expenditure Breakdown'!$U$6:$U$415, 'Expenditure Breakdown'!$T$6:$T$415, "&gt;="&amp;CL1,'Expenditure Breakdown'!$T$6:$T$415, "&lt;"&amp;CM1)</f>
        <v>0</v>
      </c>
      <c r="CM17" s="204">
        <f>SUMIFS('Expenditure Breakdown'!$U$6:$U$415, 'Expenditure Breakdown'!$T$6:$T$415, "&gt;="&amp;CM1,'Expenditure Breakdown'!$T$6:$T$415, "&lt;"&amp;CN1)</f>
        <v>0</v>
      </c>
      <c r="CN17" s="204">
        <f>SUMIFS('Expenditure Breakdown'!$U$6:$U$415, 'Expenditure Breakdown'!$T$6:$T$415, "&gt;="&amp;CN1,'Expenditure Breakdown'!$T$6:$T$415, "&lt;"&amp;CO1)</f>
        <v>0</v>
      </c>
      <c r="CO17" s="204">
        <f>SUMIFS('Expenditure Breakdown'!$U$6:$U$415, 'Expenditure Breakdown'!$T$6:$T$415, "&gt;="&amp;CO1,'Expenditure Breakdown'!$T$6:$T$415, "&lt;"&amp;CP1)</f>
        <v>0</v>
      </c>
      <c r="CP17" s="204">
        <f>SUMIFS('Expenditure Breakdown'!$U$6:$U$415, 'Expenditure Breakdown'!$T$6:$T$415, "&gt;="&amp;CP1,'Expenditure Breakdown'!$T$6:$T$415, "&lt;"&amp;CQ1)</f>
        <v>0</v>
      </c>
      <c r="CQ17" s="204">
        <f>SUMIFS('Expenditure Breakdown'!$U$6:$U$415, 'Expenditure Breakdown'!$T$6:$T$415, "&gt;="&amp;CQ1,'Expenditure Breakdown'!$T$6:$T$415, "&lt;"&amp;CR1)</f>
        <v>0</v>
      </c>
      <c r="CR17" s="204">
        <f>SUMIFS('Expenditure Breakdown'!$U$6:$U$415, 'Expenditure Breakdown'!$T$6:$T$415, "&gt;="&amp;CR1,'Expenditure Breakdown'!$T$6:$T$415, "&lt;"&amp;CS1)</f>
        <v>0</v>
      </c>
      <c r="CS17" s="204">
        <f>SUMIFS('Expenditure Breakdown'!$U$6:$U$415, 'Expenditure Breakdown'!$T$6:$T$415, "&gt;="&amp;CS1,'Expenditure Breakdown'!$T$6:$T$415, "&lt;"&amp;CT1)</f>
        <v>0</v>
      </c>
      <c r="CT17" s="204">
        <f>SUMIFS('Expenditure Breakdown'!$U$6:$U$415, 'Expenditure Breakdown'!$T$6:$T$415, "&gt;="&amp;CT1,'Expenditure Breakdown'!$T$6:$T$415, "&lt;"&amp;CU1)</f>
        <v>0</v>
      </c>
      <c r="CU17" s="204">
        <f>SUMIFS('Expenditure Breakdown'!$U$6:$U$415, 'Expenditure Breakdown'!$T$6:$T$415, "&gt;="&amp;CU1,'Expenditure Breakdown'!$T$6:$T$415, "&lt;"&amp;CV1)</f>
        <v>0</v>
      </c>
      <c r="CV17" s="204">
        <f>SUMIFS('Expenditure Breakdown'!$U$6:$U$415, 'Expenditure Breakdown'!$T$6:$T$415, "&gt;="&amp;CV1,'Expenditure Breakdown'!$T$6:$T$415, "&lt;"&amp;CW1)</f>
        <v>0</v>
      </c>
      <c r="CW17" s="204">
        <f>SUMIFS('Expenditure Breakdown'!$U$6:$U$415, 'Expenditure Breakdown'!$T$6:$T$415, "&gt;="&amp;CW1,'Expenditure Breakdown'!$T$6:$T$415, "&lt;"&amp;CX1)</f>
        <v>0</v>
      </c>
      <c r="CX17" s="204">
        <f>SUMIFS('Expenditure Breakdown'!$U$6:$U$415, 'Expenditure Breakdown'!$T$6:$T$415, "&gt;="&amp;CX1,'Expenditure Breakdown'!$T$6:$T$415, "&lt;"&amp;CY1)</f>
        <v>0</v>
      </c>
      <c r="CY17" s="204">
        <f>SUMIFS('Expenditure Breakdown'!$U$6:$U$415, 'Expenditure Breakdown'!$T$6:$T$415, "&gt;="&amp;CY1,'Expenditure Breakdown'!$T$6:$T$415, "&lt;"&amp;CZ1)</f>
        <v>0</v>
      </c>
      <c r="CZ17" s="204">
        <f>SUMIFS('Expenditure Breakdown'!$U$6:$U$415, 'Expenditure Breakdown'!$T$6:$T$415, "&gt;="&amp;CZ1,'Expenditure Breakdown'!$T$6:$T$415, "&lt;"&amp;DA1)</f>
        <v>0</v>
      </c>
      <c r="DA17" s="204">
        <f>SUMIFS('Expenditure Breakdown'!$U$6:$U$415, 'Expenditure Breakdown'!$T$6:$T$415, "&gt;="&amp;DA1,'Expenditure Breakdown'!$T$6:$T$415, "&lt;"&amp;DB1)</f>
        <v>0</v>
      </c>
      <c r="DB17" s="204">
        <f>SUMIFS('Expenditure Breakdown'!$U$6:$U$415, 'Expenditure Breakdown'!$T$6:$T$415, "&gt;="&amp;DB1,'Expenditure Breakdown'!$T$6:$T$415, "&lt;"&amp;DC1)</f>
        <v>0</v>
      </c>
      <c r="DC17" s="204">
        <f>SUMIFS('Expenditure Breakdown'!$U$6:$U$415, 'Expenditure Breakdown'!$T$6:$T$415, "&gt;="&amp;DC1,'Expenditure Breakdown'!$T$6:$T$415, "&lt;"&amp;DD1)</f>
        <v>0</v>
      </c>
      <c r="DD17" s="204">
        <f>SUMIFS('Expenditure Breakdown'!$U$6:$U$415, 'Expenditure Breakdown'!$T$6:$T$415, "&gt;="&amp;DD1,'Expenditure Breakdown'!$T$6:$T$415, "&lt;"&amp;DE1)</f>
        <v>0</v>
      </c>
      <c r="DE17" s="204">
        <f>SUMIFS('Expenditure Breakdown'!$U$6:$U$415, 'Expenditure Breakdown'!$T$6:$T$415, "&gt;="&amp;DE1,'Expenditure Breakdown'!$T$6:$T$415, "&lt;"&amp;DF1)</f>
        <v>0</v>
      </c>
      <c r="DF17" s="204">
        <f>SUMIFS('Expenditure Breakdown'!$U$6:$U$415, 'Expenditure Breakdown'!$T$6:$T$415, "&gt;="&amp;DF1,'Expenditure Breakdown'!$T$6:$T$415, "&lt;"&amp;DG1)</f>
        <v>0</v>
      </c>
      <c r="DG17" s="204">
        <f>SUMIFS('Expenditure Breakdown'!$U$6:$U$415, 'Expenditure Breakdown'!$T$6:$T$415, "&gt;="&amp;DG1,'Expenditure Breakdown'!$T$6:$T$415, "&lt;"&amp;DH1)</f>
        <v>0</v>
      </c>
      <c r="DH17" s="204">
        <f>SUMIFS('Expenditure Breakdown'!$U$6:$U$415, 'Expenditure Breakdown'!$T$6:$T$415, "&gt;="&amp;DH1,'Expenditure Breakdown'!$T$6:$T$415, "&lt;"&amp;DI1)</f>
        <v>0</v>
      </c>
      <c r="DI17" s="204">
        <f>SUMIFS('Expenditure Breakdown'!$U$6:$U$415, 'Expenditure Breakdown'!$T$6:$T$415, "&gt;="&amp;DI1,'Expenditure Breakdown'!$T$6:$T$415, "&lt;"&amp;DJ1)</f>
        <v>0</v>
      </c>
      <c r="DJ17" s="204">
        <f>SUMIFS('Expenditure Breakdown'!$U$6:$U$415, 'Expenditure Breakdown'!$T$6:$T$415, "&gt;="&amp;DJ1,'Expenditure Breakdown'!$T$6:$T$415, "&lt;"&amp;DK1)</f>
        <v>0</v>
      </c>
      <c r="DK17" s="204">
        <f>SUMIFS('Expenditure Breakdown'!$U$6:$U$415, 'Expenditure Breakdown'!$T$6:$T$415, "&gt;="&amp;DK1,'Expenditure Breakdown'!$T$6:$T$415, "&lt;"&amp;DL1)</f>
        <v>0</v>
      </c>
      <c r="DL17" s="204">
        <f>SUMIFS('Expenditure Breakdown'!$U$6:$U$415, 'Expenditure Breakdown'!$T$6:$T$415, "&gt;="&amp;DL1,'Expenditure Breakdown'!$T$6:$T$415, "&lt;"&amp;DM1)</f>
        <v>0</v>
      </c>
      <c r="DM17" s="204">
        <f>SUMIFS('Expenditure Breakdown'!$U$6:$U$415, 'Expenditure Breakdown'!$T$6:$T$415, "&gt;="&amp;DM1,'Expenditure Breakdown'!$T$6:$T$415, "&lt;"&amp;DN1)</f>
        <v>0</v>
      </c>
      <c r="DN17" s="204">
        <f>SUMIFS('Expenditure Breakdown'!$U$6:$U$415, 'Expenditure Breakdown'!$T$6:$T$415, "&gt;="&amp;DN1,'Expenditure Breakdown'!$T$6:$T$415, "&lt;"&amp;DO1)</f>
        <v>0</v>
      </c>
      <c r="DO17" s="204">
        <f>SUMIFS('Expenditure Breakdown'!$U$6:$U$415, 'Expenditure Breakdown'!$T$6:$T$415, "&gt;="&amp;DO1,'Expenditure Breakdown'!$T$6:$T$415, "&lt;"&amp;DP1)</f>
        <v>0</v>
      </c>
      <c r="DP17" s="204">
        <f>SUMIFS('Expenditure Breakdown'!$U$6:$U$415, 'Expenditure Breakdown'!$T$6:$T$415, "&gt;="&amp;DP1,'Expenditure Breakdown'!$T$6:$T$415, "&lt;"&amp;DQ1)</f>
        <v>0</v>
      </c>
      <c r="DQ17" s="204">
        <f>SUMIFS('Expenditure Breakdown'!$U$6:$U$415, 'Expenditure Breakdown'!$T$6:$T$415, "&gt;="&amp;DQ1,'Expenditure Breakdown'!$T$6:$T$415, "&lt;"&amp;DR1)</f>
        <v>0</v>
      </c>
      <c r="DR17" s="204">
        <f>SUMIFS('Expenditure Breakdown'!$U$6:$U$415, 'Expenditure Breakdown'!$T$6:$T$415, "&gt;="&amp;DR1,'Expenditure Breakdown'!$T$6:$T$415, "&lt;"&amp;DS1)</f>
        <v>0</v>
      </c>
      <c r="DS17" s="204">
        <f>SUMIFS('Expenditure Breakdown'!$U$6:$U$415, 'Expenditure Breakdown'!$T$6:$T$415, "&gt;="&amp;DS1,'Expenditure Breakdown'!$T$6:$T$415, "&lt;"&amp;DT1)</f>
        <v>0</v>
      </c>
      <c r="DT17" s="204">
        <f>SUMIFS('Expenditure Breakdown'!$U$6:$U$415, 'Expenditure Breakdown'!$T$6:$T$415, "&gt;="&amp;DT1,'Expenditure Breakdown'!$T$6:$T$415, "&lt;"&amp;DU1)</f>
        <v>0</v>
      </c>
      <c r="DU17" s="204">
        <f>SUMIFS('Expenditure Breakdown'!$U$6:$U$415, 'Expenditure Breakdown'!$T$6:$T$415, "&gt;="&amp;DU1,'Expenditure Breakdown'!$T$6:$T$415, "&lt;"&amp;DV1)</f>
        <v>0</v>
      </c>
      <c r="DV17" s="204">
        <f>SUMIFS('Expenditure Breakdown'!$U$6:$U$415, 'Expenditure Breakdown'!$T$6:$T$415, "&gt;="&amp;DV1,'Expenditure Breakdown'!$T$6:$T$415, "&lt;"&amp;DW1)</f>
        <v>0</v>
      </c>
      <c r="DW17" s="204">
        <f>SUMIFS('Expenditure Breakdown'!$U$6:$U$415, 'Expenditure Breakdown'!$T$6:$T$415, "&gt;="&amp;DW1,'Expenditure Breakdown'!$T$6:$T$415, "&lt;"&amp;DX1)</f>
        <v>0</v>
      </c>
      <c r="DX17" s="204">
        <f>SUMIFS('Expenditure Breakdown'!$U$6:$U$415, 'Expenditure Breakdown'!$T$6:$T$415, "&gt;="&amp;DX1,'Expenditure Breakdown'!$T$6:$T$415, "&lt;"&amp;DY1)</f>
        <v>0</v>
      </c>
      <c r="DY17" s="204">
        <f>SUMIFS('Expenditure Breakdown'!$U$6:$U$415, 'Expenditure Breakdown'!$T$6:$T$415, "&gt;="&amp;DY1,'Expenditure Breakdown'!$T$6:$T$415, "&lt;"&amp;DZ1)</f>
        <v>0</v>
      </c>
      <c r="DZ17" s="204">
        <f>SUMIFS('Expenditure Breakdown'!$U$6:$U$415, 'Expenditure Breakdown'!$T$6:$T$415, "&gt;="&amp;DZ1,'Expenditure Breakdown'!$T$6:$T$415, "&lt;"&amp;EA1)</f>
        <v>0</v>
      </c>
      <c r="EA17" s="204">
        <f>SUMIFS('Expenditure Breakdown'!$U$6:$U$415, 'Expenditure Breakdown'!$T$6:$T$415, "&gt;="&amp;EA1,'Expenditure Breakdown'!$T$6:$T$415, "&lt;"&amp;EB1)</f>
        <v>0</v>
      </c>
      <c r="EB17" s="204">
        <f>SUMIFS('Expenditure Breakdown'!$U$6:$U$415, 'Expenditure Breakdown'!$T$6:$T$415, "&gt;="&amp;EB1,'Expenditure Breakdown'!$T$6:$T$415, "&lt;"&amp;EC1)</f>
        <v>0</v>
      </c>
      <c r="EC17" s="204">
        <f>SUMIFS('Expenditure Breakdown'!$U$6:$U$415, 'Expenditure Breakdown'!$T$6:$T$415, "&gt;="&amp;EC1,'Expenditure Breakdown'!$T$6:$T$415, "&lt;"&amp;ED1)</f>
        <v>0</v>
      </c>
      <c r="ED17" s="204">
        <f>SUMIFS('Expenditure Breakdown'!$U$6:$U$415, 'Expenditure Breakdown'!$T$6:$T$415, "&gt;="&amp;ED1,'Expenditure Breakdown'!$T$6:$T$415, "&lt;"&amp;EE1)</f>
        <v>0</v>
      </c>
      <c r="EE17" s="204">
        <f>SUMIFS('Expenditure Breakdown'!$U$6:$U$415, 'Expenditure Breakdown'!$T$6:$T$415, "&gt;="&amp;EE1,'Expenditure Breakdown'!$T$6:$T$415, "&lt;"&amp;EF1)</f>
        <v>0</v>
      </c>
      <c r="EF17" s="204">
        <f>SUMIFS('Expenditure Breakdown'!$U$6:$U$415, 'Expenditure Breakdown'!$T$6:$T$415, "&gt;="&amp;EF1,'Expenditure Breakdown'!$T$6:$T$415, "&lt;"&amp;EG1)</f>
        <v>0</v>
      </c>
      <c r="EG17" s="204">
        <f>SUMIFS('Expenditure Breakdown'!$U$6:$U$415, 'Expenditure Breakdown'!$T$6:$T$415, "&gt;="&amp;EG1,'Expenditure Breakdown'!$T$6:$T$415, "&lt;"&amp;EH1)</f>
        <v>0</v>
      </c>
      <c r="EH17" s="204">
        <f>SUMIFS('Expenditure Breakdown'!$U$6:$U$415, 'Expenditure Breakdown'!$T$6:$T$415, "&gt;="&amp;EH1,'Expenditure Breakdown'!$T$6:$T$415, "&lt;"&amp;EI1)</f>
        <v>0</v>
      </c>
      <c r="EI17" s="204">
        <f>SUMIFS('Expenditure Breakdown'!$U$6:$U$415, 'Expenditure Breakdown'!$T$6:$T$415, "&gt;="&amp;EI1,'Expenditure Breakdown'!$T$6:$T$415, "&lt;"&amp;EJ1)</f>
        <v>0</v>
      </c>
      <c r="EJ17" s="204">
        <f>SUMIFS('Expenditure Breakdown'!$U$6:$U$415, 'Expenditure Breakdown'!$T$6:$T$415, "&gt;="&amp;EJ1,'Expenditure Breakdown'!$T$6:$T$415, "&lt;"&amp;EK1)</f>
        <v>0</v>
      </c>
      <c r="EK17" s="204">
        <f>SUMIFS('Expenditure Breakdown'!$U$6:$U$415, 'Expenditure Breakdown'!$T$6:$T$415, "&gt;="&amp;EK1,'Expenditure Breakdown'!$T$6:$T$415, "&lt;"&amp;EL1)</f>
        <v>0</v>
      </c>
      <c r="EL17" s="204">
        <f>SUMIFS('Expenditure Breakdown'!$U$6:$U$415, 'Expenditure Breakdown'!$T$6:$T$415, "&gt;="&amp;EL1,'Expenditure Breakdown'!$T$6:$T$415, "&lt;"&amp;EM1)</f>
        <v>0</v>
      </c>
      <c r="EM17" s="204">
        <f>SUMIFS('Expenditure Breakdown'!$U$6:$U$415, 'Expenditure Breakdown'!$T$6:$T$415, "&gt;="&amp;EM1,'Expenditure Breakdown'!$T$6:$T$415, "&lt;"&amp;EN1)</f>
        <v>0</v>
      </c>
      <c r="EN17" s="204">
        <f>SUMIFS('Expenditure Breakdown'!$U$6:$U$415, 'Expenditure Breakdown'!$T$6:$T$415, "&gt;="&amp;EN1,'Expenditure Breakdown'!$T$6:$T$415, "&lt;"&amp;EO1)</f>
        <v>0</v>
      </c>
      <c r="EO17" s="204">
        <f>SUMIFS('Expenditure Breakdown'!$U$6:$U$415, 'Expenditure Breakdown'!$T$6:$T$415, "&gt;="&amp;EO1,'Expenditure Breakdown'!$T$6:$T$415, "&lt;"&amp;EP1)</f>
        <v>0</v>
      </c>
      <c r="EP17" s="204">
        <f>SUMIFS('Expenditure Breakdown'!$U$6:$U$415, 'Expenditure Breakdown'!$T$6:$T$415, "&gt;="&amp;EP1,'Expenditure Breakdown'!$T$6:$T$415, "&lt;"&amp;EQ1)</f>
        <v>0</v>
      </c>
      <c r="EQ17" s="204">
        <f>SUMIFS('Expenditure Breakdown'!$U$6:$U$415, 'Expenditure Breakdown'!$T$6:$T$415, "&gt;="&amp;EQ1,'Expenditure Breakdown'!$T$6:$T$415, "&lt;"&amp;ER1)</f>
        <v>0</v>
      </c>
      <c r="ER17" s="204">
        <f>SUMIFS('Expenditure Breakdown'!$U$6:$U$415, 'Expenditure Breakdown'!$T$6:$T$415, "&gt;="&amp;ER1,'Expenditure Breakdown'!$T$6:$T$415, "&lt;"&amp;ES1)</f>
        <v>0</v>
      </c>
      <c r="ES17" s="204">
        <f>SUMIFS('Expenditure Breakdown'!$U$6:$U$415, 'Expenditure Breakdown'!$T$6:$T$415, "&gt;="&amp;ES1,'Expenditure Breakdown'!$T$6:$T$415, "&lt;"&amp;ET1)</f>
        <v>0</v>
      </c>
      <c r="ET17" s="204">
        <f>SUMIFS('Expenditure Breakdown'!$U$6:$U$415, 'Expenditure Breakdown'!$T$6:$T$415, "&gt;="&amp;ET1,'Expenditure Breakdown'!$T$6:$T$415, "&lt;"&amp;EU1)</f>
        <v>0</v>
      </c>
      <c r="EU17" s="204">
        <f>SUMIFS('Expenditure Breakdown'!$U$6:$U$415, 'Expenditure Breakdown'!$T$6:$T$415, "&gt;="&amp;EU1,'Expenditure Breakdown'!$T$6:$T$415, "&lt;"&amp;EV1)</f>
        <v>0</v>
      </c>
      <c r="EV17" s="204">
        <f>SUMIFS('Expenditure Breakdown'!$U$6:$U$415, 'Expenditure Breakdown'!$T$6:$T$415, "&gt;="&amp;EV1,'Expenditure Breakdown'!$T$6:$T$415, "&lt;"&amp;EW1)</f>
        <v>0</v>
      </c>
      <c r="EW17" s="204">
        <f>SUMIFS('Expenditure Breakdown'!$U$6:$U$415, 'Expenditure Breakdown'!$T$6:$T$415, "&gt;="&amp;EW1,'Expenditure Breakdown'!$T$6:$T$415, "&lt;"&amp;EX1)</f>
        <v>0</v>
      </c>
      <c r="EX17" s="204">
        <f>SUMIFS('Expenditure Breakdown'!$U$6:$U$415, 'Expenditure Breakdown'!$T$6:$T$415, "&gt;="&amp;EX1,'Expenditure Breakdown'!$T$6:$T$415, "&lt;"&amp;EY1)</f>
        <v>0</v>
      </c>
      <c r="EY17" s="204">
        <f>SUMIFS('Expenditure Breakdown'!$U$6:$U$415, 'Expenditure Breakdown'!$T$6:$T$415, "&gt;="&amp;EY1,'Expenditure Breakdown'!$T$6:$T$415, "&lt;"&amp;EZ1)</f>
        <v>0</v>
      </c>
      <c r="EZ17" s="204">
        <f>SUMIFS('Expenditure Breakdown'!$U$6:$U$415, 'Expenditure Breakdown'!$T$6:$T$415, "&gt;="&amp;EZ1,'Expenditure Breakdown'!$T$6:$T$415, "&lt;"&amp;FA1)</f>
        <v>0</v>
      </c>
      <c r="FA17" s="204">
        <f>SUMIFS('Expenditure Breakdown'!$U$6:$U$415, 'Expenditure Breakdown'!$T$6:$T$415, "&gt;="&amp;FA1,'Expenditure Breakdown'!$T$6:$T$415, "&lt;"&amp;FB1)</f>
        <v>0</v>
      </c>
      <c r="FB17" s="204">
        <f>SUMIFS('Expenditure Breakdown'!$U$6:$U$415, 'Expenditure Breakdown'!$T$6:$T$415, "&gt;="&amp;FB1,'Expenditure Breakdown'!$T$6:$T$415, "&lt;"&amp;FC1)</f>
        <v>0</v>
      </c>
      <c r="FC17" s="204">
        <f>SUMIFS('Expenditure Breakdown'!$U$6:$U$415, 'Expenditure Breakdown'!$T$6:$T$415, "&gt;="&amp;FC1,'Expenditure Breakdown'!$T$6:$T$415, "&lt;"&amp;FD1)</f>
        <v>0</v>
      </c>
      <c r="FD17" s="204">
        <f>SUMIFS('Expenditure Breakdown'!$U$6:$U$415, 'Expenditure Breakdown'!$T$6:$T$415, "&gt;="&amp;FD1,'Expenditure Breakdown'!$T$6:$T$415, "&lt;"&amp;FE1)</f>
        <v>0</v>
      </c>
      <c r="FE17" s="204">
        <f>SUMIFS('Expenditure Breakdown'!$U$6:$U$415, 'Expenditure Breakdown'!$T$6:$T$415, "&gt;="&amp;FE1,'Expenditure Breakdown'!$T$6:$T$415, "&lt;"&amp;FF1)</f>
        <v>0</v>
      </c>
      <c r="FF17" s="204">
        <f>SUMIFS('Expenditure Breakdown'!$U$6:$U$415, 'Expenditure Breakdown'!$T$6:$T$415, "&gt;="&amp;FF1,'Expenditure Breakdown'!$T$6:$T$415, "&lt;"&amp;FG1)</f>
        <v>0</v>
      </c>
      <c r="FG17" s="204">
        <f>SUMIFS('Expenditure Breakdown'!$U$6:$U$415, 'Expenditure Breakdown'!$T$6:$T$415, "&gt;="&amp;FG1,'Expenditure Breakdown'!$T$6:$T$415, "&lt;"&amp;FH1)</f>
        <v>0</v>
      </c>
      <c r="FH17" s="204">
        <f>SUMIFS('Expenditure Breakdown'!$U$6:$U$415, 'Expenditure Breakdown'!$T$6:$T$415, "&gt;="&amp;FH1,'Expenditure Breakdown'!$T$6:$T$415, "&lt;"&amp;FI1)</f>
        <v>0</v>
      </c>
      <c r="FI17" s="204">
        <f>SUMIFS('Expenditure Breakdown'!$U$6:$U$415, 'Expenditure Breakdown'!$T$6:$T$415, "&gt;="&amp;FI1,'Expenditure Breakdown'!$T$6:$T$415, "&lt;"&amp;FJ1)</f>
        <v>0</v>
      </c>
      <c r="FJ17" s="204">
        <f>SUMIFS('Expenditure Breakdown'!$U$6:$U$415, 'Expenditure Breakdown'!$T$6:$T$415, "&gt;="&amp;FJ1,'Expenditure Breakdown'!$T$6:$T$415, "&lt;"&amp;FK1)</f>
        <v>0</v>
      </c>
      <c r="FK17" s="204">
        <f>SUMIFS('Expenditure Breakdown'!$U$6:$U$415, 'Expenditure Breakdown'!$T$6:$T$415, "&gt;="&amp;FK1,'Expenditure Breakdown'!$T$6:$T$415, "&lt;"&amp;FL1)</f>
        <v>0</v>
      </c>
      <c r="FL17" s="204">
        <f>SUMIFS('Expenditure Breakdown'!$U$6:$U$415, 'Expenditure Breakdown'!$T$6:$T$415, "&gt;="&amp;FL1,'Expenditure Breakdown'!$T$6:$T$415, "&lt;"&amp;FM1)</f>
        <v>0</v>
      </c>
      <c r="FM17" s="204">
        <f>SUMIFS('Expenditure Breakdown'!$U$6:$U$415, 'Expenditure Breakdown'!$T$6:$T$415, "&gt;="&amp;FM1,'Expenditure Breakdown'!$T$6:$T$415, "&lt;"&amp;FN1)</f>
        <v>0</v>
      </c>
      <c r="FN17" s="204">
        <f>SUMIFS('Expenditure Breakdown'!$U$6:$U$415, 'Expenditure Breakdown'!$T$6:$T$415, "&gt;="&amp;FN1,'Expenditure Breakdown'!$T$6:$T$415, "&lt;"&amp;FO1)</f>
        <v>0</v>
      </c>
      <c r="FO17" s="204">
        <f>SUMIFS('Expenditure Breakdown'!$U$6:$U$415, 'Expenditure Breakdown'!$T$6:$T$415, "&gt;="&amp;FO1,'Expenditure Breakdown'!$T$6:$T$415, "&lt;"&amp;FP1)</f>
        <v>0</v>
      </c>
      <c r="FP17" s="204">
        <f>SUMIFS('Expenditure Breakdown'!$U$6:$U$415, 'Expenditure Breakdown'!$T$6:$T$415, "&gt;="&amp;FP1,'Expenditure Breakdown'!$T$6:$T$415, "&lt;"&amp;FQ1)</f>
        <v>0</v>
      </c>
      <c r="FQ17" s="204">
        <f>SUMIFS('Expenditure Breakdown'!$U$6:$U$415, 'Expenditure Breakdown'!$T$6:$T$415, "&gt;="&amp;FQ1,'Expenditure Breakdown'!$T$6:$T$415, "&lt;"&amp;FR1)</f>
        <v>0</v>
      </c>
      <c r="FR17" s="204">
        <f>SUMIFS('Expenditure Breakdown'!$U$6:$U$415, 'Expenditure Breakdown'!$T$6:$T$415, "&gt;="&amp;FR1,'Expenditure Breakdown'!$T$6:$T$415, "&lt;"&amp;FS1)</f>
        <v>0</v>
      </c>
      <c r="FS17" s="204">
        <f>SUMIFS('Expenditure Breakdown'!$U$6:$U$415, 'Expenditure Breakdown'!$T$6:$T$415, "&gt;="&amp;FS1,'Expenditure Breakdown'!$T$6:$T$415, "&lt;"&amp;FT1)</f>
        <v>0</v>
      </c>
      <c r="FT17" s="204">
        <f>SUMIFS('Expenditure Breakdown'!$U$6:$U$415, 'Expenditure Breakdown'!$T$6:$T$415, "&gt;="&amp;FT1,'Expenditure Breakdown'!$T$6:$T$415, "&lt;"&amp;FU1)</f>
        <v>0</v>
      </c>
      <c r="FU17" s="204">
        <f>SUMIFS('Expenditure Breakdown'!$U$6:$U$415, 'Expenditure Breakdown'!$T$6:$T$415, "&gt;="&amp;FU1,'Expenditure Breakdown'!$T$6:$T$415, "&lt;"&amp;FV1)</f>
        <v>0</v>
      </c>
      <c r="FV17" s="204">
        <f>SUMIFS('Expenditure Breakdown'!$U$6:$U$415, 'Expenditure Breakdown'!$T$6:$T$415, "&gt;="&amp;FV1,'Expenditure Breakdown'!$T$6:$T$415, "&lt;"&amp;FW1)</f>
        <v>0</v>
      </c>
      <c r="FW17" s="204">
        <f>SUMIFS('Expenditure Breakdown'!$U$6:$U$415, 'Expenditure Breakdown'!$T$6:$T$415, "&gt;="&amp;FW1,'Expenditure Breakdown'!$T$6:$T$415, "&lt;"&amp;FX1)</f>
        <v>0</v>
      </c>
      <c r="FX17" s="204">
        <f>SUMIFS('Expenditure Breakdown'!$U$6:$U$415, 'Expenditure Breakdown'!$T$6:$T$415, "&gt;="&amp;FX1,'Expenditure Breakdown'!$T$6:$T$415, "&lt;"&amp;FY1)</f>
        <v>0</v>
      </c>
      <c r="FY17" s="204">
        <f>SUMIFS('Expenditure Breakdown'!$U$6:$U$415, 'Expenditure Breakdown'!$T$6:$T$415, "&gt;="&amp;FY1,'Expenditure Breakdown'!$T$6:$T$415, "&lt;"&amp;FZ1)</f>
        <v>0</v>
      </c>
      <c r="FZ17" s="204">
        <f>SUMIFS('Expenditure Breakdown'!$U$6:$U$415, 'Expenditure Breakdown'!$T$6:$T$415, "&gt;="&amp;FZ1,'Expenditure Breakdown'!$T$6:$T$415, "&lt;"&amp;GA1)</f>
        <v>0</v>
      </c>
      <c r="GA17" s="204">
        <f>SUMIFS('Expenditure Breakdown'!$U$6:$U$415, 'Expenditure Breakdown'!$T$6:$T$415, "&gt;="&amp;GA1,'Expenditure Breakdown'!$T$6:$T$415, "&lt;"&amp;GB1)</f>
        <v>0</v>
      </c>
      <c r="GB17" s="204">
        <f>SUMIFS('Expenditure Breakdown'!$U$6:$U$415, 'Expenditure Breakdown'!$T$6:$T$415, "&gt;="&amp;GB1,'Expenditure Breakdown'!$T$6:$T$415, "&lt;"&amp;GC1)</f>
        <v>0</v>
      </c>
      <c r="GC17" s="204">
        <f>SUMIFS('Expenditure Breakdown'!$U$6:$U$415, 'Expenditure Breakdown'!$T$6:$T$415, "&gt;="&amp;GC1,'Expenditure Breakdown'!$T$6:$T$415, "&lt;"&amp;GD1)</f>
        <v>0</v>
      </c>
      <c r="GD17" s="204">
        <f>SUMIFS('Expenditure Breakdown'!$U$6:$U$415, 'Expenditure Breakdown'!$T$6:$T$415, "&gt;="&amp;GD1,'Expenditure Breakdown'!$T$6:$T$415, "&lt;"&amp;GE1)</f>
        <v>0</v>
      </c>
      <c r="GE17" s="204">
        <f>SUMIFS('Expenditure Breakdown'!$U$6:$U$415, 'Expenditure Breakdown'!$T$6:$T$415, "&gt;="&amp;GE1,'Expenditure Breakdown'!$T$6:$T$415, "&lt;"&amp;GF1)</f>
        <v>0</v>
      </c>
      <c r="GF17" s="204">
        <f>SUMIFS('Expenditure Breakdown'!$U$6:$U$415, 'Expenditure Breakdown'!$T$6:$T$415, "&gt;="&amp;GF1,'Expenditure Breakdown'!$T$6:$T$415, "&lt;"&amp;GG1)</f>
        <v>0</v>
      </c>
      <c r="GG17" s="204">
        <f>SUMIFS('Expenditure Breakdown'!$U$6:$U$415, 'Expenditure Breakdown'!$T$6:$T$415, "&gt;="&amp;GG1,'Expenditure Breakdown'!$T$6:$T$415, "&lt;"&amp;GH1)</f>
        <v>0</v>
      </c>
      <c r="GH17" s="204">
        <f>SUMIFS('Expenditure Breakdown'!$U$6:$U$415, 'Expenditure Breakdown'!$T$6:$T$415, "&gt;="&amp;GH1,'Expenditure Breakdown'!$T$6:$T$415, "&lt;"&amp;GI1)</f>
        <v>0</v>
      </c>
      <c r="GI17" s="204">
        <f>SUMIFS('Expenditure Breakdown'!$U$6:$U$415, 'Expenditure Breakdown'!$T$6:$T$415, "&gt;="&amp;GI1,'Expenditure Breakdown'!$T$6:$T$415, "&lt;"&amp;GJ1)</f>
        <v>0</v>
      </c>
      <c r="GJ17" s="204">
        <f>SUMIFS('Expenditure Breakdown'!$U$6:$U$415, 'Expenditure Breakdown'!$T$6:$T$415, "&gt;="&amp;GJ1,'Expenditure Breakdown'!$T$6:$T$415, "&lt;"&amp;GK1)</f>
        <v>0</v>
      </c>
      <c r="GK17" s="204">
        <f>SUMIFS('Expenditure Breakdown'!$U$6:$U$415, 'Expenditure Breakdown'!$T$6:$T$415, "&gt;="&amp;GK1,'Expenditure Breakdown'!$T$6:$T$415, "&lt;"&amp;GL1)</f>
        <v>0</v>
      </c>
      <c r="GL17" s="204">
        <f>SUMIFS('Expenditure Breakdown'!$U$6:$U$415, 'Expenditure Breakdown'!$T$6:$T$415, "&gt;="&amp;GL1,'Expenditure Breakdown'!$T$6:$T$415, "&lt;"&amp;GM1)</f>
        <v>0</v>
      </c>
      <c r="GM17" s="204">
        <f>SUMIFS('Expenditure Breakdown'!$U$6:$U$415, 'Expenditure Breakdown'!$T$6:$T$415, "&gt;="&amp;GM1,'Expenditure Breakdown'!$T$6:$T$415, "&lt;"&amp;GN1)</f>
        <v>0</v>
      </c>
      <c r="GN17" s="204">
        <f>SUMIFS('Expenditure Breakdown'!$U$6:$U$415, 'Expenditure Breakdown'!$T$6:$T$415, "&gt;="&amp;GN1,'Expenditure Breakdown'!$T$6:$T$415, "&lt;"&amp;GO1)</f>
        <v>0</v>
      </c>
      <c r="GO17" s="204">
        <f>SUMIFS('Expenditure Breakdown'!$U$6:$U$415, 'Expenditure Breakdown'!$T$6:$T$415, "&gt;="&amp;GO1,'Expenditure Breakdown'!$T$6:$T$415, "&lt;"&amp;GP1)</f>
        <v>0</v>
      </c>
      <c r="GP17" s="204">
        <f>SUMIFS('Expenditure Breakdown'!$U$6:$U$415, 'Expenditure Breakdown'!$T$6:$T$415, "&gt;="&amp;GP1,'Expenditure Breakdown'!$T$6:$T$415, "&lt;"&amp;GQ1)</f>
        <v>0</v>
      </c>
      <c r="GQ17" s="204">
        <f>SUMIFS('Expenditure Breakdown'!$U$6:$U$415, 'Expenditure Breakdown'!$T$6:$T$415, "&gt;="&amp;GQ1,'Expenditure Breakdown'!$T$6:$T$415, "&lt;"&amp;GR1)</f>
        <v>0</v>
      </c>
      <c r="GR17" s="204">
        <f>SUMIFS('Expenditure Breakdown'!$U$6:$U$415, 'Expenditure Breakdown'!$T$6:$T$415, "&gt;="&amp;GR1,'Expenditure Breakdown'!$T$6:$T$415, "&lt;"&amp;GS1)</f>
        <v>0</v>
      </c>
      <c r="GS17" s="204">
        <f>SUMIFS('Expenditure Breakdown'!$U$6:$U$415, 'Expenditure Breakdown'!$T$6:$T$415, "&gt;="&amp;GS1,'Expenditure Breakdown'!$T$6:$T$415, "&lt;"&amp;GT1)</f>
        <v>0</v>
      </c>
      <c r="GT17" s="204">
        <f>SUMIFS('Expenditure Breakdown'!$U$6:$U$415, 'Expenditure Breakdown'!$T$6:$T$415, "&gt;="&amp;GT1,'Expenditure Breakdown'!$T$6:$T$415, "&lt;"&amp;GU1)</f>
        <v>0</v>
      </c>
      <c r="GU17" s="204">
        <f>SUMIFS('Expenditure Breakdown'!$U$6:$U$415, 'Expenditure Breakdown'!$T$6:$T$415, "&gt;="&amp;GU1,'Expenditure Breakdown'!$T$6:$T$415, "&lt;"&amp;GV1)</f>
        <v>0</v>
      </c>
      <c r="GV17" s="204">
        <f>SUMIFS('Expenditure Breakdown'!$U$6:$U$415, 'Expenditure Breakdown'!$T$6:$T$415, "&gt;="&amp;GV1,'Expenditure Breakdown'!$T$6:$T$415, "&lt;"&amp;GW1)</f>
        <v>0</v>
      </c>
      <c r="GW17" s="204">
        <f>SUMIFS('Expenditure Breakdown'!$U$6:$U$415, 'Expenditure Breakdown'!$T$6:$T$415, "&gt;="&amp;GW1,'Expenditure Breakdown'!$T$6:$T$415, "&lt;"&amp;GX1)</f>
        <v>0</v>
      </c>
      <c r="GX17" s="204">
        <f>SUMIFS('Expenditure Breakdown'!$U$6:$U$415, 'Expenditure Breakdown'!$T$6:$T$415, "&gt;="&amp;GX1,'Expenditure Breakdown'!$T$6:$T$415, "&lt;"&amp;GY1)</f>
        <v>0</v>
      </c>
      <c r="GY17" s="204">
        <f>SUMIFS('Expenditure Breakdown'!$U$6:$U$415, 'Expenditure Breakdown'!$T$6:$T$415, "&gt;="&amp;GY1,'Expenditure Breakdown'!$T$6:$T$415, "&lt;"&amp;GZ1)</f>
        <v>0</v>
      </c>
      <c r="GZ17" s="204">
        <f>SUMIFS('Expenditure Breakdown'!$U$6:$U$415, 'Expenditure Breakdown'!$T$6:$T$415, "&gt;="&amp;GZ1,'Expenditure Breakdown'!$T$6:$T$415, "&lt;"&amp;HA1)</f>
        <v>0</v>
      </c>
      <c r="HA17" s="204">
        <f>SUMIFS('Expenditure Breakdown'!$U$6:$U$415, 'Expenditure Breakdown'!$T$6:$T$415, "&gt;="&amp;HA1,'Expenditure Breakdown'!$T$6:$T$415, "&lt;"&amp;HB1)</f>
        <v>0</v>
      </c>
      <c r="HB17" s="204">
        <f>SUMIFS('Expenditure Breakdown'!$U$6:$U$415, 'Expenditure Breakdown'!$T$6:$T$415, "&gt;="&amp;HB1,'Expenditure Breakdown'!$T$6:$T$415, "&lt;"&amp;HC1)</f>
        <v>0</v>
      </c>
      <c r="HC17" s="204">
        <f>SUMIFS('Expenditure Breakdown'!$U$6:$U$415, 'Expenditure Breakdown'!$T$6:$T$415, "&gt;="&amp;HC1,'Expenditure Breakdown'!$T$6:$T$415, "&lt;"&amp;HD1)</f>
        <v>0</v>
      </c>
      <c r="HD17" s="204">
        <f>SUMIFS('Expenditure Breakdown'!$U$6:$U$415, 'Expenditure Breakdown'!$T$6:$T$415, "&gt;="&amp;HD1,'Expenditure Breakdown'!$T$6:$T$415, "&lt;"&amp;HE1)</f>
        <v>0</v>
      </c>
      <c r="HE17" s="204">
        <f>SUMIFS('Expenditure Breakdown'!$U$6:$U$415, 'Expenditure Breakdown'!$T$6:$T$415, "&gt;="&amp;HE1,'Expenditure Breakdown'!$T$6:$T$415, "&lt;"&amp;HF1)</f>
        <v>0</v>
      </c>
      <c r="HF17" s="204">
        <f>SUMIFS('Expenditure Breakdown'!$U$6:$U$415, 'Expenditure Breakdown'!$T$6:$T$415, "&gt;="&amp;HF1,'Expenditure Breakdown'!$T$6:$T$415, "&lt;"&amp;HG1)</f>
        <v>0</v>
      </c>
      <c r="HG17" s="204">
        <f>SUMIFS('Expenditure Breakdown'!$U$6:$U$415, 'Expenditure Breakdown'!$T$6:$T$415, "&gt;="&amp;HG1,'Expenditure Breakdown'!$T$6:$T$415, "&lt;"&amp;HH1)</f>
        <v>0</v>
      </c>
      <c r="HH17" s="204">
        <f>SUMIFS('Expenditure Breakdown'!$U$6:$U$415, 'Expenditure Breakdown'!$T$6:$T$415, "&gt;="&amp;HH1,'Expenditure Breakdown'!$T$6:$T$415, "&lt;"&amp;HI1)</f>
        <v>0</v>
      </c>
      <c r="HI17" s="204">
        <f>SUMIFS('Expenditure Breakdown'!$U$6:$U$415, 'Expenditure Breakdown'!$T$6:$T$415, "&gt;="&amp;HI1,'Expenditure Breakdown'!$T$6:$T$415, "&lt;"&amp;HJ1)</f>
        <v>0</v>
      </c>
      <c r="HJ17" s="204">
        <f>SUMIFS('Expenditure Breakdown'!$U$6:$U$415, 'Expenditure Breakdown'!$T$6:$T$415, "&gt;="&amp;HJ1,'Expenditure Breakdown'!$T$6:$T$415, "&lt;"&amp;HK1)</f>
        <v>0</v>
      </c>
      <c r="HK17" s="204">
        <f>SUMIFS('Expenditure Breakdown'!$U$6:$U$415, 'Expenditure Breakdown'!$T$6:$T$415, "&gt;="&amp;HK1,'Expenditure Breakdown'!$T$6:$T$415, "&lt;"&amp;HL1)</f>
        <v>0</v>
      </c>
      <c r="HL17" s="204">
        <f>SUMIFS('Expenditure Breakdown'!$U$6:$U$415, 'Expenditure Breakdown'!$T$6:$T$415, "&gt;="&amp;HL1,'Expenditure Breakdown'!$T$6:$T$415, "&lt;"&amp;HM1)</f>
        <v>0</v>
      </c>
      <c r="HM17" s="204">
        <f>SUMIFS('Expenditure Breakdown'!$U$6:$U$415, 'Expenditure Breakdown'!$T$6:$T$415, "&gt;="&amp;HM1,'Expenditure Breakdown'!$T$6:$T$415, "&lt;"&amp;HN1)</f>
        <v>0</v>
      </c>
      <c r="HN17" s="204">
        <f>SUMIFS('Expenditure Breakdown'!$U$6:$U$415, 'Expenditure Breakdown'!$T$6:$T$415, "&gt;="&amp;HN1,'Expenditure Breakdown'!$T$6:$T$415, "&lt;"&amp;HO1)</f>
        <v>0</v>
      </c>
      <c r="HO17" s="204">
        <f>SUMIFS('Expenditure Breakdown'!$U$6:$U$415, 'Expenditure Breakdown'!$T$6:$T$415, "&gt;="&amp;HO1,'Expenditure Breakdown'!$T$6:$T$415, "&lt;"&amp;HP1)</f>
        <v>0</v>
      </c>
      <c r="HP17" s="204">
        <f>SUMIFS('Expenditure Breakdown'!$U$6:$U$415, 'Expenditure Breakdown'!$T$6:$T$415, "&gt;="&amp;HP1,'Expenditure Breakdown'!$T$6:$T$415, "&lt;"&amp;HQ1)</f>
        <v>0</v>
      </c>
      <c r="HQ17" s="204">
        <f>SUMIFS('Expenditure Breakdown'!$U$6:$U$415, 'Expenditure Breakdown'!$T$6:$T$415, "&gt;="&amp;HQ1,'Expenditure Breakdown'!$T$6:$T$415, "&lt;"&amp;HR1)</f>
        <v>0</v>
      </c>
      <c r="HR17" s="204">
        <f>SUMIFS('Expenditure Breakdown'!$U$6:$U$415, 'Expenditure Breakdown'!$T$6:$T$415, "&gt;="&amp;HR1,'Expenditure Breakdown'!$T$6:$T$415, "&lt;"&amp;HS1)</f>
        <v>0</v>
      </c>
      <c r="HS17" s="204">
        <f>SUMIFS('Expenditure Breakdown'!$U$6:$U$415, 'Expenditure Breakdown'!$T$6:$T$415, "&gt;="&amp;HS1,'Expenditure Breakdown'!$T$6:$T$415, "&lt;"&amp;HT1)</f>
        <v>0</v>
      </c>
      <c r="HT17" s="204">
        <f>SUMIFS('Expenditure Breakdown'!$U$6:$U$415, 'Expenditure Breakdown'!$T$6:$T$415, "&gt;="&amp;HT1,'Expenditure Breakdown'!$T$6:$T$415, "&lt;"&amp;HU1)</f>
        <v>0</v>
      </c>
      <c r="HU17" s="204">
        <f>SUMIFS('Expenditure Breakdown'!$U$6:$U$415, 'Expenditure Breakdown'!$T$6:$T$415, "&gt;="&amp;HU1,'Expenditure Breakdown'!$T$6:$T$415, "&lt;"&amp;HV1)</f>
        <v>0</v>
      </c>
      <c r="HV17" s="204">
        <f>SUMIFS('Expenditure Breakdown'!$U$6:$U$415, 'Expenditure Breakdown'!$T$6:$T$415, "&gt;="&amp;HV1,'Expenditure Breakdown'!$T$6:$T$415, "&lt;"&amp;HW1)</f>
        <v>0</v>
      </c>
      <c r="HW17" s="204">
        <f>SUMIFS('Expenditure Breakdown'!$U$6:$U$415, 'Expenditure Breakdown'!$T$6:$T$415, "&gt;="&amp;HW1,'Expenditure Breakdown'!$T$6:$T$415, "&lt;"&amp;HX1)</f>
        <v>0</v>
      </c>
      <c r="HX17" s="204">
        <f>SUMIFS('Expenditure Breakdown'!$U$6:$U$415, 'Expenditure Breakdown'!$T$6:$T$415, "&gt;="&amp;HX1,'Expenditure Breakdown'!$T$6:$T$415, "&lt;"&amp;HY1)</f>
        <v>0</v>
      </c>
      <c r="HY17" s="204">
        <f>SUMIFS('Expenditure Breakdown'!$U$6:$U$415, 'Expenditure Breakdown'!$T$6:$T$415, "&gt;="&amp;HY1,'Expenditure Breakdown'!$T$6:$T$415, "&lt;"&amp;HZ1)</f>
        <v>0</v>
      </c>
      <c r="HZ17" s="204">
        <f>SUMIFS('Expenditure Breakdown'!$U$6:$U$415, 'Expenditure Breakdown'!$T$6:$T$415, "&gt;="&amp;HZ1,'Expenditure Breakdown'!$T$6:$T$415, "&lt;"&amp;IA1)</f>
        <v>0</v>
      </c>
      <c r="IA17" s="204">
        <f>SUMIFS('Expenditure Breakdown'!$U$6:$U$415, 'Expenditure Breakdown'!$T$6:$T$415, "&gt;="&amp;IA1,'Expenditure Breakdown'!$T$6:$T$415, "&lt;"&amp;IB1)</f>
        <v>0</v>
      </c>
      <c r="IB17" s="204">
        <f>SUMIFS('Expenditure Breakdown'!$U$6:$U$415, 'Expenditure Breakdown'!$T$6:$T$415, "&gt;="&amp;IB1,'Expenditure Breakdown'!$T$6:$T$415, "&lt;"&amp;IC1)</f>
        <v>0</v>
      </c>
      <c r="IC17" s="204">
        <f>SUMIFS('Expenditure Breakdown'!$U$6:$U$415, 'Expenditure Breakdown'!$T$6:$T$415, "&gt;="&amp;IC1,'Expenditure Breakdown'!$T$6:$T$415, "&lt;"&amp;ID1)</f>
        <v>0</v>
      </c>
      <c r="ID17" s="204">
        <f>SUMIFS('Expenditure Breakdown'!$U$6:$U$415, 'Expenditure Breakdown'!$T$6:$T$415, "&gt;="&amp;ID1,'Expenditure Breakdown'!$T$6:$T$415, "&lt;"&amp;IE1)</f>
        <v>0</v>
      </c>
      <c r="IE17" s="204">
        <f>SUMIFS('Expenditure Breakdown'!$U$6:$U$415, 'Expenditure Breakdown'!$T$6:$T$415, "&gt;="&amp;IE1,'Expenditure Breakdown'!$T$6:$T$415, "&lt;"&amp;IF1)</f>
        <v>0</v>
      </c>
      <c r="IF17" s="204">
        <f>SUMIFS('Expenditure Breakdown'!$U$6:$U$415, 'Expenditure Breakdown'!$T$6:$T$415, "&gt;="&amp;IF1,'Expenditure Breakdown'!$T$6:$T$415, "&lt;"&amp;IG1)</f>
        <v>0</v>
      </c>
      <c r="IG17" s="204">
        <f>SUMIFS('Expenditure Breakdown'!$U$6:$U$415, 'Expenditure Breakdown'!$T$6:$T$415, "&gt;="&amp;IG1,'Expenditure Breakdown'!$T$6:$T$415, "&lt;"&amp;IH1)</f>
        <v>0</v>
      </c>
      <c r="IH17" s="204">
        <f>SUMIFS('Expenditure Breakdown'!$U$6:$U$415, 'Expenditure Breakdown'!$T$6:$T$415, "&gt;="&amp;IH1,'Expenditure Breakdown'!$T$6:$T$415, "&lt;"&amp;II1)</f>
        <v>0</v>
      </c>
      <c r="II17" s="204">
        <f>SUMIFS('Expenditure Breakdown'!$U$6:$U$415, 'Expenditure Breakdown'!$T$6:$T$415, "&gt;="&amp;II1,'Expenditure Breakdown'!$T$6:$T$415, "&lt;"&amp;IJ1)</f>
        <v>0</v>
      </c>
      <c r="IJ17" s="204">
        <f>SUMIFS('Expenditure Breakdown'!$U$6:$U$415, 'Expenditure Breakdown'!$T$6:$T$415, "&gt;="&amp;IJ1,'Expenditure Breakdown'!$T$6:$T$415, "&lt;"&amp;IK1)</f>
        <v>0</v>
      </c>
      <c r="IK17" s="204">
        <f>SUMIFS('Expenditure Breakdown'!$U$6:$U$415, 'Expenditure Breakdown'!$T$6:$T$415, "&gt;="&amp;IK1,'Expenditure Breakdown'!$T$6:$T$415, "&lt;"&amp;IL1)</f>
        <v>0</v>
      </c>
      <c r="IL17" s="204">
        <f>SUMIFS('Expenditure Breakdown'!$U$6:$U$415, 'Expenditure Breakdown'!$T$6:$T$415, "&gt;="&amp;IL1,'Expenditure Breakdown'!$T$6:$T$415, "&lt;"&amp;IM1)</f>
        <v>0</v>
      </c>
      <c r="IM17" s="204">
        <f>SUMIFS('Expenditure Breakdown'!$U$6:$U$415, 'Expenditure Breakdown'!$T$6:$T$415, "&gt;="&amp;IM1,'Expenditure Breakdown'!$T$6:$T$415, "&lt;"&amp;IN1)</f>
        <v>0</v>
      </c>
      <c r="IN17" s="204">
        <f>SUMIFS('Expenditure Breakdown'!$U$6:$U$415, 'Expenditure Breakdown'!$T$6:$T$415, "&gt;="&amp;IN1,'Expenditure Breakdown'!$T$6:$T$415, "&lt;"&amp;IO1)</f>
        <v>0</v>
      </c>
      <c r="IO17" s="204">
        <f>SUMIFS('Expenditure Breakdown'!$U$6:$U$415, 'Expenditure Breakdown'!$T$6:$T$415, "&gt;="&amp;IO1,'Expenditure Breakdown'!$T$6:$T$415, "&lt;"&amp;IP1)</f>
        <v>0</v>
      </c>
      <c r="IP17" s="204">
        <f>SUMIFS('Expenditure Breakdown'!$U$6:$U$415, 'Expenditure Breakdown'!$T$6:$T$415, "&gt;="&amp;IP1,'Expenditure Breakdown'!$T$6:$T$415, "&lt;"&amp;IQ1)</f>
        <v>0</v>
      </c>
      <c r="IQ17" s="204">
        <f>SUMIFS('Expenditure Breakdown'!$U$6:$U$415, 'Expenditure Breakdown'!$T$6:$T$415, "&gt;="&amp;IQ1,'Expenditure Breakdown'!$T$6:$T$415, "&lt;"&amp;IR1)</f>
        <v>0</v>
      </c>
      <c r="IR17" s="204">
        <f>SUMIFS('Expenditure Breakdown'!$U$6:$U$415, 'Expenditure Breakdown'!$T$6:$T$415, "&gt;="&amp;IR1,'Expenditure Breakdown'!$T$6:$T$415, "&lt;"&amp;IS1)</f>
        <v>0</v>
      </c>
      <c r="IS17" s="204">
        <f>SUMIFS('Expenditure Breakdown'!$U$6:$U$415, 'Expenditure Breakdown'!$T$6:$T$415, "&gt;="&amp;IS1,'Expenditure Breakdown'!$T$6:$T$415, "&lt;"&amp;IT1)</f>
        <v>0</v>
      </c>
      <c r="IT17" s="204">
        <f>SUMIFS('Expenditure Breakdown'!$U$6:$U$415, 'Expenditure Breakdown'!$T$6:$T$415, "&gt;="&amp;IT1,'Expenditure Breakdown'!$T$6:$T$415, "&lt;"&amp;IU1)</f>
        <v>0</v>
      </c>
      <c r="IU17" s="204">
        <f>SUMIFS('Expenditure Breakdown'!$U$6:$U$415, 'Expenditure Breakdown'!$T$6:$T$415, "&gt;="&amp;IU1,'Expenditure Breakdown'!$T$6:$T$415, "&lt;"&amp;IV1)</f>
        <v>0</v>
      </c>
      <c r="IV17" s="204">
        <f>SUMIFS('Expenditure Breakdown'!$U$6:$U$415, 'Expenditure Breakdown'!$T$6:$T$415, "&gt;="&amp;IV1,'Expenditure Breakdown'!$T$6:$T$415, "&lt;"&amp;IW1)</f>
        <v>0</v>
      </c>
      <c r="IW17" s="204">
        <f>SUMIFS('Expenditure Breakdown'!$U$6:$U$415, 'Expenditure Breakdown'!$T$6:$T$415, "&gt;="&amp;IW1,'Expenditure Breakdown'!$T$6:$T$415, "&lt;"&amp;IX1)</f>
        <v>0</v>
      </c>
      <c r="IX17" s="204">
        <f>SUMIFS('Expenditure Breakdown'!$U$6:$U$415, 'Expenditure Breakdown'!$T$6:$T$415, "&gt;="&amp;IX1,'Expenditure Breakdown'!$T$6:$T$415, "&lt;"&amp;IY1)</f>
        <v>0</v>
      </c>
      <c r="IY17" s="204">
        <f>SUMIFS('Expenditure Breakdown'!$U$6:$U$415, 'Expenditure Breakdown'!$T$6:$T$415, "&gt;="&amp;IY1,'Expenditure Breakdown'!$T$6:$T$415, "&lt;"&amp;IZ1)</f>
        <v>0</v>
      </c>
      <c r="IZ17" s="204">
        <f>SUMIFS('Expenditure Breakdown'!$U$6:$U$415, 'Expenditure Breakdown'!$T$6:$T$415, "&gt;="&amp;IZ1,'Expenditure Breakdown'!$T$6:$T$415, "&lt;"&amp;JA1)</f>
        <v>0</v>
      </c>
      <c r="JA17" s="204">
        <f>SUMIFS('Expenditure Breakdown'!$U$6:$U$415, 'Expenditure Breakdown'!$T$6:$T$415, "&gt;="&amp;JA1,'Expenditure Breakdown'!$T$6:$T$415, "&lt;"&amp;JB1)</f>
        <v>0</v>
      </c>
      <c r="JB17" s="204">
        <f>SUMIFS('Expenditure Breakdown'!$U$6:$U$415, 'Expenditure Breakdown'!$T$6:$T$415, "&gt;="&amp;JB1,'Expenditure Breakdown'!$T$6:$T$415, "&lt;"&amp;JC1)</f>
        <v>0</v>
      </c>
      <c r="JC17" s="204">
        <f>SUMIFS('Expenditure Breakdown'!$U$6:$U$415, 'Expenditure Breakdown'!$T$6:$T$415, "&gt;="&amp;JC1,'Expenditure Breakdown'!$T$6:$T$415, "&lt;"&amp;JD1)</f>
        <v>0</v>
      </c>
      <c r="JD17" s="204">
        <f>SUMIFS('Expenditure Breakdown'!$U$6:$U$415, 'Expenditure Breakdown'!$T$6:$T$415, "&gt;="&amp;JD1,'Expenditure Breakdown'!$T$6:$T$415, "&lt;"&amp;JE1)</f>
        <v>0</v>
      </c>
      <c r="JE17" s="204">
        <f>SUMIFS('Expenditure Breakdown'!$U$6:$U$415, 'Expenditure Breakdown'!$T$6:$T$415, "&gt;="&amp;JE1,'Expenditure Breakdown'!$T$6:$T$415, "&lt;"&amp;JF1)</f>
        <v>0</v>
      </c>
      <c r="JF17" s="204">
        <f>SUMIFS('Expenditure Breakdown'!$U$6:$U$415, 'Expenditure Breakdown'!$T$6:$T$415, "&gt;="&amp;JF1,'Expenditure Breakdown'!$T$6:$T$415, "&lt;"&amp;JG1)</f>
        <v>0</v>
      </c>
      <c r="JG17" s="204">
        <f>SUMIFS('Expenditure Breakdown'!$U$6:$U$415, 'Expenditure Breakdown'!$T$6:$T$415, "&gt;="&amp;JG1,'Expenditure Breakdown'!$T$6:$T$415, "&lt;"&amp;JH1)</f>
        <v>0</v>
      </c>
      <c r="JH17" s="204">
        <f>SUMIFS('Expenditure Breakdown'!$U$6:$U$415, 'Expenditure Breakdown'!$T$6:$T$415, "&gt;="&amp;JH1,'Expenditure Breakdown'!$T$6:$T$415, "&lt;"&amp;JI1)</f>
        <v>0</v>
      </c>
      <c r="JI17" s="204">
        <f>SUMIFS('Expenditure Breakdown'!$U$6:$U$415, 'Expenditure Breakdown'!$T$6:$T$415, "&gt;="&amp;JI1,'Expenditure Breakdown'!$T$6:$T$415, "&lt;"&amp;JJ1)</f>
        <v>0</v>
      </c>
      <c r="JJ17" s="204">
        <f>SUMIFS('Expenditure Breakdown'!$U$6:$U$415, 'Expenditure Breakdown'!$T$6:$T$415, "&gt;="&amp;JJ1,'Expenditure Breakdown'!$T$6:$T$415, "&lt;"&amp;JK1)</f>
        <v>0</v>
      </c>
      <c r="JK17" s="204">
        <f>SUMIFS('Expenditure Breakdown'!$U$6:$U$415, 'Expenditure Breakdown'!$T$6:$T$415, "&gt;="&amp;JK1,'Expenditure Breakdown'!$T$6:$T$415, "&lt;"&amp;JL1)</f>
        <v>0</v>
      </c>
      <c r="JL17" s="204">
        <f>SUMIFS('Expenditure Breakdown'!$U$6:$U$415, 'Expenditure Breakdown'!$T$6:$T$415, "&gt;="&amp;JL1,'Expenditure Breakdown'!$T$6:$T$415, "&lt;"&amp;JM1)</f>
        <v>0</v>
      </c>
      <c r="JM17" s="204">
        <f>SUMIFS('Expenditure Breakdown'!$U$6:$U$415, 'Expenditure Breakdown'!$T$6:$T$415, "&gt;="&amp;JM1,'Expenditure Breakdown'!$T$6:$T$415, "&lt;"&amp;JN1)</f>
        <v>0</v>
      </c>
      <c r="JN17" s="204">
        <f>SUMIFS('Expenditure Breakdown'!$U$6:$U$415, 'Expenditure Breakdown'!$T$6:$T$415, "&gt;="&amp;JN1,'Expenditure Breakdown'!$T$6:$T$415, "&lt;"&amp;JO1)</f>
        <v>0</v>
      </c>
      <c r="JO17" s="204">
        <f>SUMIFS('Expenditure Breakdown'!$U$6:$U$415, 'Expenditure Breakdown'!$T$6:$T$415, "&gt;="&amp;JO1,'Expenditure Breakdown'!$T$6:$T$415, "&lt;"&amp;JP1)</f>
        <v>0</v>
      </c>
      <c r="JP17" s="204">
        <f>SUMIFS('Expenditure Breakdown'!$U$6:$U$415, 'Expenditure Breakdown'!$T$6:$T$415, "&gt;="&amp;JP1,'Expenditure Breakdown'!$T$6:$T$415, "&lt;"&amp;JQ1)</f>
        <v>0</v>
      </c>
      <c r="JQ17" s="204">
        <f>SUMIFS('Expenditure Breakdown'!$U$6:$U$415, 'Expenditure Breakdown'!$T$6:$T$415, "&gt;="&amp;JQ1,'Expenditure Breakdown'!$T$6:$T$415, "&lt;"&amp;JR1)</f>
        <v>0</v>
      </c>
      <c r="JR17" s="204">
        <f>SUMIFS('Expenditure Breakdown'!$U$6:$U$415, 'Expenditure Breakdown'!$T$6:$T$415, "&gt;="&amp;JR1,'Expenditure Breakdown'!$T$6:$T$415, "&lt;"&amp;JS1)</f>
        <v>0</v>
      </c>
      <c r="JS17" s="204">
        <f>SUMIFS('Expenditure Breakdown'!$U$6:$U$415, 'Expenditure Breakdown'!$T$6:$T$415, "&gt;="&amp;JS1,'Expenditure Breakdown'!$T$6:$T$415, "&lt;"&amp;JT1)</f>
        <v>0</v>
      </c>
      <c r="JT17" s="204">
        <f>SUMIFS('Expenditure Breakdown'!$U$6:$U$415, 'Expenditure Breakdown'!$T$6:$T$415, "&gt;="&amp;JT1,'Expenditure Breakdown'!$T$6:$T$415, "&lt;"&amp;JU1)</f>
        <v>0</v>
      </c>
      <c r="JU17" s="204">
        <f>SUMIFS('Expenditure Breakdown'!$U$6:$U$415, 'Expenditure Breakdown'!$T$6:$T$415, "&gt;="&amp;JU1,'Expenditure Breakdown'!$T$6:$T$415, "&lt;"&amp;JV1)</f>
        <v>0</v>
      </c>
      <c r="JV17" s="204">
        <f>SUMIFS('Expenditure Breakdown'!$U$6:$U$415, 'Expenditure Breakdown'!$T$6:$T$415, "&gt;="&amp;JV1,'Expenditure Breakdown'!$T$6:$T$415, "&lt;"&amp;JW1)</f>
        <v>0</v>
      </c>
      <c r="JW17" s="204">
        <f>SUMIFS('Expenditure Breakdown'!$U$6:$U$415, 'Expenditure Breakdown'!$T$6:$T$415, "&gt;="&amp;JW1,'Expenditure Breakdown'!$T$6:$T$415, "&lt;"&amp;JX1)</f>
        <v>0</v>
      </c>
      <c r="JX17" s="204">
        <f>SUMIFS('Expenditure Breakdown'!$U$6:$U$415, 'Expenditure Breakdown'!$T$6:$T$415, "&gt;="&amp;JX1,'Expenditure Breakdown'!$T$6:$T$415, "&lt;"&amp;JY1)</f>
        <v>0</v>
      </c>
      <c r="JY17" s="204">
        <f>SUMIFS('Expenditure Breakdown'!$U$6:$U$415, 'Expenditure Breakdown'!$T$6:$T$415, "&gt;="&amp;JY1,'Expenditure Breakdown'!$T$6:$T$415, "&lt;"&amp;JZ1)</f>
        <v>0</v>
      </c>
      <c r="JZ17" s="204">
        <f>SUMIFS('Expenditure Breakdown'!$U$6:$U$415, 'Expenditure Breakdown'!$T$6:$T$415, "&gt;="&amp;JZ1,'Expenditure Breakdown'!$T$6:$T$415, "&lt;"&amp;KA1)</f>
        <v>0</v>
      </c>
      <c r="KA17" s="204">
        <f>SUMIFS('Expenditure Breakdown'!$U$6:$U$415, 'Expenditure Breakdown'!$T$6:$T$415, "&gt;="&amp;KA1,'Expenditure Breakdown'!$T$6:$T$415, "&lt;"&amp;KB1)</f>
        <v>0</v>
      </c>
      <c r="KB17" s="204">
        <f>SUMIFS('Expenditure Breakdown'!$U$6:$U$415, 'Expenditure Breakdown'!$T$6:$T$415, "&gt;="&amp;KB1,'Expenditure Breakdown'!$T$6:$T$415, "&lt;"&amp;KC1)</f>
        <v>0</v>
      </c>
      <c r="KC17" s="204">
        <f>SUMIFS('Expenditure Breakdown'!$U$6:$U$415, 'Expenditure Breakdown'!$T$6:$T$415, "&gt;="&amp;KC1,'Expenditure Breakdown'!$T$6:$T$415, "&lt;"&amp;KD1)</f>
        <v>0</v>
      </c>
      <c r="KD17" s="204">
        <f>SUMIFS('Expenditure Breakdown'!$U$6:$U$415, 'Expenditure Breakdown'!$T$6:$T$415, "&gt;="&amp;KD1,'Expenditure Breakdown'!$T$6:$T$415, "&lt;"&amp;KE1)</f>
        <v>0</v>
      </c>
      <c r="KE17" s="204">
        <f>SUMIFS('Expenditure Breakdown'!$U$6:$U$415, 'Expenditure Breakdown'!$T$6:$T$415, "&gt;="&amp;KE1,'Expenditure Breakdown'!$T$6:$T$415, "&lt;"&amp;KF1)</f>
        <v>0</v>
      </c>
      <c r="KF17" s="204">
        <f>SUMIFS('Expenditure Breakdown'!$U$6:$U$415, 'Expenditure Breakdown'!$T$6:$T$415, "&gt;="&amp;KF1,'Expenditure Breakdown'!$T$6:$T$415, "&lt;"&amp;KG1)</f>
        <v>0</v>
      </c>
      <c r="KG17" s="204">
        <f>SUMIFS('Expenditure Breakdown'!$U$6:$U$415, 'Expenditure Breakdown'!$T$6:$T$415, "&gt;="&amp;KG1,'Expenditure Breakdown'!$T$6:$T$415, "&lt;"&amp;KH1)</f>
        <v>0</v>
      </c>
      <c r="KH17" s="204">
        <f>SUMIFS('Expenditure Breakdown'!$U$6:$U$415, 'Expenditure Breakdown'!$T$6:$T$415, "&gt;="&amp;KH1,'Expenditure Breakdown'!$T$6:$T$415, "&lt;"&amp;KI1)</f>
        <v>0</v>
      </c>
      <c r="KI17" s="204">
        <f>SUMIFS('Expenditure Breakdown'!$U$6:$U$415, 'Expenditure Breakdown'!$T$6:$T$415, "&gt;="&amp;KI1,'Expenditure Breakdown'!$T$6:$T$415, "&lt;"&amp;KJ1)</f>
        <v>0</v>
      </c>
      <c r="KJ17" s="204">
        <f>SUMIFS('Expenditure Breakdown'!$U$6:$U$415, 'Expenditure Breakdown'!$T$6:$T$415, "&gt;="&amp;KJ1,'Expenditure Breakdown'!$T$6:$T$415, "&lt;"&amp;KK1)</f>
        <v>0</v>
      </c>
      <c r="KK17" s="204">
        <f>SUMIFS('Expenditure Breakdown'!$U$6:$U$415, 'Expenditure Breakdown'!$T$6:$T$415, "&gt;="&amp;KK1,'Expenditure Breakdown'!$T$6:$T$415, "&lt;"&amp;KL1)</f>
        <v>0</v>
      </c>
      <c r="KL17" s="204">
        <f>SUMIFS('Expenditure Breakdown'!$U$6:$U$415, 'Expenditure Breakdown'!$T$6:$T$415, "&gt;="&amp;KL1,'Expenditure Breakdown'!$T$6:$T$415, "&lt;"&amp;KM1)</f>
        <v>0</v>
      </c>
      <c r="KM17" s="204">
        <f>SUMIFS('Expenditure Breakdown'!$U$6:$U$415, 'Expenditure Breakdown'!$T$6:$T$415, "&gt;="&amp;KM1,'Expenditure Breakdown'!$T$6:$T$415, "&lt;"&amp;KN1)</f>
        <v>0</v>
      </c>
      <c r="KN17" s="204">
        <f>SUMIFS('Expenditure Breakdown'!$U$6:$U$415, 'Expenditure Breakdown'!$T$6:$T$415, "&gt;="&amp;KN1,'Expenditure Breakdown'!$T$6:$T$415, "&lt;"&amp;KO1)</f>
        <v>0</v>
      </c>
      <c r="KO17" s="204">
        <f>SUMIFS('Expenditure Breakdown'!$U$6:$U$415, 'Expenditure Breakdown'!$T$6:$T$415, "&gt;="&amp;KO1,'Expenditure Breakdown'!$T$6:$T$415, "&lt;"&amp;KP1)</f>
        <v>0</v>
      </c>
      <c r="KP17" s="204">
        <f>SUMIFS('Expenditure Breakdown'!$U$6:$U$415, 'Expenditure Breakdown'!$T$6:$T$415, "&gt;="&amp;KP1,'Expenditure Breakdown'!$T$6:$T$415, "&lt;"&amp;KQ1)</f>
        <v>0</v>
      </c>
      <c r="KQ17" s="204">
        <f>SUMIFS('Expenditure Breakdown'!$U$6:$U$415, 'Expenditure Breakdown'!$T$6:$T$415, "&gt;="&amp;KQ1,'Expenditure Breakdown'!$T$6:$T$415, "&lt;"&amp;KR1)</f>
        <v>0</v>
      </c>
      <c r="KR17" s="204">
        <f>SUMIFS('Expenditure Breakdown'!$U$6:$U$415, 'Expenditure Breakdown'!$T$6:$T$415, "&gt;="&amp;KR1,'Expenditure Breakdown'!$T$6:$T$415, "&lt;"&amp;KS1)</f>
        <v>0</v>
      </c>
      <c r="KS17" s="204">
        <f>SUMIFS('Expenditure Breakdown'!$U$6:$U$415, 'Expenditure Breakdown'!$T$6:$T$415, "&gt;="&amp;KS1,'Expenditure Breakdown'!$T$6:$T$415, "&lt;"&amp;KT1)</f>
        <v>0</v>
      </c>
      <c r="KT17" s="204">
        <f>SUMIFS('Expenditure Breakdown'!$U$6:$U$415, 'Expenditure Breakdown'!$T$6:$T$415, "&gt;="&amp;KT1,'Expenditure Breakdown'!$T$6:$T$415, "&lt;"&amp;KU1)</f>
        <v>0</v>
      </c>
      <c r="KU17" s="204">
        <f>SUMIFS('Expenditure Breakdown'!$U$6:$U$415, 'Expenditure Breakdown'!$T$6:$T$415, "&gt;="&amp;KU1,'Expenditure Breakdown'!$T$6:$T$415, "&lt;"&amp;KV1)</f>
        <v>0</v>
      </c>
      <c r="KV17" s="204">
        <f>SUMIFS('Expenditure Breakdown'!$U$6:$U$415, 'Expenditure Breakdown'!$T$6:$T$415, "&gt;="&amp;KV1,'Expenditure Breakdown'!$T$6:$T$415, "&lt;"&amp;KW1)</f>
        <v>0</v>
      </c>
      <c r="KW17" s="204">
        <f>SUMIFS('Expenditure Breakdown'!$U$6:$U$415, 'Expenditure Breakdown'!$T$6:$T$415, "&gt;="&amp;KW1,'Expenditure Breakdown'!$T$6:$T$415, "&lt;"&amp;KX1)</f>
        <v>0</v>
      </c>
      <c r="KX17" s="204">
        <f>SUMIFS('Expenditure Breakdown'!$U$6:$U$415, 'Expenditure Breakdown'!$T$6:$T$415, "&gt;="&amp;KX1,'Expenditure Breakdown'!$T$6:$T$415, "&lt;"&amp;KY1)</f>
        <v>0</v>
      </c>
      <c r="KY17" s="204">
        <f>SUMIFS('Expenditure Breakdown'!$U$6:$U$415, 'Expenditure Breakdown'!$T$6:$T$415, "&gt;="&amp;KY1,'Expenditure Breakdown'!$T$6:$T$415, "&lt;"&amp;KZ1)</f>
        <v>0</v>
      </c>
      <c r="KZ17" s="204">
        <f>SUMIFS('Expenditure Breakdown'!$U$6:$U$415, 'Expenditure Breakdown'!$T$6:$T$415, "&gt;="&amp;KZ1,'Expenditure Breakdown'!$T$6:$T$415, "&lt;"&amp;LA1)</f>
        <v>0</v>
      </c>
      <c r="LA17" s="204">
        <f>SUMIFS('Expenditure Breakdown'!$U$6:$U$415, 'Expenditure Breakdown'!$T$6:$T$415, "&gt;="&amp;LA1,'Expenditure Breakdown'!$T$6:$T$415, "&lt;"&amp;LB1)</f>
        <v>0</v>
      </c>
      <c r="LB17" s="204">
        <f>SUMIFS('Expenditure Breakdown'!$U$6:$U$415, 'Expenditure Breakdown'!$T$6:$T$415, "&gt;="&amp;LB1,'Expenditure Breakdown'!$T$6:$T$415, "&lt;"&amp;LC1)</f>
        <v>0</v>
      </c>
      <c r="LC17" s="204">
        <f>SUMIFS('Expenditure Breakdown'!$U$6:$U$415, 'Expenditure Breakdown'!$T$6:$T$415, "&gt;="&amp;LC1,'Expenditure Breakdown'!$T$6:$T$415, "&lt;"&amp;LD1)</f>
        <v>0</v>
      </c>
      <c r="LD17" s="204">
        <f>SUMIFS('Expenditure Breakdown'!$U$6:$U$415, 'Expenditure Breakdown'!$T$6:$T$415, "&gt;="&amp;LD1,'Expenditure Breakdown'!$T$6:$T$415, "&lt;"&amp;#REF!)</f>
        <v>0</v>
      </c>
    </row>
    <row r="18" spans="1:316" x14ac:dyDescent="0.25">
      <c r="A18" s="945"/>
      <c r="B18" s="185" t="s">
        <v>761</v>
      </c>
      <c r="C18" s="363">
        <f>D17-D18</f>
        <v>0</v>
      </c>
      <c r="D18" s="186">
        <f>MAX(F18:LD18)</f>
        <v>59800831.272943787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58692664.637278542</v>
      </c>
      <c r="BH18" s="204">
        <f t="shared" si="37"/>
        <v>58692664.637278542</v>
      </c>
      <c r="BI18" s="204">
        <f t="shared" si="37"/>
        <v>58692664.637278542</v>
      </c>
      <c r="BJ18" s="204">
        <f t="shared" si="37"/>
        <v>58692664.637278542</v>
      </c>
      <c r="BK18" s="204">
        <f t="shared" si="37"/>
        <v>59800831.272943787</v>
      </c>
      <c r="BL18" s="204">
        <f t="shared" si="37"/>
        <v>59800831.272943787</v>
      </c>
      <c r="BM18" s="204">
        <f t="shared" si="37"/>
        <v>59800831.272943787</v>
      </c>
      <c r="BN18" s="204">
        <f t="shared" si="37"/>
        <v>59800831.272943787</v>
      </c>
      <c r="BO18" s="204">
        <f t="shared" si="37"/>
        <v>59800831.272943787</v>
      </c>
      <c r="BP18" s="204">
        <f t="shared" si="37"/>
        <v>59800831.272943787</v>
      </c>
      <c r="BQ18" s="204">
        <f t="shared" si="37"/>
        <v>59800831.272943787</v>
      </c>
      <c r="BR18" s="204">
        <f t="shared" si="37"/>
        <v>59800831.272943787</v>
      </c>
      <c r="BS18" s="204">
        <f t="shared" si="37"/>
        <v>59800831.272943787</v>
      </c>
      <c r="BT18" s="204">
        <f t="shared" si="37"/>
        <v>59800831.272943787</v>
      </c>
      <c r="BU18" s="204">
        <f t="shared" ref="BU18:EF18" si="38">BT18+BU17</f>
        <v>59800831.272943787</v>
      </c>
      <c r="BV18" s="204">
        <f t="shared" si="38"/>
        <v>59800831.272943787</v>
      </c>
      <c r="BW18" s="204">
        <f t="shared" si="38"/>
        <v>59800831.272943787</v>
      </c>
      <c r="BX18" s="204">
        <f t="shared" si="38"/>
        <v>59800831.272943787</v>
      </c>
      <c r="BY18" s="204">
        <f t="shared" si="38"/>
        <v>59800831.272943787</v>
      </c>
      <c r="BZ18" s="204">
        <f t="shared" si="38"/>
        <v>59800831.272943787</v>
      </c>
      <c r="CA18" s="204">
        <f t="shared" si="38"/>
        <v>59800831.272943787</v>
      </c>
      <c r="CB18" s="204">
        <f t="shared" si="38"/>
        <v>59800831.272943787</v>
      </c>
      <c r="CC18" s="204">
        <f t="shared" si="38"/>
        <v>59800831.272943787</v>
      </c>
      <c r="CD18" s="204">
        <f t="shared" si="38"/>
        <v>59800831.272943787</v>
      </c>
      <c r="CE18" s="204">
        <f t="shared" si="38"/>
        <v>59800831.272943787</v>
      </c>
      <c r="CF18" s="204">
        <f t="shared" si="38"/>
        <v>59800831.272943787</v>
      </c>
      <c r="CG18" s="204">
        <f t="shared" si="38"/>
        <v>59800831.272943787</v>
      </c>
      <c r="CH18" s="204">
        <f t="shared" si="38"/>
        <v>59800831.272943787</v>
      </c>
      <c r="CI18" s="204">
        <f t="shared" si="38"/>
        <v>59800831.272943787</v>
      </c>
      <c r="CJ18" s="204">
        <f t="shared" si="38"/>
        <v>59800831.272943787</v>
      </c>
      <c r="CK18" s="204">
        <f t="shared" si="38"/>
        <v>59800831.272943787</v>
      </c>
      <c r="CL18" s="204">
        <f t="shared" si="38"/>
        <v>59800831.272943787</v>
      </c>
      <c r="CM18" s="204">
        <f t="shared" si="38"/>
        <v>59800831.272943787</v>
      </c>
      <c r="CN18" s="204">
        <f t="shared" si="38"/>
        <v>59800831.272943787</v>
      </c>
      <c r="CO18" s="204">
        <f t="shared" si="38"/>
        <v>59800831.272943787</v>
      </c>
      <c r="CP18" s="204">
        <f t="shared" si="38"/>
        <v>59800831.272943787</v>
      </c>
      <c r="CQ18" s="204">
        <f t="shared" si="38"/>
        <v>59800831.272943787</v>
      </c>
      <c r="CR18" s="204">
        <f t="shared" si="38"/>
        <v>59800831.272943787</v>
      </c>
      <c r="CS18" s="204">
        <f t="shared" si="38"/>
        <v>59800831.272943787</v>
      </c>
      <c r="CT18" s="204">
        <f t="shared" si="38"/>
        <v>59800831.272943787</v>
      </c>
      <c r="CU18" s="204">
        <f t="shared" si="38"/>
        <v>59800831.272943787</v>
      </c>
      <c r="CV18" s="204">
        <f t="shared" si="38"/>
        <v>59800831.272943787</v>
      </c>
      <c r="CW18" s="204">
        <f t="shared" si="38"/>
        <v>59800831.272943787</v>
      </c>
      <c r="CX18" s="204">
        <f t="shared" si="38"/>
        <v>59800831.272943787</v>
      </c>
      <c r="CY18" s="204">
        <f t="shared" si="38"/>
        <v>59800831.272943787</v>
      </c>
      <c r="CZ18" s="204">
        <f t="shared" si="38"/>
        <v>59800831.272943787</v>
      </c>
      <c r="DA18" s="204">
        <f t="shared" si="38"/>
        <v>59800831.272943787</v>
      </c>
      <c r="DB18" s="204">
        <f t="shared" si="38"/>
        <v>59800831.272943787</v>
      </c>
      <c r="DC18" s="204">
        <f t="shared" si="38"/>
        <v>59800831.272943787</v>
      </c>
      <c r="DD18" s="204">
        <f t="shared" si="38"/>
        <v>59800831.272943787</v>
      </c>
      <c r="DE18" s="204">
        <f t="shared" si="38"/>
        <v>59800831.272943787</v>
      </c>
      <c r="DF18" s="204">
        <f t="shared" si="38"/>
        <v>59800831.272943787</v>
      </c>
      <c r="DG18" s="204">
        <f t="shared" si="38"/>
        <v>59800831.272943787</v>
      </c>
      <c r="DH18" s="204">
        <f t="shared" si="38"/>
        <v>59800831.272943787</v>
      </c>
      <c r="DI18" s="204">
        <f t="shared" si="38"/>
        <v>59800831.272943787</v>
      </c>
      <c r="DJ18" s="204">
        <f t="shared" si="38"/>
        <v>59800831.272943787</v>
      </c>
      <c r="DK18" s="204">
        <f t="shared" si="38"/>
        <v>59800831.272943787</v>
      </c>
      <c r="DL18" s="204">
        <f t="shared" si="38"/>
        <v>59800831.272943787</v>
      </c>
      <c r="DM18" s="204">
        <f t="shared" si="38"/>
        <v>59800831.272943787</v>
      </c>
      <c r="DN18" s="204">
        <f t="shared" si="38"/>
        <v>59800831.272943787</v>
      </c>
      <c r="DO18" s="204">
        <f t="shared" si="38"/>
        <v>59800831.272943787</v>
      </c>
      <c r="DP18" s="204">
        <f t="shared" si="38"/>
        <v>59800831.272943787</v>
      </c>
      <c r="DQ18" s="204">
        <f t="shared" si="38"/>
        <v>59800831.272943787</v>
      </c>
      <c r="DR18" s="204">
        <f t="shared" si="38"/>
        <v>59800831.272943787</v>
      </c>
      <c r="DS18" s="204">
        <f t="shared" si="38"/>
        <v>59800831.272943787</v>
      </c>
      <c r="DT18" s="204">
        <f t="shared" si="38"/>
        <v>59800831.272943787</v>
      </c>
      <c r="DU18" s="204">
        <f t="shared" si="38"/>
        <v>59800831.272943787</v>
      </c>
      <c r="DV18" s="204">
        <f t="shared" si="38"/>
        <v>59800831.272943787</v>
      </c>
      <c r="DW18" s="204">
        <f t="shared" si="38"/>
        <v>59800831.272943787</v>
      </c>
      <c r="DX18" s="204">
        <f t="shared" si="38"/>
        <v>59800831.272943787</v>
      </c>
      <c r="DY18" s="204">
        <f t="shared" si="38"/>
        <v>59800831.272943787</v>
      </c>
      <c r="DZ18" s="204">
        <f t="shared" si="38"/>
        <v>59800831.272943787</v>
      </c>
      <c r="EA18" s="204">
        <f t="shared" si="38"/>
        <v>59800831.272943787</v>
      </c>
      <c r="EB18" s="204">
        <f t="shared" si="38"/>
        <v>59800831.272943787</v>
      </c>
      <c r="EC18" s="204">
        <f t="shared" si="38"/>
        <v>59800831.272943787</v>
      </c>
      <c r="ED18" s="204">
        <f t="shared" si="38"/>
        <v>59800831.272943787</v>
      </c>
      <c r="EE18" s="204">
        <f t="shared" si="38"/>
        <v>59800831.272943787</v>
      </c>
      <c r="EF18" s="204">
        <f t="shared" si="38"/>
        <v>59800831.272943787</v>
      </c>
      <c r="EG18" s="204">
        <f t="shared" ref="EG18:GR18" si="39">EF18+EG17</f>
        <v>59800831.272943787</v>
      </c>
      <c r="EH18" s="204">
        <f t="shared" si="39"/>
        <v>59800831.272943787</v>
      </c>
      <c r="EI18" s="204">
        <f t="shared" si="39"/>
        <v>59800831.272943787</v>
      </c>
      <c r="EJ18" s="204">
        <f t="shared" si="39"/>
        <v>59800831.272943787</v>
      </c>
      <c r="EK18" s="204">
        <f t="shared" si="39"/>
        <v>59800831.272943787</v>
      </c>
      <c r="EL18" s="204">
        <f t="shared" si="39"/>
        <v>59800831.272943787</v>
      </c>
      <c r="EM18" s="204">
        <f t="shared" si="39"/>
        <v>59800831.272943787</v>
      </c>
      <c r="EN18" s="204">
        <f t="shared" si="39"/>
        <v>59800831.272943787</v>
      </c>
      <c r="EO18" s="204">
        <f t="shared" si="39"/>
        <v>59800831.272943787</v>
      </c>
      <c r="EP18" s="204">
        <f t="shared" si="39"/>
        <v>59800831.272943787</v>
      </c>
      <c r="EQ18" s="204">
        <f t="shared" si="39"/>
        <v>59800831.272943787</v>
      </c>
      <c r="ER18" s="204">
        <f t="shared" si="39"/>
        <v>59800831.272943787</v>
      </c>
      <c r="ES18" s="204">
        <f t="shared" si="39"/>
        <v>59800831.272943787</v>
      </c>
      <c r="ET18" s="204">
        <f t="shared" si="39"/>
        <v>59800831.272943787</v>
      </c>
      <c r="EU18" s="204">
        <f t="shared" si="39"/>
        <v>59800831.272943787</v>
      </c>
      <c r="EV18" s="204">
        <f t="shared" si="39"/>
        <v>59800831.272943787</v>
      </c>
      <c r="EW18" s="204">
        <f t="shared" si="39"/>
        <v>59800831.272943787</v>
      </c>
      <c r="EX18" s="204">
        <f t="shared" si="39"/>
        <v>59800831.272943787</v>
      </c>
      <c r="EY18" s="204">
        <f t="shared" si="39"/>
        <v>59800831.272943787</v>
      </c>
      <c r="EZ18" s="204">
        <f t="shared" si="39"/>
        <v>59800831.272943787</v>
      </c>
      <c r="FA18" s="204">
        <f t="shared" si="39"/>
        <v>59800831.272943787</v>
      </c>
      <c r="FB18" s="204">
        <f t="shared" si="39"/>
        <v>59800831.272943787</v>
      </c>
      <c r="FC18" s="204">
        <f t="shared" si="39"/>
        <v>59800831.272943787</v>
      </c>
      <c r="FD18" s="204">
        <f t="shared" si="39"/>
        <v>59800831.272943787</v>
      </c>
      <c r="FE18" s="204">
        <f t="shared" si="39"/>
        <v>59800831.272943787</v>
      </c>
      <c r="FF18" s="204">
        <f t="shared" si="39"/>
        <v>59800831.272943787</v>
      </c>
      <c r="FG18" s="204">
        <f t="shared" si="39"/>
        <v>59800831.272943787</v>
      </c>
      <c r="FH18" s="204">
        <f t="shared" si="39"/>
        <v>59800831.272943787</v>
      </c>
      <c r="FI18" s="204">
        <f t="shared" si="39"/>
        <v>59800831.272943787</v>
      </c>
      <c r="FJ18" s="204">
        <f t="shared" si="39"/>
        <v>59800831.272943787</v>
      </c>
      <c r="FK18" s="204">
        <f t="shared" si="39"/>
        <v>59800831.272943787</v>
      </c>
      <c r="FL18" s="204">
        <f t="shared" si="39"/>
        <v>59800831.272943787</v>
      </c>
      <c r="FM18" s="204">
        <f t="shared" si="39"/>
        <v>59800831.272943787</v>
      </c>
      <c r="FN18" s="204">
        <f t="shared" si="39"/>
        <v>59800831.272943787</v>
      </c>
      <c r="FO18" s="204">
        <f t="shared" si="39"/>
        <v>59800831.272943787</v>
      </c>
      <c r="FP18" s="204">
        <f t="shared" si="39"/>
        <v>59800831.272943787</v>
      </c>
      <c r="FQ18" s="204">
        <f t="shared" si="39"/>
        <v>59800831.272943787</v>
      </c>
      <c r="FR18" s="204">
        <f t="shared" si="39"/>
        <v>59800831.272943787</v>
      </c>
      <c r="FS18" s="204">
        <f t="shared" si="39"/>
        <v>59800831.272943787</v>
      </c>
      <c r="FT18" s="204">
        <f t="shared" si="39"/>
        <v>59800831.272943787</v>
      </c>
      <c r="FU18" s="204">
        <f t="shared" si="39"/>
        <v>59800831.272943787</v>
      </c>
      <c r="FV18" s="204">
        <f t="shared" si="39"/>
        <v>59800831.272943787</v>
      </c>
      <c r="FW18" s="204">
        <f t="shared" si="39"/>
        <v>59800831.272943787</v>
      </c>
      <c r="FX18" s="204">
        <f t="shared" si="39"/>
        <v>59800831.272943787</v>
      </c>
      <c r="FY18" s="204">
        <f t="shared" si="39"/>
        <v>59800831.272943787</v>
      </c>
      <c r="FZ18" s="204">
        <f t="shared" si="39"/>
        <v>59800831.272943787</v>
      </c>
      <c r="GA18" s="204">
        <f t="shared" si="39"/>
        <v>59800831.272943787</v>
      </c>
      <c r="GB18" s="204">
        <f t="shared" si="39"/>
        <v>59800831.272943787</v>
      </c>
      <c r="GC18" s="204">
        <f t="shared" si="39"/>
        <v>59800831.272943787</v>
      </c>
      <c r="GD18" s="204">
        <f t="shared" si="39"/>
        <v>59800831.272943787</v>
      </c>
      <c r="GE18" s="204">
        <f t="shared" si="39"/>
        <v>59800831.272943787</v>
      </c>
      <c r="GF18" s="204">
        <f t="shared" si="39"/>
        <v>59800831.272943787</v>
      </c>
      <c r="GG18" s="204">
        <f t="shared" si="39"/>
        <v>59800831.272943787</v>
      </c>
      <c r="GH18" s="204">
        <f t="shared" si="39"/>
        <v>59800831.272943787</v>
      </c>
      <c r="GI18" s="204">
        <f t="shared" si="39"/>
        <v>59800831.272943787</v>
      </c>
      <c r="GJ18" s="204">
        <f t="shared" si="39"/>
        <v>59800831.272943787</v>
      </c>
      <c r="GK18" s="204">
        <f t="shared" si="39"/>
        <v>59800831.272943787</v>
      </c>
      <c r="GL18" s="204">
        <f t="shared" si="39"/>
        <v>59800831.272943787</v>
      </c>
      <c r="GM18" s="204">
        <f t="shared" si="39"/>
        <v>59800831.272943787</v>
      </c>
      <c r="GN18" s="204">
        <f t="shared" si="39"/>
        <v>59800831.272943787</v>
      </c>
      <c r="GO18" s="204">
        <f t="shared" si="39"/>
        <v>59800831.272943787</v>
      </c>
      <c r="GP18" s="204">
        <f t="shared" si="39"/>
        <v>59800831.272943787</v>
      </c>
      <c r="GQ18" s="204">
        <f t="shared" si="39"/>
        <v>59800831.272943787</v>
      </c>
      <c r="GR18" s="204">
        <f t="shared" si="39"/>
        <v>59800831.272943787</v>
      </c>
      <c r="GS18" s="204">
        <f t="shared" ref="GS18:JD18" si="40">GR18+GS17</f>
        <v>59800831.272943787</v>
      </c>
      <c r="GT18" s="204">
        <f t="shared" si="40"/>
        <v>59800831.272943787</v>
      </c>
      <c r="GU18" s="204">
        <f t="shared" si="40"/>
        <v>59800831.272943787</v>
      </c>
      <c r="GV18" s="204">
        <f t="shared" si="40"/>
        <v>59800831.272943787</v>
      </c>
      <c r="GW18" s="204">
        <f t="shared" si="40"/>
        <v>59800831.272943787</v>
      </c>
      <c r="GX18" s="204">
        <f t="shared" si="40"/>
        <v>59800831.272943787</v>
      </c>
      <c r="GY18" s="204">
        <f t="shared" si="40"/>
        <v>59800831.272943787</v>
      </c>
      <c r="GZ18" s="204">
        <f t="shared" si="40"/>
        <v>59800831.272943787</v>
      </c>
      <c r="HA18" s="204">
        <f t="shared" si="40"/>
        <v>59800831.272943787</v>
      </c>
      <c r="HB18" s="204">
        <f t="shared" si="40"/>
        <v>59800831.272943787</v>
      </c>
      <c r="HC18" s="204">
        <f t="shared" si="40"/>
        <v>59800831.272943787</v>
      </c>
      <c r="HD18" s="204">
        <f t="shared" si="40"/>
        <v>59800831.272943787</v>
      </c>
      <c r="HE18" s="204">
        <f t="shared" si="40"/>
        <v>59800831.272943787</v>
      </c>
      <c r="HF18" s="204">
        <f t="shared" si="40"/>
        <v>59800831.272943787</v>
      </c>
      <c r="HG18" s="204">
        <f t="shared" si="40"/>
        <v>59800831.272943787</v>
      </c>
      <c r="HH18" s="204">
        <f t="shared" si="40"/>
        <v>59800831.272943787</v>
      </c>
      <c r="HI18" s="204">
        <f t="shared" si="40"/>
        <v>59800831.272943787</v>
      </c>
      <c r="HJ18" s="204">
        <f t="shared" si="40"/>
        <v>59800831.272943787</v>
      </c>
      <c r="HK18" s="204">
        <f t="shared" si="40"/>
        <v>59800831.272943787</v>
      </c>
      <c r="HL18" s="204">
        <f t="shared" si="40"/>
        <v>59800831.272943787</v>
      </c>
      <c r="HM18" s="204">
        <f t="shared" si="40"/>
        <v>59800831.272943787</v>
      </c>
      <c r="HN18" s="204">
        <f t="shared" si="40"/>
        <v>59800831.272943787</v>
      </c>
      <c r="HO18" s="204">
        <f t="shared" si="40"/>
        <v>59800831.272943787</v>
      </c>
      <c r="HP18" s="204">
        <f t="shared" si="40"/>
        <v>59800831.272943787</v>
      </c>
      <c r="HQ18" s="204">
        <f t="shared" si="40"/>
        <v>59800831.272943787</v>
      </c>
      <c r="HR18" s="204">
        <f t="shared" si="40"/>
        <v>59800831.272943787</v>
      </c>
      <c r="HS18" s="204">
        <f t="shared" si="40"/>
        <v>59800831.272943787</v>
      </c>
      <c r="HT18" s="204">
        <f t="shared" si="40"/>
        <v>59800831.272943787</v>
      </c>
      <c r="HU18" s="204">
        <f t="shared" si="40"/>
        <v>59800831.272943787</v>
      </c>
      <c r="HV18" s="204">
        <f t="shared" si="40"/>
        <v>59800831.272943787</v>
      </c>
      <c r="HW18" s="204">
        <f t="shared" si="40"/>
        <v>59800831.272943787</v>
      </c>
      <c r="HX18" s="204">
        <f t="shared" si="40"/>
        <v>59800831.272943787</v>
      </c>
      <c r="HY18" s="204">
        <f t="shared" si="40"/>
        <v>59800831.272943787</v>
      </c>
      <c r="HZ18" s="204">
        <f t="shared" si="40"/>
        <v>59800831.272943787</v>
      </c>
      <c r="IA18" s="204">
        <f t="shared" si="40"/>
        <v>59800831.272943787</v>
      </c>
      <c r="IB18" s="204">
        <f t="shared" si="40"/>
        <v>59800831.272943787</v>
      </c>
      <c r="IC18" s="204">
        <f t="shared" si="40"/>
        <v>59800831.272943787</v>
      </c>
      <c r="ID18" s="204">
        <f t="shared" si="40"/>
        <v>59800831.272943787</v>
      </c>
      <c r="IE18" s="204">
        <f t="shared" si="40"/>
        <v>59800831.272943787</v>
      </c>
      <c r="IF18" s="204">
        <f t="shared" si="40"/>
        <v>59800831.272943787</v>
      </c>
      <c r="IG18" s="204">
        <f t="shared" si="40"/>
        <v>59800831.272943787</v>
      </c>
      <c r="IH18" s="204">
        <f t="shared" si="40"/>
        <v>59800831.272943787</v>
      </c>
      <c r="II18" s="204">
        <f t="shared" si="40"/>
        <v>59800831.272943787</v>
      </c>
      <c r="IJ18" s="204">
        <f t="shared" si="40"/>
        <v>59800831.272943787</v>
      </c>
      <c r="IK18" s="204">
        <f t="shared" si="40"/>
        <v>59800831.272943787</v>
      </c>
      <c r="IL18" s="204">
        <f t="shared" si="40"/>
        <v>59800831.272943787</v>
      </c>
      <c r="IM18" s="204">
        <f t="shared" si="40"/>
        <v>59800831.272943787</v>
      </c>
      <c r="IN18" s="204">
        <f t="shared" si="40"/>
        <v>59800831.272943787</v>
      </c>
      <c r="IO18" s="204">
        <f t="shared" si="40"/>
        <v>59800831.272943787</v>
      </c>
      <c r="IP18" s="204">
        <f t="shared" si="40"/>
        <v>59800831.272943787</v>
      </c>
      <c r="IQ18" s="204">
        <f t="shared" si="40"/>
        <v>59800831.272943787</v>
      </c>
      <c r="IR18" s="204">
        <f t="shared" si="40"/>
        <v>59800831.272943787</v>
      </c>
      <c r="IS18" s="204">
        <f t="shared" si="40"/>
        <v>59800831.272943787</v>
      </c>
      <c r="IT18" s="204">
        <f t="shared" si="40"/>
        <v>59800831.272943787</v>
      </c>
      <c r="IU18" s="204">
        <f t="shared" si="40"/>
        <v>59800831.272943787</v>
      </c>
      <c r="IV18" s="204">
        <f t="shared" si="40"/>
        <v>59800831.272943787</v>
      </c>
      <c r="IW18" s="204">
        <f t="shared" si="40"/>
        <v>59800831.272943787</v>
      </c>
      <c r="IX18" s="204">
        <f t="shared" si="40"/>
        <v>59800831.272943787</v>
      </c>
      <c r="IY18" s="204">
        <f t="shared" si="40"/>
        <v>59800831.272943787</v>
      </c>
      <c r="IZ18" s="204">
        <f t="shared" si="40"/>
        <v>59800831.272943787</v>
      </c>
      <c r="JA18" s="204">
        <f t="shared" si="40"/>
        <v>59800831.272943787</v>
      </c>
      <c r="JB18" s="204">
        <f t="shared" si="40"/>
        <v>59800831.272943787</v>
      </c>
      <c r="JC18" s="204">
        <f t="shared" si="40"/>
        <v>59800831.272943787</v>
      </c>
      <c r="JD18" s="204">
        <f t="shared" si="40"/>
        <v>59800831.272943787</v>
      </c>
      <c r="JE18" s="204">
        <f t="shared" ref="JE18:LD18" si="41">JD18+JE17</f>
        <v>59800831.272943787</v>
      </c>
      <c r="JF18" s="204">
        <f t="shared" si="41"/>
        <v>59800831.272943787</v>
      </c>
      <c r="JG18" s="204">
        <f t="shared" si="41"/>
        <v>59800831.272943787</v>
      </c>
      <c r="JH18" s="204">
        <f t="shared" si="41"/>
        <v>59800831.272943787</v>
      </c>
      <c r="JI18" s="204">
        <f t="shared" si="41"/>
        <v>59800831.272943787</v>
      </c>
      <c r="JJ18" s="204">
        <f t="shared" si="41"/>
        <v>59800831.272943787</v>
      </c>
      <c r="JK18" s="204">
        <f t="shared" si="41"/>
        <v>59800831.272943787</v>
      </c>
      <c r="JL18" s="204">
        <f t="shared" si="41"/>
        <v>59800831.272943787</v>
      </c>
      <c r="JM18" s="204">
        <f t="shared" si="41"/>
        <v>59800831.272943787</v>
      </c>
      <c r="JN18" s="204">
        <f t="shared" si="41"/>
        <v>59800831.272943787</v>
      </c>
      <c r="JO18" s="204">
        <f t="shared" si="41"/>
        <v>59800831.272943787</v>
      </c>
      <c r="JP18" s="204">
        <f t="shared" si="41"/>
        <v>59800831.272943787</v>
      </c>
      <c r="JQ18" s="204">
        <f t="shared" si="41"/>
        <v>59800831.272943787</v>
      </c>
      <c r="JR18" s="204">
        <f t="shared" si="41"/>
        <v>59800831.272943787</v>
      </c>
      <c r="JS18" s="204">
        <f t="shared" si="41"/>
        <v>59800831.272943787</v>
      </c>
      <c r="JT18" s="204">
        <f t="shared" si="41"/>
        <v>59800831.272943787</v>
      </c>
      <c r="JU18" s="204">
        <f t="shared" si="41"/>
        <v>59800831.272943787</v>
      </c>
      <c r="JV18" s="204">
        <f t="shared" si="41"/>
        <v>59800831.272943787</v>
      </c>
      <c r="JW18" s="204">
        <f t="shared" si="41"/>
        <v>59800831.272943787</v>
      </c>
      <c r="JX18" s="204">
        <f t="shared" si="41"/>
        <v>59800831.272943787</v>
      </c>
      <c r="JY18" s="204">
        <f t="shared" si="41"/>
        <v>59800831.272943787</v>
      </c>
      <c r="JZ18" s="204">
        <f t="shared" si="41"/>
        <v>59800831.272943787</v>
      </c>
      <c r="KA18" s="204">
        <f t="shared" si="41"/>
        <v>59800831.272943787</v>
      </c>
      <c r="KB18" s="204">
        <f t="shared" si="41"/>
        <v>59800831.272943787</v>
      </c>
      <c r="KC18" s="204">
        <f t="shared" si="41"/>
        <v>59800831.272943787</v>
      </c>
      <c r="KD18" s="204">
        <f t="shared" si="41"/>
        <v>59800831.272943787</v>
      </c>
      <c r="KE18" s="204">
        <f t="shared" si="41"/>
        <v>59800831.272943787</v>
      </c>
      <c r="KF18" s="204">
        <f t="shared" si="41"/>
        <v>59800831.272943787</v>
      </c>
      <c r="KG18" s="204">
        <f t="shared" si="41"/>
        <v>59800831.272943787</v>
      </c>
      <c r="KH18" s="204">
        <f t="shared" si="41"/>
        <v>59800831.272943787</v>
      </c>
      <c r="KI18" s="204">
        <f t="shared" si="41"/>
        <v>59800831.272943787</v>
      </c>
      <c r="KJ18" s="204">
        <f t="shared" si="41"/>
        <v>59800831.272943787</v>
      </c>
      <c r="KK18" s="204">
        <f t="shared" si="41"/>
        <v>59800831.272943787</v>
      </c>
      <c r="KL18" s="204">
        <f t="shared" si="41"/>
        <v>59800831.272943787</v>
      </c>
      <c r="KM18" s="204">
        <f t="shared" si="41"/>
        <v>59800831.272943787</v>
      </c>
      <c r="KN18" s="204">
        <f t="shared" si="41"/>
        <v>59800831.272943787</v>
      </c>
      <c r="KO18" s="204">
        <f t="shared" si="41"/>
        <v>59800831.272943787</v>
      </c>
      <c r="KP18" s="204">
        <f t="shared" si="41"/>
        <v>59800831.272943787</v>
      </c>
      <c r="KQ18" s="204">
        <f t="shared" si="41"/>
        <v>59800831.272943787</v>
      </c>
      <c r="KR18" s="204">
        <f t="shared" si="41"/>
        <v>59800831.272943787</v>
      </c>
      <c r="KS18" s="204">
        <f t="shared" si="41"/>
        <v>59800831.272943787</v>
      </c>
      <c r="KT18" s="204">
        <f t="shared" si="41"/>
        <v>59800831.272943787</v>
      </c>
      <c r="KU18" s="204">
        <f t="shared" si="41"/>
        <v>59800831.272943787</v>
      </c>
      <c r="KV18" s="204">
        <f t="shared" si="41"/>
        <v>59800831.272943787</v>
      </c>
      <c r="KW18" s="204">
        <f t="shared" si="41"/>
        <v>59800831.272943787</v>
      </c>
      <c r="KX18" s="204">
        <f t="shared" si="41"/>
        <v>59800831.272943787</v>
      </c>
      <c r="KY18" s="204">
        <f t="shared" si="41"/>
        <v>59800831.272943787</v>
      </c>
      <c r="KZ18" s="204">
        <f t="shared" si="41"/>
        <v>59800831.272943787</v>
      </c>
      <c r="LA18" s="204">
        <f t="shared" si="41"/>
        <v>59800831.272943787</v>
      </c>
      <c r="LB18" s="204">
        <f t="shared" si="41"/>
        <v>59800831.272943787</v>
      </c>
      <c r="LC18" s="204">
        <f t="shared" si="41"/>
        <v>59800831.272943787</v>
      </c>
      <c r="LD18" s="204">
        <f t="shared" si="41"/>
        <v>59800831.272943787</v>
      </c>
    </row>
    <row r="19" spans="1:316" s="181" customFormat="1" x14ac:dyDescent="0.25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703125" defaultRowHeight="15" x14ac:dyDescent="0.25"/>
  <cols>
    <col min="1" max="1" width="39.42578125" style="354" bestFit="1" customWidth="1"/>
    <col min="2" max="2" width="17.140625" style="355" bestFit="1" customWidth="1"/>
    <col min="3" max="3" width="10.5703125" style="354" bestFit="1" customWidth="1"/>
    <col min="4" max="4" width="14.8554687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85546875" style="354" bestFit="1" customWidth="1"/>
    <col min="12" max="12" width="13.140625" style="354" bestFit="1" customWidth="1"/>
    <col min="13" max="13" width="14.85546875" style="354" bestFit="1" customWidth="1"/>
    <col min="14" max="14" width="10.5703125" style="354" bestFit="1" customWidth="1"/>
    <col min="15" max="15" width="16" style="354" bestFit="1" customWidth="1"/>
    <col min="16" max="16" width="16.140625" style="354" bestFit="1" customWidth="1"/>
    <col min="17" max="17" width="13.42578125" style="354" bestFit="1" customWidth="1"/>
    <col min="18" max="18" width="11.42578125" style="354" bestFit="1" customWidth="1"/>
    <col min="19" max="19" width="13.42578125" style="354" bestFit="1" customWidth="1"/>
    <col min="20" max="16384" width="12.5703125" style="354"/>
  </cols>
  <sheetData>
    <row r="1" spans="1:20" x14ac:dyDescent="0.25">
      <c r="A1"/>
      <c r="B1"/>
    </row>
    <row r="2" spans="1:2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 x14ac:dyDescent="0.25">
      <c r="A3" s="433" t="s">
        <v>762</v>
      </c>
      <c r="B3" s="433" t="s">
        <v>763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 x14ac:dyDescent="0.25">
      <c r="A4" s="433" t="s">
        <v>764</v>
      </c>
      <c r="B4" t="s">
        <v>765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766</v>
      </c>
      <c r="P4"/>
      <c r="Q4"/>
      <c r="R4"/>
      <c r="S4"/>
      <c r="T4"/>
    </row>
    <row r="5" spans="1:20" x14ac:dyDescent="0.25">
      <c r="A5" s="434" t="s">
        <v>765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 x14ac:dyDescent="0.25">
      <c r="A6" s="434" t="s">
        <v>303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 x14ac:dyDescent="0.25">
      <c r="A7" s="434" t="s">
        <v>324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>
        <v>2982470.7103461623</v>
      </c>
      <c r="P7"/>
      <c r="Q7"/>
      <c r="R7"/>
      <c r="S7"/>
      <c r="T7"/>
    </row>
    <row r="8" spans="1:20" x14ac:dyDescent="0.25">
      <c r="A8" s="434" t="s">
        <v>346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 x14ac:dyDescent="0.25">
      <c r="A9" s="434" t="s">
        <v>374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 x14ac:dyDescent="0.25">
      <c r="A10" s="434" t="s">
        <v>397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574.25433163430318</v>
      </c>
      <c r="M10" s="359"/>
      <c r="N10" s="359"/>
      <c r="O10" s="359">
        <v>69163.350558527673</v>
      </c>
      <c r="P10"/>
      <c r="Q10"/>
      <c r="R10"/>
      <c r="S10"/>
      <c r="T10"/>
    </row>
    <row r="11" spans="1:20" x14ac:dyDescent="0.25">
      <c r="A11" s="434" t="s">
        <v>430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 x14ac:dyDescent="0.25">
      <c r="A12" s="434" t="s">
        <v>473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>
        <v>47805.186137722783</v>
      </c>
      <c r="N12" s="359"/>
      <c r="O12" s="359">
        <v>2177419.743656504</v>
      </c>
      <c r="P12" s="359"/>
      <c r="Q12"/>
      <c r="R12"/>
      <c r="S12"/>
      <c r="T12"/>
    </row>
    <row r="13" spans="1:20" x14ac:dyDescent="0.25">
      <c r="A13" s="434" t="s">
        <v>511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>
        <v>5129895.5704627689</v>
      </c>
      <c r="P13"/>
      <c r="Q13"/>
      <c r="R13"/>
      <c r="S13"/>
      <c r="T13"/>
    </row>
    <row r="14" spans="1:20" x14ac:dyDescent="0.25">
      <c r="A14" s="434" t="s">
        <v>538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/>
      <c r="N14" s="359"/>
      <c r="O14" s="359">
        <v>463887.33274244744</v>
      </c>
      <c r="P14"/>
      <c r="Q14"/>
      <c r="R14"/>
      <c r="S14"/>
      <c r="T14"/>
    </row>
    <row r="15" spans="1:20" x14ac:dyDescent="0.25">
      <c r="A15" s="434" t="s">
        <v>619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/>
      <c r="M15" s="359">
        <v>216769.02337954516</v>
      </c>
      <c r="N15" s="359"/>
      <c r="O15" s="359">
        <v>494117.64875790244</v>
      </c>
      <c r="P15"/>
      <c r="Q15"/>
      <c r="R15"/>
      <c r="S15"/>
      <c r="T15"/>
    </row>
    <row r="16" spans="1:20" x14ac:dyDescent="0.25">
      <c r="A16" s="434" t="s">
        <v>643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12700.506889319731</v>
      </c>
      <c r="M16" s="359">
        <v>1041836.3870345005</v>
      </c>
      <c r="N16" s="359"/>
      <c r="O16" s="359">
        <v>1079740.931613063</v>
      </c>
      <c r="P16"/>
      <c r="Q16"/>
      <c r="R16"/>
      <c r="S16"/>
      <c r="T16"/>
    </row>
    <row r="17" spans="1:20" x14ac:dyDescent="0.25">
      <c r="A17" s="434" t="s">
        <v>665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 x14ac:dyDescent="0.25">
      <c r="A18" s="434" t="s">
        <v>669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 x14ac:dyDescent="0.25">
      <c r="A19" s="434" t="s">
        <v>639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 x14ac:dyDescent="0.25">
      <c r="A20" s="434" t="s">
        <v>449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 x14ac:dyDescent="0.25">
      <c r="A21" s="434" t="s">
        <v>766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674755.73196366569</v>
      </c>
      <c r="M21" s="359">
        <v>1306410.5965517685</v>
      </c>
      <c r="N21" s="359"/>
      <c r="O21" s="359">
        <v>60000200.09071964</v>
      </c>
      <c r="P21"/>
      <c r="Q21"/>
      <c r="R21"/>
      <c r="S21"/>
      <c r="T21"/>
    </row>
    <row r="22" spans="1:20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 x14ac:dyDescent="0.25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 x14ac:dyDescent="0.25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 x14ac:dyDescent="0.25">
      <c r="A39"/>
      <c r="B39"/>
      <c r="C39"/>
      <c r="D39"/>
      <c r="E39"/>
      <c r="F39"/>
      <c r="G39"/>
      <c r="H39"/>
    </row>
    <row r="40" spans="1:20" x14ac:dyDescent="0.25">
      <c r="A40"/>
      <c r="B40"/>
      <c r="C40"/>
      <c r="D40"/>
      <c r="E40"/>
      <c r="F40"/>
      <c r="G40"/>
      <c r="H40"/>
    </row>
    <row r="41" spans="1:20" x14ac:dyDescent="0.25">
      <c r="A41"/>
      <c r="B41"/>
      <c r="C41"/>
      <c r="D41"/>
      <c r="E41"/>
      <c r="F41"/>
      <c r="G41"/>
      <c r="H41"/>
    </row>
    <row r="42" spans="1:20" x14ac:dyDescent="0.25">
      <c r="A42"/>
      <c r="B42"/>
      <c r="C42"/>
      <c r="D42"/>
      <c r="E42"/>
      <c r="F42"/>
      <c r="G42"/>
      <c r="H42"/>
    </row>
    <row r="43" spans="1:20" x14ac:dyDescent="0.25">
      <c r="A43"/>
      <c r="B43"/>
      <c r="C43"/>
      <c r="D43"/>
      <c r="E43"/>
      <c r="F43"/>
      <c r="G43"/>
      <c r="H43"/>
    </row>
    <row r="44" spans="1:20" x14ac:dyDescent="0.25">
      <c r="A44"/>
      <c r="B44"/>
      <c r="C44"/>
      <c r="D44"/>
      <c r="E44"/>
      <c r="F44"/>
      <c r="G44"/>
      <c r="H44"/>
    </row>
    <row r="45" spans="1:20" x14ac:dyDescent="0.25">
      <c r="A45"/>
      <c r="B45"/>
      <c r="C45"/>
      <c r="D45"/>
      <c r="E45"/>
      <c r="F45"/>
      <c r="G45"/>
      <c r="H45"/>
    </row>
    <row r="46" spans="1:20" x14ac:dyDescent="0.25">
      <c r="A46"/>
      <c r="B46"/>
      <c r="C46"/>
      <c r="D46"/>
      <c r="E46"/>
      <c r="F46"/>
      <c r="G46"/>
      <c r="H46"/>
    </row>
    <row r="47" spans="1:20" x14ac:dyDescent="0.25">
      <c r="A47"/>
      <c r="B47"/>
      <c r="C47"/>
      <c r="D47"/>
      <c r="E47"/>
      <c r="F47"/>
      <c r="G47"/>
      <c r="H47"/>
    </row>
    <row r="48" spans="1:20" x14ac:dyDescent="0.25">
      <c r="A48"/>
      <c r="B48"/>
      <c r="C48"/>
      <c r="D48"/>
      <c r="E48"/>
      <c r="F48"/>
      <c r="G48"/>
      <c r="H48"/>
    </row>
    <row r="49" spans="1:8" x14ac:dyDescent="0.25">
      <c r="A49"/>
      <c r="B49"/>
      <c r="C49"/>
      <c r="D49"/>
      <c r="E49"/>
      <c r="F49"/>
      <c r="G49"/>
      <c r="H49"/>
    </row>
    <row r="50" spans="1:8" x14ac:dyDescent="0.25">
      <c r="A50"/>
      <c r="B50"/>
      <c r="C50"/>
      <c r="D50"/>
      <c r="E50"/>
      <c r="F50"/>
      <c r="G50"/>
      <c r="H50"/>
    </row>
    <row r="51" spans="1:8" x14ac:dyDescent="0.25">
      <c r="A51"/>
      <c r="B51"/>
      <c r="C51"/>
      <c r="D51"/>
      <c r="E51"/>
      <c r="F51"/>
      <c r="G51"/>
      <c r="H51"/>
    </row>
    <row r="52" spans="1:8" x14ac:dyDescent="0.25">
      <c r="A52"/>
      <c r="B52"/>
      <c r="C52"/>
      <c r="D52"/>
      <c r="E52"/>
      <c r="F52"/>
      <c r="G52"/>
      <c r="H52"/>
    </row>
    <row r="53" spans="1:8" x14ac:dyDescent="0.25">
      <c r="A53"/>
      <c r="B53"/>
      <c r="C53"/>
      <c r="D53"/>
      <c r="E53"/>
      <c r="F53"/>
      <c r="G53"/>
      <c r="H53"/>
    </row>
    <row r="54" spans="1:8" x14ac:dyDescent="0.25">
      <c r="A54"/>
      <c r="B54"/>
      <c r="C54"/>
      <c r="D54"/>
      <c r="E54"/>
      <c r="F54"/>
      <c r="G54"/>
      <c r="H54"/>
    </row>
    <row r="55" spans="1:8" x14ac:dyDescent="0.25">
      <c r="A55"/>
      <c r="B55"/>
      <c r="C55"/>
      <c r="D55"/>
      <c r="E55"/>
      <c r="F55"/>
      <c r="G55"/>
      <c r="H55"/>
    </row>
    <row r="56" spans="1:8" x14ac:dyDescent="0.25">
      <c r="A56"/>
      <c r="B56"/>
      <c r="C56"/>
      <c r="D56"/>
      <c r="E56"/>
      <c r="F56"/>
      <c r="G56"/>
      <c r="H56"/>
    </row>
    <row r="57" spans="1:8" x14ac:dyDescent="0.25">
      <c r="A57"/>
      <c r="B57"/>
      <c r="C57"/>
      <c r="D57"/>
      <c r="E57"/>
      <c r="F57"/>
      <c r="G57"/>
      <c r="H57"/>
    </row>
    <row r="58" spans="1:8" x14ac:dyDescent="0.25">
      <c r="A58"/>
      <c r="B58"/>
      <c r="C58"/>
      <c r="D58"/>
      <c r="E58"/>
      <c r="F58"/>
      <c r="G58"/>
      <c r="H58"/>
    </row>
    <row r="59" spans="1:8" x14ac:dyDescent="0.25">
      <c r="A59"/>
      <c r="B59"/>
      <c r="C59"/>
      <c r="D59"/>
      <c r="E59"/>
      <c r="F59"/>
      <c r="G59"/>
      <c r="H59"/>
    </row>
    <row r="60" spans="1:8" x14ac:dyDescent="0.25">
      <c r="A60"/>
      <c r="B60"/>
      <c r="C60"/>
      <c r="D60"/>
      <c r="E60"/>
      <c r="F60"/>
      <c r="G60"/>
      <c r="H60"/>
    </row>
    <row r="61" spans="1:8" x14ac:dyDescent="0.25">
      <c r="A61"/>
      <c r="B61"/>
      <c r="C61"/>
      <c r="D61"/>
      <c r="E61"/>
      <c r="F61"/>
      <c r="G61"/>
      <c r="H61"/>
    </row>
    <row r="62" spans="1:8" x14ac:dyDescent="0.25">
      <c r="A62"/>
      <c r="B62"/>
      <c r="C62"/>
      <c r="D62"/>
      <c r="E62"/>
      <c r="F62"/>
      <c r="G62"/>
      <c r="H62"/>
    </row>
    <row r="63" spans="1:8" x14ac:dyDescent="0.25">
      <c r="A63"/>
      <c r="B63"/>
      <c r="C63"/>
      <c r="D63"/>
      <c r="E63"/>
      <c r="F63"/>
      <c r="G63"/>
      <c r="H63"/>
    </row>
    <row r="64" spans="1:8" x14ac:dyDescent="0.25">
      <c r="A64"/>
      <c r="B64"/>
      <c r="C64"/>
      <c r="D64"/>
      <c r="E64"/>
      <c r="F64"/>
      <c r="G64"/>
      <c r="H64"/>
    </row>
    <row r="65" spans="1:8" x14ac:dyDescent="0.25">
      <c r="A65"/>
      <c r="B65"/>
      <c r="C65"/>
      <c r="D65"/>
      <c r="E65"/>
      <c r="F65"/>
      <c r="G65"/>
      <c r="H65"/>
    </row>
    <row r="66" spans="1:8" x14ac:dyDescent="0.25">
      <c r="A66"/>
      <c r="B66"/>
      <c r="C66"/>
      <c r="D66"/>
      <c r="E66"/>
      <c r="F66"/>
      <c r="G66"/>
      <c r="H66"/>
    </row>
    <row r="67" spans="1:8" x14ac:dyDescent="0.25">
      <c r="A67"/>
      <c r="B67"/>
      <c r="C67"/>
      <c r="D67"/>
      <c r="E67"/>
      <c r="F67"/>
      <c r="G67"/>
      <c r="H67"/>
    </row>
    <row r="68" spans="1:8" x14ac:dyDescent="0.25">
      <c r="A68"/>
      <c r="B68"/>
      <c r="C68"/>
      <c r="D68"/>
      <c r="E68"/>
      <c r="F68"/>
      <c r="G68"/>
      <c r="H68"/>
    </row>
    <row r="69" spans="1:8" x14ac:dyDescent="0.25">
      <c r="A69"/>
      <c r="B69"/>
      <c r="C69"/>
      <c r="D69"/>
      <c r="E69"/>
      <c r="F69"/>
      <c r="G69"/>
      <c r="H69"/>
    </row>
    <row r="70" spans="1:8" x14ac:dyDescent="0.25">
      <c r="A70"/>
      <c r="B70"/>
      <c r="C70"/>
      <c r="D70"/>
      <c r="E70"/>
      <c r="F70"/>
      <c r="G70"/>
      <c r="H70"/>
    </row>
    <row r="71" spans="1:8" x14ac:dyDescent="0.25">
      <c r="A71"/>
      <c r="B71"/>
      <c r="C71"/>
      <c r="D71"/>
      <c r="E71"/>
      <c r="F71"/>
      <c r="G71"/>
      <c r="H71"/>
    </row>
    <row r="72" spans="1:8" x14ac:dyDescent="0.25">
      <c r="A72"/>
      <c r="B72"/>
      <c r="C72"/>
      <c r="D72"/>
      <c r="E72"/>
      <c r="F72"/>
      <c r="G72"/>
      <c r="H72"/>
    </row>
    <row r="73" spans="1:8" x14ac:dyDescent="0.25">
      <c r="A73"/>
      <c r="B73"/>
      <c r="C73"/>
      <c r="D73"/>
      <c r="E73"/>
      <c r="F73"/>
      <c r="G73"/>
      <c r="H73"/>
    </row>
    <row r="74" spans="1:8" x14ac:dyDescent="0.25">
      <c r="A74"/>
      <c r="B74"/>
      <c r="C74"/>
      <c r="D74"/>
      <c r="E74"/>
      <c r="F74"/>
      <c r="G74"/>
      <c r="H74"/>
    </row>
    <row r="75" spans="1:8" x14ac:dyDescent="0.25">
      <c r="A75"/>
      <c r="B75"/>
      <c r="C75"/>
      <c r="D75"/>
      <c r="E75"/>
      <c r="F75"/>
      <c r="G75"/>
      <c r="H75"/>
    </row>
    <row r="76" spans="1:8" x14ac:dyDescent="0.25">
      <c r="A76"/>
      <c r="B76"/>
      <c r="C76"/>
      <c r="D76"/>
      <c r="E76"/>
      <c r="F76"/>
      <c r="G76"/>
      <c r="H76"/>
    </row>
    <row r="77" spans="1:8" x14ac:dyDescent="0.25">
      <c r="A77"/>
      <c r="B77"/>
      <c r="C77"/>
      <c r="D77"/>
      <c r="E77"/>
      <c r="F77"/>
      <c r="G77"/>
      <c r="H77"/>
    </row>
    <row r="78" spans="1:8" x14ac:dyDescent="0.25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F67B-209E-4C29-9BB4-FC7FF192E3DD}">
  <dimension ref="A1:M5"/>
  <sheetViews>
    <sheetView workbookViewId="0"/>
  </sheetViews>
  <sheetFormatPr defaultRowHeight="15" x14ac:dyDescent="0.25"/>
  <cols>
    <col min="1" max="1" width="9" bestFit="1" customWidth="1"/>
    <col min="2" max="2" width="18.140625" bestFit="1" customWidth="1"/>
    <col min="3" max="3" width="33" bestFit="1" customWidth="1"/>
    <col min="5" max="5" width="13.140625" bestFit="1" customWidth="1"/>
    <col min="6" max="7" width="14.5703125" bestFit="1" customWidth="1"/>
    <col min="8" max="8" width="19.85546875" bestFit="1" customWidth="1"/>
    <col min="9" max="9" width="23.42578125" bestFit="1" customWidth="1"/>
    <col min="10" max="10" width="34.85546875" bestFit="1" customWidth="1"/>
    <col min="11" max="11" width="9.140625" bestFit="1" customWidth="1"/>
    <col min="12" max="12" width="26.42578125" bestFit="1" customWidth="1"/>
    <col min="13" max="13" width="12" bestFit="1" customWidth="1"/>
  </cols>
  <sheetData>
    <row r="1" spans="1:13" x14ac:dyDescent="0.25">
      <c r="A1" s="837" t="s">
        <v>767</v>
      </c>
    </row>
    <row r="3" spans="1:13" x14ac:dyDescent="0.25">
      <c r="A3" t="s">
        <v>288</v>
      </c>
      <c r="B3" t="s">
        <v>296</v>
      </c>
      <c r="C3" t="s">
        <v>290</v>
      </c>
      <c r="D3" t="s">
        <v>291</v>
      </c>
      <c r="E3" t="s">
        <v>292</v>
      </c>
      <c r="F3" t="s">
        <v>297</v>
      </c>
      <c r="G3" t="s">
        <v>298</v>
      </c>
      <c r="H3" t="s">
        <v>89</v>
      </c>
      <c r="I3" t="s">
        <v>90</v>
      </c>
      <c r="J3" t="s">
        <v>299</v>
      </c>
      <c r="K3" t="s">
        <v>300</v>
      </c>
      <c r="L3" t="s">
        <v>294</v>
      </c>
      <c r="M3" t="s">
        <v>295</v>
      </c>
    </row>
    <row r="4" spans="1:13" x14ac:dyDescent="0.25">
      <c r="A4">
        <v>13</v>
      </c>
      <c r="B4" t="s">
        <v>643</v>
      </c>
      <c r="C4" t="s">
        <v>658</v>
      </c>
      <c r="F4">
        <v>8737.26</v>
      </c>
      <c r="H4" t="s">
        <v>659</v>
      </c>
      <c r="I4" s="435">
        <v>46053</v>
      </c>
      <c r="J4">
        <v>9582.4818116154311</v>
      </c>
      <c r="L4" s="435">
        <v>46081</v>
      </c>
    </row>
    <row r="5" spans="1:13" x14ac:dyDescent="0.25">
      <c r="A5">
        <v>13</v>
      </c>
      <c r="B5" t="s">
        <v>643</v>
      </c>
      <c r="C5" t="s">
        <v>656</v>
      </c>
      <c r="F5">
        <v>2843</v>
      </c>
      <c r="H5" t="s">
        <v>657</v>
      </c>
      <c r="I5" s="435">
        <v>46053</v>
      </c>
      <c r="J5">
        <v>3118.0250777042997</v>
      </c>
      <c r="L5" s="435">
        <v>46081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21" sqref="L21"/>
    </sheetView>
  </sheetViews>
  <sheetFormatPr defaultColWidth="8.42578125" defaultRowHeight="15" x14ac:dyDescent="0.25"/>
  <cols>
    <col min="1" max="1" width="21.85546875" bestFit="1" customWidth="1"/>
    <col min="2" max="2" width="17.140625" style="396" bestFit="1" customWidth="1"/>
    <col min="3" max="3" width="10.85546875" style="396" bestFit="1" customWidth="1"/>
    <col min="4" max="4" width="14.85546875" style="396" bestFit="1" customWidth="1"/>
    <col min="5" max="5" width="16" style="396" bestFit="1" customWidth="1"/>
    <col min="6" max="6" width="14.85546875" style="396" bestFit="1" customWidth="1"/>
    <col min="7" max="7" width="12.140625" style="396" bestFit="1" customWidth="1"/>
    <col min="8" max="8" width="13.140625" style="396" bestFit="1" customWidth="1"/>
    <col min="9" max="9" width="14.85546875" style="396" bestFit="1" customWidth="1"/>
    <col min="10" max="10" width="13.140625" bestFit="1" customWidth="1"/>
    <col min="11" max="11" width="4.85546875" bestFit="1" customWidth="1"/>
    <col min="12" max="13" width="14.85546875" bestFit="1" customWidth="1"/>
    <col min="14" max="14" width="13" bestFit="1" customWidth="1"/>
    <col min="15" max="15" width="16" bestFit="1" customWidth="1"/>
    <col min="16" max="16" width="10.140625" bestFit="1" customWidth="1"/>
    <col min="17" max="18" width="11.42578125" bestFit="1" customWidth="1"/>
    <col min="19" max="19" width="13.42578125" bestFit="1" customWidth="1"/>
  </cols>
  <sheetData>
    <row r="3" spans="1:16" x14ac:dyDescent="0.25">
      <c r="A3" s="433" t="s">
        <v>768</v>
      </c>
      <c r="B3" s="433" t="s">
        <v>763</v>
      </c>
      <c r="C3"/>
      <c r="D3"/>
      <c r="E3"/>
      <c r="F3"/>
      <c r="G3"/>
      <c r="H3"/>
      <c r="I3"/>
    </row>
    <row r="4" spans="1:16" x14ac:dyDescent="0.25">
      <c r="A4" s="433" t="s">
        <v>764</v>
      </c>
      <c r="B4" t="s">
        <v>765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766</v>
      </c>
    </row>
    <row r="5" spans="1:16" x14ac:dyDescent="0.25">
      <c r="A5" s="434" t="s">
        <v>765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 x14ac:dyDescent="0.25">
      <c r="A6" s="434" t="s">
        <v>303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</v>
      </c>
    </row>
    <row r="7" spans="1:16" x14ac:dyDescent="0.25">
      <c r="A7" s="434" t="s">
        <v>324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>
        <v>2495176.22371</v>
      </c>
    </row>
    <row r="8" spans="1:16" x14ac:dyDescent="0.25">
      <c r="A8" s="434" t="s">
        <v>346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 x14ac:dyDescent="0.25">
      <c r="A9" s="434" t="s">
        <v>374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 x14ac:dyDescent="0.25">
      <c r="A10" s="434" t="s">
        <v>397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>
        <v>241577.30000000002</v>
      </c>
    </row>
    <row r="11" spans="1:16" x14ac:dyDescent="0.25">
      <c r="A11" s="434" t="s">
        <v>430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 x14ac:dyDescent="0.25">
      <c r="A12" s="434" t="s">
        <v>473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50000</v>
      </c>
      <c r="N12" s="436"/>
      <c r="O12" s="436">
        <v>2216118.21</v>
      </c>
      <c r="P12" s="436"/>
    </row>
    <row r="13" spans="1:16" x14ac:dyDescent="0.25">
      <c r="A13" s="434" t="s">
        <v>511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>
        <v>8055680</v>
      </c>
    </row>
    <row r="14" spans="1:16" x14ac:dyDescent="0.25">
      <c r="A14" s="434" t="s">
        <v>538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/>
      <c r="N14" s="436"/>
      <c r="O14" s="436">
        <v>936113.1100000001</v>
      </c>
    </row>
    <row r="15" spans="1:16" x14ac:dyDescent="0.25">
      <c r="A15" s="434" t="s">
        <v>619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287600</v>
      </c>
      <c r="N15" s="436"/>
      <c r="O15" s="436">
        <v>658656</v>
      </c>
    </row>
    <row r="16" spans="1:16" x14ac:dyDescent="0.25">
      <c r="A16" s="434" t="s">
        <v>643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950000</v>
      </c>
      <c r="N16" s="436"/>
      <c r="O16" s="436">
        <v>984324.26</v>
      </c>
    </row>
    <row r="17" spans="1:15" x14ac:dyDescent="0.25">
      <c r="A17" s="434" t="s">
        <v>665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30662.5</v>
      </c>
      <c r="N17" s="436"/>
      <c r="O17" s="436">
        <v>271181.58</v>
      </c>
    </row>
    <row r="18" spans="1:15" x14ac:dyDescent="0.25">
      <c r="A18" s="434" t="s">
        <v>669</v>
      </c>
      <c r="B18" s="436"/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1158765.78</v>
      </c>
      <c r="N18" s="436">
        <v>607059</v>
      </c>
      <c r="O18" s="436">
        <v>2249043.0099999998</v>
      </c>
    </row>
    <row r="19" spans="1:15" x14ac:dyDescent="0.25">
      <c r="A19" s="434" t="s">
        <v>639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 x14ac:dyDescent="0.25">
      <c r="A20" s="434" t="s">
        <v>449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 x14ac:dyDescent="0.25">
      <c r="A21" s="434" t="s">
        <v>766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2477028.2800000003</v>
      </c>
      <c r="N21" s="436">
        <v>607059</v>
      </c>
      <c r="O21" s="436">
        <v>48692191.566446088</v>
      </c>
    </row>
    <row r="22" spans="1:15" x14ac:dyDescent="0.25">
      <c r="B22"/>
      <c r="C22"/>
      <c r="D22"/>
      <c r="E22"/>
      <c r="F22"/>
      <c r="G22"/>
      <c r="H22"/>
      <c r="I22"/>
    </row>
    <row r="23" spans="1:15" x14ac:dyDescent="0.25">
      <c r="B23"/>
      <c r="C23"/>
      <c r="D23" s="396">
        <v>4704545</v>
      </c>
      <c r="E23"/>
      <c r="F23"/>
      <c r="G23"/>
      <c r="H23"/>
      <c r="I23"/>
    </row>
    <row r="24" spans="1:15" x14ac:dyDescent="0.25">
      <c r="B24"/>
      <c r="C24"/>
      <c r="D24"/>
      <c r="E24"/>
      <c r="F24"/>
      <c r="G24"/>
      <c r="H24"/>
      <c r="I24"/>
    </row>
    <row r="25" spans="1:15" x14ac:dyDescent="0.25">
      <c r="B25"/>
      <c r="C25"/>
      <c r="D25" s="655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5" x14ac:dyDescent="0.25"/>
  <cols>
    <col min="1" max="1" width="6.140625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.75" thickBot="1" x14ac:dyDescent="0.3"/>
    <row r="2" spans="2:15" ht="18.75" x14ac:dyDescent="0.25">
      <c r="B2" s="947" t="s">
        <v>769</v>
      </c>
      <c r="C2" s="947"/>
      <c r="D2" s="947"/>
      <c r="E2" s="947"/>
      <c r="H2" s="948" t="s">
        <v>770</v>
      </c>
      <c r="I2" s="949"/>
      <c r="J2" s="949"/>
      <c r="K2" s="949"/>
      <c r="L2" s="949"/>
      <c r="M2" s="949"/>
      <c r="N2" s="949"/>
      <c r="O2" s="950"/>
    </row>
    <row r="3" spans="2:15" x14ac:dyDescent="0.25">
      <c r="B3" s="768"/>
      <c r="H3" s="951"/>
      <c r="I3" s="952"/>
      <c r="J3" s="952"/>
      <c r="K3" s="952"/>
      <c r="L3" s="952"/>
      <c r="M3" s="952"/>
      <c r="N3" s="952"/>
      <c r="O3" s="953"/>
    </row>
    <row r="4" spans="2:15" x14ac:dyDescent="0.25">
      <c r="B4" s="769" t="s">
        <v>771</v>
      </c>
      <c r="C4" s="770" t="str">
        <f>'Project Plan'!E2</f>
        <v>Coega Steels Phase 2</v>
      </c>
      <c r="H4" s="951"/>
      <c r="I4" s="952"/>
      <c r="J4" s="952"/>
      <c r="K4" s="952"/>
      <c r="L4" s="952"/>
      <c r="M4" s="952"/>
      <c r="N4" s="952"/>
      <c r="O4" s="953"/>
    </row>
    <row r="5" spans="2:15" x14ac:dyDescent="0.25">
      <c r="B5" s="769" t="s">
        <v>772</v>
      </c>
      <c r="C5" s="770" t="s">
        <v>773</v>
      </c>
      <c r="H5" s="951"/>
      <c r="I5" s="952"/>
      <c r="J5" s="952"/>
      <c r="K5" s="952"/>
      <c r="L5" s="952"/>
      <c r="M5" s="952"/>
      <c r="N5" s="952"/>
      <c r="O5" s="953"/>
    </row>
    <row r="6" spans="2:15" x14ac:dyDescent="0.25">
      <c r="B6" s="769" t="s">
        <v>774</v>
      </c>
      <c r="C6" s="770" t="s">
        <v>775</v>
      </c>
      <c r="H6" s="951"/>
      <c r="I6" s="952"/>
      <c r="J6" s="952"/>
      <c r="K6" s="952"/>
      <c r="L6" s="952"/>
      <c r="M6" s="952"/>
      <c r="N6" s="952"/>
      <c r="O6" s="953"/>
    </row>
    <row r="7" spans="2:15" x14ac:dyDescent="0.25">
      <c r="B7" s="769" t="s">
        <v>776</v>
      </c>
      <c r="C7" s="770" t="s">
        <v>777</v>
      </c>
      <c r="H7" s="951"/>
      <c r="I7" s="952"/>
      <c r="J7" s="952"/>
      <c r="K7" s="952"/>
      <c r="L7" s="952"/>
      <c r="M7" s="952"/>
      <c r="N7" s="952"/>
      <c r="O7" s="953"/>
    </row>
    <row r="8" spans="2:15" x14ac:dyDescent="0.25">
      <c r="B8" s="768"/>
      <c r="H8" s="951"/>
      <c r="I8" s="952"/>
      <c r="J8" s="952"/>
      <c r="K8" s="952"/>
      <c r="L8" s="952"/>
      <c r="M8" s="952"/>
      <c r="N8" s="952"/>
      <c r="O8" s="953"/>
    </row>
    <row r="9" spans="2:15" x14ac:dyDescent="0.25">
      <c r="B9" s="957" t="s">
        <v>778</v>
      </c>
      <c r="C9" s="957"/>
      <c r="D9" s="957"/>
      <c r="E9" s="957"/>
      <c r="H9" s="951"/>
      <c r="I9" s="952"/>
      <c r="J9" s="952"/>
      <c r="K9" s="952"/>
      <c r="L9" s="952"/>
      <c r="M9" s="952"/>
      <c r="N9" s="952"/>
      <c r="O9" s="953"/>
    </row>
    <row r="10" spans="2:15" ht="15.75" thickBot="1" x14ac:dyDescent="0.3">
      <c r="B10" s="957" t="s">
        <v>779</v>
      </c>
      <c r="C10" s="957"/>
      <c r="D10" s="957"/>
      <c r="E10" s="957"/>
      <c r="H10" s="954"/>
      <c r="I10" s="955"/>
      <c r="J10" s="955"/>
      <c r="K10" s="955"/>
      <c r="L10" s="955"/>
      <c r="M10" s="955"/>
      <c r="N10" s="955"/>
      <c r="O10" s="956"/>
    </row>
    <row r="11" spans="2:15" x14ac:dyDescent="0.25">
      <c r="B11" s="771" t="s">
        <v>780</v>
      </c>
      <c r="C11" s="946" t="s">
        <v>781</v>
      </c>
      <c r="D11" s="946"/>
      <c r="E11" s="946"/>
    </row>
    <row r="12" spans="2:15" x14ac:dyDescent="0.25">
      <c r="B12" s="771" t="s">
        <v>782</v>
      </c>
      <c r="C12" s="946" t="s">
        <v>781</v>
      </c>
      <c r="D12" s="946"/>
      <c r="E12" s="946"/>
    </row>
    <row r="13" spans="2:15" x14ac:dyDescent="0.25">
      <c r="B13" s="771" t="s">
        <v>783</v>
      </c>
      <c r="C13" s="946" t="s">
        <v>781</v>
      </c>
      <c r="D13" s="946"/>
      <c r="E13" s="946"/>
    </row>
    <row r="14" spans="2:15" x14ac:dyDescent="0.25">
      <c r="B14" s="771" t="s">
        <v>784</v>
      </c>
      <c r="C14" s="946" t="s">
        <v>785</v>
      </c>
      <c r="D14" s="946"/>
      <c r="E14" s="946"/>
    </row>
    <row r="15" spans="2:15" x14ac:dyDescent="0.25">
      <c r="B15" s="771" t="s">
        <v>786</v>
      </c>
      <c r="C15" s="946" t="s">
        <v>787</v>
      </c>
      <c r="D15" s="946"/>
      <c r="E15" s="946"/>
    </row>
    <row r="16" spans="2:15" ht="15" customHeight="1" x14ac:dyDescent="0.25">
      <c r="B16" s="771" t="s">
        <v>788</v>
      </c>
      <c r="C16" s="946" t="s">
        <v>789</v>
      </c>
      <c r="D16" s="946"/>
      <c r="E16" s="946"/>
    </row>
    <row r="17" spans="2:5" x14ac:dyDescent="0.25">
      <c r="B17" s="768"/>
    </row>
    <row r="18" spans="2:5" x14ac:dyDescent="0.25">
      <c r="B18" s="958" t="s">
        <v>790</v>
      </c>
      <c r="C18" s="958"/>
      <c r="D18" s="958"/>
      <c r="E18" s="958"/>
    </row>
    <row r="19" spans="2:5" x14ac:dyDescent="0.25">
      <c r="B19" s="771" t="s">
        <v>791</v>
      </c>
      <c r="C19" s="771" t="s">
        <v>792</v>
      </c>
      <c r="D19" s="771" t="s">
        <v>793</v>
      </c>
      <c r="E19" s="771" t="s">
        <v>794</v>
      </c>
    </row>
    <row r="20" spans="2:5" ht="15" customHeight="1" x14ac:dyDescent="0.25">
      <c r="B20" s="771" t="s">
        <v>795</v>
      </c>
      <c r="C20" s="771" t="s">
        <v>796</v>
      </c>
      <c r="D20" s="772" t="s">
        <v>797</v>
      </c>
      <c r="E20" s="773">
        <v>45953</v>
      </c>
    </row>
    <row r="21" spans="2:5" x14ac:dyDescent="0.25">
      <c r="B21" s="771"/>
      <c r="C21" s="771"/>
      <c r="D21" s="771"/>
      <c r="E21" s="771"/>
    </row>
    <row r="22" spans="2:5" x14ac:dyDescent="0.25">
      <c r="B22" s="771"/>
      <c r="C22" s="771"/>
      <c r="D22" s="771"/>
      <c r="E22" s="771"/>
    </row>
    <row r="23" spans="2:5" x14ac:dyDescent="0.25">
      <c r="B23" s="771"/>
      <c r="C23" s="771"/>
      <c r="D23" s="771"/>
      <c r="E23" s="771"/>
    </row>
    <row r="24" spans="2:5" x14ac:dyDescent="0.25">
      <c r="B24" s="771"/>
      <c r="C24" s="771"/>
      <c r="D24" s="771"/>
      <c r="E24" s="771"/>
    </row>
    <row r="25" spans="2:5" x14ac:dyDescent="0.25">
      <c r="B25" s="771"/>
      <c r="C25" s="771"/>
      <c r="D25" s="771"/>
      <c r="E25" s="771"/>
    </row>
    <row r="26" spans="2:5" x14ac:dyDescent="0.25">
      <c r="B26" s="768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5" x14ac:dyDescent="0.25"/>
  <cols>
    <col min="4" max="4" width="9" customWidth="1"/>
  </cols>
  <sheetData>
    <row r="1" spans="1:4" x14ac:dyDescent="0.25">
      <c r="A1" s="110" t="s">
        <v>798</v>
      </c>
    </row>
    <row r="2" spans="1:4" x14ac:dyDescent="0.25">
      <c r="A2" s="960"/>
      <c r="B2" s="960"/>
      <c r="C2" s="960"/>
      <c r="D2" s="71"/>
    </row>
    <row r="3" spans="1:4" x14ac:dyDescent="0.25">
      <c r="A3" s="959" t="s">
        <v>799</v>
      </c>
      <c r="B3" s="959"/>
      <c r="C3" s="959"/>
      <c r="D3" s="111">
        <v>0.32</v>
      </c>
    </row>
    <row r="4" spans="1:4" x14ac:dyDescent="0.25">
      <c r="A4" s="959" t="s">
        <v>736</v>
      </c>
      <c r="B4" s="959"/>
      <c r="C4" s="959"/>
      <c r="D4" s="111">
        <v>0.5</v>
      </c>
    </row>
    <row r="5" spans="1:4" x14ac:dyDescent="0.25">
      <c r="A5" s="959" t="s">
        <v>748</v>
      </c>
      <c r="B5" s="959"/>
      <c r="C5" s="959"/>
      <c r="D5" s="111">
        <v>0.15</v>
      </c>
    </row>
    <row r="6" spans="1:4" x14ac:dyDescent="0.25">
      <c r="A6" s="959" t="s">
        <v>800</v>
      </c>
      <c r="B6" s="959"/>
      <c r="C6" s="95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 x14ac:dyDescent="0.2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3.140625" style="88" customWidth="1"/>
    <col min="6" max="6" width="15.42578125" style="88" customWidth="1"/>
    <col min="7" max="7" width="2.42578125" style="88" customWidth="1"/>
    <col min="8" max="8" width="16.140625" style="88" bestFit="1" customWidth="1"/>
    <col min="9" max="9" width="6.42578125" style="88" customWidth="1"/>
    <col min="10" max="10" width="13.42578125" style="88" bestFit="1" customWidth="1"/>
    <col min="11" max="11" width="2.42578125" style="88" customWidth="1"/>
    <col min="12" max="12" width="14.1406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9.5" x14ac:dyDescent="0.35">
      <c r="B2" s="961" t="s">
        <v>801</v>
      </c>
      <c r="C2" s="961"/>
      <c r="D2" s="961"/>
      <c r="E2" s="961"/>
      <c r="F2" s="961"/>
      <c r="G2" s="961"/>
      <c r="H2" s="961"/>
      <c r="I2" s="961"/>
      <c r="J2" s="961"/>
      <c r="K2" s="961"/>
      <c r="L2" s="961"/>
      <c r="M2" s="961"/>
      <c r="N2" s="961"/>
    </row>
    <row r="4" spans="2:14" ht="13.5" x14ac:dyDescent="0.25">
      <c r="B4" s="92" t="s">
        <v>802</v>
      </c>
      <c r="C4" s="86"/>
      <c r="D4" s="90" t="s">
        <v>803</v>
      </c>
      <c r="E4" s="95"/>
      <c r="F4" s="90" t="s">
        <v>804</v>
      </c>
      <c r="H4" s="90" t="s">
        <v>805</v>
      </c>
      <c r="I4" s="95"/>
      <c r="J4" s="90" t="s">
        <v>806</v>
      </c>
      <c r="L4" s="90" t="s">
        <v>805</v>
      </c>
      <c r="M4" s="90"/>
      <c r="N4" s="90" t="s">
        <v>807</v>
      </c>
    </row>
    <row r="5" spans="2:14" ht="4.5" customHeight="1" x14ac:dyDescent="0.2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 x14ac:dyDescent="0.25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5" x14ac:dyDescent="0.25">
      <c r="B7" s="86"/>
      <c r="C7" s="86"/>
      <c r="D7" s="89"/>
      <c r="E7" s="95"/>
      <c r="F7" s="107" t="s">
        <v>808</v>
      </c>
      <c r="H7" s="99"/>
      <c r="I7" s="95"/>
      <c r="J7" s="107" t="s">
        <v>808</v>
      </c>
      <c r="L7" s="99"/>
      <c r="M7" s="99"/>
    </row>
    <row r="8" spans="2:14" ht="6" customHeight="1" x14ac:dyDescent="0.25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5" x14ac:dyDescent="0.25">
      <c r="B9" s="92" t="s">
        <v>322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5" x14ac:dyDescent="0.25">
      <c r="B10" s="108" t="s">
        <v>322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5" x14ac:dyDescent="0.25">
      <c r="B11" s="108" t="s">
        <v>809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5" x14ac:dyDescent="0.25">
      <c r="B12" s="108" t="s">
        <v>810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5" x14ac:dyDescent="0.25">
      <c r="B13" s="108" t="s">
        <v>811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5" x14ac:dyDescent="0.2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5" x14ac:dyDescent="0.25">
      <c r="B15" s="86"/>
      <c r="C15" s="86"/>
      <c r="D15" s="89"/>
      <c r="E15" s="95"/>
      <c r="F15" s="107" t="s">
        <v>808</v>
      </c>
      <c r="H15" s="99"/>
      <c r="I15" s="95"/>
      <c r="J15" s="107" t="s">
        <v>808</v>
      </c>
      <c r="L15" s="99"/>
      <c r="M15" s="99"/>
    </row>
    <row r="16" spans="2:14" ht="6" customHeight="1" x14ac:dyDescent="0.25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5" x14ac:dyDescent="0.25">
      <c r="B17" s="92" t="s">
        <v>812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 x14ac:dyDescent="0.2">
      <c r="B18" s="108" t="s">
        <v>812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 x14ac:dyDescent="0.2">
      <c r="B19" s="108" t="s">
        <v>811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 x14ac:dyDescent="0.2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5" x14ac:dyDescent="0.25">
      <c r="B21" s="86"/>
      <c r="C21" s="86"/>
      <c r="D21" s="89"/>
      <c r="E21" s="95"/>
      <c r="F21" s="107" t="s">
        <v>808</v>
      </c>
      <c r="H21" s="99"/>
      <c r="I21" s="95"/>
      <c r="J21" s="107" t="s">
        <v>808</v>
      </c>
      <c r="L21" s="99"/>
      <c r="M21" s="99"/>
    </row>
    <row r="22" spans="2:13" ht="6" customHeight="1" x14ac:dyDescent="0.25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5" x14ac:dyDescent="0.25">
      <c r="B23" s="92" t="s">
        <v>186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 x14ac:dyDescent="0.2">
      <c r="B24" s="108" t="s">
        <v>186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5" x14ac:dyDescent="0.25">
      <c r="B25" s="108" t="s">
        <v>811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 x14ac:dyDescent="0.2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5" x14ac:dyDescent="0.25">
      <c r="B27" s="86"/>
      <c r="C27" s="86"/>
      <c r="D27" s="89"/>
      <c r="E27" s="98"/>
      <c r="F27" s="107" t="s">
        <v>808</v>
      </c>
      <c r="H27" s="99"/>
      <c r="I27" s="95"/>
      <c r="J27" s="107" t="s">
        <v>808</v>
      </c>
      <c r="L27" s="99"/>
      <c r="M27" s="99"/>
    </row>
    <row r="28" spans="2:13" ht="6" customHeight="1" x14ac:dyDescent="0.25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5" x14ac:dyDescent="0.25">
      <c r="B29" s="92" t="s">
        <v>813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 x14ac:dyDescent="0.2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 x14ac:dyDescent="0.2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 x14ac:dyDescent="0.2">
      <c r="B32" s="108" t="s">
        <v>811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 x14ac:dyDescent="0.2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5" x14ac:dyDescent="0.25">
      <c r="B34" s="86"/>
      <c r="C34" s="86"/>
      <c r="D34" s="89"/>
      <c r="E34" s="98"/>
      <c r="F34" s="107" t="s">
        <v>808</v>
      </c>
      <c r="H34" s="99"/>
      <c r="I34" s="95"/>
      <c r="J34" s="107" t="s">
        <v>808</v>
      </c>
      <c r="L34" s="99"/>
      <c r="M34" s="99"/>
    </row>
    <row r="35" spans="2:13" ht="13.5" x14ac:dyDescent="0.2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5" x14ac:dyDescent="0.25">
      <c r="B36" s="92" t="s">
        <v>814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 x14ac:dyDescent="0.2">
      <c r="B37" s="108" t="s">
        <v>815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 x14ac:dyDescent="0.2">
      <c r="B38" s="108" t="s">
        <v>816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 x14ac:dyDescent="0.2">
      <c r="B39" s="108" t="s">
        <v>817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 x14ac:dyDescent="0.2">
      <c r="B40" s="108" t="s">
        <v>818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 x14ac:dyDescent="0.2">
      <c r="B41" s="108" t="s">
        <v>819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5" x14ac:dyDescent="0.25">
      <c r="B42" s="100"/>
      <c r="C42" s="86"/>
      <c r="D42" s="97"/>
      <c r="E42" s="98"/>
      <c r="F42" s="97"/>
      <c r="I42" s="98"/>
      <c r="J42" s="97"/>
    </row>
    <row r="43" spans="2:13" ht="13.5" x14ac:dyDescent="0.25">
      <c r="B43" s="92" t="s">
        <v>820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 x14ac:dyDescent="0.2">
      <c r="B47" s="86" t="s">
        <v>821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 x14ac:dyDescent="0.2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7" style="88" customWidth="1"/>
    <col min="6" max="6" width="3.140625" style="88" customWidth="1"/>
    <col min="7" max="7" width="18.42578125" style="88" customWidth="1"/>
    <col min="8" max="8" width="9.42578125" style="88" bestFit="1" customWidth="1"/>
    <col min="9" max="9" width="2" style="88" customWidth="1"/>
    <col min="10" max="10" width="14.1406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140625" style="88" bestFit="1" customWidth="1"/>
    <col min="16" max="16384" width="9.42578125" style="88"/>
  </cols>
  <sheetData>
    <row r="2" spans="2:15" s="94" customFormat="1" ht="19.5" x14ac:dyDescent="0.35">
      <c r="B2" s="961" t="s">
        <v>822</v>
      </c>
      <c r="C2" s="961"/>
      <c r="D2" s="961"/>
      <c r="E2" s="961"/>
      <c r="F2" s="961"/>
      <c r="G2" s="961"/>
      <c r="H2" s="961"/>
      <c r="I2" s="961"/>
      <c r="J2" s="961"/>
      <c r="K2" s="961"/>
      <c r="L2" s="961"/>
      <c r="M2" s="961"/>
      <c r="N2" s="961"/>
      <c r="O2" s="961"/>
    </row>
    <row r="4" spans="2:15" ht="13.5" x14ac:dyDescent="0.25">
      <c r="B4" s="92" t="s">
        <v>802</v>
      </c>
      <c r="C4" s="86"/>
      <c r="D4" s="90" t="s">
        <v>803</v>
      </c>
      <c r="E4" s="95"/>
      <c r="F4" s="95"/>
      <c r="G4" s="90" t="s">
        <v>823</v>
      </c>
      <c r="H4" s="96"/>
      <c r="J4" s="90" t="s">
        <v>805</v>
      </c>
      <c r="L4" s="90" t="s">
        <v>824</v>
      </c>
      <c r="M4" s="96"/>
      <c r="O4" s="90" t="s">
        <v>805</v>
      </c>
    </row>
    <row r="5" spans="2:15" ht="5.25" customHeight="1" x14ac:dyDescent="0.2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5" x14ac:dyDescent="0.25">
      <c r="B6" s="86" t="s">
        <v>319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5" x14ac:dyDescent="0.25">
      <c r="B7" s="86" t="s">
        <v>328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5" x14ac:dyDescent="0.25">
      <c r="B8" s="86" t="s">
        <v>331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5" x14ac:dyDescent="0.25">
      <c r="B9" s="86" t="s">
        <v>333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 x14ac:dyDescent="0.2">
      <c r="B10" s="86" t="s">
        <v>335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 x14ac:dyDescent="0.2">
      <c r="B11" s="86" t="s">
        <v>825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 x14ac:dyDescent="0.2">
      <c r="B12" s="86" t="s">
        <v>340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 x14ac:dyDescent="0.2">
      <c r="B13" s="86" t="s">
        <v>341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 x14ac:dyDescent="0.2">
      <c r="B14" s="97" t="s">
        <v>371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5" x14ac:dyDescent="0.25">
      <c r="B15" s="92" t="s">
        <v>820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5" x14ac:dyDescent="0.2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5" x14ac:dyDescent="0.2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5" x14ac:dyDescent="0.25">
      <c r="B18" s="92" t="s">
        <v>802</v>
      </c>
      <c r="C18" s="86"/>
      <c r="D18" s="90" t="s">
        <v>803</v>
      </c>
      <c r="E18" s="95"/>
      <c r="F18" s="95"/>
      <c r="G18" s="90" t="s">
        <v>826</v>
      </c>
      <c r="H18" s="96"/>
      <c r="J18" s="90" t="s">
        <v>805</v>
      </c>
      <c r="L18" s="90" t="s">
        <v>827</v>
      </c>
      <c r="M18" s="96"/>
      <c r="O18" s="90" t="s">
        <v>805</v>
      </c>
    </row>
    <row r="19" spans="2:15" ht="7.5" customHeight="1" x14ac:dyDescent="0.2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5" x14ac:dyDescent="0.25">
      <c r="B20" s="86" t="s">
        <v>828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5" x14ac:dyDescent="0.25">
      <c r="B21" s="86" t="s">
        <v>829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5" x14ac:dyDescent="0.25">
      <c r="B22" s="86" t="s">
        <v>830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5" x14ac:dyDescent="0.25">
      <c r="B23" s="86" t="s">
        <v>831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 x14ac:dyDescent="0.2">
      <c r="B24" s="86" t="s">
        <v>340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 x14ac:dyDescent="0.2">
      <c r="B25" s="86" t="s">
        <v>832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 x14ac:dyDescent="0.2">
      <c r="B26" s="86" t="s">
        <v>335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 x14ac:dyDescent="0.2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5" x14ac:dyDescent="0.2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5" x14ac:dyDescent="0.25">
      <c r="B29" s="92" t="s">
        <v>820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4.25" thickBot="1" x14ac:dyDescent="0.3">
      <c r="B32" s="102" t="s">
        <v>833</v>
      </c>
      <c r="C32" s="103"/>
      <c r="D32" s="103"/>
    </row>
    <row r="33" spans="2:4" ht="13.5" thickTop="1" x14ac:dyDescent="0.2"/>
    <row r="34" spans="2:4" x14ac:dyDescent="0.2">
      <c r="B34" s="88" t="s">
        <v>803</v>
      </c>
      <c r="D34" s="99" t="e">
        <f>D15</f>
        <v>#REF!</v>
      </c>
    </row>
    <row r="35" spans="2:4" x14ac:dyDescent="0.2">
      <c r="B35" s="99" t="str">
        <f>G4</f>
        <v>Cosmic Sun</v>
      </c>
      <c r="D35" s="99">
        <f>G15</f>
        <v>775642.7699999999</v>
      </c>
    </row>
    <row r="36" spans="2:4" x14ac:dyDescent="0.2">
      <c r="B36" s="99" t="str">
        <f>L4</f>
        <v>Matthews Group</v>
      </c>
      <c r="D36" s="99">
        <f>L15</f>
        <v>0</v>
      </c>
    </row>
    <row r="37" spans="2:4" x14ac:dyDescent="0.2">
      <c r="B37" s="99" t="str">
        <f>G18</f>
        <v>&gt;Installer Name 3&lt;</v>
      </c>
      <c r="D37" s="99">
        <f>G29</f>
        <v>0</v>
      </c>
    </row>
    <row r="38" spans="2:4" x14ac:dyDescent="0.2">
      <c r="B38" s="99" t="str">
        <f>L18</f>
        <v>&gt;Installer Name 4&lt;</v>
      </c>
      <c r="D38" s="99">
        <f>L29</f>
        <v>0</v>
      </c>
    </row>
    <row r="39" spans="2:4" ht="13.5" thickBot="1" x14ac:dyDescent="0.25">
      <c r="B39" s="104"/>
      <c r="C39" s="103"/>
      <c r="D39" s="103"/>
    </row>
    <row r="40" spans="2:4" ht="14.25" thickTop="1" x14ac:dyDescent="0.25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5" x14ac:dyDescent="0.25">
      <c r="B41" s="105"/>
      <c r="C41" s="105"/>
      <c r="D41" s="106"/>
    </row>
    <row r="42" spans="2:4" x14ac:dyDescent="0.2">
      <c r="B42" s="86" t="s">
        <v>834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5" x14ac:dyDescent="0.2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140625" customWidth="1"/>
    <col min="10" max="10" width="19.5703125" bestFit="1" customWidth="1"/>
  </cols>
  <sheetData>
    <row r="1" spans="2:14" x14ac:dyDescent="0.25">
      <c r="B1" s="963" t="str">
        <f>D15</f>
        <v>Coega Steels Phase 2</v>
      </c>
      <c r="C1" s="963"/>
      <c r="D1" s="963"/>
      <c r="E1" s="962" t="s">
        <v>835</v>
      </c>
      <c r="F1" s="962"/>
      <c r="G1" s="962"/>
      <c r="H1" s="962"/>
      <c r="I1" s="962"/>
      <c r="J1" s="962"/>
      <c r="K1" s="77"/>
      <c r="L1" s="77"/>
      <c r="M1" s="77"/>
      <c r="N1" s="77"/>
    </row>
    <row r="2" spans="2:14" ht="6.75" customHeight="1" x14ac:dyDescent="0.25"/>
    <row r="3" spans="2:14" x14ac:dyDescent="0.25">
      <c r="B3" s="72" t="s">
        <v>836</v>
      </c>
      <c r="C3" s="72" t="s">
        <v>837</v>
      </c>
      <c r="D3" s="72" t="s">
        <v>838</v>
      </c>
      <c r="E3" s="78" t="s">
        <v>839</v>
      </c>
      <c r="F3" s="78" t="s">
        <v>840</v>
      </c>
      <c r="G3" s="78" t="s">
        <v>148</v>
      </c>
      <c r="H3" s="78" t="s">
        <v>841</v>
      </c>
      <c r="I3" s="78" t="s">
        <v>794</v>
      </c>
      <c r="J3" s="78" t="s">
        <v>842</v>
      </c>
    </row>
    <row r="4" spans="2:14" x14ac:dyDescent="0.25">
      <c r="B4" s="76" t="s">
        <v>843</v>
      </c>
      <c r="C4" s="74"/>
      <c r="D4" s="74"/>
      <c r="E4" s="74"/>
      <c r="F4" s="74"/>
      <c r="G4" s="76"/>
      <c r="H4" s="76"/>
      <c r="I4" s="76"/>
      <c r="J4" s="71"/>
    </row>
    <row r="5" spans="2:14" x14ac:dyDescent="0.25">
      <c r="B5" s="76" t="s">
        <v>844</v>
      </c>
      <c r="C5" s="74"/>
      <c r="D5" s="74"/>
      <c r="E5" s="74"/>
      <c r="F5" s="74"/>
      <c r="G5" s="76"/>
      <c r="H5" s="76"/>
      <c r="I5" s="76"/>
      <c r="J5" s="71"/>
    </row>
    <row r="6" spans="2:14" x14ac:dyDescent="0.25">
      <c r="B6" s="76" t="s">
        <v>845</v>
      </c>
      <c r="C6" s="74"/>
      <c r="D6" s="74"/>
      <c r="E6" s="74"/>
      <c r="F6" s="74"/>
      <c r="G6" s="76"/>
      <c r="H6" s="76"/>
      <c r="I6" s="76"/>
      <c r="J6" s="71"/>
    </row>
    <row r="7" spans="2:14" x14ac:dyDescent="0.25">
      <c r="B7" s="76" t="s">
        <v>846</v>
      </c>
      <c r="C7" s="74"/>
      <c r="D7" s="74"/>
      <c r="E7" s="74"/>
      <c r="F7" s="74"/>
      <c r="G7" s="76"/>
      <c r="H7" s="76"/>
      <c r="I7" s="76"/>
      <c r="J7" s="71"/>
    </row>
    <row r="8" spans="2:14" x14ac:dyDescent="0.25">
      <c r="B8" s="76" t="s">
        <v>847</v>
      </c>
      <c r="C8" s="75"/>
      <c r="D8" s="75"/>
      <c r="E8" s="75"/>
      <c r="F8" s="75"/>
      <c r="G8" s="75"/>
      <c r="H8" s="75"/>
      <c r="I8" s="75"/>
      <c r="J8" s="71"/>
    </row>
    <row r="9" spans="2:14" x14ac:dyDescent="0.25">
      <c r="B9" s="76" t="s">
        <v>848</v>
      </c>
      <c r="C9" s="75"/>
      <c r="D9" s="75"/>
      <c r="E9" s="75"/>
      <c r="F9" s="75"/>
      <c r="G9" s="75"/>
      <c r="H9" s="75"/>
      <c r="I9" s="75"/>
      <c r="J9" s="71"/>
    </row>
    <row r="10" spans="2:14" x14ac:dyDescent="0.25">
      <c r="B10" s="76" t="s">
        <v>849</v>
      </c>
      <c r="C10" s="75"/>
      <c r="D10" s="75"/>
      <c r="E10" s="75"/>
      <c r="F10" s="75"/>
      <c r="G10" s="75"/>
      <c r="H10" s="75"/>
      <c r="I10" s="75"/>
      <c r="J10" s="71"/>
    </row>
    <row r="11" spans="2:14" x14ac:dyDescent="0.25">
      <c r="B11" s="76" t="s">
        <v>850</v>
      </c>
      <c r="C11" s="75"/>
      <c r="D11" s="75"/>
      <c r="E11" s="75"/>
      <c r="F11" s="75"/>
      <c r="G11" s="75"/>
      <c r="H11" s="75"/>
      <c r="I11" s="75"/>
      <c r="J11" s="71"/>
    </row>
    <row r="12" spans="2:14" x14ac:dyDescent="0.25">
      <c r="B12" s="76" t="s">
        <v>851</v>
      </c>
      <c r="C12" s="75"/>
      <c r="D12" s="75"/>
      <c r="E12" s="75"/>
      <c r="F12" s="75"/>
      <c r="G12" s="75"/>
      <c r="H12" s="75"/>
      <c r="I12" s="75"/>
      <c r="J12" s="71"/>
    </row>
    <row r="13" spans="2:14" x14ac:dyDescent="0.25">
      <c r="B13" s="76" t="s">
        <v>852</v>
      </c>
      <c r="C13" s="75"/>
      <c r="D13" s="75"/>
      <c r="E13" s="75"/>
      <c r="F13" s="75"/>
      <c r="G13" s="75"/>
      <c r="H13" s="75"/>
      <c r="I13" s="75"/>
      <c r="J13" s="71"/>
    </row>
    <row r="15" spans="2:14" x14ac:dyDescent="0.25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E14791-5FA2-4D5D-B989-AC7D28FAC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Revenue</vt:lpstr>
      <vt:lpstr>Detail1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Gordon Upton</cp:lastModifiedBy>
  <cp:revision/>
  <dcterms:created xsi:type="dcterms:W3CDTF">2020-08-09T08:25:30Z</dcterms:created>
  <dcterms:modified xsi:type="dcterms:W3CDTF">2026-03-04T06:36:48Z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