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73" documentId="13_ncr:1_{D81B22CD-1ABD-4A37-8DB0-37744E5D41CF}" xr6:coauthVersionLast="47" xr6:coauthVersionMax="47" xr10:uidLastSave="{7E15E43F-6275-41C7-AF14-E02E48AAED6D}"/>
  <bookViews>
    <workbookView xWindow="-108" yWindow="-108" windowWidth="23256" windowHeight="12456" tabRatio="702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7" i="18" l="1"/>
  <c r="I33" i="2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K32" i="2"/>
  <c r="K30" i="2"/>
  <c r="K18" i="2"/>
  <c r="J18" i="2" s="1"/>
  <c r="U14" i="2" s="1"/>
  <c r="E41" i="2" l="1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U81" i="18" s="1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V80" i="18" l="1"/>
  <c r="G45" i="2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<sst xmlns="http://schemas.openxmlformats.org/spreadsheetml/2006/main" count="811" uniqueCount="456">
  <si>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</si>
  <si>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</si>
  <si>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</si>
  <si>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</si>
  <si>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</si>
  <si>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</si>
  <si>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</si>
  <si>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</si>
  <si>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</si>
  <si>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</si>
  <si>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</si>
  <si>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</si>
  <si>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</si>
  <si>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</si>
  <si>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</si>
  <si>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</si>
  <si>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</si>
  <si>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</si>
  <si>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</si>
  <si>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</si>
  <si>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</si>
  <si>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</si>
  <si>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</si>
  <si>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</si>
  <si>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</si>
  <si>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</si>
  <si>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</si>
  <si>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</si>
  <si>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</si>
  <si>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</si>
  <si>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</si>
  <si>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</si>
  <si>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</si>
  <si>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</si>
  <si>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</si>
  <si>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</si>
  <si>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</si>
  <si>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</si>
  <si>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</si>
  <si>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</si>
  <si>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</si>
  <si>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</si>
  <si>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</si>
  <si>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</si>
  <si>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</si>
  <si>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</si>
  <si>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</si>
  <si>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</si>
  <si>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</si>
  <si>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</si>
  <si>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</si>
  <si>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</si>
  <si>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</si>
  <si>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</si>
  <si>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</si>
  <si>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</si>
  <si>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</si>
  <si>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</si>
  <si>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</si>
  <si>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</si>
  <si>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</si>
  <si>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</si>
  <si>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</si>
  <si>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</si>
  <si>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</si>
  <si>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</si>
  <si>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</si>
  <si>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</si>
  <si>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</si>
  <si>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</si>
  <si>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</si>
  <si>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</si>
  <si>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</si>
  <si>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</si>
  <si>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</si>
  <si>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</si>
  <si>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</si>
  <si>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</si>
  <si>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</si>
  <si>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</si>
  <si>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</si>
  <si>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</si>
  <si>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</si>
  <si>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</si>
  <si>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</si>
  <si>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</si>
  <si>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</si>
  <si>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</si>
  <si>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</si>
  <si>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</si>
  <si>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</si>
  <si>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</si>
  <si>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</si>
  <si>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</si>
  <si>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</si>
  <si>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</si>
  <si>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</si>
  <si>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</si>
  <si>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</si>
  <si>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</si>
  <si>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</si>
  <si>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</si>
  <si>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</si>
  <si>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</si>
  <si>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</si>
  <si>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</si>
  <si>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</si>
  <si>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</si>
  <si>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</si>
  <si>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</si>
  <si>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</si>
  <si>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</si>
  <si>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</si>
  <si>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</si>
  <si>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</si>
  <si>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</si>
  <si>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</si>
  <si>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</si>
  <si>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</si>
  <si>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</si>
  <si>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</si>
  <si>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</si>
  <si>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</si>
  <si>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</si>
  <si>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</si>
  <si>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</si>
  <si>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</si>
  <si>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</si>
  <si>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</si>
  <si>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</si>
  <si>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</si>
  <si>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</si>
  <si>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</si>
  <si>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</si>
  <si>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</si>
  <si>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</si>
  <si>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</si>
  <si>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</si>
  <si>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</si>
  <si>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</si>
  <si>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</si>
  <si>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</si>
  <si>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</si>
  <si>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</si>
  <si>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</si>
  <si>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</si>
  <si>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</si>
  <si>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</si>
  <si>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</si>
  <si>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</si>
  <si>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</si>
  <si>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</si>
  <si>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</si>
  <si>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</si>
  <si>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</si>
  <si>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</si>
  <si>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</si>
  <si>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</si>
  <si>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</si>
  <si>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</si>
  <si>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</si>
  <si>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</si>
  <si>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</si>
  <si>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</si>
  <si>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</si>
  <si>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</si>
  <si>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</si>
  <si>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</si>
  <si>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</si>
  <si>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</si>
  <si>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</si>
  <si>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</si>
  <si>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</si>
  <si>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</si>
  <si>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</si>
  <si>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</si>
  <si>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</si>
  <si>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</si>
  <si>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</si>
  <si>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</si>
  <si>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</si>
  <si>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</si>
  <si>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</si>
  <si>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</si>
  <si>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</si>
  <si>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</si>
  <si>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</si>
  <si>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</si>
  <si>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</si>
  <si>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</si>
  <si>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</si>
  <si>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</si>
  <si>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</si>
  <si>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</si>
  <si>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</si>
  <si>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</si>
  <si>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</si>
  <si>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</si>
  <si>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</si>
  <si>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</si>
  <si>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</si>
  <si>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</si>
  <si>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</si>
  <si>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</si>
  <si>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</si>
  <si>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</si>
  <si>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</si>
  <si>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</si>
  <si>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</si>
  <si>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</si>
  <si>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</si>
  <si>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</si>
  <si>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</si>
  <si>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</si>
  <si>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</si>
  <si>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</si>
  <si>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</si>
  <si>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</si>
  <si>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</si>
  <si>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</si>
  <si>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</si>
  <si>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</si>
  <si>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</si>
  <si>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</si>
  <si>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</si>
  <si>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</si>
  <si>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</si>
  <si>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</si>
  <si>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</si>
  <si>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</si>
  <si>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</si>
  <si>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</si>
  <si>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</si>
  <si>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</si>
  <si>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</si>
  <si>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</si>
  <si>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</si>
  <si>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</si>
  <si>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</si>
  <si>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</si>
  <si>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</si>
  <si>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</si>
  <si>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</si>
  <si>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</si>
  <si>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</si>
  <si>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</si>
  <si>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</si>
  <si>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</si>
  <si>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</si>
  <si>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</si>
  <si>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</si>
  <si>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</si>
  <si>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</si>
  <si>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</si>
  <si>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</si>
  <si>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</si>
  <si>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</si>
  <si>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</si>
  <si>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</si>
  <si>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</si>
  <si>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</si>
  <si>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</si>
  <si>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</si>
  <si>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</si>
  <si>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</si>
  <si>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</si>
  <si>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</si>
  <si>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</si>
  <si>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</si>
  <si>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</si>
  <si>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</si>
  <si>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</si>
  <si>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</si>
  <si>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</si>
  <si>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</si>
  <si>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</si>
  <si>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</si>
  <si>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</si>
  <si>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</si>
  <si>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</si>
  <si>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</si>
  <si>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</si>
  <si>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</si>
  <si>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</si>
  <si>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</si>
  <si>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</si>
  <si>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</si>
  <si>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</si>
  <si>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</si>
  <si>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</si>
  <si>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</si>
  <si>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</si>
  <si>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</si>
  <si>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</si>
  <si>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</si>
  <si>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</si>
  <si>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</si>
  <si>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</si>
  <si>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</si>
  <si>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</si>
  <si>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</si>
  <si>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</si>
  <si>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</si>
  <si>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</si>
  <si>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</si>
  <si>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</si>
  <si>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</si>
  <si>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</si>
  <si>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</si>
  <si>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</si>
  <si>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</si>
  <si>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</si>
  <si>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</si>
  <si>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</si>
  <si>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</si>
  <si>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</si>
  <si>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</si>
  <si>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</si>
  <si>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</si>
  <si>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</si>
  <si>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</si>
  <si>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</si>
  <si>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</si>
  <si>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</si>
  <si>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</si>
  <si>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</si>
  <si>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</si>
  <si>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</si>
  <si>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</si>
  <si>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</si>
  <si>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</si>
  <si>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</si>
  <si>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</si>
  <si>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</si>
  <si>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</si>
  <si>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</si>
  <si>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</si>
  <si>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</si>
  <si>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</si>
  <si>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</si>
  <si>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</si>
  <si>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</si>
  <si>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</si>
  <si>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</si>
  <si>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</si>
  <si>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</si>
  <si>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</si>
  <si>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</si>
  <si>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</si>
  <si>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</si>
  <si>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</si>
  <si>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</si>
  <si>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</si>
  <si>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</si>
  <si>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</si>
  <si>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</si>
  <si>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</si>
  <si>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</si>
  <si>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</si>
  <si>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</si>
  <si>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</si>
  <si>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</si>
  <si>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</si>
  <si>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</si>
  <si>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</si>
  <si>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</si>
  <si>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</si>
  <si>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</si>
  <si>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</si>
  <si>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</si>
  <si>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</si>
  <si>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</si>
  <si>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</si>
  <si>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</si>
  <si>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</si>
  <si>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</si>
  <si>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</si>
  <si>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</si>
  <si>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</si>
  <si>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</si>
  <si>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</si>
  <si>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</si>
  <si>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</si>
  <si>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</si>
  <si>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</si>
  <si>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</si>
  <si>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</si>
  <si>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</si>
  <si>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</si>
  <si>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</si>
  <si>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</si>
  <si>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</si>
  <si>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</si>
  <si>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</si>
  <si>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</si>
  <si>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</si>
  <si>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</si>
  <si>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</si>
  <si>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</si>
  <si>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</si>
  <si>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</si>
  <si>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</si>
  <si>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</si>
  <si>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</si>
  <si>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</si>
  <si>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</si>
  <si>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</si>
  <si>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</si>
  <si>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</si>
  <si>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</si>
  <si>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</si>
  <si>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</si>
  <si>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</si>
  <si>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</si>
  <si>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</si>
  <si>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</si>
  <si>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</si>
  <si>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</si>
  <si>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</si>
  <si>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</si>
  <si>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</si>
  <si>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</si>
  <si>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</si>
  <si>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</si>
  <si>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</si>
  <si>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</si>
  <si>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</si>
  <si>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</si>
  <si>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</si>
  <si>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</si>
  <si>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</si>
  <si>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</si>
  <si>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</si>
  <si>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</si>
  <si>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</si>
  <si>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</si>
  <si>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</si>
  <si>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</si>
  <si>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</si>
  <si>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</si>
  <si>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</si>
  <si>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</si>
  <si>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</si>
  <si>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</si>
  <si>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</si>
  <si>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</si>
  <si>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</si>
  <si>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</si>
  <si>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</si>
  <si>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</si>
  <si>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</si>
  <si>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</si>
  <si>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</si>
  <si>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trays 60%</t>
  </si>
  <si>
    <t>Aircon</t>
  </si>
  <si>
    <t>PO4653-RSM-20260303 -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</si>
</sst>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72</c:v>
                  </c:pt>
                  <c:pt idx="3">
                    <c:v>29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420448.56800000009</c:v>
                </c:pt>
                <c:pt idx="16">
                  <c:v>472226.66800000006</c:v>
                </c:pt>
                <c:pt idx="17">
                  <c:v>472226.66800000006</c:v>
                </c:pt>
                <c:pt idx="18">
                  <c:v>594268.81900000002</c:v>
                </c:pt>
                <c:pt idx="19">
                  <c:v>1102976.8588872936</c:v>
                </c:pt>
                <c:pt idx="20">
                  <c:v>1272128.3658872936</c:v>
                </c:pt>
                <c:pt idx="21">
                  <c:v>1283285.8658872936</c:v>
                </c:pt>
                <c:pt idx="22">
                  <c:v>1303626.2243872937</c:v>
                </c:pt>
                <c:pt idx="23">
                  <c:v>1303626.2243872937</c:v>
                </c:pt>
                <c:pt idx="24">
                  <c:v>1303626.2243872937</c:v>
                </c:pt>
                <c:pt idx="25">
                  <c:v>1303783.7243872937</c:v>
                </c:pt>
                <c:pt idx="26">
                  <c:v>1303783.7243872937</c:v>
                </c:pt>
                <c:pt idx="27">
                  <c:v>1303783.7243872937</c:v>
                </c:pt>
                <c:pt idx="28">
                  <c:v>1303783.7243872937</c:v>
                </c:pt>
                <c:pt idx="29">
                  <c:v>1303783.7243872937</c:v>
                </c:pt>
                <c:pt idx="30">
                  <c:v>1303783.7243872937</c:v>
                </c:pt>
                <c:pt idx="31">
                  <c:v>1303783.7243872937</c:v>
                </c:pt>
                <c:pt idx="32">
                  <c:v>1303783.7243872937</c:v>
                </c:pt>
                <c:pt idx="33">
                  <c:v>1303783.7243872937</c:v>
                </c:pt>
                <c:pt idx="34">
                  <c:v>1303783.7243872937</c:v>
                </c:pt>
                <c:pt idx="35">
                  <c:v>1303783.7243872937</c:v>
                </c:pt>
                <c:pt idx="36">
                  <c:v>1303783.7243872937</c:v>
                </c:pt>
                <c:pt idx="37">
                  <c:v>1303783.7243872937</c:v>
                </c:pt>
                <c:pt idx="38">
                  <c:v>1303783.7243872937</c:v>
                </c:pt>
                <c:pt idx="39">
                  <c:v>1303783.7243872937</c:v>
                </c:pt>
                <c:pt idx="40">
                  <c:v>1303783.7243872937</c:v>
                </c:pt>
                <c:pt idx="41">
                  <c:v>1303783.7243872937</c:v>
                </c:pt>
                <c:pt idx="42">
                  <c:v>1303783.7243872937</c:v>
                </c:pt>
                <c:pt idx="43">
                  <c:v>1303783.7243872937</c:v>
                </c:pt>
                <c:pt idx="44">
                  <c:v>1303783.7243872937</c:v>
                </c:pt>
                <c:pt idx="45">
                  <c:v>1303783.7243872937</c:v>
                </c:pt>
                <c:pt idx="46">
                  <c:v>1303783.7243872937</c:v>
                </c:pt>
                <c:pt idx="47">
                  <c:v>1303783.7243872937</c:v>
                </c:pt>
                <c:pt idx="48">
                  <c:v>1303783.7243872937</c:v>
                </c:pt>
                <c:pt idx="49">
                  <c:v>1303783.7243872937</c:v>
                </c:pt>
                <c:pt idx="50">
                  <c:v>1303783.7243872937</c:v>
                </c:pt>
                <c:pt idx="51">
                  <c:v>1303783.7243872937</c:v>
                </c:pt>
                <c:pt idx="52">
                  <c:v>1303783.7243872937</c:v>
                </c:pt>
                <c:pt idx="53">
                  <c:v>1303783.7243872937</c:v>
                </c:pt>
                <c:pt idx="54">
                  <c:v>1303783.7243872937</c:v>
                </c:pt>
                <c:pt idx="55">
                  <c:v>1303783.7243872937</c:v>
                </c:pt>
                <c:pt idx="56">
                  <c:v>1303783.7243872937</c:v>
                </c:pt>
                <c:pt idx="57">
                  <c:v>1303783.7243872937</c:v>
                </c:pt>
                <c:pt idx="58">
                  <c:v>1303783.7243872937</c:v>
                </c:pt>
                <c:pt idx="59">
                  <c:v>1303783.7243872937</c:v>
                </c:pt>
                <c:pt idx="60">
                  <c:v>1303783.7243872937</c:v>
                </c:pt>
                <c:pt idx="61">
                  <c:v>1303783.7243872937</c:v>
                </c:pt>
                <c:pt idx="62">
                  <c:v>1303783.7243872937</c:v>
                </c:pt>
                <c:pt idx="63">
                  <c:v>1303783.7243872937</c:v>
                </c:pt>
                <c:pt idx="64">
                  <c:v>1303783.7243872937</c:v>
                </c:pt>
                <c:pt idx="65">
                  <c:v>1303783.7243872937</c:v>
                </c:pt>
                <c:pt idx="66">
                  <c:v>1303783.7243872937</c:v>
                </c:pt>
                <c:pt idx="67">
                  <c:v>1303783.7243872937</c:v>
                </c:pt>
                <c:pt idx="68">
                  <c:v>1303783.7243872937</c:v>
                </c:pt>
                <c:pt idx="69">
                  <c:v>1303783.7243872937</c:v>
                </c:pt>
                <c:pt idx="70">
                  <c:v>1303783.7243872937</c:v>
                </c:pt>
                <c:pt idx="71">
                  <c:v>1303783.7243872937</c:v>
                </c:pt>
                <c:pt idx="72">
                  <c:v>1303783.7243872937</c:v>
                </c:pt>
                <c:pt idx="73">
                  <c:v>1303783.7243872937</c:v>
                </c:pt>
                <c:pt idx="74">
                  <c:v>1303783.7243872937</c:v>
                </c:pt>
                <c:pt idx="75">
                  <c:v>1303783.7243872937</c:v>
                </c:pt>
                <c:pt idx="76">
                  <c:v>1303783.7243872937</c:v>
                </c:pt>
                <c:pt idx="77">
                  <c:v>1303783.7243872937</c:v>
                </c:pt>
                <c:pt idx="78">
                  <c:v>1303783.7243872937</c:v>
                </c:pt>
                <c:pt idx="79">
                  <c:v>1303783.7243872937</c:v>
                </c:pt>
                <c:pt idx="80">
                  <c:v>1303783.7243872937</c:v>
                </c:pt>
                <c:pt idx="81">
                  <c:v>1303783.7243872937</c:v>
                </c:pt>
                <c:pt idx="82">
                  <c:v>1303783.7243872937</c:v>
                </c:pt>
                <c:pt idx="83">
                  <c:v>1303783.7243872937</c:v>
                </c:pt>
                <c:pt idx="84">
                  <c:v>1303783.7243872937</c:v>
                </c:pt>
                <c:pt idx="85">
                  <c:v>1303783.7243872937</c:v>
                </c:pt>
                <c:pt idx="86">
                  <c:v>1303783.7243872937</c:v>
                </c:pt>
                <c:pt idx="87">
                  <c:v>1303783.7243872937</c:v>
                </c:pt>
                <c:pt idx="88">
                  <c:v>1303783.7243872937</c:v>
                </c:pt>
                <c:pt idx="89">
                  <c:v>1303783.7243872937</c:v>
                </c:pt>
                <c:pt idx="90">
                  <c:v>1303783.7243872937</c:v>
                </c:pt>
                <c:pt idx="91">
                  <c:v>1303783.7243872937</c:v>
                </c:pt>
                <c:pt idx="92">
                  <c:v>1303783.7243872937</c:v>
                </c:pt>
                <c:pt idx="93">
                  <c:v>1303783.7243872937</c:v>
                </c:pt>
                <c:pt idx="94">
                  <c:v>1303783.7243872937</c:v>
                </c:pt>
                <c:pt idx="95">
                  <c:v>1303783.7243872937</c:v>
                </c:pt>
                <c:pt idx="96">
                  <c:v>1303783.7243872937</c:v>
                </c:pt>
                <c:pt idx="97">
                  <c:v>1303783.7243872937</c:v>
                </c:pt>
                <c:pt idx="98">
                  <c:v>1303783.7243872937</c:v>
                </c:pt>
                <c:pt idx="99">
                  <c:v>1303783.7243872937</c:v>
                </c:pt>
                <c:pt idx="100">
                  <c:v>1303783.7243872937</c:v>
                </c:pt>
                <c:pt idx="101">
                  <c:v>1303783.7243872937</c:v>
                </c:pt>
                <c:pt idx="102">
                  <c:v>1303783.7243872937</c:v>
                </c:pt>
                <c:pt idx="103">
                  <c:v>1303783.7243872937</c:v>
                </c:pt>
                <c:pt idx="104">
                  <c:v>1303783.7243872937</c:v>
                </c:pt>
                <c:pt idx="105">
                  <c:v>1303783.7243872937</c:v>
                </c:pt>
                <c:pt idx="106">
                  <c:v>1303783.7243872937</c:v>
                </c:pt>
                <c:pt idx="107">
                  <c:v>1303783.7243872937</c:v>
                </c:pt>
                <c:pt idx="108">
                  <c:v>1303783.7243872937</c:v>
                </c:pt>
                <c:pt idx="109">
                  <c:v>1303783.7243872937</c:v>
                </c:pt>
                <c:pt idx="110">
                  <c:v>1303783.7243872937</c:v>
                </c:pt>
                <c:pt idx="111">
                  <c:v>1303783.7243872937</c:v>
                </c:pt>
                <c:pt idx="112">
                  <c:v>1303783.7243872937</c:v>
                </c:pt>
                <c:pt idx="113">
                  <c:v>1303783.7243872937</c:v>
                </c:pt>
                <c:pt idx="114">
                  <c:v>1303783.7243872937</c:v>
                </c:pt>
                <c:pt idx="115">
                  <c:v>1303783.7243872937</c:v>
                </c:pt>
                <c:pt idx="116">
                  <c:v>1303783.7243872937</c:v>
                </c:pt>
                <c:pt idx="117">
                  <c:v>1303783.7243872937</c:v>
                </c:pt>
                <c:pt idx="118">
                  <c:v>1303783.7243872937</c:v>
                </c:pt>
                <c:pt idx="119">
                  <c:v>1303783.7243872937</c:v>
                </c:pt>
                <c:pt idx="120">
                  <c:v>1303783.7243872937</c:v>
                </c:pt>
                <c:pt idx="121">
                  <c:v>1303783.7243872937</c:v>
                </c:pt>
                <c:pt idx="122">
                  <c:v>1303783.7243872937</c:v>
                </c:pt>
                <c:pt idx="123">
                  <c:v>1303783.7243872937</c:v>
                </c:pt>
                <c:pt idx="124">
                  <c:v>1303783.7243872937</c:v>
                </c:pt>
                <c:pt idx="125">
                  <c:v>1303783.7243872937</c:v>
                </c:pt>
                <c:pt idx="126">
                  <c:v>1303783.7243872937</c:v>
                </c:pt>
                <c:pt idx="127">
                  <c:v>1303783.7243872937</c:v>
                </c:pt>
                <c:pt idx="128">
                  <c:v>1303783.7243872937</c:v>
                </c:pt>
                <c:pt idx="129">
                  <c:v>1303783.7243872937</c:v>
                </c:pt>
                <c:pt idx="130">
                  <c:v>1303783.7243872937</c:v>
                </c:pt>
                <c:pt idx="131">
                  <c:v>1303783.7243872937</c:v>
                </c:pt>
                <c:pt idx="132">
                  <c:v>1303783.7243872937</c:v>
                </c:pt>
                <c:pt idx="133">
                  <c:v>1303783.7243872937</c:v>
                </c:pt>
                <c:pt idx="134">
                  <c:v>1303783.7243872937</c:v>
                </c:pt>
                <c:pt idx="135">
                  <c:v>1303783.7243872937</c:v>
                </c:pt>
                <c:pt idx="136">
                  <c:v>1303783.7243872937</c:v>
                </c:pt>
                <c:pt idx="137">
                  <c:v>1303783.7243872937</c:v>
                </c:pt>
                <c:pt idx="138">
                  <c:v>1303783.7243872937</c:v>
                </c:pt>
                <c:pt idx="139">
                  <c:v>1303783.7243872937</c:v>
                </c:pt>
                <c:pt idx="140">
                  <c:v>1303783.7243872937</c:v>
                </c:pt>
                <c:pt idx="141">
                  <c:v>1303783.7243872937</c:v>
                </c:pt>
                <c:pt idx="142">
                  <c:v>1303783.7243872937</c:v>
                </c:pt>
                <c:pt idx="143">
                  <c:v>1303783.7243872937</c:v>
                </c:pt>
                <c:pt idx="144">
                  <c:v>1303783.7243872937</c:v>
                </c:pt>
                <c:pt idx="145">
                  <c:v>1303783.7243872937</c:v>
                </c:pt>
                <c:pt idx="146">
                  <c:v>1303783.7243872937</c:v>
                </c:pt>
                <c:pt idx="147">
                  <c:v>1303783.7243872937</c:v>
                </c:pt>
                <c:pt idx="148">
                  <c:v>1303783.7243872937</c:v>
                </c:pt>
                <c:pt idx="149">
                  <c:v>1303783.7243872937</c:v>
                </c:pt>
                <c:pt idx="150">
                  <c:v>1303783.7243872937</c:v>
                </c:pt>
                <c:pt idx="151">
                  <c:v>1303783.7243872937</c:v>
                </c:pt>
                <c:pt idx="152">
                  <c:v>1303783.7243872937</c:v>
                </c:pt>
                <c:pt idx="153">
                  <c:v>1303783.7243872937</c:v>
                </c:pt>
                <c:pt idx="154">
                  <c:v>1303783.7243872937</c:v>
                </c:pt>
                <c:pt idx="155">
                  <c:v>1303783.7243872937</c:v>
                </c:pt>
                <c:pt idx="156">
                  <c:v>1303783.7243872937</c:v>
                </c:pt>
                <c:pt idx="157">
                  <c:v>1303783.7243872937</c:v>
                </c:pt>
                <c:pt idx="158">
                  <c:v>1303783.7243872937</c:v>
                </c:pt>
                <c:pt idx="159">
                  <c:v>1303783.7243872937</c:v>
                </c:pt>
                <c:pt idx="160">
                  <c:v>1303783.7243872937</c:v>
                </c:pt>
                <c:pt idx="161">
                  <c:v>1303783.7243872937</c:v>
                </c:pt>
                <c:pt idx="162">
                  <c:v>1303783.7243872937</c:v>
                </c:pt>
                <c:pt idx="163">
                  <c:v>1303783.7243872937</c:v>
                </c:pt>
                <c:pt idx="164">
                  <c:v>1303783.7243872937</c:v>
                </c:pt>
                <c:pt idx="165">
                  <c:v>1303783.7243872937</c:v>
                </c:pt>
                <c:pt idx="166">
                  <c:v>1303783.7243872937</c:v>
                </c:pt>
                <c:pt idx="167">
                  <c:v>1303783.7243872937</c:v>
                </c:pt>
                <c:pt idx="168">
                  <c:v>1303783.7243872937</c:v>
                </c:pt>
                <c:pt idx="169">
                  <c:v>1303783.7243872937</c:v>
                </c:pt>
                <c:pt idx="170">
                  <c:v>1303783.7243872937</c:v>
                </c:pt>
                <c:pt idx="171">
                  <c:v>1303783.7243872937</c:v>
                </c:pt>
                <c:pt idx="172">
                  <c:v>1303783.7243872937</c:v>
                </c:pt>
                <c:pt idx="173">
                  <c:v>1303783.7243872937</c:v>
                </c:pt>
                <c:pt idx="174">
                  <c:v>1303783.7243872937</c:v>
                </c:pt>
                <c:pt idx="175">
                  <c:v>1303783.7243872937</c:v>
                </c:pt>
                <c:pt idx="176">
                  <c:v>1303783.7243872937</c:v>
                </c:pt>
                <c:pt idx="177">
                  <c:v>1303783.7243872937</c:v>
                </c:pt>
                <c:pt idx="178">
                  <c:v>1303783.7243872937</c:v>
                </c:pt>
                <c:pt idx="179">
                  <c:v>1303783.7243872937</c:v>
                </c:pt>
                <c:pt idx="180">
                  <c:v>1303783.7243872937</c:v>
                </c:pt>
                <c:pt idx="181">
                  <c:v>1303783.7243872937</c:v>
                </c:pt>
                <c:pt idx="182">
                  <c:v>1303783.7243872937</c:v>
                </c:pt>
                <c:pt idx="183">
                  <c:v>1303783.7243872937</c:v>
                </c:pt>
                <c:pt idx="184">
                  <c:v>1303783.7243872937</c:v>
                </c:pt>
                <c:pt idx="185">
                  <c:v>1303783.7243872937</c:v>
                </c:pt>
                <c:pt idx="186">
                  <c:v>1303783.7243872937</c:v>
                </c:pt>
                <c:pt idx="187">
                  <c:v>1303783.7243872937</c:v>
                </c:pt>
                <c:pt idx="188">
                  <c:v>1303783.7243872937</c:v>
                </c:pt>
                <c:pt idx="189">
                  <c:v>1303783.7243872937</c:v>
                </c:pt>
                <c:pt idx="190">
                  <c:v>1303783.7243872937</c:v>
                </c:pt>
                <c:pt idx="191">
                  <c:v>1303783.7243872937</c:v>
                </c:pt>
                <c:pt idx="192">
                  <c:v>1303783.7243872937</c:v>
                </c:pt>
                <c:pt idx="193">
                  <c:v>1303783.7243872937</c:v>
                </c:pt>
                <c:pt idx="194">
                  <c:v>1303783.7243872937</c:v>
                </c:pt>
                <c:pt idx="195">
                  <c:v>1303783.7243872937</c:v>
                </c:pt>
                <c:pt idx="196">
                  <c:v>1303783.7243872937</c:v>
                </c:pt>
                <c:pt idx="197">
                  <c:v>1303783.7243872937</c:v>
                </c:pt>
                <c:pt idx="198">
                  <c:v>1303783.7243872937</c:v>
                </c:pt>
                <c:pt idx="199">
                  <c:v>1303783.7243872937</c:v>
                </c:pt>
                <c:pt idx="200">
                  <c:v>1303783.7243872937</c:v>
                </c:pt>
                <c:pt idx="201">
                  <c:v>1303783.7243872937</c:v>
                </c:pt>
                <c:pt idx="202">
                  <c:v>1303783.7243872937</c:v>
                </c:pt>
                <c:pt idx="203">
                  <c:v>1303783.7243872937</c:v>
                </c:pt>
                <c:pt idx="204">
                  <c:v>1303783.7243872937</c:v>
                </c:pt>
                <c:pt idx="205">
                  <c:v>1303783.7243872937</c:v>
                </c:pt>
                <c:pt idx="206">
                  <c:v>1303783.7243872937</c:v>
                </c:pt>
                <c:pt idx="207">
                  <c:v>1303783.7243872937</c:v>
                </c:pt>
                <c:pt idx="208">
                  <c:v>1303783.7243872937</c:v>
                </c:pt>
                <c:pt idx="209">
                  <c:v>1303783.7243872937</c:v>
                </c:pt>
                <c:pt idx="210">
                  <c:v>1303783.7243872937</c:v>
                </c:pt>
                <c:pt idx="211">
                  <c:v>1303783.7243872937</c:v>
                </c:pt>
                <c:pt idx="212">
                  <c:v>1303783.7243872937</c:v>
                </c:pt>
                <c:pt idx="213">
                  <c:v>1303783.7243872937</c:v>
                </c:pt>
                <c:pt idx="214">
                  <c:v>1303783.7243872937</c:v>
                </c:pt>
                <c:pt idx="215">
                  <c:v>1303783.7243872937</c:v>
                </c:pt>
                <c:pt idx="216">
                  <c:v>1303783.7243872937</c:v>
                </c:pt>
                <c:pt idx="217">
                  <c:v>1303783.7243872937</c:v>
                </c:pt>
                <c:pt idx="218">
                  <c:v>1303783.7243872937</c:v>
                </c:pt>
                <c:pt idx="219">
                  <c:v>1303783.7243872937</c:v>
                </c:pt>
                <c:pt idx="220">
                  <c:v>1303783.7243872937</c:v>
                </c:pt>
                <c:pt idx="221">
                  <c:v>1303783.7243872937</c:v>
                </c:pt>
                <c:pt idx="222">
                  <c:v>1303783.7243872937</c:v>
                </c:pt>
                <c:pt idx="223">
                  <c:v>1303783.7243872937</c:v>
                </c:pt>
                <c:pt idx="224">
                  <c:v>1303783.7243872937</c:v>
                </c:pt>
                <c:pt idx="225">
                  <c:v>1303783.7243872937</c:v>
                </c:pt>
                <c:pt idx="226">
                  <c:v>1303783.7243872937</c:v>
                </c:pt>
                <c:pt idx="227">
                  <c:v>1303783.7243872937</c:v>
                </c:pt>
                <c:pt idx="228">
                  <c:v>1303783.7243872937</c:v>
                </c:pt>
                <c:pt idx="229">
                  <c:v>1303783.7243872937</c:v>
                </c:pt>
                <c:pt idx="230">
                  <c:v>1303783.7243872937</c:v>
                </c:pt>
                <c:pt idx="231">
                  <c:v>1303783.7243872937</c:v>
                </c:pt>
                <c:pt idx="232">
                  <c:v>1303783.7243872937</c:v>
                </c:pt>
                <c:pt idx="233">
                  <c:v>1303783.7243872937</c:v>
                </c:pt>
                <c:pt idx="234">
                  <c:v>1303783.7243872937</c:v>
                </c:pt>
                <c:pt idx="235">
                  <c:v>1303783.7243872937</c:v>
                </c:pt>
                <c:pt idx="236">
                  <c:v>1303783.7243872937</c:v>
                </c:pt>
                <c:pt idx="237">
                  <c:v>1303783.7243872937</c:v>
                </c:pt>
                <c:pt idx="238">
                  <c:v>1303783.7243872937</c:v>
                </c:pt>
                <c:pt idx="239">
                  <c:v>1303783.7243872937</c:v>
                </c:pt>
                <c:pt idx="240">
                  <c:v>1303783.7243872937</c:v>
                </c:pt>
                <c:pt idx="241">
                  <c:v>1303783.7243872937</c:v>
                </c:pt>
                <c:pt idx="242">
                  <c:v>1303783.7243872937</c:v>
                </c:pt>
                <c:pt idx="243">
                  <c:v>1303783.7243872937</c:v>
                </c:pt>
                <c:pt idx="244">
                  <c:v>1303783.7243872937</c:v>
                </c:pt>
                <c:pt idx="245">
                  <c:v>1303783.7243872937</c:v>
                </c:pt>
                <c:pt idx="246">
                  <c:v>1303783.7243872937</c:v>
                </c:pt>
                <c:pt idx="247">
                  <c:v>1303783.7243872937</c:v>
                </c:pt>
                <c:pt idx="248">
                  <c:v>1303783.7243872937</c:v>
                </c:pt>
                <c:pt idx="249">
                  <c:v>1303783.7243872937</c:v>
                </c:pt>
                <c:pt idx="250">
                  <c:v>1303783.7243872937</c:v>
                </c:pt>
                <c:pt idx="251">
                  <c:v>1303783.7243872937</c:v>
                </c:pt>
                <c:pt idx="252">
                  <c:v>1303783.7243872937</c:v>
                </c:pt>
                <c:pt idx="253">
                  <c:v>1303783.7243872937</c:v>
                </c:pt>
                <c:pt idx="254">
                  <c:v>1303783.7243872937</c:v>
                </c:pt>
                <c:pt idx="255">
                  <c:v>1303783.7243872937</c:v>
                </c:pt>
                <c:pt idx="256">
                  <c:v>1303783.7243872937</c:v>
                </c:pt>
                <c:pt idx="257">
                  <c:v>1303783.7243872937</c:v>
                </c:pt>
                <c:pt idx="258">
                  <c:v>1303783.7243872937</c:v>
                </c:pt>
                <c:pt idx="259">
                  <c:v>1303783.7243872937</c:v>
                </c:pt>
                <c:pt idx="260">
                  <c:v>1303783.7243872937</c:v>
                </c:pt>
                <c:pt idx="261">
                  <c:v>1303783.7243872937</c:v>
                </c:pt>
                <c:pt idx="262">
                  <c:v>1303783.7243872937</c:v>
                </c:pt>
                <c:pt idx="263">
                  <c:v>1303783.7243872937</c:v>
                </c:pt>
                <c:pt idx="264">
                  <c:v>1303783.7243872937</c:v>
                </c:pt>
                <c:pt idx="265">
                  <c:v>1303783.7243872937</c:v>
                </c:pt>
                <c:pt idx="266">
                  <c:v>1303783.7243872937</c:v>
                </c:pt>
                <c:pt idx="267">
                  <c:v>1303783.7243872937</c:v>
                </c:pt>
                <c:pt idx="268">
                  <c:v>1303783.7243872937</c:v>
                </c:pt>
                <c:pt idx="269">
                  <c:v>1303783.7243872937</c:v>
                </c:pt>
                <c:pt idx="270">
                  <c:v>1303783.7243872937</c:v>
                </c:pt>
                <c:pt idx="271">
                  <c:v>1303783.7243872937</c:v>
                </c:pt>
                <c:pt idx="272">
                  <c:v>1303783.7243872937</c:v>
                </c:pt>
                <c:pt idx="273">
                  <c:v>1303783.7243872937</c:v>
                </c:pt>
                <c:pt idx="274">
                  <c:v>1303783.7243872937</c:v>
                </c:pt>
                <c:pt idx="275">
                  <c:v>1303783.7243872937</c:v>
                </c:pt>
                <c:pt idx="276">
                  <c:v>1303783.7243872937</c:v>
                </c:pt>
                <c:pt idx="277">
                  <c:v>1303783.7243872937</c:v>
                </c:pt>
                <c:pt idx="278">
                  <c:v>1303783.7243872937</c:v>
                </c:pt>
                <c:pt idx="279">
                  <c:v>1303783.7243872937</c:v>
                </c:pt>
                <c:pt idx="280">
                  <c:v>1303783.7243872937</c:v>
                </c:pt>
                <c:pt idx="281">
                  <c:v>1303783.7243872937</c:v>
                </c:pt>
                <c:pt idx="282">
                  <c:v>1303783.7243872937</c:v>
                </c:pt>
                <c:pt idx="283">
                  <c:v>1303783.7243872937</c:v>
                </c:pt>
                <c:pt idx="284">
                  <c:v>1303783.7243872937</c:v>
                </c:pt>
                <c:pt idx="285">
                  <c:v>1303783.7243872937</c:v>
                </c:pt>
                <c:pt idx="286">
                  <c:v>1303783.7243872937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1163065.0103359609</c:v>
                </c:pt>
                <c:pt idx="16">
                  <c:v>1111286.910335961</c:v>
                </c:pt>
                <c:pt idx="17">
                  <c:v>1111286.910335961</c:v>
                </c:pt>
                <c:pt idx="18">
                  <c:v>989244.75933596108</c:v>
                </c:pt>
                <c:pt idx="19">
                  <c:v>480536.71944866749</c:v>
                </c:pt>
                <c:pt idx="20">
                  <c:v>590828.78509618994</c:v>
                </c:pt>
                <c:pt idx="21">
                  <c:v>579671.28509618994</c:v>
                </c:pt>
                <c:pt idx="22">
                  <c:v>559330.92659618985</c:v>
                </c:pt>
                <c:pt idx="23">
                  <c:v>559330.92659618985</c:v>
                </c:pt>
                <c:pt idx="24">
                  <c:v>559330.92659618985</c:v>
                </c:pt>
                <c:pt idx="25">
                  <c:v>559173.42659618985</c:v>
                </c:pt>
                <c:pt idx="26">
                  <c:v>559173.42659618985</c:v>
                </c:pt>
                <c:pt idx="27">
                  <c:v>559173.42659618985</c:v>
                </c:pt>
                <c:pt idx="28">
                  <c:v>559173.42659618985</c:v>
                </c:pt>
                <c:pt idx="29">
                  <c:v>559173.42659618985</c:v>
                </c:pt>
                <c:pt idx="30">
                  <c:v>559173.42659618985</c:v>
                </c:pt>
                <c:pt idx="31">
                  <c:v>559173.42659618985</c:v>
                </c:pt>
                <c:pt idx="32">
                  <c:v>559173.42659618985</c:v>
                </c:pt>
                <c:pt idx="33">
                  <c:v>559173.42659618985</c:v>
                </c:pt>
                <c:pt idx="34">
                  <c:v>559173.42659618985</c:v>
                </c:pt>
                <c:pt idx="35">
                  <c:v>559173.42659618985</c:v>
                </c:pt>
                <c:pt idx="36">
                  <c:v>559173.42659618985</c:v>
                </c:pt>
                <c:pt idx="37">
                  <c:v>559173.42659618985</c:v>
                </c:pt>
                <c:pt idx="38">
                  <c:v>559173.42659618985</c:v>
                </c:pt>
                <c:pt idx="39">
                  <c:v>559173.42659618985</c:v>
                </c:pt>
                <c:pt idx="40">
                  <c:v>559173.42659618985</c:v>
                </c:pt>
                <c:pt idx="41">
                  <c:v>559173.42659618985</c:v>
                </c:pt>
                <c:pt idx="42">
                  <c:v>559173.42659618985</c:v>
                </c:pt>
                <c:pt idx="43">
                  <c:v>559173.42659618985</c:v>
                </c:pt>
                <c:pt idx="44">
                  <c:v>559173.42659618985</c:v>
                </c:pt>
                <c:pt idx="45">
                  <c:v>559173.42659618985</c:v>
                </c:pt>
                <c:pt idx="46">
                  <c:v>559173.42659618985</c:v>
                </c:pt>
                <c:pt idx="47">
                  <c:v>559173.42659618985</c:v>
                </c:pt>
                <c:pt idx="48">
                  <c:v>559173.42659618985</c:v>
                </c:pt>
                <c:pt idx="49">
                  <c:v>559173.42659618985</c:v>
                </c:pt>
                <c:pt idx="50">
                  <c:v>559173.42659618985</c:v>
                </c:pt>
                <c:pt idx="51">
                  <c:v>559173.42659618985</c:v>
                </c:pt>
                <c:pt idx="52">
                  <c:v>559173.42659618985</c:v>
                </c:pt>
                <c:pt idx="53">
                  <c:v>559173.42659618985</c:v>
                </c:pt>
                <c:pt idx="54">
                  <c:v>559173.42659618985</c:v>
                </c:pt>
                <c:pt idx="55">
                  <c:v>559173.42659618985</c:v>
                </c:pt>
                <c:pt idx="56">
                  <c:v>559173.42659618985</c:v>
                </c:pt>
                <c:pt idx="57">
                  <c:v>559173.42659618985</c:v>
                </c:pt>
                <c:pt idx="58">
                  <c:v>559173.42659618985</c:v>
                </c:pt>
                <c:pt idx="59">
                  <c:v>559173.42659618985</c:v>
                </c:pt>
                <c:pt idx="60">
                  <c:v>559173.42659618985</c:v>
                </c:pt>
                <c:pt idx="61">
                  <c:v>559173.42659618985</c:v>
                </c:pt>
                <c:pt idx="62">
                  <c:v>559173.42659618985</c:v>
                </c:pt>
                <c:pt idx="63">
                  <c:v>559173.42659618985</c:v>
                </c:pt>
                <c:pt idx="64">
                  <c:v>559173.42659618985</c:v>
                </c:pt>
                <c:pt idx="65">
                  <c:v>559173.42659618985</c:v>
                </c:pt>
                <c:pt idx="66">
                  <c:v>559173.42659618985</c:v>
                </c:pt>
                <c:pt idx="67">
                  <c:v>559173.42659618985</c:v>
                </c:pt>
                <c:pt idx="68">
                  <c:v>559173.42659618985</c:v>
                </c:pt>
                <c:pt idx="69">
                  <c:v>559173.42659618985</c:v>
                </c:pt>
                <c:pt idx="70">
                  <c:v>559173.42659618985</c:v>
                </c:pt>
                <c:pt idx="71">
                  <c:v>559173.42659618985</c:v>
                </c:pt>
                <c:pt idx="72">
                  <c:v>559173.42659618985</c:v>
                </c:pt>
                <c:pt idx="73">
                  <c:v>559173.42659618985</c:v>
                </c:pt>
                <c:pt idx="74">
                  <c:v>559173.42659618985</c:v>
                </c:pt>
                <c:pt idx="75">
                  <c:v>559173.42659618985</c:v>
                </c:pt>
                <c:pt idx="76">
                  <c:v>559173.42659618985</c:v>
                </c:pt>
                <c:pt idx="77">
                  <c:v>559173.42659618985</c:v>
                </c:pt>
                <c:pt idx="78">
                  <c:v>559173.42659618985</c:v>
                </c:pt>
                <c:pt idx="79">
                  <c:v>559173.42659618985</c:v>
                </c:pt>
                <c:pt idx="80">
                  <c:v>559173.42659618985</c:v>
                </c:pt>
                <c:pt idx="81">
                  <c:v>559173.42659618985</c:v>
                </c:pt>
                <c:pt idx="82">
                  <c:v>559173.42659618985</c:v>
                </c:pt>
                <c:pt idx="83">
                  <c:v>559173.42659618985</c:v>
                </c:pt>
                <c:pt idx="84">
                  <c:v>559173.42659618985</c:v>
                </c:pt>
                <c:pt idx="85">
                  <c:v>559173.42659618985</c:v>
                </c:pt>
                <c:pt idx="86">
                  <c:v>559173.42659618985</c:v>
                </c:pt>
                <c:pt idx="87">
                  <c:v>559173.42659618985</c:v>
                </c:pt>
                <c:pt idx="88">
                  <c:v>559173.42659618985</c:v>
                </c:pt>
                <c:pt idx="89">
                  <c:v>559173.42659618985</c:v>
                </c:pt>
                <c:pt idx="90">
                  <c:v>559173.42659618985</c:v>
                </c:pt>
                <c:pt idx="91">
                  <c:v>559173.42659618985</c:v>
                </c:pt>
                <c:pt idx="92">
                  <c:v>559173.42659618985</c:v>
                </c:pt>
                <c:pt idx="93">
                  <c:v>559173.42659618985</c:v>
                </c:pt>
                <c:pt idx="94">
                  <c:v>559173.42659618985</c:v>
                </c:pt>
                <c:pt idx="95">
                  <c:v>559173.42659618985</c:v>
                </c:pt>
                <c:pt idx="96">
                  <c:v>559173.42659618985</c:v>
                </c:pt>
                <c:pt idx="97">
                  <c:v>559173.42659618985</c:v>
                </c:pt>
                <c:pt idx="98">
                  <c:v>559173.42659618985</c:v>
                </c:pt>
                <c:pt idx="99">
                  <c:v>559173.42659618985</c:v>
                </c:pt>
                <c:pt idx="100">
                  <c:v>559173.42659618985</c:v>
                </c:pt>
                <c:pt idx="101">
                  <c:v>559173.42659618985</c:v>
                </c:pt>
                <c:pt idx="102">
                  <c:v>559173.42659618985</c:v>
                </c:pt>
                <c:pt idx="103">
                  <c:v>559173.42659618985</c:v>
                </c:pt>
                <c:pt idx="104">
                  <c:v>559173.42659618985</c:v>
                </c:pt>
                <c:pt idx="105">
                  <c:v>559173.42659618985</c:v>
                </c:pt>
                <c:pt idx="106">
                  <c:v>559173.42659618985</c:v>
                </c:pt>
                <c:pt idx="107">
                  <c:v>559173.42659618985</c:v>
                </c:pt>
                <c:pt idx="108">
                  <c:v>559173.42659618985</c:v>
                </c:pt>
                <c:pt idx="109">
                  <c:v>559173.42659618985</c:v>
                </c:pt>
                <c:pt idx="110">
                  <c:v>559173.42659618985</c:v>
                </c:pt>
                <c:pt idx="111">
                  <c:v>559173.42659618985</c:v>
                </c:pt>
                <c:pt idx="112">
                  <c:v>559173.42659618985</c:v>
                </c:pt>
                <c:pt idx="113">
                  <c:v>559173.42659618985</c:v>
                </c:pt>
                <c:pt idx="114">
                  <c:v>559173.42659618985</c:v>
                </c:pt>
                <c:pt idx="115">
                  <c:v>559173.42659618985</c:v>
                </c:pt>
                <c:pt idx="116">
                  <c:v>559173.42659618985</c:v>
                </c:pt>
                <c:pt idx="117">
                  <c:v>559173.42659618985</c:v>
                </c:pt>
                <c:pt idx="118">
                  <c:v>559173.42659618985</c:v>
                </c:pt>
                <c:pt idx="119">
                  <c:v>559173.42659618985</c:v>
                </c:pt>
                <c:pt idx="120">
                  <c:v>559173.42659618985</c:v>
                </c:pt>
                <c:pt idx="121">
                  <c:v>559173.42659618985</c:v>
                </c:pt>
                <c:pt idx="122">
                  <c:v>559173.42659618985</c:v>
                </c:pt>
                <c:pt idx="123">
                  <c:v>559173.42659618985</c:v>
                </c:pt>
                <c:pt idx="124">
                  <c:v>559173.42659618985</c:v>
                </c:pt>
                <c:pt idx="125">
                  <c:v>559173.42659618985</c:v>
                </c:pt>
                <c:pt idx="126">
                  <c:v>559173.42659618985</c:v>
                </c:pt>
                <c:pt idx="127">
                  <c:v>559173.42659618985</c:v>
                </c:pt>
                <c:pt idx="128">
                  <c:v>559173.42659618985</c:v>
                </c:pt>
                <c:pt idx="129">
                  <c:v>559173.42659618985</c:v>
                </c:pt>
                <c:pt idx="130">
                  <c:v>559173.42659618985</c:v>
                </c:pt>
                <c:pt idx="131">
                  <c:v>559173.42659618985</c:v>
                </c:pt>
                <c:pt idx="132">
                  <c:v>559173.42659618985</c:v>
                </c:pt>
                <c:pt idx="133">
                  <c:v>559173.42659618985</c:v>
                </c:pt>
                <c:pt idx="134">
                  <c:v>559173.42659618985</c:v>
                </c:pt>
                <c:pt idx="135">
                  <c:v>559173.42659618985</c:v>
                </c:pt>
                <c:pt idx="136">
                  <c:v>559173.42659618985</c:v>
                </c:pt>
                <c:pt idx="137">
                  <c:v>559173.42659618985</c:v>
                </c:pt>
                <c:pt idx="138">
                  <c:v>559173.42659618985</c:v>
                </c:pt>
                <c:pt idx="139">
                  <c:v>559173.42659618985</c:v>
                </c:pt>
                <c:pt idx="140">
                  <c:v>559173.42659618985</c:v>
                </c:pt>
                <c:pt idx="141">
                  <c:v>559173.42659618985</c:v>
                </c:pt>
                <c:pt idx="142">
                  <c:v>559173.42659618985</c:v>
                </c:pt>
                <c:pt idx="143">
                  <c:v>559173.42659618985</c:v>
                </c:pt>
                <c:pt idx="144">
                  <c:v>559173.42659618985</c:v>
                </c:pt>
                <c:pt idx="145">
                  <c:v>559173.42659618985</c:v>
                </c:pt>
                <c:pt idx="146">
                  <c:v>559173.42659618985</c:v>
                </c:pt>
                <c:pt idx="147">
                  <c:v>559173.42659618985</c:v>
                </c:pt>
                <c:pt idx="148">
                  <c:v>559173.42659618985</c:v>
                </c:pt>
                <c:pt idx="149">
                  <c:v>559173.42659618985</c:v>
                </c:pt>
                <c:pt idx="150">
                  <c:v>559173.42659618985</c:v>
                </c:pt>
                <c:pt idx="151">
                  <c:v>559173.42659618985</c:v>
                </c:pt>
                <c:pt idx="152">
                  <c:v>559173.42659618985</c:v>
                </c:pt>
                <c:pt idx="153">
                  <c:v>559173.42659618985</c:v>
                </c:pt>
                <c:pt idx="154">
                  <c:v>559173.42659618985</c:v>
                </c:pt>
                <c:pt idx="155">
                  <c:v>559173.42659618985</c:v>
                </c:pt>
                <c:pt idx="156">
                  <c:v>559173.42659618985</c:v>
                </c:pt>
                <c:pt idx="157">
                  <c:v>559173.42659618985</c:v>
                </c:pt>
                <c:pt idx="158">
                  <c:v>559173.42659618985</c:v>
                </c:pt>
                <c:pt idx="159">
                  <c:v>559173.42659618985</c:v>
                </c:pt>
                <c:pt idx="160">
                  <c:v>559173.42659618985</c:v>
                </c:pt>
                <c:pt idx="161">
                  <c:v>559173.42659618985</c:v>
                </c:pt>
                <c:pt idx="162">
                  <c:v>559173.42659618985</c:v>
                </c:pt>
                <c:pt idx="163">
                  <c:v>559173.42659618985</c:v>
                </c:pt>
                <c:pt idx="164">
                  <c:v>559173.42659618985</c:v>
                </c:pt>
                <c:pt idx="165">
                  <c:v>559173.42659618985</c:v>
                </c:pt>
                <c:pt idx="166">
                  <c:v>559173.42659618985</c:v>
                </c:pt>
                <c:pt idx="167">
                  <c:v>559173.42659618985</c:v>
                </c:pt>
                <c:pt idx="168">
                  <c:v>559173.42659618985</c:v>
                </c:pt>
                <c:pt idx="169">
                  <c:v>559173.42659618985</c:v>
                </c:pt>
                <c:pt idx="170">
                  <c:v>559173.42659618985</c:v>
                </c:pt>
                <c:pt idx="171">
                  <c:v>559173.42659618985</c:v>
                </c:pt>
                <c:pt idx="172">
                  <c:v>559173.42659618985</c:v>
                </c:pt>
                <c:pt idx="173">
                  <c:v>559173.42659618985</c:v>
                </c:pt>
                <c:pt idx="174">
                  <c:v>559173.42659618985</c:v>
                </c:pt>
                <c:pt idx="175">
                  <c:v>559173.42659618985</c:v>
                </c:pt>
                <c:pt idx="176">
                  <c:v>559173.42659618985</c:v>
                </c:pt>
                <c:pt idx="177">
                  <c:v>559173.42659618985</c:v>
                </c:pt>
                <c:pt idx="178">
                  <c:v>559173.42659618985</c:v>
                </c:pt>
                <c:pt idx="179">
                  <c:v>559173.42659618985</c:v>
                </c:pt>
                <c:pt idx="180">
                  <c:v>559173.42659618985</c:v>
                </c:pt>
                <c:pt idx="181">
                  <c:v>559173.42659618985</c:v>
                </c:pt>
                <c:pt idx="182">
                  <c:v>559173.42659618985</c:v>
                </c:pt>
                <c:pt idx="183">
                  <c:v>559173.42659618985</c:v>
                </c:pt>
                <c:pt idx="184">
                  <c:v>559173.42659618985</c:v>
                </c:pt>
                <c:pt idx="185">
                  <c:v>559173.42659618985</c:v>
                </c:pt>
                <c:pt idx="186">
                  <c:v>559173.42659618985</c:v>
                </c:pt>
                <c:pt idx="187">
                  <c:v>559173.42659618985</c:v>
                </c:pt>
                <c:pt idx="188">
                  <c:v>559173.42659618985</c:v>
                </c:pt>
                <c:pt idx="189">
                  <c:v>559173.42659618985</c:v>
                </c:pt>
                <c:pt idx="190">
                  <c:v>559173.42659618985</c:v>
                </c:pt>
                <c:pt idx="191">
                  <c:v>559173.42659618985</c:v>
                </c:pt>
                <c:pt idx="192">
                  <c:v>559173.42659618985</c:v>
                </c:pt>
                <c:pt idx="193">
                  <c:v>559173.42659618985</c:v>
                </c:pt>
                <c:pt idx="194">
                  <c:v>559173.42659618985</c:v>
                </c:pt>
                <c:pt idx="195">
                  <c:v>559173.42659618985</c:v>
                </c:pt>
                <c:pt idx="196">
                  <c:v>559173.42659618985</c:v>
                </c:pt>
                <c:pt idx="197">
                  <c:v>559173.42659618985</c:v>
                </c:pt>
                <c:pt idx="198">
                  <c:v>559173.42659618985</c:v>
                </c:pt>
                <c:pt idx="199">
                  <c:v>559173.42659618985</c:v>
                </c:pt>
                <c:pt idx="200">
                  <c:v>559173.42659618985</c:v>
                </c:pt>
                <c:pt idx="201">
                  <c:v>559173.42659618985</c:v>
                </c:pt>
                <c:pt idx="202">
                  <c:v>559173.42659618985</c:v>
                </c:pt>
                <c:pt idx="203">
                  <c:v>559173.42659618985</c:v>
                </c:pt>
                <c:pt idx="204">
                  <c:v>559173.42659618985</c:v>
                </c:pt>
                <c:pt idx="205">
                  <c:v>559173.42659618985</c:v>
                </c:pt>
                <c:pt idx="206">
                  <c:v>559173.42659618985</c:v>
                </c:pt>
                <c:pt idx="207">
                  <c:v>559173.42659618985</c:v>
                </c:pt>
                <c:pt idx="208">
                  <c:v>559173.42659618985</c:v>
                </c:pt>
                <c:pt idx="209">
                  <c:v>559173.42659618985</c:v>
                </c:pt>
                <c:pt idx="210">
                  <c:v>559173.42659618985</c:v>
                </c:pt>
                <c:pt idx="211">
                  <c:v>559173.42659618985</c:v>
                </c:pt>
                <c:pt idx="212">
                  <c:v>559173.42659618985</c:v>
                </c:pt>
                <c:pt idx="213">
                  <c:v>559173.42659618985</c:v>
                </c:pt>
                <c:pt idx="214">
                  <c:v>559173.42659618985</c:v>
                </c:pt>
                <c:pt idx="215">
                  <c:v>559173.42659618985</c:v>
                </c:pt>
                <c:pt idx="216">
                  <c:v>559173.42659618985</c:v>
                </c:pt>
                <c:pt idx="217">
                  <c:v>559173.42659618985</c:v>
                </c:pt>
                <c:pt idx="218">
                  <c:v>559173.42659618985</c:v>
                </c:pt>
                <c:pt idx="219">
                  <c:v>559173.42659618985</c:v>
                </c:pt>
                <c:pt idx="220">
                  <c:v>559173.42659618985</c:v>
                </c:pt>
                <c:pt idx="221">
                  <c:v>559173.42659618985</c:v>
                </c:pt>
                <c:pt idx="222">
                  <c:v>559173.42659618985</c:v>
                </c:pt>
                <c:pt idx="223">
                  <c:v>559173.42659618985</c:v>
                </c:pt>
                <c:pt idx="224">
                  <c:v>559173.42659618985</c:v>
                </c:pt>
                <c:pt idx="225">
                  <c:v>559173.42659618985</c:v>
                </c:pt>
                <c:pt idx="226">
                  <c:v>559173.42659618985</c:v>
                </c:pt>
                <c:pt idx="227">
                  <c:v>559173.42659618985</c:v>
                </c:pt>
                <c:pt idx="228">
                  <c:v>559173.42659618985</c:v>
                </c:pt>
                <c:pt idx="229">
                  <c:v>559173.42659618985</c:v>
                </c:pt>
                <c:pt idx="230">
                  <c:v>559173.42659618985</c:v>
                </c:pt>
                <c:pt idx="231">
                  <c:v>559173.42659618985</c:v>
                </c:pt>
                <c:pt idx="232">
                  <c:v>559173.42659618985</c:v>
                </c:pt>
                <c:pt idx="233">
                  <c:v>559173.42659618985</c:v>
                </c:pt>
                <c:pt idx="234">
                  <c:v>559173.42659618985</c:v>
                </c:pt>
                <c:pt idx="235">
                  <c:v>559173.42659618985</c:v>
                </c:pt>
                <c:pt idx="236">
                  <c:v>559173.42659618985</c:v>
                </c:pt>
                <c:pt idx="237">
                  <c:v>559173.42659618985</c:v>
                </c:pt>
                <c:pt idx="238">
                  <c:v>559173.42659618985</c:v>
                </c:pt>
                <c:pt idx="239">
                  <c:v>559173.42659618985</c:v>
                </c:pt>
                <c:pt idx="240">
                  <c:v>559173.42659618985</c:v>
                </c:pt>
                <c:pt idx="241">
                  <c:v>559173.42659618985</c:v>
                </c:pt>
                <c:pt idx="242">
                  <c:v>559173.42659618985</c:v>
                </c:pt>
                <c:pt idx="243">
                  <c:v>559173.42659618985</c:v>
                </c:pt>
                <c:pt idx="244">
                  <c:v>559173.42659618985</c:v>
                </c:pt>
                <c:pt idx="245">
                  <c:v>559173.42659618985</c:v>
                </c:pt>
                <c:pt idx="246">
                  <c:v>559173.42659618985</c:v>
                </c:pt>
                <c:pt idx="247">
                  <c:v>559173.42659618985</c:v>
                </c:pt>
                <c:pt idx="248">
                  <c:v>559173.42659618985</c:v>
                </c:pt>
                <c:pt idx="249">
                  <c:v>559173.42659618985</c:v>
                </c:pt>
                <c:pt idx="250">
                  <c:v>559173.42659618985</c:v>
                </c:pt>
                <c:pt idx="251">
                  <c:v>559173.42659618985</c:v>
                </c:pt>
                <c:pt idx="252">
                  <c:v>559173.42659618985</c:v>
                </c:pt>
                <c:pt idx="253">
                  <c:v>559173.42659618985</c:v>
                </c:pt>
                <c:pt idx="254">
                  <c:v>559173.42659618985</c:v>
                </c:pt>
                <c:pt idx="255">
                  <c:v>559173.42659618985</c:v>
                </c:pt>
                <c:pt idx="256">
                  <c:v>559173.42659618985</c:v>
                </c:pt>
                <c:pt idx="257">
                  <c:v>559173.42659618985</c:v>
                </c:pt>
                <c:pt idx="258">
                  <c:v>559173.42659618985</c:v>
                </c:pt>
                <c:pt idx="259">
                  <c:v>559173.42659618985</c:v>
                </c:pt>
                <c:pt idx="260">
                  <c:v>559173.42659618985</c:v>
                </c:pt>
                <c:pt idx="261">
                  <c:v>559173.42659618985</c:v>
                </c:pt>
                <c:pt idx="262">
                  <c:v>559173.42659618985</c:v>
                </c:pt>
                <c:pt idx="263">
                  <c:v>559173.42659618985</c:v>
                </c:pt>
                <c:pt idx="264">
                  <c:v>559173.42659618985</c:v>
                </c:pt>
                <c:pt idx="265">
                  <c:v>559173.42659618985</c:v>
                </c:pt>
                <c:pt idx="266">
                  <c:v>559173.42659618985</c:v>
                </c:pt>
                <c:pt idx="267">
                  <c:v>559173.42659618985</c:v>
                </c:pt>
                <c:pt idx="268">
                  <c:v>559173.42659618985</c:v>
                </c:pt>
                <c:pt idx="269">
                  <c:v>559173.42659618985</c:v>
                </c:pt>
                <c:pt idx="270">
                  <c:v>559173.42659618985</c:v>
                </c:pt>
                <c:pt idx="271">
                  <c:v>559173.42659618985</c:v>
                </c:pt>
                <c:pt idx="272">
                  <c:v>559173.42659618985</c:v>
                </c:pt>
                <c:pt idx="273">
                  <c:v>559173.42659618985</c:v>
                </c:pt>
                <c:pt idx="274">
                  <c:v>559173.42659618985</c:v>
                </c:pt>
                <c:pt idx="275">
                  <c:v>559173.42659618985</c:v>
                </c:pt>
                <c:pt idx="276">
                  <c:v>559173.42659618985</c:v>
                </c:pt>
                <c:pt idx="277">
                  <c:v>559173.42659618985</c:v>
                </c:pt>
                <c:pt idx="278">
                  <c:v>559173.42659618985</c:v>
                </c:pt>
                <c:pt idx="279">
                  <c:v>559173.42659618985</c:v>
                </c:pt>
                <c:pt idx="280">
                  <c:v>559173.42659618985</c:v>
                </c:pt>
                <c:pt idx="281">
                  <c:v>559173.42659618985</c:v>
                </c:pt>
                <c:pt idx="282">
                  <c:v>559173.42659618985</c:v>
                </c:pt>
                <c:pt idx="283">
                  <c:v>559173.42659618985</c:v>
                </c:pt>
                <c:pt idx="284">
                  <c:v>559173.42659618985</c:v>
                </c:pt>
                <c:pt idx="285">
                  <c:v>559173.42659618985</c:v>
                </c:pt>
                <c:pt idx="286">
                  <c:v>559173.42659618985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1814788.867655922</c:v>
                </c:pt>
                <c:pt idx="21">
                  <c:v>1814788.867655922</c:v>
                </c:pt>
                <c:pt idx="22">
                  <c:v>1814788.867655922</c:v>
                </c:pt>
                <c:pt idx="23">
                  <c:v>1814788.867655922</c:v>
                </c:pt>
                <c:pt idx="24">
                  <c:v>1825027.4143529527</c:v>
                </c:pt>
                <c:pt idx="25">
                  <c:v>1825027.4143529527</c:v>
                </c:pt>
                <c:pt idx="26">
                  <c:v>1825027.4143529527</c:v>
                </c:pt>
                <c:pt idx="27">
                  <c:v>1825027.4143529527</c:v>
                </c:pt>
                <c:pt idx="28">
                  <c:v>1825027.4143529527</c:v>
                </c:pt>
                <c:pt idx="29">
                  <c:v>1825027.4143529527</c:v>
                </c:pt>
                <c:pt idx="30">
                  <c:v>1825027.4143529527</c:v>
                </c:pt>
                <c:pt idx="31">
                  <c:v>1825027.4143529527</c:v>
                </c:pt>
                <c:pt idx="32">
                  <c:v>1825027.4143529527</c:v>
                </c:pt>
                <c:pt idx="33">
                  <c:v>1825027.4143529527</c:v>
                </c:pt>
                <c:pt idx="34">
                  <c:v>1825027.4143529527</c:v>
                </c:pt>
                <c:pt idx="35">
                  <c:v>1825027.4143529527</c:v>
                </c:pt>
                <c:pt idx="36">
                  <c:v>1825027.4143529527</c:v>
                </c:pt>
                <c:pt idx="37">
                  <c:v>1825027.4143529527</c:v>
                </c:pt>
                <c:pt idx="38">
                  <c:v>1825027.4143529527</c:v>
                </c:pt>
                <c:pt idx="39">
                  <c:v>1825027.4143529527</c:v>
                </c:pt>
                <c:pt idx="40">
                  <c:v>1825027.4143529527</c:v>
                </c:pt>
                <c:pt idx="41">
                  <c:v>1825027.4143529527</c:v>
                </c:pt>
                <c:pt idx="42">
                  <c:v>1825027.4143529527</c:v>
                </c:pt>
                <c:pt idx="43">
                  <c:v>1825027.4143529527</c:v>
                </c:pt>
                <c:pt idx="44">
                  <c:v>1825027.4143529527</c:v>
                </c:pt>
                <c:pt idx="45">
                  <c:v>1825027.4143529527</c:v>
                </c:pt>
                <c:pt idx="46">
                  <c:v>1825027.4143529527</c:v>
                </c:pt>
                <c:pt idx="47">
                  <c:v>1825027.4143529527</c:v>
                </c:pt>
                <c:pt idx="48">
                  <c:v>1825027.4143529527</c:v>
                </c:pt>
                <c:pt idx="49">
                  <c:v>1825027.4143529527</c:v>
                </c:pt>
                <c:pt idx="50">
                  <c:v>1825027.4143529527</c:v>
                </c:pt>
                <c:pt idx="51">
                  <c:v>1825027.4143529527</c:v>
                </c:pt>
                <c:pt idx="52">
                  <c:v>1825027.4143529527</c:v>
                </c:pt>
                <c:pt idx="53">
                  <c:v>1825027.4143529527</c:v>
                </c:pt>
                <c:pt idx="54">
                  <c:v>1825027.4143529527</c:v>
                </c:pt>
                <c:pt idx="55">
                  <c:v>1825027.4143529527</c:v>
                </c:pt>
                <c:pt idx="56">
                  <c:v>1825027.4143529527</c:v>
                </c:pt>
                <c:pt idx="57">
                  <c:v>1825027.4143529527</c:v>
                </c:pt>
                <c:pt idx="58">
                  <c:v>1825027.4143529527</c:v>
                </c:pt>
                <c:pt idx="59">
                  <c:v>1825027.4143529527</c:v>
                </c:pt>
                <c:pt idx="60">
                  <c:v>1825027.4143529527</c:v>
                </c:pt>
                <c:pt idx="61">
                  <c:v>1825027.4143529527</c:v>
                </c:pt>
                <c:pt idx="62">
                  <c:v>1825027.4143529527</c:v>
                </c:pt>
                <c:pt idx="63">
                  <c:v>1825027.4143529527</c:v>
                </c:pt>
                <c:pt idx="64">
                  <c:v>1825027.4143529527</c:v>
                </c:pt>
                <c:pt idx="65">
                  <c:v>1825027.4143529527</c:v>
                </c:pt>
                <c:pt idx="66">
                  <c:v>1825027.4143529527</c:v>
                </c:pt>
                <c:pt idx="67">
                  <c:v>1825027.4143529527</c:v>
                </c:pt>
                <c:pt idx="68">
                  <c:v>1825027.4143529527</c:v>
                </c:pt>
                <c:pt idx="69">
                  <c:v>1825027.4143529527</c:v>
                </c:pt>
                <c:pt idx="70">
                  <c:v>1825027.4143529527</c:v>
                </c:pt>
                <c:pt idx="71">
                  <c:v>1825027.4143529527</c:v>
                </c:pt>
                <c:pt idx="72">
                  <c:v>1825027.4143529527</c:v>
                </c:pt>
                <c:pt idx="73">
                  <c:v>1825027.4143529527</c:v>
                </c:pt>
                <c:pt idx="74">
                  <c:v>1825027.4143529527</c:v>
                </c:pt>
                <c:pt idx="75">
                  <c:v>1825027.4143529527</c:v>
                </c:pt>
                <c:pt idx="76">
                  <c:v>1825027.4143529527</c:v>
                </c:pt>
                <c:pt idx="77">
                  <c:v>1825027.4143529527</c:v>
                </c:pt>
                <c:pt idx="78">
                  <c:v>1825027.4143529527</c:v>
                </c:pt>
                <c:pt idx="79">
                  <c:v>1825027.4143529527</c:v>
                </c:pt>
                <c:pt idx="80">
                  <c:v>1825027.4143529527</c:v>
                </c:pt>
                <c:pt idx="81">
                  <c:v>1825027.4143529527</c:v>
                </c:pt>
                <c:pt idx="82">
                  <c:v>1825027.4143529527</c:v>
                </c:pt>
                <c:pt idx="83">
                  <c:v>1825027.4143529527</c:v>
                </c:pt>
                <c:pt idx="84">
                  <c:v>1825027.4143529527</c:v>
                </c:pt>
                <c:pt idx="85">
                  <c:v>1825027.4143529527</c:v>
                </c:pt>
                <c:pt idx="86">
                  <c:v>1825027.4143529527</c:v>
                </c:pt>
                <c:pt idx="87">
                  <c:v>1825027.4143529527</c:v>
                </c:pt>
                <c:pt idx="88">
                  <c:v>1825027.4143529527</c:v>
                </c:pt>
                <c:pt idx="89">
                  <c:v>1825027.4143529527</c:v>
                </c:pt>
                <c:pt idx="90">
                  <c:v>1825027.4143529527</c:v>
                </c:pt>
                <c:pt idx="91">
                  <c:v>1825027.4143529527</c:v>
                </c:pt>
                <c:pt idx="92">
                  <c:v>1825027.4143529527</c:v>
                </c:pt>
                <c:pt idx="93">
                  <c:v>1825027.4143529527</c:v>
                </c:pt>
                <c:pt idx="94">
                  <c:v>1825027.4143529527</c:v>
                </c:pt>
                <c:pt idx="95">
                  <c:v>1825027.4143529527</c:v>
                </c:pt>
                <c:pt idx="96">
                  <c:v>1825027.4143529527</c:v>
                </c:pt>
                <c:pt idx="97">
                  <c:v>1825027.4143529527</c:v>
                </c:pt>
                <c:pt idx="98">
                  <c:v>1825027.4143529527</c:v>
                </c:pt>
                <c:pt idx="99">
                  <c:v>1825027.4143529527</c:v>
                </c:pt>
                <c:pt idx="100">
                  <c:v>1825027.4143529527</c:v>
                </c:pt>
                <c:pt idx="101">
                  <c:v>1825027.4143529527</c:v>
                </c:pt>
                <c:pt idx="102">
                  <c:v>1825027.4143529527</c:v>
                </c:pt>
                <c:pt idx="103">
                  <c:v>1825027.4143529527</c:v>
                </c:pt>
                <c:pt idx="104">
                  <c:v>1825027.4143529527</c:v>
                </c:pt>
                <c:pt idx="105">
                  <c:v>1825027.4143529527</c:v>
                </c:pt>
                <c:pt idx="106">
                  <c:v>1825027.4143529527</c:v>
                </c:pt>
                <c:pt idx="107">
                  <c:v>1825027.4143529527</c:v>
                </c:pt>
                <c:pt idx="108">
                  <c:v>1825027.4143529527</c:v>
                </c:pt>
                <c:pt idx="109">
                  <c:v>1825027.4143529527</c:v>
                </c:pt>
                <c:pt idx="110">
                  <c:v>1825027.4143529527</c:v>
                </c:pt>
                <c:pt idx="111">
                  <c:v>1825027.4143529527</c:v>
                </c:pt>
                <c:pt idx="112">
                  <c:v>1825027.4143529527</c:v>
                </c:pt>
                <c:pt idx="113">
                  <c:v>1825027.4143529527</c:v>
                </c:pt>
                <c:pt idx="114">
                  <c:v>1825027.4143529527</c:v>
                </c:pt>
                <c:pt idx="115">
                  <c:v>1825027.4143529527</c:v>
                </c:pt>
                <c:pt idx="116">
                  <c:v>1825027.4143529527</c:v>
                </c:pt>
                <c:pt idx="117">
                  <c:v>1825027.4143529527</c:v>
                </c:pt>
                <c:pt idx="118">
                  <c:v>1825027.4143529527</c:v>
                </c:pt>
                <c:pt idx="119">
                  <c:v>1825027.4143529527</c:v>
                </c:pt>
                <c:pt idx="120">
                  <c:v>1825027.4143529527</c:v>
                </c:pt>
                <c:pt idx="121">
                  <c:v>1825027.4143529527</c:v>
                </c:pt>
                <c:pt idx="122">
                  <c:v>1825027.4143529527</c:v>
                </c:pt>
                <c:pt idx="123">
                  <c:v>1825027.4143529527</c:v>
                </c:pt>
                <c:pt idx="124">
                  <c:v>1825027.4143529527</c:v>
                </c:pt>
                <c:pt idx="125">
                  <c:v>1825027.4143529527</c:v>
                </c:pt>
                <c:pt idx="126">
                  <c:v>1825027.4143529527</c:v>
                </c:pt>
                <c:pt idx="127">
                  <c:v>1825027.4143529527</c:v>
                </c:pt>
                <c:pt idx="128">
                  <c:v>1825027.4143529527</c:v>
                </c:pt>
                <c:pt idx="129">
                  <c:v>1825027.4143529527</c:v>
                </c:pt>
                <c:pt idx="130">
                  <c:v>1825027.4143529527</c:v>
                </c:pt>
                <c:pt idx="131">
                  <c:v>1825027.4143529527</c:v>
                </c:pt>
                <c:pt idx="132">
                  <c:v>1825027.4143529527</c:v>
                </c:pt>
                <c:pt idx="133">
                  <c:v>1825027.4143529527</c:v>
                </c:pt>
                <c:pt idx="134">
                  <c:v>1825027.4143529527</c:v>
                </c:pt>
                <c:pt idx="135">
                  <c:v>1825027.4143529527</c:v>
                </c:pt>
                <c:pt idx="136">
                  <c:v>1825027.4143529527</c:v>
                </c:pt>
                <c:pt idx="137">
                  <c:v>1825027.4143529527</c:v>
                </c:pt>
                <c:pt idx="138">
                  <c:v>1825027.4143529527</c:v>
                </c:pt>
                <c:pt idx="139">
                  <c:v>1825027.4143529527</c:v>
                </c:pt>
                <c:pt idx="140">
                  <c:v>1825027.4143529527</c:v>
                </c:pt>
                <c:pt idx="141">
                  <c:v>1825027.4143529527</c:v>
                </c:pt>
                <c:pt idx="142">
                  <c:v>1825027.4143529527</c:v>
                </c:pt>
                <c:pt idx="143">
                  <c:v>1825027.4143529527</c:v>
                </c:pt>
                <c:pt idx="144">
                  <c:v>1825027.4143529527</c:v>
                </c:pt>
                <c:pt idx="145">
                  <c:v>1825027.4143529527</c:v>
                </c:pt>
                <c:pt idx="146">
                  <c:v>1825027.4143529527</c:v>
                </c:pt>
                <c:pt idx="147">
                  <c:v>1825027.4143529527</c:v>
                </c:pt>
                <c:pt idx="148">
                  <c:v>1825027.4143529527</c:v>
                </c:pt>
                <c:pt idx="149">
                  <c:v>1825027.4143529527</c:v>
                </c:pt>
                <c:pt idx="150">
                  <c:v>1825027.4143529527</c:v>
                </c:pt>
                <c:pt idx="151">
                  <c:v>1825027.4143529527</c:v>
                </c:pt>
                <c:pt idx="152">
                  <c:v>1825027.4143529527</c:v>
                </c:pt>
                <c:pt idx="153">
                  <c:v>1825027.4143529527</c:v>
                </c:pt>
                <c:pt idx="154">
                  <c:v>1825027.4143529527</c:v>
                </c:pt>
                <c:pt idx="155">
                  <c:v>1825027.4143529527</c:v>
                </c:pt>
                <c:pt idx="156">
                  <c:v>1825027.4143529527</c:v>
                </c:pt>
                <c:pt idx="157">
                  <c:v>1825027.4143529527</c:v>
                </c:pt>
                <c:pt idx="158">
                  <c:v>1825027.4143529527</c:v>
                </c:pt>
                <c:pt idx="159">
                  <c:v>1825027.4143529527</c:v>
                </c:pt>
                <c:pt idx="160">
                  <c:v>1825027.4143529527</c:v>
                </c:pt>
                <c:pt idx="161">
                  <c:v>1825027.4143529527</c:v>
                </c:pt>
                <c:pt idx="162">
                  <c:v>1825027.4143529527</c:v>
                </c:pt>
                <c:pt idx="163">
                  <c:v>1825027.4143529527</c:v>
                </c:pt>
                <c:pt idx="164">
                  <c:v>1825027.4143529527</c:v>
                </c:pt>
                <c:pt idx="165">
                  <c:v>1825027.4143529527</c:v>
                </c:pt>
                <c:pt idx="166">
                  <c:v>1825027.4143529527</c:v>
                </c:pt>
                <c:pt idx="167">
                  <c:v>1825027.4143529527</c:v>
                </c:pt>
                <c:pt idx="168">
                  <c:v>1825027.4143529527</c:v>
                </c:pt>
                <c:pt idx="169">
                  <c:v>1825027.4143529527</c:v>
                </c:pt>
                <c:pt idx="170">
                  <c:v>1825027.4143529527</c:v>
                </c:pt>
                <c:pt idx="171">
                  <c:v>1825027.4143529527</c:v>
                </c:pt>
                <c:pt idx="172">
                  <c:v>1825027.4143529527</c:v>
                </c:pt>
                <c:pt idx="173">
                  <c:v>1825027.4143529527</c:v>
                </c:pt>
                <c:pt idx="174">
                  <c:v>1825027.4143529527</c:v>
                </c:pt>
                <c:pt idx="175">
                  <c:v>1825027.4143529527</c:v>
                </c:pt>
                <c:pt idx="176">
                  <c:v>1825027.4143529527</c:v>
                </c:pt>
                <c:pt idx="177">
                  <c:v>1825027.4143529527</c:v>
                </c:pt>
                <c:pt idx="178">
                  <c:v>1825027.4143529527</c:v>
                </c:pt>
                <c:pt idx="179">
                  <c:v>1825027.4143529527</c:v>
                </c:pt>
                <c:pt idx="180">
                  <c:v>1825027.4143529527</c:v>
                </c:pt>
                <c:pt idx="181">
                  <c:v>1825027.4143529527</c:v>
                </c:pt>
                <c:pt idx="182">
                  <c:v>1825027.4143529527</c:v>
                </c:pt>
                <c:pt idx="183">
                  <c:v>1825027.4143529527</c:v>
                </c:pt>
                <c:pt idx="184">
                  <c:v>1825027.4143529527</c:v>
                </c:pt>
                <c:pt idx="185">
                  <c:v>1825027.4143529527</c:v>
                </c:pt>
                <c:pt idx="186">
                  <c:v>1825027.4143529527</c:v>
                </c:pt>
                <c:pt idx="187">
                  <c:v>1825027.4143529527</c:v>
                </c:pt>
                <c:pt idx="188">
                  <c:v>1825027.4143529527</c:v>
                </c:pt>
                <c:pt idx="189">
                  <c:v>1825027.4143529527</c:v>
                </c:pt>
                <c:pt idx="190">
                  <c:v>1825027.4143529527</c:v>
                </c:pt>
                <c:pt idx="191">
                  <c:v>1825027.4143529527</c:v>
                </c:pt>
                <c:pt idx="192">
                  <c:v>1825027.4143529527</c:v>
                </c:pt>
                <c:pt idx="193">
                  <c:v>1825027.4143529527</c:v>
                </c:pt>
                <c:pt idx="194">
                  <c:v>1825027.4143529527</c:v>
                </c:pt>
                <c:pt idx="195">
                  <c:v>1825027.4143529527</c:v>
                </c:pt>
                <c:pt idx="196">
                  <c:v>1825027.4143529527</c:v>
                </c:pt>
                <c:pt idx="197">
                  <c:v>1825027.4143529527</c:v>
                </c:pt>
                <c:pt idx="198">
                  <c:v>1825027.4143529527</c:v>
                </c:pt>
                <c:pt idx="199">
                  <c:v>1825027.4143529527</c:v>
                </c:pt>
                <c:pt idx="200">
                  <c:v>1825027.4143529527</c:v>
                </c:pt>
                <c:pt idx="201">
                  <c:v>1825027.4143529527</c:v>
                </c:pt>
                <c:pt idx="202">
                  <c:v>1825027.4143529527</c:v>
                </c:pt>
                <c:pt idx="203">
                  <c:v>1825027.4143529527</c:v>
                </c:pt>
                <c:pt idx="204">
                  <c:v>1825027.4143529527</c:v>
                </c:pt>
                <c:pt idx="205">
                  <c:v>1825027.4143529527</c:v>
                </c:pt>
                <c:pt idx="206">
                  <c:v>1825027.4143529527</c:v>
                </c:pt>
                <c:pt idx="207">
                  <c:v>1825027.4143529527</c:v>
                </c:pt>
                <c:pt idx="208">
                  <c:v>1825027.4143529527</c:v>
                </c:pt>
                <c:pt idx="209">
                  <c:v>1825027.4143529527</c:v>
                </c:pt>
                <c:pt idx="210">
                  <c:v>1825027.4143529527</c:v>
                </c:pt>
                <c:pt idx="211">
                  <c:v>1825027.4143529527</c:v>
                </c:pt>
                <c:pt idx="212">
                  <c:v>1825027.4143529527</c:v>
                </c:pt>
                <c:pt idx="213">
                  <c:v>1825027.4143529527</c:v>
                </c:pt>
                <c:pt idx="214">
                  <c:v>1825027.4143529527</c:v>
                </c:pt>
                <c:pt idx="215">
                  <c:v>1825027.4143529527</c:v>
                </c:pt>
                <c:pt idx="216">
                  <c:v>1825027.4143529527</c:v>
                </c:pt>
                <c:pt idx="217">
                  <c:v>1825027.4143529527</c:v>
                </c:pt>
                <c:pt idx="218">
                  <c:v>1825027.4143529527</c:v>
                </c:pt>
                <c:pt idx="219">
                  <c:v>1825027.4143529527</c:v>
                </c:pt>
                <c:pt idx="220">
                  <c:v>1825027.4143529527</c:v>
                </c:pt>
                <c:pt idx="221">
                  <c:v>1825027.4143529527</c:v>
                </c:pt>
                <c:pt idx="222">
                  <c:v>1825027.4143529527</c:v>
                </c:pt>
                <c:pt idx="223">
                  <c:v>1825027.4143529527</c:v>
                </c:pt>
                <c:pt idx="224">
                  <c:v>1825027.4143529527</c:v>
                </c:pt>
                <c:pt idx="225">
                  <c:v>1825027.4143529527</c:v>
                </c:pt>
                <c:pt idx="226">
                  <c:v>1825027.4143529527</c:v>
                </c:pt>
                <c:pt idx="227">
                  <c:v>1825027.4143529527</c:v>
                </c:pt>
                <c:pt idx="228">
                  <c:v>1825027.4143529527</c:v>
                </c:pt>
                <c:pt idx="229">
                  <c:v>1825027.4143529527</c:v>
                </c:pt>
                <c:pt idx="230">
                  <c:v>1825027.4143529527</c:v>
                </c:pt>
                <c:pt idx="231">
                  <c:v>1825027.4143529527</c:v>
                </c:pt>
                <c:pt idx="232">
                  <c:v>1825027.4143529527</c:v>
                </c:pt>
                <c:pt idx="233">
                  <c:v>1825027.4143529527</c:v>
                </c:pt>
                <c:pt idx="234">
                  <c:v>1825027.4143529527</c:v>
                </c:pt>
                <c:pt idx="235">
                  <c:v>1825027.4143529527</c:v>
                </c:pt>
                <c:pt idx="236">
                  <c:v>1825027.4143529527</c:v>
                </c:pt>
                <c:pt idx="237">
                  <c:v>1825027.4143529527</c:v>
                </c:pt>
                <c:pt idx="238">
                  <c:v>1825027.4143529527</c:v>
                </c:pt>
                <c:pt idx="239">
                  <c:v>1825027.4143529527</c:v>
                </c:pt>
                <c:pt idx="240">
                  <c:v>1825027.4143529527</c:v>
                </c:pt>
                <c:pt idx="241">
                  <c:v>1825027.4143529527</c:v>
                </c:pt>
                <c:pt idx="242">
                  <c:v>1825027.4143529527</c:v>
                </c:pt>
                <c:pt idx="243">
                  <c:v>1825027.4143529527</c:v>
                </c:pt>
                <c:pt idx="244">
                  <c:v>1825027.4143529527</c:v>
                </c:pt>
                <c:pt idx="245">
                  <c:v>1825027.4143529527</c:v>
                </c:pt>
                <c:pt idx="246">
                  <c:v>1825027.4143529527</c:v>
                </c:pt>
                <c:pt idx="247">
                  <c:v>1825027.4143529527</c:v>
                </c:pt>
                <c:pt idx="248">
                  <c:v>1825027.4143529527</c:v>
                </c:pt>
                <c:pt idx="249">
                  <c:v>1825027.4143529527</c:v>
                </c:pt>
                <c:pt idx="250">
                  <c:v>1825027.4143529527</c:v>
                </c:pt>
                <c:pt idx="251">
                  <c:v>1825027.4143529527</c:v>
                </c:pt>
                <c:pt idx="252">
                  <c:v>1825027.4143529527</c:v>
                </c:pt>
                <c:pt idx="253">
                  <c:v>1825027.4143529527</c:v>
                </c:pt>
                <c:pt idx="254">
                  <c:v>1825027.4143529527</c:v>
                </c:pt>
                <c:pt idx="255">
                  <c:v>1825027.4143529527</c:v>
                </c:pt>
                <c:pt idx="256">
                  <c:v>1825027.4143529527</c:v>
                </c:pt>
                <c:pt idx="257">
                  <c:v>1825027.4143529527</c:v>
                </c:pt>
                <c:pt idx="258">
                  <c:v>1825027.4143529527</c:v>
                </c:pt>
                <c:pt idx="259">
                  <c:v>1825027.4143529527</c:v>
                </c:pt>
                <c:pt idx="260">
                  <c:v>1825027.4143529527</c:v>
                </c:pt>
                <c:pt idx="261">
                  <c:v>1825027.4143529527</c:v>
                </c:pt>
                <c:pt idx="262">
                  <c:v>1825027.4143529527</c:v>
                </c:pt>
                <c:pt idx="263">
                  <c:v>1825027.4143529527</c:v>
                </c:pt>
                <c:pt idx="264">
                  <c:v>1825027.4143529527</c:v>
                </c:pt>
                <c:pt idx="265">
                  <c:v>1825027.4143529527</c:v>
                </c:pt>
                <c:pt idx="266">
                  <c:v>1825027.4143529527</c:v>
                </c:pt>
                <c:pt idx="267">
                  <c:v>1825027.4143529527</c:v>
                </c:pt>
                <c:pt idx="268">
                  <c:v>1825027.4143529527</c:v>
                </c:pt>
                <c:pt idx="269">
                  <c:v>1825027.4143529527</c:v>
                </c:pt>
                <c:pt idx="270">
                  <c:v>1825027.4143529527</c:v>
                </c:pt>
                <c:pt idx="271">
                  <c:v>1825027.4143529527</c:v>
                </c:pt>
                <c:pt idx="272">
                  <c:v>1825027.4143529527</c:v>
                </c:pt>
                <c:pt idx="273">
                  <c:v>1825027.4143529527</c:v>
                </c:pt>
                <c:pt idx="274">
                  <c:v>1825027.4143529527</c:v>
                </c:pt>
                <c:pt idx="275">
                  <c:v>1825027.4143529527</c:v>
                </c:pt>
                <c:pt idx="276">
                  <c:v>1825027.4143529527</c:v>
                </c:pt>
                <c:pt idx="277">
                  <c:v>1825027.4143529527</c:v>
                </c:pt>
                <c:pt idx="278">
                  <c:v>1825027.4143529527</c:v>
                </c:pt>
                <c:pt idx="279">
                  <c:v>1825027.4143529527</c:v>
                </c:pt>
                <c:pt idx="280">
                  <c:v>1825027.4143529527</c:v>
                </c:pt>
                <c:pt idx="281">
                  <c:v>1825027.4143529527</c:v>
                </c:pt>
                <c:pt idx="282">
                  <c:v>1825027.4143529527</c:v>
                </c:pt>
                <c:pt idx="283">
                  <c:v>1825027.4143529527</c:v>
                </c:pt>
                <c:pt idx="284">
                  <c:v>1825027.4143529527</c:v>
                </c:pt>
                <c:pt idx="285">
                  <c:v>1825027.4143529527</c:v>
                </c:pt>
                <c:pt idx="286">
                  <c:v>1825027.4143529527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12" t="s">
        <v>0</v>
      </c>
      <c r="C2" s="712"/>
      <c r="D2" s="712"/>
      <c r="E2" s="712"/>
      <c r="H2" s="713" t="s">
        <v>1</v>
      </c>
      <c r="I2" s="714"/>
      <c r="J2" s="714"/>
      <c r="K2" s="714"/>
      <c r="L2" s="714"/>
      <c r="M2" s="714"/>
      <c r="N2" s="714"/>
      <c r="O2" s="715"/>
    </row>
    <row r="3" spans="2:15">
      <c r="B3" s="614"/>
      <c r="H3" s="716"/>
      <c r="I3" s="717"/>
      <c r="J3" s="717"/>
      <c r="K3" s="717"/>
      <c r="L3" s="717"/>
      <c r="M3" s="717"/>
      <c r="N3" s="717"/>
      <c r="O3" s="718"/>
    </row>
    <row r="4" spans="2:15">
      <c r="B4" s="615" t="s">
        <v>2</v>
      </c>
      <c r="C4" s="616" t="str">
        <f>'Project Plan'!E2</f>
        <v>Riverside Mall</v>
      </c>
      <c r="H4" s="716"/>
      <c r="I4" s="717"/>
      <c r="J4" s="717"/>
      <c r="K4" s="717"/>
      <c r="L4" s="717"/>
      <c r="M4" s="717"/>
      <c r="N4" s="717"/>
      <c r="O4" s="718"/>
    </row>
    <row r="5" spans="2:15">
      <c r="B5" s="615" t="s">
        <v>3</v>
      </c>
      <c r="C5" s="616" t="s">
        <v>4</v>
      </c>
      <c r="H5" s="716"/>
      <c r="I5" s="717"/>
      <c r="J5" s="717"/>
      <c r="K5" s="717"/>
      <c r="L5" s="717"/>
      <c r="M5" s="717"/>
      <c r="N5" s="717"/>
      <c r="O5" s="718"/>
    </row>
    <row r="6" spans="2:15">
      <c r="B6" s="615" t="s">
        <v>5</v>
      </c>
      <c r="C6" s="616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>
      <c r="B7" s="615" t="s">
        <v>7</v>
      </c>
      <c r="C7" s="616" t="s">
        <v>8</v>
      </c>
      <c r="H7" s="716"/>
      <c r="I7" s="717"/>
      <c r="J7" s="717"/>
      <c r="K7" s="717"/>
      <c r="L7" s="717"/>
      <c r="M7" s="717"/>
      <c r="N7" s="717"/>
      <c r="O7" s="718"/>
    </row>
    <row r="8" spans="2:15">
      <c r="B8" s="614"/>
      <c r="H8" s="716"/>
      <c r="I8" s="717"/>
      <c r="J8" s="717"/>
      <c r="K8" s="717"/>
      <c r="L8" s="717"/>
      <c r="M8" s="717"/>
      <c r="N8" s="717"/>
      <c r="O8" s="718"/>
    </row>
    <row r="9" spans="2:15">
      <c r="B9" s="722" t="s">
        <v>9</v>
      </c>
      <c r="C9" s="722"/>
      <c r="D9" s="722"/>
      <c r="E9" s="722"/>
      <c r="H9" s="716"/>
      <c r="I9" s="717"/>
      <c r="J9" s="717"/>
      <c r="K9" s="717"/>
      <c r="L9" s="717"/>
      <c r="M9" s="717"/>
      <c r="N9" s="717"/>
      <c r="O9" s="718"/>
    </row>
    <row r="10" spans="2:15" ht="15" thickBot="1">
      <c r="B10" s="722" t="s">
        <v>10</v>
      </c>
      <c r="C10" s="722"/>
      <c r="D10" s="722"/>
      <c r="E10" s="722"/>
      <c r="H10" s="719"/>
      <c r="I10" s="720"/>
      <c r="J10" s="720"/>
      <c r="K10" s="720"/>
      <c r="L10" s="720"/>
      <c r="M10" s="720"/>
      <c r="N10" s="720"/>
      <c r="O10" s="721"/>
    </row>
    <row r="11" spans="2:15">
      <c r="B11" s="617" t="s">
        <v>11</v>
      </c>
      <c r="C11" s="711"/>
      <c r="D11" s="711"/>
      <c r="E11" s="711"/>
    </row>
    <row r="12" spans="2:15">
      <c r="B12" s="617" t="s">
        <v>12</v>
      </c>
      <c r="C12" s="711"/>
      <c r="D12" s="711"/>
      <c r="E12" s="711"/>
    </row>
    <row r="13" spans="2:15">
      <c r="B13" s="617" t="s">
        <v>13</v>
      </c>
      <c r="C13" s="711"/>
      <c r="D13" s="711"/>
      <c r="E13" s="711"/>
    </row>
    <row r="14" spans="2:15">
      <c r="B14" s="617" t="s">
        <v>14</v>
      </c>
      <c r="C14" s="711"/>
      <c r="D14" s="711"/>
      <c r="E14" s="711"/>
    </row>
    <row r="15" spans="2:15">
      <c r="B15" s="617" t="s">
        <v>15</v>
      </c>
      <c r="C15" s="711"/>
      <c r="D15" s="711"/>
      <c r="E15" s="711"/>
    </row>
    <row r="16" spans="2:15" ht="15" customHeight="1">
      <c r="B16" s="617" t="s">
        <v>16</v>
      </c>
      <c r="C16" s="711"/>
      <c r="D16" s="711"/>
      <c r="E16" s="711"/>
    </row>
    <row r="17" spans="2:5">
      <c r="B17" s="614"/>
    </row>
    <row r="18" spans="2:5">
      <c r="B18" s="723" t="s">
        <v>17</v>
      </c>
      <c r="C18" s="723"/>
      <c r="D18" s="723"/>
      <c r="E18" s="72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12" t="s">
        <v>22</v>
      </c>
      <c r="C2" s="712"/>
      <c r="D2" s="712"/>
      <c r="E2" s="712"/>
      <c r="H2" s="713" t="s">
        <v>23</v>
      </c>
      <c r="I2" s="714"/>
      <c r="J2" s="714"/>
      <c r="K2" s="714"/>
      <c r="L2" s="714"/>
      <c r="M2" s="714"/>
      <c r="N2" s="714"/>
      <c r="O2" s="715"/>
    </row>
    <row r="3" spans="2:15">
      <c r="B3" s="614"/>
      <c r="H3" s="716"/>
      <c r="I3" s="717"/>
      <c r="J3" s="717"/>
      <c r="K3" s="717"/>
      <c r="L3" s="717"/>
      <c r="M3" s="717"/>
      <c r="N3" s="717"/>
      <c r="O3" s="718"/>
    </row>
    <row r="4" spans="2:15">
      <c r="B4" s="615" t="s">
        <v>2</v>
      </c>
      <c r="C4" s="616" t="str">
        <f>'Project Plan'!E2</f>
        <v>Riverside Mall</v>
      </c>
      <c r="H4" s="716"/>
      <c r="I4" s="717"/>
      <c r="J4" s="717"/>
      <c r="K4" s="717"/>
      <c r="L4" s="717"/>
      <c r="M4" s="717"/>
      <c r="N4" s="717"/>
      <c r="O4" s="718"/>
    </row>
    <row r="5" spans="2:15">
      <c r="B5" s="615" t="s">
        <v>24</v>
      </c>
      <c r="C5" s="616"/>
      <c r="H5" s="716"/>
      <c r="I5" s="717"/>
      <c r="J5" s="717"/>
      <c r="K5" s="717"/>
      <c r="L5" s="717"/>
      <c r="M5" s="717"/>
      <c r="N5" s="717"/>
      <c r="O5" s="718"/>
    </row>
    <row r="6" spans="2:15">
      <c r="B6" s="615" t="s">
        <v>5</v>
      </c>
      <c r="C6" s="616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>
      <c r="B7" s="615" t="s">
        <v>25</v>
      </c>
      <c r="C7" s="616" t="str">
        <f>'Project Plan'!E5</f>
        <v>Justin Franke</v>
      </c>
      <c r="H7" s="716"/>
      <c r="I7" s="717"/>
      <c r="J7" s="717"/>
      <c r="K7" s="717"/>
      <c r="L7" s="717"/>
      <c r="M7" s="717"/>
      <c r="N7" s="717"/>
      <c r="O7" s="718"/>
    </row>
    <row r="8" spans="2:15">
      <c r="B8" s="615" t="s">
        <v>26</v>
      </c>
      <c r="C8" s="616"/>
      <c r="H8" s="716"/>
      <c r="I8" s="717"/>
      <c r="J8" s="717"/>
      <c r="K8" s="717"/>
      <c r="L8" s="717"/>
      <c r="M8" s="717"/>
      <c r="N8" s="717"/>
      <c r="O8" s="718"/>
    </row>
    <row r="9" spans="2:15">
      <c r="B9" s="614"/>
      <c r="H9" s="716"/>
      <c r="I9" s="717"/>
      <c r="J9" s="717"/>
      <c r="K9" s="717"/>
      <c r="L9" s="717"/>
      <c r="M9" s="717"/>
      <c r="N9" s="717"/>
      <c r="O9" s="718"/>
    </row>
    <row r="10" spans="2:15">
      <c r="B10" s="722" t="s">
        <v>9</v>
      </c>
      <c r="C10" s="722"/>
      <c r="D10" s="722"/>
      <c r="E10" s="722"/>
      <c r="H10" s="716"/>
      <c r="I10" s="717"/>
      <c r="J10" s="717"/>
      <c r="K10" s="717"/>
      <c r="L10" s="717"/>
      <c r="M10" s="717"/>
      <c r="N10" s="717"/>
      <c r="O10" s="718"/>
    </row>
    <row r="11" spans="2:15" ht="15" thickBot="1">
      <c r="B11" s="722" t="s">
        <v>10</v>
      </c>
      <c r="C11" s="722"/>
      <c r="D11" s="722"/>
      <c r="E11" s="722"/>
      <c r="H11" s="719"/>
      <c r="I11" s="720"/>
      <c r="J11" s="720"/>
      <c r="K11" s="720"/>
      <c r="L11" s="720"/>
      <c r="M11" s="720"/>
      <c r="N11" s="720"/>
      <c r="O11" s="721"/>
    </row>
    <row r="12" spans="2:15" ht="26.4">
      <c r="B12" s="617" t="s">
        <v>27</v>
      </c>
      <c r="C12" s="711"/>
      <c r="D12" s="711"/>
      <c r="E12" s="711"/>
    </row>
    <row r="13" spans="2:15">
      <c r="B13" s="617" t="s">
        <v>28</v>
      </c>
      <c r="C13" s="711"/>
      <c r="D13" s="711"/>
      <c r="E13" s="711"/>
    </row>
    <row r="14" spans="2:15">
      <c r="B14" s="617" t="s">
        <v>29</v>
      </c>
      <c r="C14" s="711"/>
      <c r="D14" s="711"/>
      <c r="E14" s="711"/>
    </row>
    <row r="15" spans="2:15">
      <c r="B15" s="617" t="s">
        <v>30</v>
      </c>
      <c r="C15" s="711"/>
      <c r="D15" s="711"/>
      <c r="E15" s="711"/>
    </row>
    <row r="16" spans="2:15" ht="26.4">
      <c r="B16" s="617" t="s">
        <v>31</v>
      </c>
      <c r="C16" s="711"/>
      <c r="D16" s="711"/>
      <c r="E16" s="711"/>
    </row>
    <row r="17" spans="2:5">
      <c r="B17" s="617" t="s">
        <v>32</v>
      </c>
      <c r="C17" s="711"/>
      <c r="D17" s="711"/>
      <c r="E17" s="711"/>
    </row>
    <row r="18" spans="2:5">
      <c r="B18" s="617" t="s">
        <v>33</v>
      </c>
      <c r="C18" s="711"/>
      <c r="D18" s="711"/>
      <c r="E18" s="711"/>
    </row>
    <row r="19" spans="2:5">
      <c r="B19" s="617" t="s">
        <v>34</v>
      </c>
      <c r="C19" s="711"/>
      <c r="D19" s="711"/>
      <c r="E19" s="711"/>
    </row>
    <row r="20" spans="2:5">
      <c r="B20" s="617" t="s">
        <v>35</v>
      </c>
      <c r="C20" s="711"/>
      <c r="D20" s="711"/>
      <c r="E20" s="711"/>
    </row>
    <row r="21" spans="2:5">
      <c r="B21" s="617" t="s">
        <v>36</v>
      </c>
      <c r="C21" s="711"/>
      <c r="D21" s="711"/>
      <c r="E21" s="711"/>
    </row>
    <row r="22" spans="2:5" ht="15" customHeight="1">
      <c r="B22" s="617" t="s">
        <v>16</v>
      </c>
      <c r="C22" s="711"/>
      <c r="D22" s="711"/>
      <c r="E22" s="711"/>
    </row>
    <row r="23" spans="2:5">
      <c r="B23" s="614"/>
    </row>
    <row r="24" spans="2:5">
      <c r="B24" s="723" t="s">
        <v>17</v>
      </c>
      <c r="C24" s="723"/>
      <c r="D24" s="723"/>
      <c r="E24" s="72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44140625" bestFit="1" customWidth="1"/>
    <col min="10" max="10" width="14.44140625" customWidth="1"/>
    <col min="11" max="11" width="77.5546875" customWidth="1"/>
  </cols>
  <sheetData>
    <row r="1" spans="2:15">
      <c r="B1" s="726"/>
      <c r="C1" s="727"/>
      <c r="D1" s="727"/>
      <c r="E1" s="727"/>
      <c r="F1" s="724" t="s">
        <v>37</v>
      </c>
      <c r="G1" s="724"/>
      <c r="H1" s="724"/>
      <c r="I1" s="724"/>
      <c r="J1" s="724"/>
      <c r="K1" s="725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24.5546875" style="4" customWidth="1"/>
    <col min="4" max="4" width="41.44140625" style="4" customWidth="1"/>
    <col min="5" max="5" width="9.5546875" style="4" customWidth="1"/>
    <col min="6" max="6" width="6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44140625" customWidth="1"/>
    <col min="6" max="6" width="33.5546875" customWidth="1"/>
  </cols>
  <sheetData>
    <row r="1" spans="2:10" ht="15" thickBot="1"/>
    <row r="2" spans="2:10" ht="15.6" thickTop="1" thickBot="1">
      <c r="B2" s="728" t="s">
        <v>117</v>
      </c>
      <c r="C2" s="729"/>
      <c r="D2" s="729"/>
      <c r="E2" s="729"/>
      <c r="F2" s="730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8" t="s">
        <v>127</v>
      </c>
      <c r="C16" s="729"/>
      <c r="D16" s="729"/>
      <c r="E16" s="729"/>
      <c r="F16" s="730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O15" zoomScale="80" zoomScaleNormal="80" workbookViewId="0">
      <selection activeCell="K25" sqref="K2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4414062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44140625" style="1" customWidth="1"/>
    <col min="18" max="18" width="8.44140625" style="26"/>
    <col min="19" max="19" width="21.5546875" style="26" customWidth="1"/>
    <col min="20" max="22" width="12.44140625" style="26" customWidth="1"/>
    <col min="23" max="23" width="9.5546875" style="26" bestFit="1" customWidth="1"/>
    <col min="24" max="25" width="10.5546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31" t="s">
        <v>132</v>
      </c>
      <c r="J2" s="732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731" t="s">
        <v>134</v>
      </c>
      <c r="J3" s="732"/>
      <c r="K3" s="587">
        <f>K2/5</f>
        <v>7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31" t="s">
        <v>137</v>
      </c>
      <c r="J4" s="732"/>
      <c r="K4" s="588">
        <f>E3/K3</f>
        <v>26.285714285714285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735" t="s">
        <v>145</v>
      </c>
      <c r="C8" s="736" t="s">
        <v>146</v>
      </c>
      <c r="D8" s="126"/>
      <c r="E8" s="737" t="s">
        <v>147</v>
      </c>
      <c r="F8" s="148" t="s">
        <v>148</v>
      </c>
      <c r="G8" s="737" t="s">
        <v>149</v>
      </c>
      <c r="H8" s="149"/>
      <c r="I8" s="737" t="s">
        <v>150</v>
      </c>
      <c r="J8" s="148" t="s">
        <v>148</v>
      </c>
      <c r="K8" s="737" t="s">
        <v>151</v>
      </c>
      <c r="M8" s="584" t="s">
        <v>44</v>
      </c>
      <c r="N8" s="585" t="s">
        <v>152</v>
      </c>
      <c r="O8" s="733" t="s">
        <v>153</v>
      </c>
      <c r="Z8" s="26"/>
      <c r="AA8" s="26"/>
      <c r="AB8" s="26"/>
    </row>
    <row r="9" spans="2:28">
      <c r="B9" s="735"/>
      <c r="C9" s="736"/>
      <c r="D9" s="126"/>
      <c r="E9" s="737"/>
      <c r="F9" s="40">
        <f>G39-E19</f>
        <v>35</v>
      </c>
      <c r="G9" s="737"/>
      <c r="H9" s="149"/>
      <c r="I9" s="737"/>
      <c r="J9" s="41">
        <f>K39-I19</f>
        <v>48</v>
      </c>
      <c r="K9" s="737"/>
      <c r="M9" s="265">
        <f>AVERAGE(M11,M18,M21,M28,M35,M39,M48,M44)</f>
        <v>0.58935294117647063</v>
      </c>
      <c r="N9" s="265">
        <f ca="1">AVERAGE(N11,N18,N21,N28,N35,N39,N48,N44)</f>
        <v>0.61409090909090913</v>
      </c>
      <c r="O9" s="734"/>
      <c r="S9" s="586">
        <f ca="1">TODAY()</f>
        <v>46086</v>
      </c>
      <c r="T9" s="586">
        <f ca="1">TODAY()</f>
        <v>46086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72</v>
      </c>
      <c r="V15" s="538">
        <f>K21</f>
        <v>46092</v>
      </c>
      <c r="W15" s="652">
        <f>M21</f>
        <v>0.85599999999999998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  <c r="W16" s="652">
        <f>M28</f>
        <v>0.85882352941176465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72</v>
      </c>
      <c r="K21" s="571">
        <f>MAX(K22:K27)</f>
        <v>46092</v>
      </c>
      <c r="L21" s="574"/>
      <c r="M21" s="575">
        <f>(J22*M22+J23*M23+J24*M24+J25*M25+J26*M26)/SUM(J22:J26)</f>
        <v>0.85599999999999998</v>
      </c>
      <c r="N21" s="575">
        <f ca="1">(J22*N22+J23*N23+J24*N24+J25*N25+J26*N26)/SUM(J22:J26)</f>
        <v>0.91272727272727283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16</v>
      </c>
      <c r="K25" s="576">
        <f>WORKDAY.INTL(I25,J25,1,Data!$C$3:$C$60)</f>
        <v>46092</v>
      </c>
      <c r="L25" s="77"/>
      <c r="M25" s="579">
        <v>0.55000000000000004</v>
      </c>
      <c r="N25" s="579">
        <f t="shared" ca="1" si="1"/>
        <v>0.72727272727272729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(J30*M30+J31*M31+J33*M33+J32*M32)/SUM(J30:J33)</f>
        <v>0.85882352941176465</v>
      </c>
      <c r="N28" s="575">
        <f ca="1">(J30*N30+J31*N31+J33*N33+J32*N32)/SUM(J30:J33)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8</v>
      </c>
      <c r="K33" s="582">
        <f>WORKDAY.INTL(I33,J33,1,Data!$C$3:$C$60)</f>
        <v>46085</v>
      </c>
      <c r="L33" s="77"/>
      <c r="M33" s="579">
        <v>0.7</v>
      </c>
      <c r="N33" s="579">
        <f t="shared" ca="1" si="2"/>
        <v>1</v>
      </c>
      <c r="O33" s="36" t="s">
        <v>453</v>
      </c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70" zoomScaleNormal="70" workbookViewId="0">
      <selection activeCell="Q8" sqref="Q8"/>
    </sheetView>
  </sheetViews>
  <sheetFormatPr defaultColWidth="8.44140625" defaultRowHeight="14.4"/>
  <cols>
    <col min="1" max="1" width="5.44140625" style="24" customWidth="1"/>
    <col min="2" max="2" width="5.4414062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13" style="43" customWidth="1"/>
    <col min="8" max="8" width="17.44140625" style="43" customWidth="1"/>
    <col min="9" max="9" width="1.5546875" style="43" customWidth="1"/>
    <col min="10" max="10" width="3.44140625" style="24" customWidth="1"/>
    <col min="11" max="11" width="1.5546875" style="87" customWidth="1"/>
    <col min="12" max="12" width="29.44140625" style="24" customWidth="1"/>
    <col min="13" max="13" width="1.5546875" style="43" customWidth="1"/>
    <col min="14" max="14" width="29.44140625" style="43" customWidth="1"/>
    <col min="15" max="15" width="1.5546875" style="43" customWidth="1"/>
    <col min="16" max="16" width="16.5546875" style="43" customWidth="1"/>
    <col min="17" max="17" width="5.44140625" style="43" customWidth="1"/>
    <col min="18" max="18" width="112.44140625" style="43" bestFit="1" customWidth="1"/>
    <col min="19" max="19" width="4.44140625" style="43" customWidth="1"/>
    <col min="20" max="20" width="14.44140625" style="43" customWidth="1"/>
    <col min="21" max="21" width="10.44140625" style="24" bestFit="1" customWidth="1"/>
    <col min="22" max="23" width="8.44140625" style="24"/>
    <col min="24" max="24" width="18.5546875" style="24" bestFit="1" customWidth="1"/>
    <col min="25" max="25" width="15.5546875" style="24" bestFit="1" customWidth="1"/>
    <col min="26" max="26" width="17.5546875" style="24" bestFit="1" customWidth="1"/>
    <col min="27" max="27" width="14.5546875" style="24" bestFit="1" customWidth="1"/>
    <col min="28" max="28" width="8.44140625" style="43"/>
    <col min="29" max="29" width="12.4414062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2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1303783.7243872934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1825027.4143529523</v>
      </c>
      <c r="Y5" s="625">
        <f>SUMIFS('Expenditure Breakdown'!$Q:$Q,
        'Expenditure Breakdown'!$T:$T, "&gt;"&amp;DATE(2025,8,31),
        'Expenditure Breakdown'!$T:$T, "&lt;="&amp;DATE(2026,8,31))</f>
        <v>1303783.7243872939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559173.42659619055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0.30015367036273177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2">
      <c r="B13" s="589">
        <v>1</v>
      </c>
      <c r="C13" s="740" t="s">
        <v>240</v>
      </c>
      <c r="D13" s="741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40" t="s">
        <v>242</v>
      </c>
      <c r="D14" s="741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740" t="s">
        <v>244</v>
      </c>
      <c r="D15" s="741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738" t="s">
        <v>200</v>
      </c>
      <c r="D16" s="739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3.2">
      <c r="B17" s="589">
        <v>5</v>
      </c>
      <c r="C17" s="738" t="s">
        <v>245</v>
      </c>
      <c r="D17" s="739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3.2">
      <c r="B18" s="589">
        <v>6</v>
      </c>
      <c r="C18" s="738" t="s">
        <v>246</v>
      </c>
      <c r="D18" s="73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740" t="s">
        <v>246</v>
      </c>
      <c r="D19" s="74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3.2">
      <c r="C24" s="59" t="s">
        <v>249</v>
      </c>
      <c r="D24" s="60"/>
      <c r="F24" s="61"/>
    </row>
    <row r="25" spans="2:19" s="24" customFormat="1" ht="13.2">
      <c r="C25" s="59" t="s">
        <v>250</v>
      </c>
      <c r="D25" s="60"/>
    </row>
    <row r="26" spans="2:19" s="24" customFormat="1" ht="13.2">
      <c r="C26" s="62" t="s">
        <v>251</v>
      </c>
      <c r="D26" s="63"/>
    </row>
    <row r="27" spans="2:19" s="24" customFormat="1" ht="13.2">
      <c r="C27" s="64" t="s">
        <v>252</v>
      </c>
      <c r="D27" s="60"/>
    </row>
    <row r="28" spans="2:19" s="24" customFormat="1" ht="13.2">
      <c r="B28" s="31"/>
      <c r="C28" s="64" t="s">
        <v>253</v>
      </c>
      <c r="D28" s="60"/>
    </row>
    <row r="29" spans="2:19" s="24" customFormat="1" ht="13.2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42"/>
      <c r="C4" s="742"/>
      <c r="D4" s="742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4" thickBot="1">
      <c r="A5" s="126"/>
      <c r="B5" s="743" t="s">
        <v>261</v>
      </c>
      <c r="C5" s="743"/>
      <c r="D5" s="743"/>
      <c r="E5" s="313"/>
      <c r="F5" s="133">
        <f>SUM(F9:F23)</f>
        <v>1520558.8732336955</v>
      </c>
      <c r="G5" s="128"/>
      <c r="H5" s="133">
        <f>SUM(H9:H23)</f>
        <v>1303783.7243872934</v>
      </c>
      <c r="I5" s="126"/>
      <c r="J5" s="134">
        <f>SUM(J9:J23)</f>
        <v>216775.14884640215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86418.9</v>
      </c>
      <c r="I16" s="23"/>
      <c r="J16" s="143">
        <f t="shared" si="0"/>
        <v>101081.1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O1" zoomScale="78" zoomScaleNormal="85" workbookViewId="0">
      <pane ySplit="4" topLeftCell="A73" activePane="bottomLeft" state="frozen"/>
      <selection activeCell="X33" sqref="X33"/>
      <selection pane="bottomLeft" activeCell="W98" sqref="W98"/>
    </sheetView>
  </sheetViews>
  <sheetFormatPr defaultColWidth="9.2187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10" width="22.44140625" style="254" customWidth="1"/>
    <col min="11" max="12" width="5.4414062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3.5546875" style="26" customWidth="1"/>
    <col min="19" max="19" width="31.441406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5" width="29.44140625" style="26" bestFit="1" customWidth="1"/>
    <col min="26" max="26" width="24.44140625" style="26" customWidth="1"/>
    <col min="27" max="76" width="17.44140625" style="26" customWidth="1"/>
    <col min="77" max="16384" width="9.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4" t="s">
        <v>267</v>
      </c>
      <c r="C2" s="705"/>
      <c r="D2" s="705"/>
      <c r="E2" s="705"/>
      <c r="F2" s="705"/>
      <c r="G2" s="705"/>
      <c r="H2" s="395"/>
      <c r="I2" s="162">
        <f>SUM(I6:I163)</f>
        <v>1520558.8732336955</v>
      </c>
      <c r="J2" s="162">
        <f>SUM(J6:J163)</f>
        <v>1862957.1509834835</v>
      </c>
      <c r="L2" s="706" t="s">
        <v>268</v>
      </c>
      <c r="M2" s="707"/>
      <c r="N2" s="707"/>
      <c r="O2" s="707"/>
      <c r="P2" s="707"/>
      <c r="Q2" s="707"/>
      <c r="R2" s="708" t="s">
        <v>269</v>
      </c>
      <c r="S2" s="709"/>
      <c r="T2" s="709"/>
      <c r="U2" s="709"/>
      <c r="V2" s="709"/>
      <c r="W2" s="710"/>
      <c r="X2" s="162">
        <f>SUM(X6:X163)</f>
        <v>1303783.7243872934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57">
        <f>SUM(G6:G11)</f>
        <v>408885.35</v>
      </c>
      <c r="J6" s="660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669">
        <f>J6-SUM(U6:U11)</f>
        <v>0</v>
      </c>
      <c r="W6" s="453">
        <v>46109</v>
      </c>
      <c r="X6" s="657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58"/>
      <c r="J7" s="661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70"/>
      <c r="W7" s="454"/>
      <c r="X7" s="658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58"/>
      <c r="J8" s="661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670"/>
      <c r="W8" s="454"/>
      <c r="X8" s="658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58"/>
      <c r="J9" s="661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70"/>
      <c r="W9" s="455"/>
      <c r="X9" s="65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58"/>
      <c r="J10" s="661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70"/>
      <c r="W10" s="455"/>
      <c r="X10" s="65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59"/>
      <c r="J11" s="662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71"/>
      <c r="W11" s="456"/>
      <c r="X11" s="659"/>
      <c r="Y11" s="606" t="s">
        <v>290</v>
      </c>
      <c r="Z11" s="487" t="s">
        <v>291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686">
        <f>SUM(G13:G19)</f>
        <v>113600</v>
      </c>
      <c r="J13" s="689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01">
        <f>J13-SUM(U13:U19)</f>
        <v>0</v>
      </c>
      <c r="W13" s="656">
        <v>46079</v>
      </c>
      <c r="X13" s="686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7"/>
      <c r="J14" s="690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02"/>
      <c r="W14" s="638">
        <v>46079</v>
      </c>
      <c r="X14" s="687"/>
      <c r="Y14" s="607" t="s">
        <v>298</v>
      </c>
      <c r="Z14" s="488">
        <f>G93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7"/>
      <c r="J15" s="690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02"/>
      <c r="W15" s="459"/>
      <c r="X15" s="687"/>
      <c r="Y15" s="607" t="s">
        <v>299</v>
      </c>
      <c r="Z15" s="488">
        <f>G94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7"/>
      <c r="J16" s="690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02"/>
      <c r="W16" s="459"/>
      <c r="X16" s="687"/>
      <c r="Y16" s="607" t="s">
        <v>300</v>
      </c>
      <c r="Z16" s="488">
        <f>G106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7"/>
      <c r="J17" s="690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02"/>
      <c r="W17" s="459"/>
      <c r="X17" s="687"/>
      <c r="Y17" s="607" t="s">
        <v>301</v>
      </c>
      <c r="Z17" s="488">
        <f>G107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7"/>
      <c r="J18" s="690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02"/>
      <c r="W18" s="459"/>
      <c r="X18" s="687"/>
      <c r="Y18" s="607" t="s">
        <v>302</v>
      </c>
      <c r="Z18" s="488">
        <f>G109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8"/>
      <c r="J19" s="691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03"/>
      <c r="W19" s="460"/>
      <c r="X19" s="688"/>
      <c r="Y19" s="607" t="s">
        <v>303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57">
        <f>SUM(G21:G26)</f>
        <v>84258</v>
      </c>
      <c r="J21" s="660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669">
        <f>J21-SUM(U21:U26)</f>
        <v>0</v>
      </c>
      <c r="W21" s="461">
        <f>T21+30</f>
        <v>46083</v>
      </c>
      <c r="X21" s="657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58"/>
      <c r="J22" s="661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70"/>
      <c r="W22" s="454"/>
      <c r="X22" s="658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58"/>
      <c r="J23" s="661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70"/>
      <c r="W23" s="454"/>
      <c r="X23" s="658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58"/>
      <c r="J24" s="661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70"/>
      <c r="W24" s="455"/>
      <c r="X24" s="658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58"/>
      <c r="J25" s="661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70"/>
      <c r="W25" s="455"/>
      <c r="X25" s="65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59"/>
      <c r="J26" s="662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71"/>
      <c r="W26" s="456"/>
      <c r="X26" s="659"/>
      <c r="Y26" s="609" t="s">
        <v>217</v>
      </c>
      <c r="Z26" s="492" t="s">
        <v>313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686">
        <f>SUM(G28:G42)</f>
        <v>155045.70000000001</v>
      </c>
      <c r="J28" s="689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01">
        <f>J28-SUM(U28:U42)</f>
        <v>0</v>
      </c>
      <c r="W28" s="458">
        <f>W6</f>
        <v>46109</v>
      </c>
      <c r="X28" s="686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687"/>
      <c r="J29" s="690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02"/>
      <c r="W29" s="459"/>
      <c r="X29" s="687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7"/>
      <c r="J30" s="690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2"/>
      <c r="W30" s="459"/>
      <c r="X30" s="687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7"/>
      <c r="J31" s="690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2"/>
      <c r="W31" s="459"/>
      <c r="X31" s="687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7"/>
      <c r="J32" s="690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683"/>
      <c r="S32" s="506" t="str">
        <f>S94</f>
        <v>Leading Edge Power INV-0182</v>
      </c>
      <c r="T32" s="545">
        <v>46053</v>
      </c>
      <c r="U32" s="643">
        <v>24814.790745545168</v>
      </c>
      <c r="V32" s="702"/>
      <c r="W32" s="638">
        <f>W94</f>
        <v>46051</v>
      </c>
      <c r="X32" s="687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7"/>
      <c r="J33" s="690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684"/>
      <c r="S33" s="506" t="str">
        <f>S95</f>
        <v>Leading Edge Power INV-0183</v>
      </c>
      <c r="T33" s="545">
        <v>46053</v>
      </c>
      <c r="U33" s="643">
        <v>24814.790745545168</v>
      </c>
      <c r="V33" s="702"/>
      <c r="W33" s="638">
        <f t="shared" ref="W33:W39" si="5">W95</f>
        <v>46058</v>
      </c>
      <c r="X33" s="687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7"/>
      <c r="J34" s="690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684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02"/>
      <c r="W34" s="459">
        <f t="shared" si="5"/>
        <v>46099</v>
      </c>
      <c r="X34" s="687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7"/>
      <c r="J35" s="690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684"/>
      <c r="S35" s="506" t="s">
        <v>325</v>
      </c>
      <c r="T35" s="545">
        <f t="shared" si="6"/>
        <v>46081</v>
      </c>
      <c r="U35" s="401">
        <f t="shared" si="2"/>
        <v>18611.093059158877</v>
      </c>
      <c r="V35" s="702"/>
      <c r="W35" s="459">
        <f t="shared" si="5"/>
        <v>46099</v>
      </c>
      <c r="X35" s="687"/>
      <c r="Y35" s="610" t="s">
        <v>326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7"/>
      <c r="J36" s="690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684"/>
      <c r="S36" s="506"/>
      <c r="T36" s="416">
        <f t="shared" si="6"/>
        <v>46112</v>
      </c>
      <c r="U36" s="401">
        <f t="shared" si="2"/>
        <v>12407.395372772584</v>
      </c>
      <c r="V36" s="702"/>
      <c r="W36" s="459">
        <f t="shared" si="5"/>
        <v>46111</v>
      </c>
      <c r="X36" s="687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7"/>
      <c r="J37" s="690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684"/>
      <c r="S37" s="506"/>
      <c r="T37" s="416">
        <f t="shared" si="6"/>
        <v>46112</v>
      </c>
      <c r="U37" s="401">
        <f t="shared" si="2"/>
        <v>12407.395372772584</v>
      </c>
      <c r="V37" s="702"/>
      <c r="W37" s="459">
        <f t="shared" si="5"/>
        <v>46107</v>
      </c>
      <c r="X37" s="687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7"/>
      <c r="J38" s="690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684"/>
      <c r="S38" s="506"/>
      <c r="T38" s="416">
        <f t="shared" si="6"/>
        <v>46112</v>
      </c>
      <c r="U38" s="401">
        <f t="shared" si="2"/>
        <v>6203.6976863862919</v>
      </c>
      <c r="V38" s="702"/>
      <c r="W38" s="459">
        <f t="shared" si="5"/>
        <v>46107</v>
      </c>
      <c r="X38" s="687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7"/>
      <c r="J39" s="690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685"/>
      <c r="S39" s="506"/>
      <c r="T39" s="416">
        <v>46112</v>
      </c>
      <c r="U39" s="401">
        <f t="shared" si="2"/>
        <v>6203.6976863862919</v>
      </c>
      <c r="V39" s="702"/>
      <c r="W39" s="459">
        <f t="shared" si="5"/>
        <v>46130</v>
      </c>
      <c r="X39" s="687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7"/>
      <c r="J40" s="690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2"/>
      <c r="W40" s="459"/>
      <c r="X40" s="68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7"/>
      <c r="J41" s="690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2"/>
      <c r="W41" s="459"/>
      <c r="X41" s="68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8"/>
      <c r="J42" s="691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3"/>
      <c r="W42" s="460"/>
      <c r="X42" s="688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57">
        <f>SUM(G44:G51)</f>
        <v>34000</v>
      </c>
      <c r="J44" s="660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669">
        <f>J44-SUM(U44:U51)</f>
        <v>2891.6853015354573</v>
      </c>
      <c r="W44" s="461">
        <v>46111</v>
      </c>
      <c r="X44" s="657">
        <f>SUM(Q44:Q51)</f>
        <v>33951.839999999997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58"/>
      <c r="J45" s="661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670"/>
      <c r="W45" s="631">
        <v>46079</v>
      </c>
      <c r="X45" s="658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58"/>
      <c r="J46" s="661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670"/>
      <c r="W46" s="631">
        <v>46053</v>
      </c>
      <c r="X46" s="658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58"/>
      <c r="J47" s="661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670"/>
      <c r="W47" s="454">
        <f>T47+30</f>
        <v>46111</v>
      </c>
      <c r="X47" s="658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58"/>
      <c r="J48" s="661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70"/>
      <c r="W48" s="454"/>
      <c r="X48" s="65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58"/>
      <c r="J49" s="661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70"/>
      <c r="W49" s="455"/>
      <c r="X49" s="658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58"/>
      <c r="J50" s="661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70"/>
      <c r="W50" s="455"/>
      <c r="X50" s="658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59"/>
      <c r="J51" s="662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71"/>
      <c r="W51" s="456"/>
      <c r="X51" s="659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686">
        <f>SUM(G53:G69)</f>
        <v>249598.81739130436</v>
      </c>
      <c r="J53" s="689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01">
        <f>J53-SUM(U53:U69)</f>
        <v>-2802.5686156457523</v>
      </c>
      <c r="W53" s="458"/>
      <c r="X53" s="686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7"/>
      <c r="J54" s="690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02"/>
      <c r="W54" s="655">
        <v>46079</v>
      </c>
      <c r="X54" s="68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7"/>
      <c r="J55" s="690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02"/>
      <c r="W55" s="459"/>
      <c r="X55" s="68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7"/>
      <c r="J56" s="690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02"/>
      <c r="W56" s="459"/>
      <c r="X56" s="68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7"/>
      <c r="J57" s="690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02"/>
      <c r="W57" s="459"/>
      <c r="X57" s="687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87"/>
      <c r="J58" s="690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02"/>
      <c r="W58" s="459"/>
      <c r="X58" s="687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87"/>
      <c r="J59" s="690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683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02"/>
      <c r="W59" s="638">
        <f>W94</f>
        <v>46051</v>
      </c>
      <c r="X59" s="68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7"/>
      <c r="J60" s="690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684"/>
      <c r="S60" s="506" t="str">
        <f>S95</f>
        <v>Leading Edge Power INV-0183</v>
      </c>
      <c r="T60" s="560">
        <v>46053</v>
      </c>
      <c r="U60" s="643">
        <v>28696.279307022203</v>
      </c>
      <c r="V60" s="702"/>
      <c r="W60" s="638">
        <f t="shared" ref="W60:W66" si="11">W95</f>
        <v>46058</v>
      </c>
      <c r="X60" s="68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7"/>
      <c r="J61" s="690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684"/>
      <c r="S61" s="506" t="s">
        <v>322</v>
      </c>
      <c r="T61" s="560">
        <f>T96</f>
        <v>46081</v>
      </c>
      <c r="U61" s="401">
        <f t="shared" si="8"/>
        <v>20471.24624939953</v>
      </c>
      <c r="V61" s="702"/>
      <c r="W61" s="459">
        <f t="shared" si="11"/>
        <v>46099</v>
      </c>
      <c r="X61" s="68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7"/>
      <c r="J62" s="690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684"/>
      <c r="S62" s="506" t="s">
        <v>325</v>
      </c>
      <c r="T62" s="560">
        <f>T97</f>
        <v>46081</v>
      </c>
      <c r="U62" s="401">
        <f t="shared" si="8"/>
        <v>20471.24624939953</v>
      </c>
      <c r="V62" s="702"/>
      <c r="W62" s="459">
        <f t="shared" si="11"/>
        <v>46099</v>
      </c>
      <c r="X62" s="687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87"/>
      <c r="J63" s="690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684"/>
      <c r="S63" s="506"/>
      <c r="T63" s="419">
        <f t="shared" si="0"/>
        <v>46112</v>
      </c>
      <c r="U63" s="401">
        <f t="shared" si="8"/>
        <v>13647.497499599689</v>
      </c>
      <c r="V63" s="702"/>
      <c r="W63" s="459">
        <f t="shared" si="11"/>
        <v>46111</v>
      </c>
      <c r="X63" s="68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7"/>
      <c r="J64" s="690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684"/>
      <c r="S64" s="510"/>
      <c r="T64" s="419">
        <f t="shared" si="0"/>
        <v>46112</v>
      </c>
      <c r="U64" s="406">
        <f t="shared" si="8"/>
        <v>13647.497499599689</v>
      </c>
      <c r="V64" s="702"/>
      <c r="W64" s="459">
        <f t="shared" si="11"/>
        <v>46107</v>
      </c>
      <c r="X64" s="68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7"/>
      <c r="J65" s="690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684"/>
      <c r="S65" s="510"/>
      <c r="T65" s="419">
        <f t="shared" si="0"/>
        <v>46112</v>
      </c>
      <c r="U65" s="406">
        <f t="shared" si="8"/>
        <v>6823.7487497998445</v>
      </c>
      <c r="V65" s="702"/>
      <c r="W65" s="459">
        <f t="shared" si="11"/>
        <v>46107</v>
      </c>
      <c r="X65" s="68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7"/>
      <c r="J66" s="690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685"/>
      <c r="S66" s="510"/>
      <c r="T66" s="419">
        <v>46112</v>
      </c>
      <c r="U66" s="406">
        <f t="shared" si="8"/>
        <v>6823.7487497998445</v>
      </c>
      <c r="V66" s="702"/>
      <c r="W66" s="459">
        <f t="shared" si="11"/>
        <v>46130</v>
      </c>
      <c r="X66" s="68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7"/>
      <c r="J67" s="690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02"/>
      <c r="W67" s="462"/>
      <c r="X67" s="68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87"/>
      <c r="J68" s="690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02"/>
      <c r="W68" s="462"/>
      <c r="X68" s="687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88"/>
      <c r="J69" s="691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3"/>
      <c r="W69" s="460"/>
      <c r="X69" s="688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346</v>
      </c>
      <c r="D71" s="282"/>
      <c r="E71" s="360"/>
      <c r="F71" s="366"/>
      <c r="G71" s="283"/>
      <c r="H71" s="558"/>
      <c r="I71" s="657">
        <f>SUM(G71:G78)</f>
        <v>0</v>
      </c>
      <c r="J71" s="660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698">
        <f>J71-SUM(U71:U78)</f>
        <v>0</v>
      </c>
      <c r="W71" s="464"/>
      <c r="X71" s="657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58"/>
      <c r="J72" s="661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699"/>
      <c r="W72" s="455"/>
      <c r="X72" s="65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58"/>
      <c r="J73" s="661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699"/>
      <c r="W73" s="455"/>
      <c r="X73" s="65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58"/>
      <c r="J74" s="661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699"/>
      <c r="W74" s="455"/>
      <c r="X74" s="65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58"/>
      <c r="J75" s="661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99"/>
      <c r="W75" s="455"/>
      <c r="X75" s="65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58"/>
      <c r="J76" s="661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699"/>
      <c r="W76" s="455"/>
      <c r="X76" s="658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58"/>
      <c r="J77" s="661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699"/>
      <c r="W77" s="455"/>
      <c r="X77" s="658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59"/>
      <c r="J78" s="662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00"/>
      <c r="W78" s="456"/>
      <c r="X78" s="659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686">
        <f>SUM(G80:G91)</f>
        <v>187500</v>
      </c>
      <c r="J80" s="689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695">
        <f>J80-SUM(U80:U91)</f>
        <v>37840.621802649519</v>
      </c>
      <c r="W80" s="458"/>
      <c r="X80" s="686">
        <f>SUM(Q80:Q91)</f>
        <v>86418.9</v>
      </c>
    </row>
    <row r="81" spans="1:24" ht="14.25" customHeight="1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687"/>
      <c r="J81" s="690"/>
      <c r="K81" s="205"/>
      <c r="L81" s="226">
        <v>8</v>
      </c>
      <c r="M81" s="332" t="s">
        <v>350</v>
      </c>
      <c r="N81" s="239" t="s">
        <v>454</v>
      </c>
      <c r="O81" s="314"/>
      <c r="P81" s="359"/>
      <c r="Q81" s="228">
        <v>18988</v>
      </c>
      <c r="R81" s="475" t="s">
        <v>455</v>
      </c>
      <c r="S81" s="506"/>
      <c r="T81" s="416">
        <v>46112</v>
      </c>
      <c r="U81" s="401">
        <f>(Q81/$X$80*$J$80)-53636.04</f>
        <v>-2139.0584369391363</v>
      </c>
      <c r="V81" s="696"/>
      <c r="W81" s="459">
        <f>T81</f>
        <v>46112</v>
      </c>
      <c r="X81" s="68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87"/>
      <c r="J82" s="690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696"/>
      <c r="W82" s="459"/>
      <c r="X82" s="68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7"/>
      <c r="J83" s="690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696"/>
      <c r="W83" s="459"/>
      <c r="X83" s="68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7"/>
      <c r="J84" s="690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696"/>
      <c r="W84" s="638">
        <v>46051</v>
      </c>
      <c r="X84" s="687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687"/>
      <c r="J85" s="690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/>
      <c r="V85" s="696"/>
      <c r="W85" s="638">
        <v>46081</v>
      </c>
      <c r="X85" s="68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87"/>
      <c r="J86" s="690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696"/>
      <c r="W86" s="638">
        <v>46066</v>
      </c>
      <c r="X86" s="68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87"/>
      <c r="J87" s="690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91439.009218469568</v>
      </c>
      <c r="V87" s="696"/>
      <c r="W87" s="459">
        <v>46112</v>
      </c>
      <c r="X87" s="687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687"/>
      <c r="J88" s="690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696"/>
      <c r="W88" s="462"/>
      <c r="X88" s="687"/>
    </row>
    <row r="89" spans="1:24" ht="14.25" customHeight="1">
      <c r="B89" s="226"/>
      <c r="C89" s="227"/>
      <c r="D89" s="239"/>
      <c r="E89" s="314"/>
      <c r="F89" s="359"/>
      <c r="G89" s="228"/>
      <c r="H89" s="560"/>
      <c r="I89" s="687"/>
      <c r="J89" s="690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696"/>
      <c r="W89" s="462"/>
      <c r="X89" s="68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687"/>
      <c r="J90" s="690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696"/>
      <c r="W90" s="462"/>
      <c r="X90" s="687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688"/>
      <c r="J91" s="691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697"/>
      <c r="W91" s="460"/>
      <c r="X91" s="688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692">
        <f>SUM(G93:G104)</f>
        <v>147225</v>
      </c>
      <c r="J93" s="660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669">
        <f>J93-SUM(U93:U104)</f>
        <v>0</v>
      </c>
      <c r="W93" s="461"/>
      <c r="X93" s="657">
        <f>SUM(Q93:Q104)</f>
        <v>194250.00999999998</v>
      </c>
    </row>
    <row r="94" spans="1:24" ht="15" customHeight="1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693"/>
      <c r="J94" s="661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678"/>
      <c r="S94" s="501" t="s">
        <v>363</v>
      </c>
      <c r="T94" s="551">
        <v>46053</v>
      </c>
      <c r="U94" s="626">
        <v>32716.666666666672</v>
      </c>
      <c r="V94" s="670"/>
      <c r="W94" s="640">
        <v>46051</v>
      </c>
      <c r="X94" s="65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93"/>
      <c r="J95" s="661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679"/>
      <c r="S95" s="501" t="s">
        <v>364</v>
      </c>
      <c r="T95" s="551">
        <v>46053</v>
      </c>
      <c r="U95" s="626">
        <v>32716.666666666672</v>
      </c>
      <c r="V95" s="670"/>
      <c r="W95" s="641">
        <v>46058</v>
      </c>
      <c r="X95" s="65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93"/>
      <c r="J96" s="661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679"/>
      <c r="S96" s="502" t="s">
        <v>322</v>
      </c>
      <c r="T96" s="551">
        <v>46081</v>
      </c>
      <c r="U96" s="397">
        <f t="shared" si="14"/>
        <v>24537.500000000004</v>
      </c>
      <c r="V96" s="670"/>
      <c r="W96" s="455">
        <f>'Project Plan'!K21+7</f>
        <v>46099</v>
      </c>
      <c r="X96" s="65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3"/>
      <c r="J97" s="661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679"/>
      <c r="S97" s="502" t="s">
        <v>325</v>
      </c>
      <c r="T97" s="551">
        <v>46081</v>
      </c>
      <c r="U97" s="397">
        <f t="shared" si="14"/>
        <v>24537.500000000004</v>
      </c>
      <c r="V97" s="670"/>
      <c r="W97" s="455">
        <f>'Project Plan'!K28+14</f>
        <v>46099</v>
      </c>
      <c r="X97" s="65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3"/>
      <c r="J98" s="661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679"/>
      <c r="S98" s="502"/>
      <c r="T98" s="412">
        <f t="shared" si="12"/>
        <v>46112</v>
      </c>
      <c r="U98" s="397">
        <f t="shared" si="14"/>
        <v>16358.333333333336</v>
      </c>
      <c r="V98" s="670"/>
      <c r="W98" s="455">
        <f>'Project Plan'!K39+7</f>
        <v>46111</v>
      </c>
      <c r="X98" s="65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3"/>
      <c r="J99" s="661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679"/>
      <c r="S99" s="502"/>
      <c r="T99" s="412">
        <f t="shared" si="12"/>
        <v>46112</v>
      </c>
      <c r="U99" s="397">
        <f t="shared" si="14"/>
        <v>16358.333333333336</v>
      </c>
      <c r="V99" s="670"/>
      <c r="W99" s="455">
        <f>'Project Plan'!K46+7</f>
        <v>46107</v>
      </c>
      <c r="X99" s="65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3"/>
      <c r="J100" s="661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679"/>
      <c r="S100" s="502"/>
      <c r="T100" s="412">
        <f t="shared" si="12"/>
        <v>46112</v>
      </c>
      <c r="U100" s="397">
        <f t="shared" si="14"/>
        <v>8179.1666666666679</v>
      </c>
      <c r="V100" s="670"/>
      <c r="W100" s="455">
        <f>'Project Plan'!K46+7</f>
        <v>46107</v>
      </c>
      <c r="X100" s="65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93"/>
      <c r="J101" s="661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680"/>
      <c r="S101" s="502"/>
      <c r="T101" s="412">
        <f t="shared" si="12"/>
        <v>46142</v>
      </c>
      <c r="U101" s="397">
        <f t="shared" si="14"/>
        <v>8179.1666666666679</v>
      </c>
      <c r="V101" s="670"/>
      <c r="W101" s="455">
        <f>'Project Plan'!K46+30</f>
        <v>46130</v>
      </c>
      <c r="X101" s="65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93"/>
      <c r="J102" s="661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70"/>
      <c r="W102" s="455"/>
      <c r="X102" s="658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93"/>
      <c r="J103" s="661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670"/>
      <c r="W103" s="455"/>
      <c r="X103" s="658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694"/>
      <c r="J104" s="662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671"/>
      <c r="W104" s="456"/>
      <c r="X104" s="659"/>
    </row>
    <row r="105" spans="1:24" ht="14.4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663">
        <f>SUM(G106:G120)</f>
        <v>34366.266666666663</v>
      </c>
      <c r="J106" s="666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672">
        <f>J106-SUM(U106:U120)</f>
        <v>0</v>
      </c>
      <c r="W106" s="465"/>
      <c r="X106" s="663">
        <f>SUM(Q106:Q120)</f>
        <v>44166.2</v>
      </c>
    </row>
    <row r="107" spans="1:24" ht="14.25" customHeight="1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664"/>
      <c r="J107" s="667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673"/>
      <c r="W107" s="466"/>
      <c r="X107" s="664"/>
    </row>
    <row r="108" spans="1:24" ht="14.25" customHeight="1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664"/>
      <c r="J108" s="667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673"/>
      <c r="W108" s="466"/>
      <c r="X108" s="664"/>
    </row>
    <row r="109" spans="1:24" ht="14.25" customHeight="1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664"/>
      <c r="J109" s="667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673"/>
      <c r="W109" s="466"/>
      <c r="X109" s="66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4"/>
      <c r="J110" s="667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675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673"/>
      <c r="W110" s="639">
        <f>W94</f>
        <v>46051</v>
      </c>
      <c r="X110" s="66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4"/>
      <c r="J111" s="667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676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673"/>
      <c r="W111" s="639">
        <f t="shared" ref="W111:W117" si="20">W95</f>
        <v>46058</v>
      </c>
      <c r="X111" s="66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4"/>
      <c r="J112" s="667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676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673"/>
      <c r="W112" s="467">
        <f t="shared" si="20"/>
        <v>46099</v>
      </c>
      <c r="X112" s="66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4"/>
      <c r="J113" s="667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676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673"/>
      <c r="W113" s="467">
        <f t="shared" si="20"/>
        <v>46099</v>
      </c>
      <c r="X113" s="66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4"/>
      <c r="J114" s="667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676"/>
      <c r="S114" s="515"/>
      <c r="T114" s="425">
        <f t="shared" si="19"/>
        <v>46112</v>
      </c>
      <c r="U114" s="409">
        <f t="shared" si="16"/>
        <v>3818.4740740740745</v>
      </c>
      <c r="V114" s="673"/>
      <c r="W114" s="467">
        <f t="shared" si="20"/>
        <v>46111</v>
      </c>
      <c r="X114" s="66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4"/>
      <c r="J115" s="667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676"/>
      <c r="S115" s="515"/>
      <c r="T115" s="425">
        <f t="shared" si="19"/>
        <v>46112</v>
      </c>
      <c r="U115" s="409">
        <f t="shared" si="16"/>
        <v>3818.4740740740745</v>
      </c>
      <c r="V115" s="673"/>
      <c r="W115" s="467">
        <f t="shared" si="20"/>
        <v>46107</v>
      </c>
      <c r="X115" s="664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64"/>
      <c r="J116" s="667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676"/>
      <c r="S116" s="515"/>
      <c r="T116" s="425">
        <f t="shared" si="19"/>
        <v>46112</v>
      </c>
      <c r="U116" s="409">
        <f t="shared" si="16"/>
        <v>1909.2370370370372</v>
      </c>
      <c r="V116" s="673"/>
      <c r="W116" s="467">
        <f t="shared" si="20"/>
        <v>46107</v>
      </c>
      <c r="X116" s="664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64"/>
      <c r="J117" s="667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677"/>
      <c r="S117" s="515"/>
      <c r="T117" s="425">
        <f t="shared" si="19"/>
        <v>46142</v>
      </c>
      <c r="U117" s="409">
        <f t="shared" si="16"/>
        <v>1909.2370370370372</v>
      </c>
      <c r="V117" s="673"/>
      <c r="W117" s="467">
        <f t="shared" si="20"/>
        <v>46130</v>
      </c>
      <c r="X117" s="664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64"/>
      <c r="J118" s="667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673"/>
      <c r="W118" s="467"/>
      <c r="X118" s="664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64"/>
      <c r="J119" s="667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673"/>
      <c r="W119" s="467"/>
      <c r="X119" s="664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65"/>
      <c r="J120" s="668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674"/>
      <c r="W120" s="468"/>
      <c r="X120" s="665"/>
    </row>
    <row r="121" spans="1:24" ht="14.4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57">
        <f>SUM(G122:G126)</f>
        <v>89000</v>
      </c>
      <c r="J122" s="660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669">
        <f>J122-SUM(U122:U126)</f>
        <v>-1.8580082105472684E-3</v>
      </c>
      <c r="W122" s="461">
        <f>'Project Plan'!K39+14</f>
        <v>46118</v>
      </c>
      <c r="X122" s="657">
        <f>SUM(Q122:Q126)</f>
        <v>75572.5</v>
      </c>
    </row>
    <row r="123" spans="1:24" ht="15" customHeight="1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58"/>
      <c r="J123" s="661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670"/>
      <c r="W123" s="631">
        <v>45974</v>
      </c>
      <c r="X123" s="658"/>
    </row>
    <row r="124" spans="1:24" ht="15" customHeight="1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58"/>
      <c r="J124" s="661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670"/>
      <c r="W124" s="454">
        <f>T124+30</f>
        <v>46111</v>
      </c>
      <c r="X124" s="658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58"/>
      <c r="J125" s="661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670"/>
      <c r="W125" s="454">
        <f>T125</f>
        <v>46112</v>
      </c>
      <c r="X125" s="658"/>
    </row>
    <row r="126" spans="1:24" ht="15" customHeight="1" thickBot="1">
      <c r="B126" s="220">
        <v>11</v>
      </c>
      <c r="C126" s="221"/>
      <c r="D126" s="221"/>
      <c r="E126" s="222"/>
      <c r="F126" s="358"/>
      <c r="G126" s="234"/>
      <c r="H126" s="552"/>
      <c r="I126" s="659"/>
      <c r="J126" s="662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671"/>
      <c r="W126" s="456"/>
      <c r="X126" s="659"/>
    </row>
    <row r="127" spans="1:24" ht="15" customHeight="1" thickBot="1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663">
        <f>SUM(G128:G129)</f>
        <v>0</v>
      </c>
      <c r="J128" s="666">
        <v>0</v>
      </c>
      <c r="K128" s="681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663">
        <f>SUM(Q128:Q129)</f>
        <v>0</v>
      </c>
    </row>
    <row r="129" spans="1:24" ht="15" customHeight="1" thickBot="1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665"/>
      <c r="J129" s="668"/>
      <c r="K129" s="682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665"/>
    </row>
    <row r="130" spans="1:24" ht="14.4" thickBot="1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57">
        <f>SUM(G131:G135)</f>
        <v>16449.739175724637</v>
      </c>
      <c r="J131" s="660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669">
        <f>J131-SUM(U131:U136)</f>
        <v>0</v>
      </c>
      <c r="W131" s="461">
        <f>'Project Plan'!K39</f>
        <v>46104</v>
      </c>
      <c r="X131" s="657">
        <f>SUM(Q131:Q136)</f>
        <v>23286.964387293548</v>
      </c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58"/>
      <c r="J132" s="661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70"/>
      <c r="W132" s="454"/>
      <c r="X132" s="658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58"/>
      <c r="J133" s="661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70"/>
      <c r="W133" s="454"/>
      <c r="X133" s="658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58"/>
      <c r="J134" s="661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70"/>
      <c r="W134" s="454"/>
      <c r="X134" s="658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58"/>
      <c r="J135" s="661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670"/>
      <c r="W135" s="454"/>
      <c r="X135" s="658"/>
    </row>
    <row r="136" spans="1:24" ht="15.75" customHeight="1" thickBot="1">
      <c r="B136" s="220">
        <v>13</v>
      </c>
      <c r="C136" s="221"/>
      <c r="D136" s="221"/>
      <c r="E136" s="222"/>
      <c r="F136" s="358"/>
      <c r="G136" s="234"/>
      <c r="H136" s="552"/>
      <c r="I136" s="659"/>
      <c r="J136" s="662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671"/>
      <c r="W136" s="456"/>
      <c r="X136" s="659"/>
    </row>
    <row r="137" spans="1:24" ht="14.4" thickBot="1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663">
        <f>SUM(G138:G149)</f>
        <v>630</v>
      </c>
      <c r="J138" s="666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672">
        <f>J138-SUM(U138:U149)</f>
        <v>0</v>
      </c>
      <c r="W138" s="633">
        <f>T138+7</f>
        <v>46029</v>
      </c>
      <c r="X138" s="663">
        <f>SUM(Q138:Q149)</f>
        <v>734.3</v>
      </c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4"/>
      <c r="J139" s="667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673"/>
      <c r="W139" s="633">
        <v>46058</v>
      </c>
      <c r="X139" s="66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4"/>
      <c r="J140" s="667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673"/>
      <c r="W140" s="467">
        <f t="shared" ref="W140:W142" si="23">T140+7</f>
        <v>46088</v>
      </c>
      <c r="X140" s="66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4"/>
      <c r="J141" s="667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673"/>
      <c r="W141" s="467">
        <f t="shared" si="23"/>
        <v>46119</v>
      </c>
      <c r="X141" s="66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4"/>
      <c r="J142" s="667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673"/>
      <c r="W142" s="467">
        <f t="shared" si="23"/>
        <v>46149</v>
      </c>
      <c r="X142" s="66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4"/>
      <c r="J143" s="667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673"/>
      <c r="W143" s="467"/>
      <c r="X143" s="66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4"/>
      <c r="J144" s="667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73"/>
      <c r="W144" s="467"/>
      <c r="X144" s="664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64"/>
      <c r="J145" s="667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673"/>
      <c r="W145" s="467"/>
      <c r="X145" s="664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64"/>
      <c r="J146" s="667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673"/>
      <c r="W146" s="467"/>
      <c r="X146" s="664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64"/>
      <c r="J147" s="667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673"/>
      <c r="W147" s="467"/>
      <c r="X147" s="664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64"/>
      <c r="J148" s="667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673"/>
      <c r="W148" s="467"/>
      <c r="X148" s="664"/>
    </row>
    <row r="149" spans="1:24" ht="15" customHeight="1" thickBot="1">
      <c r="B149" s="177">
        <v>14</v>
      </c>
      <c r="C149" s="248"/>
      <c r="D149" s="248"/>
      <c r="E149" s="249"/>
      <c r="F149" s="370"/>
      <c r="G149" s="178"/>
      <c r="H149" s="564"/>
      <c r="I149" s="665"/>
      <c r="J149" s="668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674"/>
      <c r="W149" s="468"/>
      <c r="X149" s="665"/>
    </row>
    <row r="150" spans="1:24" ht="14.4" thickBot="1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57">
        <f>SUM(G151:G162)</f>
        <v>0</v>
      </c>
      <c r="J151" s="660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669">
        <v>0</v>
      </c>
      <c r="W151" s="461"/>
      <c r="X151" s="657">
        <f>SUM(Q151:Q162)</f>
        <v>0</v>
      </c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58"/>
      <c r="J152" s="661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0"/>
      <c r="W152" s="454"/>
      <c r="X152" s="658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58"/>
      <c r="J153" s="661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0"/>
      <c r="W153" s="454"/>
      <c r="X153" s="658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58"/>
      <c r="J154" s="661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0"/>
      <c r="W154" s="454"/>
      <c r="X154" s="658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58"/>
      <c r="J155" s="661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0"/>
      <c r="W155" s="454"/>
      <c r="X155" s="658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58"/>
      <c r="J156" s="661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0"/>
      <c r="W156" s="454"/>
      <c r="X156" s="658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58"/>
      <c r="J157" s="661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0"/>
      <c r="W157" s="454"/>
      <c r="X157" s="658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58"/>
      <c r="J158" s="661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70"/>
      <c r="W158" s="454"/>
      <c r="X158" s="658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58"/>
      <c r="J159" s="661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70"/>
      <c r="W159" s="454"/>
      <c r="X159" s="658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58"/>
      <c r="J160" s="661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70"/>
      <c r="W160" s="454"/>
      <c r="X160" s="658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58"/>
      <c r="J161" s="661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70"/>
      <c r="W161" s="454"/>
      <c r="X161" s="658"/>
    </row>
    <row r="162" spans="2:24" ht="15" customHeight="1" thickBot="1">
      <c r="B162" s="220">
        <v>15</v>
      </c>
      <c r="C162" s="221"/>
      <c r="D162" s="221"/>
      <c r="E162" s="222"/>
      <c r="F162" s="358"/>
      <c r="G162" s="234"/>
      <c r="H162" s="552"/>
      <c r="I162" s="659"/>
      <c r="J162" s="662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671"/>
      <c r="W162" s="456"/>
      <c r="X162" s="659"/>
    </row>
    <row r="163" spans="2:24" s="1" customFormat="1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5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>
      <c r="A6" s="745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5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4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5"/>
      <c r="B11" s="123" t="s">
        <v>421</v>
      </c>
      <c r="C11" s="124">
        <f>'Revenue Tracking'!F5</f>
        <v>1303783.7243872934</v>
      </c>
      <c r="D11" s="124">
        <f>SUM(F11:KF11)</f>
        <v>1303783.7243872937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179671.17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0</v>
      </c>
      <c r="X11" s="125">
        <f>SUMIFS('Expenditure Breakdown'!$Q$6:$Q$170, 'Expenditure Breakdown'!$W$6:$W$170, "&gt;="&amp;X1,'Expenditure Breakdown'!$W$6:$W$170, "&lt;"&amp;Y1)</f>
        <v>122042.15099999998</v>
      </c>
      <c r="Y11" s="125">
        <f>SUMIFS('Expenditure Breakdown'!$Q$6:$Q$170, 'Expenditure Breakdown'!$W$6:$W$170, "&gt;="&amp;Y1,'Expenditure Breakdown'!$W$6:$W$170, "&lt;"&amp;Z1)</f>
        <v>508708.03988729359</v>
      </c>
      <c r="Z11" s="125">
        <f>SUMIFS('Expenditure Breakdown'!$Q$6:$Q$170, 'Expenditure Breakdown'!$W$6:$W$170, "&gt;="&amp;Z1,'Expenditure Breakdown'!$W$6:$W$170, "&lt;"&amp;AA1)</f>
        <v>169151.50699999998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>
      <c r="A12" s="745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420448.56800000009</v>
      </c>
      <c r="V12" s="125">
        <f t="shared" si="26"/>
        <v>472226.66800000006</v>
      </c>
      <c r="W12" s="125">
        <f t="shared" si="26"/>
        <v>472226.66800000006</v>
      </c>
      <c r="X12" s="125">
        <f t="shared" si="26"/>
        <v>594268.81900000002</v>
      </c>
      <c r="Y12" s="125">
        <f t="shared" si="26"/>
        <v>1102976.8588872936</v>
      </c>
      <c r="Z12" s="125">
        <f t="shared" si="26"/>
        <v>1272128.3658872936</v>
      </c>
      <c r="AA12" s="125">
        <f t="shared" si="26"/>
        <v>1283285.8658872936</v>
      </c>
      <c r="AB12" s="125">
        <f t="shared" si="26"/>
        <v>1303626.2243872937</v>
      </c>
      <c r="AC12" s="125">
        <f t="shared" si="26"/>
        <v>1303626.2243872937</v>
      </c>
      <c r="AD12" s="125">
        <f>AC12+AD11</f>
        <v>1303626.2243872937</v>
      </c>
      <c r="AE12" s="125">
        <f t="shared" si="26"/>
        <v>1303783.7243872937</v>
      </c>
      <c r="AF12" s="125">
        <f t="shared" si="26"/>
        <v>1303783.7243872937</v>
      </c>
      <c r="AG12" s="125">
        <f t="shared" si="26"/>
        <v>1303783.7243872937</v>
      </c>
      <c r="AH12" s="125">
        <f t="shared" si="26"/>
        <v>1303783.7243872937</v>
      </c>
      <c r="AI12" s="125">
        <f t="shared" si="26"/>
        <v>1303783.7243872937</v>
      </c>
      <c r="AJ12" s="125">
        <f t="shared" si="26"/>
        <v>1303783.7243872937</v>
      </c>
      <c r="AK12" s="125">
        <f t="shared" si="26"/>
        <v>1303783.7243872937</v>
      </c>
      <c r="AL12" s="125">
        <f t="shared" si="26"/>
        <v>1303783.7243872937</v>
      </c>
      <c r="AM12" s="125">
        <f t="shared" si="26"/>
        <v>1303783.7243872937</v>
      </c>
      <c r="AN12" s="125">
        <f t="shared" si="26"/>
        <v>1303783.7243872937</v>
      </c>
      <c r="AO12" s="125">
        <f t="shared" si="26"/>
        <v>1303783.7243872937</v>
      </c>
      <c r="AP12" s="125">
        <f t="shared" si="26"/>
        <v>1303783.7243872937</v>
      </c>
      <c r="AQ12" s="125">
        <f t="shared" si="26"/>
        <v>1303783.7243872937</v>
      </c>
      <c r="AR12" s="125">
        <f t="shared" si="26"/>
        <v>1303783.7243872937</v>
      </c>
      <c r="AS12" s="125">
        <f t="shared" si="26"/>
        <v>1303783.7243872937</v>
      </c>
      <c r="AT12" s="125">
        <f t="shared" si="26"/>
        <v>1303783.7243872937</v>
      </c>
      <c r="AU12" s="125">
        <f t="shared" si="26"/>
        <v>1303783.7243872937</v>
      </c>
      <c r="AV12" s="125">
        <f t="shared" si="26"/>
        <v>1303783.7243872937</v>
      </c>
      <c r="AW12" s="125">
        <f t="shared" si="26"/>
        <v>1303783.7243872937</v>
      </c>
      <c r="AX12" s="125">
        <f t="shared" si="26"/>
        <v>1303783.7243872937</v>
      </c>
      <c r="AY12" s="125">
        <f t="shared" si="26"/>
        <v>1303783.7243872937</v>
      </c>
      <c r="AZ12" s="125">
        <f t="shared" si="26"/>
        <v>1303783.7243872937</v>
      </c>
      <c r="BA12" s="125">
        <f t="shared" si="26"/>
        <v>1303783.7243872937</v>
      </c>
      <c r="BB12" s="125">
        <f t="shared" si="26"/>
        <v>1303783.7243872937</v>
      </c>
      <c r="BC12" s="125">
        <f t="shared" si="26"/>
        <v>1303783.7243872937</v>
      </c>
      <c r="BD12" s="125">
        <f t="shared" si="26"/>
        <v>1303783.7243872937</v>
      </c>
      <c r="BE12" s="125">
        <f t="shared" si="26"/>
        <v>1303783.7243872937</v>
      </c>
      <c r="BF12" s="125">
        <f t="shared" si="26"/>
        <v>1303783.7243872937</v>
      </c>
      <c r="BG12" s="125">
        <f t="shared" si="26"/>
        <v>1303783.7243872937</v>
      </c>
      <c r="BH12" s="125">
        <f t="shared" si="26"/>
        <v>1303783.7243872937</v>
      </c>
      <c r="BI12" s="125">
        <f t="shared" si="26"/>
        <v>1303783.7243872937</v>
      </c>
      <c r="BJ12" s="125">
        <f t="shared" si="26"/>
        <v>1303783.7243872937</v>
      </c>
      <c r="BK12" s="125">
        <f t="shared" si="26"/>
        <v>1303783.7243872937</v>
      </c>
      <c r="BL12" s="125">
        <f t="shared" si="26"/>
        <v>1303783.7243872937</v>
      </c>
      <c r="BM12" s="125">
        <f t="shared" si="26"/>
        <v>1303783.7243872937</v>
      </c>
      <c r="BN12" s="125">
        <f t="shared" si="26"/>
        <v>1303783.7243872937</v>
      </c>
      <c r="BO12" s="125">
        <f t="shared" si="26"/>
        <v>1303783.7243872937</v>
      </c>
      <c r="BP12" s="125">
        <f t="shared" si="26"/>
        <v>1303783.7243872937</v>
      </c>
      <c r="BQ12" s="125">
        <f t="shared" si="26"/>
        <v>1303783.7243872937</v>
      </c>
      <c r="BR12" s="125">
        <f t="shared" si="26"/>
        <v>1303783.7243872937</v>
      </c>
      <c r="BS12" s="125">
        <f t="shared" si="26"/>
        <v>1303783.7243872937</v>
      </c>
      <c r="BT12" s="125">
        <f t="shared" si="26"/>
        <v>1303783.7243872937</v>
      </c>
      <c r="BU12" s="125">
        <f t="shared" ref="BU12:EF12" si="27">BT12+BU11</f>
        <v>1303783.7243872937</v>
      </c>
      <c r="BV12" s="125">
        <f t="shared" si="27"/>
        <v>1303783.7243872937</v>
      </c>
      <c r="BW12" s="125">
        <f t="shared" si="27"/>
        <v>1303783.7243872937</v>
      </c>
      <c r="BX12" s="125">
        <f t="shared" si="27"/>
        <v>1303783.7243872937</v>
      </c>
      <c r="BY12" s="125">
        <f t="shared" si="27"/>
        <v>1303783.7243872937</v>
      </c>
      <c r="BZ12" s="125">
        <f t="shared" si="27"/>
        <v>1303783.7243872937</v>
      </c>
      <c r="CA12" s="125">
        <f t="shared" si="27"/>
        <v>1303783.7243872937</v>
      </c>
      <c r="CB12" s="125">
        <f t="shared" si="27"/>
        <v>1303783.7243872937</v>
      </c>
      <c r="CC12" s="125">
        <f t="shared" si="27"/>
        <v>1303783.7243872937</v>
      </c>
      <c r="CD12" s="125">
        <f t="shared" si="27"/>
        <v>1303783.7243872937</v>
      </c>
      <c r="CE12" s="125">
        <f t="shared" si="27"/>
        <v>1303783.7243872937</v>
      </c>
      <c r="CF12" s="125">
        <f t="shared" si="27"/>
        <v>1303783.7243872937</v>
      </c>
      <c r="CG12" s="125">
        <f t="shared" si="27"/>
        <v>1303783.7243872937</v>
      </c>
      <c r="CH12" s="125">
        <f t="shared" si="27"/>
        <v>1303783.7243872937</v>
      </c>
      <c r="CI12" s="125">
        <f t="shared" si="27"/>
        <v>1303783.7243872937</v>
      </c>
      <c r="CJ12" s="125">
        <f t="shared" si="27"/>
        <v>1303783.7243872937</v>
      </c>
      <c r="CK12" s="125">
        <f t="shared" si="27"/>
        <v>1303783.7243872937</v>
      </c>
      <c r="CL12" s="125">
        <f t="shared" si="27"/>
        <v>1303783.7243872937</v>
      </c>
      <c r="CM12" s="125">
        <f t="shared" si="27"/>
        <v>1303783.7243872937</v>
      </c>
      <c r="CN12" s="125">
        <f t="shared" si="27"/>
        <v>1303783.7243872937</v>
      </c>
      <c r="CO12" s="125">
        <f t="shared" si="27"/>
        <v>1303783.7243872937</v>
      </c>
      <c r="CP12" s="125">
        <f t="shared" si="27"/>
        <v>1303783.7243872937</v>
      </c>
      <c r="CQ12" s="125">
        <f t="shared" si="27"/>
        <v>1303783.7243872937</v>
      </c>
      <c r="CR12" s="125">
        <f t="shared" si="27"/>
        <v>1303783.7243872937</v>
      </c>
      <c r="CS12" s="125">
        <f t="shared" si="27"/>
        <v>1303783.7243872937</v>
      </c>
      <c r="CT12" s="125">
        <f t="shared" si="27"/>
        <v>1303783.7243872937</v>
      </c>
      <c r="CU12" s="125">
        <f t="shared" si="27"/>
        <v>1303783.7243872937</v>
      </c>
      <c r="CV12" s="125">
        <f t="shared" si="27"/>
        <v>1303783.7243872937</v>
      </c>
      <c r="CW12" s="125">
        <f t="shared" si="27"/>
        <v>1303783.7243872937</v>
      </c>
      <c r="CX12" s="125">
        <f t="shared" si="27"/>
        <v>1303783.7243872937</v>
      </c>
      <c r="CY12" s="125">
        <f t="shared" si="27"/>
        <v>1303783.7243872937</v>
      </c>
      <c r="CZ12" s="125">
        <f t="shared" si="27"/>
        <v>1303783.7243872937</v>
      </c>
      <c r="DA12" s="125">
        <f t="shared" si="27"/>
        <v>1303783.7243872937</v>
      </c>
      <c r="DB12" s="125">
        <f t="shared" si="27"/>
        <v>1303783.7243872937</v>
      </c>
      <c r="DC12" s="125">
        <f t="shared" si="27"/>
        <v>1303783.7243872937</v>
      </c>
      <c r="DD12" s="125">
        <f t="shared" si="27"/>
        <v>1303783.7243872937</v>
      </c>
      <c r="DE12" s="125">
        <f t="shared" si="27"/>
        <v>1303783.7243872937</v>
      </c>
      <c r="DF12" s="125">
        <f t="shared" si="27"/>
        <v>1303783.7243872937</v>
      </c>
      <c r="DG12" s="125">
        <f t="shared" si="27"/>
        <v>1303783.7243872937</v>
      </c>
      <c r="DH12" s="125">
        <f t="shared" si="27"/>
        <v>1303783.7243872937</v>
      </c>
      <c r="DI12" s="125">
        <f t="shared" si="27"/>
        <v>1303783.7243872937</v>
      </c>
      <c r="DJ12" s="125">
        <f t="shared" si="27"/>
        <v>1303783.7243872937</v>
      </c>
      <c r="DK12" s="125">
        <f t="shared" si="27"/>
        <v>1303783.7243872937</v>
      </c>
      <c r="DL12" s="125">
        <f t="shared" si="27"/>
        <v>1303783.7243872937</v>
      </c>
      <c r="DM12" s="125">
        <f t="shared" si="27"/>
        <v>1303783.7243872937</v>
      </c>
      <c r="DN12" s="125">
        <f t="shared" si="27"/>
        <v>1303783.7243872937</v>
      </c>
      <c r="DO12" s="125">
        <f t="shared" si="27"/>
        <v>1303783.7243872937</v>
      </c>
      <c r="DP12" s="125">
        <f t="shared" si="27"/>
        <v>1303783.7243872937</v>
      </c>
      <c r="DQ12" s="125">
        <f t="shared" si="27"/>
        <v>1303783.7243872937</v>
      </c>
      <c r="DR12" s="125">
        <f t="shared" si="27"/>
        <v>1303783.7243872937</v>
      </c>
      <c r="DS12" s="125">
        <f t="shared" si="27"/>
        <v>1303783.7243872937</v>
      </c>
      <c r="DT12" s="125">
        <f t="shared" si="27"/>
        <v>1303783.7243872937</v>
      </c>
      <c r="DU12" s="125">
        <f t="shared" si="27"/>
        <v>1303783.7243872937</v>
      </c>
      <c r="DV12" s="125">
        <f t="shared" si="27"/>
        <v>1303783.7243872937</v>
      </c>
      <c r="DW12" s="125">
        <f t="shared" si="27"/>
        <v>1303783.7243872937</v>
      </c>
      <c r="DX12" s="125">
        <f t="shared" si="27"/>
        <v>1303783.7243872937</v>
      </c>
      <c r="DY12" s="125">
        <f t="shared" si="27"/>
        <v>1303783.7243872937</v>
      </c>
      <c r="DZ12" s="125">
        <f t="shared" si="27"/>
        <v>1303783.7243872937</v>
      </c>
      <c r="EA12" s="125">
        <f t="shared" si="27"/>
        <v>1303783.7243872937</v>
      </c>
      <c r="EB12" s="125">
        <f t="shared" si="27"/>
        <v>1303783.7243872937</v>
      </c>
      <c r="EC12" s="125">
        <f t="shared" si="27"/>
        <v>1303783.7243872937</v>
      </c>
      <c r="ED12" s="125">
        <f t="shared" si="27"/>
        <v>1303783.7243872937</v>
      </c>
      <c r="EE12" s="125">
        <f t="shared" si="27"/>
        <v>1303783.7243872937</v>
      </c>
      <c r="EF12" s="125">
        <f t="shared" si="27"/>
        <v>1303783.7243872937</v>
      </c>
      <c r="EG12" s="125">
        <f t="shared" ref="EG12:GR12" si="28">EF12+EG11</f>
        <v>1303783.7243872937</v>
      </c>
      <c r="EH12" s="125">
        <f t="shared" si="28"/>
        <v>1303783.7243872937</v>
      </c>
      <c r="EI12" s="125">
        <f t="shared" si="28"/>
        <v>1303783.7243872937</v>
      </c>
      <c r="EJ12" s="125">
        <f t="shared" si="28"/>
        <v>1303783.7243872937</v>
      </c>
      <c r="EK12" s="125">
        <f t="shared" si="28"/>
        <v>1303783.7243872937</v>
      </c>
      <c r="EL12" s="125">
        <f t="shared" si="28"/>
        <v>1303783.7243872937</v>
      </c>
      <c r="EM12" s="125">
        <f t="shared" si="28"/>
        <v>1303783.7243872937</v>
      </c>
      <c r="EN12" s="125">
        <f t="shared" si="28"/>
        <v>1303783.7243872937</v>
      </c>
      <c r="EO12" s="125">
        <f t="shared" si="28"/>
        <v>1303783.7243872937</v>
      </c>
      <c r="EP12" s="125">
        <f t="shared" si="28"/>
        <v>1303783.7243872937</v>
      </c>
      <c r="EQ12" s="125">
        <f t="shared" si="28"/>
        <v>1303783.7243872937</v>
      </c>
      <c r="ER12" s="125">
        <f t="shared" si="28"/>
        <v>1303783.7243872937</v>
      </c>
      <c r="ES12" s="125">
        <f t="shared" si="28"/>
        <v>1303783.7243872937</v>
      </c>
      <c r="ET12" s="125">
        <f t="shared" si="28"/>
        <v>1303783.7243872937</v>
      </c>
      <c r="EU12" s="125">
        <f t="shared" si="28"/>
        <v>1303783.7243872937</v>
      </c>
      <c r="EV12" s="125">
        <f t="shared" si="28"/>
        <v>1303783.7243872937</v>
      </c>
      <c r="EW12" s="125">
        <f t="shared" si="28"/>
        <v>1303783.7243872937</v>
      </c>
      <c r="EX12" s="125">
        <f t="shared" si="28"/>
        <v>1303783.7243872937</v>
      </c>
      <c r="EY12" s="125">
        <f t="shared" si="28"/>
        <v>1303783.7243872937</v>
      </c>
      <c r="EZ12" s="125">
        <f t="shared" si="28"/>
        <v>1303783.7243872937</v>
      </c>
      <c r="FA12" s="125">
        <f t="shared" si="28"/>
        <v>1303783.7243872937</v>
      </c>
      <c r="FB12" s="125">
        <f t="shared" si="28"/>
        <v>1303783.7243872937</v>
      </c>
      <c r="FC12" s="125">
        <f t="shared" si="28"/>
        <v>1303783.7243872937</v>
      </c>
      <c r="FD12" s="125">
        <f t="shared" si="28"/>
        <v>1303783.7243872937</v>
      </c>
      <c r="FE12" s="125">
        <f t="shared" si="28"/>
        <v>1303783.7243872937</v>
      </c>
      <c r="FF12" s="125">
        <f t="shared" si="28"/>
        <v>1303783.7243872937</v>
      </c>
      <c r="FG12" s="125">
        <f t="shared" si="28"/>
        <v>1303783.7243872937</v>
      </c>
      <c r="FH12" s="125">
        <f t="shared" si="28"/>
        <v>1303783.7243872937</v>
      </c>
      <c r="FI12" s="125">
        <f t="shared" si="28"/>
        <v>1303783.7243872937</v>
      </c>
      <c r="FJ12" s="125">
        <f t="shared" si="28"/>
        <v>1303783.7243872937</v>
      </c>
      <c r="FK12" s="125">
        <f t="shared" si="28"/>
        <v>1303783.7243872937</v>
      </c>
      <c r="FL12" s="125">
        <f t="shared" si="28"/>
        <v>1303783.7243872937</v>
      </c>
      <c r="FM12" s="125">
        <f t="shared" si="28"/>
        <v>1303783.7243872937</v>
      </c>
      <c r="FN12" s="125">
        <f t="shared" si="28"/>
        <v>1303783.7243872937</v>
      </c>
      <c r="FO12" s="125">
        <f t="shared" si="28"/>
        <v>1303783.7243872937</v>
      </c>
      <c r="FP12" s="125">
        <f t="shared" si="28"/>
        <v>1303783.7243872937</v>
      </c>
      <c r="FQ12" s="125">
        <f t="shared" si="28"/>
        <v>1303783.7243872937</v>
      </c>
      <c r="FR12" s="125">
        <f t="shared" si="28"/>
        <v>1303783.7243872937</v>
      </c>
      <c r="FS12" s="125">
        <f t="shared" si="28"/>
        <v>1303783.7243872937</v>
      </c>
      <c r="FT12" s="125">
        <f t="shared" si="28"/>
        <v>1303783.7243872937</v>
      </c>
      <c r="FU12" s="125">
        <f t="shared" si="28"/>
        <v>1303783.7243872937</v>
      </c>
      <c r="FV12" s="125">
        <f t="shared" si="28"/>
        <v>1303783.7243872937</v>
      </c>
      <c r="FW12" s="125">
        <f t="shared" si="28"/>
        <v>1303783.7243872937</v>
      </c>
      <c r="FX12" s="125">
        <f t="shared" si="28"/>
        <v>1303783.7243872937</v>
      </c>
      <c r="FY12" s="125">
        <f t="shared" si="28"/>
        <v>1303783.7243872937</v>
      </c>
      <c r="FZ12" s="125">
        <f t="shared" si="28"/>
        <v>1303783.7243872937</v>
      </c>
      <c r="GA12" s="125">
        <f t="shared" si="28"/>
        <v>1303783.7243872937</v>
      </c>
      <c r="GB12" s="125">
        <f t="shared" si="28"/>
        <v>1303783.7243872937</v>
      </c>
      <c r="GC12" s="125">
        <f t="shared" si="28"/>
        <v>1303783.7243872937</v>
      </c>
      <c r="GD12" s="125">
        <f t="shared" si="28"/>
        <v>1303783.7243872937</v>
      </c>
      <c r="GE12" s="125">
        <f t="shared" si="28"/>
        <v>1303783.7243872937</v>
      </c>
      <c r="GF12" s="125">
        <f t="shared" si="28"/>
        <v>1303783.7243872937</v>
      </c>
      <c r="GG12" s="125">
        <f t="shared" si="28"/>
        <v>1303783.7243872937</v>
      </c>
      <c r="GH12" s="125">
        <f t="shared" si="28"/>
        <v>1303783.7243872937</v>
      </c>
      <c r="GI12" s="125">
        <f t="shared" si="28"/>
        <v>1303783.7243872937</v>
      </c>
      <c r="GJ12" s="125">
        <f t="shared" si="28"/>
        <v>1303783.7243872937</v>
      </c>
      <c r="GK12" s="125">
        <f t="shared" si="28"/>
        <v>1303783.7243872937</v>
      </c>
      <c r="GL12" s="125">
        <f t="shared" si="28"/>
        <v>1303783.7243872937</v>
      </c>
      <c r="GM12" s="125">
        <f t="shared" si="28"/>
        <v>1303783.7243872937</v>
      </c>
      <c r="GN12" s="125">
        <f t="shared" si="28"/>
        <v>1303783.7243872937</v>
      </c>
      <c r="GO12" s="125">
        <f t="shared" si="28"/>
        <v>1303783.7243872937</v>
      </c>
      <c r="GP12" s="125">
        <f t="shared" si="28"/>
        <v>1303783.7243872937</v>
      </c>
      <c r="GQ12" s="125">
        <f t="shared" si="28"/>
        <v>1303783.7243872937</v>
      </c>
      <c r="GR12" s="125">
        <f t="shared" si="28"/>
        <v>1303783.7243872937</v>
      </c>
      <c r="GS12" s="125">
        <f t="shared" ref="GS12:JD12" si="29">GR12+GS11</f>
        <v>1303783.7243872937</v>
      </c>
      <c r="GT12" s="125">
        <f t="shared" si="29"/>
        <v>1303783.7243872937</v>
      </c>
      <c r="GU12" s="125">
        <f t="shared" si="29"/>
        <v>1303783.7243872937</v>
      </c>
      <c r="GV12" s="125">
        <f t="shared" si="29"/>
        <v>1303783.7243872937</v>
      </c>
      <c r="GW12" s="125">
        <f t="shared" si="29"/>
        <v>1303783.7243872937</v>
      </c>
      <c r="GX12" s="125">
        <f t="shared" si="29"/>
        <v>1303783.7243872937</v>
      </c>
      <c r="GY12" s="125">
        <f t="shared" si="29"/>
        <v>1303783.7243872937</v>
      </c>
      <c r="GZ12" s="125">
        <f t="shared" si="29"/>
        <v>1303783.7243872937</v>
      </c>
      <c r="HA12" s="125">
        <f t="shared" si="29"/>
        <v>1303783.7243872937</v>
      </c>
      <c r="HB12" s="125">
        <f t="shared" si="29"/>
        <v>1303783.7243872937</v>
      </c>
      <c r="HC12" s="125">
        <f t="shared" si="29"/>
        <v>1303783.7243872937</v>
      </c>
      <c r="HD12" s="125">
        <f t="shared" si="29"/>
        <v>1303783.7243872937</v>
      </c>
      <c r="HE12" s="125">
        <f t="shared" si="29"/>
        <v>1303783.7243872937</v>
      </c>
      <c r="HF12" s="125">
        <f t="shared" si="29"/>
        <v>1303783.7243872937</v>
      </c>
      <c r="HG12" s="125">
        <f t="shared" si="29"/>
        <v>1303783.7243872937</v>
      </c>
      <c r="HH12" s="125">
        <f t="shared" si="29"/>
        <v>1303783.7243872937</v>
      </c>
      <c r="HI12" s="125">
        <f t="shared" si="29"/>
        <v>1303783.7243872937</v>
      </c>
      <c r="HJ12" s="125">
        <f t="shared" si="29"/>
        <v>1303783.7243872937</v>
      </c>
      <c r="HK12" s="125">
        <f t="shared" si="29"/>
        <v>1303783.7243872937</v>
      </c>
      <c r="HL12" s="125">
        <f t="shared" si="29"/>
        <v>1303783.7243872937</v>
      </c>
      <c r="HM12" s="125">
        <f t="shared" si="29"/>
        <v>1303783.7243872937</v>
      </c>
      <c r="HN12" s="125">
        <f t="shared" si="29"/>
        <v>1303783.7243872937</v>
      </c>
      <c r="HO12" s="125">
        <f t="shared" si="29"/>
        <v>1303783.7243872937</v>
      </c>
      <c r="HP12" s="125">
        <f t="shared" si="29"/>
        <v>1303783.7243872937</v>
      </c>
      <c r="HQ12" s="125">
        <f t="shared" si="29"/>
        <v>1303783.7243872937</v>
      </c>
      <c r="HR12" s="125">
        <f t="shared" si="29"/>
        <v>1303783.7243872937</v>
      </c>
      <c r="HS12" s="125">
        <f t="shared" si="29"/>
        <v>1303783.7243872937</v>
      </c>
      <c r="HT12" s="125">
        <f t="shared" si="29"/>
        <v>1303783.7243872937</v>
      </c>
      <c r="HU12" s="125">
        <f t="shared" si="29"/>
        <v>1303783.7243872937</v>
      </c>
      <c r="HV12" s="125">
        <f t="shared" si="29"/>
        <v>1303783.7243872937</v>
      </c>
      <c r="HW12" s="125">
        <f t="shared" si="29"/>
        <v>1303783.7243872937</v>
      </c>
      <c r="HX12" s="125">
        <f t="shared" si="29"/>
        <v>1303783.7243872937</v>
      </c>
      <c r="HY12" s="125">
        <f t="shared" si="29"/>
        <v>1303783.7243872937</v>
      </c>
      <c r="HZ12" s="125">
        <f t="shared" si="29"/>
        <v>1303783.7243872937</v>
      </c>
      <c r="IA12" s="125">
        <f t="shared" si="29"/>
        <v>1303783.7243872937</v>
      </c>
      <c r="IB12" s="125">
        <f t="shared" si="29"/>
        <v>1303783.7243872937</v>
      </c>
      <c r="IC12" s="125">
        <f t="shared" si="29"/>
        <v>1303783.7243872937</v>
      </c>
      <c r="ID12" s="125">
        <f t="shared" si="29"/>
        <v>1303783.7243872937</v>
      </c>
      <c r="IE12" s="125">
        <f t="shared" si="29"/>
        <v>1303783.7243872937</v>
      </c>
      <c r="IF12" s="125">
        <f t="shared" si="29"/>
        <v>1303783.7243872937</v>
      </c>
      <c r="IG12" s="125">
        <f t="shared" si="29"/>
        <v>1303783.7243872937</v>
      </c>
      <c r="IH12" s="125">
        <f t="shared" si="29"/>
        <v>1303783.7243872937</v>
      </c>
      <c r="II12" s="125">
        <f t="shared" si="29"/>
        <v>1303783.7243872937</v>
      </c>
      <c r="IJ12" s="125">
        <f t="shared" si="29"/>
        <v>1303783.7243872937</v>
      </c>
      <c r="IK12" s="125">
        <f t="shared" si="29"/>
        <v>1303783.7243872937</v>
      </c>
      <c r="IL12" s="125">
        <f t="shared" si="29"/>
        <v>1303783.7243872937</v>
      </c>
      <c r="IM12" s="125">
        <f t="shared" si="29"/>
        <v>1303783.7243872937</v>
      </c>
      <c r="IN12" s="125">
        <f t="shared" si="29"/>
        <v>1303783.7243872937</v>
      </c>
      <c r="IO12" s="125">
        <f t="shared" si="29"/>
        <v>1303783.7243872937</v>
      </c>
      <c r="IP12" s="125">
        <f t="shared" si="29"/>
        <v>1303783.7243872937</v>
      </c>
      <c r="IQ12" s="125">
        <f t="shared" si="29"/>
        <v>1303783.7243872937</v>
      </c>
      <c r="IR12" s="125">
        <f t="shared" si="29"/>
        <v>1303783.7243872937</v>
      </c>
      <c r="IS12" s="125">
        <f t="shared" si="29"/>
        <v>1303783.7243872937</v>
      </c>
      <c r="IT12" s="125">
        <f t="shared" si="29"/>
        <v>1303783.7243872937</v>
      </c>
      <c r="IU12" s="125">
        <f t="shared" si="29"/>
        <v>1303783.7243872937</v>
      </c>
      <c r="IV12" s="125">
        <f t="shared" si="29"/>
        <v>1303783.7243872937</v>
      </c>
      <c r="IW12" s="125">
        <f t="shared" si="29"/>
        <v>1303783.7243872937</v>
      </c>
      <c r="IX12" s="125">
        <f t="shared" si="29"/>
        <v>1303783.7243872937</v>
      </c>
      <c r="IY12" s="125">
        <f t="shared" si="29"/>
        <v>1303783.7243872937</v>
      </c>
      <c r="IZ12" s="125">
        <f t="shared" si="29"/>
        <v>1303783.7243872937</v>
      </c>
      <c r="JA12" s="125">
        <f t="shared" si="29"/>
        <v>1303783.7243872937</v>
      </c>
      <c r="JB12" s="125">
        <f t="shared" si="29"/>
        <v>1303783.7243872937</v>
      </c>
      <c r="JC12" s="125">
        <f t="shared" si="29"/>
        <v>1303783.7243872937</v>
      </c>
      <c r="JD12" s="125">
        <f t="shared" si="29"/>
        <v>1303783.7243872937</v>
      </c>
      <c r="JE12" s="125">
        <f t="shared" ref="JE12:KF12" si="30">JD12+JE11</f>
        <v>1303783.7243872937</v>
      </c>
      <c r="JF12" s="125">
        <f t="shared" si="30"/>
        <v>1303783.7243872937</v>
      </c>
      <c r="JG12" s="125">
        <f t="shared" si="30"/>
        <v>1303783.7243872937</v>
      </c>
      <c r="JH12" s="125">
        <f t="shared" si="30"/>
        <v>1303783.7243872937</v>
      </c>
      <c r="JI12" s="125">
        <f t="shared" si="30"/>
        <v>1303783.7243872937</v>
      </c>
      <c r="JJ12" s="125">
        <f t="shared" si="30"/>
        <v>1303783.7243872937</v>
      </c>
      <c r="JK12" s="125">
        <f t="shared" si="30"/>
        <v>1303783.7243872937</v>
      </c>
      <c r="JL12" s="125">
        <f t="shared" si="30"/>
        <v>1303783.7243872937</v>
      </c>
      <c r="JM12" s="125">
        <f t="shared" si="30"/>
        <v>1303783.7243872937</v>
      </c>
      <c r="JN12" s="125">
        <f t="shared" si="30"/>
        <v>1303783.7243872937</v>
      </c>
      <c r="JO12" s="125">
        <f t="shared" si="30"/>
        <v>1303783.7243872937</v>
      </c>
      <c r="JP12" s="125">
        <f t="shared" si="30"/>
        <v>1303783.7243872937</v>
      </c>
      <c r="JQ12" s="125">
        <f t="shared" si="30"/>
        <v>1303783.7243872937</v>
      </c>
      <c r="JR12" s="125">
        <f t="shared" si="30"/>
        <v>1303783.7243872937</v>
      </c>
      <c r="JS12" s="125">
        <f t="shared" si="30"/>
        <v>1303783.7243872937</v>
      </c>
      <c r="JT12" s="125">
        <f t="shared" si="30"/>
        <v>1303783.7243872937</v>
      </c>
      <c r="JU12" s="125">
        <f t="shared" si="30"/>
        <v>1303783.7243872937</v>
      </c>
      <c r="JV12" s="125">
        <f t="shared" si="30"/>
        <v>1303783.7243872937</v>
      </c>
      <c r="JW12" s="125">
        <f t="shared" si="30"/>
        <v>1303783.7243872937</v>
      </c>
      <c r="JX12" s="125">
        <f t="shared" si="30"/>
        <v>1303783.7243872937</v>
      </c>
      <c r="JY12" s="125">
        <f t="shared" si="30"/>
        <v>1303783.7243872937</v>
      </c>
      <c r="JZ12" s="125">
        <f t="shared" si="30"/>
        <v>1303783.7243872937</v>
      </c>
      <c r="KA12" s="125">
        <f t="shared" si="30"/>
        <v>1303783.7243872937</v>
      </c>
      <c r="KB12" s="125">
        <f t="shared" si="30"/>
        <v>1303783.7243872937</v>
      </c>
      <c r="KC12" s="125">
        <f t="shared" si="30"/>
        <v>1303783.7243872937</v>
      </c>
      <c r="KD12" s="125">
        <f t="shared" si="30"/>
        <v>1303783.7243872937</v>
      </c>
      <c r="KE12" s="125">
        <f t="shared" si="30"/>
        <v>1303783.7243872937</v>
      </c>
      <c r="KF12" s="125">
        <f t="shared" si="30"/>
        <v>1303783.7243872937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1163065.0103359609</v>
      </c>
      <c r="V14" s="118">
        <f t="shared" si="32"/>
        <v>1111286.910335961</v>
      </c>
      <c r="W14" s="118">
        <f t="shared" si="32"/>
        <v>1111286.910335961</v>
      </c>
      <c r="X14" s="118">
        <f t="shared" si="32"/>
        <v>989244.75933596108</v>
      </c>
      <c r="Y14" s="118">
        <f t="shared" si="32"/>
        <v>480536.71944866749</v>
      </c>
      <c r="Z14" s="118">
        <f t="shared" si="32"/>
        <v>590828.78509618994</v>
      </c>
      <c r="AA14" s="118">
        <f t="shared" si="32"/>
        <v>579671.28509618994</v>
      </c>
      <c r="AB14" s="118">
        <f t="shared" si="32"/>
        <v>559330.92659618985</v>
      </c>
      <c r="AC14" s="118">
        <f t="shared" si="32"/>
        <v>559330.92659618985</v>
      </c>
      <c r="AD14" s="118">
        <f t="shared" si="32"/>
        <v>559330.92659618985</v>
      </c>
      <c r="AE14" s="118">
        <f t="shared" si="32"/>
        <v>559173.42659618985</v>
      </c>
      <c r="AF14" s="118">
        <f t="shared" si="32"/>
        <v>559173.42659618985</v>
      </c>
      <c r="AG14" s="118">
        <f t="shared" si="32"/>
        <v>559173.42659618985</v>
      </c>
      <c r="AH14" s="118">
        <f t="shared" si="32"/>
        <v>559173.42659618985</v>
      </c>
      <c r="AI14" s="118">
        <f t="shared" si="32"/>
        <v>559173.42659618985</v>
      </c>
      <c r="AJ14" s="118">
        <f t="shared" si="32"/>
        <v>559173.42659618985</v>
      </c>
      <c r="AK14" s="118">
        <f t="shared" si="32"/>
        <v>559173.42659618985</v>
      </c>
      <c r="AL14" s="118">
        <f t="shared" si="32"/>
        <v>559173.42659618985</v>
      </c>
      <c r="AM14" s="118">
        <f t="shared" si="32"/>
        <v>559173.42659618985</v>
      </c>
      <c r="AN14" s="118">
        <f t="shared" si="32"/>
        <v>559173.42659618985</v>
      </c>
      <c r="AO14" s="118">
        <f t="shared" si="32"/>
        <v>559173.42659618985</v>
      </c>
      <c r="AP14" s="118">
        <f t="shared" si="32"/>
        <v>559173.42659618985</v>
      </c>
      <c r="AQ14" s="118">
        <f t="shared" si="32"/>
        <v>559173.42659618985</v>
      </c>
      <c r="AR14" s="118">
        <f t="shared" si="32"/>
        <v>559173.42659618985</v>
      </c>
      <c r="AS14" s="118">
        <f t="shared" si="32"/>
        <v>559173.42659618985</v>
      </c>
      <c r="AT14" s="118">
        <f t="shared" si="32"/>
        <v>559173.42659618985</v>
      </c>
      <c r="AU14" s="118">
        <f t="shared" si="32"/>
        <v>559173.42659618985</v>
      </c>
      <c r="AV14" s="118">
        <f t="shared" si="32"/>
        <v>559173.42659618985</v>
      </c>
      <c r="AW14" s="118">
        <f t="shared" si="32"/>
        <v>559173.42659618985</v>
      </c>
      <c r="AX14" s="118">
        <f t="shared" si="32"/>
        <v>559173.42659618985</v>
      </c>
      <c r="AY14" s="118">
        <f t="shared" si="32"/>
        <v>559173.42659618985</v>
      </c>
      <c r="AZ14" s="118">
        <f t="shared" si="32"/>
        <v>559173.42659618985</v>
      </c>
      <c r="BA14" s="118">
        <f t="shared" si="32"/>
        <v>559173.42659618985</v>
      </c>
      <c r="BB14" s="118">
        <f t="shared" si="32"/>
        <v>559173.42659618985</v>
      </c>
      <c r="BC14" s="118">
        <f t="shared" si="32"/>
        <v>559173.42659618985</v>
      </c>
      <c r="BD14" s="118">
        <f t="shared" si="32"/>
        <v>559173.42659618985</v>
      </c>
      <c r="BE14" s="118">
        <f t="shared" si="32"/>
        <v>559173.42659618985</v>
      </c>
      <c r="BF14" s="118">
        <f t="shared" si="32"/>
        <v>559173.42659618985</v>
      </c>
      <c r="BG14" s="118">
        <f t="shared" si="32"/>
        <v>559173.42659618985</v>
      </c>
      <c r="BH14" s="118">
        <f t="shared" si="32"/>
        <v>559173.42659618985</v>
      </c>
      <c r="BI14" s="118">
        <f t="shared" si="32"/>
        <v>559173.42659618985</v>
      </c>
      <c r="BJ14" s="118">
        <f t="shared" si="32"/>
        <v>559173.42659618985</v>
      </c>
      <c r="BK14" s="118">
        <f t="shared" si="32"/>
        <v>559173.42659618985</v>
      </c>
      <c r="BL14" s="118">
        <f t="shared" si="32"/>
        <v>559173.42659618985</v>
      </c>
      <c r="BM14" s="118">
        <f t="shared" si="32"/>
        <v>559173.42659618985</v>
      </c>
      <c r="BN14" s="118">
        <f t="shared" si="32"/>
        <v>559173.42659618985</v>
      </c>
      <c r="BO14" s="118">
        <f t="shared" si="32"/>
        <v>559173.42659618985</v>
      </c>
      <c r="BP14" s="118">
        <f t="shared" si="32"/>
        <v>559173.42659618985</v>
      </c>
      <c r="BQ14" s="118">
        <f t="shared" si="32"/>
        <v>559173.42659618985</v>
      </c>
      <c r="BR14" s="118">
        <f t="shared" si="32"/>
        <v>559173.42659618985</v>
      </c>
      <c r="BS14" s="118">
        <f t="shared" si="32"/>
        <v>559173.42659618985</v>
      </c>
      <c r="BT14" s="118">
        <f t="shared" si="32"/>
        <v>559173.42659618985</v>
      </c>
      <c r="BU14" s="118">
        <f t="shared" ref="BU14:EF14" si="33">BU10-BU12</f>
        <v>559173.42659618985</v>
      </c>
      <c r="BV14" s="118">
        <f t="shared" si="33"/>
        <v>559173.42659618985</v>
      </c>
      <c r="BW14" s="118">
        <f t="shared" si="33"/>
        <v>559173.42659618985</v>
      </c>
      <c r="BX14" s="118">
        <f t="shared" si="33"/>
        <v>559173.42659618985</v>
      </c>
      <c r="BY14" s="118">
        <f t="shared" si="33"/>
        <v>559173.42659618985</v>
      </c>
      <c r="BZ14" s="118">
        <f t="shared" si="33"/>
        <v>559173.42659618985</v>
      </c>
      <c r="CA14" s="118">
        <f t="shared" si="33"/>
        <v>559173.42659618985</v>
      </c>
      <c r="CB14" s="118">
        <f t="shared" si="33"/>
        <v>559173.42659618985</v>
      </c>
      <c r="CC14" s="118">
        <f t="shared" si="33"/>
        <v>559173.42659618985</v>
      </c>
      <c r="CD14" s="118">
        <f t="shared" si="33"/>
        <v>559173.42659618985</v>
      </c>
      <c r="CE14" s="118">
        <f t="shared" si="33"/>
        <v>559173.42659618985</v>
      </c>
      <c r="CF14" s="118">
        <f t="shared" si="33"/>
        <v>559173.42659618985</v>
      </c>
      <c r="CG14" s="118">
        <f t="shared" si="33"/>
        <v>559173.42659618985</v>
      </c>
      <c r="CH14" s="118">
        <f t="shared" si="33"/>
        <v>559173.42659618985</v>
      </c>
      <c r="CI14" s="118">
        <f t="shared" si="33"/>
        <v>559173.42659618985</v>
      </c>
      <c r="CJ14" s="118">
        <f t="shared" si="33"/>
        <v>559173.42659618985</v>
      </c>
      <c r="CK14" s="118">
        <f t="shared" si="33"/>
        <v>559173.42659618985</v>
      </c>
      <c r="CL14" s="118">
        <f t="shared" si="33"/>
        <v>559173.42659618985</v>
      </c>
      <c r="CM14" s="118">
        <f t="shared" si="33"/>
        <v>559173.42659618985</v>
      </c>
      <c r="CN14" s="118">
        <f t="shared" si="33"/>
        <v>559173.42659618985</v>
      </c>
      <c r="CO14" s="118">
        <f t="shared" si="33"/>
        <v>559173.42659618985</v>
      </c>
      <c r="CP14" s="118">
        <f t="shared" si="33"/>
        <v>559173.42659618985</v>
      </c>
      <c r="CQ14" s="118">
        <f t="shared" si="33"/>
        <v>559173.42659618985</v>
      </c>
      <c r="CR14" s="118">
        <f t="shared" si="33"/>
        <v>559173.42659618985</v>
      </c>
      <c r="CS14" s="118">
        <f t="shared" si="33"/>
        <v>559173.42659618985</v>
      </c>
      <c r="CT14" s="118">
        <f t="shared" si="33"/>
        <v>559173.42659618985</v>
      </c>
      <c r="CU14" s="118">
        <f t="shared" si="33"/>
        <v>559173.42659618985</v>
      </c>
      <c r="CV14" s="118">
        <f t="shared" si="33"/>
        <v>559173.42659618985</v>
      </c>
      <c r="CW14" s="118">
        <f t="shared" si="33"/>
        <v>559173.42659618985</v>
      </c>
      <c r="CX14" s="118">
        <f t="shared" si="33"/>
        <v>559173.42659618985</v>
      </c>
      <c r="CY14" s="118">
        <f t="shared" si="33"/>
        <v>559173.42659618985</v>
      </c>
      <c r="CZ14" s="118">
        <f t="shared" si="33"/>
        <v>559173.42659618985</v>
      </c>
      <c r="DA14" s="118">
        <f t="shared" si="33"/>
        <v>559173.42659618985</v>
      </c>
      <c r="DB14" s="118">
        <f t="shared" si="33"/>
        <v>559173.42659618985</v>
      </c>
      <c r="DC14" s="118">
        <f t="shared" si="33"/>
        <v>559173.42659618985</v>
      </c>
      <c r="DD14" s="118">
        <f t="shared" si="33"/>
        <v>559173.42659618985</v>
      </c>
      <c r="DE14" s="118">
        <f t="shared" si="33"/>
        <v>559173.42659618985</v>
      </c>
      <c r="DF14" s="118">
        <f t="shared" si="33"/>
        <v>559173.42659618985</v>
      </c>
      <c r="DG14" s="118">
        <f t="shared" si="33"/>
        <v>559173.42659618985</v>
      </c>
      <c r="DH14" s="118">
        <f t="shared" si="33"/>
        <v>559173.42659618985</v>
      </c>
      <c r="DI14" s="118">
        <f t="shared" si="33"/>
        <v>559173.42659618985</v>
      </c>
      <c r="DJ14" s="118">
        <f t="shared" si="33"/>
        <v>559173.42659618985</v>
      </c>
      <c r="DK14" s="118">
        <f t="shared" si="33"/>
        <v>559173.42659618985</v>
      </c>
      <c r="DL14" s="118">
        <f t="shared" si="33"/>
        <v>559173.42659618985</v>
      </c>
      <c r="DM14" s="118">
        <f t="shared" si="33"/>
        <v>559173.42659618985</v>
      </c>
      <c r="DN14" s="118">
        <f t="shared" si="33"/>
        <v>559173.42659618985</v>
      </c>
      <c r="DO14" s="118">
        <f t="shared" si="33"/>
        <v>559173.42659618985</v>
      </c>
      <c r="DP14" s="118">
        <f t="shared" si="33"/>
        <v>559173.42659618985</v>
      </c>
      <c r="DQ14" s="118">
        <f t="shared" si="33"/>
        <v>559173.42659618985</v>
      </c>
      <c r="DR14" s="118">
        <f t="shared" si="33"/>
        <v>559173.42659618985</v>
      </c>
      <c r="DS14" s="118">
        <f t="shared" si="33"/>
        <v>559173.42659618985</v>
      </c>
      <c r="DT14" s="118">
        <f t="shared" si="33"/>
        <v>559173.42659618985</v>
      </c>
      <c r="DU14" s="118">
        <f t="shared" si="33"/>
        <v>559173.42659618985</v>
      </c>
      <c r="DV14" s="118">
        <f t="shared" si="33"/>
        <v>559173.42659618985</v>
      </c>
      <c r="DW14" s="118">
        <f t="shared" si="33"/>
        <v>559173.42659618985</v>
      </c>
      <c r="DX14" s="118">
        <f t="shared" si="33"/>
        <v>559173.42659618985</v>
      </c>
      <c r="DY14" s="118">
        <f t="shared" si="33"/>
        <v>559173.42659618985</v>
      </c>
      <c r="DZ14" s="118">
        <f t="shared" si="33"/>
        <v>559173.42659618985</v>
      </c>
      <c r="EA14" s="118">
        <f t="shared" si="33"/>
        <v>559173.42659618985</v>
      </c>
      <c r="EB14" s="118">
        <f t="shared" si="33"/>
        <v>559173.42659618985</v>
      </c>
      <c r="EC14" s="118">
        <f t="shared" si="33"/>
        <v>559173.42659618985</v>
      </c>
      <c r="ED14" s="118">
        <f t="shared" si="33"/>
        <v>559173.42659618985</v>
      </c>
      <c r="EE14" s="118">
        <f t="shared" si="33"/>
        <v>559173.42659618985</v>
      </c>
      <c r="EF14" s="118">
        <f t="shared" si="33"/>
        <v>559173.42659618985</v>
      </c>
      <c r="EG14" s="118">
        <f t="shared" ref="EG14:GR14" si="34">EG10-EG12</f>
        <v>559173.42659618985</v>
      </c>
      <c r="EH14" s="118">
        <f t="shared" si="34"/>
        <v>559173.42659618985</v>
      </c>
      <c r="EI14" s="118">
        <f t="shared" si="34"/>
        <v>559173.42659618985</v>
      </c>
      <c r="EJ14" s="118">
        <f t="shared" si="34"/>
        <v>559173.42659618985</v>
      </c>
      <c r="EK14" s="118">
        <f t="shared" si="34"/>
        <v>559173.42659618985</v>
      </c>
      <c r="EL14" s="118">
        <f t="shared" si="34"/>
        <v>559173.42659618985</v>
      </c>
      <c r="EM14" s="118">
        <f t="shared" si="34"/>
        <v>559173.42659618985</v>
      </c>
      <c r="EN14" s="118">
        <f t="shared" si="34"/>
        <v>559173.42659618985</v>
      </c>
      <c r="EO14" s="118">
        <f t="shared" si="34"/>
        <v>559173.42659618985</v>
      </c>
      <c r="EP14" s="118">
        <f t="shared" si="34"/>
        <v>559173.42659618985</v>
      </c>
      <c r="EQ14" s="118">
        <f t="shared" si="34"/>
        <v>559173.42659618985</v>
      </c>
      <c r="ER14" s="118">
        <f t="shared" si="34"/>
        <v>559173.42659618985</v>
      </c>
      <c r="ES14" s="118">
        <f t="shared" si="34"/>
        <v>559173.42659618985</v>
      </c>
      <c r="ET14" s="118">
        <f t="shared" si="34"/>
        <v>559173.42659618985</v>
      </c>
      <c r="EU14" s="118">
        <f t="shared" si="34"/>
        <v>559173.42659618985</v>
      </c>
      <c r="EV14" s="118">
        <f t="shared" si="34"/>
        <v>559173.42659618985</v>
      </c>
      <c r="EW14" s="118">
        <f t="shared" si="34"/>
        <v>559173.42659618985</v>
      </c>
      <c r="EX14" s="118">
        <f t="shared" si="34"/>
        <v>559173.42659618985</v>
      </c>
      <c r="EY14" s="118">
        <f t="shared" si="34"/>
        <v>559173.42659618985</v>
      </c>
      <c r="EZ14" s="118">
        <f t="shared" si="34"/>
        <v>559173.42659618985</v>
      </c>
      <c r="FA14" s="118">
        <f t="shared" si="34"/>
        <v>559173.42659618985</v>
      </c>
      <c r="FB14" s="118">
        <f t="shared" si="34"/>
        <v>559173.42659618985</v>
      </c>
      <c r="FC14" s="118">
        <f t="shared" si="34"/>
        <v>559173.42659618985</v>
      </c>
      <c r="FD14" s="118">
        <f t="shared" si="34"/>
        <v>559173.42659618985</v>
      </c>
      <c r="FE14" s="118">
        <f t="shared" si="34"/>
        <v>559173.42659618985</v>
      </c>
      <c r="FF14" s="118">
        <f t="shared" si="34"/>
        <v>559173.42659618985</v>
      </c>
      <c r="FG14" s="118">
        <f t="shared" si="34"/>
        <v>559173.42659618985</v>
      </c>
      <c r="FH14" s="118">
        <f t="shared" si="34"/>
        <v>559173.42659618985</v>
      </c>
      <c r="FI14" s="118">
        <f t="shared" si="34"/>
        <v>559173.42659618985</v>
      </c>
      <c r="FJ14" s="118">
        <f t="shared" si="34"/>
        <v>559173.42659618985</v>
      </c>
      <c r="FK14" s="118">
        <f t="shared" si="34"/>
        <v>559173.42659618985</v>
      </c>
      <c r="FL14" s="118">
        <f t="shared" si="34"/>
        <v>559173.42659618985</v>
      </c>
      <c r="FM14" s="118">
        <f t="shared" si="34"/>
        <v>559173.42659618985</v>
      </c>
      <c r="FN14" s="118">
        <f t="shared" si="34"/>
        <v>559173.42659618985</v>
      </c>
      <c r="FO14" s="118">
        <f t="shared" si="34"/>
        <v>559173.42659618985</v>
      </c>
      <c r="FP14" s="118">
        <f t="shared" si="34"/>
        <v>559173.42659618985</v>
      </c>
      <c r="FQ14" s="118">
        <f t="shared" si="34"/>
        <v>559173.42659618985</v>
      </c>
      <c r="FR14" s="118">
        <f t="shared" si="34"/>
        <v>559173.42659618985</v>
      </c>
      <c r="FS14" s="118">
        <f t="shared" si="34"/>
        <v>559173.42659618985</v>
      </c>
      <c r="FT14" s="118">
        <f t="shared" si="34"/>
        <v>559173.42659618985</v>
      </c>
      <c r="FU14" s="118">
        <f t="shared" si="34"/>
        <v>559173.42659618985</v>
      </c>
      <c r="FV14" s="118">
        <f t="shared" si="34"/>
        <v>559173.42659618985</v>
      </c>
      <c r="FW14" s="118">
        <f t="shared" si="34"/>
        <v>559173.42659618985</v>
      </c>
      <c r="FX14" s="118">
        <f t="shared" si="34"/>
        <v>559173.42659618985</v>
      </c>
      <c r="FY14" s="118">
        <f t="shared" si="34"/>
        <v>559173.42659618985</v>
      </c>
      <c r="FZ14" s="118">
        <f t="shared" si="34"/>
        <v>559173.42659618985</v>
      </c>
      <c r="GA14" s="118">
        <f t="shared" si="34"/>
        <v>559173.42659618985</v>
      </c>
      <c r="GB14" s="118">
        <f t="shared" si="34"/>
        <v>559173.42659618985</v>
      </c>
      <c r="GC14" s="118">
        <f t="shared" si="34"/>
        <v>559173.42659618985</v>
      </c>
      <c r="GD14" s="118">
        <f t="shared" si="34"/>
        <v>559173.42659618985</v>
      </c>
      <c r="GE14" s="118">
        <f t="shared" si="34"/>
        <v>559173.42659618985</v>
      </c>
      <c r="GF14" s="118">
        <f t="shared" si="34"/>
        <v>559173.42659618985</v>
      </c>
      <c r="GG14" s="118">
        <f t="shared" si="34"/>
        <v>559173.42659618985</v>
      </c>
      <c r="GH14" s="118">
        <f t="shared" si="34"/>
        <v>559173.42659618985</v>
      </c>
      <c r="GI14" s="118">
        <f t="shared" si="34"/>
        <v>559173.42659618985</v>
      </c>
      <c r="GJ14" s="118">
        <f t="shared" si="34"/>
        <v>559173.42659618985</v>
      </c>
      <c r="GK14" s="118">
        <f t="shared" si="34"/>
        <v>559173.42659618985</v>
      </c>
      <c r="GL14" s="118">
        <f t="shared" si="34"/>
        <v>559173.42659618985</v>
      </c>
      <c r="GM14" s="118">
        <f t="shared" si="34"/>
        <v>559173.42659618985</v>
      </c>
      <c r="GN14" s="118">
        <f t="shared" si="34"/>
        <v>559173.42659618985</v>
      </c>
      <c r="GO14" s="118">
        <f t="shared" si="34"/>
        <v>559173.42659618985</v>
      </c>
      <c r="GP14" s="118">
        <f t="shared" si="34"/>
        <v>559173.42659618985</v>
      </c>
      <c r="GQ14" s="118">
        <f t="shared" si="34"/>
        <v>559173.42659618985</v>
      </c>
      <c r="GR14" s="118">
        <f t="shared" si="34"/>
        <v>559173.42659618985</v>
      </c>
      <c r="GS14" s="118">
        <f t="shared" ref="GS14:JD14" si="35">GS10-GS12</f>
        <v>559173.42659618985</v>
      </c>
      <c r="GT14" s="118">
        <f t="shared" si="35"/>
        <v>559173.42659618985</v>
      </c>
      <c r="GU14" s="118">
        <f t="shared" si="35"/>
        <v>559173.42659618985</v>
      </c>
      <c r="GV14" s="118">
        <f t="shared" si="35"/>
        <v>559173.42659618985</v>
      </c>
      <c r="GW14" s="118">
        <f t="shared" si="35"/>
        <v>559173.42659618985</v>
      </c>
      <c r="GX14" s="118">
        <f t="shared" si="35"/>
        <v>559173.42659618985</v>
      </c>
      <c r="GY14" s="118">
        <f t="shared" si="35"/>
        <v>559173.42659618985</v>
      </c>
      <c r="GZ14" s="118">
        <f t="shared" si="35"/>
        <v>559173.42659618985</v>
      </c>
      <c r="HA14" s="118">
        <f t="shared" si="35"/>
        <v>559173.42659618985</v>
      </c>
      <c r="HB14" s="118">
        <f t="shared" si="35"/>
        <v>559173.42659618985</v>
      </c>
      <c r="HC14" s="118">
        <f t="shared" si="35"/>
        <v>559173.42659618985</v>
      </c>
      <c r="HD14" s="118">
        <f t="shared" si="35"/>
        <v>559173.42659618985</v>
      </c>
      <c r="HE14" s="118">
        <f t="shared" si="35"/>
        <v>559173.42659618985</v>
      </c>
      <c r="HF14" s="118">
        <f t="shared" si="35"/>
        <v>559173.42659618985</v>
      </c>
      <c r="HG14" s="118">
        <f t="shared" si="35"/>
        <v>559173.42659618985</v>
      </c>
      <c r="HH14" s="118">
        <f t="shared" si="35"/>
        <v>559173.42659618985</v>
      </c>
      <c r="HI14" s="118">
        <f t="shared" si="35"/>
        <v>559173.42659618985</v>
      </c>
      <c r="HJ14" s="118">
        <f t="shared" si="35"/>
        <v>559173.42659618985</v>
      </c>
      <c r="HK14" s="118">
        <f t="shared" si="35"/>
        <v>559173.42659618985</v>
      </c>
      <c r="HL14" s="118">
        <f t="shared" si="35"/>
        <v>559173.42659618985</v>
      </c>
      <c r="HM14" s="118">
        <f t="shared" si="35"/>
        <v>559173.42659618985</v>
      </c>
      <c r="HN14" s="118">
        <f t="shared" si="35"/>
        <v>559173.42659618985</v>
      </c>
      <c r="HO14" s="118">
        <f t="shared" si="35"/>
        <v>559173.42659618985</v>
      </c>
      <c r="HP14" s="118">
        <f t="shared" si="35"/>
        <v>559173.42659618985</v>
      </c>
      <c r="HQ14" s="118">
        <f t="shared" si="35"/>
        <v>559173.42659618985</v>
      </c>
      <c r="HR14" s="118">
        <f t="shared" si="35"/>
        <v>559173.42659618985</v>
      </c>
      <c r="HS14" s="118">
        <f t="shared" si="35"/>
        <v>559173.42659618985</v>
      </c>
      <c r="HT14" s="118">
        <f t="shared" si="35"/>
        <v>559173.42659618985</v>
      </c>
      <c r="HU14" s="118">
        <f t="shared" si="35"/>
        <v>559173.42659618985</v>
      </c>
      <c r="HV14" s="118">
        <f t="shared" si="35"/>
        <v>559173.42659618985</v>
      </c>
      <c r="HW14" s="118">
        <f t="shared" si="35"/>
        <v>559173.42659618985</v>
      </c>
      <c r="HX14" s="118">
        <f t="shared" si="35"/>
        <v>559173.42659618985</v>
      </c>
      <c r="HY14" s="118">
        <f t="shared" si="35"/>
        <v>559173.42659618985</v>
      </c>
      <c r="HZ14" s="118">
        <f t="shared" si="35"/>
        <v>559173.42659618985</v>
      </c>
      <c r="IA14" s="118">
        <f t="shared" si="35"/>
        <v>559173.42659618985</v>
      </c>
      <c r="IB14" s="118">
        <f t="shared" si="35"/>
        <v>559173.42659618985</v>
      </c>
      <c r="IC14" s="118">
        <f t="shared" si="35"/>
        <v>559173.42659618985</v>
      </c>
      <c r="ID14" s="118">
        <f t="shared" si="35"/>
        <v>559173.42659618985</v>
      </c>
      <c r="IE14" s="118">
        <f t="shared" si="35"/>
        <v>559173.42659618985</v>
      </c>
      <c r="IF14" s="118">
        <f t="shared" si="35"/>
        <v>559173.42659618985</v>
      </c>
      <c r="IG14" s="118">
        <f t="shared" si="35"/>
        <v>559173.42659618985</v>
      </c>
      <c r="IH14" s="118">
        <f t="shared" si="35"/>
        <v>559173.42659618985</v>
      </c>
      <c r="II14" s="118">
        <f t="shared" si="35"/>
        <v>559173.42659618985</v>
      </c>
      <c r="IJ14" s="118">
        <f t="shared" si="35"/>
        <v>559173.42659618985</v>
      </c>
      <c r="IK14" s="118">
        <f t="shared" si="35"/>
        <v>559173.42659618985</v>
      </c>
      <c r="IL14" s="118">
        <f t="shared" si="35"/>
        <v>559173.42659618985</v>
      </c>
      <c r="IM14" s="118">
        <f t="shared" si="35"/>
        <v>559173.42659618985</v>
      </c>
      <c r="IN14" s="118">
        <f t="shared" si="35"/>
        <v>559173.42659618985</v>
      </c>
      <c r="IO14" s="118">
        <f t="shared" si="35"/>
        <v>559173.42659618985</v>
      </c>
      <c r="IP14" s="118">
        <f t="shared" si="35"/>
        <v>559173.42659618985</v>
      </c>
      <c r="IQ14" s="118">
        <f t="shared" si="35"/>
        <v>559173.42659618985</v>
      </c>
      <c r="IR14" s="118">
        <f t="shared" si="35"/>
        <v>559173.42659618985</v>
      </c>
      <c r="IS14" s="118">
        <f t="shared" si="35"/>
        <v>559173.42659618985</v>
      </c>
      <c r="IT14" s="118">
        <f t="shared" si="35"/>
        <v>559173.42659618985</v>
      </c>
      <c r="IU14" s="118">
        <f t="shared" si="35"/>
        <v>559173.42659618985</v>
      </c>
      <c r="IV14" s="118">
        <f t="shared" si="35"/>
        <v>559173.42659618985</v>
      </c>
      <c r="IW14" s="118">
        <f t="shared" si="35"/>
        <v>559173.42659618985</v>
      </c>
      <c r="IX14" s="118">
        <f t="shared" si="35"/>
        <v>559173.42659618985</v>
      </c>
      <c r="IY14" s="118">
        <f t="shared" si="35"/>
        <v>559173.42659618985</v>
      </c>
      <c r="IZ14" s="118">
        <f t="shared" si="35"/>
        <v>559173.42659618985</v>
      </c>
      <c r="JA14" s="118">
        <f t="shared" si="35"/>
        <v>559173.42659618985</v>
      </c>
      <c r="JB14" s="118">
        <f t="shared" si="35"/>
        <v>559173.42659618985</v>
      </c>
      <c r="JC14" s="118">
        <f t="shared" si="35"/>
        <v>559173.42659618985</v>
      </c>
      <c r="JD14" s="118">
        <f t="shared" si="35"/>
        <v>559173.42659618985</v>
      </c>
      <c r="JE14" s="118">
        <f t="shared" ref="JE14:KF14" si="36">JE10-JE12</f>
        <v>559173.42659618985</v>
      </c>
      <c r="JF14" s="118">
        <f t="shared" si="36"/>
        <v>559173.42659618985</v>
      </c>
      <c r="JG14" s="118">
        <f t="shared" si="36"/>
        <v>559173.42659618985</v>
      </c>
      <c r="JH14" s="118">
        <f t="shared" si="36"/>
        <v>559173.42659618985</v>
      </c>
      <c r="JI14" s="118">
        <f t="shared" si="36"/>
        <v>559173.42659618985</v>
      </c>
      <c r="JJ14" s="118">
        <f t="shared" si="36"/>
        <v>559173.42659618985</v>
      </c>
      <c r="JK14" s="118">
        <f t="shared" si="36"/>
        <v>559173.42659618985</v>
      </c>
      <c r="JL14" s="118">
        <f t="shared" si="36"/>
        <v>559173.42659618985</v>
      </c>
      <c r="JM14" s="118">
        <f t="shared" si="36"/>
        <v>559173.42659618985</v>
      </c>
      <c r="JN14" s="118">
        <f t="shared" si="36"/>
        <v>559173.42659618985</v>
      </c>
      <c r="JO14" s="118">
        <f t="shared" si="36"/>
        <v>559173.42659618985</v>
      </c>
      <c r="JP14" s="118">
        <f t="shared" si="36"/>
        <v>559173.42659618985</v>
      </c>
      <c r="JQ14" s="118">
        <f t="shared" si="36"/>
        <v>559173.42659618985</v>
      </c>
      <c r="JR14" s="118">
        <f t="shared" si="36"/>
        <v>559173.42659618985</v>
      </c>
      <c r="JS14" s="118">
        <f t="shared" si="36"/>
        <v>559173.42659618985</v>
      </c>
      <c r="JT14" s="118">
        <f t="shared" si="36"/>
        <v>559173.42659618985</v>
      </c>
      <c r="JU14" s="118">
        <f t="shared" si="36"/>
        <v>559173.42659618985</v>
      </c>
      <c r="JV14" s="118">
        <f t="shared" si="36"/>
        <v>559173.42659618985</v>
      </c>
      <c r="JW14" s="118">
        <f t="shared" si="36"/>
        <v>559173.42659618985</v>
      </c>
      <c r="JX14" s="118">
        <f t="shared" si="36"/>
        <v>559173.42659618985</v>
      </c>
      <c r="JY14" s="118">
        <f t="shared" si="36"/>
        <v>559173.42659618985</v>
      </c>
      <c r="JZ14" s="118">
        <f t="shared" si="36"/>
        <v>559173.42659618985</v>
      </c>
      <c r="KA14" s="118">
        <f t="shared" si="36"/>
        <v>559173.42659618985</v>
      </c>
      <c r="KB14" s="118">
        <f t="shared" si="36"/>
        <v>559173.42659618985</v>
      </c>
      <c r="KC14" s="118">
        <f t="shared" si="36"/>
        <v>559173.42659618985</v>
      </c>
      <c r="KD14" s="118">
        <f t="shared" si="36"/>
        <v>559173.42659618985</v>
      </c>
      <c r="KE14" s="118">
        <f t="shared" si="36"/>
        <v>559173.42659618985</v>
      </c>
      <c r="KF14" s="118">
        <f t="shared" si="36"/>
        <v>559173.42659618985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6"/>
      <c r="B17" s="106" t="s">
        <v>424</v>
      </c>
      <c r="C17" s="275">
        <f>C3-D17</f>
        <v>37929.736630531028</v>
      </c>
      <c r="D17" s="107">
        <f>SUM(F17:KF17)</f>
        <v>1825027.4143529527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244600.85677125229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>
      <c r="A18" s="746"/>
      <c r="B18" s="106" t="s">
        <v>425</v>
      </c>
      <c r="C18" s="275">
        <f>D17-D18</f>
        <v>0</v>
      </c>
      <c r="D18" s="107">
        <f>MAX(F18:KF18)</f>
        <v>1825027.4143529527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1814788.867655922</v>
      </c>
      <c r="AA18" s="125">
        <f t="shared" si="37"/>
        <v>1814788.867655922</v>
      </c>
      <c r="AB18" s="125">
        <f t="shared" si="37"/>
        <v>1814788.867655922</v>
      </c>
      <c r="AC18" s="125">
        <f t="shared" si="37"/>
        <v>1814788.867655922</v>
      </c>
      <c r="AD18" s="125">
        <f>AC18+AD17</f>
        <v>1825027.4143529527</v>
      </c>
      <c r="AE18" s="125">
        <f t="shared" si="37"/>
        <v>1825027.4143529527</v>
      </c>
      <c r="AF18" s="125">
        <f t="shared" si="37"/>
        <v>1825027.4143529527</v>
      </c>
      <c r="AG18" s="125">
        <f t="shared" si="37"/>
        <v>1825027.4143529527</v>
      </c>
      <c r="AH18" s="125">
        <f t="shared" si="37"/>
        <v>1825027.4143529527</v>
      </c>
      <c r="AI18" s="125">
        <f t="shared" si="37"/>
        <v>1825027.4143529527</v>
      </c>
      <c r="AJ18" s="125">
        <f t="shared" si="37"/>
        <v>1825027.4143529527</v>
      </c>
      <c r="AK18" s="125">
        <f t="shared" si="37"/>
        <v>1825027.4143529527</v>
      </c>
      <c r="AL18" s="125">
        <f t="shared" si="37"/>
        <v>1825027.4143529527</v>
      </c>
      <c r="AM18" s="125">
        <f t="shared" si="37"/>
        <v>1825027.4143529527</v>
      </c>
      <c r="AN18" s="125">
        <f t="shared" si="37"/>
        <v>1825027.4143529527</v>
      </c>
      <c r="AO18" s="125">
        <f t="shared" si="37"/>
        <v>1825027.4143529527</v>
      </c>
      <c r="AP18" s="125">
        <f t="shared" si="37"/>
        <v>1825027.4143529527</v>
      </c>
      <c r="AQ18" s="125">
        <f t="shared" si="37"/>
        <v>1825027.4143529527</v>
      </c>
      <c r="AR18" s="125">
        <f t="shared" si="37"/>
        <v>1825027.4143529527</v>
      </c>
      <c r="AS18" s="125">
        <f t="shared" si="37"/>
        <v>1825027.4143529527</v>
      </c>
      <c r="AT18" s="125">
        <f t="shared" si="37"/>
        <v>1825027.4143529527</v>
      </c>
      <c r="AU18" s="125">
        <f t="shared" si="37"/>
        <v>1825027.4143529527</v>
      </c>
      <c r="AV18" s="125">
        <f t="shared" si="37"/>
        <v>1825027.4143529527</v>
      </c>
      <c r="AW18" s="125">
        <f t="shared" si="37"/>
        <v>1825027.4143529527</v>
      </c>
      <c r="AX18" s="125">
        <f t="shared" si="37"/>
        <v>1825027.4143529527</v>
      </c>
      <c r="AY18" s="125">
        <f t="shared" si="37"/>
        <v>1825027.4143529527</v>
      </c>
      <c r="AZ18" s="125">
        <f t="shared" si="37"/>
        <v>1825027.4143529527</v>
      </c>
      <c r="BA18" s="125">
        <f t="shared" si="37"/>
        <v>1825027.4143529527</v>
      </c>
      <c r="BB18" s="125">
        <f t="shared" si="37"/>
        <v>1825027.4143529527</v>
      </c>
      <c r="BC18" s="125">
        <f t="shared" si="37"/>
        <v>1825027.4143529527</v>
      </c>
      <c r="BD18" s="125">
        <f t="shared" si="37"/>
        <v>1825027.4143529527</v>
      </c>
      <c r="BE18" s="125">
        <f t="shared" si="37"/>
        <v>1825027.4143529527</v>
      </c>
      <c r="BF18" s="125">
        <f t="shared" si="37"/>
        <v>1825027.4143529527</v>
      </c>
      <c r="BG18" s="125">
        <f t="shared" si="37"/>
        <v>1825027.4143529527</v>
      </c>
      <c r="BH18" s="125">
        <f t="shared" si="37"/>
        <v>1825027.4143529527</v>
      </c>
      <c r="BI18" s="125">
        <f t="shared" si="37"/>
        <v>1825027.4143529527</v>
      </c>
      <c r="BJ18" s="125">
        <f t="shared" si="37"/>
        <v>1825027.4143529527</v>
      </c>
      <c r="BK18" s="125">
        <f t="shared" si="37"/>
        <v>1825027.4143529527</v>
      </c>
      <c r="BL18" s="125">
        <f t="shared" si="37"/>
        <v>1825027.4143529527</v>
      </c>
      <c r="BM18" s="125">
        <f t="shared" si="37"/>
        <v>1825027.4143529527</v>
      </c>
      <c r="BN18" s="125">
        <f t="shared" si="37"/>
        <v>1825027.4143529527</v>
      </c>
      <c r="BO18" s="125">
        <f t="shared" si="37"/>
        <v>1825027.4143529527</v>
      </c>
      <c r="BP18" s="125">
        <f t="shared" si="37"/>
        <v>1825027.4143529527</v>
      </c>
      <c r="BQ18" s="125">
        <f t="shared" si="37"/>
        <v>1825027.4143529527</v>
      </c>
      <c r="BR18" s="125">
        <f t="shared" si="37"/>
        <v>1825027.4143529527</v>
      </c>
      <c r="BS18" s="125">
        <f t="shared" si="37"/>
        <v>1825027.4143529527</v>
      </c>
      <c r="BT18" s="125">
        <f t="shared" si="37"/>
        <v>1825027.4143529527</v>
      </c>
      <c r="BU18" s="125">
        <f t="shared" ref="BU18:EF18" si="38">BT18+BU17</f>
        <v>1825027.4143529527</v>
      </c>
      <c r="BV18" s="125">
        <f t="shared" si="38"/>
        <v>1825027.4143529527</v>
      </c>
      <c r="BW18" s="125">
        <f t="shared" si="38"/>
        <v>1825027.4143529527</v>
      </c>
      <c r="BX18" s="125">
        <f t="shared" si="38"/>
        <v>1825027.4143529527</v>
      </c>
      <c r="BY18" s="125">
        <f t="shared" si="38"/>
        <v>1825027.4143529527</v>
      </c>
      <c r="BZ18" s="125">
        <f t="shared" si="38"/>
        <v>1825027.4143529527</v>
      </c>
      <c r="CA18" s="125">
        <f t="shared" si="38"/>
        <v>1825027.4143529527</v>
      </c>
      <c r="CB18" s="125">
        <f t="shared" si="38"/>
        <v>1825027.4143529527</v>
      </c>
      <c r="CC18" s="125">
        <f t="shared" si="38"/>
        <v>1825027.4143529527</v>
      </c>
      <c r="CD18" s="125">
        <f t="shared" si="38"/>
        <v>1825027.4143529527</v>
      </c>
      <c r="CE18" s="125">
        <f t="shared" si="38"/>
        <v>1825027.4143529527</v>
      </c>
      <c r="CF18" s="125">
        <f t="shared" si="38"/>
        <v>1825027.4143529527</v>
      </c>
      <c r="CG18" s="125">
        <f t="shared" si="38"/>
        <v>1825027.4143529527</v>
      </c>
      <c r="CH18" s="125">
        <f t="shared" si="38"/>
        <v>1825027.4143529527</v>
      </c>
      <c r="CI18" s="125">
        <f t="shared" si="38"/>
        <v>1825027.4143529527</v>
      </c>
      <c r="CJ18" s="125">
        <f t="shared" si="38"/>
        <v>1825027.4143529527</v>
      </c>
      <c r="CK18" s="125">
        <f t="shared" si="38"/>
        <v>1825027.4143529527</v>
      </c>
      <c r="CL18" s="125">
        <f t="shared" si="38"/>
        <v>1825027.4143529527</v>
      </c>
      <c r="CM18" s="125">
        <f t="shared" si="38"/>
        <v>1825027.4143529527</v>
      </c>
      <c r="CN18" s="125">
        <f t="shared" si="38"/>
        <v>1825027.4143529527</v>
      </c>
      <c r="CO18" s="125">
        <f t="shared" si="38"/>
        <v>1825027.4143529527</v>
      </c>
      <c r="CP18" s="125">
        <f t="shared" si="38"/>
        <v>1825027.4143529527</v>
      </c>
      <c r="CQ18" s="125">
        <f t="shared" si="38"/>
        <v>1825027.4143529527</v>
      </c>
      <c r="CR18" s="125">
        <f t="shared" si="38"/>
        <v>1825027.4143529527</v>
      </c>
      <c r="CS18" s="125">
        <f t="shared" si="38"/>
        <v>1825027.4143529527</v>
      </c>
      <c r="CT18" s="125">
        <f t="shared" si="38"/>
        <v>1825027.4143529527</v>
      </c>
      <c r="CU18" s="125">
        <f t="shared" si="38"/>
        <v>1825027.4143529527</v>
      </c>
      <c r="CV18" s="125">
        <f t="shared" si="38"/>
        <v>1825027.4143529527</v>
      </c>
      <c r="CW18" s="125">
        <f t="shared" si="38"/>
        <v>1825027.4143529527</v>
      </c>
      <c r="CX18" s="125">
        <f t="shared" si="38"/>
        <v>1825027.4143529527</v>
      </c>
      <c r="CY18" s="125">
        <f t="shared" si="38"/>
        <v>1825027.4143529527</v>
      </c>
      <c r="CZ18" s="125">
        <f t="shared" si="38"/>
        <v>1825027.4143529527</v>
      </c>
      <c r="DA18" s="125">
        <f t="shared" si="38"/>
        <v>1825027.4143529527</v>
      </c>
      <c r="DB18" s="125">
        <f t="shared" si="38"/>
        <v>1825027.4143529527</v>
      </c>
      <c r="DC18" s="125">
        <f t="shared" si="38"/>
        <v>1825027.4143529527</v>
      </c>
      <c r="DD18" s="125">
        <f t="shared" si="38"/>
        <v>1825027.4143529527</v>
      </c>
      <c r="DE18" s="125">
        <f t="shared" si="38"/>
        <v>1825027.4143529527</v>
      </c>
      <c r="DF18" s="125">
        <f t="shared" si="38"/>
        <v>1825027.4143529527</v>
      </c>
      <c r="DG18" s="125">
        <f t="shared" si="38"/>
        <v>1825027.4143529527</v>
      </c>
      <c r="DH18" s="125">
        <f t="shared" si="38"/>
        <v>1825027.4143529527</v>
      </c>
      <c r="DI18" s="125">
        <f t="shared" si="38"/>
        <v>1825027.4143529527</v>
      </c>
      <c r="DJ18" s="125">
        <f t="shared" si="38"/>
        <v>1825027.4143529527</v>
      </c>
      <c r="DK18" s="125">
        <f t="shared" si="38"/>
        <v>1825027.4143529527</v>
      </c>
      <c r="DL18" s="125">
        <f t="shared" si="38"/>
        <v>1825027.4143529527</v>
      </c>
      <c r="DM18" s="125">
        <f t="shared" si="38"/>
        <v>1825027.4143529527</v>
      </c>
      <c r="DN18" s="125">
        <f t="shared" si="38"/>
        <v>1825027.4143529527</v>
      </c>
      <c r="DO18" s="125">
        <f t="shared" si="38"/>
        <v>1825027.4143529527</v>
      </c>
      <c r="DP18" s="125">
        <f t="shared" si="38"/>
        <v>1825027.4143529527</v>
      </c>
      <c r="DQ18" s="125">
        <f t="shared" si="38"/>
        <v>1825027.4143529527</v>
      </c>
      <c r="DR18" s="125">
        <f t="shared" si="38"/>
        <v>1825027.4143529527</v>
      </c>
      <c r="DS18" s="125">
        <f t="shared" si="38"/>
        <v>1825027.4143529527</v>
      </c>
      <c r="DT18" s="125">
        <f t="shared" si="38"/>
        <v>1825027.4143529527</v>
      </c>
      <c r="DU18" s="125">
        <f t="shared" si="38"/>
        <v>1825027.4143529527</v>
      </c>
      <c r="DV18" s="125">
        <f t="shared" si="38"/>
        <v>1825027.4143529527</v>
      </c>
      <c r="DW18" s="125">
        <f t="shared" si="38"/>
        <v>1825027.4143529527</v>
      </c>
      <c r="DX18" s="125">
        <f t="shared" si="38"/>
        <v>1825027.4143529527</v>
      </c>
      <c r="DY18" s="125">
        <f t="shared" si="38"/>
        <v>1825027.4143529527</v>
      </c>
      <c r="DZ18" s="125">
        <f t="shared" si="38"/>
        <v>1825027.4143529527</v>
      </c>
      <c r="EA18" s="125">
        <f t="shared" si="38"/>
        <v>1825027.4143529527</v>
      </c>
      <c r="EB18" s="125">
        <f t="shared" si="38"/>
        <v>1825027.4143529527</v>
      </c>
      <c r="EC18" s="125">
        <f t="shared" si="38"/>
        <v>1825027.4143529527</v>
      </c>
      <c r="ED18" s="125">
        <f t="shared" si="38"/>
        <v>1825027.4143529527</v>
      </c>
      <c r="EE18" s="125">
        <f t="shared" si="38"/>
        <v>1825027.4143529527</v>
      </c>
      <c r="EF18" s="125">
        <f t="shared" si="38"/>
        <v>1825027.4143529527</v>
      </c>
      <c r="EG18" s="125">
        <f t="shared" ref="EG18:GR18" si="39">EF18+EG17</f>
        <v>1825027.4143529527</v>
      </c>
      <c r="EH18" s="125">
        <f t="shared" si="39"/>
        <v>1825027.4143529527</v>
      </c>
      <c r="EI18" s="125">
        <f t="shared" si="39"/>
        <v>1825027.4143529527</v>
      </c>
      <c r="EJ18" s="125">
        <f t="shared" si="39"/>
        <v>1825027.4143529527</v>
      </c>
      <c r="EK18" s="125">
        <f t="shared" si="39"/>
        <v>1825027.4143529527</v>
      </c>
      <c r="EL18" s="125">
        <f t="shared" si="39"/>
        <v>1825027.4143529527</v>
      </c>
      <c r="EM18" s="125">
        <f t="shared" si="39"/>
        <v>1825027.4143529527</v>
      </c>
      <c r="EN18" s="125">
        <f t="shared" si="39"/>
        <v>1825027.4143529527</v>
      </c>
      <c r="EO18" s="125">
        <f t="shared" si="39"/>
        <v>1825027.4143529527</v>
      </c>
      <c r="EP18" s="125">
        <f t="shared" si="39"/>
        <v>1825027.4143529527</v>
      </c>
      <c r="EQ18" s="125">
        <f t="shared" si="39"/>
        <v>1825027.4143529527</v>
      </c>
      <c r="ER18" s="125">
        <f t="shared" si="39"/>
        <v>1825027.4143529527</v>
      </c>
      <c r="ES18" s="125">
        <f t="shared" si="39"/>
        <v>1825027.4143529527</v>
      </c>
      <c r="ET18" s="125">
        <f t="shared" si="39"/>
        <v>1825027.4143529527</v>
      </c>
      <c r="EU18" s="125">
        <f t="shared" si="39"/>
        <v>1825027.4143529527</v>
      </c>
      <c r="EV18" s="125">
        <f t="shared" si="39"/>
        <v>1825027.4143529527</v>
      </c>
      <c r="EW18" s="125">
        <f t="shared" si="39"/>
        <v>1825027.4143529527</v>
      </c>
      <c r="EX18" s="125">
        <f t="shared" si="39"/>
        <v>1825027.4143529527</v>
      </c>
      <c r="EY18" s="125">
        <f t="shared" si="39"/>
        <v>1825027.4143529527</v>
      </c>
      <c r="EZ18" s="125">
        <f t="shared" si="39"/>
        <v>1825027.4143529527</v>
      </c>
      <c r="FA18" s="125">
        <f t="shared" si="39"/>
        <v>1825027.4143529527</v>
      </c>
      <c r="FB18" s="125">
        <f t="shared" si="39"/>
        <v>1825027.4143529527</v>
      </c>
      <c r="FC18" s="125">
        <f t="shared" si="39"/>
        <v>1825027.4143529527</v>
      </c>
      <c r="FD18" s="125">
        <f t="shared" si="39"/>
        <v>1825027.4143529527</v>
      </c>
      <c r="FE18" s="125">
        <f t="shared" si="39"/>
        <v>1825027.4143529527</v>
      </c>
      <c r="FF18" s="125">
        <f t="shared" si="39"/>
        <v>1825027.4143529527</v>
      </c>
      <c r="FG18" s="125">
        <f t="shared" si="39"/>
        <v>1825027.4143529527</v>
      </c>
      <c r="FH18" s="125">
        <f t="shared" si="39"/>
        <v>1825027.4143529527</v>
      </c>
      <c r="FI18" s="125">
        <f t="shared" si="39"/>
        <v>1825027.4143529527</v>
      </c>
      <c r="FJ18" s="125">
        <f t="shared" si="39"/>
        <v>1825027.4143529527</v>
      </c>
      <c r="FK18" s="125">
        <f t="shared" si="39"/>
        <v>1825027.4143529527</v>
      </c>
      <c r="FL18" s="125">
        <f t="shared" si="39"/>
        <v>1825027.4143529527</v>
      </c>
      <c r="FM18" s="125">
        <f t="shared" si="39"/>
        <v>1825027.4143529527</v>
      </c>
      <c r="FN18" s="125">
        <f t="shared" si="39"/>
        <v>1825027.4143529527</v>
      </c>
      <c r="FO18" s="125">
        <f t="shared" si="39"/>
        <v>1825027.4143529527</v>
      </c>
      <c r="FP18" s="125">
        <f t="shared" si="39"/>
        <v>1825027.4143529527</v>
      </c>
      <c r="FQ18" s="125">
        <f t="shared" si="39"/>
        <v>1825027.4143529527</v>
      </c>
      <c r="FR18" s="125">
        <f t="shared" si="39"/>
        <v>1825027.4143529527</v>
      </c>
      <c r="FS18" s="125">
        <f t="shared" si="39"/>
        <v>1825027.4143529527</v>
      </c>
      <c r="FT18" s="125">
        <f t="shared" si="39"/>
        <v>1825027.4143529527</v>
      </c>
      <c r="FU18" s="125">
        <f t="shared" si="39"/>
        <v>1825027.4143529527</v>
      </c>
      <c r="FV18" s="125">
        <f t="shared" si="39"/>
        <v>1825027.4143529527</v>
      </c>
      <c r="FW18" s="125">
        <f t="shared" si="39"/>
        <v>1825027.4143529527</v>
      </c>
      <c r="FX18" s="125">
        <f t="shared" si="39"/>
        <v>1825027.4143529527</v>
      </c>
      <c r="FY18" s="125">
        <f t="shared" si="39"/>
        <v>1825027.4143529527</v>
      </c>
      <c r="FZ18" s="125">
        <f t="shared" si="39"/>
        <v>1825027.4143529527</v>
      </c>
      <c r="GA18" s="125">
        <f t="shared" si="39"/>
        <v>1825027.4143529527</v>
      </c>
      <c r="GB18" s="125">
        <f t="shared" si="39"/>
        <v>1825027.4143529527</v>
      </c>
      <c r="GC18" s="125">
        <f t="shared" si="39"/>
        <v>1825027.4143529527</v>
      </c>
      <c r="GD18" s="125">
        <f t="shared" si="39"/>
        <v>1825027.4143529527</v>
      </c>
      <c r="GE18" s="125">
        <f t="shared" si="39"/>
        <v>1825027.4143529527</v>
      </c>
      <c r="GF18" s="125">
        <f t="shared" si="39"/>
        <v>1825027.4143529527</v>
      </c>
      <c r="GG18" s="125">
        <f t="shared" si="39"/>
        <v>1825027.4143529527</v>
      </c>
      <c r="GH18" s="125">
        <f t="shared" si="39"/>
        <v>1825027.4143529527</v>
      </c>
      <c r="GI18" s="125">
        <f t="shared" si="39"/>
        <v>1825027.4143529527</v>
      </c>
      <c r="GJ18" s="125">
        <f t="shared" si="39"/>
        <v>1825027.4143529527</v>
      </c>
      <c r="GK18" s="125">
        <f t="shared" si="39"/>
        <v>1825027.4143529527</v>
      </c>
      <c r="GL18" s="125">
        <f t="shared" si="39"/>
        <v>1825027.4143529527</v>
      </c>
      <c r="GM18" s="125">
        <f t="shared" si="39"/>
        <v>1825027.4143529527</v>
      </c>
      <c r="GN18" s="125">
        <f t="shared" si="39"/>
        <v>1825027.4143529527</v>
      </c>
      <c r="GO18" s="125">
        <f t="shared" si="39"/>
        <v>1825027.4143529527</v>
      </c>
      <c r="GP18" s="125">
        <f t="shared" si="39"/>
        <v>1825027.4143529527</v>
      </c>
      <c r="GQ18" s="125">
        <f t="shared" si="39"/>
        <v>1825027.4143529527</v>
      </c>
      <c r="GR18" s="125">
        <f t="shared" si="39"/>
        <v>1825027.4143529527</v>
      </c>
      <c r="GS18" s="125">
        <f t="shared" ref="GS18:JD18" si="40">GR18+GS17</f>
        <v>1825027.4143529527</v>
      </c>
      <c r="GT18" s="125">
        <f t="shared" si="40"/>
        <v>1825027.4143529527</v>
      </c>
      <c r="GU18" s="125">
        <f t="shared" si="40"/>
        <v>1825027.4143529527</v>
      </c>
      <c r="GV18" s="125">
        <f t="shared" si="40"/>
        <v>1825027.4143529527</v>
      </c>
      <c r="GW18" s="125">
        <f t="shared" si="40"/>
        <v>1825027.4143529527</v>
      </c>
      <c r="GX18" s="125">
        <f t="shared" si="40"/>
        <v>1825027.4143529527</v>
      </c>
      <c r="GY18" s="125">
        <f t="shared" si="40"/>
        <v>1825027.4143529527</v>
      </c>
      <c r="GZ18" s="125">
        <f t="shared" si="40"/>
        <v>1825027.4143529527</v>
      </c>
      <c r="HA18" s="125">
        <f t="shared" si="40"/>
        <v>1825027.4143529527</v>
      </c>
      <c r="HB18" s="125">
        <f t="shared" si="40"/>
        <v>1825027.4143529527</v>
      </c>
      <c r="HC18" s="125">
        <f t="shared" si="40"/>
        <v>1825027.4143529527</v>
      </c>
      <c r="HD18" s="125">
        <f t="shared" si="40"/>
        <v>1825027.4143529527</v>
      </c>
      <c r="HE18" s="125">
        <f t="shared" si="40"/>
        <v>1825027.4143529527</v>
      </c>
      <c r="HF18" s="125">
        <f t="shared" si="40"/>
        <v>1825027.4143529527</v>
      </c>
      <c r="HG18" s="125">
        <f t="shared" si="40"/>
        <v>1825027.4143529527</v>
      </c>
      <c r="HH18" s="125">
        <f t="shared" si="40"/>
        <v>1825027.4143529527</v>
      </c>
      <c r="HI18" s="125">
        <f t="shared" si="40"/>
        <v>1825027.4143529527</v>
      </c>
      <c r="HJ18" s="125">
        <f t="shared" si="40"/>
        <v>1825027.4143529527</v>
      </c>
      <c r="HK18" s="125">
        <f t="shared" si="40"/>
        <v>1825027.4143529527</v>
      </c>
      <c r="HL18" s="125">
        <f t="shared" si="40"/>
        <v>1825027.4143529527</v>
      </c>
      <c r="HM18" s="125">
        <f t="shared" si="40"/>
        <v>1825027.4143529527</v>
      </c>
      <c r="HN18" s="125">
        <f t="shared" si="40"/>
        <v>1825027.4143529527</v>
      </c>
      <c r="HO18" s="125">
        <f t="shared" si="40"/>
        <v>1825027.4143529527</v>
      </c>
      <c r="HP18" s="125">
        <f t="shared" si="40"/>
        <v>1825027.4143529527</v>
      </c>
      <c r="HQ18" s="125">
        <f t="shared" si="40"/>
        <v>1825027.4143529527</v>
      </c>
      <c r="HR18" s="125">
        <f t="shared" si="40"/>
        <v>1825027.4143529527</v>
      </c>
      <c r="HS18" s="125">
        <f t="shared" si="40"/>
        <v>1825027.4143529527</v>
      </c>
      <c r="HT18" s="125">
        <f t="shared" si="40"/>
        <v>1825027.4143529527</v>
      </c>
      <c r="HU18" s="125">
        <f t="shared" si="40"/>
        <v>1825027.4143529527</v>
      </c>
      <c r="HV18" s="125">
        <f t="shared" si="40"/>
        <v>1825027.4143529527</v>
      </c>
      <c r="HW18" s="125">
        <f t="shared" si="40"/>
        <v>1825027.4143529527</v>
      </c>
      <c r="HX18" s="125">
        <f t="shared" si="40"/>
        <v>1825027.4143529527</v>
      </c>
      <c r="HY18" s="125">
        <f t="shared" si="40"/>
        <v>1825027.4143529527</v>
      </c>
      <c r="HZ18" s="125">
        <f t="shared" si="40"/>
        <v>1825027.4143529527</v>
      </c>
      <c r="IA18" s="125">
        <f t="shared" si="40"/>
        <v>1825027.4143529527</v>
      </c>
      <c r="IB18" s="125">
        <f t="shared" si="40"/>
        <v>1825027.4143529527</v>
      </c>
      <c r="IC18" s="125">
        <f t="shared" si="40"/>
        <v>1825027.4143529527</v>
      </c>
      <c r="ID18" s="125">
        <f t="shared" si="40"/>
        <v>1825027.4143529527</v>
      </c>
      <c r="IE18" s="125">
        <f t="shared" si="40"/>
        <v>1825027.4143529527</v>
      </c>
      <c r="IF18" s="125">
        <f t="shared" si="40"/>
        <v>1825027.4143529527</v>
      </c>
      <c r="IG18" s="125">
        <f t="shared" si="40"/>
        <v>1825027.4143529527</v>
      </c>
      <c r="IH18" s="125">
        <f t="shared" si="40"/>
        <v>1825027.4143529527</v>
      </c>
      <c r="II18" s="125">
        <f t="shared" si="40"/>
        <v>1825027.4143529527</v>
      </c>
      <c r="IJ18" s="125">
        <f t="shared" si="40"/>
        <v>1825027.4143529527</v>
      </c>
      <c r="IK18" s="125">
        <f t="shared" si="40"/>
        <v>1825027.4143529527</v>
      </c>
      <c r="IL18" s="125">
        <f t="shared" si="40"/>
        <v>1825027.4143529527</v>
      </c>
      <c r="IM18" s="125">
        <f t="shared" si="40"/>
        <v>1825027.4143529527</v>
      </c>
      <c r="IN18" s="125">
        <f t="shared" si="40"/>
        <v>1825027.4143529527</v>
      </c>
      <c r="IO18" s="125">
        <f t="shared" si="40"/>
        <v>1825027.4143529527</v>
      </c>
      <c r="IP18" s="125">
        <f t="shared" si="40"/>
        <v>1825027.4143529527</v>
      </c>
      <c r="IQ18" s="125">
        <f t="shared" si="40"/>
        <v>1825027.4143529527</v>
      </c>
      <c r="IR18" s="125">
        <f t="shared" si="40"/>
        <v>1825027.4143529527</v>
      </c>
      <c r="IS18" s="125">
        <f t="shared" si="40"/>
        <v>1825027.4143529527</v>
      </c>
      <c r="IT18" s="125">
        <f t="shared" si="40"/>
        <v>1825027.4143529527</v>
      </c>
      <c r="IU18" s="125">
        <f t="shared" si="40"/>
        <v>1825027.4143529527</v>
      </c>
      <c r="IV18" s="125">
        <f t="shared" si="40"/>
        <v>1825027.4143529527</v>
      </c>
      <c r="IW18" s="125">
        <f t="shared" si="40"/>
        <v>1825027.4143529527</v>
      </c>
      <c r="IX18" s="125">
        <f t="shared" si="40"/>
        <v>1825027.4143529527</v>
      </c>
      <c r="IY18" s="125">
        <f t="shared" si="40"/>
        <v>1825027.4143529527</v>
      </c>
      <c r="IZ18" s="125">
        <f t="shared" si="40"/>
        <v>1825027.4143529527</v>
      </c>
      <c r="JA18" s="125">
        <f t="shared" si="40"/>
        <v>1825027.4143529527</v>
      </c>
      <c r="JB18" s="125">
        <f t="shared" si="40"/>
        <v>1825027.4143529527</v>
      </c>
      <c r="JC18" s="125">
        <f t="shared" si="40"/>
        <v>1825027.4143529527</v>
      </c>
      <c r="JD18" s="125">
        <f t="shared" si="40"/>
        <v>1825027.4143529527</v>
      </c>
      <c r="JE18" s="125">
        <f t="shared" ref="JE18:KF18" si="41">JD18+JE17</f>
        <v>1825027.4143529527</v>
      </c>
      <c r="JF18" s="125">
        <f t="shared" si="41"/>
        <v>1825027.4143529527</v>
      </c>
      <c r="JG18" s="125">
        <f t="shared" si="41"/>
        <v>1825027.4143529527</v>
      </c>
      <c r="JH18" s="125">
        <f t="shared" si="41"/>
        <v>1825027.4143529527</v>
      </c>
      <c r="JI18" s="125">
        <f t="shared" si="41"/>
        <v>1825027.4143529527</v>
      </c>
      <c r="JJ18" s="125">
        <f t="shared" si="41"/>
        <v>1825027.4143529527</v>
      </c>
      <c r="JK18" s="125">
        <f t="shared" si="41"/>
        <v>1825027.4143529527</v>
      </c>
      <c r="JL18" s="125">
        <f t="shared" si="41"/>
        <v>1825027.4143529527</v>
      </c>
      <c r="JM18" s="125">
        <f t="shared" si="41"/>
        <v>1825027.4143529527</v>
      </c>
      <c r="JN18" s="125">
        <f t="shared" si="41"/>
        <v>1825027.4143529527</v>
      </c>
      <c r="JO18" s="125">
        <f t="shared" si="41"/>
        <v>1825027.4143529527</v>
      </c>
      <c r="JP18" s="125">
        <f t="shared" si="41"/>
        <v>1825027.4143529527</v>
      </c>
      <c r="JQ18" s="125">
        <f t="shared" si="41"/>
        <v>1825027.4143529527</v>
      </c>
      <c r="JR18" s="125">
        <f t="shared" si="41"/>
        <v>1825027.4143529527</v>
      </c>
      <c r="JS18" s="125">
        <f t="shared" si="41"/>
        <v>1825027.4143529527</v>
      </c>
      <c r="JT18" s="125">
        <f t="shared" si="41"/>
        <v>1825027.4143529527</v>
      </c>
      <c r="JU18" s="125">
        <f t="shared" si="41"/>
        <v>1825027.4143529527</v>
      </c>
      <c r="JV18" s="125">
        <f t="shared" si="41"/>
        <v>1825027.4143529527</v>
      </c>
      <c r="JW18" s="125">
        <f t="shared" si="41"/>
        <v>1825027.4143529527</v>
      </c>
      <c r="JX18" s="125">
        <f t="shared" si="41"/>
        <v>1825027.4143529527</v>
      </c>
      <c r="JY18" s="125">
        <f t="shared" si="41"/>
        <v>1825027.4143529527</v>
      </c>
      <c r="JZ18" s="125">
        <f t="shared" si="41"/>
        <v>1825027.4143529527</v>
      </c>
      <c r="KA18" s="125">
        <f t="shared" si="41"/>
        <v>1825027.4143529527</v>
      </c>
      <c r="KB18" s="125">
        <f t="shared" si="41"/>
        <v>1825027.4143529527</v>
      </c>
      <c r="KC18" s="125">
        <f t="shared" si="41"/>
        <v>1825027.4143529527</v>
      </c>
      <c r="KD18" s="125">
        <f t="shared" si="41"/>
        <v>1825027.4143529527</v>
      </c>
      <c r="KE18" s="125">
        <f t="shared" si="41"/>
        <v>1825027.4143529527</v>
      </c>
      <c r="KF18" s="125">
        <f t="shared" si="41"/>
        <v>1825027.4143529527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4140625" defaultRowHeight="14.4"/>
  <cols>
    <col min="1" max="1" width="37.44140625" style="269" bestFit="1" customWidth="1"/>
    <col min="2" max="2" width="15.5546875" style="270" bestFit="1" customWidth="1"/>
    <col min="3" max="3" width="11.5546875" style="269" bestFit="1" customWidth="1"/>
    <col min="4" max="4" width="10.77734375" style="269" bestFit="1" customWidth="1"/>
    <col min="5" max="5" width="6.21875" style="269" bestFit="1" customWidth="1"/>
    <col min="6" max="6" width="14.44140625" style="269" bestFit="1" customWidth="1"/>
    <col min="7" max="8" width="12.5546875" style="269" bestFit="1" customWidth="1"/>
    <col min="9" max="9" width="11.5546875" style="269" bestFit="1" customWidth="1"/>
    <col min="10" max="10" width="12.5546875" style="269" bestFit="1" customWidth="1"/>
    <col min="11" max="11" width="14.44140625" style="269" bestFit="1" customWidth="1"/>
    <col min="12" max="12" width="6.4414062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44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4140625" defaultRowHeight="14.4"/>
  <cols>
    <col min="1" max="1" width="20.5546875" bestFit="1" customWidth="1"/>
    <col min="2" max="2" width="16.44140625" style="308" bestFit="1" customWidth="1"/>
    <col min="3" max="4" width="11.21875" style="308" bestFit="1" customWidth="1"/>
    <col min="5" max="5" width="6.21875" style="308" bestFit="1" customWidth="1"/>
    <col min="6" max="8" width="12.5546875" style="308" bestFit="1" customWidth="1"/>
    <col min="9" max="9" width="11.5546875" style="308" bestFit="1" customWidth="1"/>
    <col min="10" max="10" width="11.5546875" bestFit="1" customWidth="1"/>
    <col min="11" max="11" width="14.4414062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441406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120</v>
      </c>
    </row>
    <row r="5" spans="3:8">
      <c r="C5" s="15">
        <v>45765</v>
      </c>
      <c r="D5" s="9" t="s">
        <v>437</v>
      </c>
      <c r="F5" s="17" t="s">
        <v>438</v>
      </c>
    </row>
    <row r="6" spans="3:8" ht="13.8" thickBot="1">
      <c r="C6" s="15">
        <v>45768</v>
      </c>
      <c r="D6" s="9" t="s">
        <v>439</v>
      </c>
      <c r="F6" s="18" t="s">
        <v>440</v>
      </c>
    </row>
    <row r="7" spans="3:8">
      <c r="C7" s="15">
        <v>45774</v>
      </c>
      <c r="D7" s="9" t="s">
        <v>441</v>
      </c>
    </row>
    <row r="8" spans="3:8">
      <c r="C8" s="15">
        <v>45765</v>
      </c>
      <c r="D8" s="9" t="s">
        <v>442</v>
      </c>
    </row>
    <row r="9" spans="3:8">
      <c r="C9" s="15">
        <v>45778</v>
      </c>
      <c r="D9" s="9" t="s">
        <v>443</v>
      </c>
    </row>
    <row r="10" spans="3:8">
      <c r="C10" s="15">
        <v>45824</v>
      </c>
      <c r="D10" s="9" t="s">
        <v>444</v>
      </c>
    </row>
    <row r="11" spans="3:8">
      <c r="C11" s="15">
        <v>45878</v>
      </c>
      <c r="D11" s="9" t="s">
        <v>445</v>
      </c>
    </row>
    <row r="12" spans="3:8">
      <c r="C12" s="15">
        <v>45924</v>
      </c>
      <c r="D12" s="9" t="s">
        <v>446</v>
      </c>
    </row>
    <row r="13" spans="3:8">
      <c r="C13" s="15">
        <v>46007</v>
      </c>
      <c r="D13" s="9" t="s">
        <v>447</v>
      </c>
      <c r="F13" s="20"/>
      <c r="H13" s="9" t="s">
        <v>448</v>
      </c>
    </row>
    <row r="14" spans="3:8">
      <c r="C14" s="15">
        <v>46016</v>
      </c>
      <c r="D14" s="9" t="s">
        <v>449</v>
      </c>
    </row>
    <row r="15" spans="3:8">
      <c r="C15" s="15">
        <v>46017</v>
      </c>
      <c r="D15" s="9" t="s">
        <v>450</v>
      </c>
    </row>
    <row r="16" spans="3:8">
      <c r="C16" s="15">
        <v>46006</v>
      </c>
      <c r="D16" s="9" t="s">
        <v>451</v>
      </c>
    </row>
    <row r="17" spans="3:4">
      <c r="C17" s="15">
        <v>46007</v>
      </c>
      <c r="D17" s="9" t="s">
        <v>451</v>
      </c>
    </row>
    <row r="18" spans="3:4">
      <c r="C18" s="15">
        <v>46008</v>
      </c>
      <c r="D18" s="9" t="s">
        <v>451</v>
      </c>
    </row>
    <row r="19" spans="3:4">
      <c r="C19" s="15">
        <v>46009</v>
      </c>
      <c r="D19" s="9" t="s">
        <v>451</v>
      </c>
    </row>
    <row r="20" spans="3:4">
      <c r="C20" s="15">
        <v>46010</v>
      </c>
      <c r="D20" s="9" t="s">
        <v>451</v>
      </c>
    </row>
    <row r="21" spans="3:4">
      <c r="C21" s="15">
        <v>46011</v>
      </c>
      <c r="D21" s="9" t="s">
        <v>451</v>
      </c>
    </row>
    <row r="22" spans="3:4">
      <c r="C22" s="15">
        <v>46012</v>
      </c>
      <c r="D22" s="9" t="s">
        <v>451</v>
      </c>
    </row>
    <row r="23" spans="3:4">
      <c r="C23" s="15">
        <v>46013</v>
      </c>
      <c r="D23" s="9" t="s">
        <v>451</v>
      </c>
    </row>
    <row r="24" spans="3:4">
      <c r="C24" s="15">
        <v>46014</v>
      </c>
      <c r="D24" s="9" t="s">
        <v>451</v>
      </c>
    </row>
    <row r="25" spans="3:4">
      <c r="C25" s="15">
        <v>46015</v>
      </c>
      <c r="D25" s="9" t="s">
        <v>451</v>
      </c>
    </row>
    <row r="26" spans="3:4">
      <c r="C26" s="15">
        <v>46016</v>
      </c>
      <c r="D26" s="9" t="s">
        <v>451</v>
      </c>
    </row>
    <row r="27" spans="3:4">
      <c r="C27" s="15">
        <v>46017</v>
      </c>
      <c r="D27" s="9" t="s">
        <v>451</v>
      </c>
    </row>
    <row r="28" spans="3:4">
      <c r="C28" s="15">
        <v>46018</v>
      </c>
      <c r="D28" s="9" t="s">
        <v>451</v>
      </c>
    </row>
    <row r="29" spans="3:4">
      <c r="C29" s="15">
        <v>46019</v>
      </c>
      <c r="D29" s="9" t="s">
        <v>451</v>
      </c>
    </row>
    <row r="30" spans="3:4">
      <c r="C30" s="15">
        <v>46020</v>
      </c>
      <c r="D30" s="9" t="s">
        <v>451</v>
      </c>
    </row>
    <row r="31" spans="3:4">
      <c r="C31" s="15">
        <v>46021</v>
      </c>
      <c r="D31" s="9" t="s">
        <v>451</v>
      </c>
    </row>
    <row r="32" spans="3:4">
      <c r="C32" s="15">
        <v>46022</v>
      </c>
      <c r="D32" s="9" t="s">
        <v>451</v>
      </c>
    </row>
    <row r="33" spans="3:4">
      <c r="C33" s="15">
        <v>46023</v>
      </c>
      <c r="D33" s="9" t="s">
        <v>451</v>
      </c>
    </row>
    <row r="34" spans="3:4">
      <c r="C34" s="15">
        <v>46024</v>
      </c>
      <c r="D34" s="9" t="s">
        <v>451</v>
      </c>
    </row>
    <row r="35" spans="3:4">
      <c r="C35" s="15">
        <v>46025</v>
      </c>
      <c r="D35" s="9" t="s">
        <v>451</v>
      </c>
    </row>
    <row r="36" spans="3:4">
      <c r="C36" s="15">
        <v>46026</v>
      </c>
      <c r="D36" s="9" t="s">
        <v>451</v>
      </c>
    </row>
    <row r="37" spans="3:4">
      <c r="C37" s="15">
        <v>46027</v>
      </c>
      <c r="D37" s="9" t="s">
        <v>451</v>
      </c>
    </row>
    <row r="38" spans="3:4">
      <c r="C38" s="15">
        <v>46028</v>
      </c>
      <c r="D38" s="9" t="s">
        <v>451</v>
      </c>
    </row>
    <row r="39" spans="3:4">
      <c r="C39" s="15">
        <v>46029</v>
      </c>
      <c r="D39" s="9" t="s">
        <v>451</v>
      </c>
    </row>
    <row r="40" spans="3:4">
      <c r="C40" s="15">
        <v>46030</v>
      </c>
      <c r="D40" s="9" t="s">
        <v>451</v>
      </c>
    </row>
    <row r="41" spans="3:4">
      <c r="C41" s="15"/>
      <c r="D41" s="9" t="s">
        <v>451</v>
      </c>
    </row>
    <row r="42" spans="3:4">
      <c r="C42" s="15"/>
      <c r="D42" s="9" t="s">
        <v>451</v>
      </c>
    </row>
    <row r="43" spans="3:4">
      <c r="C43" s="15"/>
      <c r="D43" s="9" t="s">
        <v>451</v>
      </c>
    </row>
    <row r="44" spans="3:4">
      <c r="C44" s="15"/>
      <c r="D44" s="9" t="s">
        <v>451</v>
      </c>
    </row>
    <row r="45" spans="3:4">
      <c r="C45" s="15"/>
      <c r="D45" s="9" t="s">
        <v>451</v>
      </c>
    </row>
    <row r="46" spans="3:4">
      <c r="C46" s="15"/>
      <c r="D46" s="9" t="s">
        <v>451</v>
      </c>
    </row>
    <row r="47" spans="3:4">
      <c r="C47" s="15"/>
      <c r="D47" s="9" t="s">
        <v>451</v>
      </c>
    </row>
    <row r="48" spans="3:4">
      <c r="C48" s="15"/>
      <c r="D48" s="9" t="s">
        <v>451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437</v>
      </c>
    </row>
    <row r="51" spans="3:4">
      <c r="C51" s="15">
        <v>46118</v>
      </c>
      <c r="D51" s="9" t="s">
        <v>439</v>
      </c>
    </row>
    <row r="52" spans="3:4">
      <c r="C52" s="15">
        <v>46139</v>
      </c>
      <c r="D52" s="9" t="s">
        <v>441</v>
      </c>
    </row>
    <row r="53" spans="3:4">
      <c r="C53" s="15">
        <v>46143</v>
      </c>
      <c r="D53" s="9" t="s">
        <v>443</v>
      </c>
    </row>
    <row r="54" spans="3:4">
      <c r="C54" s="15">
        <v>46189</v>
      </c>
      <c r="D54" s="9" t="s">
        <v>444</v>
      </c>
    </row>
    <row r="55" spans="3:4">
      <c r="C55" s="15">
        <v>46243</v>
      </c>
      <c r="D55" s="9" t="s">
        <v>445</v>
      </c>
    </row>
    <row r="56" spans="3:4">
      <c r="C56" s="15">
        <v>46244</v>
      </c>
      <c r="D56" s="9" t="s">
        <v>452</v>
      </c>
    </row>
    <row r="57" spans="3:4">
      <c r="C57" s="15">
        <v>46289</v>
      </c>
      <c r="D57" s="9" t="s">
        <v>446</v>
      </c>
    </row>
    <row r="58" spans="3:4">
      <c r="C58" s="15">
        <v>46372</v>
      </c>
      <c r="D58" s="9" t="s">
        <v>447</v>
      </c>
    </row>
    <row r="59" spans="3:4">
      <c r="C59" s="15">
        <v>46381</v>
      </c>
      <c r="D59" s="9" t="s">
        <v>449</v>
      </c>
    </row>
    <row r="60" spans="3:4" ht="13.8" thickBot="1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2026-03-05T08:22:55Z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