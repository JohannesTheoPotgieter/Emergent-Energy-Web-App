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714" documentId="6_{F23DB8AC-A5C1-4F83-AADD-D19FA192855F}" xr6:coauthVersionLast="47" xr6:coauthVersionMax="47" xr10:uidLastSave="{115F303C-A622-4ABA-8C46-9A8AACFE92AD}"/>
  <bookViews>
    <workbookView xWindow="11172" yWindow="192" windowWidth="11424" windowHeight="12204" tabRatio="704" firstSheet="8" activeTab="8" xr2:uid="{E6903F24-528D-4F70-BAAE-8243B2418312}"/>
  </bookViews>
  <sheets>
    <sheet name="Certificate - Financial Close" sheetId="24" r:id="rId1"/>
    <sheet name="Certificate - Planning" sheetId="23" r:id="rId2"/>
    <sheet name="Change Register" sheetId="10" r:id="rId3"/>
    <sheet name="BOQ" sheetId="20" r:id="rId4"/>
    <sheet name="Compliance" sheetId="22" r:id="rId5"/>
    <sheet name="Project Plan" sheetId="2" r:id="rId6"/>
    <sheet name="Revenue Tracking" sheetId="5" r:id="rId7"/>
    <sheet name="Expenditure Tracking" sheetId="3" r:id="rId8"/>
    <sheet name="Expenditure Breakdown" sheetId="18" r:id="rId9"/>
    <sheet name="Cashflow" sheetId="6" r:id="rId10"/>
    <sheet name="Chart2" sheetId="11" r:id="rId11"/>
    <sheet name="Finance - Revenue" sheetId="13" r:id="rId12"/>
    <sheet name="Finance - COS" sheetId="14" r:id="rId13"/>
    <sheet name="Data" sheetId="8" state="hidden" r:id="rId14"/>
  </sheets>
  <definedNames>
    <definedName name="Inverter_Capacity">#REF!</definedName>
    <definedName name="Inverter_Supplier">#REF!</definedName>
    <definedName name="_xlnm.Print_Area" localSheetId="0">'Certificate - Financial Close'!$A$1:$F$26</definedName>
    <definedName name="_xlnm.Print_Area" localSheetId="1">'Certificate - Planning'!$A$1:$F$32</definedName>
    <definedName name="_xlnm.Print_Area" localSheetId="5">'Project Plan'!$B$54:$G$59</definedName>
    <definedName name="Project_Size" localSheetId="11">'Finance - Revenue'!Projectsize</definedName>
    <definedName name="Project_Size">Projectsize</definedName>
    <definedName name="Projectsize" localSheetId="11">#REF!</definedName>
    <definedName name="Projectsize">#REF!</definedName>
    <definedName name="Security_Serv" localSheetId="11">#REF!</definedName>
    <definedName name="Security_Serv">#REF!</definedName>
    <definedName name="SSS" localSheetId="11">#REF!</definedName>
    <definedName name="SSS">#REF!</definedName>
    <definedName name="USD_ZAR">#REF!</definedName>
  </definedNames>
  <calcPr calcId="191028"/>
  <pivotCaches>
    <pivotCache cacheId="1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00" i="18" l="1"/>
  <c r="T121" i="18"/>
  <c r="T120" i="18"/>
  <c r="M28" i="2"/>
  <c r="W116" i="18" l="1"/>
  <c r="W117" i="18"/>
  <c r="Q31" i="18"/>
  <c r="Q46" i="18"/>
  <c r="Q30" i="18"/>
  <c r="I45" i="2"/>
  <c r="T116" i="18"/>
  <c r="W66" i="18"/>
  <c r="T66" i="18"/>
  <c r="W37" i="18"/>
  <c r="T37" i="18"/>
  <c r="Q7" i="18"/>
  <c r="Q88" i="18"/>
  <c r="Q87" i="18"/>
  <c r="Q57" i="18"/>
  <c r="W24" i="18"/>
  <c r="K24" i="2"/>
  <c r="G9" i="24" a="1"/>
  <c r="G9" i="24"/>
  <c r="F9" i="24" a="1"/>
  <c r="F9" i="24"/>
  <c r="C4" i="24"/>
  <c r="O112" i="18"/>
  <c r="Q116" i="18" s="1"/>
  <c r="AD36" i="18"/>
  <c r="AD40" i="18"/>
  <c r="AD41" i="18"/>
  <c r="AA30" i="18"/>
  <c r="AA31" i="18"/>
  <c r="E19" i="2"/>
  <c r="K12" i="2"/>
  <c r="E24" i="2"/>
  <c r="Q48" i="18"/>
  <c r="J154" i="18"/>
  <c r="I13" i="2"/>
  <c r="I14" i="2"/>
  <c r="N12" i="2"/>
  <c r="I24" i="2"/>
  <c r="I15" i="2"/>
  <c r="K14" i="2"/>
  <c r="K13" i="2"/>
  <c r="C7" i="23"/>
  <c r="C4" i="23"/>
  <c r="T54" i="18"/>
  <c r="G12" i="2"/>
  <c r="E13" i="2"/>
  <c r="G13" i="2"/>
  <c r="I16" i="2"/>
  <c r="K15" i="2"/>
  <c r="K25" i="2"/>
  <c r="I26" i="2"/>
  <c r="K26" i="2"/>
  <c r="N13" i="2"/>
  <c r="E14" i="2"/>
  <c r="K16" i="2"/>
  <c r="I11" i="2"/>
  <c r="G14" i="2"/>
  <c r="G24" i="2"/>
  <c r="E15" i="2"/>
  <c r="K11" i="2"/>
  <c r="J11" i="2"/>
  <c r="E25" i="2"/>
  <c r="E26" i="2"/>
  <c r="G26" i="2"/>
  <c r="H56" i="18"/>
  <c r="G15" i="2"/>
  <c r="E16" i="2"/>
  <c r="G16" i="2"/>
  <c r="E36" i="2"/>
  <c r="K19" i="2"/>
  <c r="I18" i="2"/>
  <c r="I30" i="2"/>
  <c r="G25" i="2"/>
  <c r="G36" i="2"/>
  <c r="H6" i="18"/>
  <c r="M48" i="2"/>
  <c r="M9" i="2" s="1"/>
  <c r="M44" i="2"/>
  <c r="M39" i="2"/>
  <c r="M35" i="2"/>
  <c r="M21" i="2"/>
  <c r="M11" i="2"/>
  <c r="I32" i="2"/>
  <c r="K32" i="2"/>
  <c r="K30" i="2"/>
  <c r="K18" i="2"/>
  <c r="J18" i="2"/>
  <c r="K36" i="2"/>
  <c r="X125" i="18"/>
  <c r="U125" i="18" s="1"/>
  <c r="G1" i="6"/>
  <c r="H1" i="6"/>
  <c r="I1" i="6"/>
  <c r="J1" i="6"/>
  <c r="K1" i="6"/>
  <c r="L1" i="6"/>
  <c r="M1" i="6"/>
  <c r="N1" i="6"/>
  <c r="O1" i="6"/>
  <c r="P1" i="6"/>
  <c r="Q1" i="6"/>
  <c r="R1" i="6"/>
  <c r="S1" i="6"/>
  <c r="T1" i="6"/>
  <c r="U1" i="6"/>
  <c r="V1" i="6"/>
  <c r="W1" i="6"/>
  <c r="X1" i="6"/>
  <c r="Y1" i="6"/>
  <c r="Z1" i="6"/>
  <c r="AA1" i="6"/>
  <c r="AB1" i="6"/>
  <c r="AC1" i="6"/>
  <c r="AD1" i="6"/>
  <c r="AE1" i="6"/>
  <c r="AF1" i="6"/>
  <c r="AG1" i="6"/>
  <c r="AH1" i="6"/>
  <c r="AI1" i="6"/>
  <c r="AJ1" i="6"/>
  <c r="AK1" i="6"/>
  <c r="AL1" i="6"/>
  <c r="AM1" i="6"/>
  <c r="AN1" i="6"/>
  <c r="AO1" i="6"/>
  <c r="AP1" i="6"/>
  <c r="AQ1" i="6"/>
  <c r="AR1" i="6"/>
  <c r="AS1" i="6"/>
  <c r="AT1" i="6"/>
  <c r="AU1" i="6"/>
  <c r="AV1" i="6"/>
  <c r="AW1" i="6"/>
  <c r="AX1" i="6"/>
  <c r="AY1" i="6"/>
  <c r="AZ1" i="6"/>
  <c r="BA1" i="6"/>
  <c r="BB1" i="6"/>
  <c r="BC1" i="6"/>
  <c r="BD1" i="6"/>
  <c r="BE1" i="6"/>
  <c r="BF1" i="6"/>
  <c r="BG1" i="6"/>
  <c r="BH1" i="6"/>
  <c r="BI1" i="6"/>
  <c r="BJ1" i="6"/>
  <c r="BK1" i="6"/>
  <c r="BL1" i="6"/>
  <c r="BM1" i="6"/>
  <c r="BN1" i="6"/>
  <c r="BO1" i="6"/>
  <c r="BP1" i="6"/>
  <c r="BQ1" i="6"/>
  <c r="BR1" i="6"/>
  <c r="BS1" i="6"/>
  <c r="BT1" i="6"/>
  <c r="BU1" i="6"/>
  <c r="BV1" i="6"/>
  <c r="BW1" i="6"/>
  <c r="BX1" i="6"/>
  <c r="BY1" i="6"/>
  <c r="BZ1" i="6"/>
  <c r="CA1" i="6"/>
  <c r="CB1" i="6"/>
  <c r="CC1" i="6"/>
  <c r="CD1" i="6"/>
  <c r="CE1" i="6"/>
  <c r="CF1" i="6"/>
  <c r="CG1" i="6"/>
  <c r="CH1" i="6"/>
  <c r="CI1" i="6"/>
  <c r="CJ1" i="6"/>
  <c r="CK1" i="6"/>
  <c r="CL1" i="6"/>
  <c r="CM1" i="6"/>
  <c r="CN1" i="6"/>
  <c r="CO1" i="6"/>
  <c r="CP1" i="6"/>
  <c r="CQ1" i="6"/>
  <c r="CR1" i="6"/>
  <c r="CS1" i="6"/>
  <c r="CT1" i="6"/>
  <c r="CU1" i="6"/>
  <c r="CV1" i="6"/>
  <c r="CW1" i="6"/>
  <c r="CX1" i="6"/>
  <c r="CY1" i="6"/>
  <c r="CZ1" i="6"/>
  <c r="DA1" i="6"/>
  <c r="DB1" i="6"/>
  <c r="DC1" i="6"/>
  <c r="DD1" i="6"/>
  <c r="DE1" i="6"/>
  <c r="DF1" i="6"/>
  <c r="DG1" i="6"/>
  <c r="DH1" i="6"/>
  <c r="DI1" i="6"/>
  <c r="DJ1" i="6"/>
  <c r="DK1" i="6"/>
  <c r="DL1" i="6"/>
  <c r="DM1" i="6"/>
  <c r="DN1" i="6"/>
  <c r="DO1" i="6"/>
  <c r="DP1" i="6"/>
  <c r="DQ1" i="6"/>
  <c r="DR1" i="6"/>
  <c r="DS1" i="6"/>
  <c r="DT1" i="6"/>
  <c r="DU1" i="6"/>
  <c r="DV1" i="6"/>
  <c r="DW1" i="6"/>
  <c r="DX1" i="6"/>
  <c r="DY1" i="6"/>
  <c r="DZ1" i="6"/>
  <c r="EA1" i="6"/>
  <c r="EB1" i="6"/>
  <c r="EC1" i="6"/>
  <c r="ED1" i="6"/>
  <c r="EE1" i="6"/>
  <c r="EF1" i="6"/>
  <c r="EG1" i="6"/>
  <c r="EH1" i="6"/>
  <c r="EI1" i="6"/>
  <c r="EJ1" i="6"/>
  <c r="EK1" i="6"/>
  <c r="EL1" i="6"/>
  <c r="EM1" i="6"/>
  <c r="EN1" i="6"/>
  <c r="EO1" i="6"/>
  <c r="EP1" i="6"/>
  <c r="EQ1" i="6"/>
  <c r="ER1" i="6"/>
  <c r="ES1" i="6"/>
  <c r="ET1" i="6"/>
  <c r="EU1" i="6"/>
  <c r="EV1" i="6"/>
  <c r="EW1" i="6"/>
  <c r="EX1" i="6"/>
  <c r="EY1" i="6"/>
  <c r="EZ1" i="6"/>
  <c r="FA1" i="6"/>
  <c r="FB1" i="6"/>
  <c r="FC1" i="6"/>
  <c r="FD1" i="6"/>
  <c r="FE1" i="6"/>
  <c r="FF1" i="6"/>
  <c r="FG1" i="6"/>
  <c r="FH1" i="6"/>
  <c r="FI1" i="6"/>
  <c r="FJ1" i="6"/>
  <c r="FK1" i="6"/>
  <c r="FL1" i="6"/>
  <c r="FM1" i="6"/>
  <c r="FN1" i="6"/>
  <c r="FO1" i="6"/>
  <c r="FP1" i="6"/>
  <c r="FQ1" i="6"/>
  <c r="FR1" i="6"/>
  <c r="FS1" i="6"/>
  <c r="FT1" i="6"/>
  <c r="FU1" i="6"/>
  <c r="FV1" i="6"/>
  <c r="FW1" i="6"/>
  <c r="FX1" i="6"/>
  <c r="FY1" i="6"/>
  <c r="FZ1" i="6"/>
  <c r="GA1" i="6"/>
  <c r="GB1" i="6"/>
  <c r="GC1" i="6"/>
  <c r="GD1" i="6"/>
  <c r="GE1" i="6"/>
  <c r="GF1" i="6"/>
  <c r="GG1" i="6"/>
  <c r="GH1" i="6"/>
  <c r="GI1" i="6"/>
  <c r="GJ1" i="6"/>
  <c r="GK1" i="6"/>
  <c r="GL1" i="6"/>
  <c r="GM1" i="6"/>
  <c r="GN1" i="6"/>
  <c r="GO1" i="6"/>
  <c r="GP1" i="6"/>
  <c r="GQ1" i="6"/>
  <c r="GR1" i="6"/>
  <c r="GS1" i="6"/>
  <c r="GT1" i="6"/>
  <c r="GU1" i="6"/>
  <c r="GV1" i="6"/>
  <c r="GW1" i="6"/>
  <c r="GX1" i="6"/>
  <c r="GY1" i="6"/>
  <c r="GZ1" i="6"/>
  <c r="HA1" i="6"/>
  <c r="HB1" i="6"/>
  <c r="HC1" i="6"/>
  <c r="HD1" i="6"/>
  <c r="HE1" i="6"/>
  <c r="HF1" i="6"/>
  <c r="HG1" i="6"/>
  <c r="HH1" i="6"/>
  <c r="HI1" i="6"/>
  <c r="HJ1" i="6"/>
  <c r="HK1" i="6"/>
  <c r="HL1" i="6"/>
  <c r="HM1" i="6"/>
  <c r="HN1" i="6"/>
  <c r="HO1" i="6"/>
  <c r="HP1" i="6"/>
  <c r="HQ1" i="6"/>
  <c r="HR1" i="6"/>
  <c r="HS1" i="6"/>
  <c r="HT1" i="6"/>
  <c r="HU1" i="6"/>
  <c r="HV1" i="6"/>
  <c r="HW1" i="6"/>
  <c r="HX1" i="6"/>
  <c r="HY1" i="6"/>
  <c r="HZ1" i="6"/>
  <c r="IA1" i="6"/>
  <c r="IB1" i="6"/>
  <c r="IC1" i="6"/>
  <c r="ID1" i="6"/>
  <c r="IE1" i="6"/>
  <c r="IF1" i="6"/>
  <c r="IG1" i="6"/>
  <c r="IH1" i="6"/>
  <c r="II1" i="6"/>
  <c r="IJ1" i="6"/>
  <c r="IK1" i="6"/>
  <c r="IL1" i="6"/>
  <c r="IM1" i="6"/>
  <c r="IN1" i="6"/>
  <c r="IO1" i="6"/>
  <c r="IP1" i="6"/>
  <c r="IQ1" i="6"/>
  <c r="IR1" i="6"/>
  <c r="IS1" i="6"/>
  <c r="IT1" i="6"/>
  <c r="IU1" i="6"/>
  <c r="IV1" i="6"/>
  <c r="IW1" i="6"/>
  <c r="IX1" i="6"/>
  <c r="IY1" i="6"/>
  <c r="IZ1" i="6"/>
  <c r="JA1" i="6"/>
  <c r="JB1" i="6"/>
  <c r="JC1" i="6"/>
  <c r="JD1" i="6"/>
  <c r="JE1" i="6"/>
  <c r="JF1" i="6"/>
  <c r="JG1" i="6"/>
  <c r="JH1" i="6"/>
  <c r="JI1" i="6"/>
  <c r="JJ1" i="6"/>
  <c r="JK1" i="6"/>
  <c r="JL1" i="6"/>
  <c r="JM1" i="6"/>
  <c r="JN1" i="6"/>
  <c r="JO1" i="6"/>
  <c r="JP1" i="6"/>
  <c r="JQ1" i="6"/>
  <c r="JR1" i="6"/>
  <c r="JS1" i="6"/>
  <c r="JT1" i="6"/>
  <c r="JU1" i="6"/>
  <c r="JV1" i="6"/>
  <c r="JW1" i="6"/>
  <c r="JX1" i="6"/>
  <c r="JY1" i="6"/>
  <c r="JZ1" i="6"/>
  <c r="KA1" i="6"/>
  <c r="KB1" i="6"/>
  <c r="KC1" i="6"/>
  <c r="KD1" i="6"/>
  <c r="KE1" i="6"/>
  <c r="KF1" i="6"/>
  <c r="Q112" i="18"/>
  <c r="O33" i="18"/>
  <c r="T122" i="18"/>
  <c r="T123" i="18"/>
  <c r="T124" i="18"/>
  <c r="T129" i="18"/>
  <c r="T130" i="18"/>
  <c r="T132" i="18"/>
  <c r="T133" i="18"/>
  <c r="T140" i="18"/>
  <c r="T144" i="18"/>
  <c r="T145" i="18"/>
  <c r="T146" i="18"/>
  <c r="T147" i="18"/>
  <c r="T148" i="18"/>
  <c r="T149" i="18"/>
  <c r="T150" i="18"/>
  <c r="T151" i="18"/>
  <c r="T152" i="18"/>
  <c r="T153" i="18"/>
  <c r="T154" i="18"/>
  <c r="T28" i="18"/>
  <c r="T27" i="18"/>
  <c r="T25" i="18"/>
  <c r="T23" i="18"/>
  <c r="T20" i="18"/>
  <c r="T19" i="18"/>
  <c r="T18" i="18"/>
  <c r="T17" i="18"/>
  <c r="T16" i="18"/>
  <c r="T15" i="18"/>
  <c r="T14" i="18"/>
  <c r="T12" i="18"/>
  <c r="T11" i="18"/>
  <c r="T9" i="18"/>
  <c r="Q29" i="18"/>
  <c r="Q13" i="18"/>
  <c r="X13" i="18"/>
  <c r="G134" i="18"/>
  <c r="T9" i="2"/>
  <c r="S9" i="2"/>
  <c r="S20" i="2"/>
  <c r="S19" i="2"/>
  <c r="S18" i="2"/>
  <c r="S17" i="2"/>
  <c r="S16" i="2"/>
  <c r="S15" i="2"/>
  <c r="S14" i="2"/>
  <c r="S13" i="2"/>
  <c r="X46" i="18"/>
  <c r="AO13" i="5"/>
  <c r="G111" i="18"/>
  <c r="Z18" i="18"/>
  <c r="J108" i="18"/>
  <c r="T165" i="18"/>
  <c r="T164" i="18"/>
  <c r="T163" i="18"/>
  <c r="T162" i="18"/>
  <c r="T161" i="18"/>
  <c r="T160" i="18"/>
  <c r="T159" i="18"/>
  <c r="T158" i="18"/>
  <c r="T157" i="18"/>
  <c r="T111" i="18"/>
  <c r="T110" i="18"/>
  <c r="T109" i="18"/>
  <c r="T107" i="18"/>
  <c r="T106" i="18"/>
  <c r="T104" i="18"/>
  <c r="T94" i="18"/>
  <c r="T93" i="18"/>
  <c r="T74" i="18"/>
  <c r="T73" i="18"/>
  <c r="T72" i="18"/>
  <c r="T71" i="18"/>
  <c r="T61" i="18"/>
  <c r="T60" i="18"/>
  <c r="T59" i="18"/>
  <c r="T56" i="18"/>
  <c r="T55" i="18"/>
  <c r="T45" i="18"/>
  <c r="T44" i="18"/>
  <c r="T43" i="18"/>
  <c r="T42" i="18"/>
  <c r="T32" i="18"/>
  <c r="J75" i="18"/>
  <c r="V75" i="18"/>
  <c r="X84" i="18"/>
  <c r="E29" i="18"/>
  <c r="I131" i="18"/>
  <c r="G141" i="18"/>
  <c r="G110" i="18"/>
  <c r="G109" i="18"/>
  <c r="Z17" i="18"/>
  <c r="G108" i="18"/>
  <c r="Z16" i="18"/>
  <c r="G95" i="18"/>
  <c r="G94" i="18"/>
  <c r="Z14" i="18"/>
  <c r="G56" i="18"/>
  <c r="Z12" i="18"/>
  <c r="O62" i="18"/>
  <c r="Q66" i="18"/>
  <c r="G46" i="18"/>
  <c r="I46" i="18"/>
  <c r="G30" i="18"/>
  <c r="Z13" i="18"/>
  <c r="G21" i="18"/>
  <c r="G13" i="18"/>
  <c r="I13" i="18"/>
  <c r="G6" i="18"/>
  <c r="Q134" i="18"/>
  <c r="Y31" i="18"/>
  <c r="Y30" i="18"/>
  <c r="Y29" i="18"/>
  <c r="Y28" i="18"/>
  <c r="J141" i="18"/>
  <c r="J134" i="18"/>
  <c r="J125" i="18"/>
  <c r="J94" i="18"/>
  <c r="J56" i="18"/>
  <c r="J46" i="18"/>
  <c r="J29" i="18"/>
  <c r="J21" i="18"/>
  <c r="J13" i="18"/>
  <c r="J6" i="18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54" i="18"/>
  <c r="H23" i="3"/>
  <c r="I154" i="18"/>
  <c r="F23" i="3"/>
  <c r="X131" i="18"/>
  <c r="H20" i="3" s="1"/>
  <c r="J20" i="3" s="1"/>
  <c r="X75" i="18"/>
  <c r="I75" i="18"/>
  <c r="F15" i="3"/>
  <c r="I84" i="18"/>
  <c r="F16" i="3"/>
  <c r="O1" i="2"/>
  <c r="N1" i="2"/>
  <c r="G25" i="3"/>
  <c r="D4" i="5"/>
  <c r="F13" i="5"/>
  <c r="E46" i="5"/>
  <c r="E47" i="5"/>
  <c r="E21" i="5"/>
  <c r="I125" i="18"/>
  <c r="X21" i="18"/>
  <c r="U23" i="18" s="1"/>
  <c r="W57" i="18"/>
  <c r="Q67" i="18"/>
  <c r="Q65" i="18"/>
  <c r="Q68" i="18"/>
  <c r="Q69" i="18"/>
  <c r="Q70" i="18"/>
  <c r="U26" i="18"/>
  <c r="I141" i="18"/>
  <c r="F22" i="3"/>
  <c r="Q144" i="18"/>
  <c r="K22" i="2"/>
  <c r="I31" i="2"/>
  <c r="U15" i="18"/>
  <c r="Q120" i="18"/>
  <c r="I6" i="18"/>
  <c r="I21" i="18"/>
  <c r="I29" i="18"/>
  <c r="F12" i="3"/>
  <c r="I134" i="18"/>
  <c r="F21" i="3"/>
  <c r="F19" i="3"/>
  <c r="F10" i="3"/>
  <c r="I94" i="18"/>
  <c r="Z15" i="18"/>
  <c r="J2" i="18"/>
  <c r="J4" i="18"/>
  <c r="F20" i="3"/>
  <c r="Q119" i="18"/>
  <c r="U14" i="18"/>
  <c r="H10" i="3"/>
  <c r="U17" i="18"/>
  <c r="I56" i="18"/>
  <c r="U16" i="18"/>
  <c r="U19" i="18"/>
  <c r="U18" i="18"/>
  <c r="I108" i="18"/>
  <c r="N14" i="2"/>
  <c r="J23" i="3"/>
  <c r="F18" i="5"/>
  <c r="F15" i="5"/>
  <c r="Q6" i="18"/>
  <c r="X6" i="18"/>
  <c r="F14" i="5"/>
  <c r="F17" i="5"/>
  <c r="F16" i="5"/>
  <c r="F19" i="5"/>
  <c r="C3" i="6"/>
  <c r="H15" i="3"/>
  <c r="J15" i="3"/>
  <c r="Q41" i="18"/>
  <c r="Q35" i="18"/>
  <c r="Q40" i="18"/>
  <c r="Q33" i="18"/>
  <c r="Q38" i="18"/>
  <c r="Q39" i="18"/>
  <c r="Q36" i="18"/>
  <c r="Q34" i="18"/>
  <c r="Q63" i="18"/>
  <c r="Q64" i="18"/>
  <c r="Q62" i="18"/>
  <c r="U54" i="18"/>
  <c r="Q117" i="18"/>
  <c r="Q113" i="18"/>
  <c r="Q115" i="18"/>
  <c r="Q118" i="18"/>
  <c r="Q114" i="18"/>
  <c r="X134" i="18"/>
  <c r="F13" i="3"/>
  <c r="H11" i="3"/>
  <c r="J11" i="3" s="1"/>
  <c r="U127" i="18"/>
  <c r="U129" i="18"/>
  <c r="U128" i="18"/>
  <c r="U126" i="18"/>
  <c r="H13" i="3"/>
  <c r="H16" i="3"/>
  <c r="J16" i="3"/>
  <c r="U25" i="18"/>
  <c r="U27" i="18"/>
  <c r="Z22" i="18"/>
  <c r="Z23" i="18"/>
  <c r="Z24" i="18"/>
  <c r="K31" i="2"/>
  <c r="V13" i="18"/>
  <c r="X141" i="18"/>
  <c r="F17" i="3"/>
  <c r="F14" i="3"/>
  <c r="J10" i="3"/>
  <c r="F11" i="3"/>
  <c r="I2" i="18"/>
  <c r="F9" i="3"/>
  <c r="F18" i="3"/>
  <c r="N15" i="2"/>
  <c r="J13" i="3"/>
  <c r="F21" i="5"/>
  <c r="F4" i="5"/>
  <c r="C9" i="6"/>
  <c r="U11" i="18"/>
  <c r="H9" i="3"/>
  <c r="X56" i="18"/>
  <c r="U138" i="18"/>
  <c r="U134" i="18"/>
  <c r="H21" i="3"/>
  <c r="J21" i="3"/>
  <c r="U139" i="18"/>
  <c r="U135" i="18"/>
  <c r="U136" i="18"/>
  <c r="U137" i="18"/>
  <c r="X29" i="18"/>
  <c r="U40" i="18" s="1"/>
  <c r="X108" i="18"/>
  <c r="U109" i="18" s="1"/>
  <c r="V84" i="18"/>
  <c r="V46" i="18"/>
  <c r="U66" i="18"/>
  <c r="U69" i="18"/>
  <c r="O95" i="18"/>
  <c r="Q99" i="18"/>
  <c r="Z40" i="18"/>
  <c r="K23" i="2"/>
  <c r="I21" i="2"/>
  <c r="I37" i="2"/>
  <c r="U68" i="18"/>
  <c r="U146" i="18"/>
  <c r="U144" i="18"/>
  <c r="U147" i="18"/>
  <c r="H22" i="3"/>
  <c r="J22" i="3"/>
  <c r="U150" i="18"/>
  <c r="U151" i="18"/>
  <c r="U148" i="18"/>
  <c r="U145" i="18"/>
  <c r="U152" i="18"/>
  <c r="U149" i="18"/>
  <c r="N25" i="2"/>
  <c r="N24" i="2"/>
  <c r="N26" i="2"/>
  <c r="F5" i="3"/>
  <c r="D5" i="5"/>
  <c r="D6" i="5"/>
  <c r="D7" i="5"/>
  <c r="J9" i="3"/>
  <c r="F47" i="5"/>
  <c r="F45" i="5"/>
  <c r="U70" i="18"/>
  <c r="T13" i="2"/>
  <c r="F44" i="5"/>
  <c r="H18" i="3"/>
  <c r="J18" i="3" s="1"/>
  <c r="V134" i="18"/>
  <c r="H14" i="3"/>
  <c r="J14" i="3"/>
  <c r="U60" i="18"/>
  <c r="U61" i="18"/>
  <c r="U71" i="18"/>
  <c r="U59" i="18"/>
  <c r="U72" i="18"/>
  <c r="U56" i="18"/>
  <c r="U73" i="18"/>
  <c r="H12" i="3"/>
  <c r="J12" i="3" s="1"/>
  <c r="U43" i="18"/>
  <c r="V6" i="18"/>
  <c r="U67" i="18"/>
  <c r="U39" i="18"/>
  <c r="F25" i="3"/>
  <c r="K21" i="2"/>
  <c r="N23" i="2"/>
  <c r="F41" i="5"/>
  <c r="Z41" i="18"/>
  <c r="V141" i="18"/>
  <c r="Q97" i="18"/>
  <c r="Q101" i="18"/>
  <c r="Q96" i="18"/>
  <c r="Q95" i="18"/>
  <c r="Q98" i="18"/>
  <c r="Q100" i="18"/>
  <c r="Q102" i="18"/>
  <c r="Q103" i="18"/>
  <c r="K37" i="2"/>
  <c r="I35" i="2"/>
  <c r="C5" i="6"/>
  <c r="F42" i="5"/>
  <c r="F43" i="5"/>
  <c r="N16" i="2"/>
  <c r="E11" i="2"/>
  <c r="V56" i="18"/>
  <c r="J21" i="2"/>
  <c r="X94" i="18"/>
  <c r="F46" i="5"/>
  <c r="I33" i="2"/>
  <c r="K35" i="2"/>
  <c r="J35" i="2"/>
  <c r="N36" i="2"/>
  <c r="G19" i="2"/>
  <c r="E22" i="2"/>
  <c r="E18" i="2"/>
  <c r="E30" i="2"/>
  <c r="G11" i="2"/>
  <c r="F11" i="2"/>
  <c r="U13" i="2"/>
  <c r="V13" i="2"/>
  <c r="W95" i="18"/>
  <c r="U103" i="18"/>
  <c r="U99" i="18"/>
  <c r="U101" i="18"/>
  <c r="U102" i="18"/>
  <c r="U104" i="18"/>
  <c r="U94" i="18"/>
  <c r="H17" i="3"/>
  <c r="U105" i="18"/>
  <c r="U106" i="18"/>
  <c r="U100" i="18"/>
  <c r="K33" i="2"/>
  <c r="K28" i="2"/>
  <c r="I40" i="2"/>
  <c r="I28" i="2"/>
  <c r="N19" i="2"/>
  <c r="N18" i="2" s="1"/>
  <c r="G30" i="2"/>
  <c r="E31" i="2"/>
  <c r="G31" i="2"/>
  <c r="E37" i="2"/>
  <c r="G37" i="2"/>
  <c r="H21" i="18"/>
  <c r="G22" i="2"/>
  <c r="E23" i="2"/>
  <c r="G23" i="2"/>
  <c r="H13" i="18"/>
  <c r="T14" i="2"/>
  <c r="E32" i="2"/>
  <c r="H14" i="5"/>
  <c r="G18" i="2"/>
  <c r="F18" i="2"/>
  <c r="W62" i="18"/>
  <c r="W33" i="18"/>
  <c r="W112" i="18"/>
  <c r="W113" i="18"/>
  <c r="W34" i="18"/>
  <c r="W63" i="18"/>
  <c r="J17" i="3"/>
  <c r="V94" i="18"/>
  <c r="J28" i="2"/>
  <c r="E33" i="2"/>
  <c r="G33" i="2"/>
  <c r="N32" i="2"/>
  <c r="N30" i="2"/>
  <c r="N31" i="2"/>
  <c r="G32" i="2"/>
  <c r="H29" i="18"/>
  <c r="H46" i="18"/>
  <c r="H47" i="18"/>
  <c r="H15" i="5"/>
  <c r="G21" i="2"/>
  <c r="E35" i="2"/>
  <c r="V14" i="2"/>
  <c r="K40" i="2"/>
  <c r="H94" i="18"/>
  <c r="H110" i="18"/>
  <c r="N22" i="2"/>
  <c r="E21" i="2"/>
  <c r="F21" i="2"/>
  <c r="G35" i="2"/>
  <c r="F35" i="2"/>
  <c r="M18" i="2"/>
  <c r="U14" i="2"/>
  <c r="I41" i="2"/>
  <c r="K45" i="2"/>
  <c r="H108" i="18"/>
  <c r="H109" i="18"/>
  <c r="H111" i="18"/>
  <c r="G28" i="2"/>
  <c r="E28" i="2"/>
  <c r="T15" i="2"/>
  <c r="I46" i="2"/>
  <c r="K41" i="2"/>
  <c r="E40" i="2"/>
  <c r="H95" i="18"/>
  <c r="H30" i="18"/>
  <c r="F28" i="2"/>
  <c r="T17" i="2"/>
  <c r="U15" i="2"/>
  <c r="V15" i="2"/>
  <c r="G40" i="2"/>
  <c r="E41" i="2"/>
  <c r="G41" i="2"/>
  <c r="E42" i="2"/>
  <c r="G45" i="2"/>
  <c r="E45" i="2"/>
  <c r="I42" i="2"/>
  <c r="I49" i="2"/>
  <c r="K46" i="2"/>
  <c r="K44" i="2"/>
  <c r="I44" i="2"/>
  <c r="N37" i="2"/>
  <c r="N33" i="2"/>
  <c r="W114" i="18"/>
  <c r="W64" i="18"/>
  <c r="W35" i="18"/>
  <c r="G42" i="2"/>
  <c r="J44" i="2"/>
  <c r="K49" i="2"/>
  <c r="K42" i="2"/>
  <c r="K39" i="2"/>
  <c r="I39" i="2"/>
  <c r="E46" i="2"/>
  <c r="E49" i="2"/>
  <c r="T16" i="2"/>
  <c r="U17" i="2"/>
  <c r="V17" i="2"/>
  <c r="T64" i="18"/>
  <c r="T114" i="18"/>
  <c r="T35" i="18"/>
  <c r="J9" i="2"/>
  <c r="J39" i="2"/>
  <c r="G46" i="2"/>
  <c r="G49" i="2"/>
  <c r="E44" i="2"/>
  <c r="K50" i="2"/>
  <c r="N50" i="2" s="1"/>
  <c r="E51" i="2"/>
  <c r="G51" i="2"/>
  <c r="E50" i="2"/>
  <c r="G50" i="2"/>
  <c r="G44" i="2"/>
  <c r="F44" i="2"/>
  <c r="U16" i="2"/>
  <c r="V16" i="2"/>
  <c r="N40" i="2"/>
  <c r="W115" i="18"/>
  <c r="W36" i="18"/>
  <c r="W65" i="18"/>
  <c r="N41" i="2"/>
  <c r="N42" i="2"/>
  <c r="G48" i="2"/>
  <c r="H17" i="5"/>
  <c r="E48" i="2"/>
  <c r="T65" i="18"/>
  <c r="T36" i="18"/>
  <c r="T115" i="18"/>
  <c r="N45" i="2"/>
  <c r="N44" i="2" s="1"/>
  <c r="H141" i="18"/>
  <c r="H134" i="18"/>
  <c r="K2" i="2"/>
  <c r="K3" i="2"/>
  <c r="K4" i="2"/>
  <c r="T18" i="2"/>
  <c r="U18" i="2"/>
  <c r="V18" i="2"/>
  <c r="P16" i="5"/>
  <c r="W38" i="18"/>
  <c r="T38" i="18"/>
  <c r="W67" i="18"/>
  <c r="N46" i="2"/>
  <c r="T117" i="18"/>
  <c r="T67" i="18"/>
  <c r="T19" i="2"/>
  <c r="U19" i="2"/>
  <c r="V19" i="2"/>
  <c r="T68" i="18"/>
  <c r="T39" i="18"/>
  <c r="T118" i="18"/>
  <c r="T69" i="18"/>
  <c r="T40" i="18"/>
  <c r="T119" i="18"/>
  <c r="T41" i="18"/>
  <c r="T70" i="18"/>
  <c r="EU9" i="6"/>
  <c r="KF9" i="6"/>
  <c r="U9" i="6"/>
  <c r="DU9" i="6"/>
  <c r="BH9" i="6"/>
  <c r="HI9" i="6"/>
  <c r="JB9" i="6"/>
  <c r="JO9" i="6"/>
  <c r="DE9" i="6"/>
  <c r="F9" i="6"/>
  <c r="EC9" i="6"/>
  <c r="O9" i="6"/>
  <c r="JI9" i="6"/>
  <c r="HN9" i="6"/>
  <c r="GU9" i="6"/>
  <c r="BC9" i="6"/>
  <c r="DO9" i="6"/>
  <c r="FY9" i="6"/>
  <c r="DQ9" i="6"/>
  <c r="W9" i="6"/>
  <c r="JU9" i="6"/>
  <c r="GF9" i="6"/>
  <c r="GG9" i="6"/>
  <c r="EH9" i="6"/>
  <c r="BG9" i="6"/>
  <c r="CD9" i="6"/>
  <c r="IC9" i="6"/>
  <c r="KD9" i="6"/>
  <c r="HG9" i="6"/>
  <c r="CR9" i="6"/>
  <c r="AV9" i="6"/>
  <c r="HH9" i="6"/>
  <c r="AQ9" i="6"/>
  <c r="GT9" i="6"/>
  <c r="AB9" i="6"/>
  <c r="JH9" i="6"/>
  <c r="CF9" i="6"/>
  <c r="FM9" i="6"/>
  <c r="HW9" i="6"/>
  <c r="GR9" i="6"/>
  <c r="M9" i="6"/>
  <c r="CN9" i="6"/>
  <c r="CB9" i="6"/>
  <c r="BS9" i="6"/>
  <c r="JV9" i="6"/>
  <c r="DK9" i="6"/>
  <c r="JT9" i="6"/>
  <c r="GM9" i="6"/>
  <c r="DR9" i="6"/>
  <c r="ED9" i="6"/>
  <c r="AR9" i="6"/>
  <c r="FC9" i="6"/>
  <c r="KE9" i="6"/>
  <c r="CQ9" i="6"/>
  <c r="BY9" i="6"/>
  <c r="CM9" i="6"/>
  <c r="GD9" i="6"/>
  <c r="IJ9" i="6"/>
  <c r="GH9" i="6"/>
  <c r="HA9" i="6"/>
  <c r="CK9" i="6"/>
  <c r="HU9" i="6"/>
  <c r="BX9" i="6"/>
  <c r="AD9" i="6"/>
  <c r="BP9" i="6"/>
  <c r="JG9" i="6"/>
  <c r="IV9" i="6"/>
  <c r="GI9" i="6"/>
  <c r="AI9" i="6"/>
  <c r="EK9" i="6"/>
  <c r="JE9" i="6"/>
  <c r="CA9" i="6"/>
  <c r="FO9" i="6"/>
  <c r="DN9" i="6"/>
  <c r="HV9" i="6"/>
  <c r="HF9" i="6"/>
  <c r="GC9" i="6"/>
  <c r="FQ9" i="6"/>
  <c r="JA9" i="6"/>
  <c r="BN9" i="6"/>
  <c r="HY9" i="6"/>
  <c r="DS9" i="6"/>
  <c r="DT9" i="6"/>
  <c r="JX9" i="6"/>
  <c r="FN9" i="6"/>
  <c r="DB9" i="6"/>
  <c r="BF9" i="6"/>
  <c r="IM9" i="6"/>
  <c r="JP9" i="6"/>
  <c r="I9" i="6"/>
  <c r="HK9" i="6"/>
  <c r="ID9" i="6"/>
  <c r="HM9" i="6"/>
  <c r="BA9" i="6"/>
  <c r="CY9" i="6"/>
  <c r="DH9" i="6"/>
  <c r="BO9" i="6"/>
  <c r="GO9" i="6"/>
  <c r="FI9" i="6"/>
  <c r="CE9" i="6"/>
  <c r="EX9" i="6"/>
  <c r="BL9" i="6"/>
  <c r="Z9" i="6"/>
  <c r="IF9" i="6"/>
  <c r="IO9" i="6"/>
  <c r="HD9" i="6"/>
  <c r="CW9" i="6"/>
  <c r="AH9" i="6"/>
  <c r="EZ9" i="6"/>
  <c r="N9" i="6"/>
  <c r="IY9" i="6"/>
  <c r="CH9" i="6"/>
  <c r="IA9" i="6"/>
  <c r="DD9" i="6"/>
  <c r="EO9" i="6"/>
  <c r="AM9" i="6"/>
  <c r="DI9" i="6"/>
  <c r="BJ9" i="6"/>
  <c r="AK9" i="6"/>
  <c r="GE9" i="6"/>
  <c r="HL9" i="6"/>
  <c r="K9" i="6"/>
  <c r="BQ9" i="6"/>
  <c r="DJ9" i="6"/>
  <c r="JZ9" i="6"/>
  <c r="FF9" i="6"/>
  <c r="DC9" i="6"/>
  <c r="T9" i="6"/>
  <c r="IR9" i="6"/>
  <c r="EE9" i="6"/>
  <c r="ET9" i="6"/>
  <c r="CS9" i="6"/>
  <c r="JK9" i="6"/>
  <c r="GZ9" i="6"/>
  <c r="GQ9" i="6"/>
  <c r="BU9" i="6"/>
  <c r="X9" i="6"/>
  <c r="AP9" i="6"/>
  <c r="IQ9" i="6"/>
  <c r="BI9" i="6"/>
  <c r="GA9" i="6"/>
  <c r="HZ9" i="6"/>
  <c r="AJ9" i="6"/>
  <c r="EW9" i="6"/>
  <c r="CT9" i="6"/>
  <c r="JN9" i="6"/>
  <c r="CX9" i="6"/>
  <c r="JD9" i="6"/>
  <c r="AT9" i="6"/>
  <c r="KC9" i="6"/>
  <c r="GX9" i="6"/>
  <c r="DM9" i="6"/>
  <c r="EB9" i="6"/>
  <c r="FS9" i="6"/>
  <c r="BE9" i="6"/>
  <c r="CI9" i="6"/>
  <c r="JY9" i="6"/>
  <c r="IS9" i="6"/>
  <c r="HP9" i="6"/>
  <c r="EQ9" i="6"/>
  <c r="GY9" i="6"/>
  <c r="R9" i="6"/>
  <c r="AZ9" i="6"/>
  <c r="HX9" i="6"/>
  <c r="HS9" i="6"/>
  <c r="FG9" i="6"/>
  <c r="HJ9" i="6"/>
  <c r="HQ9" i="6"/>
  <c r="EI9" i="6"/>
  <c r="CV9" i="6"/>
  <c r="BV9" i="6"/>
  <c r="EN9" i="6"/>
  <c r="FH9" i="6"/>
  <c r="CO9" i="6"/>
  <c r="IX9" i="6"/>
  <c r="JL9" i="6"/>
  <c r="DP9" i="6"/>
  <c r="GB9" i="6"/>
  <c r="BB9" i="6"/>
  <c r="V9" i="6"/>
  <c r="IG9" i="6"/>
  <c r="IH9" i="6"/>
  <c r="BR9" i="6"/>
  <c r="EF9" i="6"/>
  <c r="GV9" i="6"/>
  <c r="DW9" i="6"/>
  <c r="JR9" i="6"/>
  <c r="AY9" i="6"/>
  <c r="KB9" i="6"/>
  <c r="HR9" i="6"/>
  <c r="IW9" i="6"/>
  <c r="AW9" i="6"/>
  <c r="HB9" i="6"/>
  <c r="IK9" i="6"/>
  <c r="H9" i="6"/>
  <c r="FZ9" i="6"/>
  <c r="FJ9" i="6"/>
  <c r="AC9" i="6"/>
  <c r="GN9" i="6"/>
  <c r="HT9" i="6"/>
  <c r="CL9" i="6"/>
  <c r="AA9" i="6"/>
  <c r="DL9" i="6"/>
  <c r="CP9" i="6"/>
  <c r="EP9" i="6"/>
  <c r="ER9" i="6"/>
  <c r="FX9" i="6"/>
  <c r="AX9" i="6"/>
  <c r="IZ9" i="6"/>
  <c r="AL9" i="6"/>
  <c r="GJ9" i="6"/>
  <c r="HC9" i="6"/>
  <c r="FB9" i="6"/>
  <c r="JS9" i="6"/>
  <c r="DZ9" i="6"/>
  <c r="GK9" i="6"/>
  <c r="CZ9" i="6"/>
  <c r="ES9" i="6"/>
  <c r="L9" i="6"/>
  <c r="IL9" i="6"/>
  <c r="JQ9" i="6"/>
  <c r="DV9" i="6"/>
  <c r="JJ9" i="6"/>
  <c r="AU9" i="6"/>
  <c r="II9" i="6"/>
  <c r="CU9" i="6"/>
  <c r="Q9" i="6"/>
  <c r="D9" i="6" s="1"/>
  <c r="AF9" i="6"/>
  <c r="BZ9" i="6"/>
  <c r="KA9" i="6"/>
  <c r="EA9" i="6"/>
  <c r="DX9" i="6"/>
  <c r="BD9" i="6"/>
  <c r="FT9" i="6"/>
  <c r="IB9" i="6"/>
  <c r="CC9" i="6"/>
  <c r="FW9" i="6"/>
  <c r="CJ9" i="6"/>
  <c r="BK9" i="6"/>
  <c r="Y9" i="6"/>
  <c r="FD9" i="6"/>
  <c r="AN9" i="6"/>
  <c r="FE9" i="6"/>
  <c r="G9" i="6"/>
  <c r="GL9" i="6"/>
  <c r="GW9" i="6"/>
  <c r="JF9" i="6"/>
  <c r="HE9" i="6"/>
  <c r="BM9" i="6"/>
  <c r="HO9" i="6"/>
  <c r="FA9" i="6"/>
  <c r="J9" i="6"/>
  <c r="FR9" i="6"/>
  <c r="BW9" i="6"/>
  <c r="FK9" i="6"/>
  <c r="S9" i="6"/>
  <c r="JM9" i="6"/>
  <c r="EJ9" i="6"/>
  <c r="FL9" i="6"/>
  <c r="IE9" i="6"/>
  <c r="EY9" i="6"/>
  <c r="CG9" i="6"/>
  <c r="DG9" i="6"/>
  <c r="JC9" i="6"/>
  <c r="EV9" i="6"/>
  <c r="EM9" i="6"/>
  <c r="AE9" i="6"/>
  <c r="IT9" i="6"/>
  <c r="AO9" i="6"/>
  <c r="IU9" i="6"/>
  <c r="IP9" i="6"/>
  <c r="AG9" i="6"/>
  <c r="EG9" i="6"/>
  <c r="IN9" i="6"/>
  <c r="DF9" i="6"/>
  <c r="DA9" i="6"/>
  <c r="GS9" i="6"/>
  <c r="EL9" i="6"/>
  <c r="BT9" i="6"/>
  <c r="AS9" i="6"/>
  <c r="FV9" i="6"/>
  <c r="FP9" i="6"/>
  <c r="P9" i="6"/>
  <c r="GP9" i="6"/>
  <c r="DY9" i="6"/>
  <c r="FU9" i="6"/>
  <c r="JW9" i="6"/>
  <c r="F10" i="6"/>
  <c r="G10" i="6" s="1"/>
  <c r="F48" i="2"/>
  <c r="E39" i="2"/>
  <c r="G39" i="2"/>
  <c r="F9" i="2"/>
  <c r="H125" i="18"/>
  <c r="H126" i="18"/>
  <c r="F39" i="2"/>
  <c r="H16" i="5"/>
  <c r="H127" i="18"/>
  <c r="HS5" i="6"/>
  <c r="DY5" i="6"/>
  <c r="BE5" i="6"/>
  <c r="GW5" i="6"/>
  <c r="IX5" i="6"/>
  <c r="JE5" i="6"/>
  <c r="AU5" i="6"/>
  <c r="FG5" i="6"/>
  <c r="FW5" i="6"/>
  <c r="HL5" i="6"/>
  <c r="DV5" i="6"/>
  <c r="DB5" i="6"/>
  <c r="JY5" i="6"/>
  <c r="BW5" i="6"/>
  <c r="BD5" i="6"/>
  <c r="JI5" i="6"/>
  <c r="JB5" i="6"/>
  <c r="GV5" i="6"/>
  <c r="DU5" i="6"/>
  <c r="BU5" i="6"/>
  <c r="CL5" i="6"/>
  <c r="AI5" i="6"/>
  <c r="IU5" i="6"/>
  <c r="HM5" i="6"/>
  <c r="AE5" i="6"/>
  <c r="JW5" i="6"/>
  <c r="FA5" i="6"/>
  <c r="GF5" i="6"/>
  <c r="AS5" i="6"/>
  <c r="H5" i="6"/>
  <c r="CS5" i="6"/>
  <c r="BA5" i="6"/>
  <c r="AB5" i="6"/>
  <c r="CM5" i="6"/>
  <c r="EN5" i="6"/>
  <c r="O5" i="6"/>
  <c r="CN5" i="6"/>
  <c r="EY5" i="6"/>
  <c r="EI5" i="6"/>
  <c r="GR5" i="6"/>
  <c r="BF5" i="6"/>
  <c r="CI5" i="6"/>
  <c r="AY5" i="6"/>
  <c r="AZ5" i="6"/>
  <c r="BO5" i="6"/>
  <c r="CT5" i="6"/>
  <c r="HR5" i="6"/>
  <c r="EE5" i="6"/>
  <c r="FV5" i="6"/>
  <c r="IK5" i="6"/>
  <c r="CO5" i="6"/>
  <c r="II5" i="6"/>
  <c r="BP5" i="6"/>
  <c r="AW5" i="6"/>
  <c r="BY5" i="6"/>
  <c r="IC5" i="6"/>
  <c r="DI5" i="6"/>
  <c r="AT5" i="6"/>
  <c r="DD5" i="6"/>
  <c r="I5" i="6"/>
  <c r="U5" i="6"/>
  <c r="FP3" i="6"/>
  <c r="GQ3" i="6"/>
  <c r="CD3" i="6"/>
  <c r="IJ3" i="6"/>
  <c r="FI3" i="6"/>
  <c r="GG3" i="6"/>
  <c r="JP3" i="6"/>
  <c r="DT3" i="6"/>
  <c r="FT3" i="6"/>
  <c r="CB3" i="6"/>
  <c r="JF3" i="6"/>
  <c r="HS3" i="6"/>
  <c r="W3" i="6"/>
  <c r="JX3" i="6"/>
  <c r="GB3" i="6"/>
  <c r="CY3" i="6"/>
  <c r="IM3" i="6"/>
  <c r="JR3" i="6"/>
  <c r="AU3" i="6"/>
  <c r="DX3" i="6"/>
  <c r="HB3" i="6"/>
  <c r="JO3" i="6"/>
  <c r="Z3" i="6"/>
  <c r="EV3" i="6"/>
  <c r="CL3" i="6"/>
  <c r="DI3" i="6"/>
  <c r="KD3" i="6"/>
  <c r="HH3" i="6"/>
  <c r="GU3" i="6"/>
  <c r="V3" i="6"/>
  <c r="FX3" i="6"/>
  <c r="GO3" i="6"/>
  <c r="BM3" i="6"/>
  <c r="G3" i="6"/>
  <c r="FQ3" i="6"/>
  <c r="DP3" i="6"/>
  <c r="FW3" i="6"/>
  <c r="GP3" i="6"/>
  <c r="JH3" i="6"/>
  <c r="EL3" i="6"/>
  <c r="BZ3" i="6"/>
  <c r="BC3" i="6"/>
  <c r="GW3" i="6"/>
  <c r="HV3" i="6"/>
  <c r="EQ3" i="6"/>
  <c r="IO3" i="6"/>
  <c r="JQ3" i="6"/>
  <c r="BS3" i="6"/>
  <c r="EP3" i="6"/>
  <c r="BP3" i="6"/>
  <c r="HP3" i="6"/>
  <c r="KA3" i="6"/>
  <c r="DH3" i="6"/>
  <c r="IA3" i="6"/>
  <c r="GL3" i="6"/>
  <c r="EB3" i="6"/>
  <c r="KC3" i="6"/>
  <c r="CS3" i="6"/>
  <c r="AJ3" i="6"/>
  <c r="GH3" i="6"/>
  <c r="IG3" i="6"/>
  <c r="BB3" i="6"/>
  <c r="IT3" i="6"/>
  <c r="GD3" i="6"/>
  <c r="X3" i="6"/>
  <c r="AS3" i="6"/>
  <c r="GC3" i="6"/>
  <c r="BL3" i="6"/>
  <c r="KE3" i="6"/>
  <c r="R3" i="6"/>
  <c r="ES3" i="6"/>
  <c r="HT3" i="6"/>
  <c r="CM3" i="6"/>
  <c r="IS3" i="6"/>
  <c r="AG3" i="6"/>
  <c r="AX3" i="6"/>
  <c r="HZ3" i="6"/>
  <c r="BW3" i="6"/>
  <c r="AO3" i="6"/>
  <c r="IU3" i="6"/>
  <c r="JK3" i="6"/>
  <c r="IX3" i="6"/>
  <c r="JC3" i="6"/>
  <c r="FU3" i="6"/>
  <c r="CZ3" i="6"/>
  <c r="FN3" i="6"/>
  <c r="EN3" i="6"/>
  <c r="FM3" i="6"/>
  <c r="HE3" i="6"/>
  <c r="DU3" i="6"/>
  <c r="DQ3" i="6"/>
  <c r="FK3" i="6"/>
  <c r="FS3" i="6"/>
  <c r="IC3" i="6"/>
  <c r="BN3" i="6"/>
  <c r="BD3" i="6"/>
  <c r="U3" i="6"/>
  <c r="GE3" i="6"/>
  <c r="CV3" i="6"/>
  <c r="GZ3" i="6"/>
  <c r="JY3" i="6"/>
  <c r="O3" i="6"/>
  <c r="DC3" i="6"/>
  <c r="HC3" i="6"/>
  <c r="CF3" i="6"/>
  <c r="IL3" i="6"/>
  <c r="ET3" i="6"/>
  <c r="JU3" i="6"/>
  <c r="CN3" i="6"/>
  <c r="HJ3" i="6"/>
  <c r="HN3" i="6"/>
  <c r="BE3" i="6"/>
  <c r="HG3" i="6"/>
  <c r="IH3" i="6"/>
  <c r="DD3" i="6"/>
  <c r="KF3" i="6"/>
  <c r="JZ3" i="6"/>
  <c r="EH3" i="6"/>
  <c r="BO3" i="6"/>
  <c r="BJ3" i="6"/>
  <c r="IV3" i="6"/>
  <c r="JA3" i="6"/>
  <c r="CO3" i="6"/>
  <c r="AD3" i="6"/>
  <c r="HD3" i="6"/>
  <c r="CI3" i="6"/>
  <c r="AK3" i="6"/>
  <c r="J3" i="6"/>
  <c r="GV3" i="6"/>
  <c r="GJ3" i="6"/>
  <c r="EZ3" i="6"/>
  <c r="EM3" i="6"/>
  <c r="FG3" i="6"/>
  <c r="BK3" i="6"/>
  <c r="CE3" i="6"/>
  <c r="HQ3" i="6"/>
  <c r="K3" i="6"/>
  <c r="JM3" i="6"/>
  <c r="JW3" i="6"/>
  <c r="IK3" i="6"/>
  <c r="CX3" i="6"/>
  <c r="HW3" i="6"/>
  <c r="AA3" i="6"/>
  <c r="GT3" i="6"/>
  <c r="HM3" i="6"/>
  <c r="GK3" i="6"/>
  <c r="JB3" i="6"/>
  <c r="FH3" i="6"/>
  <c r="HI3" i="6"/>
  <c r="DM3" i="6"/>
  <c r="BY3" i="6"/>
  <c r="EU3" i="6"/>
  <c r="BT3" i="6"/>
  <c r="IP3" i="6"/>
  <c r="DK3" i="6"/>
  <c r="EG3" i="6"/>
  <c r="FZ3" i="6"/>
  <c r="AC3" i="6"/>
  <c r="AQ3" i="6"/>
  <c r="HX3" i="6"/>
  <c r="HA3" i="6"/>
  <c r="HR3" i="6"/>
  <c r="DL3" i="6"/>
  <c r="P3" i="6"/>
  <c r="FV3" i="6"/>
  <c r="GR3" i="6"/>
  <c r="HY3" i="6"/>
  <c r="AM3" i="6"/>
  <c r="AW3" i="6"/>
  <c r="BU3" i="6"/>
  <c r="DF3" i="6"/>
  <c r="IN3" i="6"/>
  <c r="EE3" i="6"/>
  <c r="DO3" i="6"/>
  <c r="JS3" i="6"/>
  <c r="EW3" i="6"/>
  <c r="FE3" i="6"/>
  <c r="IF3" i="6"/>
  <c r="CG3" i="6"/>
  <c r="KB3" i="6"/>
  <c r="FR3" i="6"/>
  <c r="GX3" i="6"/>
  <c r="DZ3" i="6"/>
  <c r="AP3" i="6"/>
  <c r="CA3" i="6"/>
  <c r="ED3" i="6"/>
  <c r="HK3" i="6"/>
  <c r="CW3" i="6"/>
  <c r="JI3" i="6"/>
  <c r="BQ3" i="6"/>
  <c r="DV3" i="6"/>
  <c r="JV3" i="6"/>
  <c r="GM3" i="6"/>
  <c r="AV3" i="6"/>
  <c r="GY3" i="6"/>
  <c r="AF3" i="6"/>
  <c r="ID3" i="6"/>
  <c r="HU3" i="6"/>
  <c r="DS3" i="6"/>
  <c r="BG3" i="6"/>
  <c r="IZ3" i="6"/>
  <c r="JE3" i="6"/>
  <c r="CK3" i="6"/>
  <c r="JL3" i="6"/>
  <c r="Q3" i="6"/>
  <c r="FA3" i="6"/>
  <c r="EY3" i="6"/>
  <c r="DE3" i="6"/>
  <c r="AR3" i="6"/>
  <c r="BX3" i="6"/>
  <c r="AB3" i="6"/>
  <c r="AH3" i="6"/>
  <c r="IQ3" i="6"/>
  <c r="IY3" i="6"/>
  <c r="AI3" i="6"/>
  <c r="JJ3" i="6"/>
  <c r="DW3" i="6"/>
  <c r="FF3" i="6"/>
  <c r="GI3" i="6"/>
  <c r="EC3" i="6"/>
  <c r="AL3" i="6"/>
  <c r="EO3" i="6"/>
  <c r="F3" i="6"/>
  <c r="H3" i="6"/>
  <c r="DN3" i="6"/>
  <c r="M3" i="6"/>
  <c r="JN3" i="6"/>
  <c r="EJ3" i="6"/>
  <c r="FJ3" i="6"/>
  <c r="CQ3" i="6"/>
  <c r="Y3" i="6"/>
  <c r="BI3" i="6"/>
  <c r="S3" i="6"/>
  <c r="CT3" i="6"/>
  <c r="DA3" i="6"/>
  <c r="I3" i="6"/>
  <c r="DG3" i="6"/>
  <c r="CJ3" i="6"/>
  <c r="EK3" i="6"/>
  <c r="IR3" i="6"/>
  <c r="GF3" i="6"/>
  <c r="N3" i="6"/>
  <c r="JD3" i="6"/>
  <c r="AN3" i="6"/>
  <c r="DB3" i="6"/>
  <c r="AY3" i="6"/>
  <c r="DJ3" i="6"/>
  <c r="II3" i="6"/>
  <c r="BA3" i="6"/>
  <c r="ER3" i="6"/>
  <c r="BH3" i="6"/>
  <c r="FB3" i="6"/>
  <c r="CH3" i="6"/>
  <c r="EA3" i="6"/>
  <c r="BF3" i="6"/>
  <c r="HO3" i="6"/>
  <c r="CR3" i="6"/>
  <c r="FC3" i="6"/>
  <c r="FD3" i="6"/>
  <c r="GA3" i="6"/>
  <c r="AE3" i="6"/>
  <c r="CC3" i="6"/>
  <c r="EF3" i="6"/>
  <c r="EX3" i="6"/>
  <c r="AZ3" i="6"/>
  <c r="FO3" i="6"/>
  <c r="DY3" i="6"/>
  <c r="BV3" i="6"/>
  <c r="BR3" i="6"/>
  <c r="JT3" i="6"/>
  <c r="GN3" i="6"/>
  <c r="CP3" i="6"/>
  <c r="IB3" i="6"/>
  <c r="CU3" i="6"/>
  <c r="FY3" i="6"/>
  <c r="AT3" i="6"/>
  <c r="L3" i="6"/>
  <c r="IE3" i="6"/>
  <c r="JG3" i="6"/>
  <c r="HF3" i="6"/>
  <c r="GS3" i="6"/>
  <c r="HL3" i="6"/>
  <c r="EI3" i="6"/>
  <c r="DR3" i="6"/>
  <c r="IW3" i="6"/>
  <c r="T3" i="6"/>
  <c r="FL3" i="6"/>
  <c r="Y5" i="6"/>
  <c r="GH5" i="6"/>
  <c r="FO5" i="6"/>
  <c r="FM5" i="6"/>
  <c r="FB5" i="6"/>
  <c r="BQ5" i="6"/>
  <c r="FI5" i="6"/>
  <c r="IS5" i="6"/>
  <c r="FE5" i="6"/>
  <c r="HQ5" i="6"/>
  <c r="IR5" i="6"/>
  <c r="DP5" i="6"/>
  <c r="DO5" i="6"/>
  <c r="DN5" i="6"/>
  <c r="JS5" i="6"/>
  <c r="EB5" i="6"/>
  <c r="BR5" i="6"/>
  <c r="IP5" i="6"/>
  <c r="GT5" i="6"/>
  <c r="AL5" i="6"/>
  <c r="HC5" i="6"/>
  <c r="JM5" i="6"/>
  <c r="IF5" i="6"/>
  <c r="JJ5" i="6"/>
  <c r="FS5" i="6"/>
  <c r="IQ5" i="6"/>
  <c r="EP5" i="6"/>
  <c r="HJ5" i="6"/>
  <c r="HF5" i="6"/>
  <c r="JQ5" i="6"/>
  <c r="HV5" i="6"/>
  <c r="EM5" i="6"/>
  <c r="P5" i="6"/>
  <c r="JF5" i="6"/>
  <c r="EW5" i="6"/>
  <c r="BZ5" i="6"/>
  <c r="AF5" i="6"/>
  <c r="JN5" i="6"/>
  <c r="FR5" i="6"/>
  <c r="Z5" i="6"/>
  <c r="CG5" i="6"/>
  <c r="DC5" i="6"/>
  <c r="GD5" i="6"/>
  <c r="CV5" i="6"/>
  <c r="GS5" i="6"/>
  <c r="CR5" i="6"/>
  <c r="FX5" i="6"/>
  <c r="CD5" i="6"/>
  <c r="IV5" i="6"/>
  <c r="JP5" i="6"/>
  <c r="IZ5" i="6"/>
  <c r="HW5" i="6"/>
  <c r="IY5" i="6"/>
  <c r="ID5" i="6"/>
  <c r="EQ5" i="6"/>
  <c r="CK5" i="6"/>
  <c r="KB5" i="6"/>
  <c r="IG5" i="6"/>
  <c r="IW5" i="6"/>
  <c r="HY5" i="6"/>
  <c r="HU5" i="6"/>
  <c r="JG5" i="6"/>
  <c r="GZ5" i="6"/>
  <c r="AK5" i="6"/>
  <c r="DF5" i="6"/>
  <c r="GC5" i="6"/>
  <c r="ET5" i="6"/>
  <c r="FF5" i="6"/>
  <c r="BM5" i="6"/>
  <c r="BC5" i="6"/>
  <c r="JU5" i="6"/>
  <c r="JO5" i="6"/>
  <c r="FU5" i="6"/>
  <c r="AV5" i="6"/>
  <c r="DH5" i="6"/>
  <c r="EX5" i="6"/>
  <c r="AO5" i="6"/>
  <c r="GQ5" i="6"/>
  <c r="GU5" i="6"/>
  <c r="FL5" i="6"/>
  <c r="DA5" i="6"/>
  <c r="GE5" i="6"/>
  <c r="CQ5" i="6"/>
  <c r="BT5" i="6"/>
  <c r="FH5" i="6"/>
  <c r="JX5" i="6"/>
  <c r="AC5" i="6"/>
  <c r="CH5" i="6"/>
  <c r="AG5" i="6"/>
  <c r="HN5" i="6"/>
  <c r="BG5" i="6"/>
  <c r="DW5" i="6"/>
  <c r="GP5" i="6"/>
  <c r="ED5" i="6"/>
  <c r="JH5" i="6"/>
  <c r="FZ5" i="6"/>
  <c r="T5" i="6"/>
  <c r="HB5" i="6"/>
  <c r="HI5" i="6"/>
  <c r="EL5" i="6"/>
  <c r="CE5" i="6"/>
  <c r="DX5" i="6"/>
  <c r="JT5" i="6"/>
  <c r="N5" i="6"/>
  <c r="IE5" i="6"/>
  <c r="HE5" i="6"/>
  <c r="HO5" i="6"/>
  <c r="KA5" i="6"/>
  <c r="J5" i="6"/>
  <c r="HT5" i="6"/>
  <c r="FY5" i="6"/>
  <c r="R5" i="6"/>
  <c r="FK5" i="6"/>
  <c r="KE5" i="6"/>
  <c r="BX5" i="6"/>
  <c r="CW5" i="6"/>
  <c r="EG5" i="6"/>
  <c r="CP5" i="6"/>
  <c r="ES5" i="6"/>
  <c r="W5" i="6"/>
  <c r="L5" i="6"/>
  <c r="FC5" i="6"/>
  <c r="ER5" i="6"/>
  <c r="IJ5" i="6"/>
  <c r="HK5" i="6"/>
  <c r="AJ5" i="6"/>
  <c r="GJ5" i="6"/>
  <c r="DT5" i="6"/>
  <c r="KD5" i="6"/>
  <c r="HZ5" i="6"/>
  <c r="AP5" i="6"/>
  <c r="CJ5" i="6"/>
  <c r="CF5" i="6"/>
  <c r="HG5" i="6"/>
  <c r="AH5" i="6"/>
  <c r="AR5" i="6"/>
  <c r="V5" i="6"/>
  <c r="CB5" i="6"/>
  <c r="CX5" i="6"/>
  <c r="AN5" i="6"/>
  <c r="BB5" i="6"/>
  <c r="EC5" i="6"/>
  <c r="GO5" i="6"/>
  <c r="EZ5" i="6"/>
  <c r="AQ5" i="6"/>
  <c r="HX5" i="6"/>
  <c r="EV5" i="6"/>
  <c r="BV5" i="6"/>
  <c r="EF5" i="6"/>
  <c r="DK5" i="6"/>
  <c r="DG5" i="6"/>
  <c r="BN5" i="6"/>
  <c r="DR5" i="6"/>
  <c r="KC5" i="6"/>
  <c r="IH5" i="6"/>
  <c r="BH5" i="6"/>
  <c r="IO5" i="6"/>
  <c r="HP5" i="6"/>
  <c r="DZ5" i="6"/>
  <c r="DQ5" i="6"/>
  <c r="IN5" i="6"/>
  <c r="JD5" i="6"/>
  <c r="K5" i="6"/>
  <c r="EJ5" i="6"/>
  <c r="IA5" i="6"/>
  <c r="JR5" i="6"/>
  <c r="JC5" i="6"/>
  <c r="AX5" i="6"/>
  <c r="GM5" i="6"/>
  <c r="IB5" i="6"/>
  <c r="HH5" i="6"/>
  <c r="DM5" i="6"/>
  <c r="DS5" i="6"/>
  <c r="JV5" i="6"/>
  <c r="GK5" i="6"/>
  <c r="BL5" i="6"/>
  <c r="HD5" i="6"/>
  <c r="GN5" i="6"/>
  <c r="FJ5" i="6"/>
  <c r="CA5" i="6"/>
  <c r="GB5" i="6"/>
  <c r="GL5" i="6"/>
  <c r="Q5" i="6"/>
  <c r="F5" i="6"/>
  <c r="F6" i="6"/>
  <c r="CY5" i="6"/>
  <c r="AD5" i="6"/>
  <c r="DE5" i="6"/>
  <c r="DJ5" i="6"/>
  <c r="JL5" i="6"/>
  <c r="GG5" i="6"/>
  <c r="DL5" i="6"/>
  <c r="BI5" i="6"/>
  <c r="CZ5" i="6"/>
  <c r="EA5" i="6"/>
  <c r="EK5" i="6"/>
  <c r="FD5" i="6"/>
  <c r="FT5" i="6"/>
  <c r="BS5" i="6"/>
  <c r="JK5" i="6"/>
  <c r="FP5" i="6"/>
  <c r="GI5" i="6"/>
  <c r="GX5" i="6"/>
  <c r="KF5" i="6"/>
  <c r="FN5" i="6"/>
  <c r="CC5" i="6"/>
  <c r="EU5" i="6"/>
  <c r="GA5" i="6"/>
  <c r="FQ5" i="6"/>
  <c r="BJ5" i="6"/>
  <c r="JA5" i="6"/>
  <c r="G5" i="6"/>
  <c r="X5" i="6"/>
  <c r="IT5" i="6"/>
  <c r="AA5" i="6"/>
  <c r="JZ5" i="6"/>
  <c r="S5" i="6"/>
  <c r="AM5" i="6"/>
  <c r="HA5" i="6"/>
  <c r="M5" i="6"/>
  <c r="IM5" i="6"/>
  <c r="EH5" i="6"/>
  <c r="EO5" i="6"/>
  <c r="BK5" i="6"/>
  <c r="IL5" i="6"/>
  <c r="CU5" i="6"/>
  <c r="GY5" i="6"/>
  <c r="D3" i="6"/>
  <c r="F4" i="6"/>
  <c r="D5" i="6"/>
  <c r="G6" i="6"/>
  <c r="H6" i="6"/>
  <c r="I6" i="6"/>
  <c r="J6" i="6"/>
  <c r="K6" i="6"/>
  <c r="L6" i="6"/>
  <c r="M6" i="6"/>
  <c r="N6" i="6"/>
  <c r="O6" i="6"/>
  <c r="P6" i="6"/>
  <c r="Q6" i="6"/>
  <c r="R6" i="6"/>
  <c r="S6" i="6"/>
  <c r="T6" i="6"/>
  <c r="U6" i="6"/>
  <c r="V6" i="6"/>
  <c r="W6" i="6"/>
  <c r="X6" i="6"/>
  <c r="Y6" i="6"/>
  <c r="Z6" i="6"/>
  <c r="AA6" i="6"/>
  <c r="AB6" i="6"/>
  <c r="AC6" i="6"/>
  <c r="AD6" i="6"/>
  <c r="AE6" i="6"/>
  <c r="AF6" i="6"/>
  <c r="AG6" i="6"/>
  <c r="AH6" i="6"/>
  <c r="AI6" i="6"/>
  <c r="AJ6" i="6"/>
  <c r="AK6" i="6"/>
  <c r="AL6" i="6"/>
  <c r="AM6" i="6"/>
  <c r="AN6" i="6"/>
  <c r="AO6" i="6"/>
  <c r="AP6" i="6"/>
  <c r="AQ6" i="6"/>
  <c r="AR6" i="6"/>
  <c r="AS6" i="6"/>
  <c r="AT6" i="6"/>
  <c r="AU6" i="6"/>
  <c r="AV6" i="6"/>
  <c r="AW6" i="6"/>
  <c r="AX6" i="6"/>
  <c r="AY6" i="6"/>
  <c r="AZ6" i="6"/>
  <c r="BA6" i="6"/>
  <c r="BB6" i="6"/>
  <c r="BC6" i="6"/>
  <c r="BD6" i="6"/>
  <c r="BE6" i="6"/>
  <c r="BF6" i="6"/>
  <c r="BG6" i="6"/>
  <c r="BH6" i="6"/>
  <c r="BI6" i="6"/>
  <c r="BJ6" i="6"/>
  <c r="BK6" i="6"/>
  <c r="BL6" i="6"/>
  <c r="BM6" i="6"/>
  <c r="BN6" i="6"/>
  <c r="BO6" i="6"/>
  <c r="BP6" i="6"/>
  <c r="BQ6" i="6"/>
  <c r="BR6" i="6"/>
  <c r="BS6" i="6"/>
  <c r="BT6" i="6"/>
  <c r="BU6" i="6"/>
  <c r="BV6" i="6"/>
  <c r="BW6" i="6"/>
  <c r="BX6" i="6"/>
  <c r="BY6" i="6"/>
  <c r="BZ6" i="6"/>
  <c r="CA6" i="6"/>
  <c r="CB6" i="6"/>
  <c r="CC6" i="6"/>
  <c r="CD6" i="6"/>
  <c r="CE6" i="6"/>
  <c r="CF6" i="6"/>
  <c r="CG6" i="6"/>
  <c r="CH6" i="6"/>
  <c r="CI6" i="6"/>
  <c r="CJ6" i="6"/>
  <c r="CK6" i="6"/>
  <c r="CL6" i="6"/>
  <c r="CM6" i="6"/>
  <c r="CN6" i="6"/>
  <c r="CO6" i="6"/>
  <c r="CP6" i="6"/>
  <c r="CQ6" i="6"/>
  <c r="CR6" i="6"/>
  <c r="CS6" i="6"/>
  <c r="CT6" i="6"/>
  <c r="CU6" i="6"/>
  <c r="CV6" i="6"/>
  <c r="CW6" i="6"/>
  <c r="CX6" i="6"/>
  <c r="CY6" i="6"/>
  <c r="CZ6" i="6"/>
  <c r="DA6" i="6"/>
  <c r="DB6" i="6"/>
  <c r="DC6" i="6"/>
  <c r="DD6" i="6"/>
  <c r="DE6" i="6"/>
  <c r="DF6" i="6"/>
  <c r="DG6" i="6"/>
  <c r="DH6" i="6"/>
  <c r="DI6" i="6"/>
  <c r="DJ6" i="6"/>
  <c r="DK6" i="6"/>
  <c r="DL6" i="6"/>
  <c r="DM6" i="6"/>
  <c r="DN6" i="6"/>
  <c r="DO6" i="6"/>
  <c r="DP6" i="6"/>
  <c r="DQ6" i="6"/>
  <c r="DR6" i="6"/>
  <c r="DS6" i="6"/>
  <c r="DT6" i="6"/>
  <c r="DU6" i="6"/>
  <c r="DV6" i="6"/>
  <c r="DW6" i="6"/>
  <c r="DX6" i="6"/>
  <c r="DY6" i="6"/>
  <c r="DZ6" i="6"/>
  <c r="EA6" i="6"/>
  <c r="EB6" i="6"/>
  <c r="EC6" i="6"/>
  <c r="ED6" i="6"/>
  <c r="EE6" i="6"/>
  <c r="EF6" i="6"/>
  <c r="EG6" i="6"/>
  <c r="EH6" i="6"/>
  <c r="EI6" i="6"/>
  <c r="EJ6" i="6"/>
  <c r="EK6" i="6"/>
  <c r="EL6" i="6"/>
  <c r="EM6" i="6"/>
  <c r="EN6" i="6"/>
  <c r="EO6" i="6"/>
  <c r="EP6" i="6"/>
  <c r="EQ6" i="6"/>
  <c r="ER6" i="6"/>
  <c r="ES6" i="6"/>
  <c r="ET6" i="6"/>
  <c r="EU6" i="6"/>
  <c r="EV6" i="6"/>
  <c r="EW6" i="6"/>
  <c r="EX6" i="6"/>
  <c r="EY6" i="6"/>
  <c r="EZ6" i="6"/>
  <c r="FA6" i="6"/>
  <c r="FB6" i="6"/>
  <c r="FC6" i="6"/>
  <c r="FD6" i="6"/>
  <c r="FE6" i="6"/>
  <c r="FF6" i="6"/>
  <c r="FG6" i="6"/>
  <c r="FH6" i="6"/>
  <c r="FI6" i="6"/>
  <c r="FJ6" i="6"/>
  <c r="FK6" i="6"/>
  <c r="FL6" i="6"/>
  <c r="FM6" i="6"/>
  <c r="FN6" i="6"/>
  <c r="FO6" i="6"/>
  <c r="FP6" i="6"/>
  <c r="FQ6" i="6"/>
  <c r="FR6" i="6"/>
  <c r="FS6" i="6"/>
  <c r="FT6" i="6"/>
  <c r="FU6" i="6"/>
  <c r="FV6" i="6"/>
  <c r="FW6" i="6"/>
  <c r="FX6" i="6"/>
  <c r="FY6" i="6"/>
  <c r="FZ6" i="6"/>
  <c r="GA6" i="6"/>
  <c r="GB6" i="6"/>
  <c r="GC6" i="6"/>
  <c r="GD6" i="6"/>
  <c r="GE6" i="6"/>
  <c r="GF6" i="6"/>
  <c r="GG6" i="6"/>
  <c r="GH6" i="6"/>
  <c r="GI6" i="6"/>
  <c r="GJ6" i="6"/>
  <c r="GK6" i="6"/>
  <c r="GL6" i="6"/>
  <c r="GM6" i="6"/>
  <c r="GN6" i="6"/>
  <c r="GO6" i="6"/>
  <c r="GP6" i="6"/>
  <c r="GQ6" i="6"/>
  <c r="GR6" i="6"/>
  <c r="GS6" i="6"/>
  <c r="GT6" i="6"/>
  <c r="GU6" i="6"/>
  <c r="GV6" i="6"/>
  <c r="GW6" i="6"/>
  <c r="GX6" i="6"/>
  <c r="GY6" i="6"/>
  <c r="GZ6" i="6"/>
  <c r="HA6" i="6"/>
  <c r="HB6" i="6"/>
  <c r="HC6" i="6"/>
  <c r="HD6" i="6"/>
  <c r="HE6" i="6"/>
  <c r="HF6" i="6"/>
  <c r="HG6" i="6"/>
  <c r="HH6" i="6"/>
  <c r="HI6" i="6"/>
  <c r="HJ6" i="6"/>
  <c r="HK6" i="6"/>
  <c r="HL6" i="6"/>
  <c r="HM6" i="6"/>
  <c r="HN6" i="6"/>
  <c r="HO6" i="6"/>
  <c r="HP6" i="6"/>
  <c r="HQ6" i="6"/>
  <c r="HR6" i="6"/>
  <c r="HS6" i="6"/>
  <c r="HT6" i="6"/>
  <c r="HU6" i="6"/>
  <c r="HV6" i="6"/>
  <c r="HW6" i="6"/>
  <c r="HX6" i="6"/>
  <c r="HY6" i="6"/>
  <c r="HZ6" i="6"/>
  <c r="IA6" i="6"/>
  <c r="IB6" i="6"/>
  <c r="IC6" i="6"/>
  <c r="ID6" i="6"/>
  <c r="IE6" i="6"/>
  <c r="IF6" i="6"/>
  <c r="IG6" i="6"/>
  <c r="IH6" i="6"/>
  <c r="II6" i="6"/>
  <c r="IJ6" i="6"/>
  <c r="IK6" i="6"/>
  <c r="IL6" i="6"/>
  <c r="IM6" i="6"/>
  <c r="IN6" i="6"/>
  <c r="IO6" i="6"/>
  <c r="IP6" i="6"/>
  <c r="IQ6" i="6"/>
  <c r="IR6" i="6"/>
  <c r="IS6" i="6"/>
  <c r="IT6" i="6"/>
  <c r="IU6" i="6"/>
  <c r="IV6" i="6"/>
  <c r="IW6" i="6"/>
  <c r="IX6" i="6"/>
  <c r="IY6" i="6"/>
  <c r="IZ6" i="6"/>
  <c r="JA6" i="6"/>
  <c r="JB6" i="6"/>
  <c r="JC6" i="6"/>
  <c r="JD6" i="6"/>
  <c r="JE6" i="6"/>
  <c r="JF6" i="6"/>
  <c r="JG6" i="6"/>
  <c r="JH6" i="6"/>
  <c r="JI6" i="6"/>
  <c r="JJ6" i="6"/>
  <c r="JK6" i="6"/>
  <c r="JL6" i="6"/>
  <c r="JM6" i="6"/>
  <c r="JN6" i="6"/>
  <c r="JO6" i="6"/>
  <c r="JP6" i="6"/>
  <c r="JQ6" i="6"/>
  <c r="JR6" i="6"/>
  <c r="JS6" i="6"/>
  <c r="JT6" i="6"/>
  <c r="JU6" i="6"/>
  <c r="JV6" i="6"/>
  <c r="JW6" i="6"/>
  <c r="JX6" i="6"/>
  <c r="JY6" i="6"/>
  <c r="JZ6" i="6"/>
  <c r="KA6" i="6"/>
  <c r="KB6" i="6"/>
  <c r="KC6" i="6"/>
  <c r="KD6" i="6"/>
  <c r="KE6" i="6"/>
  <c r="KF6" i="6"/>
  <c r="F7" i="6"/>
  <c r="G4" i="6"/>
  <c r="G7" i="6"/>
  <c r="H4" i="6"/>
  <c r="H7" i="6"/>
  <c r="I4" i="6"/>
  <c r="I7" i="6"/>
  <c r="J4" i="6"/>
  <c r="J7" i="6"/>
  <c r="K4" i="6"/>
  <c r="K7" i="6"/>
  <c r="L4" i="6"/>
  <c r="L7" i="6"/>
  <c r="M4" i="6"/>
  <c r="M7" i="6"/>
  <c r="N4" i="6"/>
  <c r="N7" i="6"/>
  <c r="O4" i="6"/>
  <c r="O7" i="6"/>
  <c r="P4" i="6"/>
  <c r="P7" i="6"/>
  <c r="Q4" i="6"/>
  <c r="Q7" i="6"/>
  <c r="R4" i="6"/>
  <c r="R7" i="6"/>
  <c r="S4" i="6"/>
  <c r="S7" i="6"/>
  <c r="T4" i="6"/>
  <c r="T7" i="6"/>
  <c r="U4" i="6"/>
  <c r="U7" i="6"/>
  <c r="V4" i="6"/>
  <c r="V7" i="6"/>
  <c r="W4" i="6"/>
  <c r="W7" i="6"/>
  <c r="X4" i="6"/>
  <c r="X7" i="6"/>
  <c r="Y4" i="6"/>
  <c r="Y7" i="6"/>
  <c r="Z4" i="6"/>
  <c r="Z7" i="6"/>
  <c r="AA4" i="6"/>
  <c r="AA7" i="6"/>
  <c r="AB4" i="6"/>
  <c r="AB7" i="6"/>
  <c r="AC4" i="6"/>
  <c r="AC7" i="6"/>
  <c r="AD4" i="6"/>
  <c r="AD7" i="6"/>
  <c r="AE4" i="6"/>
  <c r="AE7" i="6"/>
  <c r="AF4" i="6"/>
  <c r="AF7" i="6"/>
  <c r="AG4" i="6"/>
  <c r="AG7" i="6"/>
  <c r="AH4" i="6"/>
  <c r="AH7" i="6"/>
  <c r="AI4" i="6"/>
  <c r="AI7" i="6"/>
  <c r="AJ4" i="6"/>
  <c r="AJ7" i="6"/>
  <c r="AK4" i="6"/>
  <c r="AK7" i="6"/>
  <c r="AL4" i="6"/>
  <c r="AL7" i="6"/>
  <c r="AM4" i="6"/>
  <c r="AM7" i="6"/>
  <c r="AN4" i="6"/>
  <c r="AN7" i="6"/>
  <c r="AO4" i="6"/>
  <c r="AO7" i="6"/>
  <c r="AP4" i="6"/>
  <c r="AQ4" i="6"/>
  <c r="AP7" i="6"/>
  <c r="AQ7" i="6"/>
  <c r="AR4" i="6"/>
  <c r="AR7" i="6"/>
  <c r="AS4" i="6"/>
  <c r="AS7" i="6"/>
  <c r="AT4" i="6"/>
  <c r="AT7" i="6"/>
  <c r="AU4" i="6"/>
  <c r="AU7" i="6"/>
  <c r="AV4" i="6"/>
  <c r="AV7" i="6"/>
  <c r="AW4" i="6"/>
  <c r="AW7" i="6"/>
  <c r="AX4" i="6"/>
  <c r="AX7" i="6"/>
  <c r="AY4" i="6"/>
  <c r="AY7" i="6"/>
  <c r="AZ4" i="6"/>
  <c r="AZ7" i="6"/>
  <c r="BA4" i="6"/>
  <c r="BA7" i="6"/>
  <c r="BB4" i="6"/>
  <c r="BB7" i="6"/>
  <c r="BC4" i="6"/>
  <c r="BC7" i="6"/>
  <c r="BD4" i="6"/>
  <c r="BD7" i="6"/>
  <c r="BE4" i="6"/>
  <c r="BE7" i="6"/>
  <c r="BF4" i="6"/>
  <c r="BF7" i="6"/>
  <c r="BG4" i="6"/>
  <c r="BG7" i="6"/>
  <c r="BH4" i="6"/>
  <c r="BH7" i="6"/>
  <c r="BI4" i="6"/>
  <c r="BI7" i="6"/>
  <c r="BJ4" i="6"/>
  <c r="BJ7" i="6"/>
  <c r="BK4" i="6"/>
  <c r="BK7" i="6"/>
  <c r="BL4" i="6"/>
  <c r="BL7" i="6"/>
  <c r="BM4" i="6"/>
  <c r="BM7" i="6"/>
  <c r="BN4" i="6"/>
  <c r="BN7" i="6"/>
  <c r="BO4" i="6"/>
  <c r="BO7" i="6"/>
  <c r="BP4" i="6"/>
  <c r="BP7" i="6"/>
  <c r="BQ4" i="6"/>
  <c r="BQ7" i="6"/>
  <c r="BR4" i="6"/>
  <c r="BR7" i="6"/>
  <c r="BS4" i="6"/>
  <c r="BS7" i="6"/>
  <c r="BT4" i="6"/>
  <c r="BT7" i="6"/>
  <c r="BU4" i="6"/>
  <c r="BU7" i="6"/>
  <c r="BV4" i="6"/>
  <c r="BV7" i="6"/>
  <c r="BW4" i="6"/>
  <c r="BW7" i="6"/>
  <c r="BX4" i="6"/>
  <c r="BX7" i="6"/>
  <c r="BY4" i="6"/>
  <c r="BY7" i="6"/>
  <c r="BZ4" i="6"/>
  <c r="BZ7" i="6"/>
  <c r="CA4" i="6"/>
  <c r="CA7" i="6"/>
  <c r="CB4" i="6"/>
  <c r="CB7" i="6"/>
  <c r="CC4" i="6"/>
  <c r="CC7" i="6"/>
  <c r="CD4" i="6"/>
  <c r="CD7" i="6"/>
  <c r="CE4" i="6"/>
  <c r="CE7" i="6"/>
  <c r="CF4" i="6"/>
  <c r="CF7" i="6"/>
  <c r="CG4" i="6"/>
  <c r="CG7" i="6"/>
  <c r="CH4" i="6"/>
  <c r="CI4" i="6"/>
  <c r="CH7" i="6"/>
  <c r="CI7" i="6"/>
  <c r="CJ4" i="6"/>
  <c r="CJ7" i="6"/>
  <c r="CK4" i="6"/>
  <c r="CL4" i="6"/>
  <c r="CK7" i="6"/>
  <c r="CL7" i="6"/>
  <c r="CM4" i="6"/>
  <c r="CM7" i="6"/>
  <c r="CN4" i="6"/>
  <c r="CN7" i="6"/>
  <c r="CO4" i="6"/>
  <c r="CO7" i="6"/>
  <c r="CP4" i="6"/>
  <c r="CP7" i="6"/>
  <c r="CQ4" i="6"/>
  <c r="CQ7" i="6"/>
  <c r="CR4" i="6"/>
  <c r="CR7" i="6"/>
  <c r="CS4" i="6"/>
  <c r="CS7" i="6"/>
  <c r="CT4" i="6"/>
  <c r="CT7" i="6"/>
  <c r="CU4" i="6"/>
  <c r="CU7" i="6"/>
  <c r="CV4" i="6"/>
  <c r="CV7" i="6"/>
  <c r="CW4" i="6"/>
  <c r="CW7" i="6"/>
  <c r="CX4" i="6"/>
  <c r="CX7" i="6"/>
  <c r="CY4" i="6"/>
  <c r="CY7" i="6"/>
  <c r="CZ4" i="6"/>
  <c r="CZ7" i="6"/>
  <c r="DA4" i="6"/>
  <c r="DA7" i="6"/>
  <c r="DB4" i="6"/>
  <c r="DB7" i="6"/>
  <c r="DC4" i="6"/>
  <c r="DC7" i="6"/>
  <c r="DD4" i="6"/>
  <c r="DD7" i="6"/>
  <c r="DE4" i="6"/>
  <c r="DE7" i="6"/>
  <c r="DF4" i="6"/>
  <c r="DF7" i="6"/>
  <c r="DG4" i="6"/>
  <c r="DG7" i="6"/>
  <c r="DH4" i="6"/>
  <c r="DH7" i="6"/>
  <c r="DI4" i="6"/>
  <c r="DI7" i="6"/>
  <c r="DJ4" i="6"/>
  <c r="DJ7" i="6"/>
  <c r="DK4" i="6"/>
  <c r="DK7" i="6"/>
  <c r="DL4" i="6"/>
  <c r="DL7" i="6"/>
  <c r="DM4" i="6"/>
  <c r="DM7" i="6"/>
  <c r="DN4" i="6"/>
  <c r="DN7" i="6"/>
  <c r="DO4" i="6"/>
  <c r="DO7" i="6"/>
  <c r="DP4" i="6"/>
  <c r="DP7" i="6"/>
  <c r="DQ4" i="6"/>
  <c r="DQ7" i="6"/>
  <c r="DR4" i="6"/>
  <c r="DR7" i="6"/>
  <c r="DS4" i="6"/>
  <c r="DS7" i="6"/>
  <c r="DT4" i="6"/>
  <c r="DT7" i="6"/>
  <c r="DU4" i="6"/>
  <c r="DU7" i="6"/>
  <c r="DV4" i="6"/>
  <c r="DV7" i="6"/>
  <c r="DW4" i="6"/>
  <c r="DW7" i="6"/>
  <c r="DX4" i="6"/>
  <c r="DX7" i="6"/>
  <c r="DY4" i="6"/>
  <c r="DZ4" i="6"/>
  <c r="DY7" i="6"/>
  <c r="DZ7" i="6"/>
  <c r="EA4" i="6"/>
  <c r="EB4" i="6"/>
  <c r="EA7" i="6"/>
  <c r="EB7" i="6"/>
  <c r="EC4" i="6"/>
  <c r="EC7" i="6"/>
  <c r="ED4" i="6"/>
  <c r="ED7" i="6"/>
  <c r="EE4" i="6"/>
  <c r="EE7" i="6"/>
  <c r="EF4" i="6"/>
  <c r="EF7" i="6"/>
  <c r="EG4" i="6"/>
  <c r="EG7" i="6"/>
  <c r="EH4" i="6"/>
  <c r="EH7" i="6"/>
  <c r="EI4" i="6"/>
  <c r="EI7" i="6"/>
  <c r="EJ4" i="6"/>
  <c r="EJ7" i="6"/>
  <c r="EK4" i="6"/>
  <c r="EK7" i="6"/>
  <c r="EL4" i="6"/>
  <c r="EL7" i="6"/>
  <c r="EM4" i="6"/>
  <c r="EM7" i="6"/>
  <c r="EN4" i="6"/>
  <c r="EN7" i="6"/>
  <c r="EO4" i="6"/>
  <c r="EO7" i="6"/>
  <c r="EP4" i="6"/>
  <c r="EP7" i="6"/>
  <c r="EQ4" i="6"/>
  <c r="EQ7" i="6"/>
  <c r="ER4" i="6"/>
  <c r="ER7" i="6"/>
  <c r="ES4" i="6"/>
  <c r="ES7" i="6"/>
  <c r="ET4" i="6"/>
  <c r="ET7" i="6"/>
  <c r="EU4" i="6"/>
  <c r="EV4" i="6"/>
  <c r="EU7" i="6"/>
  <c r="EV7" i="6"/>
  <c r="EW4" i="6"/>
  <c r="EW7" i="6"/>
  <c r="EX4" i="6"/>
  <c r="EX7" i="6"/>
  <c r="EY4" i="6"/>
  <c r="EY7" i="6"/>
  <c r="EZ4" i="6"/>
  <c r="EZ7" i="6"/>
  <c r="FA4" i="6"/>
  <c r="FA7" i="6"/>
  <c r="FB4" i="6"/>
  <c r="FB7" i="6"/>
  <c r="FC4" i="6"/>
  <c r="FC7" i="6"/>
  <c r="FD4" i="6"/>
  <c r="FD7" i="6"/>
  <c r="FE4" i="6"/>
  <c r="FE7" i="6"/>
  <c r="FF4" i="6"/>
  <c r="FF7" i="6"/>
  <c r="FG4" i="6"/>
  <c r="FG7" i="6"/>
  <c r="FH4" i="6"/>
  <c r="FH7" i="6"/>
  <c r="FI4" i="6"/>
  <c r="FI7" i="6"/>
  <c r="FJ4" i="6"/>
  <c r="FJ7" i="6"/>
  <c r="FK4" i="6"/>
  <c r="FK7" i="6"/>
  <c r="FL4" i="6"/>
  <c r="FL7" i="6"/>
  <c r="FM4" i="6"/>
  <c r="FN4" i="6"/>
  <c r="FM7" i="6"/>
  <c r="FN7" i="6"/>
  <c r="FO4" i="6"/>
  <c r="FO7" i="6"/>
  <c r="FP4" i="6"/>
  <c r="FP7" i="6"/>
  <c r="FQ4" i="6"/>
  <c r="FQ7" i="6"/>
  <c r="FR4" i="6"/>
  <c r="FR7" i="6"/>
  <c r="FS4" i="6"/>
  <c r="FS7" i="6"/>
  <c r="FT4" i="6"/>
  <c r="FT7" i="6"/>
  <c r="FU4" i="6"/>
  <c r="FU7" i="6"/>
  <c r="FV4" i="6"/>
  <c r="FV7" i="6"/>
  <c r="FW4" i="6"/>
  <c r="FW7" i="6"/>
  <c r="FX4" i="6"/>
  <c r="FX7" i="6"/>
  <c r="FY4" i="6"/>
  <c r="FY7" i="6"/>
  <c r="FZ4" i="6"/>
  <c r="FZ7" i="6"/>
  <c r="GA4" i="6"/>
  <c r="GA7" i="6"/>
  <c r="GB4" i="6"/>
  <c r="GB7" i="6"/>
  <c r="GC4" i="6"/>
  <c r="GC7" i="6"/>
  <c r="GD4" i="6"/>
  <c r="GD7" i="6"/>
  <c r="GE4" i="6"/>
  <c r="GE7" i="6"/>
  <c r="GF4" i="6"/>
  <c r="GF7" i="6"/>
  <c r="GG4" i="6"/>
  <c r="GG7" i="6"/>
  <c r="GH4" i="6"/>
  <c r="GH7" i="6"/>
  <c r="GI4" i="6"/>
  <c r="GI7" i="6"/>
  <c r="GJ4" i="6"/>
  <c r="GJ7" i="6"/>
  <c r="GK4" i="6"/>
  <c r="GK7" i="6"/>
  <c r="GL4" i="6"/>
  <c r="GL7" i="6"/>
  <c r="GM4" i="6"/>
  <c r="GM7" i="6"/>
  <c r="GN4" i="6"/>
  <c r="GN7" i="6"/>
  <c r="GO4" i="6"/>
  <c r="GO7" i="6"/>
  <c r="GP4" i="6"/>
  <c r="GP7" i="6"/>
  <c r="GQ4" i="6"/>
  <c r="GR4" i="6"/>
  <c r="GQ7" i="6"/>
  <c r="GR7" i="6"/>
  <c r="GS4" i="6"/>
  <c r="GS7" i="6"/>
  <c r="GT4" i="6"/>
  <c r="GT7" i="6"/>
  <c r="GU4" i="6"/>
  <c r="GU7" i="6"/>
  <c r="GV4" i="6"/>
  <c r="GV7" i="6"/>
  <c r="GW4" i="6"/>
  <c r="GW7" i="6"/>
  <c r="GX4" i="6"/>
  <c r="GX7" i="6"/>
  <c r="GY4" i="6"/>
  <c r="GY7" i="6"/>
  <c r="GZ4" i="6"/>
  <c r="GZ7" i="6"/>
  <c r="HA4" i="6"/>
  <c r="HA7" i="6"/>
  <c r="HB4" i="6"/>
  <c r="HB7" i="6"/>
  <c r="HC4" i="6"/>
  <c r="HC7" i="6"/>
  <c r="HD4" i="6"/>
  <c r="HD7" i="6"/>
  <c r="HE4" i="6"/>
  <c r="HE7" i="6"/>
  <c r="HF4" i="6"/>
  <c r="HF7" i="6"/>
  <c r="HG4" i="6"/>
  <c r="HG7" i="6"/>
  <c r="HH4" i="6"/>
  <c r="HH7" i="6"/>
  <c r="HI4" i="6"/>
  <c r="HI7" i="6"/>
  <c r="HJ4" i="6"/>
  <c r="HJ7" i="6"/>
  <c r="HK4" i="6"/>
  <c r="HK7" i="6"/>
  <c r="HL4" i="6"/>
  <c r="HL7" i="6"/>
  <c r="HM4" i="6"/>
  <c r="HM7" i="6"/>
  <c r="HN4" i="6"/>
  <c r="HN7" i="6"/>
  <c r="HO4" i="6"/>
  <c r="HO7" i="6"/>
  <c r="HP4" i="6"/>
  <c r="HP7" i="6"/>
  <c r="HQ4" i="6"/>
  <c r="HQ7" i="6"/>
  <c r="HR4" i="6"/>
  <c r="HR7" i="6"/>
  <c r="HS4" i="6"/>
  <c r="HS7" i="6"/>
  <c r="HT4" i="6"/>
  <c r="HT7" i="6"/>
  <c r="HU4" i="6"/>
  <c r="HU7" i="6"/>
  <c r="HV4" i="6"/>
  <c r="HV7" i="6"/>
  <c r="HW4" i="6"/>
  <c r="HW7" i="6"/>
  <c r="HX4" i="6"/>
  <c r="HX7" i="6"/>
  <c r="HY4" i="6"/>
  <c r="HY7" i="6"/>
  <c r="HZ4" i="6"/>
  <c r="HZ7" i="6"/>
  <c r="IA4" i="6"/>
  <c r="IA7" i="6"/>
  <c r="IB4" i="6"/>
  <c r="IB7" i="6"/>
  <c r="IC4" i="6"/>
  <c r="IC7" i="6"/>
  <c r="ID4" i="6"/>
  <c r="ID7" i="6"/>
  <c r="IE4" i="6"/>
  <c r="IE7" i="6"/>
  <c r="IF4" i="6"/>
  <c r="IF7" i="6"/>
  <c r="IG4" i="6"/>
  <c r="IG7" i="6"/>
  <c r="IH4" i="6"/>
  <c r="IH7" i="6"/>
  <c r="II4" i="6"/>
  <c r="II7" i="6"/>
  <c r="IJ4" i="6"/>
  <c r="IJ7" i="6"/>
  <c r="IK4" i="6"/>
  <c r="IK7" i="6"/>
  <c r="IL4" i="6"/>
  <c r="IL7" i="6"/>
  <c r="IM4" i="6"/>
  <c r="IM7" i="6"/>
  <c r="IN4" i="6"/>
  <c r="IN7" i="6"/>
  <c r="IO4" i="6"/>
  <c r="IO7" i="6"/>
  <c r="IP4" i="6"/>
  <c r="IP7" i="6"/>
  <c r="IQ4" i="6"/>
  <c r="IQ7" i="6"/>
  <c r="IR4" i="6"/>
  <c r="IR7" i="6"/>
  <c r="IS4" i="6"/>
  <c r="IS7" i="6"/>
  <c r="IT4" i="6"/>
  <c r="IT7" i="6"/>
  <c r="IU4" i="6"/>
  <c r="IU7" i="6"/>
  <c r="IV4" i="6"/>
  <c r="IV7" i="6"/>
  <c r="IW4" i="6"/>
  <c r="IX4" i="6"/>
  <c r="IW7" i="6"/>
  <c r="IX7" i="6"/>
  <c r="IY4" i="6"/>
  <c r="IY7" i="6"/>
  <c r="IZ4" i="6"/>
  <c r="IZ7" i="6"/>
  <c r="JA4" i="6"/>
  <c r="JA7" i="6"/>
  <c r="JB4" i="6"/>
  <c r="JB7" i="6"/>
  <c r="JC4" i="6"/>
  <c r="JC7" i="6"/>
  <c r="JD4" i="6"/>
  <c r="JD7" i="6"/>
  <c r="JE4" i="6"/>
  <c r="JE7" i="6"/>
  <c r="JF4" i="6"/>
  <c r="JF7" i="6"/>
  <c r="JG4" i="6"/>
  <c r="JG7" i="6"/>
  <c r="JH4" i="6"/>
  <c r="JH7" i="6"/>
  <c r="JI4" i="6"/>
  <c r="JI7" i="6"/>
  <c r="JJ4" i="6"/>
  <c r="JJ7" i="6"/>
  <c r="JK4" i="6"/>
  <c r="JK7" i="6"/>
  <c r="JL4" i="6"/>
  <c r="JL7" i="6"/>
  <c r="JM4" i="6"/>
  <c r="JM7" i="6"/>
  <c r="JN4" i="6"/>
  <c r="JN7" i="6"/>
  <c r="JO4" i="6"/>
  <c r="JO7" i="6"/>
  <c r="JP4" i="6"/>
  <c r="JP7" i="6"/>
  <c r="JQ4" i="6"/>
  <c r="JQ7" i="6"/>
  <c r="JR4" i="6"/>
  <c r="JR7" i="6"/>
  <c r="JS4" i="6"/>
  <c r="JS7" i="6"/>
  <c r="JT4" i="6"/>
  <c r="JT7" i="6"/>
  <c r="JU4" i="6"/>
  <c r="JU7" i="6"/>
  <c r="JV4" i="6"/>
  <c r="JV7" i="6"/>
  <c r="JW4" i="6"/>
  <c r="JW7" i="6"/>
  <c r="JX4" i="6"/>
  <c r="JX7" i="6"/>
  <c r="JY4" i="6"/>
  <c r="JY7" i="6"/>
  <c r="JZ4" i="6"/>
  <c r="JZ7" i="6"/>
  <c r="KA4" i="6"/>
  <c r="KA7" i="6"/>
  <c r="KB4" i="6"/>
  <c r="KB7" i="6"/>
  <c r="KC4" i="6"/>
  <c r="KC7" i="6"/>
  <c r="KD4" i="6"/>
  <c r="KD7" i="6"/>
  <c r="KE4" i="6"/>
  <c r="KE7" i="6"/>
  <c r="KF4" i="6"/>
  <c r="KF7" i="6"/>
  <c r="U116" i="18" l="1"/>
  <c r="U117" i="18"/>
  <c r="U118" i="18"/>
  <c r="U120" i="18"/>
  <c r="U119" i="18"/>
  <c r="U121" i="18"/>
  <c r="U110" i="18"/>
  <c r="V108" i="18" s="1"/>
  <c r="U111" i="18"/>
  <c r="U122" i="18"/>
  <c r="W101" i="18"/>
  <c r="W102" i="18" s="1"/>
  <c r="W103" i="18" s="1"/>
  <c r="N28" i="2"/>
  <c r="U41" i="18"/>
  <c r="U37" i="18"/>
  <c r="U38" i="18"/>
  <c r="X4" i="5" s="1"/>
  <c r="U42" i="18"/>
  <c r="U44" i="18"/>
  <c r="U32" i="18"/>
  <c r="W41" i="18"/>
  <c r="W119" i="18"/>
  <c r="W69" i="18"/>
  <c r="X2" i="18"/>
  <c r="V125" i="18"/>
  <c r="H19" i="3"/>
  <c r="J19" i="3" s="1"/>
  <c r="J5" i="3" s="1"/>
  <c r="V21" i="18"/>
  <c r="BX17" i="6"/>
  <c r="IM17" i="6"/>
  <c r="IK17" i="6"/>
  <c r="AK17" i="6"/>
  <c r="IX17" i="6"/>
  <c r="AM17" i="6"/>
  <c r="DX17" i="6"/>
  <c r="GF17" i="6"/>
  <c r="EO17" i="6"/>
  <c r="JJ17" i="6"/>
  <c r="GU17" i="6"/>
  <c r="P17" i="6"/>
  <c r="HH17" i="6"/>
  <c r="FD17" i="6"/>
  <c r="DV17" i="6"/>
  <c r="HZ17" i="6"/>
  <c r="JH17" i="6"/>
  <c r="HY17" i="6"/>
  <c r="IS17" i="6"/>
  <c r="GO17" i="6"/>
  <c r="DH17" i="6"/>
  <c r="T17" i="6"/>
  <c r="ES17" i="6"/>
  <c r="FG17" i="6"/>
  <c r="BR17" i="6"/>
  <c r="AU17" i="6"/>
  <c r="JF17" i="6"/>
  <c r="DI17" i="6"/>
  <c r="IE17" i="6"/>
  <c r="FH17" i="6"/>
  <c r="HS17" i="6"/>
  <c r="JQ17" i="6"/>
  <c r="DG17" i="6"/>
  <c r="AG17" i="6"/>
  <c r="EV17" i="6"/>
  <c r="CG17" i="6"/>
  <c r="AB17" i="6"/>
  <c r="KB17" i="6"/>
  <c r="AC17" i="6"/>
  <c r="DC17" i="6"/>
  <c r="DS17" i="6"/>
  <c r="HA17" i="6"/>
  <c r="EX17" i="6"/>
  <c r="IR17" i="6"/>
  <c r="GZ17" i="6"/>
  <c r="DQ17" i="6"/>
  <c r="GH17" i="6"/>
  <c r="CY17" i="6"/>
  <c r="HF17" i="6"/>
  <c r="AJ17" i="6"/>
  <c r="T4" i="5"/>
  <c r="CT17" i="6"/>
  <c r="BD17" i="6"/>
  <c r="BA17" i="6"/>
  <c r="J17" i="6"/>
  <c r="BC17" i="6"/>
  <c r="AO17" i="6"/>
  <c r="DT17" i="6"/>
  <c r="EP17" i="6"/>
  <c r="IN17" i="6"/>
  <c r="CA17" i="6"/>
  <c r="V17" i="6"/>
  <c r="DO17" i="6"/>
  <c r="GB17" i="6"/>
  <c r="ER17" i="6"/>
  <c r="AV17" i="6"/>
  <c r="AD17" i="6"/>
  <c r="IJ17" i="6"/>
  <c r="IG17" i="6"/>
  <c r="GE17" i="6"/>
  <c r="HV17" i="6"/>
  <c r="AS17" i="6"/>
  <c r="JX17" i="6"/>
  <c r="GT17" i="6"/>
  <c r="HK17" i="6"/>
  <c r="FJ17" i="6"/>
  <c r="FZ17" i="6"/>
  <c r="HD17" i="6"/>
  <c r="IU17" i="6"/>
  <c r="EY17" i="6"/>
  <c r="BT17" i="6"/>
  <c r="CQ17" i="6"/>
  <c r="HN17" i="6"/>
  <c r="AI17" i="6"/>
  <c r="JZ17" i="6"/>
  <c r="GJ17" i="6"/>
  <c r="FS17" i="6"/>
  <c r="IC17" i="6"/>
  <c r="X17" i="6"/>
  <c r="H17" i="6"/>
  <c r="JE17" i="6"/>
  <c r="GW17" i="6"/>
  <c r="IZ17" i="6"/>
  <c r="JB17" i="6"/>
  <c r="EW17" i="6"/>
  <c r="W4" i="5"/>
  <c r="O17" i="6"/>
  <c r="IH17" i="6"/>
  <c r="CV17" i="6"/>
  <c r="CX17" i="6"/>
  <c r="FN17" i="6"/>
  <c r="CZ17" i="6"/>
  <c r="U17" i="6"/>
  <c r="IT17" i="6"/>
  <c r="CE17" i="6"/>
  <c r="II17" i="6"/>
  <c r="FF17" i="6"/>
  <c r="JI17" i="6"/>
  <c r="AT17" i="6"/>
  <c r="KC17" i="6"/>
  <c r="BN17" i="6"/>
  <c r="HT17" i="6"/>
  <c r="BQ17" i="6"/>
  <c r="BG17" i="6"/>
  <c r="S17" i="6"/>
  <c r="IW17" i="6"/>
  <c r="AF17" i="6"/>
  <c r="DB17" i="6"/>
  <c r="CI17" i="6"/>
  <c r="HR17" i="6"/>
  <c r="GA17" i="6"/>
  <c r="JL17" i="6"/>
  <c r="BF17" i="6"/>
  <c r="DD17" i="6"/>
  <c r="CD17" i="6"/>
  <c r="EI17" i="6"/>
  <c r="GM17" i="6"/>
  <c r="CL17" i="6"/>
  <c r="EL17" i="6"/>
  <c r="HW17" i="6"/>
  <c r="DE17" i="6"/>
  <c r="DW17" i="6"/>
  <c r="IV17" i="6"/>
  <c r="EF17" i="6"/>
  <c r="BK17" i="6"/>
  <c r="IA17" i="6"/>
  <c r="HE17" i="6"/>
  <c r="FI17" i="6"/>
  <c r="DY17" i="6"/>
  <c r="EE17" i="6"/>
  <c r="W17" i="6"/>
  <c r="DZ17" i="6"/>
  <c r="CM17" i="6"/>
  <c r="AX17" i="6"/>
  <c r="JG17" i="6"/>
  <c r="GP17" i="6"/>
  <c r="CF17" i="6"/>
  <c r="BE17" i="6"/>
  <c r="FX17" i="6"/>
  <c r="EJ17" i="6"/>
  <c r="JY17" i="6"/>
  <c r="GN17" i="6"/>
  <c r="ID17" i="6"/>
  <c r="JT17" i="6"/>
  <c r="GD17" i="6"/>
  <c r="GL17" i="6"/>
  <c r="ED17" i="6"/>
  <c r="GR17" i="6"/>
  <c r="FA17" i="6"/>
  <c r="IB17" i="6"/>
  <c r="FQ17" i="6"/>
  <c r="FY17" i="6"/>
  <c r="GY17" i="6"/>
  <c r="FV17" i="6"/>
  <c r="JK17" i="6"/>
  <c r="AY17" i="6"/>
  <c r="HO17" i="6"/>
  <c r="JR17" i="6"/>
  <c r="GX17" i="6"/>
  <c r="HL17" i="6"/>
  <c r="CU17" i="6"/>
  <c r="Z17" i="6"/>
  <c r="IO17" i="6"/>
  <c r="IL17" i="6"/>
  <c r="M17" i="6"/>
  <c r="JC17" i="6"/>
  <c r="FR17" i="6"/>
  <c r="DU17" i="6"/>
  <c r="EH17" i="6"/>
  <c r="DK17" i="6"/>
  <c r="GS17" i="6"/>
  <c r="HI17" i="6"/>
  <c r="FU17" i="6"/>
  <c r="U4" i="5"/>
  <c r="CN17" i="6"/>
  <c r="EA17" i="6"/>
  <c r="CR17" i="6"/>
  <c r="AA17" i="6"/>
  <c r="DM17" i="6"/>
  <c r="Y17" i="6"/>
  <c r="CW17" i="6"/>
  <c r="AP17" i="6"/>
  <c r="CP17" i="6"/>
  <c r="DA17" i="6"/>
  <c r="GC17" i="6"/>
  <c r="CS17" i="6"/>
  <c r="AZ17" i="6"/>
  <c r="KD17" i="6"/>
  <c r="K17" i="6"/>
  <c r="EB17" i="6"/>
  <c r="GK17" i="6"/>
  <c r="Y4" i="5"/>
  <c r="EC17" i="6"/>
  <c r="BH17" i="6"/>
  <c r="DR17" i="6"/>
  <c r="DL17" i="6"/>
  <c r="FT17" i="6"/>
  <c r="KF17" i="6"/>
  <c r="L17" i="6"/>
  <c r="IY17" i="6"/>
  <c r="GG17" i="6"/>
  <c r="ET17" i="6"/>
  <c r="IQ17" i="6"/>
  <c r="BZ17" i="6"/>
  <c r="BJ17" i="6"/>
  <c r="DF17" i="6"/>
  <c r="EG17" i="6"/>
  <c r="BV17" i="6"/>
  <c r="FP17" i="6"/>
  <c r="Q17" i="6"/>
  <c r="JV17" i="6"/>
  <c r="DP17" i="6"/>
  <c r="HU17" i="6"/>
  <c r="DJ17" i="6"/>
  <c r="JP17" i="6"/>
  <c r="JO17" i="6"/>
  <c r="FK17" i="6"/>
  <c r="R17" i="6"/>
  <c r="CO17" i="6"/>
  <c r="EQ17" i="6"/>
  <c r="BL17" i="6"/>
  <c r="BS17" i="6"/>
  <c r="JU17" i="6"/>
  <c r="AH17" i="6"/>
  <c r="EZ17" i="6"/>
  <c r="CH17" i="6"/>
  <c r="FE17" i="6"/>
  <c r="BY17" i="6"/>
  <c r="FC17" i="6"/>
  <c r="EN17" i="6"/>
  <c r="EU17" i="6"/>
  <c r="FO17" i="6"/>
  <c r="BO17" i="6"/>
  <c r="HG17" i="6"/>
  <c r="HQ17" i="6"/>
  <c r="I17" i="6"/>
  <c r="BI17" i="6"/>
  <c r="BM17" i="6"/>
  <c r="FL17" i="6"/>
  <c r="JN17" i="6"/>
  <c r="HJ17" i="6"/>
  <c r="JW17" i="6"/>
  <c r="GQ17" i="6"/>
  <c r="DN17" i="6"/>
  <c r="FB17" i="6"/>
  <c r="F17" i="6"/>
  <c r="F18" i="6" s="1"/>
  <c r="BP17" i="6"/>
  <c r="BU17" i="6"/>
  <c r="BW17" i="6"/>
  <c r="AE17" i="6"/>
  <c r="BB17" i="6"/>
  <c r="HC17" i="6"/>
  <c r="AR17" i="6"/>
  <c r="CK17" i="6"/>
  <c r="GI17" i="6"/>
  <c r="AN17" i="6"/>
  <c r="AW17" i="6"/>
  <c r="HX17" i="6"/>
  <c r="HB17" i="6"/>
  <c r="N17" i="6"/>
  <c r="AL17" i="6"/>
  <c r="CB17" i="6"/>
  <c r="HP17" i="6"/>
  <c r="EM17" i="6"/>
  <c r="GV17" i="6"/>
  <c r="KE17" i="6"/>
  <c r="G17" i="6"/>
  <c r="EK17" i="6"/>
  <c r="FW17" i="6"/>
  <c r="JA17" i="6"/>
  <c r="AQ17" i="6"/>
  <c r="CC17" i="6"/>
  <c r="IP17" i="6"/>
  <c r="CJ17" i="6"/>
  <c r="JS17" i="6"/>
  <c r="IF17" i="6"/>
  <c r="JM17" i="6"/>
  <c r="HM17" i="6"/>
  <c r="JD17" i="6"/>
  <c r="FM17" i="6"/>
  <c r="KA17" i="6"/>
  <c r="N49" i="2"/>
  <c r="I51" i="2"/>
  <c r="N39" i="2"/>
  <c r="H10" i="6"/>
  <c r="N35" i="2"/>
  <c r="N11" i="2"/>
  <c r="N21" i="2"/>
  <c r="W70" i="18" l="1"/>
  <c r="W121" i="18"/>
  <c r="W68" i="18"/>
  <c r="W120" i="18"/>
  <c r="W40" i="18"/>
  <c r="W39" i="18"/>
  <c r="AP11" i="6" s="1"/>
  <c r="W118" i="18"/>
  <c r="CE11" i="6" s="1"/>
  <c r="V29" i="18"/>
  <c r="V4" i="5"/>
  <c r="IC11" i="6"/>
  <c r="IK11" i="6"/>
  <c r="ES11" i="6"/>
  <c r="CG11" i="6"/>
  <c r="JO11" i="6"/>
  <c r="FF11" i="6"/>
  <c r="JY11" i="6"/>
  <c r="AD11" i="6"/>
  <c r="JE11" i="6"/>
  <c r="AE11" i="6"/>
  <c r="FV11" i="6"/>
  <c r="GF11" i="6"/>
  <c r="HA11" i="6"/>
  <c r="DH11" i="6"/>
  <c r="AW11" i="6"/>
  <c r="IP11" i="6"/>
  <c r="HL11" i="6"/>
  <c r="DR11" i="6"/>
  <c r="JP11" i="6"/>
  <c r="Y11" i="6"/>
  <c r="FR11" i="6"/>
  <c r="BP11" i="6"/>
  <c r="CC11" i="6"/>
  <c r="DO11" i="6"/>
  <c r="FA11" i="6"/>
  <c r="IJ11" i="6"/>
  <c r="GE11" i="6"/>
  <c r="FJ11" i="6"/>
  <c r="JB11" i="6"/>
  <c r="HK11" i="6"/>
  <c r="FX11" i="6"/>
  <c r="IX11" i="6"/>
  <c r="GM11" i="6"/>
  <c r="CL11" i="6"/>
  <c r="BR11" i="6"/>
  <c r="IG11" i="6"/>
  <c r="HW11" i="6"/>
  <c r="GD11" i="6"/>
  <c r="HC11" i="6"/>
  <c r="DT11" i="6"/>
  <c r="CS11" i="6"/>
  <c r="FB11" i="6"/>
  <c r="CR11" i="6"/>
  <c r="BJ11" i="6"/>
  <c r="BH11" i="6"/>
  <c r="EX11" i="6"/>
  <c r="H11" i="6"/>
  <c r="CY11" i="6"/>
  <c r="JH11" i="6"/>
  <c r="O11" i="6"/>
  <c r="DN11" i="6"/>
  <c r="GY11" i="6"/>
  <c r="EO11" i="6"/>
  <c r="BS11" i="6"/>
  <c r="HD11" i="6"/>
  <c r="J11" i="6"/>
  <c r="HS11" i="6"/>
  <c r="EF11" i="6"/>
  <c r="JU11" i="6"/>
  <c r="GQ11" i="6"/>
  <c r="GH11" i="6"/>
  <c r="ID11" i="6"/>
  <c r="AH11" i="6"/>
  <c r="GB11" i="6"/>
  <c r="EA11" i="6"/>
  <c r="IO11" i="6"/>
  <c r="FI11" i="6"/>
  <c r="CF11" i="6"/>
  <c r="AU11" i="6"/>
  <c r="JF11" i="6"/>
  <c r="CT11" i="6"/>
  <c r="AJ11" i="6"/>
  <c r="EI11" i="6"/>
  <c r="JM11" i="6"/>
  <c r="IM11" i="6"/>
  <c r="JI11" i="6"/>
  <c r="BQ11" i="6"/>
  <c r="M11" i="6"/>
  <c r="JZ11" i="6"/>
  <c r="EK11" i="6"/>
  <c r="HM11" i="6"/>
  <c r="FT11" i="6"/>
  <c r="GW11" i="6"/>
  <c r="EQ11" i="6"/>
  <c r="HB11" i="6"/>
  <c r="DK11" i="6"/>
  <c r="CK11" i="6"/>
  <c r="GS11" i="6"/>
  <c r="GL11" i="6"/>
  <c r="DU11" i="6"/>
  <c r="HV11" i="6"/>
  <c r="DL11" i="6"/>
  <c r="HG11" i="6"/>
  <c r="IF11" i="6"/>
  <c r="FD11" i="6"/>
  <c r="AN11" i="6"/>
  <c r="JA11" i="6"/>
  <c r="JK11" i="6"/>
  <c r="IW11" i="6"/>
  <c r="W11" i="6"/>
  <c r="HR11" i="6"/>
  <c r="FG11" i="6"/>
  <c r="AZ11" i="6"/>
  <c r="FY11" i="6"/>
  <c r="FC11" i="6"/>
  <c r="II11" i="6"/>
  <c r="DJ11" i="6"/>
  <c r="X11" i="6"/>
  <c r="AS11" i="6"/>
  <c r="BG11" i="6"/>
  <c r="FM11" i="6"/>
  <c r="FQ11" i="6"/>
  <c r="U11" i="6"/>
  <c r="EY11" i="6"/>
  <c r="IS11" i="6"/>
  <c r="CI11" i="6"/>
  <c r="ER11" i="6"/>
  <c r="GZ11" i="6"/>
  <c r="F11" i="6"/>
  <c r="F12" i="6" s="1"/>
  <c r="F14" i="6" s="1"/>
  <c r="FO11" i="6"/>
  <c r="K11" i="6"/>
  <c r="IU11" i="6"/>
  <c r="Z11" i="6"/>
  <c r="GI11" i="6"/>
  <c r="HF11" i="6"/>
  <c r="GA11" i="6"/>
  <c r="CX11" i="6"/>
  <c r="JJ11" i="6"/>
  <c r="AQ11" i="6"/>
  <c r="BN11" i="6"/>
  <c r="CN11" i="6"/>
  <c r="DS11" i="6"/>
  <c r="KA11" i="6"/>
  <c r="G11" i="6"/>
  <c r="BO11" i="6"/>
  <c r="IT11" i="6"/>
  <c r="BT11" i="6"/>
  <c r="KD11" i="6"/>
  <c r="T11" i="6"/>
  <c r="GK11" i="6"/>
  <c r="AT11" i="6"/>
  <c r="H5" i="3"/>
  <c r="D17" i="6"/>
  <c r="C17" i="6" s="1"/>
  <c r="G18" i="6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I48" i="2"/>
  <c r="T20" i="2" s="1"/>
  <c r="K51" i="2"/>
  <c r="I10" i="6"/>
  <c r="AX11" i="6" l="1"/>
  <c r="EC11" i="6"/>
  <c r="JC11" i="6"/>
  <c r="AY11" i="6"/>
  <c r="BM11" i="6"/>
  <c r="JV11" i="6"/>
  <c r="CM11" i="6"/>
  <c r="Q11" i="6"/>
  <c r="DD11" i="6"/>
  <c r="DZ11" i="6"/>
  <c r="BW11" i="6"/>
  <c r="KC11" i="6"/>
  <c r="EM11" i="6"/>
  <c r="GU11" i="6"/>
  <c r="IE11" i="6"/>
  <c r="CB11" i="6"/>
  <c r="DV11" i="6"/>
  <c r="EB11" i="6"/>
  <c r="DE11" i="6"/>
  <c r="AA11" i="6"/>
  <c r="JS11" i="6"/>
  <c r="FS11" i="6"/>
  <c r="DI11" i="6"/>
  <c r="HU11" i="6"/>
  <c r="BK11" i="6"/>
  <c r="HX11" i="6"/>
  <c r="IB11" i="6"/>
  <c r="CW11" i="6"/>
  <c r="BE11" i="6"/>
  <c r="EJ11" i="6"/>
  <c r="KB11" i="6"/>
  <c r="AM11" i="6"/>
  <c r="AC11" i="6"/>
  <c r="HN11" i="6"/>
  <c r="FE11" i="6"/>
  <c r="DF11" i="6"/>
  <c r="CP11" i="6"/>
  <c r="EV11" i="6"/>
  <c r="AR11" i="6"/>
  <c r="HE11" i="6"/>
  <c r="BF11" i="6"/>
  <c r="HT11" i="6"/>
  <c r="FZ11" i="6"/>
  <c r="HO11" i="6"/>
  <c r="JX11" i="6"/>
  <c r="L11" i="6"/>
  <c r="JD11" i="6"/>
  <c r="GC11" i="6"/>
  <c r="EL11" i="6"/>
  <c r="CQ11" i="6"/>
  <c r="S11" i="6"/>
  <c r="BZ11" i="6"/>
  <c r="IY11" i="6"/>
  <c r="IL11" i="6"/>
  <c r="BY11" i="6"/>
  <c r="ET11" i="6"/>
  <c r="GX11" i="6"/>
  <c r="HI11" i="6"/>
  <c r="HZ11" i="6"/>
  <c r="EP11" i="6"/>
  <c r="EN11" i="6"/>
  <c r="BA11" i="6"/>
  <c r="BL11" i="6"/>
  <c r="IZ11" i="6"/>
  <c r="DP11" i="6"/>
  <c r="HJ11" i="6"/>
  <c r="I11" i="6"/>
  <c r="CJ11" i="6"/>
  <c r="DY11" i="6"/>
  <c r="JR11" i="6"/>
  <c r="GN11" i="6"/>
  <c r="CV11" i="6"/>
  <c r="EW11" i="6"/>
  <c r="GR11" i="6"/>
  <c r="BX11" i="6"/>
  <c r="AV11" i="6"/>
  <c r="GJ11" i="6"/>
  <c r="BI11" i="6"/>
  <c r="CD11" i="6"/>
  <c r="FW11" i="6"/>
  <c r="GT11" i="6"/>
  <c r="FL11" i="6"/>
  <c r="IR11" i="6"/>
  <c r="IV11" i="6"/>
  <c r="EZ11" i="6"/>
  <c r="JG11" i="6"/>
  <c r="DG11" i="6"/>
  <c r="IQ11" i="6"/>
  <c r="P11" i="6"/>
  <c r="FK11" i="6"/>
  <c r="DW11" i="6"/>
  <c r="IH11" i="6"/>
  <c r="BD11" i="6"/>
  <c r="AF11" i="6"/>
  <c r="EH11" i="6"/>
  <c r="DB11" i="6"/>
  <c r="GV11" i="6"/>
  <c r="FU11" i="6"/>
  <c r="BC11" i="6"/>
  <c r="EU11" i="6"/>
  <c r="N11" i="6"/>
  <c r="JT11" i="6"/>
  <c r="V11" i="6"/>
  <c r="GG11" i="6"/>
  <c r="JL11" i="6"/>
  <c r="HH11" i="6"/>
  <c r="FP11" i="6"/>
  <c r="R11" i="6"/>
  <c r="CZ11" i="6"/>
  <c r="DC11" i="6"/>
  <c r="AI11" i="6"/>
  <c r="JN11" i="6"/>
  <c r="DQ11" i="6"/>
  <c r="AG11" i="6"/>
  <c r="KF11" i="6"/>
  <c r="IN11" i="6"/>
  <c r="CH11" i="6"/>
  <c r="BB11" i="6"/>
  <c r="IA11" i="6"/>
  <c r="KE11" i="6"/>
  <c r="DM11" i="6"/>
  <c r="AB11" i="6"/>
  <c r="BV11" i="6"/>
  <c r="HY11" i="6"/>
  <c r="EE11" i="6"/>
  <c r="BU11" i="6"/>
  <c r="GO11" i="6"/>
  <c r="GP11" i="6"/>
  <c r="DX11" i="6"/>
  <c r="CU11" i="6"/>
  <c r="AL11" i="6"/>
  <c r="EG11" i="6"/>
  <c r="AK11" i="6"/>
  <c r="ED11" i="6"/>
  <c r="JQ11" i="6"/>
  <c r="CO11" i="6"/>
  <c r="HQ11" i="6"/>
  <c r="HP11" i="6"/>
  <c r="DA11" i="6"/>
  <c r="CA11" i="6"/>
  <c r="JW11" i="6"/>
  <c r="AO11" i="6"/>
  <c r="FN11" i="6"/>
  <c r="FH11" i="6"/>
  <c r="G12" i="6"/>
  <c r="G14" i="6" s="1"/>
  <c r="H25" i="3"/>
  <c r="F5" i="5"/>
  <c r="K48" i="2"/>
  <c r="N51" i="2"/>
  <c r="N48" i="2" s="1"/>
  <c r="N9" i="2" s="1"/>
  <c r="D18" i="6"/>
  <c r="C18" i="6" s="1"/>
  <c r="J10" i="6"/>
  <c r="H12" i="6" l="1"/>
  <c r="D11" i="6"/>
  <c r="H14" i="6"/>
  <c r="I12" i="6"/>
  <c r="F6" i="5"/>
  <c r="F7" i="5" s="1"/>
  <c r="C11" i="6"/>
  <c r="V20" i="2"/>
  <c r="J48" i="2"/>
  <c r="U20" i="2" s="1"/>
  <c r="K10" i="6"/>
  <c r="J12" i="6" l="1"/>
  <c r="I14" i="6"/>
  <c r="L10" i="6"/>
  <c r="K12" i="6" l="1"/>
  <c r="J14" i="6"/>
  <c r="M10" i="6"/>
  <c r="L12" i="6" l="1"/>
  <c r="K14" i="6"/>
  <c r="N10" i="6"/>
  <c r="M12" i="6" l="1"/>
  <c r="L14" i="6"/>
  <c r="O10" i="6"/>
  <c r="N12" i="6" l="1"/>
  <c r="M14" i="6"/>
  <c r="P10" i="6"/>
  <c r="O12" i="6" l="1"/>
  <c r="N14" i="6"/>
  <c r="Q10" i="6"/>
  <c r="P12" i="6" l="1"/>
  <c r="O14" i="6"/>
  <c r="R10" i="6"/>
  <c r="Q12" i="6" l="1"/>
  <c r="P14" i="6"/>
  <c r="S10" i="6"/>
  <c r="R12" i="6" l="1"/>
  <c r="Q14" i="6"/>
  <c r="T10" i="6"/>
  <c r="S12" i="6" l="1"/>
  <c r="R14" i="6"/>
  <c r="U10" i="6"/>
  <c r="T12" i="6" l="1"/>
  <c r="S14" i="6"/>
  <c r="V10" i="6"/>
  <c r="U12" i="6" l="1"/>
  <c r="T14" i="6"/>
  <c r="W10" i="6"/>
  <c r="V12" i="6" l="1"/>
  <c r="U14" i="6"/>
  <c r="X10" i="6"/>
  <c r="W12" i="6" l="1"/>
  <c r="V14" i="6"/>
  <c r="Y10" i="6"/>
  <c r="X12" i="6" l="1"/>
  <c r="W14" i="6"/>
  <c r="Z10" i="6"/>
  <c r="Y12" i="6" l="1"/>
  <c r="X14" i="6"/>
  <c r="AA10" i="6"/>
  <c r="Z12" i="6" l="1"/>
  <c r="Y14" i="6"/>
  <c r="AB10" i="6"/>
  <c r="AA12" i="6" l="1"/>
  <c r="Z14" i="6"/>
  <c r="AC10" i="6"/>
  <c r="AB12" i="6" l="1"/>
  <c r="AA14" i="6"/>
  <c r="AD10" i="6"/>
  <c r="AC12" i="6" l="1"/>
  <c r="AB14" i="6"/>
  <c r="AE10" i="6"/>
  <c r="AD12" i="6" l="1"/>
  <c r="AC14" i="6"/>
  <c r="AF10" i="6"/>
  <c r="AE12" i="6" l="1"/>
  <c r="AD14" i="6"/>
  <c r="AG10" i="6"/>
  <c r="AF12" i="6" l="1"/>
  <c r="AE14" i="6"/>
  <c r="AH10" i="6"/>
  <c r="AG12" i="6" l="1"/>
  <c r="AF14" i="6"/>
  <c r="AI10" i="6"/>
  <c r="AH12" i="6" l="1"/>
  <c r="AG14" i="6"/>
  <c r="AJ10" i="6"/>
  <c r="AI12" i="6" l="1"/>
  <c r="AH14" i="6"/>
  <c r="AK10" i="6"/>
  <c r="AJ12" i="6" l="1"/>
  <c r="AI14" i="6"/>
  <c r="AL10" i="6"/>
  <c r="AK12" i="6" l="1"/>
  <c r="AJ14" i="6"/>
  <c r="AM10" i="6"/>
  <c r="AL12" i="6" l="1"/>
  <c r="AK14" i="6"/>
  <c r="AN10" i="6"/>
  <c r="AM12" i="6" l="1"/>
  <c r="AL14" i="6"/>
  <c r="AO10" i="6"/>
  <c r="AN12" i="6" l="1"/>
  <c r="AM14" i="6"/>
  <c r="AP10" i="6"/>
  <c r="AO12" i="6" l="1"/>
  <c r="AN14" i="6"/>
  <c r="AQ10" i="6"/>
  <c r="AP12" i="6" l="1"/>
  <c r="AO14" i="6"/>
  <c r="AR10" i="6"/>
  <c r="AQ12" i="6" l="1"/>
  <c r="AP14" i="6"/>
  <c r="AS10" i="6"/>
  <c r="AR12" i="6" l="1"/>
  <c r="AQ14" i="6"/>
  <c r="AT10" i="6"/>
  <c r="AS12" i="6" l="1"/>
  <c r="AR14" i="6"/>
  <c r="AU10" i="6"/>
  <c r="AT12" i="6" l="1"/>
  <c r="AS14" i="6"/>
  <c r="AV10" i="6"/>
  <c r="AU12" i="6" l="1"/>
  <c r="AT14" i="6"/>
  <c r="AW10" i="6"/>
  <c r="AV12" i="6" l="1"/>
  <c r="AU14" i="6"/>
  <c r="AX10" i="6"/>
  <c r="AW12" i="6" l="1"/>
  <c r="AV14" i="6"/>
  <c r="AY10" i="6"/>
  <c r="AX12" i="6" l="1"/>
  <c r="AW14" i="6"/>
  <c r="AZ10" i="6"/>
  <c r="AY12" i="6" l="1"/>
  <c r="AX14" i="6"/>
  <c r="BA10" i="6"/>
  <c r="AZ12" i="6" l="1"/>
  <c r="AY14" i="6"/>
  <c r="BB10" i="6"/>
  <c r="BA12" i="6" l="1"/>
  <c r="AZ14" i="6"/>
  <c r="BC10" i="6"/>
  <c r="BB12" i="6" l="1"/>
  <c r="BA14" i="6"/>
  <c r="BD10" i="6"/>
  <c r="BC12" i="6" l="1"/>
  <c r="BB14" i="6"/>
  <c r="BE10" i="6"/>
  <c r="BD12" i="6" l="1"/>
  <c r="BC14" i="6"/>
  <c r="BF10" i="6"/>
  <c r="BE12" i="6" l="1"/>
  <c r="BD14" i="6"/>
  <c r="BG10" i="6"/>
  <c r="BF12" i="6" l="1"/>
  <c r="BE14" i="6"/>
  <c r="BH10" i="6"/>
  <c r="BG12" i="6" l="1"/>
  <c r="BF14" i="6"/>
  <c r="BI10" i="6"/>
  <c r="BH12" i="6" l="1"/>
  <c r="BG14" i="6"/>
  <c r="BJ10" i="6"/>
  <c r="BI12" i="6" l="1"/>
  <c r="BH14" i="6"/>
  <c r="BK10" i="6"/>
  <c r="BJ12" i="6" l="1"/>
  <c r="BI14" i="6"/>
  <c r="BL10" i="6"/>
  <c r="BK12" i="6" l="1"/>
  <c r="BJ14" i="6"/>
  <c r="BM10" i="6"/>
  <c r="BL12" i="6" l="1"/>
  <c r="BK14" i="6"/>
  <c r="BN10" i="6"/>
  <c r="BM12" i="6" l="1"/>
  <c r="BL14" i="6"/>
  <c r="BO10" i="6"/>
  <c r="BN12" i="6" l="1"/>
  <c r="BM14" i="6"/>
  <c r="BP10" i="6"/>
  <c r="BO12" i="6" l="1"/>
  <c r="BN14" i="6"/>
  <c r="BQ10" i="6"/>
  <c r="BP12" i="6" l="1"/>
  <c r="BO14" i="6"/>
  <c r="BR10" i="6"/>
  <c r="BQ12" i="6" l="1"/>
  <c r="BP14" i="6"/>
  <c r="BS10" i="6"/>
  <c r="BR12" i="6" l="1"/>
  <c r="BQ14" i="6"/>
  <c r="BT10" i="6"/>
  <c r="BS12" i="6" l="1"/>
  <c r="BR14" i="6"/>
  <c r="BU10" i="6"/>
  <c r="BT12" i="6" l="1"/>
  <c r="BS14" i="6"/>
  <c r="BV10" i="6"/>
  <c r="BU12" i="6" l="1"/>
  <c r="BT14" i="6"/>
  <c r="BW10" i="6"/>
  <c r="BV12" i="6" l="1"/>
  <c r="BU14" i="6"/>
  <c r="BX10" i="6"/>
  <c r="BW12" i="6" l="1"/>
  <c r="BV14" i="6"/>
  <c r="BY10" i="6"/>
  <c r="BX12" i="6" l="1"/>
  <c r="BW14" i="6"/>
  <c r="BZ10" i="6"/>
  <c r="BY12" i="6" l="1"/>
  <c r="BX14" i="6"/>
  <c r="CA10" i="6"/>
  <c r="BZ12" i="6" l="1"/>
  <c r="BY14" i="6"/>
  <c r="CB10" i="6"/>
  <c r="CA12" i="6" l="1"/>
  <c r="BZ14" i="6"/>
  <c r="CC10" i="6"/>
  <c r="CB12" i="6" l="1"/>
  <c r="CA14" i="6"/>
  <c r="CD10" i="6"/>
  <c r="CC12" i="6" l="1"/>
  <c r="CB14" i="6"/>
  <c r="CE10" i="6"/>
  <c r="CD12" i="6" l="1"/>
  <c r="CC14" i="6"/>
  <c r="CF10" i="6"/>
  <c r="CE12" i="6" l="1"/>
  <c r="CD14" i="6"/>
  <c r="CG10" i="6"/>
  <c r="CF12" i="6" l="1"/>
  <c r="CE14" i="6"/>
  <c r="CH10" i="6"/>
  <c r="CG12" i="6" l="1"/>
  <c r="CF14" i="6"/>
  <c r="CI10" i="6"/>
  <c r="CH12" i="6" l="1"/>
  <c r="CG14" i="6"/>
  <c r="CJ10" i="6"/>
  <c r="CI12" i="6" l="1"/>
  <c r="CH14" i="6"/>
  <c r="CK10" i="6"/>
  <c r="CJ12" i="6" l="1"/>
  <c r="CI14" i="6"/>
  <c r="CL10" i="6"/>
  <c r="CK12" i="6" l="1"/>
  <c r="CJ14" i="6"/>
  <c r="CM10" i="6"/>
  <c r="CL12" i="6" l="1"/>
  <c r="CK14" i="6"/>
  <c r="CN10" i="6"/>
  <c r="CM12" i="6" l="1"/>
  <c r="CL14" i="6"/>
  <c r="CO10" i="6"/>
  <c r="CN12" i="6" l="1"/>
  <c r="CM14" i="6"/>
  <c r="CP10" i="6"/>
  <c r="CO12" i="6" l="1"/>
  <c r="CN14" i="6"/>
  <c r="CQ10" i="6"/>
  <c r="CP12" i="6" l="1"/>
  <c r="CO14" i="6"/>
  <c r="CR10" i="6"/>
  <c r="CQ12" i="6" l="1"/>
  <c r="CP14" i="6"/>
  <c r="CS10" i="6"/>
  <c r="CR12" i="6" l="1"/>
  <c r="CQ14" i="6"/>
  <c r="CT10" i="6"/>
  <c r="CS12" i="6" l="1"/>
  <c r="CR14" i="6"/>
  <c r="CU10" i="6"/>
  <c r="CT12" i="6" l="1"/>
  <c r="CS14" i="6"/>
  <c r="CV10" i="6"/>
  <c r="CU12" i="6" l="1"/>
  <c r="CT14" i="6"/>
  <c r="CW10" i="6"/>
  <c r="CV12" i="6" l="1"/>
  <c r="CU14" i="6"/>
  <c r="CX10" i="6"/>
  <c r="CW12" i="6" l="1"/>
  <c r="CV14" i="6"/>
  <c r="CY10" i="6"/>
  <c r="CX12" i="6" l="1"/>
  <c r="CW14" i="6"/>
  <c r="CZ10" i="6"/>
  <c r="CY12" i="6" l="1"/>
  <c r="CX14" i="6"/>
  <c r="DA10" i="6"/>
  <c r="CZ12" i="6" l="1"/>
  <c r="CY14" i="6"/>
  <c r="DB10" i="6"/>
  <c r="DA12" i="6" l="1"/>
  <c r="CZ14" i="6"/>
  <c r="DC10" i="6"/>
  <c r="DB12" i="6" l="1"/>
  <c r="DA14" i="6"/>
  <c r="DD10" i="6"/>
  <c r="DC12" i="6" l="1"/>
  <c r="DB14" i="6"/>
  <c r="DE10" i="6"/>
  <c r="DD12" i="6" l="1"/>
  <c r="DC14" i="6"/>
  <c r="DF10" i="6"/>
  <c r="DE12" i="6" l="1"/>
  <c r="DD14" i="6"/>
  <c r="DG10" i="6"/>
  <c r="DF12" i="6" l="1"/>
  <c r="DE14" i="6"/>
  <c r="DH10" i="6"/>
  <c r="DG12" i="6" l="1"/>
  <c r="DF14" i="6"/>
  <c r="DI10" i="6"/>
  <c r="DH12" i="6" l="1"/>
  <c r="DG14" i="6"/>
  <c r="DJ10" i="6"/>
  <c r="DI12" i="6" l="1"/>
  <c r="DH14" i="6"/>
  <c r="DK10" i="6"/>
  <c r="DJ12" i="6" l="1"/>
  <c r="DI14" i="6"/>
  <c r="DL10" i="6"/>
  <c r="DK12" i="6" l="1"/>
  <c r="DJ14" i="6"/>
  <c r="DM10" i="6"/>
  <c r="DL12" i="6" l="1"/>
  <c r="DK14" i="6"/>
  <c r="DN10" i="6"/>
  <c r="DM12" i="6" l="1"/>
  <c r="DL14" i="6"/>
  <c r="DO10" i="6"/>
  <c r="DN12" i="6" l="1"/>
  <c r="DM14" i="6"/>
  <c r="DP10" i="6"/>
  <c r="DO12" i="6" l="1"/>
  <c r="DN14" i="6"/>
  <c r="DQ10" i="6"/>
  <c r="DP12" i="6" l="1"/>
  <c r="DO14" i="6"/>
  <c r="DR10" i="6"/>
  <c r="DQ12" i="6" l="1"/>
  <c r="DP14" i="6"/>
  <c r="DS10" i="6"/>
  <c r="DR12" i="6" l="1"/>
  <c r="DQ14" i="6"/>
  <c r="DT10" i="6"/>
  <c r="DS12" i="6" l="1"/>
  <c r="DR14" i="6"/>
  <c r="DU10" i="6"/>
  <c r="DT12" i="6" l="1"/>
  <c r="DS14" i="6"/>
  <c r="DV10" i="6"/>
  <c r="DU12" i="6" l="1"/>
  <c r="DT14" i="6"/>
  <c r="DW10" i="6"/>
  <c r="DV12" i="6" l="1"/>
  <c r="DU14" i="6"/>
  <c r="DX10" i="6"/>
  <c r="DW12" i="6" l="1"/>
  <c r="DV14" i="6"/>
  <c r="DY10" i="6"/>
  <c r="DX12" i="6" l="1"/>
  <c r="DW14" i="6"/>
  <c r="DZ10" i="6"/>
  <c r="DY12" i="6" l="1"/>
  <c r="DX14" i="6"/>
  <c r="EA10" i="6"/>
  <c r="DZ12" i="6" l="1"/>
  <c r="DY14" i="6"/>
  <c r="EB10" i="6"/>
  <c r="EA12" i="6" l="1"/>
  <c r="DZ14" i="6"/>
  <c r="EC10" i="6"/>
  <c r="EB12" i="6" l="1"/>
  <c r="EA14" i="6"/>
  <c r="ED10" i="6"/>
  <c r="EC12" i="6" l="1"/>
  <c r="EB14" i="6"/>
  <c r="EE10" i="6"/>
  <c r="ED12" i="6" l="1"/>
  <c r="EC14" i="6"/>
  <c r="EF10" i="6"/>
  <c r="EE12" i="6" l="1"/>
  <c r="ED14" i="6"/>
  <c r="EG10" i="6"/>
  <c r="EF12" i="6" l="1"/>
  <c r="EE14" i="6"/>
  <c r="EH10" i="6"/>
  <c r="EG12" i="6" l="1"/>
  <c r="EF14" i="6"/>
  <c r="EI10" i="6"/>
  <c r="EH12" i="6" l="1"/>
  <c r="EG14" i="6"/>
  <c r="EJ10" i="6"/>
  <c r="EI12" i="6" l="1"/>
  <c r="EH14" i="6"/>
  <c r="EK10" i="6"/>
  <c r="EJ12" i="6" l="1"/>
  <c r="EI14" i="6"/>
  <c r="EL10" i="6"/>
  <c r="EK12" i="6" l="1"/>
  <c r="EJ14" i="6"/>
  <c r="EM10" i="6"/>
  <c r="EL12" i="6" l="1"/>
  <c r="EK14" i="6"/>
  <c r="EN10" i="6"/>
  <c r="EM12" i="6" l="1"/>
  <c r="EL14" i="6"/>
  <c r="EO10" i="6"/>
  <c r="EN12" i="6" l="1"/>
  <c r="EM14" i="6"/>
  <c r="EP10" i="6"/>
  <c r="EO12" i="6" l="1"/>
  <c r="EN14" i="6"/>
  <c r="EQ10" i="6"/>
  <c r="EP12" i="6" l="1"/>
  <c r="EO14" i="6"/>
  <c r="ER10" i="6"/>
  <c r="EQ12" i="6" l="1"/>
  <c r="EP14" i="6"/>
  <c r="ES10" i="6"/>
  <c r="ER12" i="6" l="1"/>
  <c r="EQ14" i="6"/>
  <c r="ET10" i="6"/>
  <c r="ES12" i="6" l="1"/>
  <c r="ER14" i="6"/>
  <c r="EU10" i="6"/>
  <c r="ET12" i="6" l="1"/>
  <c r="ES14" i="6"/>
  <c r="EV10" i="6"/>
  <c r="EU12" i="6" l="1"/>
  <c r="ET14" i="6"/>
  <c r="EW10" i="6"/>
  <c r="EV12" i="6" l="1"/>
  <c r="EU14" i="6"/>
  <c r="EX10" i="6"/>
  <c r="EW12" i="6" l="1"/>
  <c r="EV14" i="6"/>
  <c r="EY10" i="6"/>
  <c r="EX12" i="6" l="1"/>
  <c r="EW14" i="6"/>
  <c r="EZ10" i="6"/>
  <c r="EY12" i="6" l="1"/>
  <c r="EX14" i="6"/>
  <c r="FA10" i="6"/>
  <c r="EZ12" i="6" l="1"/>
  <c r="EY14" i="6"/>
  <c r="FB10" i="6"/>
  <c r="FA12" i="6" l="1"/>
  <c r="EZ14" i="6"/>
  <c r="FC10" i="6"/>
  <c r="FB12" i="6" l="1"/>
  <c r="FA14" i="6"/>
  <c r="FD10" i="6"/>
  <c r="FC12" i="6" l="1"/>
  <c r="FB14" i="6"/>
  <c r="FE10" i="6"/>
  <c r="FD12" i="6" l="1"/>
  <c r="FC14" i="6"/>
  <c r="FF10" i="6"/>
  <c r="FE12" i="6" l="1"/>
  <c r="FD14" i="6"/>
  <c r="FG10" i="6"/>
  <c r="FF12" i="6" l="1"/>
  <c r="FE14" i="6"/>
  <c r="FH10" i="6"/>
  <c r="FG12" i="6" l="1"/>
  <c r="FF14" i="6"/>
  <c r="FI10" i="6"/>
  <c r="FH12" i="6" l="1"/>
  <c r="FG14" i="6"/>
  <c r="FJ10" i="6"/>
  <c r="FI12" i="6" l="1"/>
  <c r="FH14" i="6"/>
  <c r="FK10" i="6"/>
  <c r="FJ12" i="6" l="1"/>
  <c r="FI14" i="6"/>
  <c r="FL10" i="6"/>
  <c r="FK12" i="6" l="1"/>
  <c r="FJ14" i="6"/>
  <c r="FM10" i="6"/>
  <c r="FL12" i="6" l="1"/>
  <c r="FK14" i="6"/>
  <c r="FN10" i="6"/>
  <c r="FM12" i="6" l="1"/>
  <c r="FL14" i="6"/>
  <c r="FO10" i="6"/>
  <c r="FN12" i="6" l="1"/>
  <c r="FM14" i="6"/>
  <c r="FP10" i="6"/>
  <c r="FO12" i="6" l="1"/>
  <c r="FN14" i="6"/>
  <c r="FQ10" i="6"/>
  <c r="FP12" i="6" l="1"/>
  <c r="FO14" i="6"/>
  <c r="FR10" i="6"/>
  <c r="FQ12" i="6" l="1"/>
  <c r="FP14" i="6"/>
  <c r="FS10" i="6"/>
  <c r="FR12" i="6" l="1"/>
  <c r="FQ14" i="6"/>
  <c r="FT10" i="6"/>
  <c r="FS12" i="6" l="1"/>
  <c r="FR14" i="6"/>
  <c r="FU10" i="6"/>
  <c r="FT12" i="6" l="1"/>
  <c r="FS14" i="6"/>
  <c r="FV10" i="6"/>
  <c r="FU12" i="6" l="1"/>
  <c r="FT14" i="6"/>
  <c r="FW10" i="6"/>
  <c r="FV12" i="6" l="1"/>
  <c r="FU14" i="6"/>
  <c r="FX10" i="6"/>
  <c r="FW12" i="6" l="1"/>
  <c r="FV14" i="6"/>
  <c r="FY10" i="6"/>
  <c r="FX12" i="6" l="1"/>
  <c r="FW14" i="6"/>
  <c r="FZ10" i="6"/>
  <c r="FY12" i="6" l="1"/>
  <c r="FX14" i="6"/>
  <c r="GA10" i="6"/>
  <c r="FZ12" i="6" l="1"/>
  <c r="FY14" i="6"/>
  <c r="GB10" i="6"/>
  <c r="GA12" i="6" l="1"/>
  <c r="FZ14" i="6"/>
  <c r="GC10" i="6"/>
  <c r="GB12" i="6" l="1"/>
  <c r="GA14" i="6"/>
  <c r="GD10" i="6"/>
  <c r="GC12" i="6" l="1"/>
  <c r="GB14" i="6"/>
  <c r="GE10" i="6"/>
  <c r="GD12" i="6" l="1"/>
  <c r="GC14" i="6"/>
  <c r="GF10" i="6"/>
  <c r="GE12" i="6" l="1"/>
  <c r="GD14" i="6"/>
  <c r="GG10" i="6"/>
  <c r="GF12" i="6" l="1"/>
  <c r="GE14" i="6"/>
  <c r="GH10" i="6"/>
  <c r="GG12" i="6" l="1"/>
  <c r="GF14" i="6"/>
  <c r="GI10" i="6"/>
  <c r="GH12" i="6" l="1"/>
  <c r="GG14" i="6"/>
  <c r="GJ10" i="6"/>
  <c r="GI12" i="6" l="1"/>
  <c r="GH14" i="6"/>
  <c r="GK10" i="6"/>
  <c r="GJ12" i="6" l="1"/>
  <c r="GI14" i="6"/>
  <c r="GL10" i="6"/>
  <c r="GK12" i="6" l="1"/>
  <c r="GJ14" i="6"/>
  <c r="GM10" i="6"/>
  <c r="GL12" i="6" l="1"/>
  <c r="GK14" i="6"/>
  <c r="GN10" i="6"/>
  <c r="GM12" i="6" l="1"/>
  <c r="GL14" i="6"/>
  <c r="GO10" i="6"/>
  <c r="GN12" i="6" l="1"/>
  <c r="GM14" i="6"/>
  <c r="GP10" i="6"/>
  <c r="GO12" i="6" l="1"/>
  <c r="GN14" i="6"/>
  <c r="GQ10" i="6"/>
  <c r="GP12" i="6" l="1"/>
  <c r="GO14" i="6"/>
  <c r="GR10" i="6"/>
  <c r="GQ12" i="6" l="1"/>
  <c r="GP14" i="6"/>
  <c r="GS10" i="6"/>
  <c r="GR12" i="6" l="1"/>
  <c r="GQ14" i="6"/>
  <c r="GT10" i="6"/>
  <c r="GS12" i="6" l="1"/>
  <c r="GR14" i="6"/>
  <c r="GU10" i="6"/>
  <c r="GT12" i="6" l="1"/>
  <c r="GS14" i="6"/>
  <c r="GV10" i="6"/>
  <c r="GU12" i="6" l="1"/>
  <c r="GT14" i="6"/>
  <c r="GW10" i="6"/>
  <c r="GV12" i="6" l="1"/>
  <c r="GU14" i="6"/>
  <c r="GX10" i="6"/>
  <c r="GW12" i="6" l="1"/>
  <c r="GV14" i="6"/>
  <c r="GY10" i="6"/>
  <c r="GX12" i="6" l="1"/>
  <c r="GW14" i="6"/>
  <c r="GZ10" i="6"/>
  <c r="GY12" i="6" l="1"/>
  <c r="GX14" i="6"/>
  <c r="HA10" i="6"/>
  <c r="GZ12" i="6" l="1"/>
  <c r="GY14" i="6"/>
  <c r="HB10" i="6"/>
  <c r="HA12" i="6" l="1"/>
  <c r="GZ14" i="6"/>
  <c r="HC10" i="6"/>
  <c r="HB12" i="6" l="1"/>
  <c r="HA14" i="6"/>
  <c r="HD10" i="6"/>
  <c r="HC12" i="6" l="1"/>
  <c r="HB14" i="6"/>
  <c r="HE10" i="6"/>
  <c r="HD12" i="6" l="1"/>
  <c r="HC14" i="6"/>
  <c r="HF10" i="6"/>
  <c r="HE12" i="6" l="1"/>
  <c r="HD14" i="6"/>
  <c r="HG10" i="6"/>
  <c r="HF12" i="6" l="1"/>
  <c r="HE14" i="6"/>
  <c r="HH10" i="6"/>
  <c r="HG12" i="6" l="1"/>
  <c r="HF14" i="6"/>
  <c r="HI10" i="6"/>
  <c r="HH12" i="6" l="1"/>
  <c r="HG14" i="6"/>
  <c r="HJ10" i="6"/>
  <c r="HI12" i="6" l="1"/>
  <c r="HH14" i="6"/>
  <c r="HK10" i="6"/>
  <c r="HJ12" i="6" l="1"/>
  <c r="HI14" i="6"/>
  <c r="HL10" i="6"/>
  <c r="HK12" i="6" l="1"/>
  <c r="HJ14" i="6"/>
  <c r="HM10" i="6"/>
  <c r="HL12" i="6" l="1"/>
  <c r="HK14" i="6"/>
  <c r="HN10" i="6"/>
  <c r="HM12" i="6" l="1"/>
  <c r="HL14" i="6"/>
  <c r="HO10" i="6"/>
  <c r="HN12" i="6" l="1"/>
  <c r="HM14" i="6"/>
  <c r="HP10" i="6"/>
  <c r="HO12" i="6" l="1"/>
  <c r="HN14" i="6"/>
  <c r="HQ10" i="6"/>
  <c r="HP12" i="6" l="1"/>
  <c r="HO14" i="6"/>
  <c r="HR10" i="6"/>
  <c r="HQ12" i="6" l="1"/>
  <c r="HP14" i="6"/>
  <c r="HS10" i="6"/>
  <c r="HR12" i="6" l="1"/>
  <c r="HQ14" i="6"/>
  <c r="HT10" i="6"/>
  <c r="HS12" i="6" l="1"/>
  <c r="HR14" i="6"/>
  <c r="HU10" i="6"/>
  <c r="HT12" i="6" l="1"/>
  <c r="HS14" i="6"/>
  <c r="HV10" i="6"/>
  <c r="HU12" i="6" l="1"/>
  <c r="HT14" i="6"/>
  <c r="HW10" i="6"/>
  <c r="HV12" i="6" l="1"/>
  <c r="HU14" i="6"/>
  <c r="HX10" i="6"/>
  <c r="HW12" i="6" l="1"/>
  <c r="HV14" i="6"/>
  <c r="HY10" i="6"/>
  <c r="HX12" i="6" l="1"/>
  <c r="HW14" i="6"/>
  <c r="HZ10" i="6"/>
  <c r="HY12" i="6" l="1"/>
  <c r="HX14" i="6"/>
  <c r="IA10" i="6"/>
  <c r="HZ12" i="6" l="1"/>
  <c r="HY14" i="6"/>
  <c r="IB10" i="6"/>
  <c r="IA12" i="6" l="1"/>
  <c r="HZ14" i="6"/>
  <c r="IC10" i="6"/>
  <c r="IB12" i="6" l="1"/>
  <c r="IA14" i="6"/>
  <c r="ID10" i="6"/>
  <c r="IC12" i="6" l="1"/>
  <c r="IB14" i="6"/>
  <c r="IE10" i="6"/>
  <c r="ID12" i="6" l="1"/>
  <c r="IC14" i="6"/>
  <c r="IF10" i="6"/>
  <c r="IE12" i="6" l="1"/>
  <c r="ID14" i="6"/>
  <c r="IG10" i="6"/>
  <c r="IF12" i="6" l="1"/>
  <c r="IE14" i="6"/>
  <c r="IH10" i="6"/>
  <c r="IG12" i="6" l="1"/>
  <c r="IF14" i="6"/>
  <c r="II10" i="6"/>
  <c r="IH12" i="6" l="1"/>
  <c r="IG14" i="6"/>
  <c r="IJ10" i="6"/>
  <c r="II12" i="6" l="1"/>
  <c r="IH14" i="6"/>
  <c r="IK10" i="6"/>
  <c r="IJ12" i="6" l="1"/>
  <c r="II14" i="6"/>
  <c r="IL10" i="6"/>
  <c r="IK12" i="6" l="1"/>
  <c r="IJ14" i="6"/>
  <c r="IM10" i="6"/>
  <c r="IL12" i="6" l="1"/>
  <c r="IK14" i="6"/>
  <c r="IN10" i="6"/>
  <c r="IM12" i="6" l="1"/>
  <c r="IL14" i="6"/>
  <c r="IO10" i="6"/>
  <c r="IN12" i="6" l="1"/>
  <c r="IM14" i="6"/>
  <c r="IP10" i="6"/>
  <c r="IO12" i="6" l="1"/>
  <c r="IN14" i="6"/>
  <c r="IQ10" i="6"/>
  <c r="IP12" i="6" l="1"/>
  <c r="IO14" i="6"/>
  <c r="IR10" i="6"/>
  <c r="IQ12" i="6" l="1"/>
  <c r="IP14" i="6"/>
  <c r="IS10" i="6"/>
  <c r="IR12" i="6" l="1"/>
  <c r="IQ14" i="6"/>
  <c r="IT10" i="6"/>
  <c r="IS12" i="6" l="1"/>
  <c r="IR14" i="6"/>
  <c r="IU10" i="6"/>
  <c r="IT12" i="6" l="1"/>
  <c r="IS14" i="6"/>
  <c r="IV10" i="6"/>
  <c r="IU12" i="6" l="1"/>
  <c r="IT14" i="6"/>
  <c r="IW10" i="6"/>
  <c r="IV12" i="6" l="1"/>
  <c r="IU14" i="6"/>
  <c r="IX10" i="6"/>
  <c r="IW12" i="6" l="1"/>
  <c r="IV14" i="6"/>
  <c r="IY10" i="6"/>
  <c r="IX12" i="6" l="1"/>
  <c r="IW14" i="6"/>
  <c r="IZ10" i="6"/>
  <c r="IY12" i="6" l="1"/>
  <c r="IX14" i="6"/>
  <c r="JA10" i="6"/>
  <c r="IZ12" i="6" l="1"/>
  <c r="IY14" i="6"/>
  <c r="JB10" i="6"/>
  <c r="JA12" i="6" l="1"/>
  <c r="IZ14" i="6"/>
  <c r="JC10" i="6"/>
  <c r="JB12" i="6" l="1"/>
  <c r="JA14" i="6"/>
  <c r="JD10" i="6"/>
  <c r="JC12" i="6" l="1"/>
  <c r="JB14" i="6"/>
  <c r="JE10" i="6"/>
  <c r="JD12" i="6" l="1"/>
  <c r="JC14" i="6"/>
  <c r="JF10" i="6"/>
  <c r="JE12" i="6" l="1"/>
  <c r="JD14" i="6"/>
  <c r="JG10" i="6"/>
  <c r="JF12" i="6" l="1"/>
  <c r="JE14" i="6"/>
  <c r="JH10" i="6"/>
  <c r="JG12" i="6" l="1"/>
  <c r="JF14" i="6"/>
  <c r="JI10" i="6"/>
  <c r="JH12" i="6" l="1"/>
  <c r="JG14" i="6"/>
  <c r="JJ10" i="6"/>
  <c r="JI12" i="6" l="1"/>
  <c r="JH14" i="6"/>
  <c r="JK10" i="6"/>
  <c r="JJ12" i="6" l="1"/>
  <c r="JI14" i="6"/>
  <c r="JL10" i="6"/>
  <c r="JK12" i="6" l="1"/>
  <c r="JJ14" i="6"/>
  <c r="JM10" i="6"/>
  <c r="JL12" i="6" l="1"/>
  <c r="JK14" i="6"/>
  <c r="JN10" i="6"/>
  <c r="JM12" i="6" l="1"/>
  <c r="JL14" i="6"/>
  <c r="JO10" i="6"/>
  <c r="JN12" i="6" l="1"/>
  <c r="JM14" i="6"/>
  <c r="JP10" i="6"/>
  <c r="JO12" i="6" l="1"/>
  <c r="JN14" i="6"/>
  <c r="JQ10" i="6"/>
  <c r="JP12" i="6" l="1"/>
  <c r="JO14" i="6"/>
  <c r="JR10" i="6"/>
  <c r="JQ12" i="6" l="1"/>
  <c r="JP14" i="6"/>
  <c r="JS10" i="6"/>
  <c r="JR12" i="6" l="1"/>
  <c r="JQ14" i="6"/>
  <c r="JT10" i="6"/>
  <c r="JS12" i="6" l="1"/>
  <c r="JR14" i="6"/>
  <c r="JU10" i="6"/>
  <c r="JT12" i="6" l="1"/>
  <c r="JS14" i="6"/>
  <c r="JV10" i="6"/>
  <c r="JU12" i="6" l="1"/>
  <c r="JT14" i="6"/>
  <c r="JW10" i="6"/>
  <c r="JV12" i="6" l="1"/>
  <c r="JU14" i="6"/>
  <c r="JX10" i="6"/>
  <c r="JW12" i="6" l="1"/>
  <c r="JV14" i="6"/>
  <c r="JY10" i="6"/>
  <c r="JX12" i="6" l="1"/>
  <c r="JW14" i="6"/>
  <c r="JZ10" i="6"/>
  <c r="JY12" i="6" l="1"/>
  <c r="JX14" i="6"/>
  <c r="KA10" i="6"/>
  <c r="JZ12" i="6" l="1"/>
  <c r="JY14" i="6"/>
  <c r="KB10" i="6"/>
  <c r="KA12" i="6" l="1"/>
  <c r="JZ14" i="6"/>
  <c r="KC10" i="6"/>
  <c r="KB12" i="6" l="1"/>
  <c r="KA14" i="6"/>
  <c r="KD10" i="6"/>
  <c r="KC12" i="6" l="1"/>
  <c r="KB14" i="6"/>
  <c r="KE10" i="6"/>
  <c r="KD12" i="6" l="1"/>
  <c r="KC14" i="6"/>
  <c r="KF10" i="6"/>
  <c r="KE12" i="6" l="1"/>
  <c r="KD14" i="6"/>
  <c r="KF12" i="6" l="1"/>
  <c r="KF14" i="6" s="1"/>
  <c r="KE1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tc={E79C25BD-1670-4F62-AC72-942BD614012C}</author>
  </authors>
  <commentList>
    <comment ref="R14" authorId="0" shapeId="0" xr:uid="{E79C25BD-1670-4F62-AC72-942BD614012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@Thami Cambalele please invoice these for us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<sst xmlns="http://schemas.openxmlformats.org/spreadsheetml/2006/main" count="857" uniqueCount="456">
  <si>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</si>
  <si>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</si>
  <si>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</si>
  <si>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</si>
  <si>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</si>
  <si>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</si>
  <si>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</si>
  <si>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</si>
  <si>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</si>
  <si>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</si>
  <si>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</si>
  <si>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</si>
  <si>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EPC Agreement</t>
  </si>
  <si>
    <t>O&amp;M Agreeement</t>
  </si>
  <si>
    <t>Cost Proposal</t>
  </si>
  <si>
    <t>Deposit Received</t>
  </si>
  <si>
    <t>Risks / Notes</t>
  </si>
  <si>
    <t>Acknowledgement and Acceptance:</t>
  </si>
  <si>
    <t>Role</t>
  </si>
  <si>
    <t>Name</t>
  </si>
  <si>
    <t>Signature</t>
  </si>
  <si>
    <t>Date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</si>
  <si>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</si>
  <si>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</si>
  <si>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</si>
  <si>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</si>
  <si>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 xml:space="preserve">Project Engineer: </t>
  </si>
  <si>
    <t>Project Introduction Presentation</t>
  </si>
  <si>
    <t>Project Brief</t>
  </si>
  <si>
    <t>Engineering Pack</t>
  </si>
  <si>
    <t>BOQ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</si>
  <si>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</si>
  <si>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</si>
  <si>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</si>
  <si>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</si>
  <si>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</si>
  <si>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</si>
  <si>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</si>
  <si>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</si>
  <si>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</si>
  <si>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</si>
  <si>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</si>
  <si>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</si>
  <si>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</si>
  <si>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</si>
  <si>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</si>
  <si>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>Approved Date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</si>
  <si>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</si>
  <si>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</si>
  <si>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</si>
  <si>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</si>
  <si>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</si>
  <si>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</si>
  <si>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</si>
  <si>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</si>
  <si>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</si>
  <si>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</si>
  <si>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</si>
  <si>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DEC011</t>
  </si>
  <si>
    <t>DEC012</t>
  </si>
  <si>
    <t>DEC013</t>
  </si>
  <si>
    <t>DEC014</t>
  </si>
  <si>
    <t>DEC015</t>
  </si>
  <si>
    <t>DEC016</t>
  </si>
  <si>
    <t>DEC017</t>
  </si>
  <si>
    <t>DEC018</t>
  </si>
  <si>
    <t>DEC019</t>
  </si>
  <si>
    <t>DEC020</t>
  </si>
  <si>
    <t>DEC021</t>
  </si>
  <si>
    <t>DEC022</t>
  </si>
  <si>
    <t>DEC023</t>
  </si>
  <si>
    <t>DEC024</t>
  </si>
  <si>
    <t>DEC025</t>
  </si>
  <si>
    <t>DEC026</t>
  </si>
  <si>
    <t>DEC027</t>
  </si>
  <si>
    <t>DEC028</t>
  </si>
  <si>
    <t>DEC029</t>
  </si>
  <si>
    <t>DEC030</t>
  </si>
  <si>
    <t>Item</t>
  </si>
  <si>
    <t>Supplier</t>
  </si>
  <si>
    <t>Quantity</t>
  </si>
  <si>
    <t>Comments</t>
  </si>
  <si>
    <t>PV Module</t>
  </si>
  <si>
    <t>DC Cable Red &amp; Black</t>
  </si>
  <si>
    <t>Inverters</t>
  </si>
  <si>
    <t>Mounting Structure</t>
  </si>
  <si>
    <t>Current Transformers (Production)</t>
  </si>
  <si>
    <t>Current Transformers (Consumption)</t>
  </si>
  <si>
    <t>Solar Production Meter (Techistter)</t>
  </si>
  <si>
    <t xml:space="preserve">Grid Consumption Meter </t>
  </si>
  <si>
    <t>Wi-Fi Router &amp; Sim</t>
  </si>
  <si>
    <t>Switch</t>
  </si>
  <si>
    <t>Back Up Battery</t>
  </si>
  <si>
    <t>PVDB</t>
  </si>
  <si>
    <t>Supplier List</t>
  </si>
  <si>
    <t>Accuenergy</t>
  </si>
  <si>
    <t>Krannich</t>
  </si>
  <si>
    <t>Menlo</t>
  </si>
  <si>
    <t>Red Pole</t>
  </si>
  <si>
    <t>Schletter</t>
  </si>
  <si>
    <t>Switchboard</t>
  </si>
  <si>
    <t>Techsitter</t>
  </si>
  <si>
    <t>HSE</t>
  </si>
  <si>
    <t xml:space="preserve"> Description</t>
  </si>
  <si>
    <t>NOC</t>
  </si>
  <si>
    <t>7.1 Agreement</t>
  </si>
  <si>
    <t>13.2 Agreement</t>
  </si>
  <si>
    <t xml:space="preserve">EE File </t>
  </si>
  <si>
    <t>Subbie File</t>
  </si>
  <si>
    <t>SSEG</t>
  </si>
  <si>
    <t>PTI</t>
  </si>
  <si>
    <t>Commissioning Approval</t>
  </si>
  <si>
    <t>PROJECT PLAN</t>
  </si>
  <si>
    <t>Shoprite Mini_Bredarsdorp</t>
  </si>
  <si>
    <t>Net Work Days</t>
  </si>
  <si>
    <t>PROJECT SIZE (kWp)</t>
  </si>
  <si>
    <t>Total Weeks</t>
  </si>
  <si>
    <t>PROJECT DEVELOPER</t>
  </si>
  <si>
    <t>Peet Verreynne</t>
  </si>
  <si>
    <t>kW/Week Installation Rate</t>
  </si>
  <si>
    <t>PROJECT MANAGERS</t>
  </si>
  <si>
    <t>CONTRACT VALUE</t>
  </si>
  <si>
    <t>Phase:</t>
  </si>
  <si>
    <t>Handover</t>
  </si>
  <si>
    <t>No.</t>
  </si>
  <si>
    <t>HIGH LEVEL PROGRAMME</t>
  </si>
  <si>
    <t>Planned Start</t>
  </si>
  <si>
    <t>Duration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</si>
  <si>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</si>
  <si>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</si>
  <si>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</si>
  <si>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</si>
  <si>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</si>
  <si>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</si>
  <si>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</si>
  <si>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Project Charter Handover</t>
  </si>
  <si>
    <t>Milestone</t>
  </si>
  <si>
    <t>Start Date</t>
  </si>
  <si>
    <t>End Date</t>
  </si>
  <si>
    <t>1.2</t>
  </si>
  <si>
    <t>HSE Readiness and Signoff</t>
  </si>
  <si>
    <t>1.3</t>
  </si>
  <si>
    <t>Project Introduction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</si>
  <si>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</si>
  <si>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</si>
  <si>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</si>
  <si>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</si>
  <si>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</si>
  <si>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</si>
  <si>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</si>
  <si>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AC Installation</t>
  </si>
  <si>
    <t>3.1</t>
  </si>
  <si>
    <t>Inverters delivered</t>
  </si>
  <si>
    <t>3.2</t>
  </si>
  <si>
    <t>Inverters Mounted</t>
  </si>
  <si>
    <t>3.3</t>
  </si>
  <si>
    <t xml:space="preserve">Solar DB Lead Time </t>
  </si>
  <si>
    <t>3.4</t>
  </si>
  <si>
    <t>AC Works</t>
  </si>
  <si>
    <t>3.5</t>
  </si>
  <si>
    <t>AC Tie-In</t>
  </si>
  <si>
    <t>DC Works</t>
  </si>
  <si>
    <t>4.1</t>
  </si>
  <si>
    <t>Mounting Structure delivered</t>
  </si>
  <si>
    <t>4.2</t>
  </si>
  <si>
    <t>Mounting Structure installation</t>
  </si>
  <si>
    <t>4.3</t>
  </si>
  <si>
    <t>DC Cable delivered</t>
  </si>
  <si>
    <t>4.4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</si>
  <si>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</si>
  <si>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</si>
  <si>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</si>
  <si>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</si>
  <si>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</si>
  <si>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</si>
  <si>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</si>
  <si>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</si>
  <si>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</si>
  <si>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</si>
  <si>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6.3</t>
  </si>
  <si>
    <t>System Performance Monitoring</t>
  </si>
  <si>
    <t>QA Inspections</t>
  </si>
  <si>
    <t>7.1</t>
  </si>
  <si>
    <t>Red-Team Inspection</t>
  </si>
  <si>
    <t>7.2</t>
  </si>
  <si>
    <t>Snags completion</t>
  </si>
  <si>
    <t>Project Closure</t>
  </si>
  <si>
    <t>8.1</t>
  </si>
  <si>
    <t>Handover documentation</t>
  </si>
  <si>
    <t>8.2</t>
  </si>
  <si>
    <t>Handover to Client</t>
  </si>
  <si>
    <t>8.3</t>
  </si>
  <si>
    <t>Handover to Matriarch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</si>
  <si>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</si>
  <si>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</si>
  <si>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</si>
  <si>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</si>
  <si>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</si>
  <si>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</si>
  <si>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</si>
  <si>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</si>
  <si>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</si>
  <si>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</si>
  <si>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</si>
  <si>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</si>
  <si>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Planned Expenditure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</si>
  <si>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</si>
  <si>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</si>
  <si>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</si>
  <si>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</si>
  <si>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</si>
  <si>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</si>
  <si>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</si>
  <si>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</si>
  <si>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</si>
  <si>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</si>
  <si>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</si>
  <si>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</si>
  <si>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Acceptance and Initial Deposit</t>
  </si>
  <si>
    <t>004873</t>
  </si>
  <si>
    <t>Delivery of Panels</t>
  </si>
  <si>
    <t>Delivery of Inverters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</si>
  <si>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</si>
  <si>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</si>
  <si>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</si>
  <si>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</si>
  <si>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</si>
  <si>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</si>
  <si>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</si>
  <si>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</si>
  <si>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</si>
  <si>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</si>
  <si>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</si>
  <si>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</si>
  <si>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</si>
  <si>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</si>
  <si>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</si>
  <si>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</si>
  <si>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</si>
  <si>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</si>
  <si>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</si>
  <si>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</si>
  <si>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</si>
  <si>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</si>
  <si>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</si>
  <si>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</si>
  <si>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</si>
  <si>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</si>
  <si>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</si>
  <si>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</si>
  <si>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</si>
  <si>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</si>
  <si>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</si>
  <si>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</si>
  <si>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</si>
  <si>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</si>
  <si>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</si>
  <si>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</si>
  <si>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</si>
  <si>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</si>
  <si>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</si>
  <si>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Panels Budget</t>
  </si>
  <si>
    <t>1. Panels</t>
  </si>
  <si>
    <t>JA Solar 600W (Menlo)</t>
  </si>
  <si>
    <t>Menlo - INV0003417</t>
  </si>
  <si>
    <t>Delivery Budget</t>
  </si>
  <si>
    <t>Menlo - INV0003407</t>
  </si>
  <si>
    <t>QC4 Connectors</t>
  </si>
  <si>
    <t>MSA Energy INV0003456</t>
  </si>
  <si>
    <t>Module transport</t>
  </si>
  <si>
    <t>MSA Energy INV0003436</t>
  </si>
  <si>
    <t>BUDGET</t>
  </si>
  <si>
    <t>Installer Allocation</t>
  </si>
  <si>
    <t>AC Equipment</t>
  </si>
  <si>
    <t>Inverter Budget</t>
  </si>
  <si>
    <t>2. Inverters</t>
  </si>
  <si>
    <t>Huawei 100KTL Menlo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</si>
  <si>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</si>
  <si>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</si>
  <si>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</si>
  <si>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</si>
  <si>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</si>
  <si>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</si>
  <si>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</si>
  <si>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</si>
  <si>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</si>
  <si>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</si>
  <si>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</si>
  <si>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Other</t>
  </si>
  <si>
    <t>PO4423-RRB-20251030 - RV Approved</t>
  </si>
  <si>
    <t>Schletter - INV2381</t>
  </si>
  <si>
    <t>Less 15%</t>
  </si>
  <si>
    <t>Additional nuts and bolts</t>
  </si>
  <si>
    <t>PO4455-RRB-20251110 -  RV Approved</t>
  </si>
  <si>
    <t>Schletter - INV2403</t>
  </si>
  <si>
    <t>R/Wp</t>
  </si>
  <si>
    <t>Jasolar</t>
  </si>
  <si>
    <t>Revised</t>
  </si>
  <si>
    <t>Installer Price</t>
  </si>
  <si>
    <t>DC Cable Budget</t>
  </si>
  <si>
    <t>4. DC Equipment</t>
  </si>
  <si>
    <t>DC Cable</t>
  </si>
  <si>
    <t>DC Equipment Budget</t>
  </si>
  <si>
    <t>DC Cable - Black</t>
  </si>
  <si>
    <t>Alllocated to Cpt Storeroom</t>
  </si>
  <si>
    <t>DC Cable - Red</t>
  </si>
  <si>
    <t>Project Kick Off</t>
  </si>
  <si>
    <t>PO4381-RRB-20251017 - RV Approved</t>
  </si>
  <si>
    <t>JA Electrical: Inv 1110</t>
  </si>
  <si>
    <t>Geda/scaffholding</t>
  </si>
  <si>
    <t>JA Electrical: Inv 1120</t>
  </si>
  <si>
    <t>Geda</t>
  </si>
  <si>
    <t>AC Installation Complete</t>
  </si>
  <si>
    <t>JA Electrical: Inv 1123</t>
  </si>
  <si>
    <t>DC Installation Complete - Partial</t>
  </si>
  <si>
    <t>P&amp;G's</t>
  </si>
  <si>
    <t>JA Electrical: Inv 1152</t>
  </si>
  <si>
    <t>Commissioning Complete</t>
  </si>
  <si>
    <t>Shuffle Boards</t>
  </si>
  <si>
    <t>Site De-establisment</t>
  </si>
  <si>
    <t>Handover Document Complete</t>
  </si>
  <si>
    <t>End of Defects Period</t>
  </si>
  <si>
    <t>Monitoring</t>
  </si>
  <si>
    <t>Monitoring Budget</t>
  </si>
  <si>
    <t>5. Monitoring</t>
  </si>
  <si>
    <t>Smartlogger</t>
  </si>
  <si>
    <t>Menlo - INV0003384</t>
  </si>
  <si>
    <t>Revenue Metering</t>
  </si>
  <si>
    <t>CTs &amp; Meters</t>
  </si>
  <si>
    <t>PO4374-RRB-20251015 - RV Approved</t>
  </si>
  <si>
    <t>Accuenergy Inv: ASAI-006653</t>
  </si>
  <si>
    <t>Matriarch - INV-5366</t>
  </si>
  <si>
    <t>Delivery of Techsitter</t>
  </si>
  <si>
    <t>DSV Inv: 180153158</t>
  </si>
  <si>
    <t xml:space="preserve">Battery </t>
  </si>
  <si>
    <t>Red Pole - SO-35912</t>
  </si>
  <si>
    <t>Delivery of Comms Equip</t>
  </si>
  <si>
    <t xml:space="preserve"> </t>
  </si>
  <si>
    <t>Uber</t>
  </si>
  <si>
    <t>Power Supply</t>
  </si>
  <si>
    <t>Allocated from cpt Storeroom</t>
  </si>
  <si>
    <t>AC Equipment Budget</t>
  </si>
  <si>
    <t>6. AC Equipment</t>
  </si>
  <si>
    <t>PO4348-RRB-20250930 - RV Approved</t>
  </si>
  <si>
    <t>Switchboard - 2-SOI002612</t>
  </si>
  <si>
    <t>Switchboard - 2-SOI002610</t>
  </si>
  <si>
    <t>BESS</t>
  </si>
  <si>
    <t>7.BESS</t>
  </si>
  <si>
    <t xml:space="preserve">Product Add On </t>
  </si>
  <si>
    <t xml:space="preserve">8. Product Add On </t>
  </si>
  <si>
    <t>Inverter Cage</t>
  </si>
  <si>
    <t>PO4476-RRB-20251118 -  RV Approved</t>
  </si>
  <si>
    <t>Overstaalwerke - IN100634</t>
  </si>
  <si>
    <t>Extractor Fan</t>
  </si>
  <si>
    <t>DK Refrigeration - INV0003287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</si>
  <si>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</si>
  <si>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</si>
  <si>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</si>
  <si>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</si>
  <si>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</si>
  <si>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Site Logistics</t>
  </si>
  <si>
    <t>10. Site Logistics</t>
  </si>
  <si>
    <t>Security</t>
  </si>
  <si>
    <t>Overberg Security : IN24945</t>
  </si>
  <si>
    <t>Due Dilligence</t>
  </si>
  <si>
    <t>Electrical PrEng sign off</t>
  </si>
  <si>
    <t>11. Due Dilligence</t>
  </si>
  <si>
    <t>SunSpot - E037</t>
  </si>
  <si>
    <t>Structural sign off</t>
  </si>
  <si>
    <t>Structural Sign Off</t>
  </si>
  <si>
    <t>Scada for CoCT</t>
  </si>
  <si>
    <t>Red Team Inspection</t>
  </si>
  <si>
    <t>BDP Commission</t>
  </si>
  <si>
    <t>PD Fee</t>
  </si>
  <si>
    <t>12. BDP Commission</t>
  </si>
  <si>
    <t>Engineering</t>
  </si>
  <si>
    <t>Matriarch Defects Period</t>
  </si>
  <si>
    <t>13. Engineering</t>
  </si>
  <si>
    <t>Matriarch Defects Period - 1.25%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</si>
  <si>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</si>
  <si>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</si>
  <si>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</si>
  <si>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</si>
  <si>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</si>
  <si>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</si>
  <si>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15. Service Add On</t>
  </si>
  <si>
    <t xml:space="preserve">Domestic transport </t>
  </si>
  <si>
    <t xml:space="preserve">PO4515-GEN-20251202-RV approved </t>
  </si>
  <si>
    <t>ABL Transport Inv0231</t>
  </si>
  <si>
    <t>Panel Procurement Budget</t>
  </si>
  <si>
    <t>Inverter Procurement Budget</t>
  </si>
  <si>
    <t>Mounting Structure Budget</t>
  </si>
  <si>
    <t>Optional Extras Budget</t>
  </si>
  <si>
    <t xml:space="preserve"> R-   </t>
  </si>
  <si>
    <t>MV Equipment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</si>
  <si>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</si>
  <si>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</si>
  <si>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</si>
  <si>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</si>
  <si>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</si>
  <si>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</si>
  <si>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</si>
  <si>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</si>
  <si>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</si>
  <si>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</si>
  <si>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</si>
  <si>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</si>
  <si>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</si>
  <si>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</si>
  <si>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</si>
  <si>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</si>
  <si>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</si>
  <si>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</si>
  <si>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</si>
  <si>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</si>
  <si>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</si>
  <si>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</si>
  <si>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</si>
  <si>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</si>
  <si>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</si>
  <si>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</si>
  <si>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</si>
  <si>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</si>
  <si>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</si>
  <si>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</si>
  <si>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</si>
  <si>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</si>
  <si>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</si>
  <si>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</si>
  <si>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</si>
  <si>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</si>
  <si>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</si>
  <si>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</si>
  <si>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</si>
  <si>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</si>
  <si>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</si>
  <si>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</si>
  <si>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</si>
  <si>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</si>
  <si>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</si>
  <si>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</si>
  <si>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</si>
  <si>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</si>
  <si>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</si>
  <si>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</si>
  <si>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</si>
  <si>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</si>
  <si>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</si>
  <si>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</si>
  <si>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>Builders Break</t>
  </si>
  <si>
    <t>Womens Day Observerd</t>
  </si>
  <si>
    <t>Matriarch - INV-6234</t>
  </si>
  <si>
    <t>Matriarch - INV-6235</t>
  </si>
  <si>
    <t>JA Electrical Inv 1153</t>
  </si>
  <si>
    <t>Compliance Handover</t>
  </si>
  <si>
    <t>Rounding 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</si>
</sst>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&quot;R&quot;#,##0.00"/>
    <numFmt numFmtId="170" formatCode="_-[$R-1C09]* #,##0.0000_-;\-[$R-1C09]* #,##0.0000_-;_-[$R-1C09]* &quot;-&quot;??_-;_-@_-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1"/>
      <name val="Proxima Nova Lt"/>
    </font>
    <font>
      <sz val="11"/>
      <color rgb="FFFF0000"/>
      <name val="Proxima Nova Lt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0"/>
      <color theme="1"/>
      <name val="Arial"/>
      <family val="2"/>
    </font>
    <font>
      <sz val="11"/>
      <color rgb="FFC00000"/>
      <name val="Proxima Nova Lt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4"/>
      <color theme="9"/>
      <name val="Calibri"/>
      <family val="2"/>
      <scheme val="minor"/>
    </font>
    <font>
      <sz val="10"/>
      <color theme="1"/>
      <name val="Cambria"/>
      <family val="1"/>
    </font>
    <font>
      <sz val="10"/>
      <color theme="1"/>
      <name val="Fairwater Script"/>
    </font>
    <font>
      <sz val="10"/>
      <color theme="1"/>
      <name val="Calibri"/>
      <family val="2"/>
      <scheme val="minor"/>
    </font>
    <font>
      <sz val="11"/>
      <color rgb="FF000000"/>
      <name val="Proxima Nova Lt"/>
    </font>
    <font>
      <sz val="10"/>
      <color rgb="FF000000"/>
      <name val="Proxima Nova Lt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751">
    <xf numFmtId="0" fontId="0" fillId="0" borderId="0" xfId="0"/>
    <xf numFmtId="0" fontId="5" fillId="2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168" fontId="5" fillId="2" borderId="0" xfId="0" applyNumberFormat="1" applyFont="1" applyFill="1" applyProtection="1">
      <protection locked="0"/>
    </xf>
    <xf numFmtId="0" fontId="5" fillId="0" borderId="0" xfId="0" applyFont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2" fillId="6" borderId="2" xfId="0" applyFont="1" applyFill="1" applyBorder="1" applyAlignment="1">
      <alignment horizontal="center" vertical="center"/>
    </xf>
    <xf numFmtId="0" fontId="12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2" fillId="5" borderId="0" xfId="0" applyFont="1" applyFill="1"/>
    <xf numFmtId="0" fontId="2" fillId="6" borderId="2" xfId="0" applyFont="1" applyFill="1" applyBorder="1" applyAlignment="1">
      <alignment horizontal="center" vertical="center" wrapText="1"/>
    </xf>
    <xf numFmtId="15" fontId="12" fillId="0" borderId="17" xfId="0" applyNumberFormat="1" applyFont="1" applyBorder="1"/>
    <xf numFmtId="15" fontId="12" fillId="0" borderId="13" xfId="0" applyNumberFormat="1" applyFont="1" applyBorder="1"/>
    <xf numFmtId="0" fontId="12" fillId="0" borderId="17" xfId="0" applyFont="1" applyBorder="1"/>
    <xf numFmtId="0" fontId="12" fillId="0" borderId="13" xfId="0" applyFont="1" applyBorder="1"/>
    <xf numFmtId="0" fontId="12" fillId="0" borderId="11" xfId="0" applyFont="1" applyBorder="1"/>
    <xf numFmtId="0" fontId="12" fillId="10" borderId="0" xfId="0" applyFont="1" applyFill="1"/>
    <xf numFmtId="0" fontId="18" fillId="5" borderId="0" xfId="0" applyFont="1" applyFill="1"/>
    <xf numFmtId="0" fontId="18" fillId="5" borderId="0" xfId="0" applyFont="1" applyFill="1" applyAlignment="1">
      <alignment horizontal="center"/>
    </xf>
    <xf numFmtId="167" fontId="18" fillId="5" borderId="0" xfId="0" applyNumberFormat="1" applyFont="1" applyFill="1"/>
    <xf numFmtId="0" fontId="18" fillId="5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/>
      <protection locked="0"/>
    </xf>
    <xf numFmtId="0" fontId="5" fillId="5" borderId="0" xfId="0" applyFont="1" applyFill="1" applyProtection="1">
      <protection locked="0"/>
    </xf>
    <xf numFmtId="0" fontId="5" fillId="5" borderId="0" xfId="0" applyFont="1" applyFill="1" applyAlignment="1" applyProtection="1">
      <alignment horizontal="center"/>
      <protection locked="0"/>
    </xf>
    <xf numFmtId="0" fontId="6" fillId="5" borderId="0" xfId="0" applyFont="1" applyFill="1" applyProtection="1">
      <protection locked="0"/>
    </xf>
    <xf numFmtId="0" fontId="19" fillId="7" borderId="11" xfId="0" applyFont="1" applyFill="1" applyBorder="1" applyAlignment="1" applyProtection="1">
      <alignment horizontal="center" vertical="center"/>
      <protection locked="0"/>
    </xf>
    <xf numFmtId="167" fontId="18" fillId="5" borderId="0" xfId="0" applyNumberFormat="1" applyFont="1" applyFill="1" applyProtection="1">
      <protection locked="0"/>
    </xf>
    <xf numFmtId="0" fontId="18" fillId="5" borderId="0" xfId="0" applyFont="1" applyFill="1" applyAlignment="1" applyProtection="1">
      <alignment horizontal="center"/>
      <protection locked="0"/>
    </xf>
    <xf numFmtId="0" fontId="16" fillId="5" borderId="0" xfId="0" applyFont="1" applyFill="1" applyProtection="1">
      <protection locked="0"/>
    </xf>
    <xf numFmtId="0" fontId="25" fillId="5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13" fillId="5" borderId="0" xfId="0" applyFont="1" applyFill="1" applyProtection="1">
      <protection locked="0"/>
    </xf>
    <xf numFmtId="0" fontId="25" fillId="5" borderId="2" xfId="0" applyFont="1" applyFill="1" applyBorder="1" applyProtection="1">
      <protection locked="0"/>
    </xf>
    <xf numFmtId="0" fontId="16" fillId="2" borderId="0" xfId="0" applyFont="1" applyFill="1" applyProtection="1">
      <protection locked="0"/>
    </xf>
    <xf numFmtId="0" fontId="13" fillId="2" borderId="0" xfId="0" applyFont="1" applyFill="1" applyProtection="1">
      <protection locked="0"/>
    </xf>
    <xf numFmtId="0" fontId="19" fillId="5" borderId="0" xfId="0" applyFont="1" applyFill="1" applyAlignment="1" applyProtection="1">
      <alignment horizontal="center"/>
      <protection locked="0"/>
    </xf>
    <xf numFmtId="0" fontId="6" fillId="7" borderId="2" xfId="1" applyNumberFormat="1" applyFont="1" applyFill="1" applyBorder="1" applyAlignment="1" applyProtection="1">
      <alignment horizontal="center" vertical="center" wrapText="1"/>
    </xf>
    <xf numFmtId="0" fontId="6" fillId="7" borderId="2" xfId="1" applyNumberFormat="1" applyFont="1" applyFill="1" applyBorder="1" applyAlignment="1" applyProtection="1">
      <alignment horizontal="center" vertical="center"/>
    </xf>
    <xf numFmtId="0" fontId="19" fillId="5" borderId="0" xfId="0" applyFont="1" applyFill="1" applyAlignment="1" applyProtection="1">
      <alignment horizontal="left"/>
      <protection locked="0"/>
    </xf>
    <xf numFmtId="0" fontId="18" fillId="0" borderId="0" xfId="0" applyFont="1" applyProtection="1">
      <protection locked="0"/>
    </xf>
    <xf numFmtId="164" fontId="18" fillId="5" borderId="0" xfId="1" applyFont="1" applyFill="1" applyProtection="1">
      <protection locked="0"/>
    </xf>
    <xf numFmtId="0" fontId="18" fillId="0" borderId="0" xfId="0" applyFont="1" applyAlignment="1" applyProtection="1">
      <alignment horizontal="center"/>
      <protection locked="0"/>
    </xf>
    <xf numFmtId="0" fontId="19" fillId="7" borderId="2" xfId="0" applyFont="1" applyFill="1" applyBorder="1" applyAlignment="1" applyProtection="1">
      <alignment horizontal="center"/>
      <protection locked="0"/>
    </xf>
    <xf numFmtId="0" fontId="19" fillId="7" borderId="9" xfId="0" applyFont="1" applyFill="1" applyBorder="1" applyProtection="1">
      <protection locked="0"/>
    </xf>
    <xf numFmtId="0" fontId="19" fillId="7" borderId="14" xfId="0" applyFont="1" applyFill="1" applyBorder="1" applyProtection="1">
      <protection locked="0"/>
    </xf>
    <xf numFmtId="0" fontId="18" fillId="5" borderId="0" xfId="0" applyFont="1" applyFill="1" applyAlignment="1" applyProtection="1">
      <alignment wrapText="1"/>
      <protection locked="0"/>
    </xf>
    <xf numFmtId="9" fontId="23" fillId="0" borderId="2" xfId="0" applyNumberFormat="1" applyFont="1" applyBorder="1" applyAlignment="1" applyProtection="1">
      <alignment horizontal="center"/>
      <protection locked="0"/>
    </xf>
    <xf numFmtId="167" fontId="23" fillId="0" borderId="2" xfId="0" applyNumberFormat="1" applyFont="1" applyBorder="1" applyProtection="1">
      <protection locked="0"/>
    </xf>
    <xf numFmtId="9" fontId="18" fillId="5" borderId="0" xfId="0" applyNumberFormat="1" applyFont="1" applyFill="1" applyAlignment="1" applyProtection="1">
      <alignment horizontal="center"/>
      <protection locked="0"/>
    </xf>
    <xf numFmtId="0" fontId="18" fillId="2" borderId="0" xfId="0" applyFont="1" applyFill="1" applyProtection="1">
      <protection locked="0"/>
    </xf>
    <xf numFmtId="0" fontId="18" fillId="2" borderId="0" xfId="0" applyFont="1" applyFill="1" applyAlignment="1" applyProtection="1">
      <alignment horizontal="center"/>
      <protection locked="0"/>
    </xf>
    <xf numFmtId="167" fontId="22" fillId="2" borderId="0" xfId="0" applyNumberFormat="1" applyFont="1" applyFill="1" applyProtection="1">
      <protection locked="0"/>
    </xf>
    <xf numFmtId="0" fontId="19" fillId="5" borderId="0" xfId="0" applyFont="1" applyFill="1" applyAlignment="1" applyProtection="1">
      <alignment vertical="top"/>
      <protection locked="0"/>
    </xf>
    <xf numFmtId="0" fontId="21" fillId="10" borderId="0" xfId="0" applyFont="1" applyFill="1" applyAlignment="1" applyProtection="1">
      <alignment horizontal="left" wrapText="1"/>
      <protection locked="0"/>
    </xf>
    <xf numFmtId="167" fontId="22" fillId="5" borderId="0" xfId="0" applyNumberFormat="1" applyFont="1" applyFill="1" applyProtection="1">
      <protection locked="0"/>
    </xf>
    <xf numFmtId="0" fontId="21" fillId="5" borderId="0" xfId="0" applyFont="1" applyFill="1" applyAlignment="1" applyProtection="1">
      <alignment horizontal="left"/>
      <protection locked="0"/>
    </xf>
    <xf numFmtId="0" fontId="18" fillId="5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Protection="1">
      <protection locked="0"/>
    </xf>
    <xf numFmtId="0" fontId="21" fillId="4" borderId="0" xfId="0" applyFont="1" applyFill="1" applyAlignment="1" applyProtection="1">
      <alignment horizontal="left"/>
      <protection locked="0"/>
    </xf>
    <xf numFmtId="0" fontId="18" fillId="4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Alignment="1" applyProtection="1">
      <alignment horizontal="left"/>
      <protection locked="0"/>
    </xf>
    <xf numFmtId="0" fontId="22" fillId="2" borderId="0" xfId="0" applyFont="1" applyFill="1" applyAlignment="1" applyProtection="1">
      <alignment horizontal="left" wrapText="1"/>
      <protection locked="0"/>
    </xf>
    <xf numFmtId="0" fontId="23" fillId="0" borderId="2" xfId="0" applyFont="1" applyBorder="1" applyAlignment="1" applyProtection="1">
      <alignment horizontal="center"/>
      <protection locked="0"/>
    </xf>
    <xf numFmtId="0" fontId="23" fillId="0" borderId="2" xfId="0" applyFont="1" applyBorder="1" applyProtection="1">
      <protection locked="0"/>
    </xf>
    <xf numFmtId="0" fontId="23" fillId="0" borderId="1" xfId="0" applyFont="1" applyBorder="1" applyAlignment="1" applyProtection="1">
      <alignment horizontal="center"/>
      <protection locked="0"/>
    </xf>
    <xf numFmtId="0" fontId="23" fillId="0" borderId="1" xfId="0" applyFont="1" applyBorder="1" applyProtection="1">
      <protection locked="0"/>
    </xf>
    <xf numFmtId="9" fontId="23" fillId="0" borderId="1" xfId="0" applyNumberFormat="1" applyFont="1" applyBorder="1" applyAlignment="1" applyProtection="1">
      <alignment horizontal="center"/>
      <protection locked="0"/>
    </xf>
    <xf numFmtId="167" fontId="23" fillId="0" borderId="1" xfId="0" applyNumberFormat="1" applyFont="1" applyBorder="1" applyProtection="1">
      <protection locked="0"/>
    </xf>
    <xf numFmtId="0" fontId="18" fillId="3" borderId="10" xfId="0" applyFont="1" applyFill="1" applyBorder="1" applyAlignment="1" applyProtection="1">
      <alignment horizontal="center"/>
      <protection locked="0"/>
    </xf>
    <xf numFmtId="0" fontId="18" fillId="3" borderId="15" xfId="0" applyFont="1" applyFill="1" applyBorder="1" applyProtection="1">
      <protection locked="0"/>
    </xf>
    <xf numFmtId="9" fontId="18" fillId="3" borderId="15" xfId="0" applyNumberFormat="1" applyFont="1" applyFill="1" applyBorder="1" applyAlignment="1" applyProtection="1">
      <alignment horizontal="center"/>
      <protection locked="0"/>
    </xf>
    <xf numFmtId="167" fontId="18" fillId="3" borderId="16" xfId="0" applyNumberFormat="1" applyFont="1" applyFill="1" applyBorder="1" applyProtection="1">
      <protection locked="0"/>
    </xf>
    <xf numFmtId="0" fontId="35" fillId="0" borderId="15" xfId="0" applyFont="1" applyBorder="1" applyAlignment="1" applyProtection="1">
      <alignment horizontal="left"/>
      <protection locked="0"/>
    </xf>
    <xf numFmtId="0" fontId="5" fillId="5" borderId="0" xfId="0" applyFont="1" applyFill="1" applyAlignment="1" applyProtection="1">
      <alignment horizontal="center" vertical="center"/>
      <protection locked="0"/>
    </xf>
    <xf numFmtId="0" fontId="19" fillId="7" borderId="26" xfId="0" applyFont="1" applyFill="1" applyBorder="1" applyAlignment="1" applyProtection="1">
      <alignment horizontal="center" wrapText="1"/>
      <protection locked="0"/>
    </xf>
    <xf numFmtId="0" fontId="13" fillId="5" borderId="0" xfId="0" applyFont="1" applyFill="1" applyAlignment="1" applyProtection="1">
      <alignment horizontal="center"/>
      <protection locked="0"/>
    </xf>
    <xf numFmtId="167" fontId="5" fillId="5" borderId="0" xfId="0" applyNumberFormat="1" applyFont="1" applyFill="1" applyAlignment="1" applyProtection="1">
      <alignment horizontal="center"/>
      <protection locked="0"/>
    </xf>
    <xf numFmtId="0" fontId="13" fillId="2" borderId="0" xfId="0" applyFont="1" applyFill="1" applyAlignment="1" applyProtection="1">
      <alignment horizontal="center"/>
      <protection locked="0"/>
    </xf>
    <xf numFmtId="167" fontId="5" fillId="2" borderId="0" xfId="0" applyNumberFormat="1" applyFont="1" applyFill="1" applyAlignment="1" applyProtection="1">
      <alignment horizontal="center"/>
      <protection locked="0"/>
    </xf>
    <xf numFmtId="0" fontId="13" fillId="0" borderId="0" xfId="0" applyFont="1" applyAlignment="1" applyProtection="1">
      <alignment horizontal="center"/>
      <protection locked="0"/>
    </xf>
    <xf numFmtId="0" fontId="19" fillId="5" borderId="0" xfId="0" applyFont="1" applyFill="1" applyAlignment="1" applyProtection="1">
      <alignment horizontal="center" vertical="center"/>
      <protection locked="0"/>
    </xf>
    <xf numFmtId="167" fontId="14" fillId="5" borderId="0" xfId="0" applyNumberFormat="1" applyFont="1" applyFill="1" applyProtection="1">
      <protection locked="0"/>
    </xf>
    <xf numFmtId="15" fontId="36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13" fillId="7" borderId="18" xfId="0" applyFont="1" applyFill="1" applyBorder="1" applyAlignment="1" applyProtection="1">
      <alignment horizontal="center"/>
      <protection locked="0"/>
    </xf>
    <xf numFmtId="0" fontId="3" fillId="7" borderId="20" xfId="0" applyFont="1" applyFill="1" applyBorder="1" applyAlignment="1" applyProtection="1">
      <alignment horizontal="right"/>
      <protection locked="0"/>
    </xf>
    <xf numFmtId="0" fontId="33" fillId="5" borderId="0" xfId="0" applyFont="1" applyFill="1" applyProtection="1">
      <protection locked="0"/>
    </xf>
    <xf numFmtId="0" fontId="13" fillId="7" borderId="21" xfId="0" applyFont="1" applyFill="1" applyBorder="1" applyAlignment="1" applyProtection="1">
      <alignment horizontal="center"/>
      <protection locked="0"/>
    </xf>
    <xf numFmtId="0" fontId="3" fillId="7" borderId="22" xfId="0" applyFont="1" applyFill="1" applyBorder="1" applyAlignment="1" applyProtection="1">
      <alignment horizontal="right"/>
      <protection locked="0"/>
    </xf>
    <xf numFmtId="0" fontId="33" fillId="7" borderId="0" xfId="0" applyFont="1" applyFill="1" applyAlignment="1" applyProtection="1">
      <alignment horizontal="center"/>
      <protection locked="0"/>
    </xf>
    <xf numFmtId="0" fontId="33" fillId="7" borderId="0" xfId="0" applyFont="1" applyFill="1" applyProtection="1">
      <protection locked="0"/>
    </xf>
    <xf numFmtId="0" fontId="13" fillId="7" borderId="23" xfId="0" applyFont="1" applyFill="1" applyBorder="1" applyAlignment="1" applyProtection="1">
      <alignment horizontal="center"/>
      <protection locked="0"/>
    </xf>
    <xf numFmtId="0" fontId="3" fillId="7" borderId="25" xfId="0" applyFont="1" applyFill="1" applyBorder="1" applyAlignment="1" applyProtection="1">
      <alignment horizontal="right"/>
      <protection locked="0"/>
    </xf>
    <xf numFmtId="0" fontId="6" fillId="5" borderId="0" xfId="0" applyFont="1" applyFill="1" applyAlignment="1" applyProtection="1">
      <alignment horizontal="center"/>
      <protection locked="0"/>
    </xf>
    <xf numFmtId="16" fontId="32" fillId="0" borderId="0" xfId="0" applyNumberFormat="1" applyFont="1" applyAlignment="1">
      <alignment horizontal="right"/>
    </xf>
    <xf numFmtId="16" fontId="3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3" borderId="2" xfId="0" applyNumberFormat="1" applyFill="1" applyBorder="1"/>
    <xf numFmtId="0" fontId="0" fillId="2" borderId="0" xfId="0" applyFill="1"/>
    <xf numFmtId="0" fontId="9" fillId="2" borderId="14" xfId="0" applyFont="1" applyFill="1" applyBorder="1"/>
    <xf numFmtId="0" fontId="9" fillId="2" borderId="0" xfId="0" applyFont="1" applyFill="1" applyAlignment="1">
      <alignment horizontal="center"/>
    </xf>
    <xf numFmtId="16" fontId="0" fillId="2" borderId="0" xfId="0" applyNumberFormat="1" applyFill="1"/>
    <xf numFmtId="0" fontId="0" fillId="6" borderId="14" xfId="0" applyFill="1" applyBorder="1"/>
    <xf numFmtId="167" fontId="0" fillId="6" borderId="2" xfId="0" applyNumberFormat="1" applyFill="1" applyBorder="1"/>
    <xf numFmtId="167" fontId="0" fillId="2" borderId="2" xfId="0" applyNumberFormat="1" applyFill="1" applyBorder="1"/>
    <xf numFmtId="3" fontId="0" fillId="6" borderId="2" xfId="0" applyNumberFormat="1" applyFill="1" applyBorder="1" applyAlignment="1">
      <alignment horizontal="right"/>
    </xf>
    <xf numFmtId="0" fontId="0" fillId="12" borderId="14" xfId="0" applyFill="1" applyBorder="1"/>
    <xf numFmtId="167" fontId="0" fillId="12" borderId="2" xfId="0" applyNumberFormat="1" applyFill="1" applyBorder="1"/>
    <xf numFmtId="3" fontId="0" fillId="12" borderId="2" xfId="0" applyNumberFormat="1" applyFill="1" applyBorder="1" applyAlignment="1">
      <alignment horizontal="right"/>
    </xf>
    <xf numFmtId="0" fontId="10" fillId="3" borderId="0" xfId="0" applyFont="1" applyFill="1"/>
    <xf numFmtId="0" fontId="0" fillId="3" borderId="0" xfId="0" applyFill="1"/>
    <xf numFmtId="0" fontId="0" fillId="3" borderId="14" xfId="0" applyFill="1" applyBorder="1" applyAlignment="1">
      <alignment horizontal="right"/>
    </xf>
    <xf numFmtId="0" fontId="0" fillId="3" borderId="2" xfId="0" applyFill="1" applyBorder="1"/>
    <xf numFmtId="0" fontId="0" fillId="2" borderId="2" xfId="0" applyFill="1" applyBorder="1"/>
    <xf numFmtId="3" fontId="0" fillId="3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7" borderId="14" xfId="0" applyFill="1" applyBorder="1"/>
    <xf numFmtId="167" fontId="0" fillId="7" borderId="2" xfId="0" applyNumberFormat="1" applyFill="1" applyBorder="1"/>
    <xf numFmtId="3" fontId="0" fillId="7" borderId="2" xfId="0" applyNumberFormat="1" applyFill="1" applyBorder="1" applyAlignment="1">
      <alignment horizontal="right"/>
    </xf>
    <xf numFmtId="0" fontId="0" fillId="13" borderId="14" xfId="0" applyFill="1" applyBorder="1"/>
    <xf numFmtId="167" fontId="0" fillId="13" borderId="2" xfId="0" applyNumberFormat="1" applyFill="1" applyBorder="1"/>
    <xf numFmtId="3" fontId="0" fillId="13" borderId="2" xfId="0" applyNumberFormat="1" applyFill="1" applyBorder="1" applyAlignment="1">
      <alignment horizontal="right"/>
    </xf>
    <xf numFmtId="0" fontId="5" fillId="5" borderId="0" xfId="0" applyFont="1" applyFill="1"/>
    <xf numFmtId="0" fontId="5" fillId="5" borderId="0" xfId="0" applyFont="1" applyFill="1" applyAlignment="1">
      <alignment horizontal="center"/>
    </xf>
    <xf numFmtId="0" fontId="4" fillId="5" borderId="0" xfId="0" applyFont="1" applyFill="1"/>
    <xf numFmtId="0" fontId="5" fillId="0" borderId="0" xfId="0" applyFont="1" applyAlignment="1">
      <alignment horizontal="center"/>
    </xf>
    <xf numFmtId="0" fontId="6" fillId="5" borderId="0" xfId="0" applyFont="1" applyFill="1"/>
    <xf numFmtId="0" fontId="6" fillId="5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167" fontId="7" fillId="5" borderId="11" xfId="0" applyNumberFormat="1" applyFont="1" applyFill="1" applyBorder="1"/>
    <xf numFmtId="167" fontId="29" fillId="5" borderId="2" xfId="0" applyNumberFormat="1" applyFont="1" applyFill="1" applyBorder="1" applyAlignment="1">
      <alignment vertical="center"/>
    </xf>
    <xf numFmtId="0" fontId="6" fillId="5" borderId="0" xfId="0" applyFont="1" applyFill="1" applyAlignment="1">
      <alignment horizontal="left"/>
    </xf>
    <xf numFmtId="0" fontId="19" fillId="7" borderId="11" xfId="0" applyFont="1" applyFill="1" applyBorder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0" fontId="19" fillId="7" borderId="11" xfId="0" applyFont="1" applyFill="1" applyBorder="1" applyAlignment="1">
      <alignment horizontal="center" vertical="center" wrapText="1"/>
    </xf>
    <xf numFmtId="0" fontId="19" fillId="5" borderId="0" xfId="0" applyFont="1" applyFill="1" applyAlignment="1">
      <alignment horizontal="center" vertical="center" wrapText="1"/>
    </xf>
    <xf numFmtId="0" fontId="26" fillId="5" borderId="2" xfId="0" applyFont="1" applyFill="1" applyBorder="1" applyAlignment="1">
      <alignment horizontal="center"/>
    </xf>
    <xf numFmtId="0" fontId="26" fillId="5" borderId="2" xfId="0" applyFont="1" applyFill="1" applyBorder="1"/>
    <xf numFmtId="167" fontId="18" fillId="5" borderId="2" xfId="0" applyNumberFormat="1" applyFont="1" applyFill="1" applyBorder="1"/>
    <xf numFmtId="167" fontId="23" fillId="5" borderId="2" xfId="0" applyNumberFormat="1" applyFont="1" applyFill="1" applyBorder="1"/>
    <xf numFmtId="0" fontId="18" fillId="5" borderId="0" xfId="0" applyFont="1" applyFill="1" applyAlignment="1">
      <alignment horizontal="left" vertical="center"/>
    </xf>
    <xf numFmtId="0" fontId="31" fillId="5" borderId="0" xfId="0" applyFont="1" applyFill="1" applyAlignment="1">
      <alignment horizontal="right"/>
    </xf>
    <xf numFmtId="167" fontId="31" fillId="5" borderId="0" xfId="0" applyNumberFormat="1" applyFont="1" applyFill="1"/>
    <xf numFmtId="167" fontId="20" fillId="5" borderId="0" xfId="0" applyNumberFormat="1" applyFont="1" applyFill="1"/>
    <xf numFmtId="0" fontId="6" fillId="7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/>
    </xf>
    <xf numFmtId="0" fontId="13" fillId="5" borderId="0" xfId="0" applyFont="1" applyFill="1" applyAlignment="1">
      <alignment horizontal="center"/>
    </xf>
    <xf numFmtId="0" fontId="5" fillId="5" borderId="2" xfId="0" applyFont="1" applyFill="1" applyBorder="1" applyAlignment="1">
      <alignment horizontal="center" wrapText="1"/>
    </xf>
    <xf numFmtId="0" fontId="5" fillId="5" borderId="2" xfId="0" applyFont="1" applyFill="1" applyBorder="1" applyAlignment="1">
      <alignment wrapText="1"/>
    </xf>
    <xf numFmtId="0" fontId="5" fillId="5" borderId="2" xfId="0" applyFont="1" applyFill="1" applyBorder="1" applyAlignment="1">
      <alignment horizontal="center"/>
    </xf>
    <xf numFmtId="0" fontId="5" fillId="5" borderId="2" xfId="0" applyFont="1" applyFill="1" applyBorder="1"/>
    <xf numFmtId="0" fontId="24" fillId="6" borderId="2" xfId="0" applyFont="1" applyFill="1" applyBorder="1" applyAlignment="1">
      <alignment horizontal="center"/>
    </xf>
    <xf numFmtId="0" fontId="7" fillId="6" borderId="2" xfId="0" applyFont="1" applyFill="1" applyBorder="1"/>
    <xf numFmtId="0" fontId="24" fillId="5" borderId="2" xfId="0" applyFont="1" applyFill="1" applyBorder="1" applyAlignment="1">
      <alignment horizontal="center"/>
    </xf>
    <xf numFmtId="0" fontId="4" fillId="5" borderId="2" xfId="0" applyFont="1" applyFill="1" applyBorder="1"/>
    <xf numFmtId="0" fontId="15" fillId="5" borderId="2" xfId="0" applyFont="1" applyFill="1" applyBorder="1" applyProtection="1">
      <protection locked="0"/>
    </xf>
    <xf numFmtId="0" fontId="5" fillId="5" borderId="0" xfId="0" applyFont="1" applyFill="1" applyAlignment="1" applyProtection="1">
      <alignment vertical="center"/>
      <protection locked="0"/>
    </xf>
    <xf numFmtId="0" fontId="8" fillId="5" borderId="0" xfId="0" applyFont="1" applyFill="1" applyAlignment="1" applyProtection="1">
      <alignment horizontal="center" vertical="center"/>
      <protection locked="0"/>
    </xf>
    <xf numFmtId="168" fontId="6" fillId="0" borderId="11" xfId="0" applyNumberFormat="1" applyFont="1" applyBorder="1" applyAlignment="1" applyProtection="1">
      <alignment vertical="center"/>
      <protection locked="0"/>
    </xf>
    <xf numFmtId="0" fontId="6" fillId="0" borderId="36" xfId="0" applyFont="1" applyBorder="1" applyAlignment="1" applyProtection="1">
      <alignment horizontal="center" vertical="center"/>
      <protection locked="0"/>
    </xf>
    <xf numFmtId="0" fontId="6" fillId="0" borderId="37" xfId="0" applyFont="1" applyBorder="1" applyAlignment="1" applyProtection="1">
      <alignment horizontal="center" vertical="center"/>
      <protection locked="0"/>
    </xf>
    <xf numFmtId="168" fontId="6" fillId="0" borderId="37" xfId="0" applyNumberFormat="1" applyFont="1" applyBorder="1" applyAlignment="1" applyProtection="1">
      <alignment horizontal="center" vertical="center" wrapText="1"/>
      <protection locked="0"/>
    </xf>
    <xf numFmtId="0" fontId="6" fillId="5" borderId="11" xfId="0" applyFont="1" applyFill="1" applyBorder="1" applyAlignment="1" applyProtection="1">
      <alignment horizontal="center" vertical="center"/>
      <protection locked="0"/>
    </xf>
    <xf numFmtId="0" fontId="5" fillId="2" borderId="27" xfId="0" applyFont="1" applyFill="1" applyBorder="1" applyAlignment="1" applyProtection="1">
      <alignment horizontal="center"/>
      <protection locked="0"/>
    </xf>
    <xf numFmtId="0" fontId="5" fillId="2" borderId="28" xfId="0" applyFont="1" applyFill="1" applyBorder="1" applyProtection="1">
      <protection locked="0"/>
    </xf>
    <xf numFmtId="0" fontId="5" fillId="2" borderId="28" xfId="0" applyFont="1" applyFill="1" applyBorder="1" applyAlignment="1" applyProtection="1">
      <alignment horizontal="center" vertical="center"/>
      <protection locked="0"/>
    </xf>
    <xf numFmtId="168" fontId="5" fillId="2" borderId="28" xfId="0" applyNumberFormat="1" applyFont="1" applyFill="1" applyBorder="1" applyAlignment="1" applyProtection="1">
      <alignment wrapText="1"/>
      <protection locked="0"/>
    </xf>
    <xf numFmtId="0" fontId="5" fillId="2" borderId="12" xfId="0" applyFont="1" applyFill="1" applyBorder="1" applyAlignment="1" applyProtection="1">
      <alignment vertical="center"/>
      <protection locked="0"/>
    </xf>
    <xf numFmtId="0" fontId="5" fillId="2" borderId="5" xfId="0" applyFont="1" applyFill="1" applyBorder="1" applyProtection="1">
      <protection locked="0"/>
    </xf>
    <xf numFmtId="0" fontId="13" fillId="8" borderId="33" xfId="0" applyFont="1" applyFill="1" applyBorder="1" applyAlignment="1" applyProtection="1">
      <alignment horizontal="center"/>
      <protection locked="0"/>
    </xf>
    <xf numFmtId="0" fontId="5" fillId="8" borderId="34" xfId="0" applyFont="1" applyFill="1" applyBorder="1" applyProtection="1"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0" xfId="0" applyFont="1" applyFill="1" applyProtection="1">
      <protection locked="0"/>
    </xf>
    <xf numFmtId="0" fontId="13" fillId="8" borderId="31" xfId="0" applyFont="1" applyFill="1" applyBorder="1" applyAlignment="1" applyProtection="1">
      <alignment horizontal="center"/>
      <protection locked="0"/>
    </xf>
    <xf numFmtId="168" fontId="4" fillId="8" borderId="32" xfId="0" applyNumberFormat="1" applyFont="1" applyFill="1" applyBorder="1" applyAlignment="1" applyProtection="1">
      <alignment horizontal="center"/>
      <protection locked="0"/>
    </xf>
    <xf numFmtId="0" fontId="5" fillId="8" borderId="7" xfId="0" applyFont="1" applyFill="1" applyBorder="1" applyProtection="1">
      <protection locked="0"/>
    </xf>
    <xf numFmtId="0" fontId="13" fillId="0" borderId="39" xfId="0" applyFont="1" applyBorder="1" applyProtection="1">
      <protection locked="0"/>
    </xf>
    <xf numFmtId="0" fontId="5" fillId="0" borderId="3" xfId="0" applyFont="1" applyBorder="1" applyProtection="1">
      <protection locked="0"/>
    </xf>
    <xf numFmtId="168" fontId="5" fillId="0" borderId="3" xfId="0" applyNumberFormat="1" applyFont="1" applyBorder="1" applyProtection="1">
      <protection locked="0"/>
    </xf>
    <xf numFmtId="0" fontId="5" fillId="0" borderId="3" xfId="0" applyFont="1" applyBorder="1" applyAlignment="1" applyProtection="1">
      <alignment horizontal="center"/>
      <protection locked="0"/>
    </xf>
    <xf numFmtId="0" fontId="5" fillId="0" borderId="17" xfId="0" applyFont="1" applyBorder="1" applyAlignment="1" applyProtection="1">
      <alignment vertical="center"/>
      <protection locked="0"/>
    </xf>
    <xf numFmtId="0" fontId="13" fillId="9" borderId="33" xfId="0" applyFont="1" applyFill="1" applyBorder="1" applyAlignment="1" applyProtection="1">
      <alignment horizontal="center"/>
      <protection locked="0"/>
    </xf>
    <xf numFmtId="0" fontId="5" fillId="9" borderId="34" xfId="0" applyFont="1" applyFill="1" applyBorder="1" applyProtection="1">
      <protection locked="0"/>
    </xf>
    <xf numFmtId="0" fontId="5" fillId="9" borderId="34" xfId="0" applyFont="1" applyFill="1" applyBorder="1" applyAlignment="1" applyProtection="1">
      <alignment horizontal="center" vertical="center"/>
      <protection locked="0"/>
    </xf>
    <xf numFmtId="168" fontId="4" fillId="9" borderId="34" xfId="0" applyNumberFormat="1" applyFont="1" applyFill="1" applyBorder="1" applyAlignment="1" applyProtection="1">
      <alignment horizontal="center"/>
      <protection locked="0"/>
    </xf>
    <xf numFmtId="0" fontId="5" fillId="9" borderId="5" xfId="0" applyFont="1" applyFill="1" applyBorder="1" applyProtection="1">
      <protection locked="0"/>
    </xf>
    <xf numFmtId="0" fontId="13" fillId="9" borderId="30" xfId="0" applyFont="1" applyFill="1" applyBorder="1" applyAlignment="1" applyProtection="1">
      <alignment horizontal="center"/>
      <protection locked="0"/>
    </xf>
    <xf numFmtId="0" fontId="5" fillId="9" borderId="26" xfId="0" applyFont="1" applyFill="1" applyBorder="1" applyProtection="1">
      <protection locked="0"/>
    </xf>
    <xf numFmtId="0" fontId="5" fillId="9" borderId="0" xfId="0" applyFont="1" applyFill="1" applyProtection="1">
      <protection locked="0"/>
    </xf>
    <xf numFmtId="0" fontId="5" fillId="9" borderId="7" xfId="0" applyFont="1" applyFill="1" applyBorder="1" applyProtection="1">
      <protection locked="0"/>
    </xf>
    <xf numFmtId="0" fontId="13" fillId="0" borderId="39" xfId="0" applyFont="1" applyBorder="1" applyAlignment="1" applyProtection="1">
      <alignment horizont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168" fontId="4" fillId="0" borderId="3" xfId="0" applyNumberFormat="1" applyFont="1" applyBorder="1" applyAlignment="1" applyProtection="1">
      <alignment horizontal="center"/>
      <protection locked="0"/>
    </xf>
    <xf numFmtId="0" fontId="13" fillId="11" borderId="33" xfId="0" applyFont="1" applyFill="1" applyBorder="1" applyAlignment="1" applyProtection="1">
      <alignment horizontal="center"/>
      <protection locked="0"/>
    </xf>
    <xf numFmtId="0" fontId="5" fillId="11" borderId="34" xfId="0" applyFont="1" applyFill="1" applyBorder="1" applyAlignment="1" applyProtection="1">
      <alignment horizontal="left" vertical="center"/>
      <protection locked="0"/>
    </xf>
    <xf numFmtId="9" fontId="5" fillId="11" borderId="34" xfId="0" applyNumberFormat="1" applyFont="1" applyFill="1" applyBorder="1" applyProtection="1">
      <protection locked="0"/>
    </xf>
    <xf numFmtId="168" fontId="4" fillId="11" borderId="34" xfId="0" applyNumberFormat="1" applyFont="1" applyFill="1" applyBorder="1" applyAlignment="1" applyProtection="1">
      <alignment horizontal="center"/>
      <protection locked="0"/>
    </xf>
    <xf numFmtId="0" fontId="5" fillId="11" borderId="5" xfId="0" applyFont="1" applyFill="1" applyBorder="1" applyProtection="1">
      <protection locked="0"/>
    </xf>
    <xf numFmtId="0" fontId="13" fillId="11" borderId="29" xfId="0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Protection="1">
      <protection locked="0"/>
    </xf>
    <xf numFmtId="168" fontId="4" fillId="11" borderId="2" xfId="0" applyNumberFormat="1" applyFont="1" applyFill="1" applyBorder="1" applyAlignment="1" applyProtection="1">
      <alignment horizontal="center"/>
      <protection locked="0"/>
    </xf>
    <xf numFmtId="0" fontId="5" fillId="11" borderId="0" xfId="0" applyFont="1" applyFill="1" applyProtection="1">
      <protection locked="0"/>
    </xf>
    <xf numFmtId="0" fontId="13" fillId="11" borderId="31" xfId="0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left" vertical="center"/>
      <protection locked="0"/>
    </xf>
    <xf numFmtId="9" fontId="5" fillId="11" borderId="32" xfId="0" applyNumberFormat="1" applyFont="1" applyFill="1" applyBorder="1" applyProtection="1">
      <protection locked="0"/>
    </xf>
    <xf numFmtId="168" fontId="4" fillId="11" borderId="32" xfId="0" applyNumberFormat="1" applyFont="1" applyFill="1" applyBorder="1" applyAlignment="1" applyProtection="1">
      <alignment horizontal="center"/>
      <protection locked="0"/>
    </xf>
    <xf numFmtId="0" fontId="5" fillId="11" borderId="7" xfId="0" applyFont="1" applyFill="1" applyBorder="1" applyProtection="1">
      <protection locked="0"/>
    </xf>
    <xf numFmtId="0" fontId="5" fillId="0" borderId="3" xfId="0" applyFont="1" applyBorder="1" applyAlignment="1" applyProtection="1">
      <alignment horizontal="left" vertical="center"/>
      <protection locked="0"/>
    </xf>
    <xf numFmtId="9" fontId="5" fillId="0" borderId="3" xfId="0" applyNumberFormat="1" applyFont="1" applyBorder="1" applyProtection="1">
      <protection locked="0"/>
    </xf>
    <xf numFmtId="0" fontId="5" fillId="9" borderId="34" xfId="0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left" vertical="center"/>
      <protection locked="0"/>
    </xf>
    <xf numFmtId="0" fontId="13" fillId="9" borderId="29" xfId="0" applyFont="1" applyFill="1" applyBorder="1" applyAlignment="1" applyProtection="1">
      <alignment horizontal="center"/>
      <protection locked="0"/>
    </xf>
    <xf numFmtId="0" fontId="5" fillId="9" borderId="2" xfId="0" applyFont="1" applyFill="1" applyBorder="1" applyAlignment="1" applyProtection="1">
      <alignment horizontal="left" vertical="center"/>
      <protection locked="0"/>
    </xf>
    <xf numFmtId="0" fontId="5" fillId="9" borderId="2" xfId="0" applyFont="1" applyFill="1" applyBorder="1" applyProtection="1">
      <protection locked="0"/>
    </xf>
    <xf numFmtId="0" fontId="5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/>
      <protection locked="0"/>
    </xf>
    <xf numFmtId="0" fontId="13" fillId="9" borderId="31" xfId="0" applyFont="1" applyFill="1" applyBorder="1" applyAlignment="1" applyProtection="1">
      <alignment horizontal="center"/>
      <protection locked="0"/>
    </xf>
    <xf numFmtId="0" fontId="5" fillId="9" borderId="32" xfId="0" applyFont="1" applyFill="1" applyBorder="1" applyProtection="1">
      <protection locked="0"/>
    </xf>
    <xf numFmtId="0" fontId="5" fillId="9" borderId="32" xfId="0" applyFont="1" applyFill="1" applyBorder="1" applyAlignment="1" applyProtection="1">
      <alignment horizontal="center" vertical="center"/>
      <protection locked="0"/>
    </xf>
    <xf numFmtId="0" fontId="5" fillId="11" borderId="34" xfId="0" applyFont="1" applyFill="1" applyBorder="1" applyProtection="1">
      <protection locked="0"/>
    </xf>
    <xf numFmtId="0" fontId="13" fillId="11" borderId="30" xfId="0" applyFont="1" applyFill="1" applyBorder="1" applyAlignment="1" applyProtection="1">
      <alignment horizontal="center"/>
      <protection locked="0"/>
    </xf>
    <xf numFmtId="168" fontId="4" fillId="11" borderId="26" xfId="0" applyNumberFormat="1" applyFont="1" applyFill="1" applyBorder="1" applyAlignment="1" applyProtection="1">
      <alignment horizontal="center"/>
      <protection locked="0"/>
    </xf>
    <xf numFmtId="0" fontId="13" fillId="11" borderId="35" xfId="0" applyFont="1" applyFill="1" applyBorder="1" applyAlignment="1" applyProtection="1">
      <alignment horizontal="center"/>
      <protection locked="0"/>
    </xf>
    <xf numFmtId="0" fontId="5" fillId="11" borderId="1" xfId="0" applyFont="1" applyFill="1" applyBorder="1" applyAlignment="1" applyProtection="1">
      <alignment horizontal="left" vertical="center"/>
      <protection locked="0"/>
    </xf>
    <xf numFmtId="168" fontId="4" fillId="11" borderId="1" xfId="0" applyNumberFormat="1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Protection="1">
      <protection locked="0"/>
    </xf>
    <xf numFmtId="168" fontId="6" fillId="0" borderId="17" xfId="0" applyNumberFormat="1" applyFont="1" applyBorder="1" applyAlignment="1" applyProtection="1">
      <alignment vertical="center"/>
      <protection locked="0"/>
    </xf>
    <xf numFmtId="9" fontId="5" fillId="9" borderId="34" xfId="0" applyNumberFormat="1" applyFont="1" applyFill="1" applyBorder="1" applyProtection="1">
      <protection locked="0"/>
    </xf>
    <xf numFmtId="9" fontId="5" fillId="9" borderId="2" xfId="0" applyNumberFormat="1" applyFont="1" applyFill="1" applyBorder="1" applyProtection="1">
      <protection locked="0"/>
    </xf>
    <xf numFmtId="9" fontId="5" fillId="9" borderId="32" xfId="0" applyNumberFormat="1" applyFont="1" applyFill="1" applyBorder="1" applyProtection="1">
      <protection locked="0"/>
    </xf>
    <xf numFmtId="168" fontId="4" fillId="9" borderId="32" xfId="0" applyNumberFormat="1" applyFont="1" applyFill="1" applyBorder="1" applyAlignment="1" applyProtection="1">
      <alignment horizontal="center"/>
      <protection locked="0"/>
    </xf>
    <xf numFmtId="0" fontId="28" fillId="0" borderId="3" xfId="0" applyFont="1" applyBorder="1" applyAlignment="1" applyProtection="1">
      <alignment horizontal="left" vertical="center"/>
      <protection locked="0"/>
    </xf>
    <xf numFmtId="0" fontId="13" fillId="11" borderId="27" xfId="0" applyFont="1" applyFill="1" applyBorder="1" applyAlignment="1" applyProtection="1">
      <alignment horizontal="center"/>
      <protection locked="0"/>
    </xf>
    <xf numFmtId="9" fontId="5" fillId="11" borderId="28" xfId="0" applyNumberFormat="1" applyFont="1" applyFill="1" applyBorder="1" applyProtection="1">
      <protection locked="0"/>
    </xf>
    <xf numFmtId="168" fontId="4" fillId="11" borderId="28" xfId="0" applyNumberFormat="1" applyFont="1" applyFill="1" applyBorder="1" applyAlignment="1" applyProtection="1">
      <alignment horizontal="center"/>
      <protection locked="0"/>
    </xf>
    <xf numFmtId="9" fontId="5" fillId="11" borderId="1" xfId="0" applyNumberFormat="1" applyFont="1" applyFill="1" applyBorder="1" applyProtection="1">
      <protection locked="0"/>
    </xf>
    <xf numFmtId="0" fontId="35" fillId="0" borderId="10" xfId="0" applyFont="1" applyBorder="1" applyAlignment="1" applyProtection="1">
      <alignment horizontal="left"/>
      <protection locked="0"/>
    </xf>
    <xf numFmtId="0" fontId="5" fillId="9" borderId="32" xfId="0" applyFont="1" applyFill="1" applyBorder="1" applyAlignment="1" applyProtection="1">
      <alignment horizontal="left" vertical="center"/>
      <protection locked="0"/>
    </xf>
    <xf numFmtId="168" fontId="4" fillId="8" borderId="34" xfId="0" applyNumberFormat="1" applyFont="1" applyFill="1" applyBorder="1" applyAlignment="1" applyProtection="1">
      <alignment horizontal="center"/>
      <protection locked="0"/>
    </xf>
    <xf numFmtId="0" fontId="5" fillId="8" borderId="5" xfId="0" applyFont="1" applyFill="1" applyBorder="1" applyProtection="1">
      <protection locked="0"/>
    </xf>
    <xf numFmtId="0" fontId="13" fillId="8" borderId="30" xfId="0" applyFont="1" applyFill="1" applyBorder="1" applyAlignment="1" applyProtection="1">
      <alignment horizontal="center"/>
      <protection locked="0"/>
    </xf>
    <xf numFmtId="0" fontId="5" fillId="8" borderId="26" xfId="0" applyFont="1" applyFill="1" applyBorder="1" applyProtection="1">
      <protection locked="0"/>
    </xf>
    <xf numFmtId="0" fontId="5" fillId="8" borderId="26" xfId="0" applyFont="1" applyFill="1" applyBorder="1" applyAlignment="1" applyProtection="1">
      <alignment horizontal="center" vertical="center"/>
      <protection locked="0"/>
    </xf>
    <xf numFmtId="168" fontId="4" fillId="8" borderId="26" xfId="0" applyNumberFormat="1" applyFont="1" applyFill="1" applyBorder="1" applyAlignment="1" applyProtection="1">
      <alignment horizontal="center"/>
      <protection locked="0"/>
    </xf>
    <xf numFmtId="0" fontId="5" fillId="8" borderId="32" xfId="0" applyFont="1" applyFill="1" applyBorder="1" applyProtection="1">
      <protection locked="0"/>
    </xf>
    <xf numFmtId="0" fontId="5" fillId="8" borderId="32" xfId="0" applyFont="1" applyFill="1" applyBorder="1" applyAlignment="1" applyProtection="1">
      <alignment horizontal="center" vertical="center"/>
      <protection locked="0"/>
    </xf>
    <xf numFmtId="168" fontId="6" fillId="0" borderId="13" xfId="0" applyNumberFormat="1" applyFont="1" applyBorder="1" applyAlignment="1" applyProtection="1">
      <alignment horizontal="center" vertical="center"/>
      <protection locked="0"/>
    </xf>
    <xf numFmtId="0" fontId="5" fillId="2" borderId="17" xfId="0" applyFont="1" applyFill="1" applyBorder="1" applyAlignment="1" applyProtection="1">
      <alignment vertical="center"/>
      <protection locked="0"/>
    </xf>
    <xf numFmtId="168" fontId="8" fillId="2" borderId="0" xfId="0" applyNumberFormat="1" applyFont="1" applyFill="1" applyAlignment="1" applyProtection="1">
      <alignment horizontal="center" vertical="center"/>
      <protection locked="0"/>
    </xf>
    <xf numFmtId="168" fontId="5" fillId="5" borderId="0" xfId="0" applyNumberFormat="1" applyFont="1" applyFill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4" fillId="9" borderId="34" xfId="0" applyFont="1" applyFill="1" applyBorder="1" applyProtection="1">
      <protection locked="0"/>
    </xf>
    <xf numFmtId="0" fontId="18" fillId="0" borderId="2" xfId="0" applyFont="1" applyBorder="1" applyAlignment="1" applyProtection="1">
      <alignment horizontal="center"/>
      <protection locked="0"/>
    </xf>
    <xf numFmtId="0" fontId="27" fillId="0" borderId="2" xfId="0" applyFont="1" applyBorder="1" applyProtection="1">
      <protection locked="0"/>
    </xf>
    <xf numFmtId="167" fontId="27" fillId="0" borderId="2" xfId="0" applyNumberFormat="1" applyFont="1" applyBorder="1" applyProtection="1">
      <protection locked="0"/>
    </xf>
    <xf numFmtId="0" fontId="23" fillId="5" borderId="0" xfId="0" applyFont="1" applyFill="1" applyProtection="1">
      <protection locked="0"/>
    </xf>
    <xf numFmtId="10" fontId="27" fillId="0" borderId="2" xfId="0" applyNumberFormat="1" applyFont="1" applyBorder="1" applyProtection="1">
      <protection locked="0"/>
    </xf>
    <xf numFmtId="0" fontId="19" fillId="7" borderId="2" xfId="0" applyFont="1" applyFill="1" applyBorder="1" applyAlignment="1" applyProtection="1">
      <alignment horizontal="center" wrapText="1"/>
      <protection locked="0"/>
    </xf>
    <xf numFmtId="15" fontId="18" fillId="5" borderId="0" xfId="0" applyNumberFormat="1" applyFont="1" applyFill="1" applyAlignment="1" applyProtection="1">
      <alignment horizontal="center"/>
      <protection locked="0"/>
    </xf>
    <xf numFmtId="9" fontId="19" fillId="5" borderId="0" xfId="0" applyNumberFormat="1" applyFont="1" applyFill="1" applyAlignment="1" applyProtection="1">
      <alignment horizontal="center"/>
      <protection locked="0"/>
    </xf>
    <xf numFmtId="167" fontId="19" fillId="5" borderId="0" xfId="0" applyNumberFormat="1" applyFont="1" applyFill="1" applyProtection="1">
      <protection locked="0"/>
    </xf>
    <xf numFmtId="9" fontId="6" fillId="7" borderId="26" xfId="0" applyNumberFormat="1" applyFont="1" applyFill="1" applyBorder="1" applyAlignment="1" applyProtection="1">
      <alignment horizontal="center" vertical="center"/>
      <protection locked="0"/>
    </xf>
    <xf numFmtId="0" fontId="33" fillId="5" borderId="0" xfId="0" applyFont="1" applyFill="1" applyAlignment="1" applyProtection="1">
      <alignment horizontal="center" vertical="center"/>
      <protection locked="0"/>
    </xf>
    <xf numFmtId="0" fontId="5" fillId="9" borderId="13" xfId="0" applyFont="1" applyFill="1" applyBorder="1" applyProtection="1">
      <protection locked="0"/>
    </xf>
    <xf numFmtId="0" fontId="5" fillId="11" borderId="34" xfId="0" applyFont="1" applyFill="1" applyBorder="1" applyAlignment="1" applyProtection="1">
      <alignment horizontal="center" vertical="center"/>
      <protection locked="0"/>
    </xf>
    <xf numFmtId="0" fontId="37" fillId="0" borderId="0" xfId="0" applyFont="1"/>
    <xf numFmtId="164" fontId="37" fillId="0" borderId="0" xfId="1" applyFont="1"/>
    <xf numFmtId="170" fontId="5" fillId="5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168" fontId="7" fillId="0" borderId="45" xfId="0" applyNumberFormat="1" applyFont="1" applyBorder="1" applyAlignment="1" applyProtection="1">
      <alignment horizontal="center" vertical="center" wrapText="1"/>
      <protection locked="0"/>
    </xf>
    <xf numFmtId="169" fontId="0" fillId="6" borderId="2" xfId="0" applyNumberFormat="1" applyFill="1" applyBorder="1"/>
    <xf numFmtId="167" fontId="21" fillId="4" borderId="17" xfId="0" applyNumberFormat="1" applyFont="1" applyFill="1" applyBorder="1" applyProtection="1">
      <protection locked="0"/>
    </xf>
    <xf numFmtId="10" fontId="21" fillId="4" borderId="13" xfId="0" applyNumberFormat="1" applyFont="1" applyFill="1" applyBorder="1" applyProtection="1">
      <protection locked="0"/>
    </xf>
    <xf numFmtId="0" fontId="22" fillId="5" borderId="0" xfId="0" applyFont="1" applyFill="1" applyProtection="1">
      <protection locked="0"/>
    </xf>
    <xf numFmtId="0" fontId="19" fillId="7" borderId="2" xfId="0" applyFont="1" applyFill="1" applyBorder="1" applyAlignment="1" applyProtection="1">
      <alignment horizontal="left"/>
      <protection locked="0"/>
    </xf>
    <xf numFmtId="15" fontId="21" fillId="0" borderId="2" xfId="0" applyNumberFormat="1" applyFont="1" applyBorder="1" applyAlignment="1" applyProtection="1">
      <alignment horizontal="left"/>
      <protection locked="0"/>
    </xf>
    <xf numFmtId="0" fontId="13" fillId="9" borderId="27" xfId="0" applyFont="1" applyFill="1" applyBorder="1" applyAlignment="1" applyProtection="1">
      <alignment horizontal="center"/>
      <protection locked="0"/>
    </xf>
    <xf numFmtId="9" fontId="5" fillId="9" borderId="28" xfId="0" applyNumberFormat="1" applyFont="1" applyFill="1" applyBorder="1" applyProtection="1">
      <protection locked="0"/>
    </xf>
    <xf numFmtId="168" fontId="4" fillId="9" borderId="28" xfId="0" applyNumberFormat="1" applyFont="1" applyFill="1" applyBorder="1" applyAlignment="1" applyProtection="1">
      <alignment horizontal="center"/>
      <protection locked="0"/>
    </xf>
    <xf numFmtId="0" fontId="13" fillId="9" borderId="35" xfId="0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Alignment="1" applyProtection="1">
      <alignment horizontal="left" vertical="center"/>
      <protection locked="0"/>
    </xf>
    <xf numFmtId="9" fontId="5" fillId="9" borderId="1" xfId="0" applyNumberFormat="1" applyFont="1" applyFill="1" applyBorder="1" applyProtection="1">
      <protection locked="0"/>
    </xf>
    <xf numFmtId="168" fontId="4" fillId="9" borderId="1" xfId="0" applyNumberFormat="1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Protection="1">
      <protection locked="0"/>
    </xf>
    <xf numFmtId="168" fontId="5" fillId="9" borderId="5" xfId="0" applyNumberFormat="1" applyFont="1" applyFill="1" applyBorder="1" applyProtection="1">
      <protection locked="0"/>
    </xf>
    <xf numFmtId="0" fontId="4" fillId="9" borderId="2" xfId="0" applyFont="1" applyFill="1" applyBorder="1" applyProtection="1">
      <protection locked="0"/>
    </xf>
    <xf numFmtId="0" fontId="28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 vertical="center"/>
      <protection locked="0"/>
    </xf>
    <xf numFmtId="0" fontId="28" fillId="9" borderId="32" xfId="0" applyFont="1" applyFill="1" applyBorder="1" applyProtection="1">
      <protection locked="0"/>
    </xf>
    <xf numFmtId="0" fontId="28" fillId="9" borderId="32" xfId="0" applyFont="1" applyFill="1" applyBorder="1" applyAlignment="1" applyProtection="1">
      <alignment horizontal="center" vertical="center"/>
      <protection locked="0"/>
    </xf>
    <xf numFmtId="0" fontId="5" fillId="11" borderId="26" xfId="0" applyFont="1" applyFill="1" applyBorder="1" applyAlignment="1" applyProtection="1">
      <alignment horizontal="center" vertical="center"/>
      <protection locked="0"/>
    </xf>
    <xf numFmtId="0" fontId="13" fillId="11" borderId="40" xfId="0" applyFont="1" applyFill="1" applyBorder="1" applyAlignment="1" applyProtection="1">
      <alignment horizontal="center"/>
      <protection locked="0"/>
    </xf>
    <xf numFmtId="0" fontId="5" fillId="11" borderId="41" xfId="0" applyFont="1" applyFill="1" applyBorder="1" applyProtection="1">
      <protection locked="0"/>
    </xf>
    <xf numFmtId="0" fontId="5" fillId="11" borderId="41" xfId="0" applyFont="1" applyFill="1" applyBorder="1" applyAlignment="1" applyProtection="1">
      <alignment horizontal="center" vertical="center"/>
      <protection locked="0"/>
    </xf>
    <xf numFmtId="168" fontId="4" fillId="11" borderId="41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167" fontId="8" fillId="11" borderId="2" xfId="0" applyNumberFormat="1" applyFont="1" applyFill="1" applyBorder="1" applyAlignment="1" applyProtection="1">
      <alignment horizontal="left" vertical="center"/>
      <protection locked="0"/>
    </xf>
    <xf numFmtId="0" fontId="28" fillId="11" borderId="32" xfId="0" applyFont="1" applyFill="1" applyBorder="1" applyAlignment="1" applyProtection="1">
      <alignment horizontal="left" vertical="center"/>
      <protection locked="0"/>
    </xf>
    <xf numFmtId="165" fontId="5" fillId="0" borderId="17" xfId="0" applyNumberFormat="1" applyFont="1" applyBorder="1" applyAlignment="1" applyProtection="1">
      <alignment vertical="center"/>
      <protection locked="0"/>
    </xf>
    <xf numFmtId="0" fontId="4" fillId="0" borderId="3" xfId="0" applyFont="1" applyBorder="1" applyProtection="1">
      <protection locked="0"/>
    </xf>
    <xf numFmtId="14" fontId="33" fillId="5" borderId="0" xfId="0" applyNumberFormat="1" applyFont="1" applyFill="1" applyAlignment="1">
      <alignment horizontal="center"/>
    </xf>
    <xf numFmtId="0" fontId="33" fillId="5" borderId="0" xfId="0" applyFont="1" applyFill="1" applyAlignment="1">
      <alignment horizontal="center"/>
    </xf>
    <xf numFmtId="0" fontId="5" fillId="9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5" fillId="11" borderId="26" xfId="0" applyFont="1" applyFill="1" applyBorder="1" applyAlignment="1" applyProtection="1">
      <alignment horizontal="left" vertical="center"/>
      <protection locked="0"/>
    </xf>
    <xf numFmtId="0" fontId="36" fillId="4" borderId="12" xfId="0" applyFont="1" applyFill="1" applyBorder="1" applyProtection="1">
      <protection locked="0"/>
    </xf>
    <xf numFmtId="16" fontId="21" fillId="4" borderId="17" xfId="0" applyNumberFormat="1" applyFont="1" applyFill="1" applyBorder="1" applyProtection="1">
      <protection locked="0"/>
    </xf>
    <xf numFmtId="0" fontId="33" fillId="7" borderId="21" xfId="0" applyFont="1" applyFill="1" applyBorder="1" applyAlignment="1" applyProtection="1">
      <alignment horizontal="left"/>
      <protection locked="0"/>
    </xf>
    <xf numFmtId="0" fontId="7" fillId="5" borderId="0" xfId="0" applyFont="1" applyFill="1" applyAlignment="1">
      <alignment horizontal="left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167" fontId="5" fillId="11" borderId="28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Protection="1">
      <protection locked="0"/>
    </xf>
    <xf numFmtId="167" fontId="4" fillId="9" borderId="2" xfId="3" applyFont="1" applyFill="1" applyBorder="1" applyProtection="1">
      <protection locked="0"/>
    </xf>
    <xf numFmtId="0" fontId="4" fillId="9" borderId="32" xfId="0" applyFont="1" applyFill="1" applyBorder="1" applyProtection="1">
      <protection locked="0"/>
    </xf>
    <xf numFmtId="0" fontId="4" fillId="11" borderId="34" xfId="0" applyFont="1" applyFill="1" applyBorder="1" applyProtection="1">
      <protection locked="0"/>
    </xf>
    <xf numFmtId="0" fontId="4" fillId="11" borderId="41" xfId="0" applyFont="1" applyFill="1" applyBorder="1" applyProtection="1">
      <protection locked="0"/>
    </xf>
    <xf numFmtId="0" fontId="4" fillId="9" borderId="34" xfId="0" applyFont="1" applyFill="1" applyBorder="1" applyAlignment="1" applyProtection="1">
      <alignment horizontal="left" vertical="center"/>
      <protection locked="0"/>
    </xf>
    <xf numFmtId="0" fontId="4" fillId="9" borderId="2" xfId="0" applyFont="1" applyFill="1" applyBorder="1" applyAlignment="1" applyProtection="1">
      <alignment horizontal="left" vertical="center"/>
      <protection locked="0"/>
    </xf>
    <xf numFmtId="0" fontId="4" fillId="9" borderId="32" xfId="0" applyFont="1" applyFill="1" applyBorder="1" applyAlignment="1" applyProtection="1">
      <alignment horizontal="left" vertical="center"/>
      <protection locked="0"/>
    </xf>
    <xf numFmtId="0" fontId="4" fillId="11" borderId="34" xfId="0" applyFont="1" applyFill="1" applyBorder="1" applyAlignment="1" applyProtection="1">
      <alignment horizontal="left" vertical="center"/>
      <protection locked="0"/>
    </xf>
    <xf numFmtId="166" fontId="4" fillId="11" borderId="23" xfId="3" applyNumberFormat="1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Protection="1">
      <protection locked="0"/>
    </xf>
    <xf numFmtId="0" fontId="4" fillId="9" borderId="26" xfId="0" applyFont="1" applyFill="1" applyBorder="1" applyAlignment="1" applyProtection="1">
      <alignment horizontal="left" vertical="center"/>
      <protection locked="0"/>
    </xf>
    <xf numFmtId="0" fontId="4" fillId="11" borderId="2" xfId="3" applyNumberFormat="1" applyFont="1" applyFill="1" applyBorder="1" applyAlignment="1" applyProtection="1">
      <alignment horizontal="left" vertical="center"/>
      <protection locked="0"/>
    </xf>
    <xf numFmtId="0" fontId="4" fillId="11" borderId="2" xfId="0" applyFont="1" applyFill="1" applyBorder="1" applyAlignment="1" applyProtection="1">
      <alignment horizontal="left" vertical="center"/>
      <protection locked="0"/>
    </xf>
    <xf numFmtId="0" fontId="4" fillId="11" borderId="28" xfId="0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Alignment="1" applyProtection="1">
      <alignment horizontal="left" vertical="center"/>
      <protection locked="0"/>
    </xf>
    <xf numFmtId="0" fontId="4" fillId="11" borderId="1" xfId="0" applyFont="1" applyFill="1" applyBorder="1" applyAlignment="1" applyProtection="1">
      <alignment horizontal="left" vertical="center"/>
      <protection locked="0"/>
    </xf>
    <xf numFmtId="0" fontId="4" fillId="8" borderId="34" xfId="0" applyFont="1" applyFill="1" applyBorder="1" applyProtection="1">
      <protection locked="0"/>
    </xf>
    <xf numFmtId="0" fontId="4" fillId="8" borderId="2" xfId="0" applyFont="1" applyFill="1" applyBorder="1" applyProtection="1">
      <protection locked="0"/>
    </xf>
    <xf numFmtId="0" fontId="4" fillId="8" borderId="32" xfId="0" applyFont="1" applyFill="1" applyBorder="1" applyProtection="1">
      <protection locked="0"/>
    </xf>
    <xf numFmtId="167" fontId="5" fillId="9" borderId="34" xfId="3" applyFont="1" applyFill="1" applyBorder="1" applyAlignment="1" applyProtection="1">
      <alignment horizontal="center"/>
      <protection locked="0"/>
    </xf>
    <xf numFmtId="168" fontId="30" fillId="9" borderId="32" xfId="0" applyNumberFormat="1" applyFont="1" applyFill="1" applyBorder="1" applyAlignment="1" applyProtection="1">
      <alignment horizontal="left" vertical="center"/>
      <protection locked="0"/>
    </xf>
    <xf numFmtId="0" fontId="35" fillId="0" borderId="5" xfId="0" applyFont="1" applyBorder="1" applyAlignment="1" applyProtection="1">
      <alignment horizontal="left"/>
      <protection locked="0"/>
    </xf>
    <xf numFmtId="165" fontId="35" fillId="0" borderId="5" xfId="0" applyNumberFormat="1" applyFont="1" applyBorder="1" applyAlignment="1" applyProtection="1">
      <alignment horizontal="left"/>
      <protection locked="0"/>
    </xf>
    <xf numFmtId="0" fontId="4" fillId="9" borderId="52" xfId="0" applyFont="1" applyFill="1" applyBorder="1" applyAlignment="1" applyProtection="1">
      <alignment horizontal="left" vertical="center"/>
      <protection locked="0"/>
    </xf>
    <xf numFmtId="168" fontId="4" fillId="9" borderId="2" xfId="0" applyNumberFormat="1" applyFont="1" applyFill="1" applyBorder="1" applyAlignment="1" applyProtection="1">
      <alignment horizontal="left" vertical="center"/>
      <protection locked="0"/>
    </xf>
    <xf numFmtId="9" fontId="5" fillId="11" borderId="26" xfId="0" applyNumberFormat="1" applyFont="1" applyFill="1" applyBorder="1" applyProtection="1">
      <protection locked="0"/>
    </xf>
    <xf numFmtId="167" fontId="5" fillId="9" borderId="1" xfId="3" applyFont="1" applyFill="1" applyBorder="1" applyAlignment="1" applyProtection="1">
      <alignment horizontal="center"/>
      <protection locked="0"/>
    </xf>
    <xf numFmtId="16" fontId="21" fillId="4" borderId="13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4" fillId="11" borderId="2" xfId="3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center" vertical="center"/>
      <protection locked="0"/>
    </xf>
    <xf numFmtId="167" fontId="5" fillId="9" borderId="26" xfId="3" applyFont="1" applyFill="1" applyBorder="1" applyAlignment="1" applyProtection="1">
      <alignment horizontal="center"/>
      <protection locked="0"/>
    </xf>
    <xf numFmtId="167" fontId="5" fillId="11" borderId="26" xfId="3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7" fontId="5" fillId="11" borderId="32" xfId="3" applyFont="1" applyFill="1" applyBorder="1" applyAlignment="1" applyProtection="1">
      <alignment horizontal="center"/>
      <protection locked="0"/>
    </xf>
    <xf numFmtId="167" fontId="5" fillId="0" borderId="3" xfId="3" applyFont="1" applyBorder="1" applyAlignment="1" applyProtection="1">
      <alignment horizontal="center"/>
      <protection locked="0"/>
    </xf>
    <xf numFmtId="167" fontId="5" fillId="11" borderId="34" xfId="3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center" vertical="center"/>
      <protection locked="0"/>
    </xf>
    <xf numFmtId="167" fontId="5" fillId="9" borderId="2" xfId="3" applyFont="1" applyFill="1" applyBorder="1" applyAlignment="1" applyProtection="1">
      <alignment horizontal="center"/>
      <protection locked="0"/>
    </xf>
    <xf numFmtId="167" fontId="5" fillId="9" borderId="32" xfId="3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Alignment="1" applyProtection="1">
      <alignment horizontal="center" vertical="center"/>
      <protection locked="0"/>
    </xf>
    <xf numFmtId="0" fontId="5" fillId="11" borderId="28" xfId="0" applyFont="1" applyFill="1" applyBorder="1" applyAlignment="1" applyProtection="1">
      <alignment horizontal="center" vertical="center"/>
      <protection locked="0"/>
    </xf>
    <xf numFmtId="167" fontId="5" fillId="5" borderId="0" xfId="3" applyFont="1" applyFill="1" applyAlignment="1" applyProtection="1">
      <alignment horizontal="center"/>
      <protection locked="0"/>
    </xf>
    <xf numFmtId="167" fontId="6" fillId="0" borderId="37" xfId="3" applyFont="1" applyBorder="1" applyAlignment="1" applyProtection="1">
      <alignment horizontal="center" vertical="center"/>
      <protection locked="0"/>
    </xf>
    <xf numFmtId="167" fontId="5" fillId="2" borderId="28" xfId="3" applyFont="1" applyFill="1" applyBorder="1" applyAlignment="1" applyProtection="1">
      <alignment horizontal="center"/>
      <protection locked="0"/>
    </xf>
    <xf numFmtId="167" fontId="5" fillId="11" borderId="41" xfId="3" applyFont="1" applyFill="1" applyBorder="1" applyAlignment="1" applyProtection="1">
      <alignment horizontal="center"/>
      <protection locked="0"/>
    </xf>
    <xf numFmtId="167" fontId="5" fillId="9" borderId="28" xfId="3" applyFont="1" applyFill="1" applyBorder="1" applyAlignment="1" applyProtection="1">
      <alignment horizontal="center"/>
      <protection locked="0"/>
    </xf>
    <xf numFmtId="167" fontId="35" fillId="0" borderId="15" xfId="3" applyFont="1" applyBorder="1" applyAlignment="1" applyProtection="1">
      <alignment horizontal="left"/>
      <protection locked="0"/>
    </xf>
    <xf numFmtId="167" fontId="5" fillId="8" borderId="34" xfId="3" applyFont="1" applyFill="1" applyBorder="1" applyAlignment="1" applyProtection="1">
      <alignment horizontal="center"/>
      <protection locked="0"/>
    </xf>
    <xf numFmtId="167" fontId="5" fillId="8" borderId="26" xfId="3" applyFont="1" applyFill="1" applyBorder="1" applyAlignment="1" applyProtection="1">
      <alignment horizontal="center"/>
      <protection locked="0"/>
    </xf>
    <xf numFmtId="167" fontId="5" fillId="8" borderId="32" xfId="3" applyFont="1" applyFill="1" applyBorder="1" applyAlignment="1" applyProtection="1">
      <alignment horizontal="center"/>
      <protection locked="0"/>
    </xf>
    <xf numFmtId="167" fontId="5" fillId="2" borderId="0" xfId="3" applyFont="1" applyFill="1" applyAlignment="1" applyProtection="1">
      <alignment horizontal="center"/>
      <protection locked="0"/>
    </xf>
    <xf numFmtId="167" fontId="5" fillId="0" borderId="0" xfId="3" applyFont="1" applyAlignment="1" applyProtection="1">
      <alignment horizontal="center"/>
      <protection locked="0"/>
    </xf>
    <xf numFmtId="0" fontId="5" fillId="11" borderId="34" xfId="3" applyNumberFormat="1" applyFont="1" applyFill="1" applyBorder="1" applyAlignment="1" applyProtection="1">
      <alignment horizontal="center" vertical="center"/>
      <protection locked="0"/>
    </xf>
    <xf numFmtId="168" fontId="8" fillId="2" borderId="46" xfId="0" applyNumberFormat="1" applyFont="1" applyFill="1" applyBorder="1" applyAlignment="1" applyProtection="1">
      <alignment horizontal="center" vertical="center" wrapText="1"/>
      <protection locked="0"/>
    </xf>
    <xf numFmtId="168" fontId="4" fillId="11" borderId="9" xfId="0" applyNumberFormat="1" applyFont="1" applyFill="1" applyBorder="1" applyAlignment="1" applyProtection="1">
      <alignment horizontal="center"/>
      <protection locked="0"/>
    </xf>
    <xf numFmtId="0" fontId="5" fillId="5" borderId="47" xfId="0" applyFont="1" applyFill="1" applyBorder="1" applyProtection="1">
      <protection locked="0"/>
    </xf>
    <xf numFmtId="0" fontId="6" fillId="5" borderId="2" xfId="0" applyFont="1" applyFill="1" applyBorder="1" applyProtection="1">
      <protection locked="0"/>
    </xf>
    <xf numFmtId="167" fontId="4" fillId="9" borderId="1" xfId="3" applyFont="1" applyFill="1" applyBorder="1" applyProtection="1">
      <protection locked="0"/>
    </xf>
    <xf numFmtId="0" fontId="4" fillId="9" borderId="1" xfId="0" applyFont="1" applyFill="1" applyBorder="1" applyProtection="1">
      <protection locked="0"/>
    </xf>
    <xf numFmtId="0" fontId="28" fillId="9" borderId="1" xfId="0" applyFont="1" applyFill="1" applyBorder="1" applyAlignment="1" applyProtection="1">
      <alignment horizontal="center" vertical="center"/>
      <protection locked="0"/>
    </xf>
    <xf numFmtId="1" fontId="5" fillId="11" borderId="26" xfId="0" applyNumberFormat="1" applyFont="1" applyFill="1" applyBorder="1" applyAlignment="1" applyProtection="1">
      <alignment horizontal="center" vertical="center"/>
      <protection locked="0"/>
    </xf>
    <xf numFmtId="168" fontId="4" fillId="0" borderId="17" xfId="0" applyNumberFormat="1" applyFont="1" applyBorder="1" applyAlignment="1" applyProtection="1">
      <alignment horizontal="center"/>
      <protection locked="0"/>
    </xf>
    <xf numFmtId="168" fontId="4" fillId="8" borderId="50" xfId="0" applyNumberFormat="1" applyFont="1" applyFill="1" applyBorder="1" applyAlignment="1" applyProtection="1">
      <alignment horizontal="center"/>
      <protection locked="0"/>
    </xf>
    <xf numFmtId="168" fontId="4" fillId="8" borderId="51" xfId="0" applyNumberFormat="1" applyFont="1" applyFill="1" applyBorder="1" applyAlignment="1" applyProtection="1">
      <alignment horizontal="center"/>
      <protection locked="0"/>
    </xf>
    <xf numFmtId="168" fontId="4" fillId="0" borderId="11" xfId="0" applyNumberFormat="1" applyFont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35" fillId="0" borderId="11" xfId="0" applyFont="1" applyBorder="1" applyAlignment="1" applyProtection="1">
      <alignment horizontal="left"/>
      <protection locked="0"/>
    </xf>
    <xf numFmtId="167" fontId="5" fillId="0" borderId="11" xfId="0" applyNumberFormat="1" applyFont="1" applyBorder="1" applyAlignment="1" applyProtection="1">
      <alignment horizontal="center"/>
      <protection locked="0"/>
    </xf>
    <xf numFmtId="0" fontId="4" fillId="0" borderId="11" xfId="0" applyFont="1" applyBorder="1" applyAlignment="1" applyProtection="1">
      <alignment horizontal="center"/>
      <protection locked="0"/>
    </xf>
    <xf numFmtId="168" fontId="8" fillId="2" borderId="62" xfId="0" applyNumberFormat="1" applyFont="1" applyFill="1" applyBorder="1" applyAlignment="1" applyProtection="1">
      <alignment horizontal="center" vertical="center" wrapText="1"/>
      <protection locked="0"/>
    </xf>
    <xf numFmtId="168" fontId="8" fillId="2" borderId="15" xfId="0" applyNumberFormat="1" applyFont="1" applyFill="1" applyBorder="1" applyAlignment="1" applyProtection="1">
      <alignment horizontal="center" vertical="center" wrapText="1"/>
      <protection locked="0"/>
    </xf>
    <xf numFmtId="167" fontId="8" fillId="11" borderId="1" xfId="0" applyNumberFormat="1" applyFont="1" applyFill="1" applyBorder="1" applyAlignment="1" applyProtection="1">
      <alignment horizontal="left" vertical="center"/>
      <protection locked="0"/>
    </xf>
    <xf numFmtId="168" fontId="4" fillId="9" borderId="1" xfId="0" applyNumberFormat="1" applyFont="1" applyFill="1" applyBorder="1" applyAlignment="1" applyProtection="1">
      <alignment horizontal="left" vertical="center"/>
      <protection locked="0"/>
    </xf>
    <xf numFmtId="0" fontId="4" fillId="9" borderId="18" xfId="0" applyFont="1" applyFill="1" applyBorder="1" applyAlignment="1" applyProtection="1">
      <alignment horizontal="left" vertic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168" fontId="8" fillId="9" borderId="49" xfId="0" applyNumberFormat="1" applyFont="1" applyFill="1" applyBorder="1" applyAlignment="1" applyProtection="1">
      <alignment horizontal="center"/>
      <protection locked="0"/>
    </xf>
    <xf numFmtId="168" fontId="8" fillId="9" borderId="53" xfId="0" applyNumberFormat="1" applyFont="1" applyFill="1" applyBorder="1" applyAlignment="1" applyProtection="1">
      <alignment horizontal="center"/>
      <protection locked="0"/>
    </xf>
    <xf numFmtId="168" fontId="8" fillId="9" borderId="50" xfId="0" applyNumberFormat="1" applyFont="1" applyFill="1" applyBorder="1" applyAlignment="1" applyProtection="1">
      <alignment horizontal="center"/>
      <protection locked="0"/>
    </xf>
    <xf numFmtId="0" fontId="8" fillId="0" borderId="11" xfId="0" applyFont="1" applyBorder="1" applyAlignment="1" applyProtection="1">
      <alignment horizontal="center"/>
      <protection locked="0"/>
    </xf>
    <xf numFmtId="168" fontId="8" fillId="11" borderId="51" xfId="0" applyNumberFormat="1" applyFont="1" applyFill="1" applyBorder="1" applyAlignment="1" applyProtection="1">
      <alignment horizontal="center"/>
      <protection locked="0"/>
    </xf>
    <xf numFmtId="168" fontId="8" fillId="11" borderId="49" xfId="0" applyNumberFormat="1" applyFont="1" applyFill="1" applyBorder="1" applyAlignment="1" applyProtection="1">
      <alignment horizontal="center"/>
      <protection locked="0"/>
    </xf>
    <xf numFmtId="168" fontId="8" fillId="11" borderId="50" xfId="0" applyNumberFormat="1" applyFont="1" applyFill="1" applyBorder="1" applyAlignment="1" applyProtection="1">
      <alignment horizontal="center"/>
      <protection locked="0"/>
    </xf>
    <xf numFmtId="168" fontId="8" fillId="0" borderId="11" xfId="0" applyNumberFormat="1" applyFont="1" applyBorder="1" applyAlignment="1" applyProtection="1">
      <alignment horizontal="center"/>
      <protection locked="0"/>
    </xf>
    <xf numFmtId="168" fontId="8" fillId="9" borderId="51" xfId="0" applyNumberFormat="1" applyFont="1" applyFill="1" applyBorder="1" applyAlignment="1" applyProtection="1">
      <alignment horizontal="center"/>
      <protection locked="0"/>
    </xf>
    <xf numFmtId="167" fontId="8" fillId="0" borderId="11" xfId="0" applyNumberFormat="1" applyFont="1" applyBorder="1" applyAlignment="1" applyProtection="1">
      <alignment horizontal="center"/>
      <protection locked="0"/>
    </xf>
    <xf numFmtId="168" fontId="8" fillId="11" borderId="53" xfId="0" applyNumberFormat="1" applyFont="1" applyFill="1" applyBorder="1" applyAlignment="1" applyProtection="1">
      <alignment horizontal="center"/>
      <protection locked="0"/>
    </xf>
    <xf numFmtId="168" fontId="8" fillId="0" borderId="17" xfId="0" applyNumberFormat="1" applyFont="1" applyBorder="1" applyAlignment="1" applyProtection="1">
      <alignment horizontal="center"/>
      <protection locked="0"/>
    </xf>
    <xf numFmtId="168" fontId="8" fillId="8" borderId="51" xfId="0" applyNumberFormat="1" applyFont="1" applyFill="1" applyBorder="1" applyAlignment="1" applyProtection="1">
      <alignment horizontal="center"/>
      <protection locked="0"/>
    </xf>
    <xf numFmtId="168" fontId="8" fillId="8" borderId="53" xfId="0" applyNumberFormat="1" applyFont="1" applyFill="1" applyBorder="1" applyAlignment="1" applyProtection="1">
      <alignment horizontal="center"/>
      <protection locked="0"/>
    </xf>
    <xf numFmtId="168" fontId="8" fillId="8" borderId="50" xfId="0" applyNumberFormat="1" applyFont="1" applyFill="1" applyBorder="1" applyAlignment="1" applyProtection="1">
      <alignment horizontal="center"/>
      <protection locked="0"/>
    </xf>
    <xf numFmtId="14" fontId="8" fillId="9" borderId="49" xfId="0" applyNumberFormat="1" applyFont="1" applyFill="1" applyBorder="1" applyAlignment="1" applyProtection="1">
      <alignment horizontal="center"/>
      <protection locked="0"/>
    </xf>
    <xf numFmtId="14" fontId="8" fillId="9" borderId="53" xfId="0" applyNumberFormat="1" applyFont="1" applyFill="1" applyBorder="1" applyAlignment="1" applyProtection="1">
      <alignment horizontal="center"/>
      <protection locked="0"/>
    </xf>
    <xf numFmtId="14" fontId="8" fillId="9" borderId="50" xfId="0" applyNumberFormat="1" applyFont="1" applyFill="1" applyBorder="1" applyAlignment="1" applyProtection="1">
      <alignment horizontal="center"/>
      <protection locked="0"/>
    </xf>
    <xf numFmtId="14" fontId="8" fillId="0" borderId="11" xfId="0" applyNumberFormat="1" applyFont="1" applyBorder="1" applyAlignment="1" applyProtection="1">
      <alignment horizontal="center"/>
      <protection locked="0"/>
    </xf>
    <xf numFmtId="14" fontId="8" fillId="11" borderId="51" xfId="0" applyNumberFormat="1" applyFont="1" applyFill="1" applyBorder="1" applyAlignment="1" applyProtection="1">
      <alignment horizontal="center"/>
      <protection locked="0"/>
    </xf>
    <xf numFmtId="14" fontId="8" fillId="11" borderId="49" xfId="0" applyNumberFormat="1" applyFont="1" applyFill="1" applyBorder="1" applyAlignment="1" applyProtection="1">
      <alignment horizontal="center"/>
      <protection locked="0"/>
    </xf>
    <xf numFmtId="14" fontId="8" fillId="11" borderId="50" xfId="0" applyNumberFormat="1" applyFont="1" applyFill="1" applyBorder="1" applyAlignment="1" applyProtection="1">
      <alignment horizontal="center"/>
      <protection locked="0"/>
    </xf>
    <xf numFmtId="14" fontId="8" fillId="9" borderId="51" xfId="0" applyNumberFormat="1" applyFont="1" applyFill="1" applyBorder="1" applyAlignment="1" applyProtection="1">
      <alignment horizontal="center"/>
      <protection locked="0"/>
    </xf>
    <xf numFmtId="14" fontId="8" fillId="11" borderId="53" xfId="0" applyNumberFormat="1" applyFont="1" applyFill="1" applyBorder="1" applyAlignment="1" applyProtection="1">
      <alignment horizontal="center"/>
      <protection locked="0"/>
    </xf>
    <xf numFmtId="14" fontId="8" fillId="0" borderId="17" xfId="0" applyNumberFormat="1" applyFont="1" applyBorder="1" applyAlignment="1" applyProtection="1">
      <alignment horizontal="center"/>
      <protection locked="0"/>
    </xf>
    <xf numFmtId="14" fontId="8" fillId="9" borderId="12" xfId="0" applyNumberFormat="1" applyFont="1" applyFill="1" applyBorder="1" applyAlignment="1" applyProtection="1">
      <alignment horizontal="center"/>
      <protection locked="0"/>
    </xf>
    <xf numFmtId="14" fontId="35" fillId="0" borderId="11" xfId="0" applyNumberFormat="1" applyFont="1" applyBorder="1" applyAlignment="1" applyProtection="1">
      <alignment horizontal="left"/>
      <protection locked="0"/>
    </xf>
    <xf numFmtId="14" fontId="8" fillId="8" borderId="51" xfId="0" applyNumberFormat="1" applyFont="1" applyFill="1" applyBorder="1" applyAlignment="1" applyProtection="1">
      <alignment horizontal="center"/>
      <protection locked="0"/>
    </xf>
    <xf numFmtId="14" fontId="8" fillId="8" borderId="49" xfId="0" applyNumberFormat="1" applyFont="1" applyFill="1" applyBorder="1" applyAlignment="1" applyProtection="1">
      <alignment horizontal="center"/>
      <protection locked="0"/>
    </xf>
    <xf numFmtId="14" fontId="8" fillId="8" borderId="53" xfId="0" applyNumberFormat="1" applyFont="1" applyFill="1" applyBorder="1" applyAlignment="1" applyProtection="1">
      <alignment horizontal="center"/>
      <protection locked="0"/>
    </xf>
    <xf numFmtId="14" fontId="8" fillId="8" borderId="50" xfId="0" applyNumberFormat="1" applyFont="1" applyFill="1" applyBorder="1" applyAlignment="1" applyProtection="1">
      <alignment horizontal="center"/>
      <protection locked="0"/>
    </xf>
    <xf numFmtId="14" fontId="35" fillId="0" borderId="65" xfId="0" applyNumberFormat="1" applyFont="1" applyBorder="1" applyAlignment="1" applyProtection="1">
      <alignment horizontal="left"/>
      <protection locked="0"/>
    </xf>
    <xf numFmtId="0" fontId="4" fillId="11" borderId="34" xfId="3" applyNumberFormat="1" applyFont="1" applyFill="1" applyBorder="1" applyAlignment="1" applyProtection="1">
      <alignment vertical="center"/>
      <protection locked="0"/>
    </xf>
    <xf numFmtId="0" fontId="4" fillId="11" borderId="34" xfId="2" applyNumberFormat="1" applyFont="1" applyFill="1" applyBorder="1" applyAlignment="1" applyProtection="1">
      <alignment horizontal="center" vertical="center"/>
      <protection locked="0"/>
    </xf>
    <xf numFmtId="0" fontId="4" fillId="11" borderId="26" xfId="2" applyNumberFormat="1" applyFont="1" applyFill="1" applyBorder="1" applyAlignment="1" applyProtection="1">
      <alignment horizontal="center" vertical="center"/>
      <protection locked="0"/>
    </xf>
    <xf numFmtId="0" fontId="8" fillId="5" borderId="0" xfId="0" applyFont="1" applyFill="1" applyProtection="1">
      <protection locked="0"/>
    </xf>
    <xf numFmtId="0" fontId="4" fillId="9" borderId="34" xfId="0" applyFont="1" applyFill="1" applyBorder="1" applyAlignment="1" applyProtection="1">
      <alignment horizontal="center" vertical="center"/>
      <protection locked="0"/>
    </xf>
    <xf numFmtId="0" fontId="4" fillId="9" borderId="2" xfId="0" applyFont="1" applyFill="1" applyBorder="1" applyAlignment="1" applyProtection="1">
      <alignment horizontal="center" vertical="center"/>
      <protection locked="0"/>
    </xf>
    <xf numFmtId="0" fontId="4" fillId="9" borderId="1" xfId="0" applyFont="1" applyFill="1" applyBorder="1" applyAlignment="1" applyProtection="1">
      <alignment horizontal="center" vertical="center"/>
      <protection locked="0"/>
    </xf>
    <xf numFmtId="0" fontId="4" fillId="9" borderId="32" xfId="0" applyFont="1" applyFill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11" borderId="34" xfId="0" applyFont="1" applyFill="1" applyBorder="1" applyAlignment="1" applyProtection="1">
      <alignment horizontal="center" vertical="center"/>
      <protection locked="0"/>
    </xf>
    <xf numFmtId="0" fontId="4" fillId="11" borderId="26" xfId="0" applyFont="1" applyFill="1" applyBorder="1" applyAlignment="1" applyProtection="1">
      <alignment horizontal="center" vertical="center"/>
      <protection locked="0"/>
    </xf>
    <xf numFmtId="0" fontId="4" fillId="11" borderId="41" xfId="0" applyFont="1" applyFill="1" applyBorder="1" applyAlignment="1" applyProtection="1">
      <alignment horizontal="center" vertical="center"/>
      <protection locked="0"/>
    </xf>
    <xf numFmtId="0" fontId="4" fillId="9" borderId="26" xfId="0" applyFont="1" applyFill="1" applyBorder="1" applyAlignment="1" applyProtection="1">
      <alignment horizontal="center" vertical="center"/>
      <protection locked="0"/>
    </xf>
    <xf numFmtId="0" fontId="4" fillId="11" borderId="1" xfId="0" applyFont="1" applyFill="1" applyBorder="1" applyAlignment="1" applyProtection="1">
      <alignment horizontal="center" vertical="center"/>
      <protection locked="0"/>
    </xf>
    <xf numFmtId="0" fontId="4" fillId="11" borderId="32" xfId="0" applyFont="1" applyFill="1" applyBorder="1" applyAlignment="1" applyProtection="1">
      <alignment horizontal="center" vertical="center"/>
      <protection locked="0"/>
    </xf>
    <xf numFmtId="0" fontId="38" fillId="0" borderId="15" xfId="0" applyFont="1" applyBorder="1" applyAlignment="1" applyProtection="1">
      <alignment horizontal="left"/>
      <protection locked="0"/>
    </xf>
    <xf numFmtId="0" fontId="4" fillId="8" borderId="34" xfId="0" applyFont="1" applyFill="1" applyBorder="1" applyAlignment="1" applyProtection="1">
      <alignment horizontal="center" vertical="center"/>
      <protection locked="0"/>
    </xf>
    <xf numFmtId="0" fontId="4" fillId="8" borderId="26" xfId="0" applyFont="1" applyFill="1" applyBorder="1" applyAlignment="1" applyProtection="1">
      <alignment horizontal="center" vertical="center"/>
      <protection locked="0"/>
    </xf>
    <xf numFmtId="0" fontId="4" fillId="8" borderId="32" xfId="0" applyFont="1" applyFill="1" applyBorder="1" applyAlignment="1" applyProtection="1">
      <alignment horizontal="center" vertical="center"/>
      <protection locked="0"/>
    </xf>
    <xf numFmtId="167" fontId="4" fillId="11" borderId="26" xfId="3" applyFont="1" applyFill="1" applyBorder="1" applyAlignment="1" applyProtection="1">
      <alignment horizontal="center" vertical="center"/>
      <protection locked="0"/>
    </xf>
    <xf numFmtId="9" fontId="5" fillId="11" borderId="26" xfId="2" applyFont="1" applyFill="1" applyBorder="1" applyAlignment="1" applyProtection="1">
      <alignment horizontal="center"/>
      <protection locked="0"/>
    </xf>
    <xf numFmtId="9" fontId="5" fillId="9" borderId="1" xfId="2" applyFont="1" applyFill="1" applyBorder="1" applyAlignment="1" applyProtection="1">
      <alignment horizontal="center"/>
      <protection locked="0"/>
    </xf>
    <xf numFmtId="167" fontId="4" fillId="9" borderId="2" xfId="3" applyFont="1" applyFill="1" applyBorder="1" applyAlignment="1" applyProtection="1">
      <alignment horizontal="center" vertical="center"/>
      <protection locked="0"/>
    </xf>
    <xf numFmtId="9" fontId="5" fillId="9" borderId="2" xfId="2" applyFont="1" applyFill="1" applyBorder="1" applyAlignment="1" applyProtection="1">
      <alignment horizontal="center"/>
      <protection locked="0"/>
    </xf>
    <xf numFmtId="9" fontId="5" fillId="8" borderId="26" xfId="2" applyFont="1" applyFill="1" applyBorder="1" applyAlignment="1" applyProtection="1">
      <alignment horizontal="center"/>
      <protection locked="0"/>
    </xf>
    <xf numFmtId="14" fontId="8" fillId="9" borderId="57" xfId="0" applyNumberFormat="1" applyFont="1" applyFill="1" applyBorder="1" applyAlignment="1" applyProtection="1">
      <alignment horizontal="center"/>
      <protection locked="0"/>
    </xf>
    <xf numFmtId="14" fontId="8" fillId="9" borderId="67" xfId="0" applyNumberFormat="1" applyFont="1" applyFill="1" applyBorder="1" applyAlignment="1" applyProtection="1">
      <alignment horizontal="center"/>
      <protection locked="0"/>
    </xf>
    <xf numFmtId="14" fontId="8" fillId="9" borderId="61" xfId="0" applyNumberFormat="1" applyFont="1" applyFill="1" applyBorder="1" applyAlignment="1" applyProtection="1">
      <alignment horizontal="center"/>
      <protection locked="0"/>
    </xf>
    <xf numFmtId="14" fontId="8" fillId="0" borderId="65" xfId="0" applyNumberFormat="1" applyFont="1" applyBorder="1" applyAlignment="1" applyProtection="1">
      <alignment horizontal="center"/>
      <protection locked="0"/>
    </xf>
    <xf numFmtId="14" fontId="8" fillId="11" borderId="64" xfId="0" applyNumberFormat="1" applyFont="1" applyFill="1" applyBorder="1" applyAlignment="1" applyProtection="1">
      <alignment horizontal="center"/>
      <protection locked="0"/>
    </xf>
    <xf numFmtId="14" fontId="8" fillId="11" borderId="57" xfId="0" applyNumberFormat="1" applyFont="1" applyFill="1" applyBorder="1" applyAlignment="1" applyProtection="1">
      <alignment horizontal="center"/>
      <protection locked="0"/>
    </xf>
    <xf numFmtId="14" fontId="8" fillId="11" borderId="61" xfId="0" applyNumberFormat="1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/>
      <protection locked="0"/>
    </xf>
    <xf numFmtId="14" fontId="8" fillId="11" borderId="67" xfId="0" applyNumberFormat="1" applyFont="1" applyFill="1" applyBorder="1" applyAlignment="1" applyProtection="1">
      <alignment horizontal="center"/>
      <protection locked="0"/>
    </xf>
    <xf numFmtId="14" fontId="8" fillId="0" borderId="58" xfId="0" applyNumberFormat="1" applyFont="1" applyBorder="1" applyAlignment="1" applyProtection="1">
      <alignment horizontal="center"/>
      <protection locked="0"/>
    </xf>
    <xf numFmtId="14" fontId="8" fillId="9" borderId="59" xfId="0" applyNumberFormat="1" applyFont="1" applyFill="1" applyBorder="1" applyAlignment="1" applyProtection="1">
      <alignment horizontal="center"/>
      <protection locked="0"/>
    </xf>
    <xf numFmtId="14" fontId="8" fillId="8" borderId="64" xfId="0" applyNumberFormat="1" applyFont="1" applyFill="1" applyBorder="1" applyAlignment="1" applyProtection="1">
      <alignment horizontal="center"/>
      <protection locked="0"/>
    </xf>
    <xf numFmtId="14" fontId="8" fillId="8" borderId="57" xfId="0" applyNumberFormat="1" applyFont="1" applyFill="1" applyBorder="1" applyAlignment="1" applyProtection="1">
      <alignment horizontal="center"/>
      <protection locked="0"/>
    </xf>
    <xf numFmtId="14" fontId="8" fillId="8" borderId="67" xfId="0" applyNumberFormat="1" applyFont="1" applyFill="1" applyBorder="1" applyAlignment="1" applyProtection="1">
      <alignment horizontal="center"/>
      <protection locked="0"/>
    </xf>
    <xf numFmtId="14" fontId="8" fillId="8" borderId="61" xfId="0" applyNumberFormat="1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 vertical="center"/>
      <protection locked="0"/>
    </xf>
    <xf numFmtId="0" fontId="4" fillId="9" borderId="55" xfId="0" applyFont="1" applyFill="1" applyBorder="1" applyAlignment="1" applyProtection="1">
      <alignment horizontal="center"/>
      <protection locked="0"/>
    </xf>
    <xf numFmtId="0" fontId="4" fillId="9" borderId="66" xfId="0" applyFont="1" applyFill="1" applyBorder="1" applyAlignment="1" applyProtection="1">
      <alignment horizontal="center"/>
      <protection locked="0"/>
    </xf>
    <xf numFmtId="0" fontId="4" fillId="9" borderId="60" xfId="0" applyFont="1" applyFill="1" applyBorder="1" applyAlignment="1" applyProtection="1">
      <alignment horizontal="center"/>
      <protection locked="0"/>
    </xf>
    <xf numFmtId="0" fontId="4" fillId="0" borderId="62" xfId="0" applyFont="1" applyBorder="1" applyAlignment="1" applyProtection="1">
      <alignment horizontal="center"/>
      <protection locked="0"/>
    </xf>
    <xf numFmtId="0" fontId="4" fillId="11" borderId="63" xfId="0" applyFont="1" applyFill="1" applyBorder="1" applyAlignment="1" applyProtection="1">
      <alignment horizontal="center"/>
      <protection locked="0"/>
    </xf>
    <xf numFmtId="0" fontId="4" fillId="11" borderId="55" xfId="0" applyFont="1" applyFill="1" applyBorder="1" applyAlignment="1" applyProtection="1">
      <alignment horizontal="center"/>
      <protection locked="0"/>
    </xf>
    <xf numFmtId="0" fontId="4" fillId="11" borderId="60" xfId="0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/>
      <protection locked="0"/>
    </xf>
    <xf numFmtId="0" fontId="5" fillId="0" borderId="62" xfId="0" applyFont="1" applyBorder="1" applyAlignment="1" applyProtection="1">
      <alignment horizontal="center"/>
      <protection locked="0"/>
    </xf>
    <xf numFmtId="0" fontId="4" fillId="11" borderId="66" xfId="0" applyFont="1" applyFill="1" applyBorder="1" applyAlignment="1" applyProtection="1">
      <alignment horizontal="center"/>
      <protection locked="0"/>
    </xf>
    <xf numFmtId="0" fontId="4" fillId="0" borderId="56" xfId="0" applyFont="1" applyBorder="1" applyAlignment="1" applyProtection="1">
      <alignment horizontal="center"/>
      <protection locked="0"/>
    </xf>
    <xf numFmtId="0" fontId="4" fillId="9" borderId="54" xfId="0" applyFont="1" applyFill="1" applyBorder="1" applyAlignment="1" applyProtection="1">
      <alignment horizontal="center"/>
      <protection locked="0"/>
    </xf>
    <xf numFmtId="0" fontId="35" fillId="0" borderId="62" xfId="0" applyFont="1" applyBorder="1" applyAlignment="1" applyProtection="1">
      <alignment horizontal="left"/>
      <protection locked="0"/>
    </xf>
    <xf numFmtId="0" fontId="4" fillId="8" borderId="63" xfId="0" applyFont="1" applyFill="1" applyBorder="1" applyAlignment="1" applyProtection="1">
      <alignment horizontal="center"/>
      <protection locked="0"/>
    </xf>
    <xf numFmtId="0" fontId="4" fillId="8" borderId="55" xfId="0" applyFont="1" applyFill="1" applyBorder="1" applyAlignment="1" applyProtection="1">
      <alignment horizontal="center"/>
      <protection locked="0"/>
    </xf>
    <xf numFmtId="0" fontId="4" fillId="8" borderId="66" xfId="0" applyFont="1" applyFill="1" applyBorder="1" applyAlignment="1" applyProtection="1">
      <alignment horizontal="center"/>
      <protection locked="0"/>
    </xf>
    <xf numFmtId="0" fontId="4" fillId="8" borderId="60" xfId="0" applyFont="1" applyFill="1" applyBorder="1" applyAlignment="1" applyProtection="1">
      <alignment horizontal="center"/>
      <protection locked="0"/>
    </xf>
    <xf numFmtId="0" fontId="6" fillId="14" borderId="20" xfId="0" applyFont="1" applyFill="1" applyBorder="1" applyProtection="1">
      <protection locked="0"/>
    </xf>
    <xf numFmtId="167" fontId="6" fillId="14" borderId="22" xfId="0" applyNumberFormat="1" applyFont="1" applyFill="1" applyBorder="1" applyProtection="1">
      <protection locked="0"/>
    </xf>
    <xf numFmtId="167" fontId="6" fillId="14" borderId="22" xfId="3" applyFont="1" applyFill="1" applyBorder="1" applyProtection="1">
      <protection locked="0"/>
    </xf>
    <xf numFmtId="167" fontId="6" fillId="14" borderId="25" xfId="0" applyNumberFormat="1" applyFont="1" applyFill="1" applyBorder="1" applyProtection="1">
      <protection locked="0"/>
    </xf>
    <xf numFmtId="167" fontId="39" fillId="14" borderId="22" xfId="0" applyNumberFormat="1" applyFont="1" applyFill="1" applyBorder="1" applyProtection="1">
      <protection locked="0"/>
    </xf>
    <xf numFmtId="0" fontId="6" fillId="15" borderId="20" xfId="0" applyFont="1" applyFill="1" applyBorder="1" applyProtection="1">
      <protection locked="0"/>
    </xf>
    <xf numFmtId="167" fontId="6" fillId="15" borderId="22" xfId="0" applyNumberFormat="1" applyFont="1" applyFill="1" applyBorder="1" applyProtection="1">
      <protection locked="0"/>
    </xf>
    <xf numFmtId="167" fontId="6" fillId="15" borderId="25" xfId="0" applyNumberFormat="1" applyFont="1" applyFill="1" applyBorder="1" applyProtection="1">
      <protection locked="0"/>
    </xf>
    <xf numFmtId="167" fontId="4" fillId="8" borderId="26" xfId="3" applyFont="1" applyFill="1" applyBorder="1" applyAlignment="1" applyProtection="1">
      <alignment horizontal="center" vertical="center"/>
      <protection locked="0"/>
    </xf>
    <xf numFmtId="167" fontId="4" fillId="9" borderId="2" xfId="3" applyFont="1" applyFill="1" applyBorder="1" applyAlignment="1" applyProtection="1">
      <alignment horizontal="center"/>
      <protection locked="0"/>
    </xf>
    <xf numFmtId="168" fontId="7" fillId="0" borderId="62" xfId="0" applyNumberFormat="1" applyFont="1" applyBorder="1" applyAlignment="1" applyProtection="1">
      <alignment horizontal="center" vertical="center" wrapText="1"/>
      <protection locked="0"/>
    </xf>
    <xf numFmtId="168" fontId="7" fillId="0" borderId="11" xfId="0" applyNumberFormat="1" applyFont="1" applyBorder="1" applyAlignment="1" applyProtection="1">
      <alignment horizontal="center" vertical="center" wrapText="1"/>
      <protection locked="0"/>
    </xf>
    <xf numFmtId="168" fontId="8" fillId="2" borderId="10" xfId="0" applyNumberFormat="1" applyFont="1" applyFill="1" applyBorder="1" applyAlignment="1" applyProtection="1">
      <alignment horizontal="center" vertical="center" wrapText="1"/>
      <protection locked="0"/>
    </xf>
    <xf numFmtId="0" fontId="4" fillId="9" borderId="68" xfId="0" applyFont="1" applyFill="1" applyBorder="1" applyAlignment="1" applyProtection="1">
      <alignment horizontal="center" vertical="center"/>
      <protection locked="0"/>
    </xf>
    <xf numFmtId="0" fontId="4" fillId="9" borderId="69" xfId="0" applyFont="1" applyFill="1" applyBorder="1" applyAlignment="1" applyProtection="1">
      <alignment horizontal="center"/>
      <protection locked="0"/>
    </xf>
    <xf numFmtId="0" fontId="4" fillId="9" borderId="70" xfId="0" applyFont="1" applyFill="1" applyBorder="1" applyAlignment="1" applyProtection="1">
      <alignment horizontal="center"/>
      <protection locked="0"/>
    </xf>
    <xf numFmtId="0" fontId="4" fillId="9" borderId="71" xfId="0" applyFont="1" applyFill="1" applyBorder="1" applyAlignment="1" applyProtection="1">
      <alignment horizontal="center"/>
      <protection locked="0"/>
    </xf>
    <xf numFmtId="0" fontId="4" fillId="0" borderId="10" xfId="0" applyFont="1" applyBorder="1" applyAlignment="1" applyProtection="1">
      <alignment horizontal="center"/>
      <protection locked="0"/>
    </xf>
    <xf numFmtId="0" fontId="4" fillId="11" borderId="68" xfId="0" applyFont="1" applyFill="1" applyBorder="1" applyAlignment="1" applyProtection="1">
      <alignment horizontal="center"/>
      <protection locked="0"/>
    </xf>
    <xf numFmtId="0" fontId="4" fillId="11" borderId="69" xfId="0" applyFont="1" applyFill="1" applyBorder="1" applyAlignment="1" applyProtection="1">
      <alignment horizontal="center"/>
      <protection locked="0"/>
    </xf>
    <xf numFmtId="0" fontId="4" fillId="11" borderId="71" xfId="0" applyFont="1" applyFill="1" applyBorder="1" applyAlignment="1" applyProtection="1">
      <alignment horizontal="center"/>
      <protection locked="0"/>
    </xf>
    <xf numFmtId="0" fontId="4" fillId="9" borderId="68" xfId="0" applyFont="1" applyFill="1" applyBorder="1" applyAlignment="1" applyProtection="1">
      <alignment horizontal="center"/>
      <protection locked="0"/>
    </xf>
    <xf numFmtId="0" fontId="5" fillId="0" borderId="10" xfId="0" applyFont="1" applyBorder="1" applyAlignment="1" applyProtection="1">
      <alignment horizontal="center"/>
      <protection locked="0"/>
    </xf>
    <xf numFmtId="0" fontId="4" fillId="11" borderId="70" xfId="0" applyFont="1" applyFill="1" applyBorder="1" applyAlignment="1" applyProtection="1">
      <alignment horizontal="center"/>
      <protection locked="0"/>
    </xf>
    <xf numFmtId="0" fontId="4" fillId="0" borderId="42" xfId="0" applyFont="1" applyBorder="1" applyAlignment="1" applyProtection="1">
      <alignment horizontal="center"/>
      <protection locked="0"/>
    </xf>
    <xf numFmtId="0" fontId="4" fillId="9" borderId="4" xfId="0" applyFont="1" applyFill="1" applyBorder="1" applyAlignment="1" applyProtection="1">
      <alignment horizontal="center"/>
      <protection locked="0"/>
    </xf>
    <xf numFmtId="0" fontId="4" fillId="8" borderId="68" xfId="0" applyFont="1" applyFill="1" applyBorder="1" applyAlignment="1" applyProtection="1">
      <alignment horizontal="center"/>
      <protection locked="0"/>
    </xf>
    <xf numFmtId="0" fontId="4" fillId="8" borderId="69" xfId="0" applyFont="1" applyFill="1" applyBorder="1" applyAlignment="1" applyProtection="1">
      <alignment horizontal="center"/>
      <protection locked="0"/>
    </xf>
    <xf numFmtId="0" fontId="4" fillId="8" borderId="70" xfId="0" applyFont="1" applyFill="1" applyBorder="1" applyAlignment="1" applyProtection="1">
      <alignment horizontal="center"/>
      <protection locked="0"/>
    </xf>
    <xf numFmtId="0" fontId="4" fillId="8" borderId="71" xfId="0" applyFont="1" applyFill="1" applyBorder="1" applyAlignment="1" applyProtection="1">
      <alignment horizontal="center"/>
      <protection locked="0"/>
    </xf>
    <xf numFmtId="168" fontId="4" fillId="11" borderId="2" xfId="3" applyNumberFormat="1" applyFont="1" applyFill="1" applyBorder="1" applyAlignment="1" applyProtection="1">
      <alignment horizontal="center"/>
      <protection locked="0"/>
    </xf>
    <xf numFmtId="0" fontId="4" fillId="9" borderId="55" xfId="0" applyFont="1" applyFill="1" applyBorder="1" applyAlignment="1" applyProtection="1">
      <alignment horizontal="left"/>
      <protection locked="0"/>
    </xf>
    <xf numFmtId="0" fontId="4" fillId="8" borderId="72" xfId="0" applyFont="1" applyFill="1" applyBorder="1" applyAlignment="1" applyProtection="1">
      <alignment horizontal="center"/>
      <protection locked="0"/>
    </xf>
    <xf numFmtId="0" fontId="5" fillId="8" borderId="70" xfId="0" applyFont="1" applyFill="1" applyBorder="1" applyAlignment="1" applyProtection="1">
      <alignment horizontal="center"/>
      <protection locked="0"/>
    </xf>
    <xf numFmtId="1" fontId="4" fillId="9" borderId="34" xfId="0" applyNumberFormat="1" applyFont="1" applyFill="1" applyBorder="1" applyAlignment="1" applyProtection="1">
      <alignment horizontal="center" vertical="center"/>
      <protection locked="0"/>
    </xf>
    <xf numFmtId="168" fontId="15" fillId="0" borderId="38" xfId="0" applyNumberFormat="1" applyFont="1" applyBorder="1" applyAlignment="1" applyProtection="1">
      <alignment horizontal="center" vertical="center" wrapText="1"/>
      <protection locked="0"/>
    </xf>
    <xf numFmtId="168" fontId="15" fillId="0" borderId="16" xfId="0" applyNumberFormat="1" applyFont="1" applyBorder="1" applyAlignment="1" applyProtection="1">
      <alignment horizontal="center" vertical="center" wrapText="1"/>
      <protection locked="0"/>
    </xf>
    <xf numFmtId="168" fontId="8" fillId="8" borderId="49" xfId="0" applyNumberFormat="1" applyFont="1" applyFill="1" applyBorder="1" applyAlignment="1" applyProtection="1">
      <alignment horizontal="center"/>
      <protection locked="0"/>
    </xf>
    <xf numFmtId="168" fontId="8" fillId="9" borderId="12" xfId="0" applyNumberFormat="1" applyFont="1" applyFill="1" applyBorder="1" applyAlignment="1" applyProtection="1">
      <alignment horizontal="center"/>
      <protection locked="0"/>
    </xf>
    <xf numFmtId="15" fontId="18" fillId="5" borderId="0" xfId="0" applyNumberFormat="1" applyFont="1" applyFill="1" applyProtection="1">
      <protection locked="0"/>
    </xf>
    <xf numFmtId="14" fontId="5" fillId="11" borderId="57" xfId="0" applyNumberFormat="1" applyFont="1" applyFill="1" applyBorder="1" applyAlignment="1" applyProtection="1">
      <alignment horizontal="center"/>
      <protection locked="0"/>
    </xf>
    <xf numFmtId="167" fontId="5" fillId="5" borderId="0" xfId="0" applyNumberFormat="1" applyFont="1" applyFill="1" applyProtection="1">
      <protection locked="0"/>
    </xf>
    <xf numFmtId="167" fontId="5" fillId="8" borderId="76" xfId="3" applyFont="1" applyFill="1" applyBorder="1" applyAlignment="1" applyProtection="1">
      <alignment horizontal="center"/>
      <protection locked="0"/>
    </xf>
    <xf numFmtId="167" fontId="5" fillId="8" borderId="23" xfId="3" applyFont="1" applyFill="1" applyBorder="1" applyAlignment="1" applyProtection="1">
      <alignment horizontal="center"/>
      <protection locked="0"/>
    </xf>
    <xf numFmtId="0" fontId="4" fillId="8" borderId="24" xfId="0" applyFont="1" applyFill="1" applyBorder="1" applyAlignment="1" applyProtection="1">
      <alignment horizontal="center"/>
      <protection locked="0"/>
    </xf>
    <xf numFmtId="0" fontId="4" fillId="8" borderId="19" xfId="0" applyFont="1" applyFill="1" applyBorder="1" applyAlignment="1" applyProtection="1">
      <alignment horizontal="center"/>
      <protection locked="0"/>
    </xf>
    <xf numFmtId="168" fontId="4" fillId="8" borderId="78" xfId="0" applyNumberFormat="1" applyFont="1" applyFill="1" applyBorder="1" applyAlignment="1" applyProtection="1">
      <alignment horizontal="center"/>
      <protection locked="0"/>
    </xf>
    <xf numFmtId="168" fontId="4" fillId="8" borderId="77" xfId="0" applyNumberFormat="1" applyFont="1" applyFill="1" applyBorder="1" applyAlignment="1" applyProtection="1">
      <alignment horizontal="center"/>
      <protection locked="0"/>
    </xf>
    <xf numFmtId="9" fontId="5" fillId="11" borderId="1" xfId="2" applyFont="1" applyFill="1" applyBorder="1" applyAlignment="1" applyProtection="1">
      <alignment horizontal="center"/>
      <protection locked="0"/>
    </xf>
    <xf numFmtId="0" fontId="5" fillId="0" borderId="77" xfId="0" applyFont="1" applyBorder="1" applyAlignment="1" applyProtection="1">
      <alignment horizontal="center"/>
      <protection locked="0"/>
    </xf>
    <xf numFmtId="0" fontId="4" fillId="9" borderId="24" xfId="0" applyFont="1" applyFill="1" applyBorder="1" applyAlignment="1" applyProtection="1">
      <alignment horizontal="center"/>
      <protection locked="0"/>
    </xf>
    <xf numFmtId="0" fontId="5" fillId="5" borderId="2" xfId="0" applyFont="1" applyFill="1" applyBorder="1" applyProtection="1">
      <protection locked="0"/>
    </xf>
    <xf numFmtId="0" fontId="6" fillId="5" borderId="2" xfId="0" applyFont="1" applyFill="1" applyBorder="1" applyAlignment="1" applyProtection="1">
      <alignment horizontal="center" vertical="center"/>
      <protection locked="0"/>
    </xf>
    <xf numFmtId="15" fontId="5" fillId="5" borderId="2" xfId="0" applyNumberFormat="1" applyFont="1" applyFill="1" applyBorder="1" applyAlignment="1" applyProtection="1">
      <alignment horizontal="center" vertical="center"/>
      <protection locked="0"/>
    </xf>
    <xf numFmtId="1" fontId="5" fillId="5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pivotButton="1"/>
    <xf numFmtId="14" fontId="4" fillId="9" borderId="49" xfId="0" applyNumberFormat="1" applyFont="1" applyFill="1" applyBorder="1" applyAlignment="1" applyProtection="1">
      <alignment horizontal="center"/>
      <protection locked="0"/>
    </xf>
    <xf numFmtId="14" fontId="4" fillId="9" borderId="51" xfId="0" applyNumberFormat="1" applyFont="1" applyFill="1" applyBorder="1" applyAlignment="1" applyProtection="1">
      <alignment horizontal="center"/>
      <protection locked="0"/>
    </xf>
    <xf numFmtId="169" fontId="33" fillId="7" borderId="23" xfId="0" applyNumberFormat="1" applyFont="1" applyFill="1" applyBorder="1" applyAlignment="1" applyProtection="1">
      <alignment horizontal="left" vertical="center"/>
      <protection locked="0"/>
    </xf>
    <xf numFmtId="14" fontId="4" fillId="11" borderId="49" xfId="0" applyNumberFormat="1" applyFont="1" applyFill="1" applyBorder="1" applyAlignment="1" applyProtection="1">
      <alignment horizontal="center"/>
      <protection locked="0"/>
    </xf>
    <xf numFmtId="168" fontId="5" fillId="2" borderId="5" xfId="0" applyNumberFormat="1" applyFont="1" applyFill="1" applyBorder="1" applyAlignment="1" applyProtection="1">
      <alignment wrapText="1"/>
      <protection locked="0"/>
    </xf>
    <xf numFmtId="0" fontId="5" fillId="0" borderId="48" xfId="0" applyFont="1" applyBorder="1" applyAlignment="1" applyProtection="1">
      <alignment vertical="center"/>
      <protection locked="0"/>
    </xf>
    <xf numFmtId="168" fontId="6" fillId="0" borderId="48" xfId="0" applyNumberFormat="1" applyFont="1" applyBorder="1" applyAlignment="1" applyProtection="1">
      <alignment vertical="center"/>
      <protection locked="0"/>
    </xf>
    <xf numFmtId="168" fontId="6" fillId="0" borderId="8" xfId="0" applyNumberFormat="1" applyFont="1" applyBorder="1" applyAlignment="1" applyProtection="1">
      <alignment horizontal="center" vertical="center"/>
      <protection locked="0"/>
    </xf>
    <xf numFmtId="14" fontId="4" fillId="9" borderId="51" xfId="0" applyNumberFormat="1" applyFont="1" applyFill="1" applyBorder="1" applyAlignment="1" applyProtection="1">
      <alignment horizontal="center" vertical="center"/>
      <protection locked="0"/>
    </xf>
    <xf numFmtId="14" fontId="4" fillId="9" borderId="53" xfId="0" applyNumberFormat="1" applyFont="1" applyFill="1" applyBorder="1" applyAlignment="1" applyProtection="1">
      <alignment horizontal="center"/>
      <protection locked="0"/>
    </xf>
    <xf numFmtId="14" fontId="4" fillId="9" borderId="50" xfId="0" applyNumberFormat="1" applyFont="1" applyFill="1" applyBorder="1" applyAlignment="1" applyProtection="1">
      <alignment horizontal="center"/>
      <protection locked="0"/>
    </xf>
    <xf numFmtId="14" fontId="4" fillId="0" borderId="11" xfId="0" applyNumberFormat="1" applyFont="1" applyBorder="1" applyAlignment="1" applyProtection="1">
      <alignment horizontal="center"/>
      <protection locked="0"/>
    </xf>
    <xf numFmtId="14" fontId="4" fillId="11" borderId="51" xfId="0" applyNumberFormat="1" applyFont="1" applyFill="1" applyBorder="1" applyAlignment="1" applyProtection="1">
      <alignment horizontal="center"/>
      <protection locked="0"/>
    </xf>
    <xf numFmtId="14" fontId="4" fillId="11" borderId="50" xfId="0" applyNumberFormat="1" applyFont="1" applyFill="1" applyBorder="1" applyAlignment="1" applyProtection="1">
      <alignment horizontal="center"/>
      <protection locked="0"/>
    </xf>
    <xf numFmtId="14" fontId="5" fillId="0" borderId="11" xfId="0" applyNumberFormat="1" applyFont="1" applyBorder="1" applyAlignment="1" applyProtection="1">
      <alignment horizontal="center"/>
      <protection locked="0"/>
    </xf>
    <xf numFmtId="14" fontId="4" fillId="0" borderId="17" xfId="0" applyNumberFormat="1" applyFont="1" applyBorder="1" applyAlignment="1" applyProtection="1">
      <alignment horizontal="center"/>
      <protection locked="0"/>
    </xf>
    <xf numFmtId="14" fontId="4" fillId="9" borderId="12" xfId="0" applyNumberFormat="1" applyFont="1" applyFill="1" applyBorder="1" applyAlignment="1" applyProtection="1">
      <alignment horizontal="center"/>
      <protection locked="0"/>
    </xf>
    <xf numFmtId="14" fontId="4" fillId="9" borderId="13" xfId="0" applyNumberFormat="1" applyFont="1" applyFill="1" applyBorder="1" applyAlignment="1" applyProtection="1">
      <alignment horizontal="center"/>
      <protection locked="0"/>
    </xf>
    <xf numFmtId="14" fontId="4" fillId="11" borderId="53" xfId="0" applyNumberFormat="1" applyFont="1" applyFill="1" applyBorder="1" applyAlignment="1" applyProtection="1">
      <alignment horizontal="center"/>
      <protection locked="0"/>
    </xf>
    <xf numFmtId="14" fontId="4" fillId="8" borderId="51" xfId="0" applyNumberFormat="1" applyFont="1" applyFill="1" applyBorder="1" applyAlignment="1" applyProtection="1">
      <alignment horizontal="center"/>
      <protection locked="0"/>
    </xf>
    <xf numFmtId="14" fontId="4" fillId="8" borderId="49" xfId="0" applyNumberFormat="1" applyFont="1" applyFill="1" applyBorder="1" applyAlignment="1" applyProtection="1">
      <alignment horizontal="center"/>
      <protection locked="0"/>
    </xf>
    <xf numFmtId="14" fontId="4" fillId="8" borderId="53" xfId="0" applyNumberFormat="1" applyFont="1" applyFill="1" applyBorder="1" applyAlignment="1" applyProtection="1">
      <alignment horizontal="center"/>
      <protection locked="0"/>
    </xf>
    <xf numFmtId="14" fontId="4" fillId="8" borderId="50" xfId="0" applyNumberFormat="1" applyFont="1" applyFill="1" applyBorder="1" applyAlignment="1" applyProtection="1">
      <alignment horizontal="center"/>
      <protection locked="0"/>
    </xf>
    <xf numFmtId="0" fontId="33" fillId="7" borderId="21" xfId="0" applyFont="1" applyFill="1" applyBorder="1" applyProtection="1">
      <protection locked="0"/>
    </xf>
    <xf numFmtId="0" fontId="33" fillId="7" borderId="18" xfId="0" applyFont="1" applyFill="1" applyBorder="1" applyProtection="1">
      <protection locked="0"/>
    </xf>
    <xf numFmtId="0" fontId="33" fillId="7" borderId="19" xfId="0" applyFont="1" applyFill="1" applyBorder="1" applyProtection="1">
      <protection locked="0"/>
    </xf>
    <xf numFmtId="0" fontId="33" fillId="7" borderId="20" xfId="0" applyFont="1" applyFill="1" applyBorder="1" applyProtection="1">
      <protection locked="0"/>
    </xf>
    <xf numFmtId="169" fontId="33" fillId="7" borderId="24" xfId="0" applyNumberFormat="1" applyFont="1" applyFill="1" applyBorder="1" applyAlignment="1" applyProtection="1">
      <alignment vertical="center"/>
      <protection locked="0"/>
    </xf>
    <xf numFmtId="169" fontId="33" fillId="7" borderId="25" xfId="0" applyNumberFormat="1" applyFont="1" applyFill="1" applyBorder="1" applyAlignment="1" applyProtection="1">
      <alignment vertical="center"/>
      <protection locked="0"/>
    </xf>
    <xf numFmtId="15" fontId="6" fillId="5" borderId="2" xfId="0" applyNumberFormat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6" fillId="5" borderId="0" xfId="0" applyFont="1" applyFill="1" applyAlignment="1" applyProtection="1">
      <alignment horizontal="center" vertical="center"/>
      <protection locked="0"/>
    </xf>
    <xf numFmtId="9" fontId="19" fillId="5" borderId="24" xfId="2" applyFont="1" applyFill="1" applyBorder="1" applyAlignment="1">
      <alignment horizontal="center" vertical="center"/>
    </xf>
    <xf numFmtId="15" fontId="13" fillId="5" borderId="2" xfId="0" applyNumberFormat="1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 vertical="center"/>
    </xf>
    <xf numFmtId="9" fontId="19" fillId="5" borderId="2" xfId="2" applyFont="1" applyFill="1" applyBorder="1" applyAlignment="1" applyProtection="1">
      <alignment horizontal="center" vertical="center"/>
      <protection locked="0"/>
    </xf>
    <xf numFmtId="0" fontId="5" fillId="5" borderId="2" xfId="0" applyFont="1" applyFill="1" applyBorder="1" applyAlignment="1">
      <alignment horizontal="center" vertical="center" wrapText="1"/>
    </xf>
    <xf numFmtId="167" fontId="6" fillId="5" borderId="0" xfId="0" applyNumberFormat="1" applyFont="1" applyFill="1" applyAlignment="1">
      <alignment horizontal="center" vertical="center"/>
    </xf>
    <xf numFmtId="15" fontId="17" fillId="5" borderId="2" xfId="0" applyNumberFormat="1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/>
    </xf>
    <xf numFmtId="0" fontId="6" fillId="7" borderId="2" xfId="0" applyFont="1" applyFill="1" applyBorder="1" applyAlignment="1" applyProtection="1">
      <alignment horizontal="center" vertical="center"/>
      <protection locked="0"/>
    </xf>
    <xf numFmtId="0" fontId="6" fillId="7" borderId="2" xfId="0" applyFont="1" applyFill="1" applyBorder="1" applyAlignment="1" applyProtection="1">
      <alignment horizontal="center" vertical="center" wrapText="1"/>
      <protection locked="0"/>
    </xf>
    <xf numFmtId="14" fontId="33" fillId="5" borderId="0" xfId="0" applyNumberFormat="1" applyFont="1" applyFill="1" applyProtection="1">
      <protection locked="0"/>
    </xf>
    <xf numFmtId="0" fontId="16" fillId="5" borderId="11" xfId="0" applyFont="1" applyFill="1" applyBorder="1" applyAlignment="1" applyProtection="1">
      <alignment horizontal="left"/>
      <protection locked="0"/>
    </xf>
    <xf numFmtId="1" fontId="16" fillId="5" borderId="11" xfId="0" applyNumberFormat="1" applyFont="1" applyFill="1" applyBorder="1" applyAlignment="1" applyProtection="1">
      <alignment horizontal="left"/>
      <protection locked="0"/>
    </xf>
    <xf numFmtId="0" fontId="18" fillId="0" borderId="2" xfId="0" applyFont="1" applyBorder="1" applyAlignment="1" applyProtection="1">
      <alignment horizontal="center" vertical="center"/>
      <protection locked="0"/>
    </xf>
    <xf numFmtId="9" fontId="23" fillId="0" borderId="2" xfId="0" applyNumberFormat="1" applyFont="1" applyBorder="1" applyAlignment="1" applyProtection="1">
      <alignment horizontal="center" vertical="center"/>
      <protection locked="0"/>
    </xf>
    <xf numFmtId="167" fontId="23" fillId="0" borderId="2" xfId="0" applyNumberFormat="1" applyFont="1" applyBorder="1" applyAlignment="1" applyProtection="1">
      <alignment horizontal="center" vertical="center"/>
      <protection locked="0"/>
    </xf>
    <xf numFmtId="0" fontId="23" fillId="0" borderId="0" xfId="0" applyFont="1" applyAlignment="1" applyProtection="1">
      <alignment horizontal="center" vertical="center"/>
      <protection locked="0"/>
    </xf>
    <xf numFmtId="15" fontId="23" fillId="0" borderId="2" xfId="0" applyNumberFormat="1" applyFont="1" applyBorder="1" applyAlignment="1" applyProtection="1">
      <alignment horizontal="center" vertical="center"/>
      <protection locked="0"/>
    </xf>
    <xf numFmtId="0" fontId="18" fillId="5" borderId="0" xfId="0" applyFont="1" applyFill="1" applyAlignment="1" applyProtection="1">
      <alignment horizontal="center" vertical="center"/>
      <protection locked="0"/>
    </xf>
    <xf numFmtId="0" fontId="18" fillId="2" borderId="0" xfId="0" applyFont="1" applyFill="1" applyAlignment="1" applyProtection="1">
      <alignment horizontal="center" vertical="center"/>
      <protection locked="0"/>
    </xf>
    <xf numFmtId="15" fontId="23" fillId="0" borderId="2" xfId="0" quotePrefix="1" applyNumberFormat="1" applyFont="1" applyBorder="1" applyAlignment="1" applyProtection="1">
      <alignment horizontal="center" vertical="center"/>
      <protection locked="0"/>
    </xf>
    <xf numFmtId="14" fontId="18" fillId="0" borderId="0" xfId="0" applyNumberFormat="1" applyFont="1" applyAlignment="1" applyProtection="1">
      <alignment horizontal="center" vertical="center"/>
      <protection locked="0"/>
    </xf>
    <xf numFmtId="15" fontId="21" fillId="0" borderId="2" xfId="0" applyNumberFormat="1" applyFont="1" applyBorder="1" applyAlignment="1" applyProtection="1">
      <alignment horizontal="center" vertical="center"/>
      <protection locked="0"/>
    </xf>
    <xf numFmtId="0" fontId="23" fillId="0" borderId="2" xfId="0" applyFont="1" applyBorder="1" applyAlignment="1" applyProtection="1">
      <alignment horizontal="center" vertical="center"/>
      <protection locked="0"/>
    </xf>
    <xf numFmtId="0" fontId="23" fillId="5" borderId="0" xfId="0" applyFont="1" applyFill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8" fillId="5" borderId="2" xfId="0" applyFont="1" applyFill="1" applyBorder="1"/>
    <xf numFmtId="0" fontId="12" fillId="0" borderId="2" xfId="0" applyFont="1" applyBorder="1"/>
    <xf numFmtId="0" fontId="40" fillId="0" borderId="2" xfId="0" applyFont="1" applyBorder="1"/>
    <xf numFmtId="1" fontId="18" fillId="5" borderId="2" xfId="0" applyNumberFormat="1" applyFont="1" applyFill="1" applyBorder="1" applyAlignment="1">
      <alignment horizontal="center" vertical="center"/>
    </xf>
    <xf numFmtId="14" fontId="41" fillId="9" borderId="51" xfId="0" applyNumberFormat="1" applyFont="1" applyFill="1" applyBorder="1" applyAlignment="1" applyProtection="1">
      <alignment horizontal="center"/>
      <protection locked="0"/>
    </xf>
    <xf numFmtId="0" fontId="15" fillId="14" borderId="19" xfId="0" applyFont="1" applyFill="1" applyBorder="1" applyProtection="1">
      <protection locked="0"/>
    </xf>
    <xf numFmtId="0" fontId="6" fillId="14" borderId="0" xfId="0" applyFont="1" applyFill="1" applyProtection="1">
      <protection locked="0"/>
    </xf>
    <xf numFmtId="0" fontId="6" fillId="14" borderId="24" xfId="0" applyFont="1" applyFill="1" applyBorder="1" applyProtection="1">
      <protection locked="0"/>
    </xf>
    <xf numFmtId="0" fontId="15" fillId="15" borderId="19" xfId="0" applyFont="1" applyFill="1" applyBorder="1" applyProtection="1">
      <protection locked="0"/>
    </xf>
    <xf numFmtId="0" fontId="6" fillId="15" borderId="0" xfId="0" applyFont="1" applyFill="1" applyProtection="1">
      <protection locked="0"/>
    </xf>
    <xf numFmtId="0" fontId="6" fillId="15" borderId="24" xfId="0" applyFont="1" applyFill="1" applyBorder="1" applyProtection="1">
      <protection locked="0"/>
    </xf>
    <xf numFmtId="0" fontId="5" fillId="5" borderId="11" xfId="0" applyFont="1" applyFill="1" applyBorder="1" applyProtection="1">
      <protection locked="0"/>
    </xf>
    <xf numFmtId="0" fontId="35" fillId="0" borderId="6" xfId="0" applyFont="1" applyBorder="1" applyAlignment="1" applyProtection="1">
      <alignment horizontal="left"/>
      <protection locked="0"/>
    </xf>
    <xf numFmtId="0" fontId="42" fillId="0" borderId="0" xfId="0" applyFont="1" applyAlignment="1">
      <alignment vertical="center"/>
    </xf>
    <xf numFmtId="0" fontId="45" fillId="0" borderId="2" xfId="0" applyFont="1" applyBorder="1" applyAlignment="1">
      <alignment vertical="center"/>
    </xf>
    <xf numFmtId="0" fontId="47" fillId="0" borderId="2" xfId="0" applyFont="1" applyBorder="1"/>
    <xf numFmtId="0" fontId="45" fillId="0" borderId="2" xfId="0" applyFont="1" applyBorder="1" applyAlignment="1">
      <alignment vertical="center" wrapText="1"/>
    </xf>
    <xf numFmtId="0" fontId="46" fillId="0" borderId="2" xfId="0" applyFont="1" applyBorder="1" applyAlignment="1">
      <alignment vertical="center" wrapText="1"/>
    </xf>
    <xf numFmtId="16" fontId="0" fillId="0" borderId="2" xfId="0" applyNumberFormat="1" applyBorder="1" applyAlignment="1">
      <alignment vertical="center" wrapText="1"/>
    </xf>
    <xf numFmtId="16" fontId="0" fillId="0" borderId="2" xfId="0" applyNumberFormat="1" applyBorder="1" applyAlignment="1">
      <alignment horizontal="center" vertical="center" wrapText="1"/>
    </xf>
    <xf numFmtId="0" fontId="0" fillId="0" borderId="0" xfId="0" applyAlignment="1">
      <alignment wrapText="1"/>
    </xf>
    <xf numFmtId="167" fontId="5" fillId="0" borderId="0" xfId="3" applyFont="1" applyProtection="1">
      <protection locked="0"/>
    </xf>
    <xf numFmtId="167" fontId="5" fillId="5" borderId="0" xfId="3" applyFont="1" applyFill="1" applyProtection="1">
      <protection locked="0"/>
    </xf>
    <xf numFmtId="167" fontId="8" fillId="5" borderId="0" xfId="3" applyFont="1" applyFill="1" applyProtection="1">
      <protection locked="0"/>
    </xf>
    <xf numFmtId="169" fontId="6" fillId="15" borderId="0" xfId="0" applyNumberFormat="1" applyFont="1" applyFill="1" applyProtection="1">
      <protection locked="0"/>
    </xf>
    <xf numFmtId="0" fontId="5" fillId="4" borderId="0" xfId="0" applyFont="1" applyFill="1" applyProtection="1">
      <protection locked="0"/>
    </xf>
    <xf numFmtId="167" fontId="6" fillId="15" borderId="20" xfId="0" applyNumberFormat="1" applyFont="1" applyFill="1" applyBorder="1" applyProtection="1">
      <protection locked="0"/>
    </xf>
    <xf numFmtId="0" fontId="19" fillId="5" borderId="2" xfId="0" applyFont="1" applyFill="1" applyBorder="1" applyProtection="1">
      <protection locked="0"/>
    </xf>
    <xf numFmtId="167" fontId="19" fillId="5" borderId="2" xfId="3" applyFont="1" applyFill="1" applyBorder="1" applyProtection="1">
      <protection locked="0"/>
    </xf>
    <xf numFmtId="14" fontId="48" fillId="9" borderId="49" xfId="0" applyNumberFormat="1" applyFont="1" applyFill="1" applyBorder="1" applyAlignment="1" applyProtection="1">
      <alignment horizontal="center"/>
      <protection locked="0"/>
    </xf>
    <xf numFmtId="14" fontId="48" fillId="8" borderId="51" xfId="0" applyNumberFormat="1" applyFont="1" applyFill="1" applyBorder="1" applyAlignment="1" applyProtection="1">
      <alignment horizontal="center"/>
      <protection locked="0"/>
    </xf>
    <xf numFmtId="14" fontId="48" fillId="8" borderId="67" xfId="0" applyNumberFormat="1" applyFont="1" applyFill="1" applyBorder="1" applyAlignment="1" applyProtection="1">
      <alignment horizontal="center"/>
      <protection locked="0"/>
    </xf>
    <xf numFmtId="14" fontId="48" fillId="11" borderId="49" xfId="0" applyNumberFormat="1" applyFont="1" applyFill="1" applyBorder="1" applyAlignment="1" applyProtection="1">
      <alignment horizontal="center"/>
      <protection locked="0"/>
    </xf>
    <xf numFmtId="14" fontId="48" fillId="11" borderId="53" xfId="0" applyNumberFormat="1" applyFont="1" applyFill="1" applyBorder="1" applyAlignment="1" applyProtection="1">
      <alignment horizontal="center"/>
      <protection locked="0"/>
    </xf>
    <xf numFmtId="14" fontId="48" fillId="9" borderId="53" xfId="0" applyNumberFormat="1" applyFont="1" applyFill="1" applyBorder="1" applyAlignment="1" applyProtection="1">
      <alignment horizontal="center"/>
      <protection locked="0"/>
    </xf>
    <xf numFmtId="14" fontId="48" fillId="8" borderId="53" xfId="0" applyNumberFormat="1" applyFont="1" applyFill="1" applyBorder="1" applyAlignment="1" applyProtection="1">
      <alignment horizontal="center"/>
      <protection locked="0"/>
    </xf>
    <xf numFmtId="168" fontId="48" fillId="9" borderId="53" xfId="0" applyNumberFormat="1" applyFont="1" applyFill="1" applyBorder="1" applyAlignment="1" applyProtection="1">
      <alignment horizontal="center"/>
      <protection locked="0"/>
    </xf>
    <xf numFmtId="168" fontId="48" fillId="11" borderId="49" xfId="0" applyNumberFormat="1" applyFont="1" applyFill="1" applyBorder="1" applyAlignment="1" applyProtection="1">
      <alignment horizontal="center"/>
      <protection locked="0"/>
    </xf>
    <xf numFmtId="168" fontId="48" fillId="9" borderId="49" xfId="0" applyNumberFormat="1" applyFont="1" applyFill="1" applyBorder="1" applyAlignment="1" applyProtection="1">
      <alignment horizontal="center"/>
      <protection locked="0"/>
    </xf>
    <xf numFmtId="168" fontId="48" fillId="8" borderId="53" xfId="0" applyNumberFormat="1" applyFont="1" applyFill="1" applyBorder="1" applyAlignment="1" applyProtection="1">
      <alignment horizontal="center"/>
      <protection locked="0"/>
    </xf>
    <xf numFmtId="14" fontId="4" fillId="8" borderId="67" xfId="0" applyNumberFormat="1" applyFont="1" applyFill="1" applyBorder="1" applyAlignment="1" applyProtection="1">
      <alignment horizontal="center"/>
      <protection locked="0"/>
    </xf>
    <xf numFmtId="14" fontId="4" fillId="9" borderId="57" xfId="0" applyNumberFormat="1" applyFont="1" applyFill="1" applyBorder="1" applyAlignment="1" applyProtection="1">
      <alignment horizontal="center"/>
      <protection locked="0"/>
    </xf>
    <xf numFmtId="14" fontId="4" fillId="11" borderId="57" xfId="0" applyNumberFormat="1" applyFont="1" applyFill="1" applyBorder="1" applyAlignment="1" applyProtection="1">
      <alignment horizontal="center"/>
      <protection locked="0"/>
    </xf>
    <xf numFmtId="15" fontId="49" fillId="0" borderId="2" xfId="0" applyNumberFormat="1" applyFont="1" applyBorder="1" applyAlignment="1" applyProtection="1">
      <alignment horizontal="center" vertical="center"/>
      <protection locked="0"/>
    </xf>
    <xf numFmtId="9" fontId="5" fillId="11" borderId="1" xfId="0" applyNumberFormat="1" applyFont="1" applyFill="1" applyBorder="1" applyAlignment="1" applyProtection="1">
      <alignment horizontal="center" vertical="center"/>
      <protection locked="0"/>
    </xf>
    <xf numFmtId="14" fontId="48" fillId="11" borderId="51" xfId="0" applyNumberFormat="1" applyFont="1" applyFill="1" applyBorder="1" applyAlignment="1" applyProtection="1">
      <alignment horizontal="center"/>
      <protection locked="0"/>
    </xf>
    <xf numFmtId="14" fontId="48" fillId="11" borderId="57" xfId="0" applyNumberFormat="1" applyFont="1" applyFill="1" applyBorder="1" applyAlignment="1" applyProtection="1">
      <alignment horizontal="center"/>
      <protection locked="0"/>
    </xf>
    <xf numFmtId="14" fontId="4" fillId="9" borderId="67" xfId="0" applyNumberFormat="1" applyFont="1" applyFill="1" applyBorder="1" applyAlignment="1" applyProtection="1">
      <alignment horizontal="center"/>
      <protection locked="0"/>
    </xf>
    <xf numFmtId="167" fontId="21" fillId="5" borderId="0" xfId="0" applyNumberFormat="1" applyFont="1" applyFill="1" applyProtection="1">
      <protection locked="0"/>
    </xf>
    <xf numFmtId="14" fontId="48" fillId="9" borderId="67" xfId="0" applyNumberFormat="1" applyFont="1" applyFill="1" applyBorder="1" applyAlignment="1" applyProtection="1">
      <alignment horizontal="center"/>
      <protection locked="0"/>
    </xf>
    <xf numFmtId="14" fontId="48" fillId="9" borderId="64" xfId="0" applyNumberFormat="1" applyFont="1" applyFill="1" applyBorder="1" applyAlignment="1" applyProtection="1">
      <alignment horizontal="center"/>
      <protection locked="0"/>
    </xf>
    <xf numFmtId="14" fontId="48" fillId="9" borderId="57" xfId="0" applyNumberFormat="1" applyFont="1" applyFill="1" applyBorder="1" applyAlignment="1" applyProtection="1">
      <alignment horizontal="center"/>
      <protection locked="0"/>
    </xf>
    <xf numFmtId="0" fontId="6" fillId="4" borderId="0" xfId="0" applyFont="1" applyFill="1" applyAlignment="1" applyProtection="1">
      <alignment horizontal="right"/>
      <protection locked="0"/>
    </xf>
    <xf numFmtId="0" fontId="6" fillId="4" borderId="0" xfId="0" applyFont="1" applyFill="1" applyProtection="1">
      <protection locked="0"/>
    </xf>
    <xf numFmtId="14" fontId="48" fillId="8" borderId="64" xfId="0" applyNumberFormat="1" applyFont="1" applyFill="1" applyBorder="1" applyAlignment="1" applyProtection="1">
      <alignment horizontal="center"/>
      <protection locked="0"/>
    </xf>
    <xf numFmtId="168" fontId="48" fillId="8" borderId="51" xfId="0" applyNumberFormat="1" applyFont="1" applyFill="1" applyBorder="1" applyAlignment="1" applyProtection="1">
      <alignment horizontal="center"/>
      <protection locked="0"/>
    </xf>
    <xf numFmtId="14" fontId="48" fillId="9" borderId="64" xfId="0" applyNumberFormat="1" applyFont="1" applyFill="1" applyBorder="1" applyAlignment="1" applyProtection="1">
      <alignment horizontal="center" vertical="center"/>
      <protection locked="0"/>
    </xf>
    <xf numFmtId="14" fontId="48" fillId="11" borderId="64" xfId="0" applyNumberFormat="1" applyFont="1" applyFill="1" applyBorder="1" applyAlignment="1" applyProtection="1">
      <alignment horizontal="center"/>
      <protection locked="0"/>
    </xf>
    <xf numFmtId="14" fontId="4" fillId="9" borderId="64" xfId="0" applyNumberFormat="1" applyFont="1" applyFill="1" applyBorder="1" applyAlignment="1" applyProtection="1">
      <alignment horizontal="center"/>
      <protection locked="0"/>
    </xf>
    <xf numFmtId="0" fontId="45" fillId="0" borderId="2" xfId="0" applyFont="1" applyBorder="1" applyAlignment="1">
      <alignment horizontal="center" vertical="center" wrapText="1"/>
    </xf>
    <xf numFmtId="0" fontId="43" fillId="0" borderId="2" xfId="0" applyFont="1" applyBorder="1" applyAlignment="1">
      <alignment horizontal="center" vertical="center"/>
    </xf>
    <xf numFmtId="0" fontId="44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2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48" xfId="0" applyBorder="1" applyAlignment="1">
      <alignment horizontal="left" vertical="top"/>
    </xf>
    <xf numFmtId="0" fontId="0" fillId="0" borderId="83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43" fillId="0" borderId="2" xfId="0" applyFont="1" applyBorder="1" applyAlignment="1">
      <alignment horizontal="center" vertical="center" wrapText="1"/>
    </xf>
    <xf numFmtId="0" fontId="2" fillId="5" borderId="79" xfId="0" applyFont="1" applyFill="1" applyBorder="1" applyAlignment="1">
      <alignment horizontal="left"/>
    </xf>
    <xf numFmtId="0" fontId="2" fillId="5" borderId="14" xfId="0" applyFont="1" applyFill="1" applyBorder="1" applyAlignment="1">
      <alignment horizontal="left"/>
    </xf>
    <xf numFmtId="0" fontId="2" fillId="5" borderId="9" xfId="0" applyFont="1" applyFill="1" applyBorder="1" applyAlignment="1">
      <alignment horizontal="right"/>
    </xf>
    <xf numFmtId="0" fontId="2" fillId="5" borderId="79" xfId="0" applyFont="1" applyFill="1" applyBorder="1" applyAlignment="1">
      <alignment horizontal="right"/>
    </xf>
    <xf numFmtId="0" fontId="2" fillId="5" borderId="80" xfId="0" applyFont="1" applyFill="1" applyBorder="1" applyAlignment="1">
      <alignment horizontal="center"/>
    </xf>
    <xf numFmtId="0" fontId="2" fillId="5" borderId="81" xfId="0" applyFont="1" applyFill="1" applyBorder="1" applyAlignment="1">
      <alignment horizontal="center"/>
    </xf>
    <xf numFmtId="0" fontId="2" fillId="5" borderId="82" xfId="0" applyFont="1" applyFill="1" applyBorder="1" applyAlignment="1">
      <alignment horizontal="center"/>
    </xf>
    <xf numFmtId="0" fontId="16" fillId="5" borderId="10" xfId="0" applyFont="1" applyFill="1" applyBorder="1" applyAlignment="1" applyProtection="1">
      <alignment horizontal="left"/>
      <protection locked="0"/>
    </xf>
    <xf numFmtId="0" fontId="16" fillId="5" borderId="16" xfId="0" applyFont="1" applyFill="1" applyBorder="1" applyAlignment="1" applyProtection="1">
      <alignment horizontal="left"/>
      <protection locked="0"/>
    </xf>
    <xf numFmtId="0" fontId="6" fillId="7" borderId="1" xfId="0" applyFont="1" applyFill="1" applyBorder="1" applyAlignment="1" applyProtection="1">
      <alignment horizontal="center" vertical="center"/>
      <protection locked="0"/>
    </xf>
    <xf numFmtId="0" fontId="6" fillId="7" borderId="26" xfId="0" applyFont="1" applyFill="1" applyBorder="1" applyAlignment="1" applyProtection="1">
      <alignment horizontal="center" vertical="center"/>
      <protection locked="0"/>
    </xf>
    <xf numFmtId="0" fontId="16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23" fillId="0" borderId="9" xfId="0" applyFont="1" applyBorder="1" applyAlignment="1" applyProtection="1">
      <alignment horizontal="left" vertical="center"/>
      <protection locked="0"/>
    </xf>
    <xf numFmtId="0" fontId="23" fillId="0" borderId="14" xfId="0" applyFont="1" applyBorder="1" applyAlignment="1" applyProtection="1">
      <alignment horizontal="left" vertical="center"/>
      <protection locked="0"/>
    </xf>
    <xf numFmtId="0" fontId="18" fillId="0" borderId="9" xfId="0" applyFont="1" applyBorder="1" applyAlignment="1" applyProtection="1">
      <alignment horizontal="left" vertical="center"/>
      <protection locked="0"/>
    </xf>
    <xf numFmtId="0" fontId="18" fillId="0" borderId="14" xfId="0" applyFont="1" applyBorder="1" applyAlignment="1" applyProtection="1">
      <alignment horizontal="left" vertical="center"/>
      <protection locked="0"/>
    </xf>
    <xf numFmtId="0" fontId="7" fillId="5" borderId="0" xfId="0" applyFont="1" applyFill="1" applyAlignment="1">
      <alignment horizontal="left"/>
    </xf>
    <xf numFmtId="0" fontId="7" fillId="5" borderId="0" xfId="0" applyFont="1" applyFill="1" applyAlignment="1">
      <alignment horizontal="right"/>
    </xf>
    <xf numFmtId="0" fontId="6" fillId="6" borderId="10" xfId="0" applyFont="1" applyFill="1" applyBorder="1" applyAlignment="1" applyProtection="1">
      <alignment horizont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0" fontId="7" fillId="6" borderId="10" xfId="0" applyFont="1" applyFill="1" applyBorder="1" applyAlignment="1" applyProtection="1">
      <alignment horizontal="center"/>
      <protection locked="0"/>
    </xf>
    <xf numFmtId="0" fontId="7" fillId="6" borderId="15" xfId="0" applyFont="1" applyFill="1" applyBorder="1" applyAlignment="1" applyProtection="1">
      <alignment horizontal="center"/>
      <protection locked="0"/>
    </xf>
    <xf numFmtId="168" fontId="6" fillId="9" borderId="6" xfId="0" applyNumberFormat="1" applyFont="1" applyFill="1" applyBorder="1" applyAlignment="1" applyProtection="1">
      <alignment horizontal="center" vertical="center"/>
      <protection locked="0"/>
    </xf>
    <xf numFmtId="168" fontId="6" fillId="9" borderId="48" xfId="0" applyNumberFormat="1" applyFont="1" applyFill="1" applyBorder="1" applyAlignment="1" applyProtection="1">
      <alignment horizontal="center" vertical="center"/>
      <protection locked="0"/>
    </xf>
    <xf numFmtId="168" fontId="6" fillId="9" borderId="8" xfId="0" applyNumberFormat="1" applyFont="1" applyFill="1" applyBorder="1" applyAlignment="1" applyProtection="1">
      <alignment horizontal="center" vertical="center"/>
      <protection locked="0"/>
    </xf>
    <xf numFmtId="168" fontId="6" fillId="9" borderId="12" xfId="0" applyNumberFormat="1" applyFont="1" applyFill="1" applyBorder="1" applyAlignment="1" applyProtection="1">
      <alignment horizontal="center" vertical="center"/>
      <protection locked="0"/>
    </xf>
    <xf numFmtId="168" fontId="6" fillId="9" borderId="17" xfId="0" applyNumberFormat="1" applyFont="1" applyFill="1" applyBorder="1" applyAlignment="1" applyProtection="1">
      <alignment horizontal="center" vertical="center"/>
      <protection locked="0"/>
    </xf>
    <xf numFmtId="168" fontId="6" fillId="9" borderId="13" xfId="0" applyNumberFormat="1" applyFont="1" applyFill="1" applyBorder="1" applyAlignment="1" applyProtection="1">
      <alignment horizontal="center" vertical="center"/>
      <protection locked="0"/>
    </xf>
    <xf numFmtId="0" fontId="15" fillId="5" borderId="10" xfId="0" applyFont="1" applyFill="1" applyBorder="1" applyAlignment="1" applyProtection="1">
      <alignment horizontal="center" vertical="center"/>
      <protection locked="0"/>
    </xf>
    <xf numFmtId="0" fontId="15" fillId="5" borderId="15" xfId="0" applyFont="1" applyFill="1" applyBorder="1" applyAlignment="1" applyProtection="1">
      <alignment horizontal="center" vertical="center"/>
      <protection locked="0"/>
    </xf>
    <xf numFmtId="0" fontId="15" fillId="5" borderId="16" xfId="0" applyFont="1" applyFill="1" applyBorder="1" applyAlignment="1" applyProtection="1">
      <alignment horizontal="center" vertical="center"/>
      <protection locked="0"/>
    </xf>
    <xf numFmtId="168" fontId="6" fillId="11" borderId="6" xfId="0" applyNumberFormat="1" applyFont="1" applyFill="1" applyBorder="1" applyAlignment="1" applyProtection="1">
      <alignment horizontal="center" vertical="center"/>
      <protection locked="0"/>
    </xf>
    <xf numFmtId="168" fontId="6" fillId="11" borderId="48" xfId="0" applyNumberFormat="1" applyFont="1" applyFill="1" applyBorder="1" applyAlignment="1" applyProtection="1">
      <alignment horizontal="center" vertical="center"/>
      <protection locked="0"/>
    </xf>
    <xf numFmtId="168" fontId="6" fillId="11" borderId="8" xfId="0" applyNumberFormat="1" applyFont="1" applyFill="1" applyBorder="1" applyAlignment="1" applyProtection="1">
      <alignment horizontal="center" vertical="center"/>
      <protection locked="0"/>
    </xf>
    <xf numFmtId="168" fontId="6" fillId="11" borderId="12" xfId="0" applyNumberFormat="1" applyFont="1" applyFill="1" applyBorder="1" applyAlignment="1" applyProtection="1">
      <alignment horizontal="center" vertical="center"/>
      <protection locked="0"/>
    </xf>
    <xf numFmtId="168" fontId="6" fillId="11" borderId="17" xfId="0" applyNumberFormat="1" applyFont="1" applyFill="1" applyBorder="1" applyAlignment="1" applyProtection="1">
      <alignment horizontal="center" vertical="center"/>
      <protection locked="0"/>
    </xf>
    <xf numFmtId="168" fontId="6" fillId="11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center" vertical="center"/>
      <protection locked="0"/>
    </xf>
    <xf numFmtId="168" fontId="4" fillId="9" borderId="17" xfId="0" applyNumberFormat="1" applyFont="1" applyFill="1" applyBorder="1" applyAlignment="1" applyProtection="1">
      <alignment horizontal="center" vertical="center"/>
      <protection locked="0"/>
    </xf>
    <xf numFmtId="168" fontId="4" fillId="9" borderId="13" xfId="0" applyNumberFormat="1" applyFont="1" applyFill="1" applyBorder="1" applyAlignment="1" applyProtection="1">
      <alignment horizontal="center" vertical="center"/>
      <protection locked="0"/>
    </xf>
    <xf numFmtId="168" fontId="4" fillId="11" borderId="12" xfId="0" applyNumberFormat="1" applyFont="1" applyFill="1" applyBorder="1" applyAlignment="1" applyProtection="1">
      <alignment horizontal="center" vertical="center"/>
      <protection locked="0"/>
    </xf>
    <xf numFmtId="168" fontId="4" fillId="11" borderId="17" xfId="0" applyNumberFormat="1" applyFont="1" applyFill="1" applyBorder="1" applyAlignment="1" applyProtection="1">
      <alignment horizontal="center" vertical="center"/>
      <protection locked="0"/>
    </xf>
    <xf numFmtId="168" fontId="4" fillId="11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left" vertical="center"/>
      <protection locked="0"/>
    </xf>
    <xf numFmtId="168" fontId="4" fillId="9" borderId="17" xfId="0" applyNumberFormat="1" applyFont="1" applyFill="1" applyBorder="1" applyAlignment="1" applyProtection="1">
      <alignment horizontal="left" vertical="center"/>
      <protection locked="0"/>
    </xf>
    <xf numFmtId="168" fontId="4" fillId="9" borderId="13" xfId="0" applyNumberFormat="1" applyFont="1" applyFill="1" applyBorder="1" applyAlignment="1" applyProtection="1">
      <alignment horizontal="left" vertical="center"/>
      <protection locked="0"/>
    </xf>
    <xf numFmtId="0" fontId="4" fillId="11" borderId="73" xfId="0" applyFont="1" applyFill="1" applyBorder="1" applyAlignment="1" applyProtection="1">
      <alignment horizontal="center" vertical="center"/>
      <protection locked="0"/>
    </xf>
    <xf numFmtId="0" fontId="4" fillId="11" borderId="74" xfId="0" applyFont="1" applyFill="1" applyBorder="1" applyAlignment="1" applyProtection="1">
      <alignment horizontal="center" vertical="center"/>
      <protection locked="0"/>
    </xf>
    <xf numFmtId="0" fontId="4" fillId="11" borderId="75" xfId="0" applyFont="1" applyFill="1" applyBorder="1" applyAlignment="1" applyProtection="1">
      <alignment horizontal="center" vertical="center"/>
      <protection locked="0"/>
    </xf>
    <xf numFmtId="168" fontId="6" fillId="8" borderId="6" xfId="0" applyNumberFormat="1" applyFont="1" applyFill="1" applyBorder="1" applyAlignment="1" applyProtection="1">
      <alignment horizontal="center" vertical="center"/>
      <protection locked="0"/>
    </xf>
    <xf numFmtId="168" fontId="6" fillId="8" borderId="48" xfId="0" applyNumberFormat="1" applyFont="1" applyFill="1" applyBorder="1" applyAlignment="1" applyProtection="1">
      <alignment horizontal="center" vertical="center"/>
      <protection locked="0"/>
    </xf>
    <xf numFmtId="168" fontId="6" fillId="8" borderId="8" xfId="0" applyNumberFormat="1" applyFont="1" applyFill="1" applyBorder="1" applyAlignment="1" applyProtection="1">
      <alignment horizontal="center" vertical="center"/>
      <protection locked="0"/>
    </xf>
    <xf numFmtId="168" fontId="6" fillId="8" borderId="12" xfId="0" applyNumberFormat="1" applyFont="1" applyFill="1" applyBorder="1" applyAlignment="1" applyProtection="1">
      <alignment horizontal="center" vertical="center"/>
      <protection locked="0"/>
    </xf>
    <xf numFmtId="168" fontId="6" fillId="8" borderId="17" xfId="0" applyNumberFormat="1" applyFont="1" applyFill="1" applyBorder="1" applyAlignment="1" applyProtection="1">
      <alignment horizontal="center" vertical="center"/>
      <protection locked="0"/>
    </xf>
    <xf numFmtId="168" fontId="6" fillId="8" borderId="13" xfId="0" applyNumberFormat="1" applyFont="1" applyFill="1" applyBorder="1" applyAlignment="1" applyProtection="1">
      <alignment horizontal="center" vertical="center"/>
      <protection locked="0"/>
    </xf>
    <xf numFmtId="168" fontId="6" fillId="9" borderId="5" xfId="0" applyNumberFormat="1" applyFont="1" applyFill="1" applyBorder="1" applyAlignment="1" applyProtection="1">
      <alignment horizontal="center" vertical="center"/>
      <protection locked="0"/>
    </xf>
    <xf numFmtId="168" fontId="6" fillId="9" borderId="0" xfId="0" applyNumberFormat="1" applyFont="1" applyFill="1" applyAlignment="1" applyProtection="1">
      <alignment horizontal="center" vertical="center"/>
      <protection locked="0"/>
    </xf>
    <xf numFmtId="168" fontId="6" fillId="9" borderId="7" xfId="0" applyNumberFormat="1" applyFont="1" applyFill="1" applyBorder="1" applyAlignment="1" applyProtection="1">
      <alignment horizontal="center" vertical="center"/>
      <protection locked="0"/>
    </xf>
    <xf numFmtId="168" fontId="4" fillId="8" borderId="12" xfId="0" applyNumberFormat="1" applyFont="1" applyFill="1" applyBorder="1" applyAlignment="1" applyProtection="1">
      <alignment horizontal="center" vertical="center"/>
      <protection locked="0"/>
    </xf>
    <xf numFmtId="168" fontId="4" fillId="8" borderId="17" xfId="0" applyNumberFormat="1" applyFont="1" applyFill="1" applyBorder="1" applyAlignment="1" applyProtection="1">
      <alignment horizontal="center" vertical="center"/>
      <protection locked="0"/>
    </xf>
    <xf numFmtId="168" fontId="4" fillId="8" borderId="13" xfId="0" applyNumberFormat="1" applyFont="1" applyFill="1" applyBorder="1" applyAlignment="1" applyProtection="1">
      <alignment horizontal="center" vertical="center"/>
      <protection locked="0"/>
    </xf>
    <xf numFmtId="167" fontId="4" fillId="11" borderId="12" xfId="3" applyFont="1" applyFill="1" applyBorder="1" applyAlignment="1" applyProtection="1">
      <alignment horizontal="center" vertical="center"/>
      <protection locked="0"/>
    </xf>
    <xf numFmtId="167" fontId="4" fillId="11" borderId="17" xfId="3" applyFont="1" applyFill="1" applyBorder="1" applyAlignment="1" applyProtection="1">
      <alignment horizontal="center" vertical="center"/>
      <protection locked="0"/>
    </xf>
    <xf numFmtId="167" fontId="4" fillId="11" borderId="13" xfId="3" applyFont="1" applyFill="1" applyBorder="1" applyAlignment="1" applyProtection="1">
      <alignment horizontal="center" vertical="center"/>
      <protection locked="0"/>
    </xf>
    <xf numFmtId="0" fontId="5" fillId="8" borderId="12" xfId="0" applyFont="1" applyFill="1" applyBorder="1" applyAlignment="1" applyProtection="1">
      <alignment horizontal="center"/>
      <protection locked="0"/>
    </xf>
    <xf numFmtId="0" fontId="5" fillId="8" borderId="13" xfId="0" applyFont="1" applyFill="1" applyBorder="1" applyAlignment="1" applyProtection="1">
      <alignment horizontal="center"/>
      <protection locked="0"/>
    </xf>
    <xf numFmtId="0" fontId="4" fillId="8" borderId="73" xfId="0" applyFont="1" applyFill="1" applyBorder="1" applyAlignment="1" applyProtection="1">
      <alignment horizontal="center" vertical="center"/>
      <protection locked="0"/>
    </xf>
    <xf numFmtId="0" fontId="4" fillId="8" borderId="74" xfId="0" applyFont="1" applyFill="1" applyBorder="1" applyAlignment="1" applyProtection="1">
      <alignment horizontal="center" vertical="center"/>
      <protection locked="0"/>
    </xf>
    <xf numFmtId="0" fontId="4" fillId="8" borderId="75" xfId="0" applyFont="1" applyFill="1" applyBorder="1" applyAlignment="1" applyProtection="1">
      <alignment horizontal="center" vertical="center"/>
      <protection locked="0"/>
    </xf>
    <xf numFmtId="0" fontId="4" fillId="9" borderId="73" xfId="0" applyFont="1" applyFill="1" applyBorder="1" applyAlignment="1" applyProtection="1">
      <alignment horizontal="center" vertical="center"/>
      <protection locked="0"/>
    </xf>
    <xf numFmtId="0" fontId="4" fillId="9" borderId="74" xfId="0" applyFont="1" applyFill="1" applyBorder="1" applyAlignment="1" applyProtection="1">
      <alignment horizontal="center" vertical="center"/>
      <protection locked="0"/>
    </xf>
    <xf numFmtId="0" fontId="4" fillId="9" borderId="75" xfId="0" applyFont="1" applyFill="1" applyBorder="1" applyAlignment="1" applyProtection="1">
      <alignment horizontal="center" vertical="center"/>
      <protection locked="0"/>
    </xf>
    <xf numFmtId="0" fontId="34" fillId="2" borderId="44" xfId="0" applyFont="1" applyFill="1" applyBorder="1" applyAlignment="1">
      <alignment horizontal="center" vertical="center" textRotation="90"/>
    </xf>
    <xf numFmtId="0" fontId="34" fillId="2" borderId="43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 cent" xfId="2" builtinId="5"/>
  </cellStyles>
  <dxfs count="27"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hartsheet" Target="chartsheets/sheet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Shoprite</a:t>
            </a:r>
            <a:r>
              <a:rPr lang="en-US" sz="2000" baseline="0"/>
              <a:t> Mini - Bredarsdorp</a:t>
            </a:r>
            <a:r>
              <a:rPr lang="en-US" sz="2000"/>
              <a:t> 250kWp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Plan'!$T$12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'Project Plan'!$U$13:$U$20</c:f>
                <c:numCache>
                  <c:formatCode>General</c:formatCode>
                  <c:ptCount val="8"/>
                  <c:pt idx="0">
                    <c:v>30</c:v>
                  </c:pt>
                  <c:pt idx="1">
                    <c:v>1</c:v>
                  </c:pt>
                  <c:pt idx="2">
                    <c:v>62</c:v>
                  </c:pt>
                  <c:pt idx="3">
                    <c:v>21</c:v>
                  </c:pt>
                  <c:pt idx="4">
                    <c:v>11</c:v>
                  </c:pt>
                  <c:pt idx="5">
                    <c:v>7</c:v>
                  </c:pt>
                  <c:pt idx="6">
                    <c:v>4</c:v>
                  </c:pt>
                  <c:pt idx="7">
                    <c:v>62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651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Plan'!$S$13:$S$20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'Project Plan'!$T$13:$T$20</c:f>
              <c:numCache>
                <c:formatCode>d\-mmm\-yy</c:formatCode>
                <c:ptCount val="8"/>
                <c:pt idx="0">
                  <c:v>45931</c:v>
                </c:pt>
                <c:pt idx="1">
                  <c:v>45967</c:v>
                </c:pt>
                <c:pt idx="2">
                  <c:v>45925</c:v>
                </c:pt>
                <c:pt idx="3">
                  <c:v>45967</c:v>
                </c:pt>
                <c:pt idx="4">
                  <c:v>45974</c:v>
                </c:pt>
                <c:pt idx="5">
                  <c:v>45988</c:v>
                </c:pt>
                <c:pt idx="6">
                  <c:v>45988</c:v>
                </c:pt>
                <c:pt idx="7">
                  <c:v>45989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344459216"/>
        <c:axId val="344458256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12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Plan'!$S$9:$T$9</c:f>
              <c:numCache>
                <c:formatCode>m/d/yyyy</c:formatCode>
                <c:ptCount val="2"/>
                <c:pt idx="0">
                  <c:v>46062</c:v>
                </c:pt>
                <c:pt idx="1">
                  <c:v>46062</c:v>
                </c:pt>
              </c:numCache>
            </c:numRef>
          </c:xVal>
          <c:yVal>
            <c:numRef>
              <c:f>'Project Plan'!$S$10:$T$10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860368"/>
        <c:axId val="248861808"/>
      </c:scatterChart>
      <c:catAx>
        <c:axId val="3444592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8256"/>
        <c:crosses val="autoZero"/>
        <c:auto val="1"/>
        <c:lblAlgn val="ctr"/>
        <c:lblOffset val="100"/>
        <c:noMultiLvlLbl val="0"/>
      </c:catAx>
      <c:valAx>
        <c:axId val="344458256"/>
        <c:scaling>
          <c:orientation val="minMax"/>
          <c:min val="45905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9216"/>
        <c:crosses val="autoZero"/>
        <c:crossBetween val="between"/>
        <c:majorUnit val="14"/>
      </c:valAx>
      <c:valAx>
        <c:axId val="248861808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248860368"/>
        <c:crosses val="autoZero"/>
        <c:crossBetween val="midCat"/>
      </c:valAx>
      <c:valAx>
        <c:axId val="2488603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4886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45901</c:v>
                </c:pt>
                <c:pt idx="1">
                  <c:v>45908</c:v>
                </c:pt>
                <c:pt idx="2">
                  <c:v>45915</c:v>
                </c:pt>
                <c:pt idx="3">
                  <c:v>45922</c:v>
                </c:pt>
                <c:pt idx="4">
                  <c:v>45929</c:v>
                </c:pt>
                <c:pt idx="5">
                  <c:v>45936</c:v>
                </c:pt>
                <c:pt idx="6">
                  <c:v>45943</c:v>
                </c:pt>
                <c:pt idx="7">
                  <c:v>45950</c:v>
                </c:pt>
                <c:pt idx="8">
                  <c:v>45957</c:v>
                </c:pt>
                <c:pt idx="9">
                  <c:v>45964</c:v>
                </c:pt>
                <c:pt idx="10">
                  <c:v>45971</c:v>
                </c:pt>
                <c:pt idx="11">
                  <c:v>45978</c:v>
                </c:pt>
                <c:pt idx="12">
                  <c:v>45985</c:v>
                </c:pt>
                <c:pt idx="13">
                  <c:v>45992</c:v>
                </c:pt>
                <c:pt idx="14">
                  <c:v>45999</c:v>
                </c:pt>
                <c:pt idx="15">
                  <c:v>46006</c:v>
                </c:pt>
                <c:pt idx="16">
                  <c:v>46013</c:v>
                </c:pt>
                <c:pt idx="17">
                  <c:v>46020</c:v>
                </c:pt>
                <c:pt idx="18">
                  <c:v>46027</c:v>
                </c:pt>
                <c:pt idx="19">
                  <c:v>46034</c:v>
                </c:pt>
                <c:pt idx="20">
                  <c:v>46041</c:v>
                </c:pt>
                <c:pt idx="21">
                  <c:v>46048</c:v>
                </c:pt>
                <c:pt idx="22">
                  <c:v>46055</c:v>
                </c:pt>
                <c:pt idx="23">
                  <c:v>46062</c:v>
                </c:pt>
                <c:pt idx="24">
                  <c:v>46069</c:v>
                </c:pt>
                <c:pt idx="25">
                  <c:v>46076</c:v>
                </c:pt>
                <c:pt idx="26">
                  <c:v>46083</c:v>
                </c:pt>
                <c:pt idx="27">
                  <c:v>46090</c:v>
                </c:pt>
                <c:pt idx="28">
                  <c:v>46097</c:v>
                </c:pt>
                <c:pt idx="29">
                  <c:v>46104</c:v>
                </c:pt>
                <c:pt idx="30">
                  <c:v>46111</c:v>
                </c:pt>
                <c:pt idx="31">
                  <c:v>46118</c:v>
                </c:pt>
                <c:pt idx="32">
                  <c:v>46125</c:v>
                </c:pt>
                <c:pt idx="33">
                  <c:v>46132</c:v>
                </c:pt>
                <c:pt idx="34">
                  <c:v>46139</c:v>
                </c:pt>
                <c:pt idx="35">
                  <c:v>46146</c:v>
                </c:pt>
                <c:pt idx="36">
                  <c:v>46153</c:v>
                </c:pt>
                <c:pt idx="37">
                  <c:v>46160</c:v>
                </c:pt>
                <c:pt idx="38">
                  <c:v>46167</c:v>
                </c:pt>
                <c:pt idx="39">
                  <c:v>46174</c:v>
                </c:pt>
                <c:pt idx="40">
                  <c:v>46181</c:v>
                </c:pt>
                <c:pt idx="41">
                  <c:v>46188</c:v>
                </c:pt>
                <c:pt idx="42">
                  <c:v>46195</c:v>
                </c:pt>
                <c:pt idx="43">
                  <c:v>46202</c:v>
                </c:pt>
                <c:pt idx="44">
                  <c:v>46209</c:v>
                </c:pt>
                <c:pt idx="45">
                  <c:v>46216</c:v>
                </c:pt>
                <c:pt idx="46">
                  <c:v>46223</c:v>
                </c:pt>
                <c:pt idx="47">
                  <c:v>46230</c:v>
                </c:pt>
                <c:pt idx="48">
                  <c:v>46237</c:v>
                </c:pt>
                <c:pt idx="49">
                  <c:v>46244</c:v>
                </c:pt>
                <c:pt idx="50">
                  <c:v>46251</c:v>
                </c:pt>
                <c:pt idx="51">
                  <c:v>46258</c:v>
                </c:pt>
                <c:pt idx="52">
                  <c:v>46265</c:v>
                </c:pt>
                <c:pt idx="53">
                  <c:v>46272</c:v>
                </c:pt>
                <c:pt idx="54">
                  <c:v>46279</c:v>
                </c:pt>
                <c:pt idx="55">
                  <c:v>46286</c:v>
                </c:pt>
                <c:pt idx="56">
                  <c:v>46293</c:v>
                </c:pt>
                <c:pt idx="57">
                  <c:v>46300</c:v>
                </c:pt>
                <c:pt idx="58">
                  <c:v>46307</c:v>
                </c:pt>
                <c:pt idx="59">
                  <c:v>46314</c:v>
                </c:pt>
                <c:pt idx="60">
                  <c:v>46321</c:v>
                </c:pt>
                <c:pt idx="61">
                  <c:v>46328</c:v>
                </c:pt>
                <c:pt idx="62">
                  <c:v>46335</c:v>
                </c:pt>
                <c:pt idx="63">
                  <c:v>46342</c:v>
                </c:pt>
                <c:pt idx="64">
                  <c:v>46349</c:v>
                </c:pt>
                <c:pt idx="65">
                  <c:v>46356</c:v>
                </c:pt>
                <c:pt idx="66">
                  <c:v>46363</c:v>
                </c:pt>
                <c:pt idx="67">
                  <c:v>46370</c:v>
                </c:pt>
                <c:pt idx="68">
                  <c:v>46377</c:v>
                </c:pt>
                <c:pt idx="69">
                  <c:v>46384</c:v>
                </c:pt>
                <c:pt idx="70">
                  <c:v>46391</c:v>
                </c:pt>
                <c:pt idx="71">
                  <c:v>46398</c:v>
                </c:pt>
                <c:pt idx="72">
                  <c:v>46405</c:v>
                </c:pt>
                <c:pt idx="73">
                  <c:v>46412</c:v>
                </c:pt>
                <c:pt idx="74">
                  <c:v>46419</c:v>
                </c:pt>
                <c:pt idx="75">
                  <c:v>46426</c:v>
                </c:pt>
                <c:pt idx="76">
                  <c:v>46433</c:v>
                </c:pt>
                <c:pt idx="77">
                  <c:v>46440</c:v>
                </c:pt>
                <c:pt idx="78">
                  <c:v>46447</c:v>
                </c:pt>
                <c:pt idx="79">
                  <c:v>46454</c:v>
                </c:pt>
                <c:pt idx="80">
                  <c:v>46461</c:v>
                </c:pt>
                <c:pt idx="81">
                  <c:v>46468</c:v>
                </c:pt>
                <c:pt idx="82">
                  <c:v>46475</c:v>
                </c:pt>
                <c:pt idx="83">
                  <c:v>46482</c:v>
                </c:pt>
                <c:pt idx="84">
                  <c:v>46489</c:v>
                </c:pt>
                <c:pt idx="85">
                  <c:v>46496</c:v>
                </c:pt>
                <c:pt idx="86">
                  <c:v>46503</c:v>
                </c:pt>
                <c:pt idx="87">
                  <c:v>46510</c:v>
                </c:pt>
                <c:pt idx="88">
                  <c:v>46517</c:v>
                </c:pt>
                <c:pt idx="89">
                  <c:v>46524</c:v>
                </c:pt>
                <c:pt idx="90">
                  <c:v>46531</c:v>
                </c:pt>
                <c:pt idx="91">
                  <c:v>46538</c:v>
                </c:pt>
                <c:pt idx="92">
                  <c:v>46545</c:v>
                </c:pt>
                <c:pt idx="93">
                  <c:v>46552</c:v>
                </c:pt>
                <c:pt idx="94">
                  <c:v>46559</c:v>
                </c:pt>
                <c:pt idx="95">
                  <c:v>46566</c:v>
                </c:pt>
                <c:pt idx="96">
                  <c:v>46573</c:v>
                </c:pt>
                <c:pt idx="97">
                  <c:v>46580</c:v>
                </c:pt>
                <c:pt idx="98">
                  <c:v>46587</c:v>
                </c:pt>
                <c:pt idx="99">
                  <c:v>46594</c:v>
                </c:pt>
                <c:pt idx="100">
                  <c:v>46601</c:v>
                </c:pt>
                <c:pt idx="101">
                  <c:v>46608</c:v>
                </c:pt>
                <c:pt idx="102">
                  <c:v>46615</c:v>
                </c:pt>
                <c:pt idx="103">
                  <c:v>46622</c:v>
                </c:pt>
                <c:pt idx="104">
                  <c:v>46629</c:v>
                </c:pt>
                <c:pt idx="105">
                  <c:v>46636</c:v>
                </c:pt>
                <c:pt idx="106">
                  <c:v>46643</c:v>
                </c:pt>
                <c:pt idx="107">
                  <c:v>46650</c:v>
                </c:pt>
                <c:pt idx="108">
                  <c:v>46657</c:v>
                </c:pt>
                <c:pt idx="109">
                  <c:v>46664</c:v>
                </c:pt>
                <c:pt idx="110">
                  <c:v>46671</c:v>
                </c:pt>
                <c:pt idx="111">
                  <c:v>46678</c:v>
                </c:pt>
                <c:pt idx="112">
                  <c:v>46685</c:v>
                </c:pt>
                <c:pt idx="113">
                  <c:v>46692</c:v>
                </c:pt>
                <c:pt idx="114">
                  <c:v>46699</c:v>
                </c:pt>
                <c:pt idx="115">
                  <c:v>46706</c:v>
                </c:pt>
                <c:pt idx="116">
                  <c:v>46713</c:v>
                </c:pt>
                <c:pt idx="117">
                  <c:v>46720</c:v>
                </c:pt>
                <c:pt idx="118">
                  <c:v>46727</c:v>
                </c:pt>
                <c:pt idx="119">
                  <c:v>46734</c:v>
                </c:pt>
                <c:pt idx="120">
                  <c:v>46741</c:v>
                </c:pt>
                <c:pt idx="121">
                  <c:v>46748</c:v>
                </c:pt>
                <c:pt idx="122">
                  <c:v>46755</c:v>
                </c:pt>
                <c:pt idx="123">
                  <c:v>46762</c:v>
                </c:pt>
                <c:pt idx="124">
                  <c:v>46769</c:v>
                </c:pt>
                <c:pt idx="125">
                  <c:v>46776</c:v>
                </c:pt>
                <c:pt idx="126">
                  <c:v>46783</c:v>
                </c:pt>
                <c:pt idx="127">
                  <c:v>46790</c:v>
                </c:pt>
                <c:pt idx="128">
                  <c:v>46797</c:v>
                </c:pt>
                <c:pt idx="129">
                  <c:v>46804</c:v>
                </c:pt>
                <c:pt idx="130">
                  <c:v>46811</c:v>
                </c:pt>
                <c:pt idx="131">
                  <c:v>46818</c:v>
                </c:pt>
                <c:pt idx="132">
                  <c:v>46825</c:v>
                </c:pt>
                <c:pt idx="133">
                  <c:v>46832</c:v>
                </c:pt>
                <c:pt idx="134">
                  <c:v>46839</c:v>
                </c:pt>
                <c:pt idx="135">
                  <c:v>46846</c:v>
                </c:pt>
                <c:pt idx="136">
                  <c:v>46853</c:v>
                </c:pt>
                <c:pt idx="137">
                  <c:v>46860</c:v>
                </c:pt>
                <c:pt idx="138">
                  <c:v>46867</c:v>
                </c:pt>
                <c:pt idx="139">
                  <c:v>46874</c:v>
                </c:pt>
                <c:pt idx="140">
                  <c:v>46881</c:v>
                </c:pt>
                <c:pt idx="141">
                  <c:v>46888</c:v>
                </c:pt>
                <c:pt idx="142">
                  <c:v>46895</c:v>
                </c:pt>
                <c:pt idx="143">
                  <c:v>46902</c:v>
                </c:pt>
                <c:pt idx="144">
                  <c:v>46909</c:v>
                </c:pt>
                <c:pt idx="145">
                  <c:v>46916</c:v>
                </c:pt>
                <c:pt idx="146">
                  <c:v>46923</c:v>
                </c:pt>
                <c:pt idx="147">
                  <c:v>46930</c:v>
                </c:pt>
                <c:pt idx="148">
                  <c:v>46937</c:v>
                </c:pt>
                <c:pt idx="149">
                  <c:v>46944</c:v>
                </c:pt>
                <c:pt idx="150">
                  <c:v>46951</c:v>
                </c:pt>
                <c:pt idx="151">
                  <c:v>46958</c:v>
                </c:pt>
                <c:pt idx="152">
                  <c:v>46965</c:v>
                </c:pt>
                <c:pt idx="153">
                  <c:v>46972</c:v>
                </c:pt>
                <c:pt idx="154">
                  <c:v>46979</c:v>
                </c:pt>
                <c:pt idx="155">
                  <c:v>46986</c:v>
                </c:pt>
                <c:pt idx="156">
                  <c:v>46993</c:v>
                </c:pt>
                <c:pt idx="157">
                  <c:v>47000</c:v>
                </c:pt>
                <c:pt idx="158">
                  <c:v>47007</c:v>
                </c:pt>
                <c:pt idx="159">
                  <c:v>47014</c:v>
                </c:pt>
                <c:pt idx="160">
                  <c:v>47021</c:v>
                </c:pt>
                <c:pt idx="161">
                  <c:v>47028</c:v>
                </c:pt>
                <c:pt idx="162">
                  <c:v>47035</c:v>
                </c:pt>
                <c:pt idx="163">
                  <c:v>47042</c:v>
                </c:pt>
                <c:pt idx="164">
                  <c:v>47049</c:v>
                </c:pt>
                <c:pt idx="165">
                  <c:v>47056</c:v>
                </c:pt>
                <c:pt idx="166">
                  <c:v>47063</c:v>
                </c:pt>
                <c:pt idx="167">
                  <c:v>47070</c:v>
                </c:pt>
                <c:pt idx="168">
                  <c:v>47077</c:v>
                </c:pt>
                <c:pt idx="169">
                  <c:v>47084</c:v>
                </c:pt>
                <c:pt idx="170">
                  <c:v>47091</c:v>
                </c:pt>
                <c:pt idx="171">
                  <c:v>47098</c:v>
                </c:pt>
                <c:pt idx="172">
                  <c:v>47105</c:v>
                </c:pt>
                <c:pt idx="173">
                  <c:v>47112</c:v>
                </c:pt>
                <c:pt idx="174">
                  <c:v>47119</c:v>
                </c:pt>
                <c:pt idx="175">
                  <c:v>47126</c:v>
                </c:pt>
                <c:pt idx="176">
                  <c:v>47133</c:v>
                </c:pt>
                <c:pt idx="177">
                  <c:v>47140</c:v>
                </c:pt>
                <c:pt idx="178">
                  <c:v>47147</c:v>
                </c:pt>
                <c:pt idx="179">
                  <c:v>47154</c:v>
                </c:pt>
                <c:pt idx="180">
                  <c:v>47161</c:v>
                </c:pt>
                <c:pt idx="181">
                  <c:v>47168</c:v>
                </c:pt>
                <c:pt idx="182">
                  <c:v>47175</c:v>
                </c:pt>
                <c:pt idx="183">
                  <c:v>47182</c:v>
                </c:pt>
                <c:pt idx="184">
                  <c:v>47189</c:v>
                </c:pt>
                <c:pt idx="185">
                  <c:v>47196</c:v>
                </c:pt>
                <c:pt idx="186">
                  <c:v>47203</c:v>
                </c:pt>
                <c:pt idx="187">
                  <c:v>47210</c:v>
                </c:pt>
                <c:pt idx="188">
                  <c:v>47217</c:v>
                </c:pt>
                <c:pt idx="189">
                  <c:v>47224</c:v>
                </c:pt>
                <c:pt idx="190">
                  <c:v>47231</c:v>
                </c:pt>
                <c:pt idx="191">
                  <c:v>47238</c:v>
                </c:pt>
                <c:pt idx="192">
                  <c:v>47245</c:v>
                </c:pt>
                <c:pt idx="193">
                  <c:v>47252</c:v>
                </c:pt>
                <c:pt idx="194">
                  <c:v>47259</c:v>
                </c:pt>
                <c:pt idx="195">
                  <c:v>47266</c:v>
                </c:pt>
                <c:pt idx="196">
                  <c:v>47273</c:v>
                </c:pt>
                <c:pt idx="197">
                  <c:v>47280</c:v>
                </c:pt>
                <c:pt idx="198">
                  <c:v>47287</c:v>
                </c:pt>
                <c:pt idx="199">
                  <c:v>47294</c:v>
                </c:pt>
                <c:pt idx="200">
                  <c:v>47301</c:v>
                </c:pt>
                <c:pt idx="201">
                  <c:v>47308</c:v>
                </c:pt>
                <c:pt idx="202">
                  <c:v>47315</c:v>
                </c:pt>
                <c:pt idx="203">
                  <c:v>47322</c:v>
                </c:pt>
                <c:pt idx="204">
                  <c:v>47329</c:v>
                </c:pt>
                <c:pt idx="205">
                  <c:v>47336</c:v>
                </c:pt>
                <c:pt idx="206">
                  <c:v>47343</c:v>
                </c:pt>
                <c:pt idx="207">
                  <c:v>47350</c:v>
                </c:pt>
                <c:pt idx="208">
                  <c:v>47357</c:v>
                </c:pt>
                <c:pt idx="209">
                  <c:v>47364</c:v>
                </c:pt>
                <c:pt idx="210">
                  <c:v>47371</c:v>
                </c:pt>
                <c:pt idx="211">
                  <c:v>47378</c:v>
                </c:pt>
                <c:pt idx="212">
                  <c:v>47385</c:v>
                </c:pt>
                <c:pt idx="213">
                  <c:v>47392</c:v>
                </c:pt>
                <c:pt idx="214">
                  <c:v>47399</c:v>
                </c:pt>
                <c:pt idx="215">
                  <c:v>47406</c:v>
                </c:pt>
                <c:pt idx="216">
                  <c:v>47413</c:v>
                </c:pt>
                <c:pt idx="217">
                  <c:v>47420</c:v>
                </c:pt>
                <c:pt idx="218">
                  <c:v>47427</c:v>
                </c:pt>
                <c:pt idx="219">
                  <c:v>47434</c:v>
                </c:pt>
                <c:pt idx="220">
                  <c:v>47441</c:v>
                </c:pt>
                <c:pt idx="221">
                  <c:v>47448</c:v>
                </c:pt>
                <c:pt idx="222">
                  <c:v>47455</c:v>
                </c:pt>
                <c:pt idx="223">
                  <c:v>47462</c:v>
                </c:pt>
                <c:pt idx="224">
                  <c:v>47469</c:v>
                </c:pt>
                <c:pt idx="225">
                  <c:v>47476</c:v>
                </c:pt>
                <c:pt idx="226">
                  <c:v>47483</c:v>
                </c:pt>
                <c:pt idx="227">
                  <c:v>47490</c:v>
                </c:pt>
                <c:pt idx="228">
                  <c:v>47497</c:v>
                </c:pt>
                <c:pt idx="229">
                  <c:v>47504</c:v>
                </c:pt>
                <c:pt idx="230">
                  <c:v>47511</c:v>
                </c:pt>
                <c:pt idx="231">
                  <c:v>47518</c:v>
                </c:pt>
                <c:pt idx="232">
                  <c:v>47525</c:v>
                </c:pt>
                <c:pt idx="233">
                  <c:v>47532</c:v>
                </c:pt>
                <c:pt idx="234">
                  <c:v>47539</c:v>
                </c:pt>
                <c:pt idx="235">
                  <c:v>47546</c:v>
                </c:pt>
                <c:pt idx="236">
                  <c:v>47553</c:v>
                </c:pt>
                <c:pt idx="237">
                  <c:v>47560</c:v>
                </c:pt>
                <c:pt idx="238">
                  <c:v>47567</c:v>
                </c:pt>
                <c:pt idx="239">
                  <c:v>47574</c:v>
                </c:pt>
                <c:pt idx="240">
                  <c:v>47581</c:v>
                </c:pt>
                <c:pt idx="241">
                  <c:v>47588</c:v>
                </c:pt>
                <c:pt idx="242">
                  <c:v>47595</c:v>
                </c:pt>
                <c:pt idx="243">
                  <c:v>47602</c:v>
                </c:pt>
                <c:pt idx="244">
                  <c:v>47609</c:v>
                </c:pt>
                <c:pt idx="245">
                  <c:v>47616</c:v>
                </c:pt>
                <c:pt idx="246">
                  <c:v>47623</c:v>
                </c:pt>
                <c:pt idx="247">
                  <c:v>47630</c:v>
                </c:pt>
                <c:pt idx="248">
                  <c:v>47637</c:v>
                </c:pt>
                <c:pt idx="249">
                  <c:v>47644</c:v>
                </c:pt>
                <c:pt idx="250">
                  <c:v>47651</c:v>
                </c:pt>
                <c:pt idx="251">
                  <c:v>47658</c:v>
                </c:pt>
                <c:pt idx="252">
                  <c:v>47665</c:v>
                </c:pt>
                <c:pt idx="253">
                  <c:v>47672</c:v>
                </c:pt>
                <c:pt idx="254">
                  <c:v>47679</c:v>
                </c:pt>
                <c:pt idx="255">
                  <c:v>47686</c:v>
                </c:pt>
                <c:pt idx="256">
                  <c:v>47693</c:v>
                </c:pt>
                <c:pt idx="257">
                  <c:v>47700</c:v>
                </c:pt>
                <c:pt idx="258">
                  <c:v>47707</c:v>
                </c:pt>
                <c:pt idx="259">
                  <c:v>47714</c:v>
                </c:pt>
                <c:pt idx="260">
                  <c:v>47721</c:v>
                </c:pt>
                <c:pt idx="261">
                  <c:v>47728</c:v>
                </c:pt>
                <c:pt idx="262">
                  <c:v>47735</c:v>
                </c:pt>
                <c:pt idx="263">
                  <c:v>47742</c:v>
                </c:pt>
                <c:pt idx="264">
                  <c:v>47749</c:v>
                </c:pt>
                <c:pt idx="265">
                  <c:v>47756</c:v>
                </c:pt>
                <c:pt idx="266">
                  <c:v>47763</c:v>
                </c:pt>
                <c:pt idx="267">
                  <c:v>47770</c:v>
                </c:pt>
                <c:pt idx="268">
                  <c:v>47777</c:v>
                </c:pt>
                <c:pt idx="269">
                  <c:v>47784</c:v>
                </c:pt>
                <c:pt idx="270">
                  <c:v>47791</c:v>
                </c:pt>
                <c:pt idx="271">
                  <c:v>47798</c:v>
                </c:pt>
                <c:pt idx="272">
                  <c:v>47805</c:v>
                </c:pt>
                <c:pt idx="273">
                  <c:v>47812</c:v>
                </c:pt>
                <c:pt idx="274">
                  <c:v>47819</c:v>
                </c:pt>
                <c:pt idx="275">
                  <c:v>47826</c:v>
                </c:pt>
                <c:pt idx="276">
                  <c:v>47833</c:v>
                </c:pt>
                <c:pt idx="277">
                  <c:v>47840</c:v>
                </c:pt>
                <c:pt idx="278">
                  <c:v>47847</c:v>
                </c:pt>
                <c:pt idx="279">
                  <c:v>47854</c:v>
                </c:pt>
                <c:pt idx="280">
                  <c:v>47861</c:v>
                </c:pt>
                <c:pt idx="281">
                  <c:v>47868</c:v>
                </c:pt>
                <c:pt idx="282">
                  <c:v>47875</c:v>
                </c:pt>
                <c:pt idx="283">
                  <c:v>47882</c:v>
                </c:pt>
                <c:pt idx="284">
                  <c:v>47889</c:v>
                </c:pt>
                <c:pt idx="285">
                  <c:v>47896</c:v>
                </c:pt>
                <c:pt idx="286">
                  <c:v>47903</c:v>
                </c:pt>
              </c:numCache>
              <c:extLst xmlns:c15="http://schemas.microsoft.com/office/drawing/2012/chart"/>
            </c:numRef>
          </c:cat>
          <c:val>
            <c:numRef>
              <c:f>Cashflow!$F$4:$KF$4</c:f>
              <c:numCache>
                <c:formatCode>#,##0</c:formatCode>
                <c:ptCount val="287"/>
                <c:pt idx="0">
                  <c:v>0</c:v>
                </c:pt>
                <c:pt idx="1">
                  <c:v>1038718.14</c:v>
                </c:pt>
                <c:pt idx="2">
                  <c:v>1038718.14</c:v>
                </c:pt>
                <c:pt idx="3">
                  <c:v>1038718.14</c:v>
                </c:pt>
                <c:pt idx="4">
                  <c:v>1038718.14</c:v>
                </c:pt>
                <c:pt idx="5">
                  <c:v>1038718.14</c:v>
                </c:pt>
                <c:pt idx="6">
                  <c:v>1038718.14</c:v>
                </c:pt>
                <c:pt idx="7">
                  <c:v>1038718.14</c:v>
                </c:pt>
                <c:pt idx="8">
                  <c:v>1038718.14</c:v>
                </c:pt>
                <c:pt idx="9">
                  <c:v>1038718.14</c:v>
                </c:pt>
                <c:pt idx="10">
                  <c:v>1765820.838</c:v>
                </c:pt>
                <c:pt idx="11">
                  <c:v>1765820.838</c:v>
                </c:pt>
                <c:pt idx="12">
                  <c:v>1765820.838</c:v>
                </c:pt>
                <c:pt idx="13">
                  <c:v>1973564.466</c:v>
                </c:pt>
                <c:pt idx="14">
                  <c:v>2077436.28</c:v>
                </c:pt>
                <c:pt idx="15">
                  <c:v>2077436.28</c:v>
                </c:pt>
                <c:pt idx="16">
                  <c:v>2077436.28</c:v>
                </c:pt>
                <c:pt idx="17">
                  <c:v>2077436.28</c:v>
                </c:pt>
                <c:pt idx="18">
                  <c:v>2077436.28</c:v>
                </c:pt>
                <c:pt idx="19">
                  <c:v>2077436.28</c:v>
                </c:pt>
                <c:pt idx="20">
                  <c:v>2077436.28</c:v>
                </c:pt>
                <c:pt idx="21">
                  <c:v>2077436.28</c:v>
                </c:pt>
                <c:pt idx="22">
                  <c:v>2077436.28</c:v>
                </c:pt>
                <c:pt idx="23">
                  <c:v>2077436.28</c:v>
                </c:pt>
                <c:pt idx="24">
                  <c:v>2077436.28</c:v>
                </c:pt>
                <c:pt idx="25">
                  <c:v>2077436.28</c:v>
                </c:pt>
                <c:pt idx="26">
                  <c:v>2077436.28</c:v>
                </c:pt>
                <c:pt idx="27">
                  <c:v>2077436.28</c:v>
                </c:pt>
                <c:pt idx="28">
                  <c:v>2077436.28</c:v>
                </c:pt>
                <c:pt idx="29">
                  <c:v>2077436.28</c:v>
                </c:pt>
                <c:pt idx="30">
                  <c:v>2077436.28</c:v>
                </c:pt>
                <c:pt idx="31">
                  <c:v>2077436.28</c:v>
                </c:pt>
                <c:pt idx="32">
                  <c:v>2077436.28</c:v>
                </c:pt>
                <c:pt idx="33">
                  <c:v>2077436.28</c:v>
                </c:pt>
                <c:pt idx="34">
                  <c:v>2077436.28</c:v>
                </c:pt>
                <c:pt idx="35">
                  <c:v>2077436.28</c:v>
                </c:pt>
                <c:pt idx="36">
                  <c:v>2077436.28</c:v>
                </c:pt>
                <c:pt idx="37">
                  <c:v>2077436.28</c:v>
                </c:pt>
                <c:pt idx="38">
                  <c:v>2077436.28</c:v>
                </c:pt>
                <c:pt idx="39">
                  <c:v>2077436.28</c:v>
                </c:pt>
                <c:pt idx="40">
                  <c:v>2077436.28</c:v>
                </c:pt>
                <c:pt idx="41">
                  <c:v>2077436.28</c:v>
                </c:pt>
                <c:pt idx="42">
                  <c:v>2077436.28</c:v>
                </c:pt>
                <c:pt idx="43">
                  <c:v>2077436.28</c:v>
                </c:pt>
                <c:pt idx="44">
                  <c:v>2077436.28</c:v>
                </c:pt>
                <c:pt idx="45">
                  <c:v>2077436.28</c:v>
                </c:pt>
                <c:pt idx="46">
                  <c:v>2077436.28</c:v>
                </c:pt>
                <c:pt idx="47">
                  <c:v>2077436.28</c:v>
                </c:pt>
                <c:pt idx="48">
                  <c:v>2077436.28</c:v>
                </c:pt>
                <c:pt idx="49">
                  <c:v>2077436.28</c:v>
                </c:pt>
                <c:pt idx="50">
                  <c:v>2077436.28</c:v>
                </c:pt>
                <c:pt idx="51">
                  <c:v>2077436.28</c:v>
                </c:pt>
                <c:pt idx="52">
                  <c:v>2077436.28</c:v>
                </c:pt>
                <c:pt idx="53">
                  <c:v>2077436.28</c:v>
                </c:pt>
                <c:pt idx="54">
                  <c:v>2077436.28</c:v>
                </c:pt>
                <c:pt idx="55">
                  <c:v>2077436.28</c:v>
                </c:pt>
                <c:pt idx="56">
                  <c:v>2077436.28</c:v>
                </c:pt>
                <c:pt idx="57">
                  <c:v>2077436.28</c:v>
                </c:pt>
                <c:pt idx="58">
                  <c:v>2077436.28</c:v>
                </c:pt>
                <c:pt idx="59">
                  <c:v>2077436.28</c:v>
                </c:pt>
                <c:pt idx="60">
                  <c:v>2077436.28</c:v>
                </c:pt>
                <c:pt idx="61">
                  <c:v>2077436.28</c:v>
                </c:pt>
                <c:pt idx="62">
                  <c:v>2077436.28</c:v>
                </c:pt>
                <c:pt idx="63">
                  <c:v>2077436.28</c:v>
                </c:pt>
                <c:pt idx="64">
                  <c:v>2077436.28</c:v>
                </c:pt>
                <c:pt idx="65">
                  <c:v>2077436.28</c:v>
                </c:pt>
                <c:pt idx="66">
                  <c:v>2077436.28</c:v>
                </c:pt>
                <c:pt idx="67">
                  <c:v>2077436.28</c:v>
                </c:pt>
                <c:pt idx="68">
                  <c:v>2077436.28</c:v>
                </c:pt>
                <c:pt idx="69">
                  <c:v>2077436.28</c:v>
                </c:pt>
                <c:pt idx="70">
                  <c:v>2077436.28</c:v>
                </c:pt>
                <c:pt idx="71">
                  <c:v>2077436.28</c:v>
                </c:pt>
                <c:pt idx="72">
                  <c:v>2077436.28</c:v>
                </c:pt>
                <c:pt idx="73">
                  <c:v>2077436.28</c:v>
                </c:pt>
                <c:pt idx="74">
                  <c:v>2077436.28</c:v>
                </c:pt>
                <c:pt idx="75">
                  <c:v>2077436.28</c:v>
                </c:pt>
                <c:pt idx="76">
                  <c:v>2077436.28</c:v>
                </c:pt>
                <c:pt idx="77">
                  <c:v>2077436.28</c:v>
                </c:pt>
                <c:pt idx="78">
                  <c:v>2077436.28</c:v>
                </c:pt>
                <c:pt idx="79">
                  <c:v>2077436.28</c:v>
                </c:pt>
                <c:pt idx="80">
                  <c:v>2077436.28</c:v>
                </c:pt>
                <c:pt idx="81">
                  <c:v>2077436.28</c:v>
                </c:pt>
                <c:pt idx="82">
                  <c:v>2077436.28</c:v>
                </c:pt>
                <c:pt idx="83">
                  <c:v>2077436.28</c:v>
                </c:pt>
                <c:pt idx="84">
                  <c:v>2077436.28</c:v>
                </c:pt>
                <c:pt idx="85">
                  <c:v>2077436.28</c:v>
                </c:pt>
                <c:pt idx="86">
                  <c:v>2077436.28</c:v>
                </c:pt>
                <c:pt idx="87">
                  <c:v>2077436.28</c:v>
                </c:pt>
                <c:pt idx="88">
                  <c:v>2077436.28</c:v>
                </c:pt>
                <c:pt idx="89">
                  <c:v>2077436.28</c:v>
                </c:pt>
                <c:pt idx="90">
                  <c:v>2077436.28</c:v>
                </c:pt>
                <c:pt idx="91">
                  <c:v>2077436.28</c:v>
                </c:pt>
                <c:pt idx="92">
                  <c:v>2077436.28</c:v>
                </c:pt>
                <c:pt idx="93">
                  <c:v>2077436.28</c:v>
                </c:pt>
                <c:pt idx="94">
                  <c:v>2077436.28</c:v>
                </c:pt>
                <c:pt idx="95">
                  <c:v>2077436.28</c:v>
                </c:pt>
                <c:pt idx="96">
                  <c:v>2077436.28</c:v>
                </c:pt>
                <c:pt idx="97">
                  <c:v>2077436.28</c:v>
                </c:pt>
                <c:pt idx="98">
                  <c:v>2077436.28</c:v>
                </c:pt>
                <c:pt idx="99">
                  <c:v>2077436.28</c:v>
                </c:pt>
                <c:pt idx="100">
                  <c:v>2077436.28</c:v>
                </c:pt>
                <c:pt idx="101">
                  <c:v>2077436.28</c:v>
                </c:pt>
                <c:pt idx="102">
                  <c:v>2077436.28</c:v>
                </c:pt>
                <c:pt idx="103">
                  <c:v>2077436.28</c:v>
                </c:pt>
                <c:pt idx="104">
                  <c:v>2077436.28</c:v>
                </c:pt>
                <c:pt idx="105">
                  <c:v>2077436.28</c:v>
                </c:pt>
                <c:pt idx="106">
                  <c:v>2077436.28</c:v>
                </c:pt>
                <c:pt idx="107">
                  <c:v>2077436.28</c:v>
                </c:pt>
                <c:pt idx="108">
                  <c:v>2077436.28</c:v>
                </c:pt>
                <c:pt idx="109">
                  <c:v>2077436.28</c:v>
                </c:pt>
                <c:pt idx="110">
                  <c:v>2077436.28</c:v>
                </c:pt>
                <c:pt idx="111">
                  <c:v>2077436.28</c:v>
                </c:pt>
                <c:pt idx="112">
                  <c:v>2077436.28</c:v>
                </c:pt>
                <c:pt idx="113">
                  <c:v>2077436.28</c:v>
                </c:pt>
                <c:pt idx="114">
                  <c:v>2077436.28</c:v>
                </c:pt>
                <c:pt idx="115">
                  <c:v>2077436.28</c:v>
                </c:pt>
                <c:pt idx="116">
                  <c:v>2077436.28</c:v>
                </c:pt>
                <c:pt idx="117">
                  <c:v>2077436.28</c:v>
                </c:pt>
                <c:pt idx="118">
                  <c:v>2077436.28</c:v>
                </c:pt>
                <c:pt idx="119">
                  <c:v>2077436.28</c:v>
                </c:pt>
                <c:pt idx="120">
                  <c:v>2077436.28</c:v>
                </c:pt>
                <c:pt idx="121">
                  <c:v>2077436.28</c:v>
                </c:pt>
                <c:pt idx="122">
                  <c:v>2077436.28</c:v>
                </c:pt>
                <c:pt idx="123">
                  <c:v>2077436.28</c:v>
                </c:pt>
                <c:pt idx="124">
                  <c:v>2077436.28</c:v>
                </c:pt>
                <c:pt idx="125">
                  <c:v>2077436.28</c:v>
                </c:pt>
                <c:pt idx="126">
                  <c:v>2077436.28</c:v>
                </c:pt>
                <c:pt idx="127">
                  <c:v>2077436.28</c:v>
                </c:pt>
                <c:pt idx="128">
                  <c:v>2077436.28</c:v>
                </c:pt>
                <c:pt idx="129">
                  <c:v>2077436.28</c:v>
                </c:pt>
                <c:pt idx="130">
                  <c:v>2077436.28</c:v>
                </c:pt>
                <c:pt idx="131">
                  <c:v>2077436.28</c:v>
                </c:pt>
                <c:pt idx="132">
                  <c:v>2077436.28</c:v>
                </c:pt>
                <c:pt idx="133">
                  <c:v>2077436.28</c:v>
                </c:pt>
                <c:pt idx="134">
                  <c:v>2077436.28</c:v>
                </c:pt>
                <c:pt idx="135">
                  <c:v>2077436.28</c:v>
                </c:pt>
                <c:pt idx="136">
                  <c:v>2077436.28</c:v>
                </c:pt>
                <c:pt idx="137">
                  <c:v>2077436.28</c:v>
                </c:pt>
                <c:pt idx="138">
                  <c:v>2077436.28</c:v>
                </c:pt>
                <c:pt idx="139">
                  <c:v>2077436.28</c:v>
                </c:pt>
                <c:pt idx="140">
                  <c:v>2077436.28</c:v>
                </c:pt>
                <c:pt idx="141">
                  <c:v>2077436.28</c:v>
                </c:pt>
                <c:pt idx="142">
                  <c:v>2077436.28</c:v>
                </c:pt>
                <c:pt idx="143">
                  <c:v>2077436.28</c:v>
                </c:pt>
                <c:pt idx="144">
                  <c:v>2077436.28</c:v>
                </c:pt>
                <c:pt idx="145">
                  <c:v>2077436.28</c:v>
                </c:pt>
                <c:pt idx="146">
                  <c:v>2077436.28</c:v>
                </c:pt>
                <c:pt idx="147">
                  <c:v>2077436.28</c:v>
                </c:pt>
                <c:pt idx="148">
                  <c:v>2077436.28</c:v>
                </c:pt>
                <c:pt idx="149">
                  <c:v>2077436.28</c:v>
                </c:pt>
                <c:pt idx="150">
                  <c:v>2077436.28</c:v>
                </c:pt>
                <c:pt idx="151">
                  <c:v>2077436.28</c:v>
                </c:pt>
                <c:pt idx="152">
                  <c:v>2077436.28</c:v>
                </c:pt>
                <c:pt idx="153">
                  <c:v>2077436.28</c:v>
                </c:pt>
                <c:pt idx="154">
                  <c:v>2077436.28</c:v>
                </c:pt>
                <c:pt idx="155">
                  <c:v>2077436.28</c:v>
                </c:pt>
                <c:pt idx="156">
                  <c:v>2077436.28</c:v>
                </c:pt>
                <c:pt idx="157">
                  <c:v>2077436.28</c:v>
                </c:pt>
                <c:pt idx="158">
                  <c:v>2077436.28</c:v>
                </c:pt>
                <c:pt idx="159">
                  <c:v>2077436.28</c:v>
                </c:pt>
                <c:pt idx="160">
                  <c:v>2077436.28</c:v>
                </c:pt>
                <c:pt idx="161">
                  <c:v>2077436.28</c:v>
                </c:pt>
                <c:pt idx="162">
                  <c:v>2077436.28</c:v>
                </c:pt>
                <c:pt idx="163">
                  <c:v>2077436.28</c:v>
                </c:pt>
                <c:pt idx="164">
                  <c:v>2077436.28</c:v>
                </c:pt>
                <c:pt idx="165">
                  <c:v>2077436.28</c:v>
                </c:pt>
                <c:pt idx="166">
                  <c:v>2077436.28</c:v>
                </c:pt>
                <c:pt idx="167">
                  <c:v>2077436.28</c:v>
                </c:pt>
                <c:pt idx="168">
                  <c:v>2077436.28</c:v>
                </c:pt>
                <c:pt idx="169">
                  <c:v>2077436.28</c:v>
                </c:pt>
                <c:pt idx="170">
                  <c:v>2077436.28</c:v>
                </c:pt>
                <c:pt idx="171">
                  <c:v>2077436.28</c:v>
                </c:pt>
                <c:pt idx="172">
                  <c:v>2077436.28</c:v>
                </c:pt>
                <c:pt idx="173">
                  <c:v>2077436.28</c:v>
                </c:pt>
                <c:pt idx="174">
                  <c:v>2077436.28</c:v>
                </c:pt>
                <c:pt idx="175">
                  <c:v>2077436.28</c:v>
                </c:pt>
                <c:pt idx="176">
                  <c:v>2077436.28</c:v>
                </c:pt>
                <c:pt idx="177">
                  <c:v>2077436.28</c:v>
                </c:pt>
                <c:pt idx="178">
                  <c:v>2077436.28</c:v>
                </c:pt>
                <c:pt idx="179">
                  <c:v>2077436.28</c:v>
                </c:pt>
                <c:pt idx="180">
                  <c:v>2077436.28</c:v>
                </c:pt>
                <c:pt idx="181">
                  <c:v>2077436.28</c:v>
                </c:pt>
                <c:pt idx="182">
                  <c:v>2077436.28</c:v>
                </c:pt>
                <c:pt idx="183">
                  <c:v>2077436.28</c:v>
                </c:pt>
                <c:pt idx="184">
                  <c:v>2077436.28</c:v>
                </c:pt>
                <c:pt idx="185">
                  <c:v>2077436.28</c:v>
                </c:pt>
                <c:pt idx="186">
                  <c:v>2077436.28</c:v>
                </c:pt>
                <c:pt idx="187">
                  <c:v>2077436.28</c:v>
                </c:pt>
                <c:pt idx="188">
                  <c:v>2077436.28</c:v>
                </c:pt>
                <c:pt idx="189">
                  <c:v>2077436.28</c:v>
                </c:pt>
                <c:pt idx="190">
                  <c:v>2077436.28</c:v>
                </c:pt>
                <c:pt idx="191">
                  <c:v>2077436.28</c:v>
                </c:pt>
                <c:pt idx="192">
                  <c:v>2077436.28</c:v>
                </c:pt>
                <c:pt idx="193">
                  <c:v>2077436.28</c:v>
                </c:pt>
                <c:pt idx="194">
                  <c:v>2077436.28</c:v>
                </c:pt>
                <c:pt idx="195">
                  <c:v>2077436.28</c:v>
                </c:pt>
                <c:pt idx="196">
                  <c:v>2077436.28</c:v>
                </c:pt>
                <c:pt idx="197">
                  <c:v>2077436.28</c:v>
                </c:pt>
                <c:pt idx="198">
                  <c:v>2077436.28</c:v>
                </c:pt>
                <c:pt idx="199">
                  <c:v>2077436.28</c:v>
                </c:pt>
                <c:pt idx="200">
                  <c:v>2077436.28</c:v>
                </c:pt>
                <c:pt idx="201">
                  <c:v>2077436.28</c:v>
                </c:pt>
                <c:pt idx="202">
                  <c:v>2077436.28</c:v>
                </c:pt>
                <c:pt idx="203">
                  <c:v>2077436.28</c:v>
                </c:pt>
                <c:pt idx="204">
                  <c:v>2077436.28</c:v>
                </c:pt>
                <c:pt idx="205">
                  <c:v>2077436.28</c:v>
                </c:pt>
                <c:pt idx="206">
                  <c:v>2077436.28</c:v>
                </c:pt>
                <c:pt idx="207">
                  <c:v>2077436.28</c:v>
                </c:pt>
                <c:pt idx="208">
                  <c:v>2077436.28</c:v>
                </c:pt>
                <c:pt idx="209">
                  <c:v>2077436.28</c:v>
                </c:pt>
                <c:pt idx="210">
                  <c:v>2077436.28</c:v>
                </c:pt>
                <c:pt idx="211">
                  <c:v>2077436.28</c:v>
                </c:pt>
                <c:pt idx="212">
                  <c:v>2077436.28</c:v>
                </c:pt>
                <c:pt idx="213">
                  <c:v>2077436.28</c:v>
                </c:pt>
                <c:pt idx="214">
                  <c:v>2077436.28</c:v>
                </c:pt>
                <c:pt idx="215">
                  <c:v>2077436.28</c:v>
                </c:pt>
                <c:pt idx="216">
                  <c:v>2077436.28</c:v>
                </c:pt>
                <c:pt idx="217">
                  <c:v>2077436.28</c:v>
                </c:pt>
                <c:pt idx="218">
                  <c:v>2077436.28</c:v>
                </c:pt>
                <c:pt idx="219">
                  <c:v>2077436.28</c:v>
                </c:pt>
                <c:pt idx="220">
                  <c:v>2077436.28</c:v>
                </c:pt>
                <c:pt idx="221">
                  <c:v>2077436.28</c:v>
                </c:pt>
                <c:pt idx="222">
                  <c:v>2077436.28</c:v>
                </c:pt>
                <c:pt idx="223">
                  <c:v>2077436.28</c:v>
                </c:pt>
                <c:pt idx="224">
                  <c:v>2077436.28</c:v>
                </c:pt>
                <c:pt idx="225">
                  <c:v>2077436.28</c:v>
                </c:pt>
                <c:pt idx="226">
                  <c:v>2077436.28</c:v>
                </c:pt>
                <c:pt idx="227">
                  <c:v>2077436.28</c:v>
                </c:pt>
                <c:pt idx="228">
                  <c:v>2077436.28</c:v>
                </c:pt>
                <c:pt idx="229">
                  <c:v>2077436.28</c:v>
                </c:pt>
                <c:pt idx="230">
                  <c:v>2077436.28</c:v>
                </c:pt>
                <c:pt idx="231">
                  <c:v>2077436.28</c:v>
                </c:pt>
                <c:pt idx="232">
                  <c:v>2077436.28</c:v>
                </c:pt>
                <c:pt idx="233">
                  <c:v>2077436.28</c:v>
                </c:pt>
                <c:pt idx="234">
                  <c:v>2077436.28</c:v>
                </c:pt>
                <c:pt idx="235">
                  <c:v>2077436.28</c:v>
                </c:pt>
                <c:pt idx="236">
                  <c:v>2077436.28</c:v>
                </c:pt>
                <c:pt idx="237">
                  <c:v>2077436.28</c:v>
                </c:pt>
                <c:pt idx="238">
                  <c:v>2077436.28</c:v>
                </c:pt>
                <c:pt idx="239">
                  <c:v>2077436.28</c:v>
                </c:pt>
                <c:pt idx="240">
                  <c:v>2077436.28</c:v>
                </c:pt>
                <c:pt idx="241">
                  <c:v>2077436.28</c:v>
                </c:pt>
                <c:pt idx="242">
                  <c:v>2077436.28</c:v>
                </c:pt>
                <c:pt idx="243">
                  <c:v>2077436.28</c:v>
                </c:pt>
                <c:pt idx="244">
                  <c:v>2077436.28</c:v>
                </c:pt>
                <c:pt idx="245">
                  <c:v>2077436.28</c:v>
                </c:pt>
                <c:pt idx="246">
                  <c:v>2077436.28</c:v>
                </c:pt>
                <c:pt idx="247">
                  <c:v>2077436.28</c:v>
                </c:pt>
                <c:pt idx="248">
                  <c:v>2077436.28</c:v>
                </c:pt>
                <c:pt idx="249">
                  <c:v>2077436.28</c:v>
                </c:pt>
                <c:pt idx="250">
                  <c:v>2077436.28</c:v>
                </c:pt>
                <c:pt idx="251">
                  <c:v>2077436.28</c:v>
                </c:pt>
                <c:pt idx="252">
                  <c:v>2077436.28</c:v>
                </c:pt>
                <c:pt idx="253">
                  <c:v>2077436.28</c:v>
                </c:pt>
                <c:pt idx="254">
                  <c:v>2077436.28</c:v>
                </c:pt>
                <c:pt idx="255">
                  <c:v>2077436.28</c:v>
                </c:pt>
                <c:pt idx="256">
                  <c:v>2077436.28</c:v>
                </c:pt>
                <c:pt idx="257">
                  <c:v>2077436.28</c:v>
                </c:pt>
                <c:pt idx="258">
                  <c:v>2077436.28</c:v>
                </c:pt>
                <c:pt idx="259">
                  <c:v>2077436.28</c:v>
                </c:pt>
                <c:pt idx="260">
                  <c:v>2077436.28</c:v>
                </c:pt>
                <c:pt idx="261">
                  <c:v>2077436.28</c:v>
                </c:pt>
                <c:pt idx="262">
                  <c:v>2077436.28</c:v>
                </c:pt>
                <c:pt idx="263">
                  <c:v>2077436.28</c:v>
                </c:pt>
                <c:pt idx="264">
                  <c:v>2077436.28</c:v>
                </c:pt>
                <c:pt idx="265">
                  <c:v>2077436.28</c:v>
                </c:pt>
                <c:pt idx="266">
                  <c:v>2077436.28</c:v>
                </c:pt>
                <c:pt idx="267">
                  <c:v>2077436.28</c:v>
                </c:pt>
                <c:pt idx="268">
                  <c:v>2077436.28</c:v>
                </c:pt>
                <c:pt idx="269">
                  <c:v>2077436.28</c:v>
                </c:pt>
                <c:pt idx="270">
                  <c:v>2077436.28</c:v>
                </c:pt>
                <c:pt idx="271">
                  <c:v>2077436.28</c:v>
                </c:pt>
                <c:pt idx="272">
                  <c:v>2077436.28</c:v>
                </c:pt>
                <c:pt idx="273">
                  <c:v>2077436.28</c:v>
                </c:pt>
                <c:pt idx="274">
                  <c:v>2077436.28</c:v>
                </c:pt>
                <c:pt idx="275">
                  <c:v>2077436.28</c:v>
                </c:pt>
                <c:pt idx="276">
                  <c:v>2077436.28</c:v>
                </c:pt>
                <c:pt idx="277">
                  <c:v>2077436.28</c:v>
                </c:pt>
                <c:pt idx="278">
                  <c:v>2077436.28</c:v>
                </c:pt>
                <c:pt idx="279">
                  <c:v>2077436.28</c:v>
                </c:pt>
                <c:pt idx="280">
                  <c:v>2077436.28</c:v>
                </c:pt>
                <c:pt idx="281">
                  <c:v>2077436.28</c:v>
                </c:pt>
                <c:pt idx="282">
                  <c:v>2077436.28</c:v>
                </c:pt>
                <c:pt idx="283">
                  <c:v>2077436.28</c:v>
                </c:pt>
                <c:pt idx="284">
                  <c:v>2077436.28</c:v>
                </c:pt>
                <c:pt idx="285">
                  <c:v>2077436.28</c:v>
                </c:pt>
                <c:pt idx="286">
                  <c:v>2077436.28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45901</c:v>
                </c:pt>
                <c:pt idx="1">
                  <c:v>45908</c:v>
                </c:pt>
                <c:pt idx="2">
                  <c:v>45915</c:v>
                </c:pt>
                <c:pt idx="3">
                  <c:v>45922</c:v>
                </c:pt>
                <c:pt idx="4">
                  <c:v>45929</c:v>
                </c:pt>
                <c:pt idx="5">
                  <c:v>45936</c:v>
                </c:pt>
                <c:pt idx="6">
                  <c:v>45943</c:v>
                </c:pt>
                <c:pt idx="7">
                  <c:v>45950</c:v>
                </c:pt>
                <c:pt idx="8">
                  <c:v>45957</c:v>
                </c:pt>
                <c:pt idx="9">
                  <c:v>45964</c:v>
                </c:pt>
                <c:pt idx="10">
                  <c:v>45971</c:v>
                </c:pt>
                <c:pt idx="11">
                  <c:v>45978</c:v>
                </c:pt>
                <c:pt idx="12">
                  <c:v>45985</c:v>
                </c:pt>
                <c:pt idx="13">
                  <c:v>45992</c:v>
                </c:pt>
                <c:pt idx="14">
                  <c:v>45999</c:v>
                </c:pt>
                <c:pt idx="15">
                  <c:v>46006</c:v>
                </c:pt>
                <c:pt idx="16">
                  <c:v>46013</c:v>
                </c:pt>
                <c:pt idx="17">
                  <c:v>46020</c:v>
                </c:pt>
                <c:pt idx="18">
                  <c:v>46027</c:v>
                </c:pt>
                <c:pt idx="19">
                  <c:v>46034</c:v>
                </c:pt>
                <c:pt idx="20">
                  <c:v>46041</c:v>
                </c:pt>
                <c:pt idx="21">
                  <c:v>46048</c:v>
                </c:pt>
                <c:pt idx="22">
                  <c:v>46055</c:v>
                </c:pt>
                <c:pt idx="23">
                  <c:v>46062</c:v>
                </c:pt>
                <c:pt idx="24">
                  <c:v>46069</c:v>
                </c:pt>
                <c:pt idx="25">
                  <c:v>46076</c:v>
                </c:pt>
                <c:pt idx="26">
                  <c:v>46083</c:v>
                </c:pt>
                <c:pt idx="27">
                  <c:v>46090</c:v>
                </c:pt>
                <c:pt idx="28">
                  <c:v>46097</c:v>
                </c:pt>
                <c:pt idx="29">
                  <c:v>46104</c:v>
                </c:pt>
                <c:pt idx="30">
                  <c:v>46111</c:v>
                </c:pt>
                <c:pt idx="31">
                  <c:v>46118</c:v>
                </c:pt>
                <c:pt idx="32">
                  <c:v>46125</c:v>
                </c:pt>
                <c:pt idx="33">
                  <c:v>46132</c:v>
                </c:pt>
                <c:pt idx="34">
                  <c:v>46139</c:v>
                </c:pt>
                <c:pt idx="35">
                  <c:v>46146</c:v>
                </c:pt>
                <c:pt idx="36">
                  <c:v>46153</c:v>
                </c:pt>
                <c:pt idx="37">
                  <c:v>46160</c:v>
                </c:pt>
                <c:pt idx="38">
                  <c:v>46167</c:v>
                </c:pt>
                <c:pt idx="39">
                  <c:v>46174</c:v>
                </c:pt>
                <c:pt idx="40">
                  <c:v>46181</c:v>
                </c:pt>
                <c:pt idx="41">
                  <c:v>46188</c:v>
                </c:pt>
                <c:pt idx="42">
                  <c:v>46195</c:v>
                </c:pt>
                <c:pt idx="43">
                  <c:v>46202</c:v>
                </c:pt>
                <c:pt idx="44">
                  <c:v>46209</c:v>
                </c:pt>
                <c:pt idx="45">
                  <c:v>46216</c:v>
                </c:pt>
                <c:pt idx="46">
                  <c:v>46223</c:v>
                </c:pt>
                <c:pt idx="47">
                  <c:v>46230</c:v>
                </c:pt>
                <c:pt idx="48">
                  <c:v>46237</c:v>
                </c:pt>
                <c:pt idx="49">
                  <c:v>46244</c:v>
                </c:pt>
                <c:pt idx="50">
                  <c:v>46251</c:v>
                </c:pt>
                <c:pt idx="51">
                  <c:v>46258</c:v>
                </c:pt>
                <c:pt idx="52">
                  <c:v>46265</c:v>
                </c:pt>
                <c:pt idx="53">
                  <c:v>46272</c:v>
                </c:pt>
                <c:pt idx="54">
                  <c:v>46279</c:v>
                </c:pt>
                <c:pt idx="55">
                  <c:v>46286</c:v>
                </c:pt>
                <c:pt idx="56">
                  <c:v>46293</c:v>
                </c:pt>
                <c:pt idx="57">
                  <c:v>46300</c:v>
                </c:pt>
                <c:pt idx="58">
                  <c:v>46307</c:v>
                </c:pt>
                <c:pt idx="59">
                  <c:v>46314</c:v>
                </c:pt>
                <c:pt idx="60">
                  <c:v>46321</c:v>
                </c:pt>
                <c:pt idx="61">
                  <c:v>46328</c:v>
                </c:pt>
                <c:pt idx="62">
                  <c:v>46335</c:v>
                </c:pt>
                <c:pt idx="63">
                  <c:v>46342</c:v>
                </c:pt>
                <c:pt idx="64">
                  <c:v>46349</c:v>
                </c:pt>
                <c:pt idx="65">
                  <c:v>46356</c:v>
                </c:pt>
                <c:pt idx="66">
                  <c:v>46363</c:v>
                </c:pt>
                <c:pt idx="67">
                  <c:v>46370</c:v>
                </c:pt>
                <c:pt idx="68">
                  <c:v>46377</c:v>
                </c:pt>
                <c:pt idx="69">
                  <c:v>46384</c:v>
                </c:pt>
                <c:pt idx="70">
                  <c:v>46391</c:v>
                </c:pt>
                <c:pt idx="71">
                  <c:v>46398</c:v>
                </c:pt>
                <c:pt idx="72">
                  <c:v>46405</c:v>
                </c:pt>
                <c:pt idx="73">
                  <c:v>46412</c:v>
                </c:pt>
                <c:pt idx="74">
                  <c:v>46419</c:v>
                </c:pt>
                <c:pt idx="75">
                  <c:v>46426</c:v>
                </c:pt>
                <c:pt idx="76">
                  <c:v>46433</c:v>
                </c:pt>
                <c:pt idx="77">
                  <c:v>46440</c:v>
                </c:pt>
                <c:pt idx="78">
                  <c:v>46447</c:v>
                </c:pt>
                <c:pt idx="79">
                  <c:v>46454</c:v>
                </c:pt>
                <c:pt idx="80">
                  <c:v>46461</c:v>
                </c:pt>
                <c:pt idx="81">
                  <c:v>46468</c:v>
                </c:pt>
                <c:pt idx="82">
                  <c:v>46475</c:v>
                </c:pt>
                <c:pt idx="83">
                  <c:v>46482</c:v>
                </c:pt>
                <c:pt idx="84">
                  <c:v>46489</c:v>
                </c:pt>
                <c:pt idx="85">
                  <c:v>46496</c:v>
                </c:pt>
                <c:pt idx="86">
                  <c:v>46503</c:v>
                </c:pt>
                <c:pt idx="87">
                  <c:v>46510</c:v>
                </c:pt>
                <c:pt idx="88">
                  <c:v>46517</c:v>
                </c:pt>
                <c:pt idx="89">
                  <c:v>46524</c:v>
                </c:pt>
                <c:pt idx="90">
                  <c:v>46531</c:v>
                </c:pt>
                <c:pt idx="91">
                  <c:v>46538</c:v>
                </c:pt>
                <c:pt idx="92">
                  <c:v>46545</c:v>
                </c:pt>
                <c:pt idx="93">
                  <c:v>46552</c:v>
                </c:pt>
                <c:pt idx="94">
                  <c:v>46559</c:v>
                </c:pt>
                <c:pt idx="95">
                  <c:v>46566</c:v>
                </c:pt>
                <c:pt idx="96">
                  <c:v>46573</c:v>
                </c:pt>
                <c:pt idx="97">
                  <c:v>46580</c:v>
                </c:pt>
                <c:pt idx="98">
                  <c:v>46587</c:v>
                </c:pt>
                <c:pt idx="99">
                  <c:v>46594</c:v>
                </c:pt>
                <c:pt idx="100">
                  <c:v>46601</c:v>
                </c:pt>
                <c:pt idx="101">
                  <c:v>46608</c:v>
                </c:pt>
                <c:pt idx="102">
                  <c:v>46615</c:v>
                </c:pt>
                <c:pt idx="103">
                  <c:v>46622</c:v>
                </c:pt>
                <c:pt idx="104">
                  <c:v>46629</c:v>
                </c:pt>
                <c:pt idx="105">
                  <c:v>46636</c:v>
                </c:pt>
                <c:pt idx="106">
                  <c:v>46643</c:v>
                </c:pt>
                <c:pt idx="107">
                  <c:v>46650</c:v>
                </c:pt>
                <c:pt idx="108">
                  <c:v>46657</c:v>
                </c:pt>
                <c:pt idx="109">
                  <c:v>46664</c:v>
                </c:pt>
                <c:pt idx="110">
                  <c:v>46671</c:v>
                </c:pt>
                <c:pt idx="111">
                  <c:v>46678</c:v>
                </c:pt>
                <c:pt idx="112">
                  <c:v>46685</c:v>
                </c:pt>
                <c:pt idx="113">
                  <c:v>46692</c:v>
                </c:pt>
                <c:pt idx="114">
                  <c:v>46699</c:v>
                </c:pt>
                <c:pt idx="115">
                  <c:v>46706</c:v>
                </c:pt>
                <c:pt idx="116">
                  <c:v>46713</c:v>
                </c:pt>
                <c:pt idx="117">
                  <c:v>46720</c:v>
                </c:pt>
                <c:pt idx="118">
                  <c:v>46727</c:v>
                </c:pt>
                <c:pt idx="119">
                  <c:v>46734</c:v>
                </c:pt>
                <c:pt idx="120">
                  <c:v>46741</c:v>
                </c:pt>
                <c:pt idx="121">
                  <c:v>46748</c:v>
                </c:pt>
                <c:pt idx="122">
                  <c:v>46755</c:v>
                </c:pt>
                <c:pt idx="123">
                  <c:v>46762</c:v>
                </c:pt>
                <c:pt idx="124">
                  <c:v>46769</c:v>
                </c:pt>
                <c:pt idx="125">
                  <c:v>46776</c:v>
                </c:pt>
                <c:pt idx="126">
                  <c:v>46783</c:v>
                </c:pt>
                <c:pt idx="127">
                  <c:v>46790</c:v>
                </c:pt>
                <c:pt idx="128">
                  <c:v>46797</c:v>
                </c:pt>
                <c:pt idx="129">
                  <c:v>46804</c:v>
                </c:pt>
                <c:pt idx="130">
                  <c:v>46811</c:v>
                </c:pt>
                <c:pt idx="131">
                  <c:v>46818</c:v>
                </c:pt>
                <c:pt idx="132">
                  <c:v>46825</c:v>
                </c:pt>
                <c:pt idx="133">
                  <c:v>46832</c:v>
                </c:pt>
                <c:pt idx="134">
                  <c:v>46839</c:v>
                </c:pt>
                <c:pt idx="135">
                  <c:v>46846</c:v>
                </c:pt>
                <c:pt idx="136">
                  <c:v>46853</c:v>
                </c:pt>
                <c:pt idx="137">
                  <c:v>46860</c:v>
                </c:pt>
                <c:pt idx="138">
                  <c:v>46867</c:v>
                </c:pt>
                <c:pt idx="139">
                  <c:v>46874</c:v>
                </c:pt>
                <c:pt idx="140">
                  <c:v>46881</c:v>
                </c:pt>
                <c:pt idx="141">
                  <c:v>46888</c:v>
                </c:pt>
                <c:pt idx="142">
                  <c:v>46895</c:v>
                </c:pt>
                <c:pt idx="143">
                  <c:v>46902</c:v>
                </c:pt>
                <c:pt idx="144">
                  <c:v>46909</c:v>
                </c:pt>
                <c:pt idx="145">
                  <c:v>46916</c:v>
                </c:pt>
                <c:pt idx="146">
                  <c:v>46923</c:v>
                </c:pt>
                <c:pt idx="147">
                  <c:v>46930</c:v>
                </c:pt>
                <c:pt idx="148">
                  <c:v>46937</c:v>
                </c:pt>
                <c:pt idx="149">
                  <c:v>46944</c:v>
                </c:pt>
                <c:pt idx="150">
                  <c:v>46951</c:v>
                </c:pt>
                <c:pt idx="151">
                  <c:v>46958</c:v>
                </c:pt>
                <c:pt idx="152">
                  <c:v>46965</c:v>
                </c:pt>
                <c:pt idx="153">
                  <c:v>46972</c:v>
                </c:pt>
                <c:pt idx="154">
                  <c:v>46979</c:v>
                </c:pt>
                <c:pt idx="155">
                  <c:v>46986</c:v>
                </c:pt>
                <c:pt idx="156">
                  <c:v>46993</c:v>
                </c:pt>
                <c:pt idx="157">
                  <c:v>47000</c:v>
                </c:pt>
                <c:pt idx="158">
                  <c:v>47007</c:v>
                </c:pt>
                <c:pt idx="159">
                  <c:v>47014</c:v>
                </c:pt>
                <c:pt idx="160">
                  <c:v>47021</c:v>
                </c:pt>
                <c:pt idx="161">
                  <c:v>47028</c:v>
                </c:pt>
                <c:pt idx="162">
                  <c:v>47035</c:v>
                </c:pt>
                <c:pt idx="163">
                  <c:v>47042</c:v>
                </c:pt>
                <c:pt idx="164">
                  <c:v>47049</c:v>
                </c:pt>
                <c:pt idx="165">
                  <c:v>47056</c:v>
                </c:pt>
                <c:pt idx="166">
                  <c:v>47063</c:v>
                </c:pt>
                <c:pt idx="167">
                  <c:v>47070</c:v>
                </c:pt>
                <c:pt idx="168">
                  <c:v>47077</c:v>
                </c:pt>
                <c:pt idx="169">
                  <c:v>47084</c:v>
                </c:pt>
                <c:pt idx="170">
                  <c:v>47091</c:v>
                </c:pt>
                <c:pt idx="171">
                  <c:v>47098</c:v>
                </c:pt>
                <c:pt idx="172">
                  <c:v>47105</c:v>
                </c:pt>
                <c:pt idx="173">
                  <c:v>47112</c:v>
                </c:pt>
                <c:pt idx="174">
                  <c:v>47119</c:v>
                </c:pt>
                <c:pt idx="175">
                  <c:v>47126</c:v>
                </c:pt>
                <c:pt idx="176">
                  <c:v>47133</c:v>
                </c:pt>
                <c:pt idx="177">
                  <c:v>47140</c:v>
                </c:pt>
                <c:pt idx="178">
                  <c:v>47147</c:v>
                </c:pt>
                <c:pt idx="179">
                  <c:v>47154</c:v>
                </c:pt>
                <c:pt idx="180">
                  <c:v>47161</c:v>
                </c:pt>
                <c:pt idx="181">
                  <c:v>47168</c:v>
                </c:pt>
                <c:pt idx="182">
                  <c:v>47175</c:v>
                </c:pt>
                <c:pt idx="183">
                  <c:v>47182</c:v>
                </c:pt>
                <c:pt idx="184">
                  <c:v>47189</c:v>
                </c:pt>
                <c:pt idx="185">
                  <c:v>47196</c:v>
                </c:pt>
                <c:pt idx="186">
                  <c:v>47203</c:v>
                </c:pt>
                <c:pt idx="187">
                  <c:v>47210</c:v>
                </c:pt>
                <c:pt idx="188">
                  <c:v>47217</c:v>
                </c:pt>
                <c:pt idx="189">
                  <c:v>47224</c:v>
                </c:pt>
                <c:pt idx="190">
                  <c:v>47231</c:v>
                </c:pt>
                <c:pt idx="191">
                  <c:v>47238</c:v>
                </c:pt>
                <c:pt idx="192">
                  <c:v>47245</c:v>
                </c:pt>
                <c:pt idx="193">
                  <c:v>47252</c:v>
                </c:pt>
                <c:pt idx="194">
                  <c:v>47259</c:v>
                </c:pt>
                <c:pt idx="195">
                  <c:v>47266</c:v>
                </c:pt>
                <c:pt idx="196">
                  <c:v>47273</c:v>
                </c:pt>
                <c:pt idx="197">
                  <c:v>47280</c:v>
                </c:pt>
                <c:pt idx="198">
                  <c:v>47287</c:v>
                </c:pt>
                <c:pt idx="199">
                  <c:v>47294</c:v>
                </c:pt>
                <c:pt idx="200">
                  <c:v>47301</c:v>
                </c:pt>
                <c:pt idx="201">
                  <c:v>47308</c:v>
                </c:pt>
                <c:pt idx="202">
                  <c:v>47315</c:v>
                </c:pt>
                <c:pt idx="203">
                  <c:v>47322</c:v>
                </c:pt>
                <c:pt idx="204">
                  <c:v>47329</c:v>
                </c:pt>
                <c:pt idx="205">
                  <c:v>47336</c:v>
                </c:pt>
                <c:pt idx="206">
                  <c:v>47343</c:v>
                </c:pt>
                <c:pt idx="207">
                  <c:v>47350</c:v>
                </c:pt>
                <c:pt idx="208">
                  <c:v>47357</c:v>
                </c:pt>
                <c:pt idx="209">
                  <c:v>47364</c:v>
                </c:pt>
                <c:pt idx="210">
                  <c:v>47371</c:v>
                </c:pt>
                <c:pt idx="211">
                  <c:v>47378</c:v>
                </c:pt>
                <c:pt idx="212">
                  <c:v>47385</c:v>
                </c:pt>
                <c:pt idx="213">
                  <c:v>47392</c:v>
                </c:pt>
                <c:pt idx="214">
                  <c:v>47399</c:v>
                </c:pt>
                <c:pt idx="215">
                  <c:v>47406</c:v>
                </c:pt>
                <c:pt idx="216">
                  <c:v>47413</c:v>
                </c:pt>
                <c:pt idx="217">
                  <c:v>47420</c:v>
                </c:pt>
                <c:pt idx="218">
                  <c:v>47427</c:v>
                </c:pt>
                <c:pt idx="219">
                  <c:v>47434</c:v>
                </c:pt>
                <c:pt idx="220">
                  <c:v>47441</c:v>
                </c:pt>
                <c:pt idx="221">
                  <c:v>47448</c:v>
                </c:pt>
                <c:pt idx="222">
                  <c:v>47455</c:v>
                </c:pt>
                <c:pt idx="223">
                  <c:v>47462</c:v>
                </c:pt>
                <c:pt idx="224">
                  <c:v>47469</c:v>
                </c:pt>
                <c:pt idx="225">
                  <c:v>47476</c:v>
                </c:pt>
                <c:pt idx="226">
                  <c:v>47483</c:v>
                </c:pt>
                <c:pt idx="227">
                  <c:v>47490</c:v>
                </c:pt>
                <c:pt idx="228">
                  <c:v>47497</c:v>
                </c:pt>
                <c:pt idx="229">
                  <c:v>47504</c:v>
                </c:pt>
                <c:pt idx="230">
                  <c:v>47511</c:v>
                </c:pt>
                <c:pt idx="231">
                  <c:v>47518</c:v>
                </c:pt>
                <c:pt idx="232">
                  <c:v>47525</c:v>
                </c:pt>
                <c:pt idx="233">
                  <c:v>47532</c:v>
                </c:pt>
                <c:pt idx="234">
                  <c:v>47539</c:v>
                </c:pt>
                <c:pt idx="235">
                  <c:v>47546</c:v>
                </c:pt>
                <c:pt idx="236">
                  <c:v>47553</c:v>
                </c:pt>
                <c:pt idx="237">
                  <c:v>47560</c:v>
                </c:pt>
                <c:pt idx="238">
                  <c:v>47567</c:v>
                </c:pt>
                <c:pt idx="239">
                  <c:v>47574</c:v>
                </c:pt>
                <c:pt idx="240">
                  <c:v>47581</c:v>
                </c:pt>
                <c:pt idx="241">
                  <c:v>47588</c:v>
                </c:pt>
                <c:pt idx="242">
                  <c:v>47595</c:v>
                </c:pt>
                <c:pt idx="243">
                  <c:v>47602</c:v>
                </c:pt>
                <c:pt idx="244">
                  <c:v>47609</c:v>
                </c:pt>
                <c:pt idx="245">
                  <c:v>47616</c:v>
                </c:pt>
                <c:pt idx="246">
                  <c:v>47623</c:v>
                </c:pt>
                <c:pt idx="247">
                  <c:v>47630</c:v>
                </c:pt>
                <c:pt idx="248">
                  <c:v>47637</c:v>
                </c:pt>
                <c:pt idx="249">
                  <c:v>47644</c:v>
                </c:pt>
                <c:pt idx="250">
                  <c:v>47651</c:v>
                </c:pt>
                <c:pt idx="251">
                  <c:v>47658</c:v>
                </c:pt>
                <c:pt idx="252">
                  <c:v>47665</c:v>
                </c:pt>
                <c:pt idx="253">
                  <c:v>47672</c:v>
                </c:pt>
                <c:pt idx="254">
                  <c:v>47679</c:v>
                </c:pt>
                <c:pt idx="255">
                  <c:v>47686</c:v>
                </c:pt>
                <c:pt idx="256">
                  <c:v>47693</c:v>
                </c:pt>
                <c:pt idx="257">
                  <c:v>47700</c:v>
                </c:pt>
                <c:pt idx="258">
                  <c:v>47707</c:v>
                </c:pt>
                <c:pt idx="259">
                  <c:v>47714</c:v>
                </c:pt>
                <c:pt idx="260">
                  <c:v>47721</c:v>
                </c:pt>
                <c:pt idx="261">
                  <c:v>47728</c:v>
                </c:pt>
                <c:pt idx="262">
                  <c:v>47735</c:v>
                </c:pt>
                <c:pt idx="263">
                  <c:v>47742</c:v>
                </c:pt>
                <c:pt idx="264">
                  <c:v>47749</c:v>
                </c:pt>
                <c:pt idx="265">
                  <c:v>47756</c:v>
                </c:pt>
                <c:pt idx="266">
                  <c:v>47763</c:v>
                </c:pt>
                <c:pt idx="267">
                  <c:v>47770</c:v>
                </c:pt>
                <c:pt idx="268">
                  <c:v>47777</c:v>
                </c:pt>
                <c:pt idx="269">
                  <c:v>47784</c:v>
                </c:pt>
                <c:pt idx="270">
                  <c:v>47791</c:v>
                </c:pt>
                <c:pt idx="271">
                  <c:v>47798</c:v>
                </c:pt>
                <c:pt idx="272">
                  <c:v>47805</c:v>
                </c:pt>
                <c:pt idx="273">
                  <c:v>47812</c:v>
                </c:pt>
                <c:pt idx="274">
                  <c:v>47819</c:v>
                </c:pt>
                <c:pt idx="275">
                  <c:v>47826</c:v>
                </c:pt>
                <c:pt idx="276">
                  <c:v>47833</c:v>
                </c:pt>
                <c:pt idx="277">
                  <c:v>47840</c:v>
                </c:pt>
                <c:pt idx="278">
                  <c:v>47847</c:v>
                </c:pt>
                <c:pt idx="279">
                  <c:v>47854</c:v>
                </c:pt>
                <c:pt idx="280">
                  <c:v>47861</c:v>
                </c:pt>
                <c:pt idx="281">
                  <c:v>47868</c:v>
                </c:pt>
                <c:pt idx="282">
                  <c:v>47875</c:v>
                </c:pt>
                <c:pt idx="283">
                  <c:v>47882</c:v>
                </c:pt>
                <c:pt idx="284">
                  <c:v>47889</c:v>
                </c:pt>
                <c:pt idx="285">
                  <c:v>47896</c:v>
                </c:pt>
                <c:pt idx="286">
                  <c:v>47903</c:v>
                </c:pt>
              </c:numCache>
              <c:extLst xmlns:c15="http://schemas.microsoft.com/office/drawing/2012/chart"/>
            </c:numRef>
          </c:cat>
          <c:val>
            <c:numRef>
              <c:f>Cashflow!$F$6:$KF$6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247198.35</c:v>
                </c:pt>
                <c:pt idx="12">
                  <c:v>470528.35</c:v>
                </c:pt>
                <c:pt idx="13">
                  <c:v>851815.16999999993</c:v>
                </c:pt>
                <c:pt idx="14">
                  <c:v>877153.82</c:v>
                </c:pt>
                <c:pt idx="15">
                  <c:v>877153.82</c:v>
                </c:pt>
                <c:pt idx="16">
                  <c:v>877153.82</c:v>
                </c:pt>
                <c:pt idx="17">
                  <c:v>877153.82</c:v>
                </c:pt>
                <c:pt idx="18">
                  <c:v>1702430.3199999998</c:v>
                </c:pt>
                <c:pt idx="19">
                  <c:v>1702430.3199999998</c:v>
                </c:pt>
                <c:pt idx="20">
                  <c:v>1702430.3199999998</c:v>
                </c:pt>
                <c:pt idx="21">
                  <c:v>1702430.3199999998</c:v>
                </c:pt>
                <c:pt idx="22">
                  <c:v>1702430.3199999998</c:v>
                </c:pt>
                <c:pt idx="23">
                  <c:v>1702430.3199999998</c:v>
                </c:pt>
                <c:pt idx="24">
                  <c:v>1702430.3199999998</c:v>
                </c:pt>
                <c:pt idx="25">
                  <c:v>1702430.3199999998</c:v>
                </c:pt>
                <c:pt idx="26">
                  <c:v>1702430.3199999998</c:v>
                </c:pt>
                <c:pt idx="27">
                  <c:v>1702430.3199999998</c:v>
                </c:pt>
                <c:pt idx="28">
                  <c:v>1702430.3199999998</c:v>
                </c:pt>
                <c:pt idx="29">
                  <c:v>1702430.3199999998</c:v>
                </c:pt>
                <c:pt idx="30">
                  <c:v>1702430.3199999998</c:v>
                </c:pt>
                <c:pt idx="31">
                  <c:v>1702430.3199999998</c:v>
                </c:pt>
                <c:pt idx="32">
                  <c:v>1702430.3199999998</c:v>
                </c:pt>
                <c:pt idx="33">
                  <c:v>1702430.3199999998</c:v>
                </c:pt>
                <c:pt idx="34">
                  <c:v>1702430.3199999998</c:v>
                </c:pt>
                <c:pt idx="35">
                  <c:v>1702430.3199999998</c:v>
                </c:pt>
                <c:pt idx="36">
                  <c:v>1702430.3199999998</c:v>
                </c:pt>
                <c:pt idx="37">
                  <c:v>1702430.3199999998</c:v>
                </c:pt>
                <c:pt idx="38">
                  <c:v>1702430.3199999998</c:v>
                </c:pt>
                <c:pt idx="39">
                  <c:v>1702430.3199999998</c:v>
                </c:pt>
                <c:pt idx="40">
                  <c:v>1702430.3199999998</c:v>
                </c:pt>
                <c:pt idx="41">
                  <c:v>1702430.3199999998</c:v>
                </c:pt>
                <c:pt idx="42">
                  <c:v>1702430.3199999998</c:v>
                </c:pt>
                <c:pt idx="43">
                  <c:v>1702430.3199999998</c:v>
                </c:pt>
                <c:pt idx="44">
                  <c:v>1702430.3199999998</c:v>
                </c:pt>
                <c:pt idx="45">
                  <c:v>1702430.3199999998</c:v>
                </c:pt>
                <c:pt idx="46">
                  <c:v>1702430.3199999998</c:v>
                </c:pt>
                <c:pt idx="47">
                  <c:v>1702430.3199999998</c:v>
                </c:pt>
                <c:pt idx="48">
                  <c:v>1702430.3199999998</c:v>
                </c:pt>
                <c:pt idx="49">
                  <c:v>1702430.3199999998</c:v>
                </c:pt>
                <c:pt idx="50">
                  <c:v>1702430.3199999998</c:v>
                </c:pt>
                <c:pt idx="51">
                  <c:v>1702430.3199999998</c:v>
                </c:pt>
                <c:pt idx="52">
                  <c:v>1702430.3199999998</c:v>
                </c:pt>
                <c:pt idx="53">
                  <c:v>1702430.3199999998</c:v>
                </c:pt>
                <c:pt idx="54">
                  <c:v>1702430.3199999998</c:v>
                </c:pt>
                <c:pt idx="55">
                  <c:v>1702430.3199999998</c:v>
                </c:pt>
                <c:pt idx="56">
                  <c:v>1702430.3199999998</c:v>
                </c:pt>
                <c:pt idx="57">
                  <c:v>1702430.3199999998</c:v>
                </c:pt>
                <c:pt idx="58">
                  <c:v>1702430.3199999998</c:v>
                </c:pt>
                <c:pt idx="59">
                  <c:v>1702430.3199999998</c:v>
                </c:pt>
                <c:pt idx="60">
                  <c:v>1702430.3199999998</c:v>
                </c:pt>
                <c:pt idx="61">
                  <c:v>1702430.3199999998</c:v>
                </c:pt>
                <c:pt idx="62">
                  <c:v>1702430.3199999998</c:v>
                </c:pt>
                <c:pt idx="63">
                  <c:v>1702430.3199999998</c:v>
                </c:pt>
                <c:pt idx="64">
                  <c:v>1702430.3199999998</c:v>
                </c:pt>
                <c:pt idx="65">
                  <c:v>1702430.3199999998</c:v>
                </c:pt>
                <c:pt idx="66">
                  <c:v>1702430.3199999998</c:v>
                </c:pt>
                <c:pt idx="67">
                  <c:v>1702430.3199999998</c:v>
                </c:pt>
                <c:pt idx="68">
                  <c:v>1702430.3199999998</c:v>
                </c:pt>
                <c:pt idx="69">
                  <c:v>1702430.3199999998</c:v>
                </c:pt>
                <c:pt idx="70">
                  <c:v>1702430.3199999998</c:v>
                </c:pt>
                <c:pt idx="71">
                  <c:v>1702430.3199999998</c:v>
                </c:pt>
                <c:pt idx="72">
                  <c:v>1702430.3199999998</c:v>
                </c:pt>
                <c:pt idx="73">
                  <c:v>1702430.3199999998</c:v>
                </c:pt>
                <c:pt idx="74">
                  <c:v>1702430.3199999998</c:v>
                </c:pt>
                <c:pt idx="75">
                  <c:v>1702430.3199999998</c:v>
                </c:pt>
                <c:pt idx="76">
                  <c:v>1702430.3199999998</c:v>
                </c:pt>
                <c:pt idx="77">
                  <c:v>1702430.3199999998</c:v>
                </c:pt>
                <c:pt idx="78">
                  <c:v>1702430.3199999998</c:v>
                </c:pt>
                <c:pt idx="79">
                  <c:v>1702430.3199999998</c:v>
                </c:pt>
                <c:pt idx="80">
                  <c:v>1702430.3199999998</c:v>
                </c:pt>
                <c:pt idx="81">
                  <c:v>1702430.3199999998</c:v>
                </c:pt>
                <c:pt idx="82">
                  <c:v>1702430.3199999998</c:v>
                </c:pt>
                <c:pt idx="83">
                  <c:v>1702430.3199999998</c:v>
                </c:pt>
                <c:pt idx="84">
                  <c:v>1702430.3199999998</c:v>
                </c:pt>
                <c:pt idx="85">
                  <c:v>1702430.3199999998</c:v>
                </c:pt>
                <c:pt idx="86">
                  <c:v>1702430.3199999998</c:v>
                </c:pt>
                <c:pt idx="87">
                  <c:v>1702430.3199999998</c:v>
                </c:pt>
                <c:pt idx="88">
                  <c:v>1702430.3199999998</c:v>
                </c:pt>
                <c:pt idx="89">
                  <c:v>1702430.3199999998</c:v>
                </c:pt>
                <c:pt idx="90">
                  <c:v>1702430.3199999998</c:v>
                </c:pt>
                <c:pt idx="91">
                  <c:v>1702430.3199999998</c:v>
                </c:pt>
                <c:pt idx="92">
                  <c:v>1702430.3199999998</c:v>
                </c:pt>
                <c:pt idx="93">
                  <c:v>1702430.3199999998</c:v>
                </c:pt>
                <c:pt idx="94">
                  <c:v>1702430.3199999998</c:v>
                </c:pt>
                <c:pt idx="95">
                  <c:v>1702430.3199999998</c:v>
                </c:pt>
                <c:pt idx="96">
                  <c:v>1702430.3199999998</c:v>
                </c:pt>
                <c:pt idx="97">
                  <c:v>1702430.3199999998</c:v>
                </c:pt>
                <c:pt idx="98">
                  <c:v>1702430.3199999998</c:v>
                </c:pt>
                <c:pt idx="99">
                  <c:v>1702430.3199999998</c:v>
                </c:pt>
                <c:pt idx="100">
                  <c:v>1702430.3199999998</c:v>
                </c:pt>
                <c:pt idx="101">
                  <c:v>1702430.3199999998</c:v>
                </c:pt>
                <c:pt idx="102">
                  <c:v>1702430.3199999998</c:v>
                </c:pt>
                <c:pt idx="103">
                  <c:v>1702430.3199999998</c:v>
                </c:pt>
                <c:pt idx="104">
                  <c:v>1702430.3199999998</c:v>
                </c:pt>
                <c:pt idx="105">
                  <c:v>1702430.3199999998</c:v>
                </c:pt>
                <c:pt idx="106">
                  <c:v>1702430.3199999998</c:v>
                </c:pt>
                <c:pt idx="107">
                  <c:v>1702430.3199999998</c:v>
                </c:pt>
                <c:pt idx="108">
                  <c:v>1702430.3199999998</c:v>
                </c:pt>
                <c:pt idx="109">
                  <c:v>1702430.3199999998</c:v>
                </c:pt>
                <c:pt idx="110">
                  <c:v>1702430.3199999998</c:v>
                </c:pt>
                <c:pt idx="111">
                  <c:v>1702430.3199999998</c:v>
                </c:pt>
                <c:pt idx="112">
                  <c:v>1702430.3199999998</c:v>
                </c:pt>
                <c:pt idx="113">
                  <c:v>1702430.3199999998</c:v>
                </c:pt>
                <c:pt idx="114">
                  <c:v>1702430.3199999998</c:v>
                </c:pt>
                <c:pt idx="115">
                  <c:v>1702430.3199999998</c:v>
                </c:pt>
                <c:pt idx="116">
                  <c:v>1702430.3199999998</c:v>
                </c:pt>
                <c:pt idx="117">
                  <c:v>1702430.3199999998</c:v>
                </c:pt>
                <c:pt idx="118">
                  <c:v>1702430.3199999998</c:v>
                </c:pt>
                <c:pt idx="119">
                  <c:v>1702430.3199999998</c:v>
                </c:pt>
                <c:pt idx="120">
                  <c:v>1702430.3199999998</c:v>
                </c:pt>
                <c:pt idx="121">
                  <c:v>1702430.3199999998</c:v>
                </c:pt>
                <c:pt idx="122">
                  <c:v>1702430.3199999998</c:v>
                </c:pt>
                <c:pt idx="123">
                  <c:v>1702430.3199999998</c:v>
                </c:pt>
                <c:pt idx="124">
                  <c:v>1702430.3199999998</c:v>
                </c:pt>
                <c:pt idx="125">
                  <c:v>1702430.3199999998</c:v>
                </c:pt>
                <c:pt idx="126">
                  <c:v>1702430.3199999998</c:v>
                </c:pt>
                <c:pt idx="127">
                  <c:v>1702430.3199999998</c:v>
                </c:pt>
                <c:pt idx="128">
                  <c:v>1702430.3199999998</c:v>
                </c:pt>
                <c:pt idx="129">
                  <c:v>1702430.3199999998</c:v>
                </c:pt>
                <c:pt idx="130">
                  <c:v>1702430.3199999998</c:v>
                </c:pt>
                <c:pt idx="131">
                  <c:v>1702430.3199999998</c:v>
                </c:pt>
                <c:pt idx="132">
                  <c:v>1702430.3199999998</c:v>
                </c:pt>
                <c:pt idx="133">
                  <c:v>1702430.3199999998</c:v>
                </c:pt>
                <c:pt idx="134">
                  <c:v>1702430.3199999998</c:v>
                </c:pt>
                <c:pt idx="135">
                  <c:v>1702430.3199999998</c:v>
                </c:pt>
                <c:pt idx="136">
                  <c:v>1702430.3199999998</c:v>
                </c:pt>
                <c:pt idx="137">
                  <c:v>1702430.3199999998</c:v>
                </c:pt>
                <c:pt idx="138">
                  <c:v>1702430.3199999998</c:v>
                </c:pt>
                <c:pt idx="139">
                  <c:v>1702430.3199999998</c:v>
                </c:pt>
                <c:pt idx="140">
                  <c:v>1702430.3199999998</c:v>
                </c:pt>
                <c:pt idx="141">
                  <c:v>1702430.3199999998</c:v>
                </c:pt>
                <c:pt idx="142">
                  <c:v>1702430.3199999998</c:v>
                </c:pt>
                <c:pt idx="143">
                  <c:v>1702430.3199999998</c:v>
                </c:pt>
                <c:pt idx="144">
                  <c:v>1702430.3199999998</c:v>
                </c:pt>
                <c:pt idx="145">
                  <c:v>1702430.3199999998</c:v>
                </c:pt>
                <c:pt idx="146">
                  <c:v>1702430.3199999998</c:v>
                </c:pt>
                <c:pt idx="147">
                  <c:v>1702430.3199999998</c:v>
                </c:pt>
                <c:pt idx="148">
                  <c:v>1702430.3199999998</c:v>
                </c:pt>
                <c:pt idx="149">
                  <c:v>1702430.3199999998</c:v>
                </c:pt>
                <c:pt idx="150">
                  <c:v>1702430.3199999998</c:v>
                </c:pt>
                <c:pt idx="151">
                  <c:v>1702430.3199999998</c:v>
                </c:pt>
                <c:pt idx="152">
                  <c:v>1702430.3199999998</c:v>
                </c:pt>
                <c:pt idx="153">
                  <c:v>1702430.3199999998</c:v>
                </c:pt>
                <c:pt idx="154">
                  <c:v>1702430.3199999998</c:v>
                </c:pt>
                <c:pt idx="155">
                  <c:v>1702430.3199999998</c:v>
                </c:pt>
                <c:pt idx="156">
                  <c:v>1702430.3199999998</c:v>
                </c:pt>
                <c:pt idx="157">
                  <c:v>1702430.3199999998</c:v>
                </c:pt>
                <c:pt idx="158">
                  <c:v>1702430.3199999998</c:v>
                </c:pt>
                <c:pt idx="159">
                  <c:v>1702430.3199999998</c:v>
                </c:pt>
                <c:pt idx="160">
                  <c:v>1702430.3199999998</c:v>
                </c:pt>
                <c:pt idx="161">
                  <c:v>1702430.3199999998</c:v>
                </c:pt>
                <c:pt idx="162">
                  <c:v>1702430.3199999998</c:v>
                </c:pt>
                <c:pt idx="163">
                  <c:v>1702430.3199999998</c:v>
                </c:pt>
                <c:pt idx="164">
                  <c:v>1702430.3199999998</c:v>
                </c:pt>
                <c:pt idx="165">
                  <c:v>1702430.3199999998</c:v>
                </c:pt>
                <c:pt idx="166">
                  <c:v>1702430.3199999998</c:v>
                </c:pt>
                <c:pt idx="167">
                  <c:v>1702430.3199999998</c:v>
                </c:pt>
                <c:pt idx="168">
                  <c:v>1702430.3199999998</c:v>
                </c:pt>
                <c:pt idx="169">
                  <c:v>1702430.3199999998</c:v>
                </c:pt>
                <c:pt idx="170">
                  <c:v>1702430.3199999998</c:v>
                </c:pt>
                <c:pt idx="171">
                  <c:v>1702430.3199999998</c:v>
                </c:pt>
                <c:pt idx="172">
                  <c:v>1702430.3199999998</c:v>
                </c:pt>
                <c:pt idx="173">
                  <c:v>1702430.3199999998</c:v>
                </c:pt>
                <c:pt idx="174">
                  <c:v>1702430.3199999998</c:v>
                </c:pt>
                <c:pt idx="175">
                  <c:v>1702430.3199999998</c:v>
                </c:pt>
                <c:pt idx="176">
                  <c:v>1702430.3199999998</c:v>
                </c:pt>
                <c:pt idx="177">
                  <c:v>1702430.3199999998</c:v>
                </c:pt>
                <c:pt idx="178">
                  <c:v>1702430.3199999998</c:v>
                </c:pt>
                <c:pt idx="179">
                  <c:v>1702430.3199999998</c:v>
                </c:pt>
                <c:pt idx="180">
                  <c:v>1702430.3199999998</c:v>
                </c:pt>
                <c:pt idx="181">
                  <c:v>1702430.3199999998</c:v>
                </c:pt>
                <c:pt idx="182">
                  <c:v>1702430.3199999998</c:v>
                </c:pt>
                <c:pt idx="183">
                  <c:v>1702430.3199999998</c:v>
                </c:pt>
                <c:pt idx="184">
                  <c:v>1702430.3199999998</c:v>
                </c:pt>
                <c:pt idx="185">
                  <c:v>1702430.3199999998</c:v>
                </c:pt>
                <c:pt idx="186">
                  <c:v>1702430.3199999998</c:v>
                </c:pt>
                <c:pt idx="187">
                  <c:v>1702430.3199999998</c:v>
                </c:pt>
                <c:pt idx="188">
                  <c:v>1702430.3199999998</c:v>
                </c:pt>
                <c:pt idx="189">
                  <c:v>1702430.3199999998</c:v>
                </c:pt>
                <c:pt idx="190">
                  <c:v>1702430.3199999998</c:v>
                </c:pt>
                <c:pt idx="191">
                  <c:v>1702430.3199999998</c:v>
                </c:pt>
                <c:pt idx="192">
                  <c:v>1702430.3199999998</c:v>
                </c:pt>
                <c:pt idx="193">
                  <c:v>1702430.3199999998</c:v>
                </c:pt>
                <c:pt idx="194">
                  <c:v>1702430.3199999998</c:v>
                </c:pt>
                <c:pt idx="195">
                  <c:v>1702430.3199999998</c:v>
                </c:pt>
                <c:pt idx="196">
                  <c:v>1702430.3199999998</c:v>
                </c:pt>
                <c:pt idx="197">
                  <c:v>1702430.3199999998</c:v>
                </c:pt>
                <c:pt idx="198">
                  <c:v>1702430.3199999998</c:v>
                </c:pt>
                <c:pt idx="199">
                  <c:v>1702430.3199999998</c:v>
                </c:pt>
                <c:pt idx="200">
                  <c:v>1702430.3199999998</c:v>
                </c:pt>
                <c:pt idx="201">
                  <c:v>1702430.3199999998</c:v>
                </c:pt>
                <c:pt idx="202">
                  <c:v>1702430.3199999998</c:v>
                </c:pt>
                <c:pt idx="203">
                  <c:v>1702430.3199999998</c:v>
                </c:pt>
                <c:pt idx="204">
                  <c:v>1702430.3199999998</c:v>
                </c:pt>
                <c:pt idx="205">
                  <c:v>1702430.3199999998</c:v>
                </c:pt>
                <c:pt idx="206">
                  <c:v>1702430.3199999998</c:v>
                </c:pt>
                <c:pt idx="207">
                  <c:v>1702430.3199999998</c:v>
                </c:pt>
                <c:pt idx="208">
                  <c:v>1702430.3199999998</c:v>
                </c:pt>
                <c:pt idx="209">
                  <c:v>1702430.3199999998</c:v>
                </c:pt>
                <c:pt idx="210">
                  <c:v>1702430.3199999998</c:v>
                </c:pt>
                <c:pt idx="211">
                  <c:v>1702430.3199999998</c:v>
                </c:pt>
                <c:pt idx="212">
                  <c:v>1702430.3199999998</c:v>
                </c:pt>
                <c:pt idx="213">
                  <c:v>1702430.3199999998</c:v>
                </c:pt>
                <c:pt idx="214">
                  <c:v>1702430.3199999998</c:v>
                </c:pt>
                <c:pt idx="215">
                  <c:v>1702430.3199999998</c:v>
                </c:pt>
                <c:pt idx="216">
                  <c:v>1702430.3199999998</c:v>
                </c:pt>
                <c:pt idx="217">
                  <c:v>1702430.3199999998</c:v>
                </c:pt>
                <c:pt idx="218">
                  <c:v>1702430.3199999998</c:v>
                </c:pt>
                <c:pt idx="219">
                  <c:v>1702430.3199999998</c:v>
                </c:pt>
                <c:pt idx="220">
                  <c:v>1702430.3199999998</c:v>
                </c:pt>
                <c:pt idx="221">
                  <c:v>1702430.3199999998</c:v>
                </c:pt>
                <c:pt idx="222">
                  <c:v>1702430.3199999998</c:v>
                </c:pt>
                <c:pt idx="223">
                  <c:v>1702430.3199999998</c:v>
                </c:pt>
                <c:pt idx="224">
                  <c:v>1702430.3199999998</c:v>
                </c:pt>
                <c:pt idx="225">
                  <c:v>1702430.3199999998</c:v>
                </c:pt>
                <c:pt idx="226">
                  <c:v>1702430.3199999998</c:v>
                </c:pt>
                <c:pt idx="227">
                  <c:v>1702430.3199999998</c:v>
                </c:pt>
                <c:pt idx="228">
                  <c:v>1702430.3199999998</c:v>
                </c:pt>
                <c:pt idx="229">
                  <c:v>1702430.3199999998</c:v>
                </c:pt>
                <c:pt idx="230">
                  <c:v>1702430.3199999998</c:v>
                </c:pt>
                <c:pt idx="231">
                  <c:v>1702430.3199999998</c:v>
                </c:pt>
                <c:pt idx="232">
                  <c:v>1702430.3199999998</c:v>
                </c:pt>
                <c:pt idx="233">
                  <c:v>1702430.3199999998</c:v>
                </c:pt>
                <c:pt idx="234">
                  <c:v>1702430.3199999998</c:v>
                </c:pt>
                <c:pt idx="235">
                  <c:v>1702430.3199999998</c:v>
                </c:pt>
                <c:pt idx="236">
                  <c:v>1702430.3199999998</c:v>
                </c:pt>
                <c:pt idx="237">
                  <c:v>1702430.3199999998</c:v>
                </c:pt>
                <c:pt idx="238">
                  <c:v>1702430.3199999998</c:v>
                </c:pt>
                <c:pt idx="239">
                  <c:v>1702430.3199999998</c:v>
                </c:pt>
                <c:pt idx="240">
                  <c:v>1702430.3199999998</c:v>
                </c:pt>
                <c:pt idx="241">
                  <c:v>1702430.3199999998</c:v>
                </c:pt>
                <c:pt idx="242">
                  <c:v>1702430.3199999998</c:v>
                </c:pt>
                <c:pt idx="243">
                  <c:v>1702430.3199999998</c:v>
                </c:pt>
                <c:pt idx="244">
                  <c:v>1702430.3199999998</c:v>
                </c:pt>
                <c:pt idx="245">
                  <c:v>1702430.3199999998</c:v>
                </c:pt>
                <c:pt idx="246">
                  <c:v>1702430.3199999998</c:v>
                </c:pt>
                <c:pt idx="247">
                  <c:v>1702430.3199999998</c:v>
                </c:pt>
                <c:pt idx="248">
                  <c:v>1702430.3199999998</c:v>
                </c:pt>
                <c:pt idx="249">
                  <c:v>1702430.3199999998</c:v>
                </c:pt>
                <c:pt idx="250">
                  <c:v>1702430.3199999998</c:v>
                </c:pt>
                <c:pt idx="251">
                  <c:v>1702430.3199999998</c:v>
                </c:pt>
                <c:pt idx="252">
                  <c:v>1702430.3199999998</c:v>
                </c:pt>
                <c:pt idx="253">
                  <c:v>1702430.3199999998</c:v>
                </c:pt>
                <c:pt idx="254">
                  <c:v>1702430.3199999998</c:v>
                </c:pt>
                <c:pt idx="255">
                  <c:v>1702430.3199999998</c:v>
                </c:pt>
                <c:pt idx="256">
                  <c:v>1702430.3199999998</c:v>
                </c:pt>
                <c:pt idx="257">
                  <c:v>1702430.3199999998</c:v>
                </c:pt>
                <c:pt idx="258">
                  <c:v>1702430.3199999998</c:v>
                </c:pt>
                <c:pt idx="259">
                  <c:v>1702430.3199999998</c:v>
                </c:pt>
                <c:pt idx="260">
                  <c:v>1702430.3199999998</c:v>
                </c:pt>
                <c:pt idx="261">
                  <c:v>1702430.3199999998</c:v>
                </c:pt>
                <c:pt idx="262">
                  <c:v>1702430.3199999998</c:v>
                </c:pt>
                <c:pt idx="263">
                  <c:v>1702430.3199999998</c:v>
                </c:pt>
                <c:pt idx="264">
                  <c:v>1702430.3199999998</c:v>
                </c:pt>
                <c:pt idx="265">
                  <c:v>1702430.3199999998</c:v>
                </c:pt>
                <c:pt idx="266">
                  <c:v>1702430.3199999998</c:v>
                </c:pt>
                <c:pt idx="267">
                  <c:v>1702430.3199999998</c:v>
                </c:pt>
                <c:pt idx="268">
                  <c:v>1702430.3199999998</c:v>
                </c:pt>
                <c:pt idx="269">
                  <c:v>1702430.3199999998</c:v>
                </c:pt>
                <c:pt idx="270">
                  <c:v>1702430.3199999998</c:v>
                </c:pt>
                <c:pt idx="271">
                  <c:v>1702430.3199999998</c:v>
                </c:pt>
                <c:pt idx="272">
                  <c:v>1702430.3199999998</c:v>
                </c:pt>
                <c:pt idx="273">
                  <c:v>1702430.3199999998</c:v>
                </c:pt>
                <c:pt idx="274">
                  <c:v>1702430.3199999998</c:v>
                </c:pt>
                <c:pt idx="275">
                  <c:v>1702430.3199999998</c:v>
                </c:pt>
                <c:pt idx="276">
                  <c:v>1702430.3199999998</c:v>
                </c:pt>
                <c:pt idx="277">
                  <c:v>1702430.3199999998</c:v>
                </c:pt>
                <c:pt idx="278">
                  <c:v>1702430.3199999998</c:v>
                </c:pt>
                <c:pt idx="279">
                  <c:v>1702430.3199999998</c:v>
                </c:pt>
                <c:pt idx="280">
                  <c:v>1702430.3199999998</c:v>
                </c:pt>
                <c:pt idx="281">
                  <c:v>1702430.3199999998</c:v>
                </c:pt>
                <c:pt idx="282">
                  <c:v>1702430.3199999998</c:v>
                </c:pt>
                <c:pt idx="283">
                  <c:v>1702430.3199999998</c:v>
                </c:pt>
                <c:pt idx="284">
                  <c:v>1702430.3199999998</c:v>
                </c:pt>
                <c:pt idx="285">
                  <c:v>1702430.3199999998</c:v>
                </c:pt>
                <c:pt idx="286">
                  <c:v>1702430.3199999998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45901</c:v>
                </c:pt>
                <c:pt idx="1">
                  <c:v>45908</c:v>
                </c:pt>
                <c:pt idx="2">
                  <c:v>45915</c:v>
                </c:pt>
                <c:pt idx="3">
                  <c:v>45922</c:v>
                </c:pt>
                <c:pt idx="4">
                  <c:v>45929</c:v>
                </c:pt>
                <c:pt idx="5">
                  <c:v>45936</c:v>
                </c:pt>
                <c:pt idx="6">
                  <c:v>45943</c:v>
                </c:pt>
                <c:pt idx="7">
                  <c:v>45950</c:v>
                </c:pt>
                <c:pt idx="8">
                  <c:v>45957</c:v>
                </c:pt>
                <c:pt idx="9">
                  <c:v>45964</c:v>
                </c:pt>
                <c:pt idx="10">
                  <c:v>45971</c:v>
                </c:pt>
                <c:pt idx="11">
                  <c:v>45978</c:v>
                </c:pt>
                <c:pt idx="12">
                  <c:v>45985</c:v>
                </c:pt>
                <c:pt idx="13">
                  <c:v>45992</c:v>
                </c:pt>
                <c:pt idx="14">
                  <c:v>45999</c:v>
                </c:pt>
                <c:pt idx="15">
                  <c:v>46006</c:v>
                </c:pt>
                <c:pt idx="16">
                  <c:v>46013</c:v>
                </c:pt>
                <c:pt idx="17">
                  <c:v>46020</c:v>
                </c:pt>
                <c:pt idx="18">
                  <c:v>46027</c:v>
                </c:pt>
                <c:pt idx="19">
                  <c:v>46034</c:v>
                </c:pt>
                <c:pt idx="20">
                  <c:v>46041</c:v>
                </c:pt>
                <c:pt idx="21">
                  <c:v>46048</c:v>
                </c:pt>
                <c:pt idx="22">
                  <c:v>46055</c:v>
                </c:pt>
                <c:pt idx="23">
                  <c:v>46062</c:v>
                </c:pt>
                <c:pt idx="24">
                  <c:v>46069</c:v>
                </c:pt>
                <c:pt idx="25">
                  <c:v>46076</c:v>
                </c:pt>
                <c:pt idx="26">
                  <c:v>46083</c:v>
                </c:pt>
                <c:pt idx="27">
                  <c:v>46090</c:v>
                </c:pt>
                <c:pt idx="28">
                  <c:v>46097</c:v>
                </c:pt>
                <c:pt idx="29">
                  <c:v>46104</c:v>
                </c:pt>
                <c:pt idx="30">
                  <c:v>46111</c:v>
                </c:pt>
                <c:pt idx="31">
                  <c:v>46118</c:v>
                </c:pt>
                <c:pt idx="32">
                  <c:v>46125</c:v>
                </c:pt>
                <c:pt idx="33">
                  <c:v>46132</c:v>
                </c:pt>
                <c:pt idx="34">
                  <c:v>46139</c:v>
                </c:pt>
                <c:pt idx="35">
                  <c:v>46146</c:v>
                </c:pt>
                <c:pt idx="36">
                  <c:v>46153</c:v>
                </c:pt>
                <c:pt idx="37">
                  <c:v>46160</c:v>
                </c:pt>
                <c:pt idx="38">
                  <c:v>46167</c:v>
                </c:pt>
                <c:pt idx="39">
                  <c:v>46174</c:v>
                </c:pt>
                <c:pt idx="40">
                  <c:v>46181</c:v>
                </c:pt>
                <c:pt idx="41">
                  <c:v>46188</c:v>
                </c:pt>
                <c:pt idx="42">
                  <c:v>46195</c:v>
                </c:pt>
                <c:pt idx="43">
                  <c:v>46202</c:v>
                </c:pt>
                <c:pt idx="44">
                  <c:v>46209</c:v>
                </c:pt>
                <c:pt idx="45">
                  <c:v>46216</c:v>
                </c:pt>
                <c:pt idx="46">
                  <c:v>46223</c:v>
                </c:pt>
                <c:pt idx="47">
                  <c:v>46230</c:v>
                </c:pt>
                <c:pt idx="48">
                  <c:v>46237</c:v>
                </c:pt>
                <c:pt idx="49">
                  <c:v>46244</c:v>
                </c:pt>
                <c:pt idx="50">
                  <c:v>46251</c:v>
                </c:pt>
                <c:pt idx="51">
                  <c:v>46258</c:v>
                </c:pt>
                <c:pt idx="52">
                  <c:v>46265</c:v>
                </c:pt>
                <c:pt idx="53">
                  <c:v>46272</c:v>
                </c:pt>
                <c:pt idx="54">
                  <c:v>46279</c:v>
                </c:pt>
                <c:pt idx="55">
                  <c:v>46286</c:v>
                </c:pt>
                <c:pt idx="56">
                  <c:v>46293</c:v>
                </c:pt>
                <c:pt idx="57">
                  <c:v>46300</c:v>
                </c:pt>
                <c:pt idx="58">
                  <c:v>46307</c:v>
                </c:pt>
                <c:pt idx="59">
                  <c:v>46314</c:v>
                </c:pt>
                <c:pt idx="60">
                  <c:v>46321</c:v>
                </c:pt>
                <c:pt idx="61">
                  <c:v>46328</c:v>
                </c:pt>
                <c:pt idx="62">
                  <c:v>46335</c:v>
                </c:pt>
                <c:pt idx="63">
                  <c:v>46342</c:v>
                </c:pt>
                <c:pt idx="64">
                  <c:v>46349</c:v>
                </c:pt>
                <c:pt idx="65">
                  <c:v>46356</c:v>
                </c:pt>
                <c:pt idx="66">
                  <c:v>46363</c:v>
                </c:pt>
                <c:pt idx="67">
                  <c:v>46370</c:v>
                </c:pt>
                <c:pt idx="68">
                  <c:v>46377</c:v>
                </c:pt>
                <c:pt idx="69">
                  <c:v>46384</c:v>
                </c:pt>
                <c:pt idx="70">
                  <c:v>46391</c:v>
                </c:pt>
                <c:pt idx="71">
                  <c:v>46398</c:v>
                </c:pt>
                <c:pt idx="72">
                  <c:v>46405</c:v>
                </c:pt>
                <c:pt idx="73">
                  <c:v>46412</c:v>
                </c:pt>
                <c:pt idx="74">
                  <c:v>46419</c:v>
                </c:pt>
                <c:pt idx="75">
                  <c:v>46426</c:v>
                </c:pt>
                <c:pt idx="76">
                  <c:v>46433</c:v>
                </c:pt>
                <c:pt idx="77">
                  <c:v>46440</c:v>
                </c:pt>
                <c:pt idx="78">
                  <c:v>46447</c:v>
                </c:pt>
                <c:pt idx="79">
                  <c:v>46454</c:v>
                </c:pt>
                <c:pt idx="80">
                  <c:v>46461</c:v>
                </c:pt>
                <c:pt idx="81">
                  <c:v>46468</c:v>
                </c:pt>
                <c:pt idx="82">
                  <c:v>46475</c:v>
                </c:pt>
                <c:pt idx="83">
                  <c:v>46482</c:v>
                </c:pt>
                <c:pt idx="84">
                  <c:v>46489</c:v>
                </c:pt>
                <c:pt idx="85">
                  <c:v>46496</c:v>
                </c:pt>
                <c:pt idx="86">
                  <c:v>46503</c:v>
                </c:pt>
                <c:pt idx="87">
                  <c:v>46510</c:v>
                </c:pt>
                <c:pt idx="88">
                  <c:v>46517</c:v>
                </c:pt>
                <c:pt idx="89">
                  <c:v>46524</c:v>
                </c:pt>
                <c:pt idx="90">
                  <c:v>46531</c:v>
                </c:pt>
                <c:pt idx="91">
                  <c:v>46538</c:v>
                </c:pt>
                <c:pt idx="92">
                  <c:v>46545</c:v>
                </c:pt>
                <c:pt idx="93">
                  <c:v>46552</c:v>
                </c:pt>
                <c:pt idx="94">
                  <c:v>46559</c:v>
                </c:pt>
                <c:pt idx="95">
                  <c:v>46566</c:v>
                </c:pt>
                <c:pt idx="96">
                  <c:v>46573</c:v>
                </c:pt>
                <c:pt idx="97">
                  <c:v>46580</c:v>
                </c:pt>
                <c:pt idx="98">
                  <c:v>46587</c:v>
                </c:pt>
                <c:pt idx="99">
                  <c:v>46594</c:v>
                </c:pt>
                <c:pt idx="100">
                  <c:v>46601</c:v>
                </c:pt>
                <c:pt idx="101">
                  <c:v>46608</c:v>
                </c:pt>
                <c:pt idx="102">
                  <c:v>46615</c:v>
                </c:pt>
                <c:pt idx="103">
                  <c:v>46622</c:v>
                </c:pt>
                <c:pt idx="104">
                  <c:v>46629</c:v>
                </c:pt>
                <c:pt idx="105">
                  <c:v>46636</c:v>
                </c:pt>
                <c:pt idx="106">
                  <c:v>46643</c:v>
                </c:pt>
                <c:pt idx="107">
                  <c:v>46650</c:v>
                </c:pt>
                <c:pt idx="108">
                  <c:v>46657</c:v>
                </c:pt>
                <c:pt idx="109">
                  <c:v>46664</c:v>
                </c:pt>
                <c:pt idx="110">
                  <c:v>46671</c:v>
                </c:pt>
                <c:pt idx="111">
                  <c:v>46678</c:v>
                </c:pt>
                <c:pt idx="112">
                  <c:v>46685</c:v>
                </c:pt>
                <c:pt idx="113">
                  <c:v>46692</c:v>
                </c:pt>
                <c:pt idx="114">
                  <c:v>46699</c:v>
                </c:pt>
                <c:pt idx="115">
                  <c:v>46706</c:v>
                </c:pt>
                <c:pt idx="116">
                  <c:v>46713</c:v>
                </c:pt>
                <c:pt idx="117">
                  <c:v>46720</c:v>
                </c:pt>
                <c:pt idx="118">
                  <c:v>46727</c:v>
                </c:pt>
                <c:pt idx="119">
                  <c:v>46734</c:v>
                </c:pt>
                <c:pt idx="120">
                  <c:v>46741</c:v>
                </c:pt>
                <c:pt idx="121">
                  <c:v>46748</c:v>
                </c:pt>
                <c:pt idx="122">
                  <c:v>46755</c:v>
                </c:pt>
                <c:pt idx="123">
                  <c:v>46762</c:v>
                </c:pt>
                <c:pt idx="124">
                  <c:v>46769</c:v>
                </c:pt>
                <c:pt idx="125">
                  <c:v>46776</c:v>
                </c:pt>
                <c:pt idx="126">
                  <c:v>46783</c:v>
                </c:pt>
                <c:pt idx="127">
                  <c:v>46790</c:v>
                </c:pt>
                <c:pt idx="128">
                  <c:v>46797</c:v>
                </c:pt>
                <c:pt idx="129">
                  <c:v>46804</c:v>
                </c:pt>
                <c:pt idx="130">
                  <c:v>46811</c:v>
                </c:pt>
                <c:pt idx="131">
                  <c:v>46818</c:v>
                </c:pt>
                <c:pt idx="132">
                  <c:v>46825</c:v>
                </c:pt>
                <c:pt idx="133">
                  <c:v>46832</c:v>
                </c:pt>
                <c:pt idx="134">
                  <c:v>46839</c:v>
                </c:pt>
                <c:pt idx="135">
                  <c:v>46846</c:v>
                </c:pt>
                <c:pt idx="136">
                  <c:v>46853</c:v>
                </c:pt>
                <c:pt idx="137">
                  <c:v>46860</c:v>
                </c:pt>
                <c:pt idx="138">
                  <c:v>46867</c:v>
                </c:pt>
                <c:pt idx="139">
                  <c:v>46874</c:v>
                </c:pt>
                <c:pt idx="140">
                  <c:v>46881</c:v>
                </c:pt>
                <c:pt idx="141">
                  <c:v>46888</c:v>
                </c:pt>
                <c:pt idx="142">
                  <c:v>46895</c:v>
                </c:pt>
                <c:pt idx="143">
                  <c:v>46902</c:v>
                </c:pt>
                <c:pt idx="144">
                  <c:v>46909</c:v>
                </c:pt>
                <c:pt idx="145">
                  <c:v>46916</c:v>
                </c:pt>
                <c:pt idx="146">
                  <c:v>46923</c:v>
                </c:pt>
                <c:pt idx="147">
                  <c:v>46930</c:v>
                </c:pt>
                <c:pt idx="148">
                  <c:v>46937</c:v>
                </c:pt>
                <c:pt idx="149">
                  <c:v>46944</c:v>
                </c:pt>
                <c:pt idx="150">
                  <c:v>46951</c:v>
                </c:pt>
                <c:pt idx="151">
                  <c:v>46958</c:v>
                </c:pt>
                <c:pt idx="152">
                  <c:v>46965</c:v>
                </c:pt>
                <c:pt idx="153">
                  <c:v>46972</c:v>
                </c:pt>
                <c:pt idx="154">
                  <c:v>46979</c:v>
                </c:pt>
                <c:pt idx="155">
                  <c:v>46986</c:v>
                </c:pt>
                <c:pt idx="156">
                  <c:v>46993</c:v>
                </c:pt>
                <c:pt idx="157">
                  <c:v>47000</c:v>
                </c:pt>
                <c:pt idx="158">
                  <c:v>47007</c:v>
                </c:pt>
                <c:pt idx="159">
                  <c:v>47014</c:v>
                </c:pt>
                <c:pt idx="160">
                  <c:v>47021</c:v>
                </c:pt>
                <c:pt idx="161">
                  <c:v>47028</c:v>
                </c:pt>
                <c:pt idx="162">
                  <c:v>47035</c:v>
                </c:pt>
                <c:pt idx="163">
                  <c:v>47042</c:v>
                </c:pt>
                <c:pt idx="164">
                  <c:v>47049</c:v>
                </c:pt>
                <c:pt idx="165">
                  <c:v>47056</c:v>
                </c:pt>
                <c:pt idx="166">
                  <c:v>47063</c:v>
                </c:pt>
                <c:pt idx="167">
                  <c:v>47070</c:v>
                </c:pt>
                <c:pt idx="168">
                  <c:v>47077</c:v>
                </c:pt>
                <c:pt idx="169">
                  <c:v>47084</c:v>
                </c:pt>
                <c:pt idx="170">
                  <c:v>47091</c:v>
                </c:pt>
                <c:pt idx="171">
                  <c:v>47098</c:v>
                </c:pt>
                <c:pt idx="172">
                  <c:v>47105</c:v>
                </c:pt>
                <c:pt idx="173">
                  <c:v>47112</c:v>
                </c:pt>
                <c:pt idx="174">
                  <c:v>47119</c:v>
                </c:pt>
                <c:pt idx="175">
                  <c:v>47126</c:v>
                </c:pt>
                <c:pt idx="176">
                  <c:v>47133</c:v>
                </c:pt>
                <c:pt idx="177">
                  <c:v>47140</c:v>
                </c:pt>
                <c:pt idx="178">
                  <c:v>47147</c:v>
                </c:pt>
                <c:pt idx="179">
                  <c:v>47154</c:v>
                </c:pt>
                <c:pt idx="180">
                  <c:v>47161</c:v>
                </c:pt>
                <c:pt idx="181">
                  <c:v>47168</c:v>
                </c:pt>
                <c:pt idx="182">
                  <c:v>47175</c:v>
                </c:pt>
                <c:pt idx="183">
                  <c:v>47182</c:v>
                </c:pt>
                <c:pt idx="184">
                  <c:v>47189</c:v>
                </c:pt>
                <c:pt idx="185">
                  <c:v>47196</c:v>
                </c:pt>
                <c:pt idx="186">
                  <c:v>47203</c:v>
                </c:pt>
                <c:pt idx="187">
                  <c:v>47210</c:v>
                </c:pt>
                <c:pt idx="188">
                  <c:v>47217</c:v>
                </c:pt>
                <c:pt idx="189">
                  <c:v>47224</c:v>
                </c:pt>
                <c:pt idx="190">
                  <c:v>47231</c:v>
                </c:pt>
                <c:pt idx="191">
                  <c:v>47238</c:v>
                </c:pt>
                <c:pt idx="192">
                  <c:v>47245</c:v>
                </c:pt>
                <c:pt idx="193">
                  <c:v>47252</c:v>
                </c:pt>
                <c:pt idx="194">
                  <c:v>47259</c:v>
                </c:pt>
                <c:pt idx="195">
                  <c:v>47266</c:v>
                </c:pt>
                <c:pt idx="196">
                  <c:v>47273</c:v>
                </c:pt>
                <c:pt idx="197">
                  <c:v>47280</c:v>
                </c:pt>
                <c:pt idx="198">
                  <c:v>47287</c:v>
                </c:pt>
                <c:pt idx="199">
                  <c:v>47294</c:v>
                </c:pt>
                <c:pt idx="200">
                  <c:v>47301</c:v>
                </c:pt>
                <c:pt idx="201">
                  <c:v>47308</c:v>
                </c:pt>
                <c:pt idx="202">
                  <c:v>47315</c:v>
                </c:pt>
                <c:pt idx="203">
                  <c:v>47322</c:v>
                </c:pt>
                <c:pt idx="204">
                  <c:v>47329</c:v>
                </c:pt>
                <c:pt idx="205">
                  <c:v>47336</c:v>
                </c:pt>
                <c:pt idx="206">
                  <c:v>47343</c:v>
                </c:pt>
                <c:pt idx="207">
                  <c:v>47350</c:v>
                </c:pt>
                <c:pt idx="208">
                  <c:v>47357</c:v>
                </c:pt>
                <c:pt idx="209">
                  <c:v>47364</c:v>
                </c:pt>
                <c:pt idx="210">
                  <c:v>47371</c:v>
                </c:pt>
                <c:pt idx="211">
                  <c:v>47378</c:v>
                </c:pt>
                <c:pt idx="212">
                  <c:v>47385</c:v>
                </c:pt>
                <c:pt idx="213">
                  <c:v>47392</c:v>
                </c:pt>
                <c:pt idx="214">
                  <c:v>47399</c:v>
                </c:pt>
                <c:pt idx="215">
                  <c:v>47406</c:v>
                </c:pt>
                <c:pt idx="216">
                  <c:v>47413</c:v>
                </c:pt>
                <c:pt idx="217">
                  <c:v>47420</c:v>
                </c:pt>
                <c:pt idx="218">
                  <c:v>47427</c:v>
                </c:pt>
                <c:pt idx="219">
                  <c:v>47434</c:v>
                </c:pt>
                <c:pt idx="220">
                  <c:v>47441</c:v>
                </c:pt>
                <c:pt idx="221">
                  <c:v>47448</c:v>
                </c:pt>
                <c:pt idx="222">
                  <c:v>47455</c:v>
                </c:pt>
                <c:pt idx="223">
                  <c:v>47462</c:v>
                </c:pt>
                <c:pt idx="224">
                  <c:v>47469</c:v>
                </c:pt>
                <c:pt idx="225">
                  <c:v>47476</c:v>
                </c:pt>
                <c:pt idx="226">
                  <c:v>47483</c:v>
                </c:pt>
                <c:pt idx="227">
                  <c:v>47490</c:v>
                </c:pt>
                <c:pt idx="228">
                  <c:v>47497</c:v>
                </c:pt>
                <c:pt idx="229">
                  <c:v>47504</c:v>
                </c:pt>
                <c:pt idx="230">
                  <c:v>47511</c:v>
                </c:pt>
                <c:pt idx="231">
                  <c:v>47518</c:v>
                </c:pt>
                <c:pt idx="232">
                  <c:v>47525</c:v>
                </c:pt>
                <c:pt idx="233">
                  <c:v>47532</c:v>
                </c:pt>
                <c:pt idx="234">
                  <c:v>47539</c:v>
                </c:pt>
                <c:pt idx="235">
                  <c:v>47546</c:v>
                </c:pt>
                <c:pt idx="236">
                  <c:v>47553</c:v>
                </c:pt>
                <c:pt idx="237">
                  <c:v>47560</c:v>
                </c:pt>
                <c:pt idx="238">
                  <c:v>47567</c:v>
                </c:pt>
                <c:pt idx="239">
                  <c:v>47574</c:v>
                </c:pt>
                <c:pt idx="240">
                  <c:v>47581</c:v>
                </c:pt>
                <c:pt idx="241">
                  <c:v>47588</c:v>
                </c:pt>
                <c:pt idx="242">
                  <c:v>47595</c:v>
                </c:pt>
                <c:pt idx="243">
                  <c:v>47602</c:v>
                </c:pt>
                <c:pt idx="244">
                  <c:v>47609</c:v>
                </c:pt>
                <c:pt idx="245">
                  <c:v>47616</c:v>
                </c:pt>
                <c:pt idx="246">
                  <c:v>47623</c:v>
                </c:pt>
                <c:pt idx="247">
                  <c:v>47630</c:v>
                </c:pt>
                <c:pt idx="248">
                  <c:v>47637</c:v>
                </c:pt>
                <c:pt idx="249">
                  <c:v>47644</c:v>
                </c:pt>
                <c:pt idx="250">
                  <c:v>47651</c:v>
                </c:pt>
                <c:pt idx="251">
                  <c:v>47658</c:v>
                </c:pt>
                <c:pt idx="252">
                  <c:v>47665</c:v>
                </c:pt>
                <c:pt idx="253">
                  <c:v>47672</c:v>
                </c:pt>
                <c:pt idx="254">
                  <c:v>47679</c:v>
                </c:pt>
                <c:pt idx="255">
                  <c:v>47686</c:v>
                </c:pt>
                <c:pt idx="256">
                  <c:v>47693</c:v>
                </c:pt>
                <c:pt idx="257">
                  <c:v>47700</c:v>
                </c:pt>
                <c:pt idx="258">
                  <c:v>47707</c:v>
                </c:pt>
                <c:pt idx="259">
                  <c:v>47714</c:v>
                </c:pt>
                <c:pt idx="260">
                  <c:v>47721</c:v>
                </c:pt>
                <c:pt idx="261">
                  <c:v>47728</c:v>
                </c:pt>
                <c:pt idx="262">
                  <c:v>47735</c:v>
                </c:pt>
                <c:pt idx="263">
                  <c:v>47742</c:v>
                </c:pt>
                <c:pt idx="264">
                  <c:v>47749</c:v>
                </c:pt>
                <c:pt idx="265">
                  <c:v>47756</c:v>
                </c:pt>
                <c:pt idx="266">
                  <c:v>47763</c:v>
                </c:pt>
                <c:pt idx="267">
                  <c:v>47770</c:v>
                </c:pt>
                <c:pt idx="268">
                  <c:v>47777</c:v>
                </c:pt>
                <c:pt idx="269">
                  <c:v>47784</c:v>
                </c:pt>
                <c:pt idx="270">
                  <c:v>47791</c:v>
                </c:pt>
                <c:pt idx="271">
                  <c:v>47798</c:v>
                </c:pt>
                <c:pt idx="272">
                  <c:v>47805</c:v>
                </c:pt>
                <c:pt idx="273">
                  <c:v>47812</c:v>
                </c:pt>
                <c:pt idx="274">
                  <c:v>47819</c:v>
                </c:pt>
                <c:pt idx="275">
                  <c:v>47826</c:v>
                </c:pt>
                <c:pt idx="276">
                  <c:v>47833</c:v>
                </c:pt>
                <c:pt idx="277">
                  <c:v>47840</c:v>
                </c:pt>
                <c:pt idx="278">
                  <c:v>47847</c:v>
                </c:pt>
                <c:pt idx="279">
                  <c:v>47854</c:v>
                </c:pt>
                <c:pt idx="280">
                  <c:v>47861</c:v>
                </c:pt>
                <c:pt idx="281">
                  <c:v>47868</c:v>
                </c:pt>
                <c:pt idx="282">
                  <c:v>47875</c:v>
                </c:pt>
                <c:pt idx="283">
                  <c:v>47882</c:v>
                </c:pt>
                <c:pt idx="284">
                  <c:v>47889</c:v>
                </c:pt>
                <c:pt idx="285">
                  <c:v>47896</c:v>
                </c:pt>
                <c:pt idx="286">
                  <c:v>47903</c:v>
                </c:pt>
              </c:numCache>
              <c:extLst xmlns:c15="http://schemas.microsoft.com/office/drawing/2012/chart"/>
            </c:numRef>
          </c:cat>
          <c:val>
            <c:numRef>
              <c:f>Cashflow!$F$7:$KF$7</c:f>
              <c:numCache>
                <c:formatCode>#,##0</c:formatCode>
                <c:ptCount val="287"/>
                <c:pt idx="0">
                  <c:v>0</c:v>
                </c:pt>
                <c:pt idx="1">
                  <c:v>1038718.14</c:v>
                </c:pt>
                <c:pt idx="2">
                  <c:v>1038718.14</c:v>
                </c:pt>
                <c:pt idx="3">
                  <c:v>1038718.14</c:v>
                </c:pt>
                <c:pt idx="4">
                  <c:v>1038718.14</c:v>
                </c:pt>
                <c:pt idx="5">
                  <c:v>1038718.14</c:v>
                </c:pt>
                <c:pt idx="6">
                  <c:v>1038718.14</c:v>
                </c:pt>
                <c:pt idx="7">
                  <c:v>1038718.14</c:v>
                </c:pt>
                <c:pt idx="8">
                  <c:v>1038718.14</c:v>
                </c:pt>
                <c:pt idx="9">
                  <c:v>1038718.14</c:v>
                </c:pt>
                <c:pt idx="10">
                  <c:v>1765820.838</c:v>
                </c:pt>
                <c:pt idx="11">
                  <c:v>1518622.4879999999</c:v>
                </c:pt>
                <c:pt idx="12">
                  <c:v>1295292.4879999999</c:v>
                </c:pt>
                <c:pt idx="13">
                  <c:v>1121749.2960000001</c:v>
                </c:pt>
                <c:pt idx="14">
                  <c:v>1200282.46</c:v>
                </c:pt>
                <c:pt idx="15">
                  <c:v>1200282.46</c:v>
                </c:pt>
                <c:pt idx="16">
                  <c:v>1200282.46</c:v>
                </c:pt>
                <c:pt idx="17">
                  <c:v>1200282.46</c:v>
                </c:pt>
                <c:pt idx="18">
                  <c:v>375005.9600000002</c:v>
                </c:pt>
                <c:pt idx="19">
                  <c:v>375005.9600000002</c:v>
                </c:pt>
                <c:pt idx="20">
                  <c:v>375005.9600000002</c:v>
                </c:pt>
                <c:pt idx="21">
                  <c:v>375005.9600000002</c:v>
                </c:pt>
                <c:pt idx="22">
                  <c:v>375005.9600000002</c:v>
                </c:pt>
                <c:pt idx="23">
                  <c:v>375005.9600000002</c:v>
                </c:pt>
                <c:pt idx="24">
                  <c:v>375005.9600000002</c:v>
                </c:pt>
                <c:pt idx="25">
                  <c:v>375005.9600000002</c:v>
                </c:pt>
                <c:pt idx="26">
                  <c:v>375005.9600000002</c:v>
                </c:pt>
                <c:pt idx="27">
                  <c:v>375005.9600000002</c:v>
                </c:pt>
                <c:pt idx="28">
                  <c:v>375005.9600000002</c:v>
                </c:pt>
                <c:pt idx="29">
                  <c:v>375005.9600000002</c:v>
                </c:pt>
                <c:pt idx="30">
                  <c:v>375005.9600000002</c:v>
                </c:pt>
                <c:pt idx="31">
                  <c:v>375005.9600000002</c:v>
                </c:pt>
                <c:pt idx="32">
                  <c:v>375005.9600000002</c:v>
                </c:pt>
                <c:pt idx="33">
                  <c:v>375005.9600000002</c:v>
                </c:pt>
                <c:pt idx="34">
                  <c:v>375005.9600000002</c:v>
                </c:pt>
                <c:pt idx="35">
                  <c:v>375005.9600000002</c:v>
                </c:pt>
                <c:pt idx="36">
                  <c:v>375005.9600000002</c:v>
                </c:pt>
                <c:pt idx="37">
                  <c:v>375005.9600000002</c:v>
                </c:pt>
                <c:pt idx="38">
                  <c:v>375005.9600000002</c:v>
                </c:pt>
                <c:pt idx="39">
                  <c:v>375005.9600000002</c:v>
                </c:pt>
                <c:pt idx="40">
                  <c:v>375005.9600000002</c:v>
                </c:pt>
                <c:pt idx="41">
                  <c:v>375005.9600000002</c:v>
                </c:pt>
                <c:pt idx="42">
                  <c:v>375005.9600000002</c:v>
                </c:pt>
                <c:pt idx="43">
                  <c:v>375005.9600000002</c:v>
                </c:pt>
                <c:pt idx="44">
                  <c:v>375005.9600000002</c:v>
                </c:pt>
                <c:pt idx="45">
                  <c:v>375005.9600000002</c:v>
                </c:pt>
                <c:pt idx="46">
                  <c:v>375005.9600000002</c:v>
                </c:pt>
                <c:pt idx="47">
                  <c:v>375005.9600000002</c:v>
                </c:pt>
                <c:pt idx="48">
                  <c:v>375005.9600000002</c:v>
                </c:pt>
                <c:pt idx="49">
                  <c:v>375005.9600000002</c:v>
                </c:pt>
                <c:pt idx="50">
                  <c:v>375005.9600000002</c:v>
                </c:pt>
                <c:pt idx="51">
                  <c:v>375005.9600000002</c:v>
                </c:pt>
                <c:pt idx="52">
                  <c:v>375005.9600000002</c:v>
                </c:pt>
                <c:pt idx="53">
                  <c:v>375005.9600000002</c:v>
                </c:pt>
                <c:pt idx="54">
                  <c:v>375005.9600000002</c:v>
                </c:pt>
                <c:pt idx="55">
                  <c:v>375005.9600000002</c:v>
                </c:pt>
                <c:pt idx="56">
                  <c:v>375005.9600000002</c:v>
                </c:pt>
                <c:pt idx="57">
                  <c:v>375005.9600000002</c:v>
                </c:pt>
                <c:pt idx="58">
                  <c:v>375005.9600000002</c:v>
                </c:pt>
                <c:pt idx="59">
                  <c:v>375005.9600000002</c:v>
                </c:pt>
                <c:pt idx="60">
                  <c:v>375005.9600000002</c:v>
                </c:pt>
                <c:pt idx="61">
                  <c:v>375005.9600000002</c:v>
                </c:pt>
                <c:pt idx="62">
                  <c:v>375005.9600000002</c:v>
                </c:pt>
                <c:pt idx="63">
                  <c:v>375005.9600000002</c:v>
                </c:pt>
                <c:pt idx="64">
                  <c:v>375005.9600000002</c:v>
                </c:pt>
                <c:pt idx="65">
                  <c:v>375005.9600000002</c:v>
                </c:pt>
                <c:pt idx="66">
                  <c:v>375005.9600000002</c:v>
                </c:pt>
                <c:pt idx="67">
                  <c:v>375005.9600000002</c:v>
                </c:pt>
                <c:pt idx="68">
                  <c:v>375005.9600000002</c:v>
                </c:pt>
                <c:pt idx="69">
                  <c:v>375005.9600000002</c:v>
                </c:pt>
                <c:pt idx="70">
                  <c:v>375005.9600000002</c:v>
                </c:pt>
                <c:pt idx="71">
                  <c:v>375005.9600000002</c:v>
                </c:pt>
                <c:pt idx="72">
                  <c:v>375005.9600000002</c:v>
                </c:pt>
                <c:pt idx="73">
                  <c:v>375005.9600000002</c:v>
                </c:pt>
                <c:pt idx="74">
                  <c:v>375005.9600000002</c:v>
                </c:pt>
                <c:pt idx="75">
                  <c:v>375005.9600000002</c:v>
                </c:pt>
                <c:pt idx="76">
                  <c:v>375005.9600000002</c:v>
                </c:pt>
                <c:pt idx="77">
                  <c:v>375005.9600000002</c:v>
                </c:pt>
                <c:pt idx="78">
                  <c:v>375005.9600000002</c:v>
                </c:pt>
                <c:pt idx="79">
                  <c:v>375005.9600000002</c:v>
                </c:pt>
                <c:pt idx="80">
                  <c:v>375005.9600000002</c:v>
                </c:pt>
                <c:pt idx="81">
                  <c:v>375005.9600000002</c:v>
                </c:pt>
                <c:pt idx="82">
                  <c:v>375005.9600000002</c:v>
                </c:pt>
                <c:pt idx="83">
                  <c:v>375005.9600000002</c:v>
                </c:pt>
                <c:pt idx="84">
                  <c:v>375005.9600000002</c:v>
                </c:pt>
                <c:pt idx="85">
                  <c:v>375005.9600000002</c:v>
                </c:pt>
                <c:pt idx="86">
                  <c:v>375005.9600000002</c:v>
                </c:pt>
                <c:pt idx="87">
                  <c:v>375005.9600000002</c:v>
                </c:pt>
                <c:pt idx="88">
                  <c:v>375005.9600000002</c:v>
                </c:pt>
                <c:pt idx="89">
                  <c:v>375005.9600000002</c:v>
                </c:pt>
                <c:pt idx="90">
                  <c:v>375005.9600000002</c:v>
                </c:pt>
                <c:pt idx="91">
                  <c:v>375005.9600000002</c:v>
                </c:pt>
                <c:pt idx="92">
                  <c:v>375005.9600000002</c:v>
                </c:pt>
                <c:pt idx="93">
                  <c:v>375005.9600000002</c:v>
                </c:pt>
                <c:pt idx="94">
                  <c:v>375005.9600000002</c:v>
                </c:pt>
                <c:pt idx="95">
                  <c:v>375005.9600000002</c:v>
                </c:pt>
                <c:pt idx="96">
                  <c:v>375005.9600000002</c:v>
                </c:pt>
                <c:pt idx="97">
                  <c:v>375005.9600000002</c:v>
                </c:pt>
                <c:pt idx="98">
                  <c:v>375005.9600000002</c:v>
                </c:pt>
                <c:pt idx="99">
                  <c:v>375005.9600000002</c:v>
                </c:pt>
                <c:pt idx="100">
                  <c:v>375005.9600000002</c:v>
                </c:pt>
                <c:pt idx="101">
                  <c:v>375005.9600000002</c:v>
                </c:pt>
                <c:pt idx="102">
                  <c:v>375005.9600000002</c:v>
                </c:pt>
                <c:pt idx="103">
                  <c:v>375005.9600000002</c:v>
                </c:pt>
                <c:pt idx="104">
                  <c:v>375005.9600000002</c:v>
                </c:pt>
                <c:pt idx="105">
                  <c:v>375005.9600000002</c:v>
                </c:pt>
                <c:pt idx="106">
                  <c:v>375005.9600000002</c:v>
                </c:pt>
                <c:pt idx="107">
                  <c:v>375005.9600000002</c:v>
                </c:pt>
                <c:pt idx="108">
                  <c:v>375005.9600000002</c:v>
                </c:pt>
                <c:pt idx="109">
                  <c:v>375005.9600000002</c:v>
                </c:pt>
                <c:pt idx="110">
                  <c:v>375005.9600000002</c:v>
                </c:pt>
                <c:pt idx="111">
                  <c:v>375005.9600000002</c:v>
                </c:pt>
                <c:pt idx="112">
                  <c:v>375005.9600000002</c:v>
                </c:pt>
                <c:pt idx="113">
                  <c:v>375005.9600000002</c:v>
                </c:pt>
                <c:pt idx="114">
                  <c:v>375005.9600000002</c:v>
                </c:pt>
                <c:pt idx="115">
                  <c:v>375005.9600000002</c:v>
                </c:pt>
                <c:pt idx="116">
                  <c:v>375005.9600000002</c:v>
                </c:pt>
                <c:pt idx="117">
                  <c:v>375005.9600000002</c:v>
                </c:pt>
                <c:pt idx="118">
                  <c:v>375005.9600000002</c:v>
                </c:pt>
                <c:pt idx="119">
                  <c:v>375005.9600000002</c:v>
                </c:pt>
                <c:pt idx="120">
                  <c:v>375005.9600000002</c:v>
                </c:pt>
                <c:pt idx="121">
                  <c:v>375005.9600000002</c:v>
                </c:pt>
                <c:pt idx="122">
                  <c:v>375005.9600000002</c:v>
                </c:pt>
                <c:pt idx="123">
                  <c:v>375005.9600000002</c:v>
                </c:pt>
                <c:pt idx="124">
                  <c:v>375005.9600000002</c:v>
                </c:pt>
                <c:pt idx="125">
                  <c:v>375005.9600000002</c:v>
                </c:pt>
                <c:pt idx="126">
                  <c:v>375005.9600000002</c:v>
                </c:pt>
                <c:pt idx="127">
                  <c:v>375005.9600000002</c:v>
                </c:pt>
                <c:pt idx="128">
                  <c:v>375005.9600000002</c:v>
                </c:pt>
                <c:pt idx="129">
                  <c:v>375005.9600000002</c:v>
                </c:pt>
                <c:pt idx="130">
                  <c:v>375005.9600000002</c:v>
                </c:pt>
                <c:pt idx="131">
                  <c:v>375005.9600000002</c:v>
                </c:pt>
                <c:pt idx="132">
                  <c:v>375005.9600000002</c:v>
                </c:pt>
                <c:pt idx="133">
                  <c:v>375005.9600000002</c:v>
                </c:pt>
                <c:pt idx="134">
                  <c:v>375005.9600000002</c:v>
                </c:pt>
                <c:pt idx="135">
                  <c:v>375005.9600000002</c:v>
                </c:pt>
                <c:pt idx="136">
                  <c:v>375005.9600000002</c:v>
                </c:pt>
                <c:pt idx="137">
                  <c:v>375005.9600000002</c:v>
                </c:pt>
                <c:pt idx="138">
                  <c:v>375005.9600000002</c:v>
                </c:pt>
                <c:pt idx="139">
                  <c:v>375005.9600000002</c:v>
                </c:pt>
                <c:pt idx="140">
                  <c:v>375005.9600000002</c:v>
                </c:pt>
                <c:pt idx="141">
                  <c:v>375005.9600000002</c:v>
                </c:pt>
                <c:pt idx="142">
                  <c:v>375005.9600000002</c:v>
                </c:pt>
                <c:pt idx="143">
                  <c:v>375005.9600000002</c:v>
                </c:pt>
                <c:pt idx="144">
                  <c:v>375005.9600000002</c:v>
                </c:pt>
                <c:pt idx="145">
                  <c:v>375005.9600000002</c:v>
                </c:pt>
                <c:pt idx="146">
                  <c:v>375005.9600000002</c:v>
                </c:pt>
                <c:pt idx="147">
                  <c:v>375005.9600000002</c:v>
                </c:pt>
                <c:pt idx="148">
                  <c:v>375005.9600000002</c:v>
                </c:pt>
                <c:pt idx="149">
                  <c:v>375005.9600000002</c:v>
                </c:pt>
                <c:pt idx="150">
                  <c:v>375005.9600000002</c:v>
                </c:pt>
                <c:pt idx="151">
                  <c:v>375005.9600000002</c:v>
                </c:pt>
                <c:pt idx="152">
                  <c:v>375005.9600000002</c:v>
                </c:pt>
                <c:pt idx="153">
                  <c:v>375005.9600000002</c:v>
                </c:pt>
                <c:pt idx="154">
                  <c:v>375005.9600000002</c:v>
                </c:pt>
                <c:pt idx="155">
                  <c:v>375005.9600000002</c:v>
                </c:pt>
                <c:pt idx="156">
                  <c:v>375005.9600000002</c:v>
                </c:pt>
                <c:pt idx="157">
                  <c:v>375005.9600000002</c:v>
                </c:pt>
                <c:pt idx="158">
                  <c:v>375005.9600000002</c:v>
                </c:pt>
                <c:pt idx="159">
                  <c:v>375005.9600000002</c:v>
                </c:pt>
                <c:pt idx="160">
                  <c:v>375005.9600000002</c:v>
                </c:pt>
                <c:pt idx="161">
                  <c:v>375005.9600000002</c:v>
                </c:pt>
                <c:pt idx="162">
                  <c:v>375005.9600000002</c:v>
                </c:pt>
                <c:pt idx="163">
                  <c:v>375005.9600000002</c:v>
                </c:pt>
                <c:pt idx="164">
                  <c:v>375005.9600000002</c:v>
                </c:pt>
                <c:pt idx="165">
                  <c:v>375005.9600000002</c:v>
                </c:pt>
                <c:pt idx="166">
                  <c:v>375005.9600000002</c:v>
                </c:pt>
                <c:pt idx="167">
                  <c:v>375005.9600000002</c:v>
                </c:pt>
                <c:pt idx="168">
                  <c:v>375005.9600000002</c:v>
                </c:pt>
                <c:pt idx="169">
                  <c:v>375005.9600000002</c:v>
                </c:pt>
                <c:pt idx="170">
                  <c:v>375005.9600000002</c:v>
                </c:pt>
                <c:pt idx="171">
                  <c:v>375005.9600000002</c:v>
                </c:pt>
                <c:pt idx="172">
                  <c:v>375005.9600000002</c:v>
                </c:pt>
                <c:pt idx="173">
                  <c:v>375005.9600000002</c:v>
                </c:pt>
                <c:pt idx="174">
                  <c:v>375005.9600000002</c:v>
                </c:pt>
                <c:pt idx="175">
                  <c:v>375005.9600000002</c:v>
                </c:pt>
                <c:pt idx="176">
                  <c:v>375005.9600000002</c:v>
                </c:pt>
                <c:pt idx="177">
                  <c:v>375005.9600000002</c:v>
                </c:pt>
                <c:pt idx="178">
                  <c:v>375005.9600000002</c:v>
                </c:pt>
                <c:pt idx="179">
                  <c:v>375005.9600000002</c:v>
                </c:pt>
                <c:pt idx="180">
                  <c:v>375005.9600000002</c:v>
                </c:pt>
                <c:pt idx="181">
                  <c:v>375005.9600000002</c:v>
                </c:pt>
                <c:pt idx="182">
                  <c:v>375005.9600000002</c:v>
                </c:pt>
                <c:pt idx="183">
                  <c:v>375005.9600000002</c:v>
                </c:pt>
                <c:pt idx="184">
                  <c:v>375005.9600000002</c:v>
                </c:pt>
                <c:pt idx="185">
                  <c:v>375005.9600000002</c:v>
                </c:pt>
                <c:pt idx="186">
                  <c:v>375005.9600000002</c:v>
                </c:pt>
                <c:pt idx="187">
                  <c:v>375005.9600000002</c:v>
                </c:pt>
                <c:pt idx="188">
                  <c:v>375005.9600000002</c:v>
                </c:pt>
                <c:pt idx="189">
                  <c:v>375005.9600000002</c:v>
                </c:pt>
                <c:pt idx="190">
                  <c:v>375005.9600000002</c:v>
                </c:pt>
                <c:pt idx="191">
                  <c:v>375005.9600000002</c:v>
                </c:pt>
                <c:pt idx="192">
                  <c:v>375005.9600000002</c:v>
                </c:pt>
                <c:pt idx="193">
                  <c:v>375005.9600000002</c:v>
                </c:pt>
                <c:pt idx="194">
                  <c:v>375005.9600000002</c:v>
                </c:pt>
                <c:pt idx="195">
                  <c:v>375005.9600000002</c:v>
                </c:pt>
                <c:pt idx="196">
                  <c:v>375005.9600000002</c:v>
                </c:pt>
                <c:pt idx="197">
                  <c:v>375005.9600000002</c:v>
                </c:pt>
                <c:pt idx="198">
                  <c:v>375005.9600000002</c:v>
                </c:pt>
                <c:pt idx="199">
                  <c:v>375005.9600000002</c:v>
                </c:pt>
                <c:pt idx="200">
                  <c:v>375005.9600000002</c:v>
                </c:pt>
                <c:pt idx="201">
                  <c:v>375005.9600000002</c:v>
                </c:pt>
                <c:pt idx="202">
                  <c:v>375005.9600000002</c:v>
                </c:pt>
                <c:pt idx="203">
                  <c:v>375005.9600000002</c:v>
                </c:pt>
                <c:pt idx="204">
                  <c:v>375005.9600000002</c:v>
                </c:pt>
                <c:pt idx="205">
                  <c:v>375005.9600000002</c:v>
                </c:pt>
                <c:pt idx="206">
                  <c:v>375005.9600000002</c:v>
                </c:pt>
                <c:pt idx="207">
                  <c:v>375005.9600000002</c:v>
                </c:pt>
                <c:pt idx="208">
                  <c:v>375005.9600000002</c:v>
                </c:pt>
                <c:pt idx="209">
                  <c:v>375005.9600000002</c:v>
                </c:pt>
                <c:pt idx="210">
                  <c:v>375005.9600000002</c:v>
                </c:pt>
                <c:pt idx="211">
                  <c:v>375005.9600000002</c:v>
                </c:pt>
                <c:pt idx="212">
                  <c:v>375005.9600000002</c:v>
                </c:pt>
                <c:pt idx="213">
                  <c:v>375005.9600000002</c:v>
                </c:pt>
                <c:pt idx="214">
                  <c:v>375005.9600000002</c:v>
                </c:pt>
                <c:pt idx="215">
                  <c:v>375005.9600000002</c:v>
                </c:pt>
                <c:pt idx="216">
                  <c:v>375005.9600000002</c:v>
                </c:pt>
                <c:pt idx="217">
                  <c:v>375005.9600000002</c:v>
                </c:pt>
                <c:pt idx="218">
                  <c:v>375005.9600000002</c:v>
                </c:pt>
                <c:pt idx="219">
                  <c:v>375005.9600000002</c:v>
                </c:pt>
                <c:pt idx="220">
                  <c:v>375005.9600000002</c:v>
                </c:pt>
                <c:pt idx="221">
                  <c:v>375005.9600000002</c:v>
                </c:pt>
                <c:pt idx="222">
                  <c:v>375005.9600000002</c:v>
                </c:pt>
                <c:pt idx="223">
                  <c:v>375005.9600000002</c:v>
                </c:pt>
                <c:pt idx="224">
                  <c:v>375005.9600000002</c:v>
                </c:pt>
                <c:pt idx="225">
                  <c:v>375005.9600000002</c:v>
                </c:pt>
                <c:pt idx="226">
                  <c:v>375005.9600000002</c:v>
                </c:pt>
                <c:pt idx="227">
                  <c:v>375005.9600000002</c:v>
                </c:pt>
                <c:pt idx="228">
                  <c:v>375005.9600000002</c:v>
                </c:pt>
                <c:pt idx="229">
                  <c:v>375005.9600000002</c:v>
                </c:pt>
                <c:pt idx="230">
                  <c:v>375005.9600000002</c:v>
                </c:pt>
                <c:pt idx="231">
                  <c:v>375005.9600000002</c:v>
                </c:pt>
                <c:pt idx="232">
                  <c:v>375005.9600000002</c:v>
                </c:pt>
                <c:pt idx="233">
                  <c:v>375005.9600000002</c:v>
                </c:pt>
                <c:pt idx="234">
                  <c:v>375005.9600000002</c:v>
                </c:pt>
                <c:pt idx="235">
                  <c:v>375005.9600000002</c:v>
                </c:pt>
                <c:pt idx="236">
                  <c:v>375005.9600000002</c:v>
                </c:pt>
                <c:pt idx="237">
                  <c:v>375005.9600000002</c:v>
                </c:pt>
                <c:pt idx="238">
                  <c:v>375005.9600000002</c:v>
                </c:pt>
                <c:pt idx="239">
                  <c:v>375005.9600000002</c:v>
                </c:pt>
                <c:pt idx="240">
                  <c:v>375005.9600000002</c:v>
                </c:pt>
                <c:pt idx="241">
                  <c:v>375005.9600000002</c:v>
                </c:pt>
                <c:pt idx="242">
                  <c:v>375005.9600000002</c:v>
                </c:pt>
                <c:pt idx="243">
                  <c:v>375005.9600000002</c:v>
                </c:pt>
                <c:pt idx="244">
                  <c:v>375005.9600000002</c:v>
                </c:pt>
                <c:pt idx="245">
                  <c:v>375005.9600000002</c:v>
                </c:pt>
                <c:pt idx="246">
                  <c:v>375005.9600000002</c:v>
                </c:pt>
                <c:pt idx="247">
                  <c:v>375005.9600000002</c:v>
                </c:pt>
                <c:pt idx="248">
                  <c:v>375005.9600000002</c:v>
                </c:pt>
                <c:pt idx="249">
                  <c:v>375005.9600000002</c:v>
                </c:pt>
                <c:pt idx="250">
                  <c:v>375005.9600000002</c:v>
                </c:pt>
                <c:pt idx="251">
                  <c:v>375005.9600000002</c:v>
                </c:pt>
                <c:pt idx="252">
                  <c:v>375005.9600000002</c:v>
                </c:pt>
                <c:pt idx="253">
                  <c:v>375005.9600000002</c:v>
                </c:pt>
                <c:pt idx="254">
                  <c:v>375005.9600000002</c:v>
                </c:pt>
                <c:pt idx="255">
                  <c:v>375005.9600000002</c:v>
                </c:pt>
                <c:pt idx="256">
                  <c:v>375005.9600000002</c:v>
                </c:pt>
                <c:pt idx="257">
                  <c:v>375005.9600000002</c:v>
                </c:pt>
                <c:pt idx="258">
                  <c:v>375005.9600000002</c:v>
                </c:pt>
                <c:pt idx="259">
                  <c:v>375005.9600000002</c:v>
                </c:pt>
                <c:pt idx="260">
                  <c:v>375005.9600000002</c:v>
                </c:pt>
                <c:pt idx="261">
                  <c:v>375005.9600000002</c:v>
                </c:pt>
                <c:pt idx="262">
                  <c:v>375005.9600000002</c:v>
                </c:pt>
                <c:pt idx="263">
                  <c:v>375005.9600000002</c:v>
                </c:pt>
                <c:pt idx="264">
                  <c:v>375005.9600000002</c:v>
                </c:pt>
                <c:pt idx="265">
                  <c:v>375005.9600000002</c:v>
                </c:pt>
                <c:pt idx="266">
                  <c:v>375005.9600000002</c:v>
                </c:pt>
                <c:pt idx="267">
                  <c:v>375005.9600000002</c:v>
                </c:pt>
                <c:pt idx="268">
                  <c:v>375005.9600000002</c:v>
                </c:pt>
                <c:pt idx="269">
                  <c:v>375005.9600000002</c:v>
                </c:pt>
                <c:pt idx="270">
                  <c:v>375005.9600000002</c:v>
                </c:pt>
                <c:pt idx="271">
                  <c:v>375005.9600000002</c:v>
                </c:pt>
                <c:pt idx="272">
                  <c:v>375005.9600000002</c:v>
                </c:pt>
                <c:pt idx="273">
                  <c:v>375005.9600000002</c:v>
                </c:pt>
                <c:pt idx="274">
                  <c:v>375005.9600000002</c:v>
                </c:pt>
                <c:pt idx="275">
                  <c:v>375005.9600000002</c:v>
                </c:pt>
                <c:pt idx="276">
                  <c:v>375005.9600000002</c:v>
                </c:pt>
                <c:pt idx="277">
                  <c:v>375005.9600000002</c:v>
                </c:pt>
                <c:pt idx="278">
                  <c:v>375005.9600000002</c:v>
                </c:pt>
                <c:pt idx="279">
                  <c:v>375005.9600000002</c:v>
                </c:pt>
                <c:pt idx="280">
                  <c:v>375005.9600000002</c:v>
                </c:pt>
                <c:pt idx="281">
                  <c:v>375005.9600000002</c:v>
                </c:pt>
                <c:pt idx="282">
                  <c:v>375005.9600000002</c:v>
                </c:pt>
                <c:pt idx="283">
                  <c:v>375005.9600000002</c:v>
                </c:pt>
                <c:pt idx="284">
                  <c:v>375005.9600000002</c:v>
                </c:pt>
                <c:pt idx="285">
                  <c:v>375005.9600000002</c:v>
                </c:pt>
                <c:pt idx="286">
                  <c:v>375005.9600000002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45901</c:v>
                </c:pt>
                <c:pt idx="1">
                  <c:v>45908</c:v>
                </c:pt>
                <c:pt idx="2">
                  <c:v>45915</c:v>
                </c:pt>
                <c:pt idx="3">
                  <c:v>45922</c:v>
                </c:pt>
                <c:pt idx="4">
                  <c:v>45929</c:v>
                </c:pt>
                <c:pt idx="5">
                  <c:v>45936</c:v>
                </c:pt>
                <c:pt idx="6">
                  <c:v>45943</c:v>
                </c:pt>
                <c:pt idx="7">
                  <c:v>45950</c:v>
                </c:pt>
                <c:pt idx="8">
                  <c:v>45957</c:v>
                </c:pt>
                <c:pt idx="9">
                  <c:v>45964</c:v>
                </c:pt>
                <c:pt idx="10">
                  <c:v>45971</c:v>
                </c:pt>
                <c:pt idx="11">
                  <c:v>45978</c:v>
                </c:pt>
                <c:pt idx="12">
                  <c:v>45985</c:v>
                </c:pt>
                <c:pt idx="13">
                  <c:v>45992</c:v>
                </c:pt>
                <c:pt idx="14">
                  <c:v>45999</c:v>
                </c:pt>
                <c:pt idx="15">
                  <c:v>46006</c:v>
                </c:pt>
                <c:pt idx="16">
                  <c:v>46013</c:v>
                </c:pt>
                <c:pt idx="17">
                  <c:v>46020</c:v>
                </c:pt>
                <c:pt idx="18">
                  <c:v>46027</c:v>
                </c:pt>
                <c:pt idx="19">
                  <c:v>46034</c:v>
                </c:pt>
                <c:pt idx="20">
                  <c:v>46041</c:v>
                </c:pt>
                <c:pt idx="21">
                  <c:v>46048</c:v>
                </c:pt>
                <c:pt idx="22">
                  <c:v>46055</c:v>
                </c:pt>
                <c:pt idx="23">
                  <c:v>46062</c:v>
                </c:pt>
                <c:pt idx="24">
                  <c:v>46069</c:v>
                </c:pt>
                <c:pt idx="25">
                  <c:v>46076</c:v>
                </c:pt>
                <c:pt idx="26">
                  <c:v>46083</c:v>
                </c:pt>
                <c:pt idx="27">
                  <c:v>46090</c:v>
                </c:pt>
                <c:pt idx="28">
                  <c:v>46097</c:v>
                </c:pt>
                <c:pt idx="29">
                  <c:v>46104</c:v>
                </c:pt>
                <c:pt idx="30">
                  <c:v>46111</c:v>
                </c:pt>
                <c:pt idx="31">
                  <c:v>46118</c:v>
                </c:pt>
                <c:pt idx="32">
                  <c:v>46125</c:v>
                </c:pt>
                <c:pt idx="33">
                  <c:v>46132</c:v>
                </c:pt>
                <c:pt idx="34">
                  <c:v>46139</c:v>
                </c:pt>
                <c:pt idx="35">
                  <c:v>46146</c:v>
                </c:pt>
                <c:pt idx="36">
                  <c:v>46153</c:v>
                </c:pt>
                <c:pt idx="37">
                  <c:v>46160</c:v>
                </c:pt>
                <c:pt idx="38">
                  <c:v>46167</c:v>
                </c:pt>
                <c:pt idx="39">
                  <c:v>46174</c:v>
                </c:pt>
                <c:pt idx="40">
                  <c:v>46181</c:v>
                </c:pt>
                <c:pt idx="41">
                  <c:v>46188</c:v>
                </c:pt>
                <c:pt idx="42">
                  <c:v>46195</c:v>
                </c:pt>
                <c:pt idx="43">
                  <c:v>46202</c:v>
                </c:pt>
                <c:pt idx="44">
                  <c:v>46209</c:v>
                </c:pt>
                <c:pt idx="45">
                  <c:v>46216</c:v>
                </c:pt>
                <c:pt idx="46">
                  <c:v>46223</c:v>
                </c:pt>
                <c:pt idx="47">
                  <c:v>46230</c:v>
                </c:pt>
                <c:pt idx="48">
                  <c:v>46237</c:v>
                </c:pt>
                <c:pt idx="49">
                  <c:v>46244</c:v>
                </c:pt>
                <c:pt idx="50">
                  <c:v>46251</c:v>
                </c:pt>
                <c:pt idx="51">
                  <c:v>46258</c:v>
                </c:pt>
                <c:pt idx="52">
                  <c:v>46265</c:v>
                </c:pt>
                <c:pt idx="53">
                  <c:v>46272</c:v>
                </c:pt>
                <c:pt idx="54">
                  <c:v>46279</c:v>
                </c:pt>
                <c:pt idx="55">
                  <c:v>46286</c:v>
                </c:pt>
                <c:pt idx="56">
                  <c:v>46293</c:v>
                </c:pt>
                <c:pt idx="57">
                  <c:v>46300</c:v>
                </c:pt>
                <c:pt idx="58">
                  <c:v>46307</c:v>
                </c:pt>
                <c:pt idx="59">
                  <c:v>46314</c:v>
                </c:pt>
                <c:pt idx="60">
                  <c:v>46321</c:v>
                </c:pt>
                <c:pt idx="61">
                  <c:v>46328</c:v>
                </c:pt>
                <c:pt idx="62">
                  <c:v>46335</c:v>
                </c:pt>
                <c:pt idx="63">
                  <c:v>46342</c:v>
                </c:pt>
                <c:pt idx="64">
                  <c:v>46349</c:v>
                </c:pt>
                <c:pt idx="65">
                  <c:v>46356</c:v>
                </c:pt>
                <c:pt idx="66">
                  <c:v>46363</c:v>
                </c:pt>
                <c:pt idx="67">
                  <c:v>46370</c:v>
                </c:pt>
                <c:pt idx="68">
                  <c:v>46377</c:v>
                </c:pt>
                <c:pt idx="69">
                  <c:v>46384</c:v>
                </c:pt>
                <c:pt idx="70">
                  <c:v>46391</c:v>
                </c:pt>
                <c:pt idx="71">
                  <c:v>46398</c:v>
                </c:pt>
                <c:pt idx="72">
                  <c:v>46405</c:v>
                </c:pt>
                <c:pt idx="73">
                  <c:v>46412</c:v>
                </c:pt>
                <c:pt idx="74">
                  <c:v>46419</c:v>
                </c:pt>
                <c:pt idx="75">
                  <c:v>46426</c:v>
                </c:pt>
                <c:pt idx="76">
                  <c:v>46433</c:v>
                </c:pt>
                <c:pt idx="77">
                  <c:v>46440</c:v>
                </c:pt>
                <c:pt idx="78">
                  <c:v>46447</c:v>
                </c:pt>
                <c:pt idx="79">
                  <c:v>46454</c:v>
                </c:pt>
                <c:pt idx="80">
                  <c:v>46461</c:v>
                </c:pt>
                <c:pt idx="81">
                  <c:v>46468</c:v>
                </c:pt>
                <c:pt idx="82">
                  <c:v>46475</c:v>
                </c:pt>
                <c:pt idx="83">
                  <c:v>46482</c:v>
                </c:pt>
                <c:pt idx="84">
                  <c:v>46489</c:v>
                </c:pt>
                <c:pt idx="85">
                  <c:v>46496</c:v>
                </c:pt>
                <c:pt idx="86">
                  <c:v>46503</c:v>
                </c:pt>
                <c:pt idx="87">
                  <c:v>46510</c:v>
                </c:pt>
                <c:pt idx="88">
                  <c:v>46517</c:v>
                </c:pt>
                <c:pt idx="89">
                  <c:v>46524</c:v>
                </c:pt>
                <c:pt idx="90">
                  <c:v>46531</c:v>
                </c:pt>
                <c:pt idx="91">
                  <c:v>46538</c:v>
                </c:pt>
                <c:pt idx="92">
                  <c:v>46545</c:v>
                </c:pt>
                <c:pt idx="93">
                  <c:v>46552</c:v>
                </c:pt>
                <c:pt idx="94">
                  <c:v>46559</c:v>
                </c:pt>
                <c:pt idx="95">
                  <c:v>46566</c:v>
                </c:pt>
                <c:pt idx="96">
                  <c:v>46573</c:v>
                </c:pt>
                <c:pt idx="97">
                  <c:v>46580</c:v>
                </c:pt>
                <c:pt idx="98">
                  <c:v>46587</c:v>
                </c:pt>
                <c:pt idx="99">
                  <c:v>46594</c:v>
                </c:pt>
                <c:pt idx="100">
                  <c:v>46601</c:v>
                </c:pt>
                <c:pt idx="101">
                  <c:v>46608</c:v>
                </c:pt>
                <c:pt idx="102">
                  <c:v>46615</c:v>
                </c:pt>
                <c:pt idx="103">
                  <c:v>46622</c:v>
                </c:pt>
                <c:pt idx="104">
                  <c:v>46629</c:v>
                </c:pt>
                <c:pt idx="105">
                  <c:v>46636</c:v>
                </c:pt>
                <c:pt idx="106">
                  <c:v>46643</c:v>
                </c:pt>
                <c:pt idx="107">
                  <c:v>46650</c:v>
                </c:pt>
                <c:pt idx="108">
                  <c:v>46657</c:v>
                </c:pt>
                <c:pt idx="109">
                  <c:v>46664</c:v>
                </c:pt>
                <c:pt idx="110">
                  <c:v>46671</c:v>
                </c:pt>
                <c:pt idx="111">
                  <c:v>46678</c:v>
                </c:pt>
                <c:pt idx="112">
                  <c:v>46685</c:v>
                </c:pt>
                <c:pt idx="113">
                  <c:v>46692</c:v>
                </c:pt>
                <c:pt idx="114">
                  <c:v>46699</c:v>
                </c:pt>
                <c:pt idx="115">
                  <c:v>46706</c:v>
                </c:pt>
                <c:pt idx="116">
                  <c:v>46713</c:v>
                </c:pt>
                <c:pt idx="117">
                  <c:v>46720</c:v>
                </c:pt>
                <c:pt idx="118">
                  <c:v>46727</c:v>
                </c:pt>
                <c:pt idx="119">
                  <c:v>46734</c:v>
                </c:pt>
                <c:pt idx="120">
                  <c:v>46741</c:v>
                </c:pt>
                <c:pt idx="121">
                  <c:v>46748</c:v>
                </c:pt>
                <c:pt idx="122">
                  <c:v>46755</c:v>
                </c:pt>
                <c:pt idx="123">
                  <c:v>46762</c:v>
                </c:pt>
                <c:pt idx="124">
                  <c:v>46769</c:v>
                </c:pt>
                <c:pt idx="125">
                  <c:v>46776</c:v>
                </c:pt>
                <c:pt idx="126">
                  <c:v>46783</c:v>
                </c:pt>
                <c:pt idx="127">
                  <c:v>46790</c:v>
                </c:pt>
                <c:pt idx="128">
                  <c:v>46797</c:v>
                </c:pt>
                <c:pt idx="129">
                  <c:v>46804</c:v>
                </c:pt>
                <c:pt idx="130">
                  <c:v>46811</c:v>
                </c:pt>
                <c:pt idx="131">
                  <c:v>46818</c:v>
                </c:pt>
                <c:pt idx="132">
                  <c:v>46825</c:v>
                </c:pt>
                <c:pt idx="133">
                  <c:v>46832</c:v>
                </c:pt>
                <c:pt idx="134">
                  <c:v>46839</c:v>
                </c:pt>
                <c:pt idx="135">
                  <c:v>46846</c:v>
                </c:pt>
                <c:pt idx="136">
                  <c:v>46853</c:v>
                </c:pt>
                <c:pt idx="137">
                  <c:v>46860</c:v>
                </c:pt>
                <c:pt idx="138">
                  <c:v>46867</c:v>
                </c:pt>
                <c:pt idx="139">
                  <c:v>46874</c:v>
                </c:pt>
                <c:pt idx="140">
                  <c:v>46881</c:v>
                </c:pt>
                <c:pt idx="141">
                  <c:v>46888</c:v>
                </c:pt>
                <c:pt idx="142">
                  <c:v>46895</c:v>
                </c:pt>
                <c:pt idx="143">
                  <c:v>46902</c:v>
                </c:pt>
                <c:pt idx="144">
                  <c:v>46909</c:v>
                </c:pt>
                <c:pt idx="145">
                  <c:v>46916</c:v>
                </c:pt>
                <c:pt idx="146">
                  <c:v>46923</c:v>
                </c:pt>
                <c:pt idx="147">
                  <c:v>46930</c:v>
                </c:pt>
                <c:pt idx="148">
                  <c:v>46937</c:v>
                </c:pt>
                <c:pt idx="149">
                  <c:v>46944</c:v>
                </c:pt>
                <c:pt idx="150">
                  <c:v>46951</c:v>
                </c:pt>
                <c:pt idx="151">
                  <c:v>46958</c:v>
                </c:pt>
                <c:pt idx="152">
                  <c:v>46965</c:v>
                </c:pt>
                <c:pt idx="153">
                  <c:v>46972</c:v>
                </c:pt>
                <c:pt idx="154">
                  <c:v>46979</c:v>
                </c:pt>
                <c:pt idx="155">
                  <c:v>46986</c:v>
                </c:pt>
                <c:pt idx="156">
                  <c:v>46993</c:v>
                </c:pt>
                <c:pt idx="157">
                  <c:v>47000</c:v>
                </c:pt>
                <c:pt idx="158">
                  <c:v>47007</c:v>
                </c:pt>
                <c:pt idx="159">
                  <c:v>47014</c:v>
                </c:pt>
                <c:pt idx="160">
                  <c:v>47021</c:v>
                </c:pt>
                <c:pt idx="161">
                  <c:v>47028</c:v>
                </c:pt>
                <c:pt idx="162">
                  <c:v>47035</c:v>
                </c:pt>
                <c:pt idx="163">
                  <c:v>47042</c:v>
                </c:pt>
                <c:pt idx="164">
                  <c:v>47049</c:v>
                </c:pt>
                <c:pt idx="165">
                  <c:v>47056</c:v>
                </c:pt>
                <c:pt idx="166">
                  <c:v>47063</c:v>
                </c:pt>
                <c:pt idx="167">
                  <c:v>47070</c:v>
                </c:pt>
                <c:pt idx="168">
                  <c:v>47077</c:v>
                </c:pt>
                <c:pt idx="169">
                  <c:v>47084</c:v>
                </c:pt>
                <c:pt idx="170">
                  <c:v>47091</c:v>
                </c:pt>
                <c:pt idx="171">
                  <c:v>47098</c:v>
                </c:pt>
                <c:pt idx="172">
                  <c:v>47105</c:v>
                </c:pt>
                <c:pt idx="173">
                  <c:v>47112</c:v>
                </c:pt>
                <c:pt idx="174">
                  <c:v>47119</c:v>
                </c:pt>
                <c:pt idx="175">
                  <c:v>47126</c:v>
                </c:pt>
                <c:pt idx="176">
                  <c:v>47133</c:v>
                </c:pt>
                <c:pt idx="177">
                  <c:v>47140</c:v>
                </c:pt>
                <c:pt idx="178">
                  <c:v>47147</c:v>
                </c:pt>
                <c:pt idx="179">
                  <c:v>47154</c:v>
                </c:pt>
                <c:pt idx="180">
                  <c:v>47161</c:v>
                </c:pt>
                <c:pt idx="181">
                  <c:v>47168</c:v>
                </c:pt>
                <c:pt idx="182">
                  <c:v>47175</c:v>
                </c:pt>
                <c:pt idx="183">
                  <c:v>47182</c:v>
                </c:pt>
                <c:pt idx="184">
                  <c:v>47189</c:v>
                </c:pt>
                <c:pt idx="185">
                  <c:v>47196</c:v>
                </c:pt>
                <c:pt idx="186">
                  <c:v>47203</c:v>
                </c:pt>
                <c:pt idx="187">
                  <c:v>47210</c:v>
                </c:pt>
                <c:pt idx="188">
                  <c:v>47217</c:v>
                </c:pt>
                <c:pt idx="189">
                  <c:v>47224</c:v>
                </c:pt>
                <c:pt idx="190">
                  <c:v>47231</c:v>
                </c:pt>
                <c:pt idx="191">
                  <c:v>47238</c:v>
                </c:pt>
                <c:pt idx="192">
                  <c:v>47245</c:v>
                </c:pt>
                <c:pt idx="193">
                  <c:v>47252</c:v>
                </c:pt>
                <c:pt idx="194">
                  <c:v>47259</c:v>
                </c:pt>
                <c:pt idx="195">
                  <c:v>47266</c:v>
                </c:pt>
                <c:pt idx="196">
                  <c:v>47273</c:v>
                </c:pt>
                <c:pt idx="197">
                  <c:v>47280</c:v>
                </c:pt>
                <c:pt idx="198">
                  <c:v>47287</c:v>
                </c:pt>
                <c:pt idx="199">
                  <c:v>47294</c:v>
                </c:pt>
                <c:pt idx="200">
                  <c:v>47301</c:v>
                </c:pt>
                <c:pt idx="201">
                  <c:v>47308</c:v>
                </c:pt>
                <c:pt idx="202">
                  <c:v>47315</c:v>
                </c:pt>
                <c:pt idx="203">
                  <c:v>47322</c:v>
                </c:pt>
                <c:pt idx="204">
                  <c:v>47329</c:v>
                </c:pt>
                <c:pt idx="205">
                  <c:v>47336</c:v>
                </c:pt>
                <c:pt idx="206">
                  <c:v>47343</c:v>
                </c:pt>
                <c:pt idx="207">
                  <c:v>47350</c:v>
                </c:pt>
                <c:pt idx="208">
                  <c:v>47357</c:v>
                </c:pt>
                <c:pt idx="209">
                  <c:v>47364</c:v>
                </c:pt>
                <c:pt idx="210">
                  <c:v>47371</c:v>
                </c:pt>
                <c:pt idx="211">
                  <c:v>47378</c:v>
                </c:pt>
                <c:pt idx="212">
                  <c:v>47385</c:v>
                </c:pt>
                <c:pt idx="213">
                  <c:v>47392</c:v>
                </c:pt>
                <c:pt idx="214">
                  <c:v>47399</c:v>
                </c:pt>
                <c:pt idx="215">
                  <c:v>47406</c:v>
                </c:pt>
                <c:pt idx="216">
                  <c:v>47413</c:v>
                </c:pt>
                <c:pt idx="217">
                  <c:v>47420</c:v>
                </c:pt>
                <c:pt idx="218">
                  <c:v>47427</c:v>
                </c:pt>
                <c:pt idx="219">
                  <c:v>47434</c:v>
                </c:pt>
                <c:pt idx="220">
                  <c:v>47441</c:v>
                </c:pt>
                <c:pt idx="221">
                  <c:v>47448</c:v>
                </c:pt>
                <c:pt idx="222">
                  <c:v>47455</c:v>
                </c:pt>
                <c:pt idx="223">
                  <c:v>47462</c:v>
                </c:pt>
                <c:pt idx="224">
                  <c:v>47469</c:v>
                </c:pt>
                <c:pt idx="225">
                  <c:v>47476</c:v>
                </c:pt>
                <c:pt idx="226">
                  <c:v>47483</c:v>
                </c:pt>
                <c:pt idx="227">
                  <c:v>47490</c:v>
                </c:pt>
                <c:pt idx="228">
                  <c:v>47497</c:v>
                </c:pt>
                <c:pt idx="229">
                  <c:v>47504</c:v>
                </c:pt>
                <c:pt idx="230">
                  <c:v>47511</c:v>
                </c:pt>
                <c:pt idx="231">
                  <c:v>47518</c:v>
                </c:pt>
                <c:pt idx="232">
                  <c:v>47525</c:v>
                </c:pt>
                <c:pt idx="233">
                  <c:v>47532</c:v>
                </c:pt>
                <c:pt idx="234">
                  <c:v>47539</c:v>
                </c:pt>
                <c:pt idx="235">
                  <c:v>47546</c:v>
                </c:pt>
                <c:pt idx="236">
                  <c:v>47553</c:v>
                </c:pt>
                <c:pt idx="237">
                  <c:v>47560</c:v>
                </c:pt>
                <c:pt idx="238">
                  <c:v>47567</c:v>
                </c:pt>
                <c:pt idx="239">
                  <c:v>47574</c:v>
                </c:pt>
                <c:pt idx="240">
                  <c:v>47581</c:v>
                </c:pt>
                <c:pt idx="241">
                  <c:v>47588</c:v>
                </c:pt>
                <c:pt idx="242">
                  <c:v>47595</c:v>
                </c:pt>
                <c:pt idx="243">
                  <c:v>47602</c:v>
                </c:pt>
                <c:pt idx="244">
                  <c:v>47609</c:v>
                </c:pt>
                <c:pt idx="245">
                  <c:v>47616</c:v>
                </c:pt>
                <c:pt idx="246">
                  <c:v>47623</c:v>
                </c:pt>
                <c:pt idx="247">
                  <c:v>47630</c:v>
                </c:pt>
                <c:pt idx="248">
                  <c:v>47637</c:v>
                </c:pt>
                <c:pt idx="249">
                  <c:v>47644</c:v>
                </c:pt>
                <c:pt idx="250">
                  <c:v>47651</c:v>
                </c:pt>
                <c:pt idx="251">
                  <c:v>47658</c:v>
                </c:pt>
                <c:pt idx="252">
                  <c:v>47665</c:v>
                </c:pt>
                <c:pt idx="253">
                  <c:v>47672</c:v>
                </c:pt>
                <c:pt idx="254">
                  <c:v>47679</c:v>
                </c:pt>
                <c:pt idx="255">
                  <c:v>47686</c:v>
                </c:pt>
                <c:pt idx="256">
                  <c:v>47693</c:v>
                </c:pt>
                <c:pt idx="257">
                  <c:v>47700</c:v>
                </c:pt>
                <c:pt idx="258">
                  <c:v>47707</c:v>
                </c:pt>
                <c:pt idx="259">
                  <c:v>47714</c:v>
                </c:pt>
                <c:pt idx="260">
                  <c:v>47721</c:v>
                </c:pt>
                <c:pt idx="261">
                  <c:v>47728</c:v>
                </c:pt>
                <c:pt idx="262">
                  <c:v>47735</c:v>
                </c:pt>
                <c:pt idx="263">
                  <c:v>47742</c:v>
                </c:pt>
                <c:pt idx="264">
                  <c:v>47749</c:v>
                </c:pt>
                <c:pt idx="265">
                  <c:v>47756</c:v>
                </c:pt>
                <c:pt idx="266">
                  <c:v>47763</c:v>
                </c:pt>
                <c:pt idx="267">
                  <c:v>47770</c:v>
                </c:pt>
                <c:pt idx="268">
                  <c:v>47777</c:v>
                </c:pt>
                <c:pt idx="269">
                  <c:v>47784</c:v>
                </c:pt>
                <c:pt idx="270">
                  <c:v>47791</c:v>
                </c:pt>
                <c:pt idx="271">
                  <c:v>47798</c:v>
                </c:pt>
                <c:pt idx="272">
                  <c:v>47805</c:v>
                </c:pt>
                <c:pt idx="273">
                  <c:v>47812</c:v>
                </c:pt>
                <c:pt idx="274">
                  <c:v>47819</c:v>
                </c:pt>
                <c:pt idx="275">
                  <c:v>47826</c:v>
                </c:pt>
                <c:pt idx="276">
                  <c:v>47833</c:v>
                </c:pt>
                <c:pt idx="277">
                  <c:v>47840</c:v>
                </c:pt>
                <c:pt idx="278">
                  <c:v>47847</c:v>
                </c:pt>
                <c:pt idx="279">
                  <c:v>47854</c:v>
                </c:pt>
                <c:pt idx="280">
                  <c:v>47861</c:v>
                </c:pt>
                <c:pt idx="281">
                  <c:v>47868</c:v>
                </c:pt>
                <c:pt idx="282">
                  <c:v>47875</c:v>
                </c:pt>
                <c:pt idx="283">
                  <c:v>47882</c:v>
                </c:pt>
                <c:pt idx="284">
                  <c:v>47889</c:v>
                </c:pt>
                <c:pt idx="285">
                  <c:v>47896</c:v>
                </c:pt>
                <c:pt idx="286">
                  <c:v>47903</c:v>
                </c:pt>
              </c:numCache>
              <c:extLst xmlns:c15="http://schemas.microsoft.com/office/drawing/2012/chart"/>
            </c:numRef>
          </c:cat>
          <c:val>
            <c:numRef>
              <c:f>Cashflow!$F$10:$KF$10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1765820.838</c:v>
                </c:pt>
                <c:pt idx="11">
                  <c:v>1765820.838</c:v>
                </c:pt>
                <c:pt idx="12">
                  <c:v>1765820.838</c:v>
                </c:pt>
                <c:pt idx="13">
                  <c:v>1765820.838</c:v>
                </c:pt>
                <c:pt idx="14">
                  <c:v>2077436.28</c:v>
                </c:pt>
                <c:pt idx="15">
                  <c:v>2077436.28</c:v>
                </c:pt>
                <c:pt idx="16">
                  <c:v>2077436.28</c:v>
                </c:pt>
                <c:pt idx="17">
                  <c:v>2077436.28</c:v>
                </c:pt>
                <c:pt idx="18">
                  <c:v>2077436.28</c:v>
                </c:pt>
                <c:pt idx="19">
                  <c:v>2077436.28</c:v>
                </c:pt>
                <c:pt idx="20">
                  <c:v>2077436.28</c:v>
                </c:pt>
                <c:pt idx="21">
                  <c:v>2077436.28</c:v>
                </c:pt>
                <c:pt idx="22">
                  <c:v>2077436.28</c:v>
                </c:pt>
                <c:pt idx="23">
                  <c:v>2077436.28</c:v>
                </c:pt>
                <c:pt idx="24">
                  <c:v>2077436.28</c:v>
                </c:pt>
                <c:pt idx="25">
                  <c:v>2077436.28</c:v>
                </c:pt>
                <c:pt idx="26">
                  <c:v>2077436.28</c:v>
                </c:pt>
                <c:pt idx="27">
                  <c:v>2077436.28</c:v>
                </c:pt>
                <c:pt idx="28">
                  <c:v>2077436.28</c:v>
                </c:pt>
                <c:pt idx="29">
                  <c:v>2077436.28</c:v>
                </c:pt>
                <c:pt idx="30">
                  <c:v>2077436.28</c:v>
                </c:pt>
                <c:pt idx="31">
                  <c:v>2077436.28</c:v>
                </c:pt>
                <c:pt idx="32">
                  <c:v>2077436.28</c:v>
                </c:pt>
                <c:pt idx="33">
                  <c:v>2077436.28</c:v>
                </c:pt>
                <c:pt idx="34">
                  <c:v>2077436.28</c:v>
                </c:pt>
                <c:pt idx="35">
                  <c:v>2077436.28</c:v>
                </c:pt>
                <c:pt idx="36">
                  <c:v>2077436.28</c:v>
                </c:pt>
                <c:pt idx="37">
                  <c:v>2077436.28</c:v>
                </c:pt>
                <c:pt idx="38">
                  <c:v>2077436.28</c:v>
                </c:pt>
                <c:pt idx="39">
                  <c:v>2077436.28</c:v>
                </c:pt>
                <c:pt idx="40">
                  <c:v>2077436.28</c:v>
                </c:pt>
                <c:pt idx="41">
                  <c:v>2077436.28</c:v>
                </c:pt>
                <c:pt idx="42">
                  <c:v>2077436.28</c:v>
                </c:pt>
                <c:pt idx="43">
                  <c:v>2077436.28</c:v>
                </c:pt>
                <c:pt idx="44">
                  <c:v>2077436.28</c:v>
                </c:pt>
                <c:pt idx="45">
                  <c:v>2077436.28</c:v>
                </c:pt>
                <c:pt idx="46">
                  <c:v>2077436.28</c:v>
                </c:pt>
                <c:pt idx="47">
                  <c:v>2077436.28</c:v>
                </c:pt>
                <c:pt idx="48">
                  <c:v>2077436.28</c:v>
                </c:pt>
                <c:pt idx="49">
                  <c:v>2077436.28</c:v>
                </c:pt>
                <c:pt idx="50">
                  <c:v>2077436.28</c:v>
                </c:pt>
                <c:pt idx="51">
                  <c:v>2077436.28</c:v>
                </c:pt>
                <c:pt idx="52">
                  <c:v>2077436.28</c:v>
                </c:pt>
                <c:pt idx="53">
                  <c:v>2077436.28</c:v>
                </c:pt>
                <c:pt idx="54">
                  <c:v>2077436.28</c:v>
                </c:pt>
                <c:pt idx="55">
                  <c:v>2077436.28</c:v>
                </c:pt>
                <c:pt idx="56">
                  <c:v>2077436.28</c:v>
                </c:pt>
                <c:pt idx="57">
                  <c:v>2077436.28</c:v>
                </c:pt>
                <c:pt idx="58">
                  <c:v>2077436.28</c:v>
                </c:pt>
                <c:pt idx="59">
                  <c:v>2077436.28</c:v>
                </c:pt>
                <c:pt idx="60">
                  <c:v>2077436.28</c:v>
                </c:pt>
                <c:pt idx="61">
                  <c:v>2077436.28</c:v>
                </c:pt>
                <c:pt idx="62">
                  <c:v>2077436.28</c:v>
                </c:pt>
                <c:pt idx="63">
                  <c:v>2077436.28</c:v>
                </c:pt>
                <c:pt idx="64">
                  <c:v>2077436.28</c:v>
                </c:pt>
                <c:pt idx="65">
                  <c:v>2077436.28</c:v>
                </c:pt>
                <c:pt idx="66">
                  <c:v>2077436.28</c:v>
                </c:pt>
                <c:pt idx="67">
                  <c:v>2077436.28</c:v>
                </c:pt>
                <c:pt idx="68">
                  <c:v>2077436.28</c:v>
                </c:pt>
                <c:pt idx="69">
                  <c:v>2077436.28</c:v>
                </c:pt>
                <c:pt idx="70">
                  <c:v>2077436.28</c:v>
                </c:pt>
                <c:pt idx="71">
                  <c:v>2077436.28</c:v>
                </c:pt>
                <c:pt idx="72">
                  <c:v>2077436.28</c:v>
                </c:pt>
                <c:pt idx="73">
                  <c:v>2077436.28</c:v>
                </c:pt>
                <c:pt idx="74">
                  <c:v>2077436.28</c:v>
                </c:pt>
                <c:pt idx="75">
                  <c:v>2077436.28</c:v>
                </c:pt>
                <c:pt idx="76">
                  <c:v>2077436.28</c:v>
                </c:pt>
                <c:pt idx="77">
                  <c:v>2077436.28</c:v>
                </c:pt>
                <c:pt idx="78">
                  <c:v>2077436.28</c:v>
                </c:pt>
                <c:pt idx="79">
                  <c:v>2077436.28</c:v>
                </c:pt>
                <c:pt idx="80">
                  <c:v>2077436.28</c:v>
                </c:pt>
                <c:pt idx="81">
                  <c:v>2077436.28</c:v>
                </c:pt>
                <c:pt idx="82">
                  <c:v>2077436.28</c:v>
                </c:pt>
                <c:pt idx="83">
                  <c:v>2077436.28</c:v>
                </c:pt>
                <c:pt idx="84">
                  <c:v>2077436.28</c:v>
                </c:pt>
                <c:pt idx="85">
                  <c:v>2077436.28</c:v>
                </c:pt>
                <c:pt idx="86">
                  <c:v>2077436.28</c:v>
                </c:pt>
                <c:pt idx="87">
                  <c:v>2077436.28</c:v>
                </c:pt>
                <c:pt idx="88">
                  <c:v>2077436.28</c:v>
                </c:pt>
                <c:pt idx="89">
                  <c:v>2077436.28</c:v>
                </c:pt>
                <c:pt idx="90">
                  <c:v>2077436.28</c:v>
                </c:pt>
                <c:pt idx="91">
                  <c:v>2077436.28</c:v>
                </c:pt>
                <c:pt idx="92">
                  <c:v>2077436.28</c:v>
                </c:pt>
                <c:pt idx="93">
                  <c:v>2077436.28</c:v>
                </c:pt>
                <c:pt idx="94">
                  <c:v>2077436.28</c:v>
                </c:pt>
                <c:pt idx="95">
                  <c:v>2077436.28</c:v>
                </c:pt>
                <c:pt idx="96">
                  <c:v>2077436.28</c:v>
                </c:pt>
                <c:pt idx="97">
                  <c:v>2077436.28</c:v>
                </c:pt>
                <c:pt idx="98">
                  <c:v>2077436.28</c:v>
                </c:pt>
                <c:pt idx="99">
                  <c:v>2077436.28</c:v>
                </c:pt>
                <c:pt idx="100">
                  <c:v>2077436.28</c:v>
                </c:pt>
                <c:pt idx="101">
                  <c:v>2077436.28</c:v>
                </c:pt>
                <c:pt idx="102">
                  <c:v>2077436.28</c:v>
                </c:pt>
                <c:pt idx="103">
                  <c:v>2077436.28</c:v>
                </c:pt>
                <c:pt idx="104">
                  <c:v>2077436.28</c:v>
                </c:pt>
                <c:pt idx="105">
                  <c:v>2077436.28</c:v>
                </c:pt>
                <c:pt idx="106">
                  <c:v>2077436.28</c:v>
                </c:pt>
                <c:pt idx="107">
                  <c:v>2077436.28</c:v>
                </c:pt>
                <c:pt idx="108">
                  <c:v>2077436.28</c:v>
                </c:pt>
                <c:pt idx="109">
                  <c:v>2077436.28</c:v>
                </c:pt>
                <c:pt idx="110">
                  <c:v>2077436.28</c:v>
                </c:pt>
                <c:pt idx="111">
                  <c:v>2077436.28</c:v>
                </c:pt>
                <c:pt idx="112">
                  <c:v>2077436.28</c:v>
                </c:pt>
                <c:pt idx="113">
                  <c:v>2077436.28</c:v>
                </c:pt>
                <c:pt idx="114">
                  <c:v>2077436.28</c:v>
                </c:pt>
                <c:pt idx="115">
                  <c:v>2077436.28</c:v>
                </c:pt>
                <c:pt idx="116">
                  <c:v>2077436.28</c:v>
                </c:pt>
                <c:pt idx="117">
                  <c:v>2077436.28</c:v>
                </c:pt>
                <c:pt idx="118">
                  <c:v>2077436.28</c:v>
                </c:pt>
                <c:pt idx="119">
                  <c:v>2077436.28</c:v>
                </c:pt>
                <c:pt idx="120">
                  <c:v>2077436.28</c:v>
                </c:pt>
                <c:pt idx="121">
                  <c:v>2077436.28</c:v>
                </c:pt>
                <c:pt idx="122">
                  <c:v>2077436.28</c:v>
                </c:pt>
                <c:pt idx="123">
                  <c:v>2077436.28</c:v>
                </c:pt>
                <c:pt idx="124">
                  <c:v>2077436.28</c:v>
                </c:pt>
                <c:pt idx="125">
                  <c:v>2077436.28</c:v>
                </c:pt>
                <c:pt idx="126">
                  <c:v>2077436.28</c:v>
                </c:pt>
                <c:pt idx="127">
                  <c:v>2077436.28</c:v>
                </c:pt>
                <c:pt idx="128">
                  <c:v>2077436.28</c:v>
                </c:pt>
                <c:pt idx="129">
                  <c:v>2077436.28</c:v>
                </c:pt>
                <c:pt idx="130">
                  <c:v>2077436.28</c:v>
                </c:pt>
                <c:pt idx="131">
                  <c:v>2077436.28</c:v>
                </c:pt>
                <c:pt idx="132">
                  <c:v>2077436.28</c:v>
                </c:pt>
                <c:pt idx="133">
                  <c:v>2077436.28</c:v>
                </c:pt>
                <c:pt idx="134">
                  <c:v>2077436.28</c:v>
                </c:pt>
                <c:pt idx="135">
                  <c:v>2077436.28</c:v>
                </c:pt>
                <c:pt idx="136">
                  <c:v>2077436.28</c:v>
                </c:pt>
                <c:pt idx="137">
                  <c:v>2077436.28</c:v>
                </c:pt>
                <c:pt idx="138">
                  <c:v>2077436.28</c:v>
                </c:pt>
                <c:pt idx="139">
                  <c:v>2077436.28</c:v>
                </c:pt>
                <c:pt idx="140">
                  <c:v>2077436.28</c:v>
                </c:pt>
                <c:pt idx="141">
                  <c:v>2077436.28</c:v>
                </c:pt>
                <c:pt idx="142">
                  <c:v>2077436.28</c:v>
                </c:pt>
                <c:pt idx="143">
                  <c:v>2077436.28</c:v>
                </c:pt>
                <c:pt idx="144">
                  <c:v>2077436.28</c:v>
                </c:pt>
                <c:pt idx="145">
                  <c:v>2077436.28</c:v>
                </c:pt>
                <c:pt idx="146">
                  <c:v>2077436.28</c:v>
                </c:pt>
                <c:pt idx="147">
                  <c:v>2077436.28</c:v>
                </c:pt>
                <c:pt idx="148">
                  <c:v>2077436.28</c:v>
                </c:pt>
                <c:pt idx="149">
                  <c:v>2077436.28</c:v>
                </c:pt>
                <c:pt idx="150">
                  <c:v>2077436.28</c:v>
                </c:pt>
                <c:pt idx="151">
                  <c:v>2077436.28</c:v>
                </c:pt>
                <c:pt idx="152">
                  <c:v>2077436.28</c:v>
                </c:pt>
                <c:pt idx="153">
                  <c:v>2077436.28</c:v>
                </c:pt>
                <c:pt idx="154">
                  <c:v>2077436.28</c:v>
                </c:pt>
                <c:pt idx="155">
                  <c:v>2077436.28</c:v>
                </c:pt>
                <c:pt idx="156">
                  <c:v>2077436.28</c:v>
                </c:pt>
                <c:pt idx="157">
                  <c:v>2077436.28</c:v>
                </c:pt>
                <c:pt idx="158">
                  <c:v>2077436.28</c:v>
                </c:pt>
                <c:pt idx="159">
                  <c:v>2077436.28</c:v>
                </c:pt>
                <c:pt idx="160">
                  <c:v>2077436.28</c:v>
                </c:pt>
                <c:pt idx="161">
                  <c:v>2077436.28</c:v>
                </c:pt>
                <c:pt idx="162">
                  <c:v>2077436.28</c:v>
                </c:pt>
                <c:pt idx="163">
                  <c:v>2077436.28</c:v>
                </c:pt>
                <c:pt idx="164">
                  <c:v>2077436.28</c:v>
                </c:pt>
                <c:pt idx="165">
                  <c:v>2077436.28</c:v>
                </c:pt>
                <c:pt idx="166">
                  <c:v>2077436.28</c:v>
                </c:pt>
                <c:pt idx="167">
                  <c:v>2077436.28</c:v>
                </c:pt>
                <c:pt idx="168">
                  <c:v>2077436.28</c:v>
                </c:pt>
                <c:pt idx="169">
                  <c:v>2077436.28</c:v>
                </c:pt>
                <c:pt idx="170">
                  <c:v>2077436.28</c:v>
                </c:pt>
                <c:pt idx="171">
                  <c:v>2077436.28</c:v>
                </c:pt>
                <c:pt idx="172">
                  <c:v>2077436.28</c:v>
                </c:pt>
                <c:pt idx="173">
                  <c:v>2077436.28</c:v>
                </c:pt>
                <c:pt idx="174">
                  <c:v>2077436.28</c:v>
                </c:pt>
                <c:pt idx="175">
                  <c:v>2077436.28</c:v>
                </c:pt>
                <c:pt idx="176">
                  <c:v>2077436.28</c:v>
                </c:pt>
                <c:pt idx="177">
                  <c:v>2077436.28</c:v>
                </c:pt>
                <c:pt idx="178">
                  <c:v>2077436.28</c:v>
                </c:pt>
                <c:pt idx="179">
                  <c:v>2077436.28</c:v>
                </c:pt>
                <c:pt idx="180">
                  <c:v>2077436.28</c:v>
                </c:pt>
                <c:pt idx="181">
                  <c:v>2077436.28</c:v>
                </c:pt>
                <c:pt idx="182">
                  <c:v>2077436.28</c:v>
                </c:pt>
                <c:pt idx="183">
                  <c:v>2077436.28</c:v>
                </c:pt>
                <c:pt idx="184">
                  <c:v>2077436.28</c:v>
                </c:pt>
                <c:pt idx="185">
                  <c:v>2077436.28</c:v>
                </c:pt>
                <c:pt idx="186">
                  <c:v>2077436.28</c:v>
                </c:pt>
                <c:pt idx="187">
                  <c:v>2077436.28</c:v>
                </c:pt>
                <c:pt idx="188">
                  <c:v>2077436.28</c:v>
                </c:pt>
                <c:pt idx="189">
                  <c:v>2077436.28</c:v>
                </c:pt>
                <c:pt idx="190">
                  <c:v>2077436.28</c:v>
                </c:pt>
                <c:pt idx="191">
                  <c:v>2077436.28</c:v>
                </c:pt>
                <c:pt idx="192">
                  <c:v>2077436.28</c:v>
                </c:pt>
                <c:pt idx="193">
                  <c:v>2077436.28</c:v>
                </c:pt>
                <c:pt idx="194">
                  <c:v>2077436.28</c:v>
                </c:pt>
                <c:pt idx="195">
                  <c:v>2077436.28</c:v>
                </c:pt>
                <c:pt idx="196">
                  <c:v>2077436.28</c:v>
                </c:pt>
                <c:pt idx="197">
                  <c:v>2077436.28</c:v>
                </c:pt>
                <c:pt idx="198">
                  <c:v>2077436.28</c:v>
                </c:pt>
                <c:pt idx="199">
                  <c:v>2077436.28</c:v>
                </c:pt>
                <c:pt idx="200">
                  <c:v>2077436.28</c:v>
                </c:pt>
                <c:pt idx="201">
                  <c:v>2077436.28</c:v>
                </c:pt>
                <c:pt idx="202">
                  <c:v>2077436.28</c:v>
                </c:pt>
                <c:pt idx="203">
                  <c:v>2077436.28</c:v>
                </c:pt>
                <c:pt idx="204">
                  <c:v>2077436.28</c:v>
                </c:pt>
                <c:pt idx="205">
                  <c:v>2077436.28</c:v>
                </c:pt>
                <c:pt idx="206">
                  <c:v>2077436.28</c:v>
                </c:pt>
                <c:pt idx="207">
                  <c:v>2077436.28</c:v>
                </c:pt>
                <c:pt idx="208">
                  <c:v>2077436.28</c:v>
                </c:pt>
                <c:pt idx="209">
                  <c:v>2077436.28</c:v>
                </c:pt>
                <c:pt idx="210">
                  <c:v>2077436.28</c:v>
                </c:pt>
                <c:pt idx="211">
                  <c:v>2077436.28</c:v>
                </c:pt>
                <c:pt idx="212">
                  <c:v>2077436.28</c:v>
                </c:pt>
                <c:pt idx="213">
                  <c:v>2077436.28</c:v>
                </c:pt>
                <c:pt idx="214">
                  <c:v>2077436.28</c:v>
                </c:pt>
                <c:pt idx="215">
                  <c:v>2077436.28</c:v>
                </c:pt>
                <c:pt idx="216">
                  <c:v>2077436.28</c:v>
                </c:pt>
                <c:pt idx="217">
                  <c:v>2077436.28</c:v>
                </c:pt>
                <c:pt idx="218">
                  <c:v>2077436.28</c:v>
                </c:pt>
                <c:pt idx="219">
                  <c:v>2077436.28</c:v>
                </c:pt>
                <c:pt idx="220">
                  <c:v>2077436.28</c:v>
                </c:pt>
                <c:pt idx="221">
                  <c:v>2077436.28</c:v>
                </c:pt>
                <c:pt idx="222">
                  <c:v>2077436.28</c:v>
                </c:pt>
                <c:pt idx="223">
                  <c:v>2077436.28</c:v>
                </c:pt>
                <c:pt idx="224">
                  <c:v>2077436.28</c:v>
                </c:pt>
                <c:pt idx="225">
                  <c:v>2077436.28</c:v>
                </c:pt>
                <c:pt idx="226">
                  <c:v>2077436.28</c:v>
                </c:pt>
                <c:pt idx="227">
                  <c:v>2077436.28</c:v>
                </c:pt>
                <c:pt idx="228">
                  <c:v>2077436.28</c:v>
                </c:pt>
                <c:pt idx="229">
                  <c:v>2077436.28</c:v>
                </c:pt>
                <c:pt idx="230">
                  <c:v>2077436.28</c:v>
                </c:pt>
                <c:pt idx="231">
                  <c:v>2077436.28</c:v>
                </c:pt>
                <c:pt idx="232">
                  <c:v>2077436.28</c:v>
                </c:pt>
                <c:pt idx="233">
                  <c:v>2077436.28</c:v>
                </c:pt>
                <c:pt idx="234">
                  <c:v>2077436.28</c:v>
                </c:pt>
                <c:pt idx="235">
                  <c:v>2077436.28</c:v>
                </c:pt>
                <c:pt idx="236">
                  <c:v>2077436.28</c:v>
                </c:pt>
                <c:pt idx="237">
                  <c:v>2077436.28</c:v>
                </c:pt>
                <c:pt idx="238">
                  <c:v>2077436.28</c:v>
                </c:pt>
                <c:pt idx="239">
                  <c:v>2077436.28</c:v>
                </c:pt>
                <c:pt idx="240">
                  <c:v>2077436.28</c:v>
                </c:pt>
                <c:pt idx="241">
                  <c:v>2077436.28</c:v>
                </c:pt>
                <c:pt idx="242">
                  <c:v>2077436.28</c:v>
                </c:pt>
                <c:pt idx="243">
                  <c:v>2077436.28</c:v>
                </c:pt>
                <c:pt idx="244">
                  <c:v>2077436.28</c:v>
                </c:pt>
                <c:pt idx="245">
                  <c:v>2077436.28</c:v>
                </c:pt>
                <c:pt idx="246">
                  <c:v>2077436.28</c:v>
                </c:pt>
                <c:pt idx="247">
                  <c:v>2077436.28</c:v>
                </c:pt>
                <c:pt idx="248">
                  <c:v>2077436.28</c:v>
                </c:pt>
                <c:pt idx="249">
                  <c:v>2077436.28</c:v>
                </c:pt>
                <c:pt idx="250">
                  <c:v>2077436.28</c:v>
                </c:pt>
                <c:pt idx="251">
                  <c:v>2077436.28</c:v>
                </c:pt>
                <c:pt idx="252">
                  <c:v>2077436.28</c:v>
                </c:pt>
                <c:pt idx="253">
                  <c:v>2077436.28</c:v>
                </c:pt>
                <c:pt idx="254">
                  <c:v>2077436.28</c:v>
                </c:pt>
                <c:pt idx="255">
                  <c:v>2077436.28</c:v>
                </c:pt>
                <c:pt idx="256">
                  <c:v>2077436.28</c:v>
                </c:pt>
                <c:pt idx="257">
                  <c:v>2077436.28</c:v>
                </c:pt>
                <c:pt idx="258">
                  <c:v>2077436.28</c:v>
                </c:pt>
                <c:pt idx="259">
                  <c:v>2077436.28</c:v>
                </c:pt>
                <c:pt idx="260">
                  <c:v>2077436.28</c:v>
                </c:pt>
                <c:pt idx="261">
                  <c:v>2077436.28</c:v>
                </c:pt>
                <c:pt idx="262">
                  <c:v>2077436.28</c:v>
                </c:pt>
                <c:pt idx="263">
                  <c:v>2077436.28</c:v>
                </c:pt>
                <c:pt idx="264">
                  <c:v>2077436.28</c:v>
                </c:pt>
                <c:pt idx="265">
                  <c:v>2077436.28</c:v>
                </c:pt>
                <c:pt idx="266">
                  <c:v>2077436.28</c:v>
                </c:pt>
                <c:pt idx="267">
                  <c:v>2077436.28</c:v>
                </c:pt>
                <c:pt idx="268">
                  <c:v>2077436.28</c:v>
                </c:pt>
                <c:pt idx="269">
                  <c:v>2077436.28</c:v>
                </c:pt>
                <c:pt idx="270">
                  <c:v>2077436.28</c:v>
                </c:pt>
                <c:pt idx="271">
                  <c:v>2077436.28</c:v>
                </c:pt>
                <c:pt idx="272">
                  <c:v>2077436.28</c:v>
                </c:pt>
                <c:pt idx="273">
                  <c:v>2077436.28</c:v>
                </c:pt>
                <c:pt idx="274">
                  <c:v>2077436.28</c:v>
                </c:pt>
                <c:pt idx="275">
                  <c:v>2077436.28</c:v>
                </c:pt>
                <c:pt idx="276">
                  <c:v>2077436.28</c:v>
                </c:pt>
                <c:pt idx="277">
                  <c:v>2077436.28</c:v>
                </c:pt>
                <c:pt idx="278">
                  <c:v>2077436.28</c:v>
                </c:pt>
                <c:pt idx="279">
                  <c:v>2077436.28</c:v>
                </c:pt>
                <c:pt idx="280">
                  <c:v>2077436.28</c:v>
                </c:pt>
                <c:pt idx="281">
                  <c:v>2077436.28</c:v>
                </c:pt>
                <c:pt idx="282">
                  <c:v>2077436.28</c:v>
                </c:pt>
                <c:pt idx="283">
                  <c:v>2077436.28</c:v>
                </c:pt>
                <c:pt idx="284">
                  <c:v>2077436.28</c:v>
                </c:pt>
                <c:pt idx="285">
                  <c:v>2077436.28</c:v>
                </c:pt>
                <c:pt idx="286">
                  <c:v>2077436.28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45901</c:v>
                </c:pt>
                <c:pt idx="1">
                  <c:v>45908</c:v>
                </c:pt>
                <c:pt idx="2">
                  <c:v>45915</c:v>
                </c:pt>
                <c:pt idx="3">
                  <c:v>45922</c:v>
                </c:pt>
                <c:pt idx="4">
                  <c:v>45929</c:v>
                </c:pt>
                <c:pt idx="5">
                  <c:v>45936</c:v>
                </c:pt>
                <c:pt idx="6">
                  <c:v>45943</c:v>
                </c:pt>
                <c:pt idx="7">
                  <c:v>45950</c:v>
                </c:pt>
                <c:pt idx="8">
                  <c:v>45957</c:v>
                </c:pt>
                <c:pt idx="9">
                  <c:v>45964</c:v>
                </c:pt>
                <c:pt idx="10">
                  <c:v>45971</c:v>
                </c:pt>
                <c:pt idx="11">
                  <c:v>45978</c:v>
                </c:pt>
                <c:pt idx="12">
                  <c:v>45985</c:v>
                </c:pt>
                <c:pt idx="13">
                  <c:v>45992</c:v>
                </c:pt>
                <c:pt idx="14">
                  <c:v>45999</c:v>
                </c:pt>
                <c:pt idx="15">
                  <c:v>46006</c:v>
                </c:pt>
                <c:pt idx="16">
                  <c:v>46013</c:v>
                </c:pt>
                <c:pt idx="17">
                  <c:v>46020</c:v>
                </c:pt>
                <c:pt idx="18">
                  <c:v>46027</c:v>
                </c:pt>
                <c:pt idx="19">
                  <c:v>46034</c:v>
                </c:pt>
                <c:pt idx="20">
                  <c:v>46041</c:v>
                </c:pt>
                <c:pt idx="21">
                  <c:v>46048</c:v>
                </c:pt>
                <c:pt idx="22">
                  <c:v>46055</c:v>
                </c:pt>
                <c:pt idx="23">
                  <c:v>46062</c:v>
                </c:pt>
                <c:pt idx="24">
                  <c:v>46069</c:v>
                </c:pt>
                <c:pt idx="25">
                  <c:v>46076</c:v>
                </c:pt>
                <c:pt idx="26">
                  <c:v>46083</c:v>
                </c:pt>
                <c:pt idx="27">
                  <c:v>46090</c:v>
                </c:pt>
                <c:pt idx="28">
                  <c:v>46097</c:v>
                </c:pt>
                <c:pt idx="29">
                  <c:v>46104</c:v>
                </c:pt>
                <c:pt idx="30">
                  <c:v>46111</c:v>
                </c:pt>
                <c:pt idx="31">
                  <c:v>46118</c:v>
                </c:pt>
                <c:pt idx="32">
                  <c:v>46125</c:v>
                </c:pt>
                <c:pt idx="33">
                  <c:v>46132</c:v>
                </c:pt>
                <c:pt idx="34">
                  <c:v>46139</c:v>
                </c:pt>
                <c:pt idx="35">
                  <c:v>46146</c:v>
                </c:pt>
                <c:pt idx="36">
                  <c:v>46153</c:v>
                </c:pt>
                <c:pt idx="37">
                  <c:v>46160</c:v>
                </c:pt>
                <c:pt idx="38">
                  <c:v>46167</c:v>
                </c:pt>
                <c:pt idx="39">
                  <c:v>46174</c:v>
                </c:pt>
                <c:pt idx="40">
                  <c:v>46181</c:v>
                </c:pt>
                <c:pt idx="41">
                  <c:v>46188</c:v>
                </c:pt>
                <c:pt idx="42">
                  <c:v>46195</c:v>
                </c:pt>
                <c:pt idx="43">
                  <c:v>46202</c:v>
                </c:pt>
                <c:pt idx="44">
                  <c:v>46209</c:v>
                </c:pt>
                <c:pt idx="45">
                  <c:v>46216</c:v>
                </c:pt>
                <c:pt idx="46">
                  <c:v>46223</c:v>
                </c:pt>
                <c:pt idx="47">
                  <c:v>46230</c:v>
                </c:pt>
                <c:pt idx="48">
                  <c:v>46237</c:v>
                </c:pt>
                <c:pt idx="49">
                  <c:v>46244</c:v>
                </c:pt>
                <c:pt idx="50">
                  <c:v>46251</c:v>
                </c:pt>
                <c:pt idx="51">
                  <c:v>46258</c:v>
                </c:pt>
                <c:pt idx="52">
                  <c:v>46265</c:v>
                </c:pt>
                <c:pt idx="53">
                  <c:v>46272</c:v>
                </c:pt>
                <c:pt idx="54">
                  <c:v>46279</c:v>
                </c:pt>
                <c:pt idx="55">
                  <c:v>46286</c:v>
                </c:pt>
                <c:pt idx="56">
                  <c:v>46293</c:v>
                </c:pt>
                <c:pt idx="57">
                  <c:v>46300</c:v>
                </c:pt>
                <c:pt idx="58">
                  <c:v>46307</c:v>
                </c:pt>
                <c:pt idx="59">
                  <c:v>46314</c:v>
                </c:pt>
                <c:pt idx="60">
                  <c:v>46321</c:v>
                </c:pt>
                <c:pt idx="61">
                  <c:v>46328</c:v>
                </c:pt>
                <c:pt idx="62">
                  <c:v>46335</c:v>
                </c:pt>
                <c:pt idx="63">
                  <c:v>46342</c:v>
                </c:pt>
                <c:pt idx="64">
                  <c:v>46349</c:v>
                </c:pt>
                <c:pt idx="65">
                  <c:v>46356</c:v>
                </c:pt>
                <c:pt idx="66">
                  <c:v>46363</c:v>
                </c:pt>
                <c:pt idx="67">
                  <c:v>46370</c:v>
                </c:pt>
                <c:pt idx="68">
                  <c:v>46377</c:v>
                </c:pt>
                <c:pt idx="69">
                  <c:v>46384</c:v>
                </c:pt>
                <c:pt idx="70">
                  <c:v>46391</c:v>
                </c:pt>
                <c:pt idx="71">
                  <c:v>46398</c:v>
                </c:pt>
                <c:pt idx="72">
                  <c:v>46405</c:v>
                </c:pt>
                <c:pt idx="73">
                  <c:v>46412</c:v>
                </c:pt>
                <c:pt idx="74">
                  <c:v>46419</c:v>
                </c:pt>
                <c:pt idx="75">
                  <c:v>46426</c:v>
                </c:pt>
                <c:pt idx="76">
                  <c:v>46433</c:v>
                </c:pt>
                <c:pt idx="77">
                  <c:v>46440</c:v>
                </c:pt>
                <c:pt idx="78">
                  <c:v>46447</c:v>
                </c:pt>
                <c:pt idx="79">
                  <c:v>46454</c:v>
                </c:pt>
                <c:pt idx="80">
                  <c:v>46461</c:v>
                </c:pt>
                <c:pt idx="81">
                  <c:v>46468</c:v>
                </c:pt>
                <c:pt idx="82">
                  <c:v>46475</c:v>
                </c:pt>
                <c:pt idx="83">
                  <c:v>46482</c:v>
                </c:pt>
                <c:pt idx="84">
                  <c:v>46489</c:v>
                </c:pt>
                <c:pt idx="85">
                  <c:v>46496</c:v>
                </c:pt>
                <c:pt idx="86">
                  <c:v>46503</c:v>
                </c:pt>
                <c:pt idx="87">
                  <c:v>46510</c:v>
                </c:pt>
                <c:pt idx="88">
                  <c:v>46517</c:v>
                </c:pt>
                <c:pt idx="89">
                  <c:v>46524</c:v>
                </c:pt>
                <c:pt idx="90">
                  <c:v>46531</c:v>
                </c:pt>
                <c:pt idx="91">
                  <c:v>46538</c:v>
                </c:pt>
                <c:pt idx="92">
                  <c:v>46545</c:v>
                </c:pt>
                <c:pt idx="93">
                  <c:v>46552</c:v>
                </c:pt>
                <c:pt idx="94">
                  <c:v>46559</c:v>
                </c:pt>
                <c:pt idx="95">
                  <c:v>46566</c:v>
                </c:pt>
                <c:pt idx="96">
                  <c:v>46573</c:v>
                </c:pt>
                <c:pt idx="97">
                  <c:v>46580</c:v>
                </c:pt>
                <c:pt idx="98">
                  <c:v>46587</c:v>
                </c:pt>
                <c:pt idx="99">
                  <c:v>46594</c:v>
                </c:pt>
                <c:pt idx="100">
                  <c:v>46601</c:v>
                </c:pt>
                <c:pt idx="101">
                  <c:v>46608</c:v>
                </c:pt>
                <c:pt idx="102">
                  <c:v>46615</c:v>
                </c:pt>
                <c:pt idx="103">
                  <c:v>46622</c:v>
                </c:pt>
                <c:pt idx="104">
                  <c:v>46629</c:v>
                </c:pt>
                <c:pt idx="105">
                  <c:v>46636</c:v>
                </c:pt>
                <c:pt idx="106">
                  <c:v>46643</c:v>
                </c:pt>
                <c:pt idx="107">
                  <c:v>46650</c:v>
                </c:pt>
                <c:pt idx="108">
                  <c:v>46657</c:v>
                </c:pt>
                <c:pt idx="109">
                  <c:v>46664</c:v>
                </c:pt>
                <c:pt idx="110">
                  <c:v>46671</c:v>
                </c:pt>
                <c:pt idx="111">
                  <c:v>46678</c:v>
                </c:pt>
                <c:pt idx="112">
                  <c:v>46685</c:v>
                </c:pt>
                <c:pt idx="113">
                  <c:v>46692</c:v>
                </c:pt>
                <c:pt idx="114">
                  <c:v>46699</c:v>
                </c:pt>
                <c:pt idx="115">
                  <c:v>46706</c:v>
                </c:pt>
                <c:pt idx="116">
                  <c:v>46713</c:v>
                </c:pt>
                <c:pt idx="117">
                  <c:v>46720</c:v>
                </c:pt>
                <c:pt idx="118">
                  <c:v>46727</c:v>
                </c:pt>
                <c:pt idx="119">
                  <c:v>46734</c:v>
                </c:pt>
                <c:pt idx="120">
                  <c:v>46741</c:v>
                </c:pt>
                <c:pt idx="121">
                  <c:v>46748</c:v>
                </c:pt>
                <c:pt idx="122">
                  <c:v>46755</c:v>
                </c:pt>
                <c:pt idx="123">
                  <c:v>46762</c:v>
                </c:pt>
                <c:pt idx="124">
                  <c:v>46769</c:v>
                </c:pt>
                <c:pt idx="125">
                  <c:v>46776</c:v>
                </c:pt>
                <c:pt idx="126">
                  <c:v>46783</c:v>
                </c:pt>
                <c:pt idx="127">
                  <c:v>46790</c:v>
                </c:pt>
                <c:pt idx="128">
                  <c:v>46797</c:v>
                </c:pt>
                <c:pt idx="129">
                  <c:v>46804</c:v>
                </c:pt>
                <c:pt idx="130">
                  <c:v>46811</c:v>
                </c:pt>
                <c:pt idx="131">
                  <c:v>46818</c:v>
                </c:pt>
                <c:pt idx="132">
                  <c:v>46825</c:v>
                </c:pt>
                <c:pt idx="133">
                  <c:v>46832</c:v>
                </c:pt>
                <c:pt idx="134">
                  <c:v>46839</c:v>
                </c:pt>
                <c:pt idx="135">
                  <c:v>46846</c:v>
                </c:pt>
                <c:pt idx="136">
                  <c:v>46853</c:v>
                </c:pt>
                <c:pt idx="137">
                  <c:v>46860</c:v>
                </c:pt>
                <c:pt idx="138">
                  <c:v>46867</c:v>
                </c:pt>
                <c:pt idx="139">
                  <c:v>46874</c:v>
                </c:pt>
                <c:pt idx="140">
                  <c:v>46881</c:v>
                </c:pt>
                <c:pt idx="141">
                  <c:v>46888</c:v>
                </c:pt>
                <c:pt idx="142">
                  <c:v>46895</c:v>
                </c:pt>
                <c:pt idx="143">
                  <c:v>46902</c:v>
                </c:pt>
                <c:pt idx="144">
                  <c:v>46909</c:v>
                </c:pt>
                <c:pt idx="145">
                  <c:v>46916</c:v>
                </c:pt>
                <c:pt idx="146">
                  <c:v>46923</c:v>
                </c:pt>
                <c:pt idx="147">
                  <c:v>46930</c:v>
                </c:pt>
                <c:pt idx="148">
                  <c:v>46937</c:v>
                </c:pt>
                <c:pt idx="149">
                  <c:v>46944</c:v>
                </c:pt>
                <c:pt idx="150">
                  <c:v>46951</c:v>
                </c:pt>
                <c:pt idx="151">
                  <c:v>46958</c:v>
                </c:pt>
                <c:pt idx="152">
                  <c:v>46965</c:v>
                </c:pt>
                <c:pt idx="153">
                  <c:v>46972</c:v>
                </c:pt>
                <c:pt idx="154">
                  <c:v>46979</c:v>
                </c:pt>
                <c:pt idx="155">
                  <c:v>46986</c:v>
                </c:pt>
                <c:pt idx="156">
                  <c:v>46993</c:v>
                </c:pt>
                <c:pt idx="157">
                  <c:v>47000</c:v>
                </c:pt>
                <c:pt idx="158">
                  <c:v>47007</c:v>
                </c:pt>
                <c:pt idx="159">
                  <c:v>47014</c:v>
                </c:pt>
                <c:pt idx="160">
                  <c:v>47021</c:v>
                </c:pt>
                <c:pt idx="161">
                  <c:v>47028</c:v>
                </c:pt>
                <c:pt idx="162">
                  <c:v>47035</c:v>
                </c:pt>
                <c:pt idx="163">
                  <c:v>47042</c:v>
                </c:pt>
                <c:pt idx="164">
                  <c:v>47049</c:v>
                </c:pt>
                <c:pt idx="165">
                  <c:v>47056</c:v>
                </c:pt>
                <c:pt idx="166">
                  <c:v>47063</c:v>
                </c:pt>
                <c:pt idx="167">
                  <c:v>47070</c:v>
                </c:pt>
                <c:pt idx="168">
                  <c:v>47077</c:v>
                </c:pt>
                <c:pt idx="169">
                  <c:v>47084</c:v>
                </c:pt>
                <c:pt idx="170">
                  <c:v>47091</c:v>
                </c:pt>
                <c:pt idx="171">
                  <c:v>47098</c:v>
                </c:pt>
                <c:pt idx="172">
                  <c:v>47105</c:v>
                </c:pt>
                <c:pt idx="173">
                  <c:v>47112</c:v>
                </c:pt>
                <c:pt idx="174">
                  <c:v>47119</c:v>
                </c:pt>
                <c:pt idx="175">
                  <c:v>47126</c:v>
                </c:pt>
                <c:pt idx="176">
                  <c:v>47133</c:v>
                </c:pt>
                <c:pt idx="177">
                  <c:v>47140</c:v>
                </c:pt>
                <c:pt idx="178">
                  <c:v>47147</c:v>
                </c:pt>
                <c:pt idx="179">
                  <c:v>47154</c:v>
                </c:pt>
                <c:pt idx="180">
                  <c:v>47161</c:v>
                </c:pt>
                <c:pt idx="181">
                  <c:v>47168</c:v>
                </c:pt>
                <c:pt idx="182">
                  <c:v>47175</c:v>
                </c:pt>
                <c:pt idx="183">
                  <c:v>47182</c:v>
                </c:pt>
                <c:pt idx="184">
                  <c:v>47189</c:v>
                </c:pt>
                <c:pt idx="185">
                  <c:v>47196</c:v>
                </c:pt>
                <c:pt idx="186">
                  <c:v>47203</c:v>
                </c:pt>
                <c:pt idx="187">
                  <c:v>47210</c:v>
                </c:pt>
                <c:pt idx="188">
                  <c:v>47217</c:v>
                </c:pt>
                <c:pt idx="189">
                  <c:v>47224</c:v>
                </c:pt>
                <c:pt idx="190">
                  <c:v>47231</c:v>
                </c:pt>
                <c:pt idx="191">
                  <c:v>47238</c:v>
                </c:pt>
                <c:pt idx="192">
                  <c:v>47245</c:v>
                </c:pt>
                <c:pt idx="193">
                  <c:v>47252</c:v>
                </c:pt>
                <c:pt idx="194">
                  <c:v>47259</c:v>
                </c:pt>
                <c:pt idx="195">
                  <c:v>47266</c:v>
                </c:pt>
                <c:pt idx="196">
                  <c:v>47273</c:v>
                </c:pt>
                <c:pt idx="197">
                  <c:v>47280</c:v>
                </c:pt>
                <c:pt idx="198">
                  <c:v>47287</c:v>
                </c:pt>
                <c:pt idx="199">
                  <c:v>47294</c:v>
                </c:pt>
                <c:pt idx="200">
                  <c:v>47301</c:v>
                </c:pt>
                <c:pt idx="201">
                  <c:v>47308</c:v>
                </c:pt>
                <c:pt idx="202">
                  <c:v>47315</c:v>
                </c:pt>
                <c:pt idx="203">
                  <c:v>47322</c:v>
                </c:pt>
                <c:pt idx="204">
                  <c:v>47329</c:v>
                </c:pt>
                <c:pt idx="205">
                  <c:v>47336</c:v>
                </c:pt>
                <c:pt idx="206">
                  <c:v>47343</c:v>
                </c:pt>
                <c:pt idx="207">
                  <c:v>47350</c:v>
                </c:pt>
                <c:pt idx="208">
                  <c:v>47357</c:v>
                </c:pt>
                <c:pt idx="209">
                  <c:v>47364</c:v>
                </c:pt>
                <c:pt idx="210">
                  <c:v>47371</c:v>
                </c:pt>
                <c:pt idx="211">
                  <c:v>47378</c:v>
                </c:pt>
                <c:pt idx="212">
                  <c:v>47385</c:v>
                </c:pt>
                <c:pt idx="213">
                  <c:v>47392</c:v>
                </c:pt>
                <c:pt idx="214">
                  <c:v>47399</c:v>
                </c:pt>
                <c:pt idx="215">
                  <c:v>47406</c:v>
                </c:pt>
                <c:pt idx="216">
                  <c:v>47413</c:v>
                </c:pt>
                <c:pt idx="217">
                  <c:v>47420</c:v>
                </c:pt>
                <c:pt idx="218">
                  <c:v>47427</c:v>
                </c:pt>
                <c:pt idx="219">
                  <c:v>47434</c:v>
                </c:pt>
                <c:pt idx="220">
                  <c:v>47441</c:v>
                </c:pt>
                <c:pt idx="221">
                  <c:v>47448</c:v>
                </c:pt>
                <c:pt idx="222">
                  <c:v>47455</c:v>
                </c:pt>
                <c:pt idx="223">
                  <c:v>47462</c:v>
                </c:pt>
                <c:pt idx="224">
                  <c:v>47469</c:v>
                </c:pt>
                <c:pt idx="225">
                  <c:v>47476</c:v>
                </c:pt>
                <c:pt idx="226">
                  <c:v>47483</c:v>
                </c:pt>
                <c:pt idx="227">
                  <c:v>47490</c:v>
                </c:pt>
                <c:pt idx="228">
                  <c:v>47497</c:v>
                </c:pt>
                <c:pt idx="229">
                  <c:v>47504</c:v>
                </c:pt>
                <c:pt idx="230">
                  <c:v>47511</c:v>
                </c:pt>
                <c:pt idx="231">
                  <c:v>47518</c:v>
                </c:pt>
                <c:pt idx="232">
                  <c:v>47525</c:v>
                </c:pt>
                <c:pt idx="233">
                  <c:v>47532</c:v>
                </c:pt>
                <c:pt idx="234">
                  <c:v>47539</c:v>
                </c:pt>
                <c:pt idx="235">
                  <c:v>47546</c:v>
                </c:pt>
                <c:pt idx="236">
                  <c:v>47553</c:v>
                </c:pt>
                <c:pt idx="237">
                  <c:v>47560</c:v>
                </c:pt>
                <c:pt idx="238">
                  <c:v>47567</c:v>
                </c:pt>
                <c:pt idx="239">
                  <c:v>47574</c:v>
                </c:pt>
                <c:pt idx="240">
                  <c:v>47581</c:v>
                </c:pt>
                <c:pt idx="241">
                  <c:v>47588</c:v>
                </c:pt>
                <c:pt idx="242">
                  <c:v>47595</c:v>
                </c:pt>
                <c:pt idx="243">
                  <c:v>47602</c:v>
                </c:pt>
                <c:pt idx="244">
                  <c:v>47609</c:v>
                </c:pt>
                <c:pt idx="245">
                  <c:v>47616</c:v>
                </c:pt>
                <c:pt idx="246">
                  <c:v>47623</c:v>
                </c:pt>
                <c:pt idx="247">
                  <c:v>47630</c:v>
                </c:pt>
                <c:pt idx="248">
                  <c:v>47637</c:v>
                </c:pt>
                <c:pt idx="249">
                  <c:v>47644</c:v>
                </c:pt>
                <c:pt idx="250">
                  <c:v>47651</c:v>
                </c:pt>
                <c:pt idx="251">
                  <c:v>47658</c:v>
                </c:pt>
                <c:pt idx="252">
                  <c:v>47665</c:v>
                </c:pt>
                <c:pt idx="253">
                  <c:v>47672</c:v>
                </c:pt>
                <c:pt idx="254">
                  <c:v>47679</c:v>
                </c:pt>
                <c:pt idx="255">
                  <c:v>47686</c:v>
                </c:pt>
                <c:pt idx="256">
                  <c:v>47693</c:v>
                </c:pt>
                <c:pt idx="257">
                  <c:v>47700</c:v>
                </c:pt>
                <c:pt idx="258">
                  <c:v>47707</c:v>
                </c:pt>
                <c:pt idx="259">
                  <c:v>47714</c:v>
                </c:pt>
                <c:pt idx="260">
                  <c:v>47721</c:v>
                </c:pt>
                <c:pt idx="261">
                  <c:v>47728</c:v>
                </c:pt>
                <c:pt idx="262">
                  <c:v>47735</c:v>
                </c:pt>
                <c:pt idx="263">
                  <c:v>47742</c:v>
                </c:pt>
                <c:pt idx="264">
                  <c:v>47749</c:v>
                </c:pt>
                <c:pt idx="265">
                  <c:v>47756</c:v>
                </c:pt>
                <c:pt idx="266">
                  <c:v>47763</c:v>
                </c:pt>
                <c:pt idx="267">
                  <c:v>47770</c:v>
                </c:pt>
                <c:pt idx="268">
                  <c:v>47777</c:v>
                </c:pt>
                <c:pt idx="269">
                  <c:v>47784</c:v>
                </c:pt>
                <c:pt idx="270">
                  <c:v>47791</c:v>
                </c:pt>
                <c:pt idx="271">
                  <c:v>47798</c:v>
                </c:pt>
                <c:pt idx="272">
                  <c:v>47805</c:v>
                </c:pt>
                <c:pt idx="273">
                  <c:v>47812</c:v>
                </c:pt>
                <c:pt idx="274">
                  <c:v>47819</c:v>
                </c:pt>
                <c:pt idx="275">
                  <c:v>47826</c:v>
                </c:pt>
                <c:pt idx="276">
                  <c:v>47833</c:v>
                </c:pt>
                <c:pt idx="277">
                  <c:v>47840</c:v>
                </c:pt>
                <c:pt idx="278">
                  <c:v>47847</c:v>
                </c:pt>
                <c:pt idx="279">
                  <c:v>47854</c:v>
                </c:pt>
                <c:pt idx="280">
                  <c:v>47861</c:v>
                </c:pt>
                <c:pt idx="281">
                  <c:v>47868</c:v>
                </c:pt>
                <c:pt idx="282">
                  <c:v>47875</c:v>
                </c:pt>
                <c:pt idx="283">
                  <c:v>47882</c:v>
                </c:pt>
                <c:pt idx="284">
                  <c:v>47889</c:v>
                </c:pt>
                <c:pt idx="285">
                  <c:v>47896</c:v>
                </c:pt>
                <c:pt idx="286">
                  <c:v>47903</c:v>
                </c:pt>
              </c:numCache>
              <c:extLst xmlns:c15="http://schemas.microsoft.com/office/drawing/2012/chart"/>
            </c:numRef>
          </c:cat>
          <c:val>
            <c:numRef>
              <c:f>Cashflow!$F$12:$KF$12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975</c:v>
                </c:pt>
                <c:pt idx="6">
                  <c:v>975</c:v>
                </c:pt>
                <c:pt idx="7">
                  <c:v>975</c:v>
                </c:pt>
                <c:pt idx="8">
                  <c:v>975</c:v>
                </c:pt>
                <c:pt idx="9">
                  <c:v>50743.729999999996</c:v>
                </c:pt>
                <c:pt idx="10">
                  <c:v>50765.069999999992</c:v>
                </c:pt>
                <c:pt idx="11">
                  <c:v>63526.923999999992</c:v>
                </c:pt>
                <c:pt idx="12">
                  <c:v>359977.26900000003</c:v>
                </c:pt>
                <c:pt idx="13">
                  <c:v>376578.86900000001</c:v>
                </c:pt>
                <c:pt idx="14">
                  <c:v>376578.86900000001</c:v>
                </c:pt>
                <c:pt idx="15">
                  <c:v>389874.32500000001</c:v>
                </c:pt>
                <c:pt idx="16">
                  <c:v>389874.32500000001</c:v>
                </c:pt>
                <c:pt idx="17">
                  <c:v>462638.96500000003</c:v>
                </c:pt>
                <c:pt idx="18">
                  <c:v>498457.58500000002</c:v>
                </c:pt>
                <c:pt idx="19">
                  <c:v>1080757.585</c:v>
                </c:pt>
                <c:pt idx="20">
                  <c:v>1086401.1850000001</c:v>
                </c:pt>
                <c:pt idx="21">
                  <c:v>1250119.9700000002</c:v>
                </c:pt>
                <c:pt idx="22">
                  <c:v>1315263.7000000002</c:v>
                </c:pt>
                <c:pt idx="23">
                  <c:v>1389916.7950000002</c:v>
                </c:pt>
                <c:pt idx="24">
                  <c:v>1389916.7950000002</c:v>
                </c:pt>
                <c:pt idx="25">
                  <c:v>1415884.7485000002</c:v>
                </c:pt>
                <c:pt idx="26">
                  <c:v>1415884.7485000002</c:v>
                </c:pt>
                <c:pt idx="27">
                  <c:v>1440769.1035000002</c:v>
                </c:pt>
                <c:pt idx="28">
                  <c:v>1440769.1035000002</c:v>
                </c:pt>
                <c:pt idx="29">
                  <c:v>1446769.1035000002</c:v>
                </c:pt>
                <c:pt idx="30">
                  <c:v>1446769.1035000002</c:v>
                </c:pt>
                <c:pt idx="31">
                  <c:v>1446769.1035000002</c:v>
                </c:pt>
                <c:pt idx="32">
                  <c:v>1446769.1035000002</c:v>
                </c:pt>
                <c:pt idx="33">
                  <c:v>1446769.1035000002</c:v>
                </c:pt>
                <c:pt idx="34">
                  <c:v>1446769.1035000002</c:v>
                </c:pt>
                <c:pt idx="35">
                  <c:v>1446769.1035000002</c:v>
                </c:pt>
                <c:pt idx="36">
                  <c:v>1446769.1035000002</c:v>
                </c:pt>
                <c:pt idx="37">
                  <c:v>1446769.1035000002</c:v>
                </c:pt>
                <c:pt idx="38">
                  <c:v>1446769.1035000002</c:v>
                </c:pt>
                <c:pt idx="39">
                  <c:v>1446769.1035000002</c:v>
                </c:pt>
                <c:pt idx="40">
                  <c:v>1446769.1035000002</c:v>
                </c:pt>
                <c:pt idx="41">
                  <c:v>1446769.1035000002</c:v>
                </c:pt>
                <c:pt idx="42">
                  <c:v>1446769.1035000002</c:v>
                </c:pt>
                <c:pt idx="43">
                  <c:v>1446769.1035000002</c:v>
                </c:pt>
                <c:pt idx="44">
                  <c:v>1446769.1035000002</c:v>
                </c:pt>
                <c:pt idx="45">
                  <c:v>1446769.1035000002</c:v>
                </c:pt>
                <c:pt idx="46">
                  <c:v>1446769.1035000002</c:v>
                </c:pt>
                <c:pt idx="47">
                  <c:v>1446769.1035000002</c:v>
                </c:pt>
                <c:pt idx="48">
                  <c:v>1446769.1035000002</c:v>
                </c:pt>
                <c:pt idx="49">
                  <c:v>1446769.1035000002</c:v>
                </c:pt>
                <c:pt idx="50">
                  <c:v>1446769.1035000002</c:v>
                </c:pt>
                <c:pt idx="51">
                  <c:v>1446769.1035000002</c:v>
                </c:pt>
                <c:pt idx="52">
                  <c:v>1446769.1035000002</c:v>
                </c:pt>
                <c:pt idx="53">
                  <c:v>1446769.1035000002</c:v>
                </c:pt>
                <c:pt idx="54">
                  <c:v>1446769.1035000002</c:v>
                </c:pt>
                <c:pt idx="55">
                  <c:v>1446769.1035000002</c:v>
                </c:pt>
                <c:pt idx="56">
                  <c:v>1446769.1035000002</c:v>
                </c:pt>
                <c:pt idx="57">
                  <c:v>1446769.1035000002</c:v>
                </c:pt>
                <c:pt idx="58">
                  <c:v>1446769.1035000002</c:v>
                </c:pt>
                <c:pt idx="59">
                  <c:v>1446769.1035000002</c:v>
                </c:pt>
                <c:pt idx="60">
                  <c:v>1446769.1035000002</c:v>
                </c:pt>
                <c:pt idx="61">
                  <c:v>1446769.1035000002</c:v>
                </c:pt>
                <c:pt idx="62">
                  <c:v>1446769.1035000002</c:v>
                </c:pt>
                <c:pt idx="63">
                  <c:v>1446769.1035000002</c:v>
                </c:pt>
                <c:pt idx="64">
                  <c:v>1446769.1035000002</c:v>
                </c:pt>
                <c:pt idx="65">
                  <c:v>1446769.1035000002</c:v>
                </c:pt>
                <c:pt idx="66">
                  <c:v>1446769.1035000002</c:v>
                </c:pt>
                <c:pt idx="67">
                  <c:v>1446769.1035000002</c:v>
                </c:pt>
                <c:pt idx="68">
                  <c:v>1446769.1035000002</c:v>
                </c:pt>
                <c:pt idx="69">
                  <c:v>1446769.1035000002</c:v>
                </c:pt>
                <c:pt idx="70">
                  <c:v>1446769.1035000002</c:v>
                </c:pt>
                <c:pt idx="71">
                  <c:v>1446769.1035000002</c:v>
                </c:pt>
                <c:pt idx="72">
                  <c:v>1446769.1035000002</c:v>
                </c:pt>
                <c:pt idx="73">
                  <c:v>1446769.1035000002</c:v>
                </c:pt>
                <c:pt idx="74">
                  <c:v>1446769.1035000002</c:v>
                </c:pt>
                <c:pt idx="75">
                  <c:v>1446769.1035000002</c:v>
                </c:pt>
                <c:pt idx="76">
                  <c:v>1446769.1035000002</c:v>
                </c:pt>
                <c:pt idx="77">
                  <c:v>1446769.1035000002</c:v>
                </c:pt>
                <c:pt idx="78">
                  <c:v>1446769.1035000002</c:v>
                </c:pt>
                <c:pt idx="79">
                  <c:v>1446769.1035000002</c:v>
                </c:pt>
                <c:pt idx="80">
                  <c:v>1446769.1035000002</c:v>
                </c:pt>
                <c:pt idx="81">
                  <c:v>1446769.1035000002</c:v>
                </c:pt>
                <c:pt idx="82">
                  <c:v>1446769.1035000002</c:v>
                </c:pt>
                <c:pt idx="83">
                  <c:v>1446769.1035000002</c:v>
                </c:pt>
                <c:pt idx="84">
                  <c:v>1446769.1035000002</c:v>
                </c:pt>
                <c:pt idx="85">
                  <c:v>1446769.1035000002</c:v>
                </c:pt>
                <c:pt idx="86">
                  <c:v>1446769.1035000002</c:v>
                </c:pt>
                <c:pt idx="87">
                  <c:v>1446769.1035000002</c:v>
                </c:pt>
                <c:pt idx="88">
                  <c:v>1446769.1035000002</c:v>
                </c:pt>
                <c:pt idx="89">
                  <c:v>1446769.1035000002</c:v>
                </c:pt>
                <c:pt idx="90">
                  <c:v>1446769.1035000002</c:v>
                </c:pt>
                <c:pt idx="91">
                  <c:v>1446769.1035000002</c:v>
                </c:pt>
                <c:pt idx="92">
                  <c:v>1446769.1035000002</c:v>
                </c:pt>
                <c:pt idx="93">
                  <c:v>1446769.1035000002</c:v>
                </c:pt>
                <c:pt idx="94">
                  <c:v>1446769.1035000002</c:v>
                </c:pt>
                <c:pt idx="95">
                  <c:v>1446769.1035000002</c:v>
                </c:pt>
                <c:pt idx="96">
                  <c:v>1446769.1035000002</c:v>
                </c:pt>
                <c:pt idx="97">
                  <c:v>1446769.1035000002</c:v>
                </c:pt>
                <c:pt idx="98">
                  <c:v>1446769.1035000002</c:v>
                </c:pt>
                <c:pt idx="99">
                  <c:v>1446769.1035000002</c:v>
                </c:pt>
                <c:pt idx="100">
                  <c:v>1446769.1035000002</c:v>
                </c:pt>
                <c:pt idx="101">
                  <c:v>1446769.1035000002</c:v>
                </c:pt>
                <c:pt idx="102">
                  <c:v>1446769.1035000002</c:v>
                </c:pt>
                <c:pt idx="103">
                  <c:v>1446769.1035000002</c:v>
                </c:pt>
                <c:pt idx="104">
                  <c:v>1446769.1035000002</c:v>
                </c:pt>
                <c:pt idx="105">
                  <c:v>1446769.1035000002</c:v>
                </c:pt>
                <c:pt idx="106">
                  <c:v>1446769.1035000002</c:v>
                </c:pt>
                <c:pt idx="107">
                  <c:v>1446769.1035000002</c:v>
                </c:pt>
                <c:pt idx="108">
                  <c:v>1446769.1035000002</c:v>
                </c:pt>
                <c:pt idx="109">
                  <c:v>1446769.1035000002</c:v>
                </c:pt>
                <c:pt idx="110">
                  <c:v>1446769.1035000002</c:v>
                </c:pt>
                <c:pt idx="111">
                  <c:v>1446769.1035000002</c:v>
                </c:pt>
                <c:pt idx="112">
                  <c:v>1446769.1035000002</c:v>
                </c:pt>
                <c:pt idx="113">
                  <c:v>1446769.1035000002</c:v>
                </c:pt>
                <c:pt idx="114">
                  <c:v>1446769.1035000002</c:v>
                </c:pt>
                <c:pt idx="115">
                  <c:v>1446769.1035000002</c:v>
                </c:pt>
                <c:pt idx="116">
                  <c:v>1446769.1035000002</c:v>
                </c:pt>
                <c:pt idx="117">
                  <c:v>1446769.1035000002</c:v>
                </c:pt>
                <c:pt idx="118">
                  <c:v>1446769.1035000002</c:v>
                </c:pt>
                <c:pt idx="119">
                  <c:v>1446769.1035000002</c:v>
                </c:pt>
                <c:pt idx="120">
                  <c:v>1446769.1035000002</c:v>
                </c:pt>
                <c:pt idx="121">
                  <c:v>1446769.1035000002</c:v>
                </c:pt>
                <c:pt idx="122">
                  <c:v>1446769.1035000002</c:v>
                </c:pt>
                <c:pt idx="123">
                  <c:v>1446769.1035000002</c:v>
                </c:pt>
                <c:pt idx="124">
                  <c:v>1446769.1035000002</c:v>
                </c:pt>
                <c:pt idx="125">
                  <c:v>1446769.1035000002</c:v>
                </c:pt>
                <c:pt idx="126">
                  <c:v>1446769.1035000002</c:v>
                </c:pt>
                <c:pt idx="127">
                  <c:v>1446769.1035000002</c:v>
                </c:pt>
                <c:pt idx="128">
                  <c:v>1446769.1035000002</c:v>
                </c:pt>
                <c:pt idx="129">
                  <c:v>1446769.1035000002</c:v>
                </c:pt>
                <c:pt idx="130">
                  <c:v>1446769.1035000002</c:v>
                </c:pt>
                <c:pt idx="131">
                  <c:v>1446769.1035000002</c:v>
                </c:pt>
                <c:pt idx="132">
                  <c:v>1446769.1035000002</c:v>
                </c:pt>
                <c:pt idx="133">
                  <c:v>1446769.1035000002</c:v>
                </c:pt>
                <c:pt idx="134">
                  <c:v>1446769.1035000002</c:v>
                </c:pt>
                <c:pt idx="135">
                  <c:v>1446769.1035000002</c:v>
                </c:pt>
                <c:pt idx="136">
                  <c:v>1446769.1035000002</c:v>
                </c:pt>
                <c:pt idx="137">
                  <c:v>1446769.1035000002</c:v>
                </c:pt>
                <c:pt idx="138">
                  <c:v>1446769.1035000002</c:v>
                </c:pt>
                <c:pt idx="139">
                  <c:v>1446769.1035000002</c:v>
                </c:pt>
                <c:pt idx="140">
                  <c:v>1446769.1035000002</c:v>
                </c:pt>
                <c:pt idx="141">
                  <c:v>1446769.1035000002</c:v>
                </c:pt>
                <c:pt idx="142">
                  <c:v>1446769.1035000002</c:v>
                </c:pt>
                <c:pt idx="143">
                  <c:v>1446769.1035000002</c:v>
                </c:pt>
                <c:pt idx="144">
                  <c:v>1446769.1035000002</c:v>
                </c:pt>
                <c:pt idx="145">
                  <c:v>1446769.1035000002</c:v>
                </c:pt>
                <c:pt idx="146">
                  <c:v>1446769.1035000002</c:v>
                </c:pt>
                <c:pt idx="147">
                  <c:v>1446769.1035000002</c:v>
                </c:pt>
                <c:pt idx="148">
                  <c:v>1446769.1035000002</c:v>
                </c:pt>
                <c:pt idx="149">
                  <c:v>1446769.1035000002</c:v>
                </c:pt>
                <c:pt idx="150">
                  <c:v>1446769.1035000002</c:v>
                </c:pt>
                <c:pt idx="151">
                  <c:v>1446769.1035000002</c:v>
                </c:pt>
                <c:pt idx="152">
                  <c:v>1446769.1035000002</c:v>
                </c:pt>
                <c:pt idx="153">
                  <c:v>1446769.1035000002</c:v>
                </c:pt>
                <c:pt idx="154">
                  <c:v>1446769.1035000002</c:v>
                </c:pt>
                <c:pt idx="155">
                  <c:v>1446769.1035000002</c:v>
                </c:pt>
                <c:pt idx="156">
                  <c:v>1446769.1035000002</c:v>
                </c:pt>
                <c:pt idx="157">
                  <c:v>1446769.1035000002</c:v>
                </c:pt>
                <c:pt idx="158">
                  <c:v>1446769.1035000002</c:v>
                </c:pt>
                <c:pt idx="159">
                  <c:v>1446769.1035000002</c:v>
                </c:pt>
                <c:pt idx="160">
                  <c:v>1446769.1035000002</c:v>
                </c:pt>
                <c:pt idx="161">
                  <c:v>1446769.1035000002</c:v>
                </c:pt>
                <c:pt idx="162">
                  <c:v>1446769.1035000002</c:v>
                </c:pt>
                <c:pt idx="163">
                  <c:v>1446769.1035000002</c:v>
                </c:pt>
                <c:pt idx="164">
                  <c:v>1446769.1035000002</c:v>
                </c:pt>
                <c:pt idx="165">
                  <c:v>1446769.1035000002</c:v>
                </c:pt>
                <c:pt idx="166">
                  <c:v>1446769.1035000002</c:v>
                </c:pt>
                <c:pt idx="167">
                  <c:v>1446769.1035000002</c:v>
                </c:pt>
                <c:pt idx="168">
                  <c:v>1446769.1035000002</c:v>
                </c:pt>
                <c:pt idx="169">
                  <c:v>1446769.1035000002</c:v>
                </c:pt>
                <c:pt idx="170">
                  <c:v>1446769.1035000002</c:v>
                </c:pt>
                <c:pt idx="171">
                  <c:v>1446769.1035000002</c:v>
                </c:pt>
                <c:pt idx="172">
                  <c:v>1446769.1035000002</c:v>
                </c:pt>
                <c:pt idx="173">
                  <c:v>1446769.1035000002</c:v>
                </c:pt>
                <c:pt idx="174">
                  <c:v>1446769.1035000002</c:v>
                </c:pt>
                <c:pt idx="175">
                  <c:v>1446769.1035000002</c:v>
                </c:pt>
                <c:pt idx="176">
                  <c:v>1446769.1035000002</c:v>
                </c:pt>
                <c:pt idx="177">
                  <c:v>1446769.1035000002</c:v>
                </c:pt>
                <c:pt idx="178">
                  <c:v>1446769.1035000002</c:v>
                </c:pt>
                <c:pt idx="179">
                  <c:v>1446769.1035000002</c:v>
                </c:pt>
                <c:pt idx="180">
                  <c:v>1446769.1035000002</c:v>
                </c:pt>
                <c:pt idx="181">
                  <c:v>1446769.1035000002</c:v>
                </c:pt>
                <c:pt idx="182">
                  <c:v>1446769.1035000002</c:v>
                </c:pt>
                <c:pt idx="183">
                  <c:v>1446769.1035000002</c:v>
                </c:pt>
                <c:pt idx="184">
                  <c:v>1446769.1035000002</c:v>
                </c:pt>
                <c:pt idx="185">
                  <c:v>1446769.1035000002</c:v>
                </c:pt>
                <c:pt idx="186">
                  <c:v>1446769.1035000002</c:v>
                </c:pt>
                <c:pt idx="187">
                  <c:v>1446769.1035000002</c:v>
                </c:pt>
                <c:pt idx="188">
                  <c:v>1446769.1035000002</c:v>
                </c:pt>
                <c:pt idx="189">
                  <c:v>1446769.1035000002</c:v>
                </c:pt>
                <c:pt idx="190">
                  <c:v>1446769.1035000002</c:v>
                </c:pt>
                <c:pt idx="191">
                  <c:v>1446769.1035000002</c:v>
                </c:pt>
                <c:pt idx="192">
                  <c:v>1446769.1035000002</c:v>
                </c:pt>
                <c:pt idx="193">
                  <c:v>1446769.1035000002</c:v>
                </c:pt>
                <c:pt idx="194">
                  <c:v>1446769.1035000002</c:v>
                </c:pt>
                <c:pt idx="195">
                  <c:v>1446769.1035000002</c:v>
                </c:pt>
                <c:pt idx="196">
                  <c:v>1446769.1035000002</c:v>
                </c:pt>
                <c:pt idx="197">
                  <c:v>1446769.1035000002</c:v>
                </c:pt>
                <c:pt idx="198">
                  <c:v>1446769.1035000002</c:v>
                </c:pt>
                <c:pt idx="199">
                  <c:v>1446769.1035000002</c:v>
                </c:pt>
                <c:pt idx="200">
                  <c:v>1446769.1035000002</c:v>
                </c:pt>
                <c:pt idx="201">
                  <c:v>1446769.1035000002</c:v>
                </c:pt>
                <c:pt idx="202">
                  <c:v>1446769.1035000002</c:v>
                </c:pt>
                <c:pt idx="203">
                  <c:v>1446769.1035000002</c:v>
                </c:pt>
                <c:pt idx="204">
                  <c:v>1446769.1035000002</c:v>
                </c:pt>
                <c:pt idx="205">
                  <c:v>1446769.1035000002</c:v>
                </c:pt>
                <c:pt idx="206">
                  <c:v>1446769.1035000002</c:v>
                </c:pt>
                <c:pt idx="207">
                  <c:v>1446769.1035000002</c:v>
                </c:pt>
                <c:pt idx="208">
                  <c:v>1446769.1035000002</c:v>
                </c:pt>
                <c:pt idx="209">
                  <c:v>1446769.1035000002</c:v>
                </c:pt>
                <c:pt idx="210">
                  <c:v>1446769.1035000002</c:v>
                </c:pt>
                <c:pt idx="211">
                  <c:v>1446769.1035000002</c:v>
                </c:pt>
                <c:pt idx="212">
                  <c:v>1446769.1035000002</c:v>
                </c:pt>
                <c:pt idx="213">
                  <c:v>1446769.1035000002</c:v>
                </c:pt>
                <c:pt idx="214">
                  <c:v>1446769.1035000002</c:v>
                </c:pt>
                <c:pt idx="215">
                  <c:v>1446769.1035000002</c:v>
                </c:pt>
                <c:pt idx="216">
                  <c:v>1446769.1035000002</c:v>
                </c:pt>
                <c:pt idx="217">
                  <c:v>1446769.1035000002</c:v>
                </c:pt>
                <c:pt idx="218">
                  <c:v>1446769.1035000002</c:v>
                </c:pt>
                <c:pt idx="219">
                  <c:v>1446769.1035000002</c:v>
                </c:pt>
                <c:pt idx="220">
                  <c:v>1446769.1035000002</c:v>
                </c:pt>
                <c:pt idx="221">
                  <c:v>1446769.1035000002</c:v>
                </c:pt>
                <c:pt idx="222">
                  <c:v>1446769.1035000002</c:v>
                </c:pt>
                <c:pt idx="223">
                  <c:v>1446769.1035000002</c:v>
                </c:pt>
                <c:pt idx="224">
                  <c:v>1446769.1035000002</c:v>
                </c:pt>
                <c:pt idx="225">
                  <c:v>1446769.1035000002</c:v>
                </c:pt>
                <c:pt idx="226">
                  <c:v>1446769.1035000002</c:v>
                </c:pt>
                <c:pt idx="227">
                  <c:v>1446769.1035000002</c:v>
                </c:pt>
                <c:pt idx="228">
                  <c:v>1446769.1035000002</c:v>
                </c:pt>
                <c:pt idx="229">
                  <c:v>1446769.1035000002</c:v>
                </c:pt>
                <c:pt idx="230">
                  <c:v>1446769.1035000002</c:v>
                </c:pt>
                <c:pt idx="231">
                  <c:v>1446769.1035000002</c:v>
                </c:pt>
                <c:pt idx="232">
                  <c:v>1446769.1035000002</c:v>
                </c:pt>
                <c:pt idx="233">
                  <c:v>1446769.1035000002</c:v>
                </c:pt>
                <c:pt idx="234">
                  <c:v>1446769.1035000002</c:v>
                </c:pt>
                <c:pt idx="235">
                  <c:v>1446769.1035000002</c:v>
                </c:pt>
                <c:pt idx="236">
                  <c:v>1446769.1035000002</c:v>
                </c:pt>
                <c:pt idx="237">
                  <c:v>1446769.1035000002</c:v>
                </c:pt>
                <c:pt idx="238">
                  <c:v>1446769.1035000002</c:v>
                </c:pt>
                <c:pt idx="239">
                  <c:v>1446769.1035000002</c:v>
                </c:pt>
                <c:pt idx="240">
                  <c:v>1446769.1035000002</c:v>
                </c:pt>
                <c:pt idx="241">
                  <c:v>1446769.1035000002</c:v>
                </c:pt>
                <c:pt idx="242">
                  <c:v>1446769.1035000002</c:v>
                </c:pt>
                <c:pt idx="243">
                  <c:v>1446769.1035000002</c:v>
                </c:pt>
                <c:pt idx="244">
                  <c:v>1446769.1035000002</c:v>
                </c:pt>
                <c:pt idx="245">
                  <c:v>1446769.1035000002</c:v>
                </c:pt>
                <c:pt idx="246">
                  <c:v>1446769.1035000002</c:v>
                </c:pt>
                <c:pt idx="247">
                  <c:v>1446769.1035000002</c:v>
                </c:pt>
                <c:pt idx="248">
                  <c:v>1446769.1035000002</c:v>
                </c:pt>
                <c:pt idx="249">
                  <c:v>1446769.1035000002</c:v>
                </c:pt>
                <c:pt idx="250">
                  <c:v>1446769.1035000002</c:v>
                </c:pt>
                <c:pt idx="251">
                  <c:v>1446769.1035000002</c:v>
                </c:pt>
                <c:pt idx="252">
                  <c:v>1446769.1035000002</c:v>
                </c:pt>
                <c:pt idx="253">
                  <c:v>1446769.1035000002</c:v>
                </c:pt>
                <c:pt idx="254">
                  <c:v>1446769.1035000002</c:v>
                </c:pt>
                <c:pt idx="255">
                  <c:v>1446769.1035000002</c:v>
                </c:pt>
                <c:pt idx="256">
                  <c:v>1446769.1035000002</c:v>
                </c:pt>
                <c:pt idx="257">
                  <c:v>1446769.1035000002</c:v>
                </c:pt>
                <c:pt idx="258">
                  <c:v>1446769.1035000002</c:v>
                </c:pt>
                <c:pt idx="259">
                  <c:v>1446769.1035000002</c:v>
                </c:pt>
                <c:pt idx="260">
                  <c:v>1446769.1035000002</c:v>
                </c:pt>
                <c:pt idx="261">
                  <c:v>1446769.1035000002</c:v>
                </c:pt>
                <c:pt idx="262">
                  <c:v>1446769.1035000002</c:v>
                </c:pt>
                <c:pt idx="263">
                  <c:v>1446769.1035000002</c:v>
                </c:pt>
                <c:pt idx="264">
                  <c:v>1446769.1035000002</c:v>
                </c:pt>
                <c:pt idx="265">
                  <c:v>1446769.1035000002</c:v>
                </c:pt>
                <c:pt idx="266">
                  <c:v>1446769.1035000002</c:v>
                </c:pt>
                <c:pt idx="267">
                  <c:v>1446769.1035000002</c:v>
                </c:pt>
                <c:pt idx="268">
                  <c:v>1446769.1035000002</c:v>
                </c:pt>
                <c:pt idx="269">
                  <c:v>1446769.1035000002</c:v>
                </c:pt>
                <c:pt idx="270">
                  <c:v>1446769.1035000002</c:v>
                </c:pt>
                <c:pt idx="271">
                  <c:v>1446769.1035000002</c:v>
                </c:pt>
                <c:pt idx="272">
                  <c:v>1446769.1035000002</c:v>
                </c:pt>
                <c:pt idx="273">
                  <c:v>1446769.1035000002</c:v>
                </c:pt>
                <c:pt idx="274">
                  <c:v>1446769.1035000002</c:v>
                </c:pt>
                <c:pt idx="275">
                  <c:v>1446769.1035000002</c:v>
                </c:pt>
                <c:pt idx="276">
                  <c:v>1446769.1035000002</c:v>
                </c:pt>
                <c:pt idx="277">
                  <c:v>1446769.1035000002</c:v>
                </c:pt>
                <c:pt idx="278">
                  <c:v>1446769.1035000002</c:v>
                </c:pt>
                <c:pt idx="279">
                  <c:v>1446769.1035000002</c:v>
                </c:pt>
                <c:pt idx="280">
                  <c:v>1446769.1035000002</c:v>
                </c:pt>
                <c:pt idx="281">
                  <c:v>1446769.1035000002</c:v>
                </c:pt>
                <c:pt idx="282">
                  <c:v>1446769.1035000002</c:v>
                </c:pt>
                <c:pt idx="283">
                  <c:v>1446769.1035000002</c:v>
                </c:pt>
                <c:pt idx="284">
                  <c:v>1446769.1035000002</c:v>
                </c:pt>
                <c:pt idx="285">
                  <c:v>1446769.1035000002</c:v>
                </c:pt>
                <c:pt idx="286">
                  <c:v>1446769.1035000002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45901</c:v>
                </c:pt>
                <c:pt idx="1">
                  <c:v>45908</c:v>
                </c:pt>
                <c:pt idx="2">
                  <c:v>45915</c:v>
                </c:pt>
                <c:pt idx="3">
                  <c:v>45922</c:v>
                </c:pt>
                <c:pt idx="4">
                  <c:v>45929</c:v>
                </c:pt>
                <c:pt idx="5">
                  <c:v>45936</c:v>
                </c:pt>
                <c:pt idx="6">
                  <c:v>45943</c:v>
                </c:pt>
                <c:pt idx="7">
                  <c:v>45950</c:v>
                </c:pt>
                <c:pt idx="8">
                  <c:v>45957</c:v>
                </c:pt>
                <c:pt idx="9">
                  <c:v>45964</c:v>
                </c:pt>
                <c:pt idx="10">
                  <c:v>45971</c:v>
                </c:pt>
                <c:pt idx="11">
                  <c:v>45978</c:v>
                </c:pt>
                <c:pt idx="12">
                  <c:v>45985</c:v>
                </c:pt>
                <c:pt idx="13">
                  <c:v>45992</c:v>
                </c:pt>
                <c:pt idx="14">
                  <c:v>45999</c:v>
                </c:pt>
                <c:pt idx="15">
                  <c:v>46006</c:v>
                </c:pt>
                <c:pt idx="16">
                  <c:v>46013</c:v>
                </c:pt>
                <c:pt idx="17">
                  <c:v>46020</c:v>
                </c:pt>
                <c:pt idx="18">
                  <c:v>46027</c:v>
                </c:pt>
                <c:pt idx="19">
                  <c:v>46034</c:v>
                </c:pt>
                <c:pt idx="20">
                  <c:v>46041</c:v>
                </c:pt>
                <c:pt idx="21">
                  <c:v>46048</c:v>
                </c:pt>
                <c:pt idx="22">
                  <c:v>46055</c:v>
                </c:pt>
                <c:pt idx="23">
                  <c:v>46062</c:v>
                </c:pt>
                <c:pt idx="24">
                  <c:v>46069</c:v>
                </c:pt>
                <c:pt idx="25">
                  <c:v>46076</c:v>
                </c:pt>
                <c:pt idx="26">
                  <c:v>46083</c:v>
                </c:pt>
                <c:pt idx="27">
                  <c:v>46090</c:v>
                </c:pt>
                <c:pt idx="28">
                  <c:v>46097</c:v>
                </c:pt>
                <c:pt idx="29">
                  <c:v>46104</c:v>
                </c:pt>
                <c:pt idx="30">
                  <c:v>46111</c:v>
                </c:pt>
                <c:pt idx="31">
                  <c:v>46118</c:v>
                </c:pt>
                <c:pt idx="32">
                  <c:v>46125</c:v>
                </c:pt>
                <c:pt idx="33">
                  <c:v>46132</c:v>
                </c:pt>
                <c:pt idx="34">
                  <c:v>46139</c:v>
                </c:pt>
                <c:pt idx="35">
                  <c:v>46146</c:v>
                </c:pt>
                <c:pt idx="36">
                  <c:v>46153</c:v>
                </c:pt>
                <c:pt idx="37">
                  <c:v>46160</c:v>
                </c:pt>
                <c:pt idx="38">
                  <c:v>46167</c:v>
                </c:pt>
                <c:pt idx="39">
                  <c:v>46174</c:v>
                </c:pt>
                <c:pt idx="40">
                  <c:v>46181</c:v>
                </c:pt>
                <c:pt idx="41">
                  <c:v>46188</c:v>
                </c:pt>
                <c:pt idx="42">
                  <c:v>46195</c:v>
                </c:pt>
                <c:pt idx="43">
                  <c:v>46202</c:v>
                </c:pt>
                <c:pt idx="44">
                  <c:v>46209</c:v>
                </c:pt>
                <c:pt idx="45">
                  <c:v>46216</c:v>
                </c:pt>
                <c:pt idx="46">
                  <c:v>46223</c:v>
                </c:pt>
                <c:pt idx="47">
                  <c:v>46230</c:v>
                </c:pt>
                <c:pt idx="48">
                  <c:v>46237</c:v>
                </c:pt>
                <c:pt idx="49">
                  <c:v>46244</c:v>
                </c:pt>
                <c:pt idx="50">
                  <c:v>46251</c:v>
                </c:pt>
                <c:pt idx="51">
                  <c:v>46258</c:v>
                </c:pt>
                <c:pt idx="52">
                  <c:v>46265</c:v>
                </c:pt>
                <c:pt idx="53">
                  <c:v>46272</c:v>
                </c:pt>
                <c:pt idx="54">
                  <c:v>46279</c:v>
                </c:pt>
                <c:pt idx="55">
                  <c:v>46286</c:v>
                </c:pt>
                <c:pt idx="56">
                  <c:v>46293</c:v>
                </c:pt>
                <c:pt idx="57">
                  <c:v>46300</c:v>
                </c:pt>
                <c:pt idx="58">
                  <c:v>46307</c:v>
                </c:pt>
                <c:pt idx="59">
                  <c:v>46314</c:v>
                </c:pt>
                <c:pt idx="60">
                  <c:v>46321</c:v>
                </c:pt>
                <c:pt idx="61">
                  <c:v>46328</c:v>
                </c:pt>
                <c:pt idx="62">
                  <c:v>46335</c:v>
                </c:pt>
                <c:pt idx="63">
                  <c:v>46342</c:v>
                </c:pt>
                <c:pt idx="64">
                  <c:v>46349</c:v>
                </c:pt>
                <c:pt idx="65">
                  <c:v>46356</c:v>
                </c:pt>
                <c:pt idx="66">
                  <c:v>46363</c:v>
                </c:pt>
                <c:pt idx="67">
                  <c:v>46370</c:v>
                </c:pt>
                <c:pt idx="68">
                  <c:v>46377</c:v>
                </c:pt>
                <c:pt idx="69">
                  <c:v>46384</c:v>
                </c:pt>
                <c:pt idx="70">
                  <c:v>46391</c:v>
                </c:pt>
                <c:pt idx="71">
                  <c:v>46398</c:v>
                </c:pt>
                <c:pt idx="72">
                  <c:v>46405</c:v>
                </c:pt>
                <c:pt idx="73">
                  <c:v>46412</c:v>
                </c:pt>
                <c:pt idx="74">
                  <c:v>46419</c:v>
                </c:pt>
                <c:pt idx="75">
                  <c:v>46426</c:v>
                </c:pt>
                <c:pt idx="76">
                  <c:v>46433</c:v>
                </c:pt>
                <c:pt idx="77">
                  <c:v>46440</c:v>
                </c:pt>
                <c:pt idx="78">
                  <c:v>46447</c:v>
                </c:pt>
                <c:pt idx="79">
                  <c:v>46454</c:v>
                </c:pt>
                <c:pt idx="80">
                  <c:v>46461</c:v>
                </c:pt>
                <c:pt idx="81">
                  <c:v>46468</c:v>
                </c:pt>
                <c:pt idx="82">
                  <c:v>46475</c:v>
                </c:pt>
                <c:pt idx="83">
                  <c:v>46482</c:v>
                </c:pt>
                <c:pt idx="84">
                  <c:v>46489</c:v>
                </c:pt>
                <c:pt idx="85">
                  <c:v>46496</c:v>
                </c:pt>
                <c:pt idx="86">
                  <c:v>46503</c:v>
                </c:pt>
                <c:pt idx="87">
                  <c:v>46510</c:v>
                </c:pt>
                <c:pt idx="88">
                  <c:v>46517</c:v>
                </c:pt>
                <c:pt idx="89">
                  <c:v>46524</c:v>
                </c:pt>
                <c:pt idx="90">
                  <c:v>46531</c:v>
                </c:pt>
                <c:pt idx="91">
                  <c:v>46538</c:v>
                </c:pt>
                <c:pt idx="92">
                  <c:v>46545</c:v>
                </c:pt>
                <c:pt idx="93">
                  <c:v>46552</c:v>
                </c:pt>
                <c:pt idx="94">
                  <c:v>46559</c:v>
                </c:pt>
                <c:pt idx="95">
                  <c:v>46566</c:v>
                </c:pt>
                <c:pt idx="96">
                  <c:v>46573</c:v>
                </c:pt>
                <c:pt idx="97">
                  <c:v>46580</c:v>
                </c:pt>
                <c:pt idx="98">
                  <c:v>46587</c:v>
                </c:pt>
                <c:pt idx="99">
                  <c:v>46594</c:v>
                </c:pt>
                <c:pt idx="100">
                  <c:v>46601</c:v>
                </c:pt>
                <c:pt idx="101">
                  <c:v>46608</c:v>
                </c:pt>
                <c:pt idx="102">
                  <c:v>46615</c:v>
                </c:pt>
                <c:pt idx="103">
                  <c:v>46622</c:v>
                </c:pt>
                <c:pt idx="104">
                  <c:v>46629</c:v>
                </c:pt>
                <c:pt idx="105">
                  <c:v>46636</c:v>
                </c:pt>
                <c:pt idx="106">
                  <c:v>46643</c:v>
                </c:pt>
                <c:pt idx="107">
                  <c:v>46650</c:v>
                </c:pt>
                <c:pt idx="108">
                  <c:v>46657</c:v>
                </c:pt>
                <c:pt idx="109">
                  <c:v>46664</c:v>
                </c:pt>
                <c:pt idx="110">
                  <c:v>46671</c:v>
                </c:pt>
                <c:pt idx="111">
                  <c:v>46678</c:v>
                </c:pt>
                <c:pt idx="112">
                  <c:v>46685</c:v>
                </c:pt>
                <c:pt idx="113">
                  <c:v>46692</c:v>
                </c:pt>
                <c:pt idx="114">
                  <c:v>46699</c:v>
                </c:pt>
                <c:pt idx="115">
                  <c:v>46706</c:v>
                </c:pt>
                <c:pt idx="116">
                  <c:v>46713</c:v>
                </c:pt>
                <c:pt idx="117">
                  <c:v>46720</c:v>
                </c:pt>
                <c:pt idx="118">
                  <c:v>46727</c:v>
                </c:pt>
                <c:pt idx="119">
                  <c:v>46734</c:v>
                </c:pt>
                <c:pt idx="120">
                  <c:v>46741</c:v>
                </c:pt>
                <c:pt idx="121">
                  <c:v>46748</c:v>
                </c:pt>
                <c:pt idx="122">
                  <c:v>46755</c:v>
                </c:pt>
                <c:pt idx="123">
                  <c:v>46762</c:v>
                </c:pt>
                <c:pt idx="124">
                  <c:v>46769</c:v>
                </c:pt>
                <c:pt idx="125">
                  <c:v>46776</c:v>
                </c:pt>
                <c:pt idx="126">
                  <c:v>46783</c:v>
                </c:pt>
                <c:pt idx="127">
                  <c:v>46790</c:v>
                </c:pt>
                <c:pt idx="128">
                  <c:v>46797</c:v>
                </c:pt>
                <c:pt idx="129">
                  <c:v>46804</c:v>
                </c:pt>
                <c:pt idx="130">
                  <c:v>46811</c:v>
                </c:pt>
                <c:pt idx="131">
                  <c:v>46818</c:v>
                </c:pt>
                <c:pt idx="132">
                  <c:v>46825</c:v>
                </c:pt>
                <c:pt idx="133">
                  <c:v>46832</c:v>
                </c:pt>
                <c:pt idx="134">
                  <c:v>46839</c:v>
                </c:pt>
                <c:pt idx="135">
                  <c:v>46846</c:v>
                </c:pt>
                <c:pt idx="136">
                  <c:v>46853</c:v>
                </c:pt>
                <c:pt idx="137">
                  <c:v>46860</c:v>
                </c:pt>
                <c:pt idx="138">
                  <c:v>46867</c:v>
                </c:pt>
                <c:pt idx="139">
                  <c:v>46874</c:v>
                </c:pt>
                <c:pt idx="140">
                  <c:v>46881</c:v>
                </c:pt>
                <c:pt idx="141">
                  <c:v>46888</c:v>
                </c:pt>
                <c:pt idx="142">
                  <c:v>46895</c:v>
                </c:pt>
                <c:pt idx="143">
                  <c:v>46902</c:v>
                </c:pt>
                <c:pt idx="144">
                  <c:v>46909</c:v>
                </c:pt>
                <c:pt idx="145">
                  <c:v>46916</c:v>
                </c:pt>
                <c:pt idx="146">
                  <c:v>46923</c:v>
                </c:pt>
                <c:pt idx="147">
                  <c:v>46930</c:v>
                </c:pt>
                <c:pt idx="148">
                  <c:v>46937</c:v>
                </c:pt>
                <c:pt idx="149">
                  <c:v>46944</c:v>
                </c:pt>
                <c:pt idx="150">
                  <c:v>46951</c:v>
                </c:pt>
                <c:pt idx="151">
                  <c:v>46958</c:v>
                </c:pt>
                <c:pt idx="152">
                  <c:v>46965</c:v>
                </c:pt>
                <c:pt idx="153">
                  <c:v>46972</c:v>
                </c:pt>
                <c:pt idx="154">
                  <c:v>46979</c:v>
                </c:pt>
                <c:pt idx="155">
                  <c:v>46986</c:v>
                </c:pt>
                <c:pt idx="156">
                  <c:v>46993</c:v>
                </c:pt>
                <c:pt idx="157">
                  <c:v>47000</c:v>
                </c:pt>
                <c:pt idx="158">
                  <c:v>47007</c:v>
                </c:pt>
                <c:pt idx="159">
                  <c:v>47014</c:v>
                </c:pt>
                <c:pt idx="160">
                  <c:v>47021</c:v>
                </c:pt>
                <c:pt idx="161">
                  <c:v>47028</c:v>
                </c:pt>
                <c:pt idx="162">
                  <c:v>47035</c:v>
                </c:pt>
                <c:pt idx="163">
                  <c:v>47042</c:v>
                </c:pt>
                <c:pt idx="164">
                  <c:v>47049</c:v>
                </c:pt>
                <c:pt idx="165">
                  <c:v>47056</c:v>
                </c:pt>
                <c:pt idx="166">
                  <c:v>47063</c:v>
                </c:pt>
                <c:pt idx="167">
                  <c:v>47070</c:v>
                </c:pt>
                <c:pt idx="168">
                  <c:v>47077</c:v>
                </c:pt>
                <c:pt idx="169">
                  <c:v>47084</c:v>
                </c:pt>
                <c:pt idx="170">
                  <c:v>47091</c:v>
                </c:pt>
                <c:pt idx="171">
                  <c:v>47098</c:v>
                </c:pt>
                <c:pt idx="172">
                  <c:v>47105</c:v>
                </c:pt>
                <c:pt idx="173">
                  <c:v>47112</c:v>
                </c:pt>
                <c:pt idx="174">
                  <c:v>47119</c:v>
                </c:pt>
                <c:pt idx="175">
                  <c:v>47126</c:v>
                </c:pt>
                <c:pt idx="176">
                  <c:v>47133</c:v>
                </c:pt>
                <c:pt idx="177">
                  <c:v>47140</c:v>
                </c:pt>
                <c:pt idx="178">
                  <c:v>47147</c:v>
                </c:pt>
                <c:pt idx="179">
                  <c:v>47154</c:v>
                </c:pt>
                <c:pt idx="180">
                  <c:v>47161</c:v>
                </c:pt>
                <c:pt idx="181">
                  <c:v>47168</c:v>
                </c:pt>
                <c:pt idx="182">
                  <c:v>47175</c:v>
                </c:pt>
                <c:pt idx="183">
                  <c:v>47182</c:v>
                </c:pt>
                <c:pt idx="184">
                  <c:v>47189</c:v>
                </c:pt>
                <c:pt idx="185">
                  <c:v>47196</c:v>
                </c:pt>
                <c:pt idx="186">
                  <c:v>47203</c:v>
                </c:pt>
                <c:pt idx="187">
                  <c:v>47210</c:v>
                </c:pt>
                <c:pt idx="188">
                  <c:v>47217</c:v>
                </c:pt>
                <c:pt idx="189">
                  <c:v>47224</c:v>
                </c:pt>
                <c:pt idx="190">
                  <c:v>47231</c:v>
                </c:pt>
                <c:pt idx="191">
                  <c:v>47238</c:v>
                </c:pt>
                <c:pt idx="192">
                  <c:v>47245</c:v>
                </c:pt>
                <c:pt idx="193">
                  <c:v>47252</c:v>
                </c:pt>
                <c:pt idx="194">
                  <c:v>47259</c:v>
                </c:pt>
                <c:pt idx="195">
                  <c:v>47266</c:v>
                </c:pt>
                <c:pt idx="196">
                  <c:v>47273</c:v>
                </c:pt>
                <c:pt idx="197">
                  <c:v>47280</c:v>
                </c:pt>
                <c:pt idx="198">
                  <c:v>47287</c:v>
                </c:pt>
                <c:pt idx="199">
                  <c:v>47294</c:v>
                </c:pt>
                <c:pt idx="200">
                  <c:v>47301</c:v>
                </c:pt>
                <c:pt idx="201">
                  <c:v>47308</c:v>
                </c:pt>
                <c:pt idx="202">
                  <c:v>47315</c:v>
                </c:pt>
                <c:pt idx="203">
                  <c:v>47322</c:v>
                </c:pt>
                <c:pt idx="204">
                  <c:v>47329</c:v>
                </c:pt>
                <c:pt idx="205">
                  <c:v>47336</c:v>
                </c:pt>
                <c:pt idx="206">
                  <c:v>47343</c:v>
                </c:pt>
                <c:pt idx="207">
                  <c:v>47350</c:v>
                </c:pt>
                <c:pt idx="208">
                  <c:v>47357</c:v>
                </c:pt>
                <c:pt idx="209">
                  <c:v>47364</c:v>
                </c:pt>
                <c:pt idx="210">
                  <c:v>47371</c:v>
                </c:pt>
                <c:pt idx="211">
                  <c:v>47378</c:v>
                </c:pt>
                <c:pt idx="212">
                  <c:v>47385</c:v>
                </c:pt>
                <c:pt idx="213">
                  <c:v>47392</c:v>
                </c:pt>
                <c:pt idx="214">
                  <c:v>47399</c:v>
                </c:pt>
                <c:pt idx="215">
                  <c:v>47406</c:v>
                </c:pt>
                <c:pt idx="216">
                  <c:v>47413</c:v>
                </c:pt>
                <c:pt idx="217">
                  <c:v>47420</c:v>
                </c:pt>
                <c:pt idx="218">
                  <c:v>47427</c:v>
                </c:pt>
                <c:pt idx="219">
                  <c:v>47434</c:v>
                </c:pt>
                <c:pt idx="220">
                  <c:v>47441</c:v>
                </c:pt>
                <c:pt idx="221">
                  <c:v>47448</c:v>
                </c:pt>
                <c:pt idx="222">
                  <c:v>47455</c:v>
                </c:pt>
                <c:pt idx="223">
                  <c:v>47462</c:v>
                </c:pt>
                <c:pt idx="224">
                  <c:v>47469</c:v>
                </c:pt>
                <c:pt idx="225">
                  <c:v>47476</c:v>
                </c:pt>
                <c:pt idx="226">
                  <c:v>47483</c:v>
                </c:pt>
                <c:pt idx="227">
                  <c:v>47490</c:v>
                </c:pt>
                <c:pt idx="228">
                  <c:v>47497</c:v>
                </c:pt>
                <c:pt idx="229">
                  <c:v>47504</c:v>
                </c:pt>
                <c:pt idx="230">
                  <c:v>47511</c:v>
                </c:pt>
                <c:pt idx="231">
                  <c:v>47518</c:v>
                </c:pt>
                <c:pt idx="232">
                  <c:v>47525</c:v>
                </c:pt>
                <c:pt idx="233">
                  <c:v>47532</c:v>
                </c:pt>
                <c:pt idx="234">
                  <c:v>47539</c:v>
                </c:pt>
                <c:pt idx="235">
                  <c:v>47546</c:v>
                </c:pt>
                <c:pt idx="236">
                  <c:v>47553</c:v>
                </c:pt>
                <c:pt idx="237">
                  <c:v>47560</c:v>
                </c:pt>
                <c:pt idx="238">
                  <c:v>47567</c:v>
                </c:pt>
                <c:pt idx="239">
                  <c:v>47574</c:v>
                </c:pt>
                <c:pt idx="240">
                  <c:v>47581</c:v>
                </c:pt>
                <c:pt idx="241">
                  <c:v>47588</c:v>
                </c:pt>
                <c:pt idx="242">
                  <c:v>47595</c:v>
                </c:pt>
                <c:pt idx="243">
                  <c:v>47602</c:v>
                </c:pt>
                <c:pt idx="244">
                  <c:v>47609</c:v>
                </c:pt>
                <c:pt idx="245">
                  <c:v>47616</c:v>
                </c:pt>
                <c:pt idx="246">
                  <c:v>47623</c:v>
                </c:pt>
                <c:pt idx="247">
                  <c:v>47630</c:v>
                </c:pt>
                <c:pt idx="248">
                  <c:v>47637</c:v>
                </c:pt>
                <c:pt idx="249">
                  <c:v>47644</c:v>
                </c:pt>
                <c:pt idx="250">
                  <c:v>47651</c:v>
                </c:pt>
                <c:pt idx="251">
                  <c:v>47658</c:v>
                </c:pt>
                <c:pt idx="252">
                  <c:v>47665</c:v>
                </c:pt>
                <c:pt idx="253">
                  <c:v>47672</c:v>
                </c:pt>
                <c:pt idx="254">
                  <c:v>47679</c:v>
                </c:pt>
                <c:pt idx="255">
                  <c:v>47686</c:v>
                </c:pt>
                <c:pt idx="256">
                  <c:v>47693</c:v>
                </c:pt>
                <c:pt idx="257">
                  <c:v>47700</c:v>
                </c:pt>
                <c:pt idx="258">
                  <c:v>47707</c:v>
                </c:pt>
                <c:pt idx="259">
                  <c:v>47714</c:v>
                </c:pt>
                <c:pt idx="260">
                  <c:v>47721</c:v>
                </c:pt>
                <c:pt idx="261">
                  <c:v>47728</c:v>
                </c:pt>
                <c:pt idx="262">
                  <c:v>47735</c:v>
                </c:pt>
                <c:pt idx="263">
                  <c:v>47742</c:v>
                </c:pt>
                <c:pt idx="264">
                  <c:v>47749</c:v>
                </c:pt>
                <c:pt idx="265">
                  <c:v>47756</c:v>
                </c:pt>
                <c:pt idx="266">
                  <c:v>47763</c:v>
                </c:pt>
                <c:pt idx="267">
                  <c:v>47770</c:v>
                </c:pt>
                <c:pt idx="268">
                  <c:v>47777</c:v>
                </c:pt>
                <c:pt idx="269">
                  <c:v>47784</c:v>
                </c:pt>
                <c:pt idx="270">
                  <c:v>47791</c:v>
                </c:pt>
                <c:pt idx="271">
                  <c:v>47798</c:v>
                </c:pt>
                <c:pt idx="272">
                  <c:v>47805</c:v>
                </c:pt>
                <c:pt idx="273">
                  <c:v>47812</c:v>
                </c:pt>
                <c:pt idx="274">
                  <c:v>47819</c:v>
                </c:pt>
                <c:pt idx="275">
                  <c:v>47826</c:v>
                </c:pt>
                <c:pt idx="276">
                  <c:v>47833</c:v>
                </c:pt>
                <c:pt idx="277">
                  <c:v>47840</c:v>
                </c:pt>
                <c:pt idx="278">
                  <c:v>47847</c:v>
                </c:pt>
                <c:pt idx="279">
                  <c:v>47854</c:v>
                </c:pt>
                <c:pt idx="280">
                  <c:v>47861</c:v>
                </c:pt>
                <c:pt idx="281">
                  <c:v>47868</c:v>
                </c:pt>
                <c:pt idx="282">
                  <c:v>47875</c:v>
                </c:pt>
                <c:pt idx="283">
                  <c:v>47882</c:v>
                </c:pt>
                <c:pt idx="284">
                  <c:v>47889</c:v>
                </c:pt>
                <c:pt idx="285">
                  <c:v>47896</c:v>
                </c:pt>
                <c:pt idx="286">
                  <c:v>47903</c:v>
                </c:pt>
              </c:numCache>
            </c:numRef>
          </c:cat>
          <c:val>
            <c:numRef>
              <c:f>Cashflow!$F$14:$KF$14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-975</c:v>
                </c:pt>
                <c:pt idx="6">
                  <c:v>-975</c:v>
                </c:pt>
                <c:pt idx="7">
                  <c:v>-975</c:v>
                </c:pt>
                <c:pt idx="8">
                  <c:v>-975</c:v>
                </c:pt>
                <c:pt idx="9">
                  <c:v>-50743.729999999996</c:v>
                </c:pt>
                <c:pt idx="10">
                  <c:v>1715055.7679999999</c:v>
                </c:pt>
                <c:pt idx="11">
                  <c:v>1702293.9140000001</c:v>
                </c:pt>
                <c:pt idx="12">
                  <c:v>1405843.5689999999</c:v>
                </c:pt>
                <c:pt idx="13">
                  <c:v>1389241.969</c:v>
                </c:pt>
                <c:pt idx="14">
                  <c:v>1700857.4110000001</c:v>
                </c:pt>
                <c:pt idx="15">
                  <c:v>1687561.9550000001</c:v>
                </c:pt>
                <c:pt idx="16">
                  <c:v>1687561.9550000001</c:v>
                </c:pt>
                <c:pt idx="17">
                  <c:v>1614797.3149999999</c:v>
                </c:pt>
                <c:pt idx="18">
                  <c:v>1578978.6950000001</c:v>
                </c:pt>
                <c:pt idx="19">
                  <c:v>996678.69500000007</c:v>
                </c:pt>
                <c:pt idx="20">
                  <c:v>991035.09499999997</c:v>
                </c:pt>
                <c:pt idx="21">
                  <c:v>827316.30999999982</c:v>
                </c:pt>
                <c:pt idx="22">
                  <c:v>762172.57999999984</c:v>
                </c:pt>
                <c:pt idx="23">
                  <c:v>687519.48499999987</c:v>
                </c:pt>
                <c:pt idx="24">
                  <c:v>687519.48499999987</c:v>
                </c:pt>
                <c:pt idx="25">
                  <c:v>661551.53149999981</c:v>
                </c:pt>
                <c:pt idx="26">
                  <c:v>661551.53149999981</c:v>
                </c:pt>
                <c:pt idx="27">
                  <c:v>636667.17649999983</c:v>
                </c:pt>
                <c:pt idx="28">
                  <c:v>636667.17649999983</c:v>
                </c:pt>
                <c:pt idx="29">
                  <c:v>630667.17649999983</c:v>
                </c:pt>
                <c:pt idx="30">
                  <c:v>630667.17649999983</c:v>
                </c:pt>
                <c:pt idx="31">
                  <c:v>630667.17649999983</c:v>
                </c:pt>
                <c:pt idx="32">
                  <c:v>630667.17649999983</c:v>
                </c:pt>
                <c:pt idx="33">
                  <c:v>630667.17649999983</c:v>
                </c:pt>
                <c:pt idx="34">
                  <c:v>630667.17649999983</c:v>
                </c:pt>
                <c:pt idx="35">
                  <c:v>630667.17649999983</c:v>
                </c:pt>
                <c:pt idx="36">
                  <c:v>630667.17649999983</c:v>
                </c:pt>
                <c:pt idx="37">
                  <c:v>630667.17649999983</c:v>
                </c:pt>
                <c:pt idx="38">
                  <c:v>630667.17649999983</c:v>
                </c:pt>
                <c:pt idx="39">
                  <c:v>630667.17649999983</c:v>
                </c:pt>
                <c:pt idx="40">
                  <c:v>630667.17649999983</c:v>
                </c:pt>
                <c:pt idx="41">
                  <c:v>630667.17649999983</c:v>
                </c:pt>
                <c:pt idx="42">
                  <c:v>630667.17649999983</c:v>
                </c:pt>
                <c:pt idx="43">
                  <c:v>630667.17649999983</c:v>
                </c:pt>
                <c:pt idx="44">
                  <c:v>630667.17649999983</c:v>
                </c:pt>
                <c:pt idx="45">
                  <c:v>630667.17649999983</c:v>
                </c:pt>
                <c:pt idx="46">
                  <c:v>630667.17649999983</c:v>
                </c:pt>
                <c:pt idx="47">
                  <c:v>630667.17649999983</c:v>
                </c:pt>
                <c:pt idx="48">
                  <c:v>630667.17649999983</c:v>
                </c:pt>
                <c:pt idx="49">
                  <c:v>630667.17649999983</c:v>
                </c:pt>
                <c:pt idx="50">
                  <c:v>630667.17649999983</c:v>
                </c:pt>
                <c:pt idx="51">
                  <c:v>630667.17649999983</c:v>
                </c:pt>
                <c:pt idx="52">
                  <c:v>630667.17649999983</c:v>
                </c:pt>
                <c:pt idx="53">
                  <c:v>630667.17649999983</c:v>
                </c:pt>
                <c:pt idx="54">
                  <c:v>630667.17649999983</c:v>
                </c:pt>
                <c:pt idx="55">
                  <c:v>630667.17649999983</c:v>
                </c:pt>
                <c:pt idx="56">
                  <c:v>630667.17649999983</c:v>
                </c:pt>
                <c:pt idx="57">
                  <c:v>630667.17649999983</c:v>
                </c:pt>
                <c:pt idx="58">
                  <c:v>630667.17649999983</c:v>
                </c:pt>
                <c:pt idx="59">
                  <c:v>630667.17649999983</c:v>
                </c:pt>
                <c:pt idx="60">
                  <c:v>630667.17649999983</c:v>
                </c:pt>
                <c:pt idx="61">
                  <c:v>630667.17649999983</c:v>
                </c:pt>
                <c:pt idx="62">
                  <c:v>630667.17649999983</c:v>
                </c:pt>
                <c:pt idx="63">
                  <c:v>630667.17649999983</c:v>
                </c:pt>
                <c:pt idx="64">
                  <c:v>630667.17649999983</c:v>
                </c:pt>
                <c:pt idx="65">
                  <c:v>630667.17649999983</c:v>
                </c:pt>
                <c:pt idx="66">
                  <c:v>630667.17649999983</c:v>
                </c:pt>
                <c:pt idx="67">
                  <c:v>630667.17649999983</c:v>
                </c:pt>
                <c:pt idx="68">
                  <c:v>630667.17649999983</c:v>
                </c:pt>
                <c:pt idx="69">
                  <c:v>630667.17649999983</c:v>
                </c:pt>
                <c:pt idx="70">
                  <c:v>630667.17649999983</c:v>
                </c:pt>
                <c:pt idx="71">
                  <c:v>630667.17649999983</c:v>
                </c:pt>
                <c:pt idx="72">
                  <c:v>630667.17649999983</c:v>
                </c:pt>
                <c:pt idx="73">
                  <c:v>630667.17649999983</c:v>
                </c:pt>
                <c:pt idx="74">
                  <c:v>630667.17649999983</c:v>
                </c:pt>
                <c:pt idx="75">
                  <c:v>630667.17649999983</c:v>
                </c:pt>
                <c:pt idx="76">
                  <c:v>630667.17649999983</c:v>
                </c:pt>
                <c:pt idx="77">
                  <c:v>630667.17649999983</c:v>
                </c:pt>
                <c:pt idx="78">
                  <c:v>630667.17649999983</c:v>
                </c:pt>
                <c:pt idx="79">
                  <c:v>630667.17649999983</c:v>
                </c:pt>
                <c:pt idx="80">
                  <c:v>630667.17649999983</c:v>
                </c:pt>
                <c:pt idx="81">
                  <c:v>630667.17649999983</c:v>
                </c:pt>
                <c:pt idx="82">
                  <c:v>630667.17649999983</c:v>
                </c:pt>
                <c:pt idx="83">
                  <c:v>630667.17649999983</c:v>
                </c:pt>
                <c:pt idx="84">
                  <c:v>630667.17649999983</c:v>
                </c:pt>
                <c:pt idx="85">
                  <c:v>630667.17649999983</c:v>
                </c:pt>
                <c:pt idx="86">
                  <c:v>630667.17649999983</c:v>
                </c:pt>
                <c:pt idx="87">
                  <c:v>630667.17649999983</c:v>
                </c:pt>
                <c:pt idx="88">
                  <c:v>630667.17649999983</c:v>
                </c:pt>
                <c:pt idx="89">
                  <c:v>630667.17649999983</c:v>
                </c:pt>
                <c:pt idx="90">
                  <c:v>630667.17649999983</c:v>
                </c:pt>
                <c:pt idx="91">
                  <c:v>630667.17649999983</c:v>
                </c:pt>
                <c:pt idx="92">
                  <c:v>630667.17649999983</c:v>
                </c:pt>
                <c:pt idx="93">
                  <c:v>630667.17649999983</c:v>
                </c:pt>
                <c:pt idx="94">
                  <c:v>630667.17649999983</c:v>
                </c:pt>
                <c:pt idx="95">
                  <c:v>630667.17649999983</c:v>
                </c:pt>
                <c:pt idx="96">
                  <c:v>630667.17649999983</c:v>
                </c:pt>
                <c:pt idx="97">
                  <c:v>630667.17649999983</c:v>
                </c:pt>
                <c:pt idx="98">
                  <c:v>630667.17649999983</c:v>
                </c:pt>
                <c:pt idx="99">
                  <c:v>630667.17649999983</c:v>
                </c:pt>
                <c:pt idx="100">
                  <c:v>630667.17649999983</c:v>
                </c:pt>
                <c:pt idx="101">
                  <c:v>630667.17649999983</c:v>
                </c:pt>
                <c:pt idx="102">
                  <c:v>630667.17649999983</c:v>
                </c:pt>
                <c:pt idx="103">
                  <c:v>630667.17649999983</c:v>
                </c:pt>
                <c:pt idx="104">
                  <c:v>630667.17649999983</c:v>
                </c:pt>
                <c:pt idx="105">
                  <c:v>630667.17649999983</c:v>
                </c:pt>
                <c:pt idx="106">
                  <c:v>630667.17649999983</c:v>
                </c:pt>
                <c:pt idx="107">
                  <c:v>630667.17649999983</c:v>
                </c:pt>
                <c:pt idx="108">
                  <c:v>630667.17649999983</c:v>
                </c:pt>
                <c:pt idx="109">
                  <c:v>630667.17649999983</c:v>
                </c:pt>
                <c:pt idx="110">
                  <c:v>630667.17649999983</c:v>
                </c:pt>
                <c:pt idx="111">
                  <c:v>630667.17649999983</c:v>
                </c:pt>
                <c:pt idx="112">
                  <c:v>630667.17649999983</c:v>
                </c:pt>
                <c:pt idx="113">
                  <c:v>630667.17649999983</c:v>
                </c:pt>
                <c:pt idx="114">
                  <c:v>630667.17649999983</c:v>
                </c:pt>
                <c:pt idx="115">
                  <c:v>630667.17649999983</c:v>
                </c:pt>
                <c:pt idx="116">
                  <c:v>630667.17649999983</c:v>
                </c:pt>
                <c:pt idx="117">
                  <c:v>630667.17649999983</c:v>
                </c:pt>
                <c:pt idx="118">
                  <c:v>630667.17649999983</c:v>
                </c:pt>
                <c:pt idx="119">
                  <c:v>630667.17649999983</c:v>
                </c:pt>
                <c:pt idx="120">
                  <c:v>630667.17649999983</c:v>
                </c:pt>
                <c:pt idx="121">
                  <c:v>630667.17649999983</c:v>
                </c:pt>
                <c:pt idx="122">
                  <c:v>630667.17649999983</c:v>
                </c:pt>
                <c:pt idx="123">
                  <c:v>630667.17649999983</c:v>
                </c:pt>
                <c:pt idx="124">
                  <c:v>630667.17649999983</c:v>
                </c:pt>
                <c:pt idx="125">
                  <c:v>630667.17649999983</c:v>
                </c:pt>
                <c:pt idx="126">
                  <c:v>630667.17649999983</c:v>
                </c:pt>
                <c:pt idx="127">
                  <c:v>630667.17649999983</c:v>
                </c:pt>
                <c:pt idx="128">
                  <c:v>630667.17649999983</c:v>
                </c:pt>
                <c:pt idx="129">
                  <c:v>630667.17649999983</c:v>
                </c:pt>
                <c:pt idx="130">
                  <c:v>630667.17649999983</c:v>
                </c:pt>
                <c:pt idx="131">
                  <c:v>630667.17649999983</c:v>
                </c:pt>
                <c:pt idx="132">
                  <c:v>630667.17649999983</c:v>
                </c:pt>
                <c:pt idx="133">
                  <c:v>630667.17649999983</c:v>
                </c:pt>
                <c:pt idx="134">
                  <c:v>630667.17649999983</c:v>
                </c:pt>
                <c:pt idx="135">
                  <c:v>630667.17649999983</c:v>
                </c:pt>
                <c:pt idx="136">
                  <c:v>630667.17649999983</c:v>
                </c:pt>
                <c:pt idx="137">
                  <c:v>630667.17649999983</c:v>
                </c:pt>
                <c:pt idx="138">
                  <c:v>630667.17649999983</c:v>
                </c:pt>
                <c:pt idx="139">
                  <c:v>630667.17649999983</c:v>
                </c:pt>
                <c:pt idx="140">
                  <c:v>630667.17649999983</c:v>
                </c:pt>
                <c:pt idx="141">
                  <c:v>630667.17649999983</c:v>
                </c:pt>
                <c:pt idx="142">
                  <c:v>630667.17649999983</c:v>
                </c:pt>
                <c:pt idx="143">
                  <c:v>630667.17649999983</c:v>
                </c:pt>
                <c:pt idx="144">
                  <c:v>630667.17649999983</c:v>
                </c:pt>
                <c:pt idx="145">
                  <c:v>630667.17649999983</c:v>
                </c:pt>
                <c:pt idx="146">
                  <c:v>630667.17649999983</c:v>
                </c:pt>
                <c:pt idx="147">
                  <c:v>630667.17649999983</c:v>
                </c:pt>
                <c:pt idx="148">
                  <c:v>630667.17649999983</c:v>
                </c:pt>
                <c:pt idx="149">
                  <c:v>630667.17649999983</c:v>
                </c:pt>
                <c:pt idx="150">
                  <c:v>630667.17649999983</c:v>
                </c:pt>
                <c:pt idx="151">
                  <c:v>630667.17649999983</c:v>
                </c:pt>
                <c:pt idx="152">
                  <c:v>630667.17649999983</c:v>
                </c:pt>
                <c:pt idx="153">
                  <c:v>630667.17649999983</c:v>
                </c:pt>
                <c:pt idx="154">
                  <c:v>630667.17649999983</c:v>
                </c:pt>
                <c:pt idx="155">
                  <c:v>630667.17649999983</c:v>
                </c:pt>
                <c:pt idx="156">
                  <c:v>630667.17649999983</c:v>
                </c:pt>
                <c:pt idx="157">
                  <c:v>630667.17649999983</c:v>
                </c:pt>
                <c:pt idx="158">
                  <c:v>630667.17649999983</c:v>
                </c:pt>
                <c:pt idx="159">
                  <c:v>630667.17649999983</c:v>
                </c:pt>
                <c:pt idx="160">
                  <c:v>630667.17649999983</c:v>
                </c:pt>
                <c:pt idx="161">
                  <c:v>630667.17649999983</c:v>
                </c:pt>
                <c:pt idx="162">
                  <c:v>630667.17649999983</c:v>
                </c:pt>
                <c:pt idx="163">
                  <c:v>630667.17649999983</c:v>
                </c:pt>
                <c:pt idx="164">
                  <c:v>630667.17649999983</c:v>
                </c:pt>
                <c:pt idx="165">
                  <c:v>630667.17649999983</c:v>
                </c:pt>
                <c:pt idx="166">
                  <c:v>630667.17649999983</c:v>
                </c:pt>
                <c:pt idx="167">
                  <c:v>630667.17649999983</c:v>
                </c:pt>
                <c:pt idx="168">
                  <c:v>630667.17649999983</c:v>
                </c:pt>
                <c:pt idx="169">
                  <c:v>630667.17649999983</c:v>
                </c:pt>
                <c:pt idx="170">
                  <c:v>630667.17649999983</c:v>
                </c:pt>
                <c:pt idx="171">
                  <c:v>630667.17649999983</c:v>
                </c:pt>
                <c:pt idx="172">
                  <c:v>630667.17649999983</c:v>
                </c:pt>
                <c:pt idx="173">
                  <c:v>630667.17649999983</c:v>
                </c:pt>
                <c:pt idx="174">
                  <c:v>630667.17649999983</c:v>
                </c:pt>
                <c:pt idx="175">
                  <c:v>630667.17649999983</c:v>
                </c:pt>
                <c:pt idx="176">
                  <c:v>630667.17649999983</c:v>
                </c:pt>
                <c:pt idx="177">
                  <c:v>630667.17649999983</c:v>
                </c:pt>
                <c:pt idx="178">
                  <c:v>630667.17649999983</c:v>
                </c:pt>
                <c:pt idx="179">
                  <c:v>630667.17649999983</c:v>
                </c:pt>
                <c:pt idx="180">
                  <c:v>630667.17649999983</c:v>
                </c:pt>
                <c:pt idx="181">
                  <c:v>630667.17649999983</c:v>
                </c:pt>
                <c:pt idx="182">
                  <c:v>630667.17649999983</c:v>
                </c:pt>
                <c:pt idx="183">
                  <c:v>630667.17649999983</c:v>
                </c:pt>
                <c:pt idx="184">
                  <c:v>630667.17649999983</c:v>
                </c:pt>
                <c:pt idx="185">
                  <c:v>630667.17649999983</c:v>
                </c:pt>
                <c:pt idx="186">
                  <c:v>630667.17649999983</c:v>
                </c:pt>
                <c:pt idx="187">
                  <c:v>630667.17649999983</c:v>
                </c:pt>
                <c:pt idx="188">
                  <c:v>630667.17649999983</c:v>
                </c:pt>
                <c:pt idx="189">
                  <c:v>630667.17649999983</c:v>
                </c:pt>
                <c:pt idx="190">
                  <c:v>630667.17649999983</c:v>
                </c:pt>
                <c:pt idx="191">
                  <c:v>630667.17649999983</c:v>
                </c:pt>
                <c:pt idx="192">
                  <c:v>630667.17649999983</c:v>
                </c:pt>
                <c:pt idx="193">
                  <c:v>630667.17649999983</c:v>
                </c:pt>
                <c:pt idx="194">
                  <c:v>630667.17649999983</c:v>
                </c:pt>
                <c:pt idx="195">
                  <c:v>630667.17649999983</c:v>
                </c:pt>
                <c:pt idx="196">
                  <c:v>630667.17649999983</c:v>
                </c:pt>
                <c:pt idx="197">
                  <c:v>630667.17649999983</c:v>
                </c:pt>
                <c:pt idx="198">
                  <c:v>630667.17649999983</c:v>
                </c:pt>
                <c:pt idx="199">
                  <c:v>630667.17649999983</c:v>
                </c:pt>
                <c:pt idx="200">
                  <c:v>630667.17649999983</c:v>
                </c:pt>
                <c:pt idx="201">
                  <c:v>630667.17649999983</c:v>
                </c:pt>
                <c:pt idx="202">
                  <c:v>630667.17649999983</c:v>
                </c:pt>
                <c:pt idx="203">
                  <c:v>630667.17649999983</c:v>
                </c:pt>
                <c:pt idx="204">
                  <c:v>630667.17649999983</c:v>
                </c:pt>
                <c:pt idx="205">
                  <c:v>630667.17649999983</c:v>
                </c:pt>
                <c:pt idx="206">
                  <c:v>630667.17649999983</c:v>
                </c:pt>
                <c:pt idx="207">
                  <c:v>630667.17649999983</c:v>
                </c:pt>
                <c:pt idx="208">
                  <c:v>630667.17649999983</c:v>
                </c:pt>
                <c:pt idx="209">
                  <c:v>630667.17649999983</c:v>
                </c:pt>
                <c:pt idx="210">
                  <c:v>630667.17649999983</c:v>
                </c:pt>
                <c:pt idx="211">
                  <c:v>630667.17649999983</c:v>
                </c:pt>
                <c:pt idx="212">
                  <c:v>630667.17649999983</c:v>
                </c:pt>
                <c:pt idx="213">
                  <c:v>630667.17649999983</c:v>
                </c:pt>
                <c:pt idx="214">
                  <c:v>630667.17649999983</c:v>
                </c:pt>
                <c:pt idx="215">
                  <c:v>630667.17649999983</c:v>
                </c:pt>
                <c:pt idx="216">
                  <c:v>630667.17649999983</c:v>
                </c:pt>
                <c:pt idx="217">
                  <c:v>630667.17649999983</c:v>
                </c:pt>
                <c:pt idx="218">
                  <c:v>630667.17649999983</c:v>
                </c:pt>
                <c:pt idx="219">
                  <c:v>630667.17649999983</c:v>
                </c:pt>
                <c:pt idx="220">
                  <c:v>630667.17649999983</c:v>
                </c:pt>
                <c:pt idx="221">
                  <c:v>630667.17649999983</c:v>
                </c:pt>
                <c:pt idx="222">
                  <c:v>630667.17649999983</c:v>
                </c:pt>
                <c:pt idx="223">
                  <c:v>630667.17649999983</c:v>
                </c:pt>
                <c:pt idx="224">
                  <c:v>630667.17649999983</c:v>
                </c:pt>
                <c:pt idx="225">
                  <c:v>630667.17649999983</c:v>
                </c:pt>
                <c:pt idx="226">
                  <c:v>630667.17649999983</c:v>
                </c:pt>
                <c:pt idx="227">
                  <c:v>630667.17649999983</c:v>
                </c:pt>
                <c:pt idx="228">
                  <c:v>630667.17649999983</c:v>
                </c:pt>
                <c:pt idx="229">
                  <c:v>630667.17649999983</c:v>
                </c:pt>
                <c:pt idx="230">
                  <c:v>630667.17649999983</c:v>
                </c:pt>
                <c:pt idx="231">
                  <c:v>630667.17649999983</c:v>
                </c:pt>
                <c:pt idx="232">
                  <c:v>630667.17649999983</c:v>
                </c:pt>
                <c:pt idx="233">
                  <c:v>630667.17649999983</c:v>
                </c:pt>
                <c:pt idx="234">
                  <c:v>630667.17649999983</c:v>
                </c:pt>
                <c:pt idx="235">
                  <c:v>630667.17649999983</c:v>
                </c:pt>
                <c:pt idx="236">
                  <c:v>630667.17649999983</c:v>
                </c:pt>
                <c:pt idx="237">
                  <c:v>630667.17649999983</c:v>
                </c:pt>
                <c:pt idx="238">
                  <c:v>630667.17649999983</c:v>
                </c:pt>
                <c:pt idx="239">
                  <c:v>630667.17649999983</c:v>
                </c:pt>
                <c:pt idx="240">
                  <c:v>630667.17649999983</c:v>
                </c:pt>
                <c:pt idx="241">
                  <c:v>630667.17649999983</c:v>
                </c:pt>
                <c:pt idx="242">
                  <c:v>630667.17649999983</c:v>
                </c:pt>
                <c:pt idx="243">
                  <c:v>630667.17649999983</c:v>
                </c:pt>
                <c:pt idx="244">
                  <c:v>630667.17649999983</c:v>
                </c:pt>
                <c:pt idx="245">
                  <c:v>630667.17649999983</c:v>
                </c:pt>
                <c:pt idx="246">
                  <c:v>630667.17649999983</c:v>
                </c:pt>
                <c:pt idx="247">
                  <c:v>630667.17649999983</c:v>
                </c:pt>
                <c:pt idx="248">
                  <c:v>630667.17649999983</c:v>
                </c:pt>
                <c:pt idx="249">
                  <c:v>630667.17649999983</c:v>
                </c:pt>
                <c:pt idx="250">
                  <c:v>630667.17649999983</c:v>
                </c:pt>
                <c:pt idx="251">
                  <c:v>630667.17649999983</c:v>
                </c:pt>
                <c:pt idx="252">
                  <c:v>630667.17649999983</c:v>
                </c:pt>
                <c:pt idx="253">
                  <c:v>630667.17649999983</c:v>
                </c:pt>
                <c:pt idx="254">
                  <c:v>630667.17649999983</c:v>
                </c:pt>
                <c:pt idx="255">
                  <c:v>630667.17649999983</c:v>
                </c:pt>
                <c:pt idx="256">
                  <c:v>630667.17649999983</c:v>
                </c:pt>
                <c:pt idx="257">
                  <c:v>630667.17649999983</c:v>
                </c:pt>
                <c:pt idx="258">
                  <c:v>630667.17649999983</c:v>
                </c:pt>
                <c:pt idx="259">
                  <c:v>630667.17649999983</c:v>
                </c:pt>
                <c:pt idx="260">
                  <c:v>630667.17649999983</c:v>
                </c:pt>
                <c:pt idx="261">
                  <c:v>630667.17649999983</c:v>
                </c:pt>
                <c:pt idx="262">
                  <c:v>630667.17649999983</c:v>
                </c:pt>
                <c:pt idx="263">
                  <c:v>630667.17649999983</c:v>
                </c:pt>
                <c:pt idx="264">
                  <c:v>630667.17649999983</c:v>
                </c:pt>
                <c:pt idx="265">
                  <c:v>630667.17649999983</c:v>
                </c:pt>
                <c:pt idx="266">
                  <c:v>630667.17649999983</c:v>
                </c:pt>
                <c:pt idx="267">
                  <c:v>630667.17649999983</c:v>
                </c:pt>
                <c:pt idx="268">
                  <c:v>630667.17649999983</c:v>
                </c:pt>
                <c:pt idx="269">
                  <c:v>630667.17649999983</c:v>
                </c:pt>
                <c:pt idx="270">
                  <c:v>630667.17649999983</c:v>
                </c:pt>
                <c:pt idx="271">
                  <c:v>630667.17649999983</c:v>
                </c:pt>
                <c:pt idx="272">
                  <c:v>630667.17649999983</c:v>
                </c:pt>
                <c:pt idx="273">
                  <c:v>630667.17649999983</c:v>
                </c:pt>
                <c:pt idx="274">
                  <c:v>630667.17649999983</c:v>
                </c:pt>
                <c:pt idx="275">
                  <c:v>630667.17649999983</c:v>
                </c:pt>
                <c:pt idx="276">
                  <c:v>630667.17649999983</c:v>
                </c:pt>
                <c:pt idx="277">
                  <c:v>630667.17649999983</c:v>
                </c:pt>
                <c:pt idx="278">
                  <c:v>630667.17649999983</c:v>
                </c:pt>
                <c:pt idx="279">
                  <c:v>630667.17649999983</c:v>
                </c:pt>
                <c:pt idx="280">
                  <c:v>630667.17649999983</c:v>
                </c:pt>
                <c:pt idx="281">
                  <c:v>630667.17649999983</c:v>
                </c:pt>
                <c:pt idx="282">
                  <c:v>630667.17649999983</c:v>
                </c:pt>
                <c:pt idx="283">
                  <c:v>630667.17649999983</c:v>
                </c:pt>
                <c:pt idx="284">
                  <c:v>630667.17649999983</c:v>
                </c:pt>
                <c:pt idx="285">
                  <c:v>630667.17649999983</c:v>
                </c:pt>
                <c:pt idx="286">
                  <c:v>630667.17649999983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Cashflow!$F$18:$KF$18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100416.31076230678</c:v>
                </c:pt>
                <c:pt idx="9">
                  <c:v>100416.31076230678</c:v>
                </c:pt>
                <c:pt idx="10">
                  <c:v>100416.31076230678</c:v>
                </c:pt>
                <c:pt idx="11">
                  <c:v>100416.31076230678</c:v>
                </c:pt>
                <c:pt idx="12">
                  <c:v>1757044.7995259766</c:v>
                </c:pt>
                <c:pt idx="13">
                  <c:v>1757044.7995259766</c:v>
                </c:pt>
                <c:pt idx="14">
                  <c:v>1757044.7995259766</c:v>
                </c:pt>
                <c:pt idx="15">
                  <c:v>1757044.7995259766</c:v>
                </c:pt>
                <c:pt idx="16">
                  <c:v>1757044.7995259766</c:v>
                </c:pt>
                <c:pt idx="17">
                  <c:v>1762216.8992913251</c:v>
                </c:pt>
                <c:pt idx="18">
                  <c:v>1762216.8992913251</c:v>
                </c:pt>
                <c:pt idx="19">
                  <c:v>1762216.8992913251</c:v>
                </c:pt>
                <c:pt idx="20">
                  <c:v>1762216.8992913251</c:v>
                </c:pt>
                <c:pt idx="21">
                  <c:v>2064651.6964640515</c:v>
                </c:pt>
                <c:pt idx="22">
                  <c:v>2064651.6964640515</c:v>
                </c:pt>
                <c:pt idx="23">
                  <c:v>2064651.6964640515</c:v>
                </c:pt>
                <c:pt idx="24">
                  <c:v>2064651.6964640515</c:v>
                </c:pt>
                <c:pt idx="25">
                  <c:v>2064651.6964640515</c:v>
                </c:pt>
                <c:pt idx="26">
                  <c:v>2064651.6964640515</c:v>
                </c:pt>
                <c:pt idx="27">
                  <c:v>2064651.6964640515</c:v>
                </c:pt>
                <c:pt idx="28">
                  <c:v>2064651.6964640515</c:v>
                </c:pt>
                <c:pt idx="29">
                  <c:v>2064651.6964640515</c:v>
                </c:pt>
                <c:pt idx="30">
                  <c:v>2064651.6964640515</c:v>
                </c:pt>
                <c:pt idx="31">
                  <c:v>2064651.6964640515</c:v>
                </c:pt>
                <c:pt idx="32">
                  <c:v>2064651.6964640515</c:v>
                </c:pt>
                <c:pt idx="33">
                  <c:v>2064651.6964640515</c:v>
                </c:pt>
                <c:pt idx="34">
                  <c:v>2064651.6964640515</c:v>
                </c:pt>
                <c:pt idx="35">
                  <c:v>2064651.6964640515</c:v>
                </c:pt>
                <c:pt idx="36">
                  <c:v>2064651.6964640515</c:v>
                </c:pt>
                <c:pt idx="37">
                  <c:v>2064651.6964640515</c:v>
                </c:pt>
                <c:pt idx="38">
                  <c:v>2064651.6964640515</c:v>
                </c:pt>
                <c:pt idx="39">
                  <c:v>2064651.6964640515</c:v>
                </c:pt>
                <c:pt idx="40">
                  <c:v>2064651.6964640515</c:v>
                </c:pt>
                <c:pt idx="41">
                  <c:v>2064651.6964640515</c:v>
                </c:pt>
                <c:pt idx="42">
                  <c:v>2064651.6964640515</c:v>
                </c:pt>
                <c:pt idx="43">
                  <c:v>2064651.6964640515</c:v>
                </c:pt>
                <c:pt idx="44">
                  <c:v>2064651.6964640515</c:v>
                </c:pt>
                <c:pt idx="45">
                  <c:v>2064651.6964640515</c:v>
                </c:pt>
                <c:pt idx="46">
                  <c:v>2064651.6964640515</c:v>
                </c:pt>
                <c:pt idx="47">
                  <c:v>2064651.6964640515</c:v>
                </c:pt>
                <c:pt idx="48">
                  <c:v>2064651.6964640515</c:v>
                </c:pt>
                <c:pt idx="49">
                  <c:v>2064651.6964640515</c:v>
                </c:pt>
                <c:pt idx="50">
                  <c:v>2064651.6964640515</c:v>
                </c:pt>
                <c:pt idx="51">
                  <c:v>2064651.6964640515</c:v>
                </c:pt>
                <c:pt idx="52">
                  <c:v>2064651.6964640515</c:v>
                </c:pt>
                <c:pt idx="53">
                  <c:v>2064651.6964640515</c:v>
                </c:pt>
                <c:pt idx="54">
                  <c:v>2064651.6964640515</c:v>
                </c:pt>
                <c:pt idx="55">
                  <c:v>2064651.6964640515</c:v>
                </c:pt>
                <c:pt idx="56">
                  <c:v>2064651.6964640515</c:v>
                </c:pt>
                <c:pt idx="57">
                  <c:v>2064651.6964640515</c:v>
                </c:pt>
                <c:pt idx="58">
                  <c:v>2064651.6964640515</c:v>
                </c:pt>
                <c:pt idx="59">
                  <c:v>2064651.6964640515</c:v>
                </c:pt>
                <c:pt idx="60">
                  <c:v>2064651.6964640515</c:v>
                </c:pt>
                <c:pt idx="61">
                  <c:v>2064651.6964640515</c:v>
                </c:pt>
                <c:pt idx="62">
                  <c:v>2064651.6964640515</c:v>
                </c:pt>
                <c:pt idx="63">
                  <c:v>2064651.6964640515</c:v>
                </c:pt>
                <c:pt idx="64">
                  <c:v>2064651.6964640515</c:v>
                </c:pt>
                <c:pt idx="65">
                  <c:v>2064651.6964640515</c:v>
                </c:pt>
                <c:pt idx="66">
                  <c:v>2064651.6964640515</c:v>
                </c:pt>
                <c:pt idx="67">
                  <c:v>2064651.6964640515</c:v>
                </c:pt>
                <c:pt idx="68">
                  <c:v>2064651.6964640515</c:v>
                </c:pt>
                <c:pt idx="69">
                  <c:v>2064651.6964640515</c:v>
                </c:pt>
                <c:pt idx="70">
                  <c:v>2064651.6964640515</c:v>
                </c:pt>
                <c:pt idx="71">
                  <c:v>2064651.6964640515</c:v>
                </c:pt>
                <c:pt idx="72">
                  <c:v>2064651.6964640515</c:v>
                </c:pt>
                <c:pt idx="73">
                  <c:v>2064651.6964640515</c:v>
                </c:pt>
                <c:pt idx="74">
                  <c:v>2064651.6964640515</c:v>
                </c:pt>
                <c:pt idx="75">
                  <c:v>2064651.6964640515</c:v>
                </c:pt>
                <c:pt idx="76">
                  <c:v>2064651.6964640515</c:v>
                </c:pt>
                <c:pt idx="77">
                  <c:v>2064651.6964640515</c:v>
                </c:pt>
                <c:pt idx="78">
                  <c:v>2064651.6964640515</c:v>
                </c:pt>
                <c:pt idx="79">
                  <c:v>2064651.6964640515</c:v>
                </c:pt>
                <c:pt idx="80">
                  <c:v>2064651.6964640515</c:v>
                </c:pt>
                <c:pt idx="81">
                  <c:v>2064651.6964640515</c:v>
                </c:pt>
                <c:pt idx="82">
                  <c:v>2064651.6964640515</c:v>
                </c:pt>
                <c:pt idx="83">
                  <c:v>2064651.6964640515</c:v>
                </c:pt>
                <c:pt idx="84">
                  <c:v>2064651.6964640515</c:v>
                </c:pt>
                <c:pt idx="85">
                  <c:v>2064651.6964640515</c:v>
                </c:pt>
                <c:pt idx="86">
                  <c:v>2064651.6964640515</c:v>
                </c:pt>
                <c:pt idx="87">
                  <c:v>2064651.6964640515</c:v>
                </c:pt>
                <c:pt idx="88">
                  <c:v>2064651.6964640515</c:v>
                </c:pt>
                <c:pt idx="89">
                  <c:v>2064651.6964640515</c:v>
                </c:pt>
                <c:pt idx="90">
                  <c:v>2064651.6964640515</c:v>
                </c:pt>
                <c:pt idx="91">
                  <c:v>2064651.6964640515</c:v>
                </c:pt>
                <c:pt idx="92">
                  <c:v>2064651.6964640515</c:v>
                </c:pt>
                <c:pt idx="93">
                  <c:v>2064651.6964640515</c:v>
                </c:pt>
                <c:pt idx="94">
                  <c:v>2064651.6964640515</c:v>
                </c:pt>
                <c:pt idx="95">
                  <c:v>2064651.6964640515</c:v>
                </c:pt>
                <c:pt idx="96">
                  <c:v>2064651.6964640515</c:v>
                </c:pt>
                <c:pt idx="97">
                  <c:v>2064651.6964640515</c:v>
                </c:pt>
                <c:pt idx="98">
                  <c:v>2064651.6964640515</c:v>
                </c:pt>
                <c:pt idx="99">
                  <c:v>2064651.6964640515</c:v>
                </c:pt>
                <c:pt idx="100">
                  <c:v>2064651.6964640515</c:v>
                </c:pt>
                <c:pt idx="101">
                  <c:v>2064651.6964640515</c:v>
                </c:pt>
                <c:pt idx="102">
                  <c:v>2064651.6964640515</c:v>
                </c:pt>
                <c:pt idx="103">
                  <c:v>2064651.6964640515</c:v>
                </c:pt>
                <c:pt idx="104">
                  <c:v>2064651.6964640515</c:v>
                </c:pt>
                <c:pt idx="105">
                  <c:v>2064651.6964640515</c:v>
                </c:pt>
                <c:pt idx="106">
                  <c:v>2064651.6964640515</c:v>
                </c:pt>
                <c:pt idx="107">
                  <c:v>2064651.6964640515</c:v>
                </c:pt>
                <c:pt idx="108">
                  <c:v>2064651.6964640515</c:v>
                </c:pt>
                <c:pt idx="109">
                  <c:v>2064651.6964640515</c:v>
                </c:pt>
                <c:pt idx="110">
                  <c:v>2064651.6964640515</c:v>
                </c:pt>
                <c:pt idx="111">
                  <c:v>2064651.6964640515</c:v>
                </c:pt>
                <c:pt idx="112">
                  <c:v>2064651.6964640515</c:v>
                </c:pt>
                <c:pt idx="113">
                  <c:v>2064651.6964640515</c:v>
                </c:pt>
                <c:pt idx="114">
                  <c:v>2064651.6964640515</c:v>
                </c:pt>
                <c:pt idx="115">
                  <c:v>2064651.6964640515</c:v>
                </c:pt>
                <c:pt idx="116">
                  <c:v>2064651.6964640515</c:v>
                </c:pt>
                <c:pt idx="117">
                  <c:v>2064651.6964640515</c:v>
                </c:pt>
                <c:pt idx="118">
                  <c:v>2064651.6964640515</c:v>
                </c:pt>
                <c:pt idx="119">
                  <c:v>2064651.6964640515</c:v>
                </c:pt>
                <c:pt idx="120">
                  <c:v>2064651.6964640515</c:v>
                </c:pt>
                <c:pt idx="121">
                  <c:v>2064651.6964640515</c:v>
                </c:pt>
                <c:pt idx="122">
                  <c:v>2064651.6964640515</c:v>
                </c:pt>
                <c:pt idx="123">
                  <c:v>2064651.6964640515</c:v>
                </c:pt>
                <c:pt idx="124">
                  <c:v>2064651.6964640515</c:v>
                </c:pt>
                <c:pt idx="125">
                  <c:v>2064651.6964640515</c:v>
                </c:pt>
                <c:pt idx="126">
                  <c:v>2064651.6964640515</c:v>
                </c:pt>
                <c:pt idx="127">
                  <c:v>2064651.6964640515</c:v>
                </c:pt>
                <c:pt idx="128">
                  <c:v>2064651.6964640515</c:v>
                </c:pt>
                <c:pt idx="129">
                  <c:v>2064651.6964640515</c:v>
                </c:pt>
                <c:pt idx="130">
                  <c:v>2064651.6964640515</c:v>
                </c:pt>
                <c:pt idx="131">
                  <c:v>2064651.6964640515</c:v>
                </c:pt>
                <c:pt idx="132">
                  <c:v>2064651.6964640515</c:v>
                </c:pt>
                <c:pt idx="133">
                  <c:v>2064651.6964640515</c:v>
                </c:pt>
                <c:pt idx="134">
                  <c:v>2064651.6964640515</c:v>
                </c:pt>
                <c:pt idx="135">
                  <c:v>2064651.6964640515</c:v>
                </c:pt>
                <c:pt idx="136">
                  <c:v>2064651.6964640515</c:v>
                </c:pt>
                <c:pt idx="137">
                  <c:v>2064651.6964640515</c:v>
                </c:pt>
                <c:pt idx="138">
                  <c:v>2064651.6964640515</c:v>
                </c:pt>
                <c:pt idx="139">
                  <c:v>2064651.6964640515</c:v>
                </c:pt>
                <c:pt idx="140">
                  <c:v>2064651.6964640515</c:v>
                </c:pt>
                <c:pt idx="141">
                  <c:v>2064651.6964640515</c:v>
                </c:pt>
                <c:pt idx="142">
                  <c:v>2064651.6964640515</c:v>
                </c:pt>
                <c:pt idx="143">
                  <c:v>2064651.6964640515</c:v>
                </c:pt>
                <c:pt idx="144">
                  <c:v>2064651.6964640515</c:v>
                </c:pt>
                <c:pt idx="145">
                  <c:v>2064651.6964640515</c:v>
                </c:pt>
                <c:pt idx="146">
                  <c:v>2064651.6964640515</c:v>
                </c:pt>
                <c:pt idx="147">
                  <c:v>2064651.6964640515</c:v>
                </c:pt>
                <c:pt idx="148">
                  <c:v>2064651.6964640515</c:v>
                </c:pt>
                <c:pt idx="149">
                  <c:v>2064651.6964640515</c:v>
                </c:pt>
                <c:pt idx="150">
                  <c:v>2064651.6964640515</c:v>
                </c:pt>
                <c:pt idx="151">
                  <c:v>2064651.6964640515</c:v>
                </c:pt>
                <c:pt idx="152">
                  <c:v>2064651.6964640515</c:v>
                </c:pt>
                <c:pt idx="153">
                  <c:v>2064651.6964640515</c:v>
                </c:pt>
                <c:pt idx="154">
                  <c:v>2064651.6964640515</c:v>
                </c:pt>
                <c:pt idx="155">
                  <c:v>2064651.6964640515</c:v>
                </c:pt>
                <c:pt idx="156">
                  <c:v>2064651.6964640515</c:v>
                </c:pt>
                <c:pt idx="157">
                  <c:v>2064651.6964640515</c:v>
                </c:pt>
                <c:pt idx="158">
                  <c:v>2064651.6964640515</c:v>
                </c:pt>
                <c:pt idx="159">
                  <c:v>2064651.6964640515</c:v>
                </c:pt>
                <c:pt idx="160">
                  <c:v>2064651.6964640515</c:v>
                </c:pt>
                <c:pt idx="161">
                  <c:v>2064651.6964640515</c:v>
                </c:pt>
                <c:pt idx="162">
                  <c:v>2064651.6964640515</c:v>
                </c:pt>
                <c:pt idx="163">
                  <c:v>2064651.6964640515</c:v>
                </c:pt>
                <c:pt idx="164">
                  <c:v>2064651.6964640515</c:v>
                </c:pt>
                <c:pt idx="165">
                  <c:v>2064651.6964640515</c:v>
                </c:pt>
                <c:pt idx="166">
                  <c:v>2064651.6964640515</c:v>
                </c:pt>
                <c:pt idx="167">
                  <c:v>2064651.6964640515</c:v>
                </c:pt>
                <c:pt idx="168">
                  <c:v>2064651.6964640515</c:v>
                </c:pt>
                <c:pt idx="169">
                  <c:v>2064651.6964640515</c:v>
                </c:pt>
                <c:pt idx="170">
                  <c:v>2064651.6964640515</c:v>
                </c:pt>
                <c:pt idx="171">
                  <c:v>2064651.6964640515</c:v>
                </c:pt>
                <c:pt idx="172">
                  <c:v>2064651.6964640515</c:v>
                </c:pt>
                <c:pt idx="173">
                  <c:v>2064651.6964640515</c:v>
                </c:pt>
                <c:pt idx="174">
                  <c:v>2064651.6964640515</c:v>
                </c:pt>
                <c:pt idx="175">
                  <c:v>2064651.6964640515</c:v>
                </c:pt>
                <c:pt idx="176">
                  <c:v>2064651.6964640515</c:v>
                </c:pt>
                <c:pt idx="177">
                  <c:v>2064651.6964640515</c:v>
                </c:pt>
                <c:pt idx="178">
                  <c:v>2064651.6964640515</c:v>
                </c:pt>
                <c:pt idx="179">
                  <c:v>2064651.6964640515</c:v>
                </c:pt>
                <c:pt idx="180">
                  <c:v>2064651.6964640515</c:v>
                </c:pt>
                <c:pt idx="181">
                  <c:v>2064651.6964640515</c:v>
                </c:pt>
                <c:pt idx="182">
                  <c:v>2064651.6964640515</c:v>
                </c:pt>
                <c:pt idx="183">
                  <c:v>2064651.6964640515</c:v>
                </c:pt>
                <c:pt idx="184">
                  <c:v>2064651.6964640515</c:v>
                </c:pt>
                <c:pt idx="185">
                  <c:v>2064651.6964640515</c:v>
                </c:pt>
                <c:pt idx="186">
                  <c:v>2064651.6964640515</c:v>
                </c:pt>
                <c:pt idx="187">
                  <c:v>2064651.6964640515</c:v>
                </c:pt>
                <c:pt idx="188">
                  <c:v>2064651.6964640515</c:v>
                </c:pt>
                <c:pt idx="189">
                  <c:v>2064651.6964640515</c:v>
                </c:pt>
                <c:pt idx="190">
                  <c:v>2064651.6964640515</c:v>
                </c:pt>
                <c:pt idx="191">
                  <c:v>2064651.6964640515</c:v>
                </c:pt>
                <c:pt idx="192">
                  <c:v>2064651.6964640515</c:v>
                </c:pt>
                <c:pt idx="193">
                  <c:v>2064651.6964640515</c:v>
                </c:pt>
                <c:pt idx="194">
                  <c:v>2064651.6964640515</c:v>
                </c:pt>
                <c:pt idx="195">
                  <c:v>2064651.6964640515</c:v>
                </c:pt>
                <c:pt idx="196">
                  <c:v>2064651.6964640515</c:v>
                </c:pt>
                <c:pt idx="197">
                  <c:v>2064651.6964640515</c:v>
                </c:pt>
                <c:pt idx="198">
                  <c:v>2064651.6964640515</c:v>
                </c:pt>
                <c:pt idx="199">
                  <c:v>2064651.6964640515</c:v>
                </c:pt>
                <c:pt idx="200">
                  <c:v>2064651.6964640515</c:v>
                </c:pt>
                <c:pt idx="201">
                  <c:v>2064651.6964640515</c:v>
                </c:pt>
                <c:pt idx="202">
                  <c:v>2064651.6964640515</c:v>
                </c:pt>
                <c:pt idx="203">
                  <c:v>2064651.6964640515</c:v>
                </c:pt>
                <c:pt idx="204">
                  <c:v>2064651.6964640515</c:v>
                </c:pt>
                <c:pt idx="205">
                  <c:v>2064651.6964640515</c:v>
                </c:pt>
                <c:pt idx="206">
                  <c:v>2064651.6964640515</c:v>
                </c:pt>
                <c:pt idx="207">
                  <c:v>2064651.6964640515</c:v>
                </c:pt>
                <c:pt idx="208">
                  <c:v>2064651.6964640515</c:v>
                </c:pt>
                <c:pt idx="209">
                  <c:v>2064651.6964640515</c:v>
                </c:pt>
                <c:pt idx="210">
                  <c:v>2064651.6964640515</c:v>
                </c:pt>
                <c:pt idx="211">
                  <c:v>2064651.6964640515</c:v>
                </c:pt>
                <c:pt idx="212">
                  <c:v>2064651.6964640515</c:v>
                </c:pt>
                <c:pt idx="213">
                  <c:v>2064651.6964640515</c:v>
                </c:pt>
                <c:pt idx="214">
                  <c:v>2064651.6964640515</c:v>
                </c:pt>
                <c:pt idx="215">
                  <c:v>2064651.6964640515</c:v>
                </c:pt>
                <c:pt idx="216">
                  <c:v>2064651.6964640515</c:v>
                </c:pt>
                <c:pt idx="217">
                  <c:v>2064651.6964640515</c:v>
                </c:pt>
                <c:pt idx="218">
                  <c:v>2064651.6964640515</c:v>
                </c:pt>
                <c:pt idx="219">
                  <c:v>2064651.6964640515</c:v>
                </c:pt>
                <c:pt idx="220">
                  <c:v>2064651.6964640515</c:v>
                </c:pt>
                <c:pt idx="221">
                  <c:v>2064651.6964640515</c:v>
                </c:pt>
                <c:pt idx="222">
                  <c:v>2064651.6964640515</c:v>
                </c:pt>
                <c:pt idx="223">
                  <c:v>2064651.6964640515</c:v>
                </c:pt>
                <c:pt idx="224">
                  <c:v>2064651.6964640515</c:v>
                </c:pt>
                <c:pt idx="225">
                  <c:v>2064651.6964640515</c:v>
                </c:pt>
                <c:pt idx="226">
                  <c:v>2064651.6964640515</c:v>
                </c:pt>
                <c:pt idx="227">
                  <c:v>2064651.6964640515</c:v>
                </c:pt>
                <c:pt idx="228">
                  <c:v>2064651.6964640515</c:v>
                </c:pt>
                <c:pt idx="229">
                  <c:v>2064651.6964640515</c:v>
                </c:pt>
                <c:pt idx="230">
                  <c:v>2064651.6964640515</c:v>
                </c:pt>
                <c:pt idx="231">
                  <c:v>2064651.6964640515</c:v>
                </c:pt>
                <c:pt idx="232">
                  <c:v>2064651.6964640515</c:v>
                </c:pt>
                <c:pt idx="233">
                  <c:v>2064651.6964640515</c:v>
                </c:pt>
                <c:pt idx="234">
                  <c:v>2064651.6964640515</c:v>
                </c:pt>
                <c:pt idx="235">
                  <c:v>2064651.6964640515</c:v>
                </c:pt>
                <c:pt idx="236">
                  <c:v>2064651.6964640515</c:v>
                </c:pt>
                <c:pt idx="237">
                  <c:v>2064651.6964640515</c:v>
                </c:pt>
                <c:pt idx="238">
                  <c:v>2064651.6964640515</c:v>
                </c:pt>
                <c:pt idx="239">
                  <c:v>2064651.6964640515</c:v>
                </c:pt>
                <c:pt idx="240">
                  <c:v>2064651.6964640515</c:v>
                </c:pt>
                <c:pt idx="241">
                  <c:v>2064651.6964640515</c:v>
                </c:pt>
                <c:pt idx="242">
                  <c:v>2064651.6964640515</c:v>
                </c:pt>
                <c:pt idx="243">
                  <c:v>2064651.6964640515</c:v>
                </c:pt>
                <c:pt idx="244">
                  <c:v>2064651.6964640515</c:v>
                </c:pt>
                <c:pt idx="245">
                  <c:v>2064651.6964640515</c:v>
                </c:pt>
                <c:pt idx="246">
                  <c:v>2064651.6964640515</c:v>
                </c:pt>
                <c:pt idx="247">
                  <c:v>2064651.6964640515</c:v>
                </c:pt>
                <c:pt idx="248">
                  <c:v>2064651.6964640515</c:v>
                </c:pt>
                <c:pt idx="249">
                  <c:v>2064651.6964640515</c:v>
                </c:pt>
                <c:pt idx="250">
                  <c:v>2064651.6964640515</c:v>
                </c:pt>
                <c:pt idx="251">
                  <c:v>2064651.6964640515</c:v>
                </c:pt>
                <c:pt idx="252">
                  <c:v>2064651.6964640515</c:v>
                </c:pt>
                <c:pt idx="253">
                  <c:v>2064651.6964640515</c:v>
                </c:pt>
                <c:pt idx="254">
                  <c:v>2064651.6964640515</c:v>
                </c:pt>
                <c:pt idx="255">
                  <c:v>2064651.6964640515</c:v>
                </c:pt>
                <c:pt idx="256">
                  <c:v>2064651.6964640515</c:v>
                </c:pt>
                <c:pt idx="257">
                  <c:v>2064651.6964640515</c:v>
                </c:pt>
                <c:pt idx="258">
                  <c:v>2064651.6964640515</c:v>
                </c:pt>
                <c:pt idx="259">
                  <c:v>2064651.6964640515</c:v>
                </c:pt>
                <c:pt idx="260">
                  <c:v>2064651.6964640515</c:v>
                </c:pt>
                <c:pt idx="261">
                  <c:v>2064651.6964640515</c:v>
                </c:pt>
                <c:pt idx="262">
                  <c:v>2064651.6964640515</c:v>
                </c:pt>
                <c:pt idx="263">
                  <c:v>2064651.6964640515</c:v>
                </c:pt>
                <c:pt idx="264">
                  <c:v>2064651.6964640515</c:v>
                </c:pt>
                <c:pt idx="265">
                  <c:v>2064651.6964640515</c:v>
                </c:pt>
                <c:pt idx="266">
                  <c:v>2064651.6964640515</c:v>
                </c:pt>
                <c:pt idx="267">
                  <c:v>2064651.6964640515</c:v>
                </c:pt>
                <c:pt idx="268">
                  <c:v>2064651.6964640515</c:v>
                </c:pt>
                <c:pt idx="269">
                  <c:v>2064651.6964640515</c:v>
                </c:pt>
                <c:pt idx="270">
                  <c:v>2064651.6964640515</c:v>
                </c:pt>
                <c:pt idx="271">
                  <c:v>2064651.6964640515</c:v>
                </c:pt>
                <c:pt idx="272">
                  <c:v>2064651.6964640515</c:v>
                </c:pt>
                <c:pt idx="273">
                  <c:v>2064651.6964640515</c:v>
                </c:pt>
                <c:pt idx="274">
                  <c:v>2064651.6964640515</c:v>
                </c:pt>
                <c:pt idx="275">
                  <c:v>2064651.6964640515</c:v>
                </c:pt>
                <c:pt idx="276">
                  <c:v>2064651.6964640515</c:v>
                </c:pt>
                <c:pt idx="277">
                  <c:v>2064651.6964640515</c:v>
                </c:pt>
                <c:pt idx="278">
                  <c:v>2064651.6964640515</c:v>
                </c:pt>
                <c:pt idx="279">
                  <c:v>2064651.6964640515</c:v>
                </c:pt>
                <c:pt idx="280">
                  <c:v>2064651.6964640515</c:v>
                </c:pt>
                <c:pt idx="281">
                  <c:v>2064651.6964640515</c:v>
                </c:pt>
                <c:pt idx="282">
                  <c:v>2064651.6964640515</c:v>
                </c:pt>
                <c:pt idx="283">
                  <c:v>2064651.6964640515</c:v>
                </c:pt>
                <c:pt idx="284">
                  <c:v>2064651.6964640515</c:v>
                </c:pt>
                <c:pt idx="285">
                  <c:v>2064651.6964640515</c:v>
                </c:pt>
                <c:pt idx="286">
                  <c:v>2064651.6964640515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81"/>
          <c:min val="45858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8F7347E1-6928-43B6-B57A-14D28E181FED}">
    <Anchor>
      <Comment id="{E79C25BD-1670-4F62-AC72-942BD614012C}"/>
    </Anchor>
    <History>
      <Event time="2025-08-11T09:06:35.45" id="{6913660B-7A64-4583-B6E0-6B130250AD65}">
        <Attribution userId="S::johannes@emergentenergy.co.za::ebfc203a-7452-4ef3-9e97-736da20b03b9" userName="Johannes Potgieter" userProvider="AD"/>
        <Anchor>
          <Comment id="{E79C25BD-1670-4F62-AC72-942BD614012C}"/>
        </Anchor>
        <Create/>
      </Event>
      <Event time="2025-08-11T09:06:35.45" id="{165CDF2D-A1B1-4361-91EC-1B7A2A12DCC2}">
        <Attribution userId="S::johannes@emergentenergy.co.za::ebfc203a-7452-4ef3-9e97-736da20b03b9" userName="Johannes Potgieter" userProvider="AD"/>
        <Anchor>
          <Comment id="{E79C25BD-1670-4F62-AC72-942BD614012C}"/>
        </Anchor>
        <Assign userId="S::thami@emergentenergy.co.za::dcae580f-55a1-44d7-89b7-bae90a9ddc2e" userName="Thami Cambalele" userProvider="AD"/>
      </Event>
      <Event time="2025-08-11T09:06:35.45" id="{6FD535E1-C113-4ADF-BAE9-0C2CA1DFD2E4}">
        <Attribution userId="S::johannes@emergentenergy.co.za::ebfc203a-7452-4ef3-9e97-736da20b03b9" userName="Johannes Potgieter" userProvider="AD"/>
        <Anchor>
          <Comment id="{E79C25BD-1670-4F62-AC72-942BD614012C}"/>
        </Anchor>
        <SetTitle title="@Thami Cambalele please invoice these for us"/>
      </Event>
      <Event time="2025-08-11T09:16:19.60" id="{C1BACABD-DDB8-4047-88E2-B341239EB7C6}">
        <Attribution userId="S::thami@emergentenergy.co.za::dcae580f-55a1-44d7-89b7-bae90a9ddc2e" userName="Thami Cambalele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27902</xdr:colOff>
      <xdr:row>20</xdr:row>
      <xdr:rowOff>153361</xdr:rowOff>
    </xdr:from>
    <xdr:to>
      <xdr:col>38</xdr:col>
      <xdr:colOff>288636</xdr:colOff>
      <xdr:row>49</xdr:row>
      <xdr:rowOff>57726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921848-5422-119B-E3EC-AB67F03C3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Thami Cambalele" id="{260DC5C1-2E41-4210-9DEE-091916507D18}" userId="thami@emergentenergy.co.za" providerId="PeoplePicker"/>
  <person displayName="Johannes Potgieter" id="{47529BB3-5F54-48F7-8AFB-9E260EF69DF8}" userId="S::johannes@emergentenergy.co.za::ebfc203a-7452-4ef3-9e97-736da20b03b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42.521030555552" createdVersion="8" refreshedVersion="8" minRefreshableVersion="3" recordCount="161" xr:uid="{D37A5069-1A2D-4864-A726-735BFBE61275}">
  <cacheSource type="worksheet">
    <worksheetSource ref="L4:X165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-1300" maxValue="311148.25"/>
    </cacheField>
    <cacheField name="Rate / Unit" numFmtId="0">
      <sharedItems containsString="0" containsBlank="1" containsNumber="1" minValue="0.05" maxValue="68870.350000000006"/>
    </cacheField>
    <cacheField name="Actual Total " numFmtId="0">
      <sharedItems containsString="0" containsBlank="1" containsNumber="1" minValue="-17745" maxValue="432000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4-08-31T00:00:00" maxDate="2026-04-01T00:00:00" count="17">
        <m/>
        <d v="2025-11-30T00:00:00"/>
        <s v=""/>
        <d v="2026-01-31T00:00:00"/>
        <d v="2025-12-31T00:00:00"/>
        <d v="2025-10-31T00:00:00"/>
        <d v="2025-12-30T00:00:00" u="1"/>
        <d v="2025-09-30T00:00:00" u="1"/>
        <d v="2026-02-28T00:00:00" u="1"/>
        <d v="2026-03-31T00:00:00" u="1"/>
        <d v="2025-08-31T00:00:00" u="1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0" maxValue="594339.80787426222"/>
    </cacheField>
    <cacheField name="CHECK" numFmtId="0">
      <sharedItems containsString="0" containsBlank="1" containsNumber="1" minValue="-3.8983035410637967E-3" maxValue="4.4388409005478024E-3"/>
    </cacheField>
    <cacheField name="FINANCE PAYMENT DATE" numFmtId="0">
      <sharedItems containsNonDate="0" containsDate="1" containsString="0" containsBlank="1" minDate="2025-10-09T00:00:00" maxDate="2026-03-28T00:00:00"/>
    </cacheField>
    <cacheField name="Total COS" numFmtId="0">
      <sharedItems containsString="0" containsBlank="1" containsNumber="1" minValue="0" maxValue="506043.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1">
  <r>
    <m/>
    <x v="0"/>
    <m/>
    <m/>
    <m/>
    <m/>
    <m/>
    <m/>
    <x v="0"/>
    <m/>
    <m/>
    <m/>
    <m/>
  </r>
  <r>
    <n v="1"/>
    <x v="1"/>
    <s v="JA Solar 600W (Menlo)"/>
    <n v="360"/>
    <n v="1200"/>
    <n v="432000"/>
    <m/>
    <s v="Menlo - INV0003417"/>
    <x v="1"/>
    <n v="594339.80787426222"/>
    <n v="0"/>
    <d v="2026-01-16T00:00:00"/>
    <n v="506043.6"/>
  </r>
  <r>
    <n v="1"/>
    <x v="1"/>
    <s v="JA Solar 600W (Menlo)"/>
    <n v="57"/>
    <n v="1200"/>
    <n v="68400"/>
    <m/>
    <s v="Menlo - INV0003407"/>
    <x v="1"/>
    <n v="94103.80291342485"/>
    <m/>
    <d v="2026-01-16T00:00:00"/>
    <m/>
  </r>
  <r>
    <n v="1"/>
    <x v="1"/>
    <s v="QC4 Connectors"/>
    <m/>
    <m/>
    <n v="3143.6"/>
    <m/>
    <s v="MSA Energy INV0003456"/>
    <x v="1"/>
    <n v="4324.9227315590988"/>
    <m/>
    <d v="2026-01-26T00:00:00"/>
    <m/>
  </r>
  <r>
    <n v="1"/>
    <x v="1"/>
    <m/>
    <m/>
    <m/>
    <m/>
    <m/>
    <m/>
    <x v="2"/>
    <n v="0"/>
    <m/>
    <m/>
    <m/>
  </r>
  <r>
    <n v="1"/>
    <x v="1"/>
    <s v="Module transport"/>
    <m/>
    <m/>
    <n v="2500"/>
    <m/>
    <s v="MSA Energy INV0003436"/>
    <x v="1"/>
    <n v="3439.4664807538325"/>
    <m/>
    <d v="2026-01-26T00:00:00"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s v="Huawei 100KTL Menlo"/>
    <n v="2"/>
    <n v="68870.350000000006"/>
    <n v="137740.70000000001"/>
    <m/>
    <s v="Menlo - INV0003407"/>
    <x v="1"/>
    <n v="175000"/>
    <n v="0"/>
    <d v="2026-01-11T00:00:00"/>
    <n v="137740.70000000001"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9696"/>
    <s v="PO4423-RRB-20251030 - RV Approved"/>
    <m/>
    <x v="3"/>
    <n v="12784.221849911748"/>
    <n v="1.2215823808219284E-3"/>
    <d v="2026-03-02T00:00:00"/>
    <n v="87815"/>
  </r>
  <r>
    <n v="3"/>
    <x v="3"/>
    <s v="Schletter Structure"/>
    <m/>
    <m/>
    <n v="76171"/>
    <m/>
    <s v="Schletter - INV2381"/>
    <x v="1"/>
    <n v="124985.3033761515"/>
    <m/>
    <d v="2025-12-30T00:00:00"/>
    <m/>
  </r>
  <r>
    <n v="3"/>
    <x v="3"/>
    <m/>
    <m/>
    <m/>
    <m/>
    <m/>
    <m/>
    <x v="2"/>
    <n v="0"/>
    <m/>
    <m/>
    <m/>
  </r>
  <r>
    <n v="3"/>
    <x v="3"/>
    <s v="Additional nuts and bolts"/>
    <m/>
    <m/>
    <n v="1948"/>
    <s v="PO4455-RRB-20251110 -  RV Approved"/>
    <s v="Schletter - INV2403"/>
    <x v="1"/>
    <n v="3125.4735523543814"/>
    <m/>
    <d v="2025-12-30T00:00:00"/>
    <m/>
  </r>
  <r>
    <n v="3"/>
    <x v="3"/>
    <m/>
    <m/>
    <m/>
    <m/>
    <m/>
    <m/>
    <x v="2"/>
    <n v="0"/>
    <m/>
    <m/>
    <m/>
  </r>
  <r>
    <n v="3"/>
    <x v="3"/>
    <m/>
    <m/>
    <m/>
    <m/>
    <m/>
    <m/>
    <x v="0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"/>
    <n v="6000"/>
    <n v="13.65"/>
    <n v="81900"/>
    <m/>
    <s v="Menlo - INV0003407"/>
    <x v="1"/>
    <n v="143405.58617645298"/>
    <n v="2.1438794792629778E-3"/>
    <d v="2026-01-15T00:00:00"/>
    <n v="93178.39999999998"/>
  </r>
  <r>
    <n v="4"/>
    <x v="4"/>
    <s v="DC Cable - Black"/>
    <n v="-1000"/>
    <n v="13.65"/>
    <n v="-13650"/>
    <m/>
    <s v="Alllocated to Cpt Storeroom"/>
    <x v="4"/>
    <n v="0"/>
    <m/>
    <d v="2025-12-31T00:00:00"/>
    <m/>
  </r>
  <r>
    <n v="4"/>
    <x v="4"/>
    <s v="DC Cable - Red"/>
    <n v="-1300"/>
    <n v="13.65"/>
    <n v="-17745"/>
    <m/>
    <s v="Alllocated to Cpt Storeroom"/>
    <x v="4"/>
    <n v="0"/>
    <m/>
    <d v="2025-12-31T00:00:00"/>
    <m/>
  </r>
  <r>
    <n v="4"/>
    <x v="4"/>
    <m/>
    <m/>
    <m/>
    <m/>
    <m/>
    <m/>
    <x v="2"/>
    <n v="0"/>
    <m/>
    <m/>
    <m/>
  </r>
  <r>
    <n v="4"/>
    <x v="4"/>
    <s v="Project Kick Off"/>
    <n v="42673.4"/>
    <n v="0.1"/>
    <n v="4267.34"/>
    <s v="PO4381-RRB-20251017 - RV Approved"/>
    <s v="JA Electrical: Inv 1110"/>
    <x v="5"/>
    <n v="8718.1164575988332"/>
    <m/>
    <d v="2025-11-06T00:00:00"/>
    <m/>
  </r>
  <r>
    <n v="4"/>
    <x v="4"/>
    <s v="Site Establishment"/>
    <m/>
    <n v="0.15"/>
    <n v="6401.01"/>
    <m/>
    <s v="JA Electrical: Inv 1120"/>
    <x v="1"/>
    <n v="17778.049203678111"/>
    <m/>
    <d v="2025-11-28T00:00:00"/>
    <m/>
  </r>
  <r>
    <n v="4"/>
    <x v="4"/>
    <s v="AC Installation Complete"/>
    <m/>
    <n v="0.2"/>
    <n v="8534.68"/>
    <m/>
    <s v="JA Electrical: Inv 1123"/>
    <x v="1"/>
    <n v="23704.065604904146"/>
    <m/>
    <d v="2025-11-28T00:00:00"/>
    <m/>
  </r>
  <r>
    <n v="4"/>
    <x v="4"/>
    <s v="DC Installation Complete - Partial"/>
    <m/>
    <n v="0.2"/>
    <n v="8534.68"/>
    <m/>
    <s v="JA Electrical: Inv 1123"/>
    <x v="1"/>
    <n v="23704.065604904146"/>
    <m/>
    <d v="2025-11-28T00:00:00"/>
    <m/>
  </r>
  <r>
    <n v="4"/>
    <x v="4"/>
    <s v="DC Installation Complete - Partial"/>
    <m/>
    <n v="0.05"/>
    <n v="2133.67"/>
    <m/>
    <m/>
    <x v="3"/>
    <n v="5926.0164012260366"/>
    <m/>
    <d v="2026-01-17T00:00:00"/>
    <m/>
  </r>
  <r>
    <n v="4"/>
    <x v="4"/>
    <s v="Commissioning Complete"/>
    <m/>
    <n v="0.1"/>
    <n v="4267.34"/>
    <m/>
    <m/>
    <x v="3"/>
    <n v="11852.032802452073"/>
    <m/>
    <d v="2026-01-24T00:00:00"/>
    <m/>
  </r>
  <r>
    <n v="4"/>
    <x v="4"/>
    <s v="Site De-establisment"/>
    <m/>
    <n v="0.1"/>
    <n v="4267.34"/>
    <m/>
    <m/>
    <x v="3"/>
    <n v="11852.032802452073"/>
    <m/>
    <d v="2026-01-31T00:00:00"/>
    <m/>
  </r>
  <r>
    <n v="4"/>
    <x v="4"/>
    <s v="Handover Document Complete"/>
    <m/>
    <n v="0.05"/>
    <n v="2133.67"/>
    <m/>
    <m/>
    <x v="3"/>
    <n v="5926.0164012260366"/>
    <m/>
    <d v="2026-01-31T00:00:00"/>
    <m/>
  </r>
  <r>
    <n v="4"/>
    <x v="4"/>
    <s v="End of Defects Period"/>
    <m/>
    <n v="0.05"/>
    <n v="2133.67"/>
    <m/>
    <m/>
    <x v="3"/>
    <n v="5926.0164012260366"/>
    <m/>
    <d v="2026-03-02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"/>
    <m/>
    <m/>
    <n v="8698.34"/>
    <m/>
    <s v="Menlo - INV0003384"/>
    <x v="1"/>
    <n v="9080.9279110069801"/>
    <n v="3.9453588105970994E-3"/>
    <d v="2026-01-09T00:00:00"/>
    <n v="59038.009999999995"/>
  </r>
  <r>
    <n v="5"/>
    <x v="5"/>
    <s v="CTs &amp; Meters"/>
    <m/>
    <m/>
    <n v="25321"/>
    <s v="PO4374-RRB-20251015 - RV Approved"/>
    <s v="Accuenergy Inv: ASAI-006653"/>
    <x v="5"/>
    <n v="26936.920577737092"/>
    <m/>
    <d v="2026-01-07T00:00:00"/>
    <m/>
  </r>
  <r>
    <n v="5"/>
    <x v="5"/>
    <s v="Techsitter"/>
    <n v="2"/>
    <n v="11169"/>
    <n v="22338"/>
    <m/>
    <s v="Matriarch - INV-5366"/>
    <x v="5"/>
    <n v="23763.553250878369"/>
    <m/>
    <d v="2025-11-28T00:00:00"/>
    <m/>
  </r>
  <r>
    <n v="5"/>
    <x v="5"/>
    <s v="Delivery of Techsitter"/>
    <m/>
    <m/>
    <n v="343.33"/>
    <m/>
    <s v="DSV Inv: 180153158"/>
    <x v="5"/>
    <n v="365.24043054991802"/>
    <m/>
    <d v="2025-11-28T00:00:00"/>
    <m/>
  </r>
  <r>
    <n v="5"/>
    <x v="5"/>
    <s v="Battery "/>
    <m/>
    <m/>
    <n v="975"/>
    <m/>
    <s v="Red Pole - SO-35912"/>
    <x v="5"/>
    <n v="1037.2219724060528"/>
    <m/>
    <d v="2025-10-09T00:00:00"/>
    <m/>
  </r>
  <r>
    <n v="5"/>
    <x v="5"/>
    <s v="Delivery of Comms Equip"/>
    <m/>
    <m/>
    <n v="21.34"/>
    <s v=" "/>
    <s v="Uber"/>
    <x v="1"/>
    <n v="22.63803342027202"/>
    <m/>
    <d v="2025-11-12T00:00:00"/>
    <m/>
  </r>
  <r>
    <n v="5"/>
    <x v="5"/>
    <s v="Delivery of Comms Equip"/>
    <m/>
    <m/>
    <n v="41"/>
    <m/>
    <s v="Uber"/>
    <x v="1"/>
    <n v="43.493878642509507"/>
    <m/>
    <d v="2025-11-29T00:00:00"/>
    <m/>
  </r>
  <r>
    <n v="5"/>
    <x v="5"/>
    <s v="Power Supply"/>
    <m/>
    <m/>
    <n v="1300"/>
    <m/>
    <s v="Allocated from cpt Storeroom"/>
    <x v="4"/>
    <m/>
    <m/>
    <d v="2025-12-31T00:00:00"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0"/>
    <m/>
    <n v="121280.62"/>
  </r>
  <r>
    <n v="6"/>
    <x v="6"/>
    <s v="PVDB"/>
    <m/>
    <m/>
    <n v="24740.639999999999"/>
    <s v="PO4348-RRB-20250930 - RV Approved"/>
    <s v="Switchboard - 2-SOI002612"/>
    <x v="1"/>
    <n v="68483.977217134932"/>
    <m/>
    <d v="2025-12-30T00:00:00"/>
    <m/>
  </r>
  <r>
    <n v="6"/>
    <x v="6"/>
    <m/>
    <m/>
    <m/>
    <n v="55375.08"/>
    <m/>
    <s v="Switchboard - 2-SOI002610"/>
    <x v="1"/>
    <n v="153282.44205150008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41164.9"/>
    <n v="0.1"/>
    <n v="4116.4900000000007"/>
    <s v="PO4381-RRB-20251017 - RV Approved"/>
    <s v="JA Electrical: Inv 1110"/>
    <x v="5"/>
    <n v="11394.758073136501"/>
    <m/>
    <d v="2025-11-06T00:00:00"/>
    <m/>
  </r>
  <r>
    <n v="6"/>
    <x v="6"/>
    <s v="Site Establishment"/>
    <m/>
    <n v="0.15"/>
    <n v="6174.7349999999997"/>
    <m/>
    <s v="JA Electrical: Inv 1120"/>
    <x v="1"/>
    <n v="17092.137109704749"/>
    <m/>
    <d v="2025-11-28T00:00:00"/>
    <m/>
  </r>
  <r>
    <n v="6"/>
    <x v="6"/>
    <s v="AC Installation Complete"/>
    <m/>
    <n v="0.2"/>
    <n v="8232.9800000000014"/>
    <m/>
    <s v="JA Electrical: Inv 1123"/>
    <x v="1"/>
    <n v="22789.516146273003"/>
    <m/>
    <d v="2025-11-28T00:00:00"/>
    <m/>
  </r>
  <r>
    <n v="6"/>
    <x v="6"/>
    <s v="DC Installation Complete - Partial"/>
    <m/>
    <n v="0.2"/>
    <n v="8232.9800000000014"/>
    <m/>
    <s v="JA Electrical: Inv 1123"/>
    <x v="1"/>
    <n v="22789.516146273003"/>
    <m/>
    <d v="2025-11-28T00:00:00"/>
    <m/>
  </r>
  <r>
    <n v="6"/>
    <x v="6"/>
    <s v="DC Installation Complete - Partial"/>
    <m/>
    <n v="0.05"/>
    <n v="2058.2450000000003"/>
    <m/>
    <m/>
    <x v="3"/>
    <n v="5697.3790365682507"/>
    <m/>
    <d v="2026-01-17T00:00:00"/>
    <m/>
  </r>
  <r>
    <n v="6"/>
    <x v="6"/>
    <s v="Commissioning Complete"/>
    <m/>
    <n v="0.1"/>
    <n v="4116.4900000000007"/>
    <m/>
    <m/>
    <x v="3"/>
    <n v="11394.758073136501"/>
    <m/>
    <d v="2026-01-24T00:00:00"/>
    <m/>
  </r>
  <r>
    <n v="6"/>
    <x v="6"/>
    <s v="Site De-establisment"/>
    <m/>
    <n v="0.1"/>
    <n v="4116.4900000000007"/>
    <m/>
    <m/>
    <x v="3"/>
    <n v="11394.758073136501"/>
    <m/>
    <d v="2026-01-31T00:00:00"/>
    <m/>
  </r>
  <r>
    <n v="6"/>
    <x v="6"/>
    <s v="Handover Document Complete"/>
    <m/>
    <n v="0.05"/>
    <n v="2058.2450000000003"/>
    <m/>
    <m/>
    <x v="3"/>
    <n v="5697.3790365682507"/>
    <m/>
    <d v="2026-01-31T00:00:00"/>
    <m/>
  </r>
  <r>
    <n v="6"/>
    <x v="6"/>
    <s v="End of Defects Period"/>
    <m/>
    <n v="0.05"/>
    <n v="2058.2450000000003"/>
    <m/>
    <m/>
    <x v="3"/>
    <n v="5697.3790365682507"/>
    <m/>
    <d v="2026-03-02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0"/>
    <m/>
    <n v="0"/>
    <m/>
    <n v="0"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m/>
    <x v="0"/>
    <m/>
    <m/>
    <m/>
    <m/>
    <m/>
    <m/>
    <x v="0"/>
    <m/>
    <m/>
    <m/>
    <m/>
  </r>
  <r>
    <n v="8"/>
    <x v="8"/>
    <m/>
    <m/>
    <m/>
    <m/>
    <m/>
    <m/>
    <x v="0"/>
    <m/>
    <n v="0"/>
    <m/>
    <n v="26057.31"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s v="Inverter Cage"/>
    <n v="0.7"/>
    <n v="18231.22"/>
    <n v="12761.853999999999"/>
    <s v="PO4476-RRB-20251118 -  RV Approved"/>
    <s v="Overstaalwerke - IN100634"/>
    <x v="1"/>
    <m/>
    <m/>
    <d v="2025-11-19T00:00:00"/>
    <m/>
  </r>
  <r>
    <n v="8"/>
    <x v="8"/>
    <m/>
    <n v="0.3"/>
    <m/>
    <n v="5469.366"/>
    <m/>
    <s v="Overstaalwerke - IN100634"/>
    <x v="1"/>
    <m/>
    <m/>
    <d v="2025-12-18T00:00:00"/>
    <m/>
  </r>
  <r>
    <n v="8"/>
    <x v="8"/>
    <s v="Extractor Fan"/>
    <m/>
    <m/>
    <n v="7826.09"/>
    <m/>
    <s v="DK Refrigeration - INV0003287"/>
    <x v="4"/>
    <m/>
    <m/>
    <d v="2025-12-19T00:00:00"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311148.24999999994"/>
  </r>
  <r>
    <n v="9"/>
    <x v="9"/>
    <s v="Project Kick Off"/>
    <n v="311148.25"/>
    <n v="0.1"/>
    <n v="31114.825000000001"/>
    <s v="PO4381-RRB-20251017 - RV Approved"/>
    <s v="JA Electrical: Inv 1110"/>
    <x v="5"/>
    <n v="21883.400000000005"/>
    <m/>
    <d v="2025-11-06T00:00:00"/>
    <m/>
  </r>
  <r>
    <n v="9"/>
    <x v="9"/>
    <s v="Site Establishment"/>
    <m/>
    <n v="0.15"/>
    <n v="46672.237499999996"/>
    <m/>
    <s v="JA Electrical: Inv 1120"/>
    <x v="1"/>
    <n v="32825.100000000006"/>
    <m/>
    <d v="2025-11-28T00:00:00"/>
    <m/>
  </r>
  <r>
    <n v="9"/>
    <x v="9"/>
    <s v="AC Installation Complete"/>
    <m/>
    <n v="0.2"/>
    <n v="62229.65"/>
    <m/>
    <s v="JA Electrical: Inv 1123"/>
    <x v="1"/>
    <n v="43766.80000000001"/>
    <m/>
    <d v="2025-11-28T00:00:00"/>
    <m/>
  </r>
  <r>
    <n v="9"/>
    <x v="9"/>
    <s v="DC Installation Complete - Partial"/>
    <m/>
    <n v="0.2"/>
    <n v="62229.65"/>
    <m/>
    <s v="JA Electrical: Inv 1123"/>
    <x v="1"/>
    <n v="43766.80000000001"/>
    <m/>
    <d v="2025-11-28T00:00:00"/>
    <m/>
  </r>
  <r>
    <n v="9"/>
    <x v="9"/>
    <s v="DC Installation Complete - Partial"/>
    <m/>
    <n v="0.05"/>
    <n v="15557.4125"/>
    <m/>
    <m/>
    <x v="3"/>
    <n v="10941.700000000003"/>
    <m/>
    <d v="2026-01-17T00:00:00"/>
    <m/>
  </r>
  <r>
    <n v="9"/>
    <x v="9"/>
    <s v="Commissioning Complete"/>
    <m/>
    <n v="0.1"/>
    <n v="31114.825000000001"/>
    <m/>
    <m/>
    <x v="3"/>
    <n v="21883.400000000005"/>
    <m/>
    <d v="2026-01-24T00:00:00"/>
    <m/>
  </r>
  <r>
    <n v="9"/>
    <x v="9"/>
    <s v="Site De-establisment"/>
    <m/>
    <n v="0.1"/>
    <n v="31114.825000000001"/>
    <m/>
    <m/>
    <x v="3"/>
    <n v="21883.400000000005"/>
    <m/>
    <d v="2026-01-31T00:00:00"/>
    <m/>
  </r>
  <r>
    <n v="9"/>
    <x v="9"/>
    <s v="Handover Document Complete"/>
    <m/>
    <n v="0.05"/>
    <n v="15557.4125"/>
    <m/>
    <m/>
    <x v="3"/>
    <n v="10941.700000000003"/>
    <m/>
    <d v="2026-01-31T00:00:00"/>
    <m/>
  </r>
  <r>
    <n v="9"/>
    <x v="9"/>
    <s v="End of Defects Period"/>
    <m/>
    <n v="0.05"/>
    <n v="15557.4125"/>
    <m/>
    <m/>
    <x v="3"/>
    <n v="10941.700000000003"/>
    <m/>
    <d v="2026-03-02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0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s v="Security"/>
    <m/>
    <m/>
    <n v="7150"/>
    <m/>
    <s v="Overberg Security : IN24945"/>
    <x v="4"/>
    <n v="3700.52"/>
    <n v="4.4388409005478024E-3"/>
    <d v="2025-12-04T00:00:00"/>
    <n v="109850.75000000001"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102700.75"/>
    <n v="0.1"/>
    <n v="10270.075000000001"/>
    <s v="PO4381-RRB-20251017 - RV Approved"/>
    <s v="JA Electrical: Inv 1110"/>
    <x v="5"/>
    <n v="6317.1"/>
    <m/>
    <d v="2025-11-06T00:00:00"/>
    <m/>
  </r>
  <r>
    <n v="10"/>
    <x v="10"/>
    <s v="Site Establishment"/>
    <m/>
    <n v="0.15"/>
    <n v="15405.112499999999"/>
    <m/>
    <s v="JA Electrical: Inv 1120"/>
    <x v="1"/>
    <n v="8858.8959268598519"/>
    <m/>
    <d v="2025-11-28T00:00:00"/>
    <m/>
  </r>
  <r>
    <n v="10"/>
    <x v="10"/>
    <s v="AC Installation Complete"/>
    <m/>
    <n v="0.2"/>
    <n v="20540.150000000001"/>
    <m/>
    <s v="JA Electrical: Inv 1123"/>
    <x v="1"/>
    <n v="11811.861235813136"/>
    <m/>
    <d v="2025-11-28T00:00:00"/>
    <m/>
  </r>
  <r>
    <n v="10"/>
    <x v="10"/>
    <s v="DC Installation Complete - Partial"/>
    <m/>
    <n v="0.2"/>
    <n v="20540.150000000001"/>
    <m/>
    <s v="JA Electrical: Inv 1123"/>
    <x v="1"/>
    <n v="11811.861235813136"/>
    <m/>
    <d v="2025-11-28T00:00:00"/>
    <m/>
  </r>
  <r>
    <n v="10"/>
    <x v="10"/>
    <s v="DC Installation Complete - Partial"/>
    <m/>
    <n v="0.05"/>
    <n v="5135.0375000000004"/>
    <m/>
    <m/>
    <x v="3"/>
    <n v="2952.965308953284"/>
    <m/>
    <d v="2026-01-17T00:00:00"/>
    <m/>
  </r>
  <r>
    <n v="10"/>
    <x v="10"/>
    <s v="Commissioning Complete"/>
    <m/>
    <n v="0.1"/>
    <n v="10270.075000000001"/>
    <m/>
    <m/>
    <x v="3"/>
    <n v="5905.9306179065679"/>
    <m/>
    <d v="2026-01-24T00:00:00"/>
    <m/>
  </r>
  <r>
    <n v="10"/>
    <x v="10"/>
    <s v="Site De-establisment"/>
    <m/>
    <n v="0.1"/>
    <n v="10270.075000000001"/>
    <m/>
    <m/>
    <x v="3"/>
    <n v="5905.9306179065679"/>
    <m/>
    <d v="2026-01-31T00:00:00"/>
    <m/>
  </r>
  <r>
    <n v="10"/>
    <x v="10"/>
    <s v="Handover Document Complete"/>
    <m/>
    <n v="0.05"/>
    <n v="5135.0375000000004"/>
    <m/>
    <m/>
    <x v="3"/>
    <n v="2952.965308953284"/>
    <m/>
    <d v="2026-01-31T00:00:00"/>
    <m/>
  </r>
  <r>
    <n v="10"/>
    <x v="10"/>
    <s v="End of Defects Period"/>
    <m/>
    <n v="0.05"/>
    <n v="5135.0375000000004"/>
    <m/>
    <m/>
    <x v="3"/>
    <n v="2952.965308953284"/>
    <m/>
    <d v="2026-03-02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m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15375"/>
    <m/>
    <s v="SunSpot - E037"/>
    <x v="3"/>
    <n v="71130.68421052632"/>
    <n v="0"/>
    <d v="2026-01-15T00:00:00"/>
    <n v="21375"/>
  </r>
  <r>
    <n v="11"/>
    <x v="11"/>
    <s v="Structural Sign Off"/>
    <m/>
    <m/>
    <n v="0"/>
    <m/>
    <m/>
    <x v="0"/>
    <n v="0"/>
    <m/>
    <m/>
    <m/>
  </r>
  <r>
    <n v="11"/>
    <x v="11"/>
    <s v="Scada for CoCT"/>
    <m/>
    <m/>
    <n v="0"/>
    <m/>
    <m/>
    <x v="0"/>
    <n v="0"/>
    <m/>
    <m/>
    <m/>
  </r>
  <r>
    <n v="11"/>
    <x v="11"/>
    <s v="Red Team Inspection"/>
    <m/>
    <m/>
    <n v="6000"/>
    <m/>
    <m/>
    <x v="3"/>
    <n v="27758.315789473683"/>
    <m/>
    <d v="2026-03-27T00:00:00"/>
    <m/>
  </r>
  <r>
    <n v="11"/>
    <x v="1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2"/>
    <x v="12"/>
    <s v="PD Fee"/>
    <m/>
    <m/>
    <n v="0"/>
    <m/>
    <m/>
    <x v="1"/>
    <m/>
    <m/>
    <d v="2025-11-30T00:00:00"/>
    <n v="0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25967.953500000003"/>
    <m/>
    <m/>
    <x v="3"/>
    <n v="23822"/>
    <n v="0"/>
    <d v="2026-02-27T00:00:00"/>
    <n v="25967.953500000003"/>
  </r>
  <r>
    <n v="13"/>
    <x v="13"/>
    <m/>
    <m/>
    <m/>
    <m/>
    <m/>
    <m/>
    <x v="0"/>
    <n v="0"/>
    <m/>
    <m/>
    <m/>
  </r>
  <r>
    <n v="13"/>
    <x v="13"/>
    <m/>
    <m/>
    <m/>
    <m/>
    <m/>
    <m/>
    <x v="0"/>
    <n v="0"/>
    <m/>
    <m/>
    <m/>
  </r>
  <r>
    <n v="13"/>
    <x v="13"/>
    <m/>
    <m/>
    <m/>
    <m/>
    <m/>
    <m/>
    <x v="0"/>
    <n v="0"/>
    <m/>
    <m/>
    <m/>
  </r>
  <r>
    <n v="13"/>
    <x v="13"/>
    <m/>
    <m/>
    <m/>
    <m/>
    <m/>
    <m/>
    <x v="0"/>
    <n v="0"/>
    <m/>
    <m/>
    <m/>
  </r>
  <r>
    <n v="13"/>
    <x v="13"/>
    <m/>
    <m/>
    <m/>
    <m/>
    <m/>
    <m/>
    <x v="0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0"/>
    <m/>
    <m/>
    <x v="5"/>
    <n v="0"/>
    <n v="-3.8983035410637967E-3"/>
    <d v="2025-10-31T00:00:00"/>
    <n v="4844.63"/>
  </r>
  <r>
    <n v="14"/>
    <x v="14"/>
    <s v="Travel"/>
    <m/>
    <m/>
    <n v="1951.6"/>
    <m/>
    <s v="Expense Claim"/>
    <x v="1"/>
    <n v="2291.9783527820055"/>
    <m/>
    <d v="2025-12-05T00:00:00"/>
    <m/>
  </r>
  <r>
    <n v="14"/>
    <x v="14"/>
    <s v="Travel"/>
    <m/>
    <m/>
    <n v="1799.28"/>
    <m/>
    <s v="Expense Claim"/>
    <x v="4"/>
    <n v="1471.5797653484374"/>
    <m/>
    <d v="2026-01-08T00:00:00"/>
    <m/>
  </r>
  <r>
    <n v="14"/>
    <x v="14"/>
    <s v="Travel"/>
    <m/>
    <m/>
    <n v="1093.75"/>
    <m/>
    <m/>
    <x v="3"/>
    <n v="1097.4457801730987"/>
    <m/>
    <d v="2026-01-31T00:00:00"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2"/>
    <m/>
    <n v="0"/>
    <m/>
    <n v="7500"/>
  </r>
  <r>
    <n v="15"/>
    <x v="15"/>
    <m/>
    <m/>
    <m/>
    <m/>
    <m/>
    <m/>
    <x v="0"/>
    <m/>
    <m/>
    <m/>
    <m/>
  </r>
  <r>
    <n v="15"/>
    <x v="15"/>
    <s v="Domestic transport "/>
    <m/>
    <m/>
    <n v="7500"/>
    <s v="PO4515-GEN-20251202-RV approved "/>
    <s v="ABL Transport Inv0231"/>
    <x v="4"/>
    <m/>
    <m/>
    <d v="2025-12-04T00:00:00"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H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8">
        <item x="0"/>
        <item m="1" x="15"/>
        <item m="1" x="14"/>
        <item m="1" x="12"/>
        <item m="1" x="11"/>
        <item m="1" x="10"/>
        <item m="1" x="7"/>
        <item x="5"/>
        <item x="1"/>
        <item x="4"/>
        <item x="2"/>
        <item m="1" x="16"/>
        <item m="1" x="13"/>
        <item x="3"/>
        <item m="1" x="8"/>
        <item m="1" x="9"/>
        <item m="1" x="6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7">
    <i>
      <x/>
    </i>
    <i>
      <x v="7"/>
    </i>
    <i>
      <x v="8"/>
    </i>
    <i>
      <x v="9"/>
    </i>
    <i>
      <x v="10"/>
    </i>
    <i>
      <x v="13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H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8">
        <item x="0"/>
        <item m="1" x="15"/>
        <item m="1" x="14"/>
        <item m="1" x="12"/>
        <item m="1" x="11"/>
        <item m="1" x="10"/>
        <item m="1" x="7"/>
        <item x="5"/>
        <item x="1"/>
        <item x="4"/>
        <item x="2"/>
        <item m="1" x="16"/>
        <item m="1" x="13"/>
        <item x="3"/>
        <item m="1" x="8"/>
        <item m="1" x="9"/>
        <item m="1" x="6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7">
    <i>
      <x/>
    </i>
    <i>
      <x v="7"/>
    </i>
    <i>
      <x v="8"/>
    </i>
    <i>
      <x v="9"/>
    </i>
    <i>
      <x v="10"/>
    </i>
    <i>
      <x v="13"/>
    </i>
    <i t="grand">
      <x/>
    </i>
  </colItems>
  <dataFields count="1">
    <dataField name="Sum of Actual Total " fld="5" baseField="0" baseItem="0" numFmtId="168"/>
  </dataFields>
  <formats count="1">
    <format dxfId="2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R14" dT="2025-08-11T09:06:35.45" personId="{47529BB3-5F54-48F7-8AFB-9E260EF69DF8}" id="{E79C25BD-1670-4F62-AC72-942BD614012C}" done="1">
    <text>@Thami Cambalele please invoice these for us</text>
    <mentions>
      <mention mentionpersonId="{260DC5C1-2E41-4210-9DEE-091916507D18}" mentionId="{E9C9D02C-2F01-4915-8CEE-5ABF1CE22141}" startIndex="0" length="16"/>
    </mentions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FDD45-C47A-4B13-B897-2B58778AEC00}">
  <sheetPr codeName="Sheet1">
    <pageSetUpPr fitToPage="1"/>
  </sheetPr>
  <dimension ref="B1:O26"/>
  <sheetViews>
    <sheetView view="pageBreakPreview" zoomScaleNormal="115" zoomScaleSheetLayoutView="100" workbookViewId="0">
      <selection activeCell="A9" sqref="A9"/>
    </sheetView>
  </sheetViews>
  <sheetFormatPr defaultRowHeight="14.4"/>
  <cols>
    <col min="1" max="1" width="6" customWidth="1"/>
    <col min="2" max="2" width="21.5546875" customWidth="1"/>
    <col min="3" max="3" width="28.5546875" customWidth="1"/>
    <col min="4" max="4" width="15.44140625" customWidth="1"/>
    <col min="5" max="5" width="16.5546875" customWidth="1"/>
    <col min="6" max="6" width="5.5546875" customWidth="1"/>
  </cols>
  <sheetData>
    <row r="1" spans="2:15" ht="15" thickBot="1"/>
    <row r="2" spans="2:15" ht="18">
      <c r="B2" s="663" t="s">
        <v>0</v>
      </c>
      <c r="C2" s="663"/>
      <c r="D2" s="663"/>
      <c r="E2" s="663"/>
      <c r="H2" s="664" t="s">
        <v>1</v>
      </c>
      <c r="I2" s="665"/>
      <c r="J2" s="665"/>
      <c r="K2" s="665"/>
      <c r="L2" s="665"/>
      <c r="M2" s="665"/>
      <c r="N2" s="665"/>
      <c r="O2" s="666"/>
    </row>
    <row r="3" spans="2:15">
      <c r="B3" s="615"/>
      <c r="H3" s="667"/>
      <c r="I3" s="668"/>
      <c r="J3" s="668"/>
      <c r="K3" s="668"/>
      <c r="L3" s="668"/>
      <c r="M3" s="668"/>
      <c r="N3" s="668"/>
      <c r="O3" s="669"/>
    </row>
    <row r="4" spans="2:15">
      <c r="B4" s="616" t="s">
        <v>2</v>
      </c>
      <c r="C4" s="617" t="str">
        <f>'Project Plan'!E2</f>
        <v>Shoprite Mini_Bredarsdorp</v>
      </c>
      <c r="H4" s="667"/>
      <c r="I4" s="668"/>
      <c r="J4" s="668"/>
      <c r="K4" s="668"/>
      <c r="L4" s="668"/>
      <c r="M4" s="668"/>
      <c r="N4" s="668"/>
      <c r="O4" s="669"/>
    </row>
    <row r="5" spans="2:15">
      <c r="B5" s="616" t="s">
        <v>3</v>
      </c>
      <c r="C5" s="617" t="s">
        <v>4</v>
      </c>
      <c r="H5" s="667"/>
      <c r="I5" s="668"/>
      <c r="J5" s="668"/>
      <c r="K5" s="668"/>
      <c r="L5" s="668"/>
      <c r="M5" s="668"/>
      <c r="N5" s="668"/>
      <c r="O5" s="669"/>
    </row>
    <row r="6" spans="2:15">
      <c r="B6" s="616" t="s">
        <v>5</v>
      </c>
      <c r="C6" s="617" t="s">
        <v>6</v>
      </c>
      <c r="H6" s="667"/>
      <c r="I6" s="668"/>
      <c r="J6" s="668"/>
      <c r="K6" s="668"/>
      <c r="L6" s="668"/>
      <c r="M6" s="668"/>
      <c r="N6" s="668"/>
      <c r="O6" s="669"/>
    </row>
    <row r="7" spans="2:15">
      <c r="B7" s="616" t="s">
        <v>7</v>
      </c>
      <c r="C7" s="617" t="s">
        <v>8</v>
      </c>
      <c r="H7" s="667"/>
      <c r="I7" s="668"/>
      <c r="J7" s="668"/>
      <c r="K7" s="668"/>
      <c r="L7" s="668"/>
      <c r="M7" s="668"/>
      <c r="N7" s="668"/>
      <c r="O7" s="669"/>
    </row>
    <row r="8" spans="2:15">
      <c r="B8" s="615"/>
      <c r="H8" s="667"/>
      <c r="I8" s="668"/>
      <c r="J8" s="668"/>
      <c r="K8" s="668"/>
      <c r="L8" s="668"/>
      <c r="M8" s="668"/>
      <c r="N8" s="668"/>
      <c r="O8" s="669"/>
    </row>
    <row r="9" spans="2:15">
      <c r="B9" s="673" t="s">
        <v>9</v>
      </c>
      <c r="C9" s="673"/>
      <c r="D9" s="673"/>
      <c r="E9" s="673"/>
      <c r="F9" t="str" cm="1">
        <f t="array" ref="F9">_xlfn.LET(_xlpm.w,$B$10:$B$54,_xlpm.r,$M$10:$M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G9" t="str" cm="1">
        <f t="array" ref="G9">_xlfn.LET(_xlpm.w,$B$10:$B$54,_xlpm.r,$N$10:$N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H9" s="667"/>
      <c r="I9" s="668"/>
      <c r="J9" s="668"/>
      <c r="K9" s="668"/>
      <c r="L9" s="668"/>
      <c r="M9" s="668"/>
      <c r="N9" s="668"/>
      <c r="O9" s="669"/>
    </row>
    <row r="10" spans="2:15" ht="15" thickBot="1">
      <c r="B10" s="673" t="s">
        <v>10</v>
      </c>
      <c r="C10" s="673"/>
      <c r="D10" s="673"/>
      <c r="E10" s="673"/>
      <c r="H10" s="670"/>
      <c r="I10" s="671"/>
      <c r="J10" s="671"/>
      <c r="K10" s="671"/>
      <c r="L10" s="671"/>
      <c r="M10" s="671"/>
      <c r="N10" s="671"/>
      <c r="O10" s="672"/>
    </row>
    <row r="11" spans="2:15">
      <c r="B11" s="618" t="s">
        <v>11</v>
      </c>
      <c r="C11" s="661"/>
      <c r="D11" s="661"/>
      <c r="E11" s="661"/>
    </row>
    <row r="12" spans="2:15">
      <c r="B12" s="618" t="s">
        <v>12</v>
      </c>
      <c r="C12" s="661"/>
      <c r="D12" s="661"/>
      <c r="E12" s="661"/>
    </row>
    <row r="13" spans="2:15">
      <c r="B13" s="618" t="s">
        <v>13</v>
      </c>
      <c r="C13" s="661"/>
      <c r="D13" s="661"/>
      <c r="E13" s="661"/>
    </row>
    <row r="14" spans="2:15">
      <c r="B14" s="618" t="s">
        <v>14</v>
      </c>
      <c r="C14" s="661"/>
      <c r="D14" s="661"/>
      <c r="E14" s="661"/>
    </row>
    <row r="15" spans="2:15">
      <c r="B15" s="618" t="s">
        <v>15</v>
      </c>
      <c r="C15" s="661"/>
      <c r="D15" s="661"/>
      <c r="E15" s="661"/>
    </row>
    <row r="16" spans="2:15" ht="15" customHeight="1">
      <c r="B16" s="618" t="s">
        <v>16</v>
      </c>
      <c r="C16" s="661"/>
      <c r="D16" s="661"/>
      <c r="E16" s="661"/>
    </row>
    <row r="17" spans="2:5">
      <c r="B17" s="615"/>
    </row>
    <row r="18" spans="2:5">
      <c r="B18" s="662" t="s">
        <v>17</v>
      </c>
      <c r="C18" s="662"/>
      <c r="D18" s="662"/>
      <c r="E18" s="662"/>
    </row>
    <row r="19" spans="2:5">
      <c r="B19" s="618" t="s">
        <v>18</v>
      </c>
      <c r="C19" s="618" t="s">
        <v>19</v>
      </c>
      <c r="D19" s="618" t="s">
        <v>20</v>
      </c>
      <c r="E19" s="618" t="s">
        <v>21</v>
      </c>
    </row>
    <row r="20" spans="2:5" ht="15" customHeight="1">
      <c r="B20" s="618"/>
      <c r="C20" s="618"/>
      <c r="D20" s="619"/>
      <c r="E20" s="618"/>
    </row>
    <row r="21" spans="2:5">
      <c r="B21" s="618"/>
      <c r="C21" s="618"/>
      <c r="D21" s="618"/>
      <c r="E21" s="618"/>
    </row>
    <row r="22" spans="2:5">
      <c r="B22" s="618"/>
      <c r="C22" s="618"/>
      <c r="D22" s="618"/>
      <c r="E22" s="618"/>
    </row>
    <row r="23" spans="2:5">
      <c r="B23" s="618"/>
      <c r="C23" s="618"/>
      <c r="D23" s="618"/>
      <c r="E23" s="618"/>
    </row>
    <row r="24" spans="2:5">
      <c r="B24" s="618"/>
      <c r="C24" s="618"/>
      <c r="D24" s="618"/>
      <c r="E24" s="618"/>
    </row>
    <row r="25" spans="2:5">
      <c r="B25" s="618"/>
      <c r="C25" s="618"/>
      <c r="D25" s="618"/>
      <c r="E25" s="618"/>
    </row>
    <row r="26" spans="2:5">
      <c r="B26" s="615"/>
    </row>
  </sheetData>
  <mergeCells count="11">
    <mergeCell ref="C12:E12"/>
    <mergeCell ref="B2:E2"/>
    <mergeCell ref="H2:O10"/>
    <mergeCell ref="B9:E9"/>
    <mergeCell ref="B10:E10"/>
    <mergeCell ref="C11:E11"/>
    <mergeCell ref="C16:E16"/>
    <mergeCell ref="B18:E18"/>
    <mergeCell ref="C13:E13"/>
    <mergeCell ref="C14:E14"/>
    <mergeCell ref="C15:E15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B9040-D04F-4C46-A440-28D62721F8B3}">
  <sheetPr codeName="Sheet8">
    <pageSetUpPr fitToPage="1"/>
  </sheetPr>
  <dimension ref="B1:O32"/>
  <sheetViews>
    <sheetView view="pageBreakPreview" zoomScaleNormal="115" zoomScaleSheetLayoutView="100" workbookViewId="0">
      <selection activeCell="C36" sqref="C36"/>
    </sheetView>
  </sheetViews>
  <sheetFormatPr defaultRowHeight="14.4"/>
  <cols>
    <col min="1" max="1" width="6" customWidth="1"/>
    <col min="2" max="2" width="21.5546875" customWidth="1"/>
    <col min="3" max="3" width="28.5546875" customWidth="1"/>
    <col min="4" max="4" width="15.44140625" customWidth="1"/>
    <col min="5" max="5" width="16.5546875" customWidth="1"/>
    <col min="6" max="6" width="5.5546875" customWidth="1"/>
  </cols>
  <sheetData>
    <row r="1" spans="2:15" ht="15" thickBot="1"/>
    <row r="2" spans="2:15" ht="18">
      <c r="B2" s="663" t="s">
        <v>22</v>
      </c>
      <c r="C2" s="663"/>
      <c r="D2" s="663"/>
      <c r="E2" s="663"/>
      <c r="H2" s="664" t="s">
        <v>23</v>
      </c>
      <c r="I2" s="665"/>
      <c r="J2" s="665"/>
      <c r="K2" s="665"/>
      <c r="L2" s="665"/>
      <c r="M2" s="665"/>
      <c r="N2" s="665"/>
      <c r="O2" s="666"/>
    </row>
    <row r="3" spans="2:15">
      <c r="B3" s="615"/>
      <c r="H3" s="667"/>
      <c r="I3" s="668"/>
      <c r="J3" s="668"/>
      <c r="K3" s="668"/>
      <c r="L3" s="668"/>
      <c r="M3" s="668"/>
      <c r="N3" s="668"/>
      <c r="O3" s="669"/>
    </row>
    <row r="4" spans="2:15">
      <c r="B4" s="616" t="s">
        <v>2</v>
      </c>
      <c r="C4" s="617" t="str">
        <f>'Project Plan'!E2</f>
        <v>Shoprite Mini_Bredarsdorp</v>
      </c>
      <c r="H4" s="667"/>
      <c r="I4" s="668"/>
      <c r="J4" s="668"/>
      <c r="K4" s="668"/>
      <c r="L4" s="668"/>
      <c r="M4" s="668"/>
      <c r="N4" s="668"/>
      <c r="O4" s="669"/>
    </row>
    <row r="5" spans="2:15">
      <c r="B5" s="616" t="s">
        <v>24</v>
      </c>
      <c r="C5" s="617"/>
      <c r="H5" s="667"/>
      <c r="I5" s="668"/>
      <c r="J5" s="668"/>
      <c r="K5" s="668"/>
      <c r="L5" s="668"/>
      <c r="M5" s="668"/>
      <c r="N5" s="668"/>
      <c r="O5" s="669"/>
    </row>
    <row r="6" spans="2:15">
      <c r="B6" s="616" t="s">
        <v>5</v>
      </c>
      <c r="C6" s="617" t="s">
        <v>6</v>
      </c>
      <c r="H6" s="667"/>
      <c r="I6" s="668"/>
      <c r="J6" s="668"/>
      <c r="K6" s="668"/>
      <c r="L6" s="668"/>
      <c r="M6" s="668"/>
      <c r="N6" s="668"/>
      <c r="O6" s="669"/>
    </row>
    <row r="7" spans="2:15">
      <c r="B7" s="616" t="s">
        <v>25</v>
      </c>
      <c r="C7" s="617" t="str">
        <f>'Project Plan'!E5</f>
        <v>Peet Verreynne</v>
      </c>
      <c r="H7" s="667"/>
      <c r="I7" s="668"/>
      <c r="J7" s="668"/>
      <c r="K7" s="668"/>
      <c r="L7" s="668"/>
      <c r="M7" s="668"/>
      <c r="N7" s="668"/>
      <c r="O7" s="669"/>
    </row>
    <row r="8" spans="2:15">
      <c r="B8" s="616" t="s">
        <v>26</v>
      </c>
      <c r="C8" s="617"/>
      <c r="H8" s="667"/>
      <c r="I8" s="668"/>
      <c r="J8" s="668"/>
      <c r="K8" s="668"/>
      <c r="L8" s="668"/>
      <c r="M8" s="668"/>
      <c r="N8" s="668"/>
      <c r="O8" s="669"/>
    </row>
    <row r="9" spans="2:15">
      <c r="B9" s="615"/>
      <c r="H9" s="667"/>
      <c r="I9" s="668"/>
      <c r="J9" s="668"/>
      <c r="K9" s="668"/>
      <c r="L9" s="668"/>
      <c r="M9" s="668"/>
      <c r="N9" s="668"/>
      <c r="O9" s="669"/>
    </row>
    <row r="10" spans="2:15">
      <c r="B10" s="673" t="s">
        <v>9</v>
      </c>
      <c r="C10" s="673"/>
      <c r="D10" s="673"/>
      <c r="E10" s="673"/>
      <c r="H10" s="667"/>
      <c r="I10" s="668"/>
      <c r="J10" s="668"/>
      <c r="K10" s="668"/>
      <c r="L10" s="668"/>
      <c r="M10" s="668"/>
      <c r="N10" s="668"/>
      <c r="O10" s="669"/>
    </row>
    <row r="11" spans="2:15" ht="15" thickBot="1">
      <c r="B11" s="673" t="s">
        <v>10</v>
      </c>
      <c r="C11" s="673"/>
      <c r="D11" s="673"/>
      <c r="E11" s="673"/>
      <c r="H11" s="670"/>
      <c r="I11" s="671"/>
      <c r="J11" s="671"/>
      <c r="K11" s="671"/>
      <c r="L11" s="671"/>
      <c r="M11" s="671"/>
      <c r="N11" s="671"/>
      <c r="O11" s="672"/>
    </row>
    <row r="12" spans="2:15" ht="26.4">
      <c r="B12" s="618" t="s">
        <v>27</v>
      </c>
      <c r="C12" s="661"/>
      <c r="D12" s="661"/>
      <c r="E12" s="661"/>
    </row>
    <row r="13" spans="2:15">
      <c r="B13" s="618" t="s">
        <v>28</v>
      </c>
      <c r="C13" s="661"/>
      <c r="D13" s="661"/>
      <c r="E13" s="661"/>
    </row>
    <row r="14" spans="2:15">
      <c r="B14" s="618" t="s">
        <v>29</v>
      </c>
      <c r="C14" s="661"/>
      <c r="D14" s="661"/>
      <c r="E14" s="661"/>
    </row>
    <row r="15" spans="2:15">
      <c r="B15" s="618" t="s">
        <v>30</v>
      </c>
      <c r="C15" s="661"/>
      <c r="D15" s="661"/>
      <c r="E15" s="661"/>
    </row>
    <row r="16" spans="2:15" ht="26.4">
      <c r="B16" s="618" t="s">
        <v>31</v>
      </c>
      <c r="C16" s="661"/>
      <c r="D16" s="661"/>
      <c r="E16" s="661"/>
    </row>
    <row r="17" spans="2:5">
      <c r="B17" s="618" t="s">
        <v>32</v>
      </c>
      <c r="C17" s="661"/>
      <c r="D17" s="661"/>
      <c r="E17" s="661"/>
    </row>
    <row r="18" spans="2:5">
      <c r="B18" s="618" t="s">
        <v>33</v>
      </c>
      <c r="C18" s="661"/>
      <c r="D18" s="661"/>
      <c r="E18" s="661"/>
    </row>
    <row r="19" spans="2:5">
      <c r="B19" s="618" t="s">
        <v>34</v>
      </c>
      <c r="C19" s="661"/>
      <c r="D19" s="661"/>
      <c r="E19" s="661"/>
    </row>
    <row r="20" spans="2:5">
      <c r="B20" s="618" t="s">
        <v>35</v>
      </c>
      <c r="C20" s="661"/>
      <c r="D20" s="661"/>
      <c r="E20" s="661"/>
    </row>
    <row r="21" spans="2:5">
      <c r="B21" s="618" t="s">
        <v>36</v>
      </c>
      <c r="C21" s="661"/>
      <c r="D21" s="661"/>
      <c r="E21" s="661"/>
    </row>
    <row r="22" spans="2:5" ht="15" customHeight="1">
      <c r="B22" s="618" t="s">
        <v>16</v>
      </c>
      <c r="C22" s="661"/>
      <c r="D22" s="661"/>
      <c r="E22" s="661"/>
    </row>
    <row r="23" spans="2:5">
      <c r="B23" s="615"/>
    </row>
    <row r="24" spans="2:5">
      <c r="B24" s="662" t="s">
        <v>17</v>
      </c>
      <c r="C24" s="662"/>
      <c r="D24" s="662"/>
      <c r="E24" s="662"/>
    </row>
    <row r="25" spans="2:5">
      <c r="B25" s="618" t="s">
        <v>18</v>
      </c>
      <c r="C25" s="618" t="s">
        <v>19</v>
      </c>
      <c r="D25" s="618" t="s">
        <v>20</v>
      </c>
      <c r="E25" s="618" t="s">
        <v>21</v>
      </c>
    </row>
    <row r="26" spans="2:5" ht="15" customHeight="1">
      <c r="B26" s="618"/>
      <c r="C26" s="618"/>
      <c r="D26" s="619"/>
      <c r="E26" s="618"/>
    </row>
    <row r="27" spans="2:5">
      <c r="B27" s="618"/>
      <c r="C27" s="618"/>
      <c r="D27" s="618"/>
      <c r="E27" s="618"/>
    </row>
    <row r="28" spans="2:5">
      <c r="B28" s="618"/>
      <c r="C28" s="618"/>
      <c r="D28" s="618"/>
      <c r="E28" s="618"/>
    </row>
    <row r="29" spans="2:5">
      <c r="B29" s="618"/>
      <c r="C29" s="618"/>
      <c r="D29" s="618"/>
      <c r="E29" s="618"/>
    </row>
    <row r="30" spans="2:5">
      <c r="B30" s="618"/>
      <c r="C30" s="618"/>
      <c r="D30" s="618"/>
      <c r="E30" s="618"/>
    </row>
    <row r="31" spans="2:5">
      <c r="B31" s="618"/>
      <c r="C31" s="618"/>
      <c r="D31" s="618"/>
      <c r="E31" s="618"/>
    </row>
    <row r="32" spans="2:5">
      <c r="B32" s="615"/>
    </row>
  </sheetData>
  <mergeCells count="16">
    <mergeCell ref="C21:E21"/>
    <mergeCell ref="C22:E22"/>
    <mergeCell ref="B24:E24"/>
    <mergeCell ref="H2:O11"/>
    <mergeCell ref="C15:E15"/>
    <mergeCell ref="C16:E16"/>
    <mergeCell ref="C17:E17"/>
    <mergeCell ref="C18:E18"/>
    <mergeCell ref="C19:E19"/>
    <mergeCell ref="C20:E20"/>
    <mergeCell ref="B2:E2"/>
    <mergeCell ref="B10:E10"/>
    <mergeCell ref="B11:E11"/>
    <mergeCell ref="C12:E12"/>
    <mergeCell ref="C13:E13"/>
    <mergeCell ref="C14:E14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O33"/>
  <sheetViews>
    <sheetView showGridLines="0" zoomScaleNormal="100" workbookViewId="0">
      <selection activeCell="C3" sqref="C3"/>
    </sheetView>
  </sheetViews>
  <sheetFormatPr defaultColWidth="9.44140625" defaultRowHeight="14.4"/>
  <cols>
    <col min="1" max="1" width="0.5546875" customWidth="1"/>
    <col min="2" max="2" width="8.44140625" bestFit="1" customWidth="1"/>
    <col min="3" max="3" width="45.44140625" customWidth="1"/>
    <col min="4" max="4" width="17.44140625" customWidth="1"/>
    <col min="5" max="5" width="34.44140625" customWidth="1"/>
    <col min="6" max="6" width="15.44140625" customWidth="1"/>
    <col min="7" max="7" width="12" bestFit="1" customWidth="1"/>
    <col min="8" max="8" width="9.44140625" bestFit="1" customWidth="1"/>
    <col min="9" max="9" width="12.5546875" bestFit="1" customWidth="1"/>
    <col min="10" max="10" width="14.5546875" customWidth="1"/>
    <col min="11" max="11" width="77.44140625" customWidth="1"/>
  </cols>
  <sheetData>
    <row r="1" spans="2:15">
      <c r="B1" s="676"/>
      <c r="C1" s="677"/>
      <c r="D1" s="677"/>
      <c r="E1" s="677"/>
      <c r="F1" s="674" t="s">
        <v>37</v>
      </c>
      <c r="G1" s="674"/>
      <c r="H1" s="674"/>
      <c r="I1" s="674"/>
      <c r="J1" s="674"/>
      <c r="K1" s="675"/>
      <c r="L1" s="13"/>
      <c r="M1" s="13"/>
      <c r="N1" s="13"/>
      <c r="O1" s="13"/>
    </row>
    <row r="2" spans="2:15" ht="6.75" customHeight="1"/>
    <row r="3" spans="2:15" s="622" customFormat="1" ht="28.8">
      <c r="B3" s="14" t="s">
        <v>38</v>
      </c>
      <c r="C3" s="14" t="s">
        <v>39</v>
      </c>
      <c r="D3" s="14" t="s">
        <v>40</v>
      </c>
      <c r="E3" s="14" t="s">
        <v>41</v>
      </c>
      <c r="F3" s="14" t="s">
        <v>42</v>
      </c>
      <c r="G3" s="14" t="s">
        <v>43</v>
      </c>
      <c r="H3" s="14" t="s">
        <v>44</v>
      </c>
      <c r="I3" s="14" t="s">
        <v>45</v>
      </c>
      <c r="J3" s="14" t="s">
        <v>46</v>
      </c>
      <c r="K3" s="14" t="s">
        <v>47</v>
      </c>
    </row>
    <row r="4" spans="2:15">
      <c r="B4" s="12" t="s">
        <v>48</v>
      </c>
      <c r="C4" s="10"/>
      <c r="D4" s="10"/>
      <c r="E4" s="10"/>
      <c r="F4" s="620"/>
      <c r="G4" s="10"/>
      <c r="H4" s="12"/>
      <c r="I4" s="12"/>
      <c r="J4" s="621"/>
      <c r="K4" s="7"/>
    </row>
    <row r="5" spans="2:15">
      <c r="B5" s="12" t="s">
        <v>49</v>
      </c>
      <c r="C5" s="10"/>
      <c r="D5" s="10"/>
      <c r="E5" s="10"/>
      <c r="F5" s="10"/>
      <c r="G5" s="10"/>
      <c r="H5" s="12"/>
      <c r="I5" s="12"/>
      <c r="J5" s="12"/>
      <c r="K5" s="7"/>
    </row>
    <row r="6" spans="2:15">
      <c r="B6" s="12" t="s">
        <v>50</v>
      </c>
      <c r="C6" s="10"/>
      <c r="D6" s="10"/>
      <c r="E6" s="10"/>
      <c r="F6" s="10"/>
      <c r="G6" s="10"/>
      <c r="H6" s="12"/>
      <c r="I6" s="12"/>
      <c r="J6" s="12"/>
      <c r="K6" s="7"/>
    </row>
    <row r="7" spans="2:15">
      <c r="B7" s="12" t="s">
        <v>51</v>
      </c>
      <c r="C7" s="10"/>
      <c r="D7" s="10"/>
      <c r="E7" s="10"/>
      <c r="F7" s="10"/>
      <c r="G7" s="10"/>
      <c r="H7" s="12"/>
      <c r="I7" s="12"/>
      <c r="J7" s="12"/>
      <c r="K7" s="7"/>
    </row>
    <row r="8" spans="2:15">
      <c r="B8" s="12" t="s">
        <v>52</v>
      </c>
      <c r="C8" s="11"/>
      <c r="D8" s="11"/>
      <c r="E8" s="11"/>
      <c r="F8" s="11"/>
      <c r="G8" s="11"/>
      <c r="H8" s="11"/>
      <c r="I8" s="11"/>
      <c r="J8" s="11"/>
      <c r="K8" s="7"/>
    </row>
    <row r="9" spans="2:15">
      <c r="B9" s="12" t="s">
        <v>53</v>
      </c>
      <c r="C9" s="11"/>
      <c r="D9" s="11"/>
      <c r="E9" s="11"/>
      <c r="F9" s="11"/>
      <c r="G9" s="11"/>
      <c r="H9" s="11"/>
      <c r="I9" s="11"/>
      <c r="J9" s="11"/>
      <c r="K9" s="7"/>
    </row>
    <row r="10" spans="2:15">
      <c r="B10" s="12" t="s">
        <v>54</v>
      </c>
      <c r="C10" s="11"/>
      <c r="D10" s="11"/>
      <c r="E10" s="11"/>
      <c r="F10" s="11"/>
      <c r="G10" s="11"/>
      <c r="H10" s="11"/>
      <c r="I10" s="11"/>
      <c r="J10" s="11"/>
      <c r="K10" s="7"/>
    </row>
    <row r="11" spans="2:15">
      <c r="B11" s="12" t="s">
        <v>55</v>
      </c>
      <c r="C11" s="11"/>
      <c r="D11" s="11"/>
      <c r="E11" s="11"/>
      <c r="F11" s="11"/>
      <c r="G11" s="11"/>
      <c r="H11" s="11"/>
      <c r="I11" s="11"/>
      <c r="J11" s="11"/>
      <c r="K11" s="7"/>
    </row>
    <row r="12" spans="2:15">
      <c r="B12" s="12" t="s">
        <v>56</v>
      </c>
      <c r="C12" s="11"/>
      <c r="D12" s="11"/>
      <c r="E12" s="11"/>
      <c r="F12" s="11"/>
      <c r="G12" s="11"/>
      <c r="H12" s="11"/>
      <c r="I12" s="11"/>
      <c r="J12" s="11"/>
      <c r="K12" s="7"/>
    </row>
    <row r="13" spans="2:15">
      <c r="B13" s="12" t="s">
        <v>57</v>
      </c>
      <c r="C13" s="11"/>
      <c r="D13" s="11"/>
      <c r="E13" s="11"/>
      <c r="F13" s="11"/>
      <c r="G13" s="11"/>
      <c r="H13" s="11"/>
      <c r="I13" s="11"/>
      <c r="J13" s="11"/>
      <c r="K13" s="7"/>
    </row>
    <row r="14" spans="2:15">
      <c r="B14" s="12" t="s">
        <v>58</v>
      </c>
      <c r="C14" s="11"/>
      <c r="D14" s="11"/>
      <c r="E14" s="11"/>
      <c r="F14" s="11"/>
      <c r="G14" s="11"/>
      <c r="H14" s="11"/>
      <c r="I14" s="11"/>
      <c r="J14" s="11"/>
      <c r="K14" s="7"/>
    </row>
    <row r="15" spans="2:15">
      <c r="B15" s="12" t="s">
        <v>59</v>
      </c>
      <c r="C15" s="11"/>
      <c r="D15" s="11"/>
      <c r="E15" s="11"/>
      <c r="F15" s="11"/>
      <c r="G15" s="11"/>
      <c r="H15" s="11"/>
      <c r="I15" s="11"/>
      <c r="J15" s="11"/>
      <c r="K15" s="7"/>
    </row>
    <row r="16" spans="2:15">
      <c r="B16" s="12" t="s">
        <v>60</v>
      </c>
      <c r="C16" s="11"/>
      <c r="D16" s="11"/>
      <c r="E16" s="11"/>
      <c r="F16" s="11"/>
      <c r="G16" s="11"/>
      <c r="H16" s="11"/>
      <c r="I16" s="11"/>
      <c r="J16" s="11"/>
      <c r="K16" s="7"/>
    </row>
    <row r="17" spans="2:11">
      <c r="B17" s="12" t="s">
        <v>61</v>
      </c>
      <c r="C17" s="11"/>
      <c r="D17" s="11"/>
      <c r="E17" s="11"/>
      <c r="F17" s="11"/>
      <c r="G17" s="11"/>
      <c r="H17" s="11"/>
      <c r="I17" s="11"/>
      <c r="J17" s="11"/>
      <c r="K17" s="7"/>
    </row>
    <row r="18" spans="2:11">
      <c r="B18" s="12" t="s">
        <v>62</v>
      </c>
      <c r="C18" s="11"/>
      <c r="D18" s="11"/>
      <c r="E18" s="11"/>
      <c r="F18" s="11"/>
      <c r="G18" s="11"/>
      <c r="H18" s="11"/>
      <c r="I18" s="11"/>
      <c r="J18" s="11"/>
      <c r="K18" s="7"/>
    </row>
    <row r="19" spans="2:11">
      <c r="B19" s="12" t="s">
        <v>63</v>
      </c>
      <c r="C19" s="11"/>
      <c r="D19" s="11"/>
      <c r="E19" s="11"/>
      <c r="F19" s="11"/>
      <c r="G19" s="11"/>
      <c r="H19" s="11"/>
      <c r="I19" s="11"/>
      <c r="J19" s="11"/>
      <c r="K19" s="7"/>
    </row>
    <row r="20" spans="2:11">
      <c r="B20" s="12" t="s">
        <v>64</v>
      </c>
      <c r="C20" s="11"/>
      <c r="D20" s="11"/>
      <c r="E20" s="11"/>
      <c r="F20" s="11"/>
      <c r="G20" s="11"/>
      <c r="H20" s="11"/>
      <c r="I20" s="11"/>
      <c r="J20" s="11"/>
      <c r="K20" s="7"/>
    </row>
    <row r="21" spans="2:11">
      <c r="B21" s="12" t="s">
        <v>65</v>
      </c>
      <c r="C21" s="11"/>
      <c r="D21" s="11"/>
      <c r="E21" s="11"/>
      <c r="F21" s="11"/>
      <c r="G21" s="11"/>
      <c r="H21" s="11"/>
      <c r="I21" s="11"/>
      <c r="J21" s="11"/>
      <c r="K21" s="7"/>
    </row>
    <row r="22" spans="2:11">
      <c r="B22" s="12" t="s">
        <v>66</v>
      </c>
      <c r="C22" s="11"/>
      <c r="D22" s="11"/>
      <c r="E22" s="11"/>
      <c r="F22" s="11"/>
      <c r="G22" s="11"/>
      <c r="H22" s="11"/>
      <c r="I22" s="11"/>
      <c r="J22" s="11"/>
      <c r="K22" s="7"/>
    </row>
    <row r="23" spans="2:11">
      <c r="B23" s="12" t="s">
        <v>67</v>
      </c>
      <c r="C23" s="11"/>
      <c r="D23" s="11"/>
      <c r="E23" s="11"/>
      <c r="F23" s="11"/>
      <c r="G23" s="11"/>
      <c r="H23" s="11"/>
      <c r="I23" s="11"/>
      <c r="J23" s="11"/>
      <c r="K23" s="7"/>
    </row>
    <row r="24" spans="2:11">
      <c r="B24" s="12" t="s">
        <v>68</v>
      </c>
      <c r="C24" s="11"/>
      <c r="D24" s="11"/>
      <c r="E24" s="11"/>
      <c r="F24" s="11"/>
      <c r="G24" s="11"/>
      <c r="H24" s="11"/>
      <c r="I24" s="11"/>
      <c r="J24" s="11"/>
      <c r="K24" s="7"/>
    </row>
    <row r="25" spans="2:11">
      <c r="B25" s="12" t="s">
        <v>69</v>
      </c>
      <c r="C25" s="11"/>
      <c r="D25" s="11"/>
      <c r="E25" s="11"/>
      <c r="F25" s="11"/>
      <c r="G25" s="11"/>
      <c r="H25" s="11"/>
      <c r="I25" s="11"/>
      <c r="J25" s="11"/>
      <c r="K25" s="7"/>
    </row>
    <row r="26" spans="2:11">
      <c r="B26" s="12" t="s">
        <v>70</v>
      </c>
      <c r="C26" s="11"/>
      <c r="D26" s="11"/>
      <c r="E26" s="11"/>
      <c r="F26" s="11"/>
      <c r="G26" s="11"/>
      <c r="H26" s="11"/>
      <c r="I26" s="11"/>
      <c r="J26" s="11"/>
      <c r="K26" s="7"/>
    </row>
    <row r="27" spans="2:11">
      <c r="B27" s="12" t="s">
        <v>71</v>
      </c>
      <c r="C27" s="11"/>
      <c r="D27" s="11"/>
      <c r="E27" s="11"/>
      <c r="F27" s="11"/>
      <c r="G27" s="11"/>
      <c r="H27" s="11"/>
      <c r="I27" s="11"/>
      <c r="J27" s="11"/>
      <c r="K27" s="7"/>
    </row>
    <row r="28" spans="2:11">
      <c r="B28" s="12" t="s">
        <v>72</v>
      </c>
      <c r="C28" s="11"/>
      <c r="D28" s="11"/>
      <c r="E28" s="11"/>
      <c r="F28" s="11"/>
      <c r="G28" s="11"/>
      <c r="H28" s="11"/>
      <c r="I28" s="11"/>
      <c r="J28" s="11"/>
      <c r="K28" s="7"/>
    </row>
    <row r="29" spans="2:11">
      <c r="B29" s="12" t="s">
        <v>73</v>
      </c>
      <c r="C29" s="11"/>
      <c r="D29" s="11"/>
      <c r="E29" s="11"/>
      <c r="F29" s="11"/>
      <c r="G29" s="11"/>
      <c r="H29" s="11"/>
      <c r="I29" s="11"/>
      <c r="J29" s="11"/>
      <c r="K29" s="7"/>
    </row>
    <row r="30" spans="2:11">
      <c r="B30" s="12" t="s">
        <v>74</v>
      </c>
      <c r="C30" s="11"/>
      <c r="D30" s="11"/>
      <c r="E30" s="11"/>
      <c r="F30" s="11"/>
      <c r="G30" s="11"/>
      <c r="H30" s="11"/>
      <c r="I30" s="11"/>
      <c r="J30" s="11"/>
      <c r="K30" s="7"/>
    </row>
    <row r="31" spans="2:11">
      <c r="B31" s="12" t="s">
        <v>75</v>
      </c>
      <c r="C31" s="11"/>
      <c r="D31" s="11"/>
      <c r="E31" s="11"/>
      <c r="F31" s="11"/>
      <c r="G31" s="11"/>
      <c r="H31" s="11"/>
      <c r="I31" s="11"/>
      <c r="J31" s="11"/>
      <c r="K31" s="7"/>
    </row>
    <row r="32" spans="2:11">
      <c r="B32" s="12" t="s">
        <v>76</v>
      </c>
      <c r="C32" s="11"/>
      <c r="D32" s="11"/>
      <c r="E32" s="11"/>
      <c r="F32" s="11"/>
      <c r="G32" s="11"/>
      <c r="H32" s="11"/>
      <c r="I32" s="11"/>
      <c r="J32" s="11"/>
      <c r="K32" s="7"/>
    </row>
    <row r="33" spans="2:11">
      <c r="B33" s="12" t="s">
        <v>77</v>
      </c>
      <c r="C33" s="11"/>
      <c r="D33" s="11"/>
      <c r="E33" s="11"/>
      <c r="F33" s="11"/>
      <c r="G33" s="11"/>
      <c r="H33" s="11"/>
      <c r="I33" s="11"/>
      <c r="J33" s="11"/>
      <c r="K33" s="7"/>
    </row>
  </sheetData>
  <mergeCells count="2">
    <mergeCell ref="F1:K1"/>
    <mergeCell ref="B1:E1"/>
  </mergeCells>
  <phoneticPr fontId="11" type="noConversion"/>
  <conditionalFormatting sqref="H4:H33">
    <cfRule type="containsText" dxfId="25" priority="1" operator="containsText" text="Pending">
      <formula>NOT(ISERROR(SEARCH("Pending",H4)))</formula>
    </cfRule>
    <cfRule type="containsText" dxfId="24" priority="2" operator="containsText" text="Declined">
      <formula>NOT(ISERROR(SEARCH("Declined",H4)))</formula>
    </cfRule>
    <cfRule type="containsText" dxfId="23" priority="3" operator="containsText" text="Abanded">
      <formula>NOT(ISERROR(SEARCH("Abanded",H4)))</formula>
    </cfRule>
    <cfRule type="containsText" dxfId="22" priority="4" operator="containsText" text="Declined">
      <formula>NOT(ISERROR(SEARCH("Declined",H4)))</formula>
    </cfRule>
    <cfRule type="containsText" dxfId="21" priority="5" operator="containsText" text="Approved">
      <formula>NOT(ISERROR(SEARCH("Approved",H4)))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E30BC4B-BD35-4127-B867-FC0C1DA067A9}">
          <x14:formula1>
            <xm:f>Data!$F$3:$F$6</xm:f>
          </x14:formula1>
          <xm:sqref>H4:H33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A9E6D-C5C7-42E1-AC04-633FEE481CE5}">
  <sheetPr codeName="Sheet11"/>
  <dimension ref="A1:G192"/>
  <sheetViews>
    <sheetView zoomScaleNormal="100" workbookViewId="0">
      <pane ySplit="2" topLeftCell="A3" activePane="bottomLeft" state="frozen"/>
      <selection activeCell="B9" sqref="B2:O51"/>
      <selection pane="bottomLeft" activeCell="B9" sqref="B2:O51"/>
    </sheetView>
  </sheetViews>
  <sheetFormatPr defaultColWidth="8.44140625" defaultRowHeight="13.8"/>
  <cols>
    <col min="1" max="1" width="1.44140625" style="4" customWidth="1"/>
    <col min="2" max="2" width="30.5546875" style="4" bestFit="1" customWidth="1"/>
    <col min="3" max="3" width="19.5546875" style="4" customWidth="1"/>
    <col min="4" max="4" width="32.5546875" style="4" customWidth="1"/>
    <col min="5" max="5" width="9.5546875" style="4" customWidth="1"/>
    <col min="6" max="6" width="53.44140625" style="4" customWidth="1"/>
    <col min="7" max="16384" width="8.44140625" style="4"/>
  </cols>
  <sheetData>
    <row r="1" spans="1:7" ht="6.75" customHeight="1">
      <c r="A1" s="126"/>
      <c r="B1" s="126"/>
      <c r="C1" s="126"/>
      <c r="D1" s="126"/>
      <c r="E1" s="126"/>
      <c r="F1" s="26"/>
      <c r="G1" s="1"/>
    </row>
    <row r="2" spans="1:7" ht="14.4">
      <c r="A2" s="126"/>
      <c r="B2" s="14" t="s">
        <v>78</v>
      </c>
      <c r="C2" s="14" t="s">
        <v>79</v>
      </c>
      <c r="D2" s="14" t="s">
        <v>39</v>
      </c>
      <c r="E2" s="14" t="s">
        <v>80</v>
      </c>
      <c r="F2" s="14" t="s">
        <v>81</v>
      </c>
      <c r="G2" s="1"/>
    </row>
    <row r="3" spans="1:7">
      <c r="A3" s="126"/>
      <c r="B3" s="602" t="s">
        <v>82</v>
      </c>
      <c r="C3" s="602"/>
      <c r="D3" s="602"/>
      <c r="E3" s="605"/>
      <c r="F3" s="602"/>
      <c r="G3" s="1"/>
    </row>
    <row r="4" spans="1:7">
      <c r="A4" s="126"/>
      <c r="B4" s="602" t="s">
        <v>83</v>
      </c>
      <c r="C4" s="602"/>
      <c r="D4" s="602"/>
      <c r="E4" s="605"/>
      <c r="F4" s="602"/>
      <c r="G4" s="1"/>
    </row>
    <row r="5" spans="1:7">
      <c r="A5" s="126"/>
      <c r="B5" s="602" t="s">
        <v>84</v>
      </c>
      <c r="C5" s="602"/>
      <c r="D5" s="602"/>
      <c r="E5" s="605"/>
      <c r="F5" s="602"/>
      <c r="G5" s="1"/>
    </row>
    <row r="6" spans="1:7">
      <c r="A6" s="126"/>
      <c r="B6" s="602" t="s">
        <v>85</v>
      </c>
      <c r="C6" s="602"/>
      <c r="D6" s="602"/>
      <c r="E6" s="605"/>
      <c r="F6" s="602"/>
      <c r="G6" s="1"/>
    </row>
    <row r="7" spans="1:7">
      <c r="A7" s="126"/>
      <c r="B7" s="602" t="s">
        <v>86</v>
      </c>
      <c r="C7" s="602"/>
      <c r="D7" s="602"/>
      <c r="E7" s="605"/>
      <c r="F7" s="602"/>
      <c r="G7" s="1"/>
    </row>
    <row r="8" spans="1:7">
      <c r="A8" s="126"/>
      <c r="B8" s="602" t="s">
        <v>87</v>
      </c>
      <c r="C8" s="602"/>
      <c r="D8" s="602"/>
      <c r="E8" s="605"/>
      <c r="F8" s="602"/>
      <c r="G8" s="1"/>
    </row>
    <row r="9" spans="1:7">
      <c r="A9" s="126"/>
      <c r="B9" s="602" t="s">
        <v>88</v>
      </c>
      <c r="C9" s="602"/>
      <c r="D9" s="602"/>
      <c r="E9" s="605"/>
      <c r="F9" s="602"/>
      <c r="G9" s="1"/>
    </row>
    <row r="10" spans="1:7">
      <c r="A10" s="126"/>
      <c r="B10" s="602" t="s">
        <v>89</v>
      </c>
      <c r="C10" s="602"/>
      <c r="D10" s="602"/>
      <c r="E10" s="605"/>
      <c r="F10" s="602"/>
      <c r="G10" s="1"/>
    </row>
    <row r="11" spans="1:7">
      <c r="A11" s="126"/>
      <c r="B11" s="602" t="s">
        <v>90</v>
      </c>
      <c r="C11" s="602"/>
      <c r="D11" s="602"/>
      <c r="E11" s="605"/>
      <c r="F11" s="602"/>
      <c r="G11" s="1"/>
    </row>
    <row r="12" spans="1:7">
      <c r="A12" s="126"/>
      <c r="B12" s="602" t="s">
        <v>91</v>
      </c>
      <c r="C12" s="602"/>
      <c r="D12" s="602"/>
      <c r="E12" s="605"/>
      <c r="F12" s="602"/>
      <c r="G12" s="1"/>
    </row>
    <row r="13" spans="1:7">
      <c r="A13" s="126"/>
      <c r="B13" s="602" t="s">
        <v>92</v>
      </c>
      <c r="C13" s="602"/>
      <c r="D13" s="602"/>
      <c r="E13" s="605"/>
      <c r="F13" s="602"/>
      <c r="G13" s="1"/>
    </row>
    <row r="14" spans="1:7">
      <c r="A14" s="126"/>
      <c r="B14" s="602" t="s">
        <v>93</v>
      </c>
      <c r="C14" s="602"/>
      <c r="D14" s="602"/>
      <c r="E14" s="605"/>
      <c r="F14" s="602"/>
      <c r="G14" s="1"/>
    </row>
    <row r="15" spans="1:7">
      <c r="A15" s="126"/>
      <c r="B15" s="602"/>
      <c r="C15" s="602"/>
      <c r="D15" s="602"/>
      <c r="E15" s="605"/>
      <c r="F15" s="602"/>
      <c r="G15" s="1"/>
    </row>
    <row r="16" spans="1:7">
      <c r="A16" s="126"/>
      <c r="B16" s="602"/>
      <c r="C16" s="602"/>
      <c r="D16" s="602"/>
      <c r="E16" s="605"/>
      <c r="F16" s="602"/>
      <c r="G16" s="1"/>
    </row>
    <row r="17" spans="1:7">
      <c r="A17" s="126"/>
      <c r="B17" s="602"/>
      <c r="C17" s="602"/>
      <c r="D17" s="602"/>
      <c r="E17" s="605"/>
      <c r="F17" s="602"/>
      <c r="G17" s="1"/>
    </row>
    <row r="18" spans="1:7">
      <c r="A18" s="126"/>
      <c r="B18" s="602"/>
      <c r="C18" s="602"/>
      <c r="D18" s="602"/>
      <c r="E18" s="605"/>
      <c r="F18" s="602"/>
      <c r="G18" s="1"/>
    </row>
    <row r="19" spans="1:7">
      <c r="A19" s="126"/>
      <c r="B19" s="602"/>
      <c r="C19" s="602"/>
      <c r="D19" s="602"/>
      <c r="E19" s="605"/>
      <c r="F19" s="602"/>
      <c r="G19" s="1"/>
    </row>
    <row r="20" spans="1:7">
      <c r="A20" s="126"/>
      <c r="B20" s="602"/>
      <c r="C20" s="602"/>
      <c r="D20" s="602"/>
      <c r="E20" s="605"/>
      <c r="F20" s="602"/>
      <c r="G20" s="1"/>
    </row>
    <row r="21" spans="1:7">
      <c r="A21" s="126"/>
      <c r="B21" s="602"/>
      <c r="C21" s="602"/>
      <c r="D21" s="602"/>
      <c r="E21" s="605"/>
      <c r="F21" s="602"/>
      <c r="G21" s="1"/>
    </row>
    <row r="22" spans="1:7" s="1" customFormat="1"/>
    <row r="23" spans="1:7">
      <c r="A23" s="26"/>
      <c r="B23" s="604" t="s">
        <v>94</v>
      </c>
      <c r="C23" s="26"/>
      <c r="D23" s="26"/>
      <c r="E23" s="26"/>
      <c r="F23" s="26"/>
      <c r="G23" s="26"/>
    </row>
    <row r="24" spans="1:7">
      <c r="A24" s="26"/>
      <c r="B24" s="603" t="s">
        <v>95</v>
      </c>
      <c r="C24" s="26"/>
      <c r="D24" s="26"/>
      <c r="E24" s="26"/>
      <c r="F24" s="26"/>
    </row>
    <row r="25" spans="1:7">
      <c r="A25" s="26"/>
      <c r="B25" s="603" t="s">
        <v>96</v>
      </c>
      <c r="C25" s="26"/>
      <c r="D25" s="26"/>
      <c r="E25" s="26"/>
      <c r="F25" s="26"/>
    </row>
    <row r="26" spans="1:7">
      <c r="A26" s="26"/>
      <c r="B26" s="603" t="s">
        <v>97</v>
      </c>
      <c r="C26" s="26"/>
      <c r="D26" s="26"/>
      <c r="E26" s="26"/>
      <c r="F26" s="26"/>
    </row>
    <row r="27" spans="1:7">
      <c r="A27" s="26"/>
      <c r="B27" s="603" t="s">
        <v>98</v>
      </c>
      <c r="C27" s="26"/>
      <c r="D27" s="26"/>
      <c r="E27" s="26"/>
      <c r="F27" s="26"/>
    </row>
    <row r="28" spans="1:7">
      <c r="A28" s="26"/>
      <c r="B28" s="603" t="s">
        <v>99</v>
      </c>
      <c r="C28" s="26"/>
      <c r="D28" s="26"/>
      <c r="E28" s="26"/>
      <c r="F28" s="26"/>
    </row>
    <row r="29" spans="1:7">
      <c r="A29" s="26"/>
      <c r="B29" s="603" t="s">
        <v>100</v>
      </c>
      <c r="C29" s="26"/>
      <c r="D29" s="26"/>
      <c r="E29" s="26"/>
      <c r="F29" s="26"/>
    </row>
    <row r="30" spans="1:7">
      <c r="A30" s="26"/>
      <c r="B30" s="603" t="s">
        <v>101</v>
      </c>
      <c r="C30" s="26"/>
      <c r="D30" s="26"/>
      <c r="E30" s="26"/>
      <c r="F30" s="26"/>
    </row>
    <row r="31" spans="1:7">
      <c r="A31" s="26"/>
      <c r="B31" s="603"/>
      <c r="C31" s="26"/>
      <c r="D31" s="26"/>
      <c r="E31" s="26"/>
      <c r="F31" s="26"/>
    </row>
    <row r="32" spans="1:7">
      <c r="A32" s="26"/>
      <c r="B32" s="603"/>
      <c r="C32" s="26"/>
      <c r="D32" s="26"/>
      <c r="E32" s="26"/>
      <c r="F32" s="26"/>
    </row>
    <row r="33" spans="1:6">
      <c r="A33" s="26"/>
      <c r="B33" s="603"/>
      <c r="C33" s="26"/>
      <c r="D33" s="26"/>
      <c r="E33" s="26"/>
      <c r="F33" s="26"/>
    </row>
    <row r="34" spans="1:6">
      <c r="A34" s="26"/>
      <c r="B34" s="603"/>
      <c r="C34" s="26"/>
      <c r="D34" s="26"/>
      <c r="E34" s="26"/>
      <c r="F34" s="26"/>
    </row>
    <row r="35" spans="1:6" s="26" customFormat="1">
      <c r="B35" s="603"/>
    </row>
    <row r="36" spans="1:6" s="26" customFormat="1">
      <c r="B36" s="603"/>
    </row>
    <row r="37" spans="1:6" s="26" customFormat="1">
      <c r="B37" s="603"/>
    </row>
    <row r="38" spans="1:6" s="26" customFormat="1">
      <c r="B38" s="603"/>
    </row>
    <row r="39" spans="1:6" s="26" customFormat="1">
      <c r="B39" s="603"/>
    </row>
    <row r="40" spans="1:6" s="26" customFormat="1">
      <c r="B40" s="603"/>
    </row>
    <row r="41" spans="1:6" s="26" customFormat="1">
      <c r="B41" s="603"/>
    </row>
    <row r="42" spans="1:6" s="26" customFormat="1">
      <c r="B42" s="603"/>
    </row>
    <row r="43" spans="1:6" s="26" customFormat="1">
      <c r="B43" s="603"/>
    </row>
    <row r="44" spans="1:6" s="26" customFormat="1">
      <c r="B44" s="603"/>
    </row>
    <row r="45" spans="1:6" s="26" customFormat="1">
      <c r="B45" s="603"/>
    </row>
    <row r="46" spans="1:6" s="26" customFormat="1">
      <c r="B46" s="603"/>
    </row>
    <row r="47" spans="1:6" s="26" customFormat="1">
      <c r="B47" s="603"/>
    </row>
    <row r="48" spans="1:6" s="26" customFormat="1">
      <c r="B48" s="603"/>
    </row>
    <row r="49" spans="2:2" s="26" customFormat="1">
      <c r="B49" s="603"/>
    </row>
    <row r="50" spans="2:2" s="26" customFormat="1">
      <c r="B50" s="603"/>
    </row>
    <row r="51" spans="2:2" s="26" customFormat="1">
      <c r="B51" s="603"/>
    </row>
    <row r="52" spans="2:2" s="26" customFormat="1">
      <c r="B52" s="603"/>
    </row>
    <row r="53" spans="2:2" s="26" customFormat="1">
      <c r="B53" s="603"/>
    </row>
    <row r="54" spans="2:2" s="26" customFormat="1">
      <c r="B54" s="603"/>
    </row>
    <row r="55" spans="2:2" s="26" customFormat="1"/>
    <row r="56" spans="2:2" s="26" customFormat="1"/>
    <row r="57" spans="2:2" s="26" customFormat="1"/>
    <row r="58" spans="2:2" s="26" customFormat="1"/>
    <row r="59" spans="2:2" s="26" customFormat="1"/>
    <row r="60" spans="2:2" s="26" customFormat="1"/>
    <row r="61" spans="2:2" s="26" customFormat="1"/>
    <row r="62" spans="2:2" s="26" customFormat="1"/>
    <row r="63" spans="2:2" s="26" customFormat="1"/>
    <row r="64" spans="2:2" s="26" customFormat="1"/>
    <row r="65" s="26" customFormat="1"/>
    <row r="66" s="26" customFormat="1"/>
    <row r="67" s="26" customFormat="1"/>
    <row r="68" s="26" customFormat="1"/>
    <row r="69" s="26" customFormat="1"/>
    <row r="70" s="26" customFormat="1"/>
    <row r="71" s="26" customFormat="1"/>
    <row r="72" s="26" customFormat="1"/>
    <row r="73" s="26" customFormat="1"/>
    <row r="74" s="26" customFormat="1"/>
    <row r="75" s="26" customFormat="1"/>
    <row r="76" s="26" customFormat="1"/>
    <row r="77" s="26" customFormat="1"/>
    <row r="78" s="26" customFormat="1"/>
    <row r="79" s="26" customFormat="1"/>
    <row r="80" s="26" customFormat="1"/>
    <row r="81" s="26" customFormat="1"/>
    <row r="82" s="26" customFormat="1"/>
    <row r="83" s="26" customFormat="1"/>
    <row r="84" s="26" customFormat="1"/>
    <row r="85" s="26" customFormat="1"/>
    <row r="86" s="26" customFormat="1"/>
    <row r="87" s="26" customFormat="1"/>
    <row r="88" s="26" customFormat="1"/>
    <row r="89" s="26" customFormat="1"/>
    <row r="90" s="26" customFormat="1"/>
    <row r="91" s="26" customFormat="1"/>
    <row r="92" s="26" customFormat="1"/>
    <row r="93" s="26" customFormat="1"/>
    <row r="94" s="26" customFormat="1"/>
    <row r="95" s="26" customFormat="1"/>
    <row r="96" s="26" customFormat="1"/>
    <row r="97" s="26" customFormat="1"/>
    <row r="98" s="26" customFormat="1"/>
    <row r="99" s="26" customFormat="1"/>
    <row r="100" s="26" customFormat="1"/>
    <row r="101" s="26" customFormat="1"/>
    <row r="102" s="26" customFormat="1"/>
    <row r="103" s="26" customFormat="1"/>
    <row r="104" s="26" customFormat="1"/>
    <row r="105" s="26" customFormat="1"/>
    <row r="106" s="26" customFormat="1"/>
    <row r="107" s="26" customFormat="1"/>
    <row r="108" s="26" customFormat="1"/>
    <row r="109" s="26" customFormat="1"/>
    <row r="110" s="26" customFormat="1"/>
    <row r="111" s="26" customFormat="1"/>
    <row r="112" s="26" customFormat="1"/>
    <row r="113" s="26" customFormat="1"/>
    <row r="114" s="26" customFormat="1"/>
    <row r="115" s="26" customFormat="1"/>
    <row r="116" s="26" customFormat="1"/>
    <row r="117" s="26" customFormat="1"/>
    <row r="118" s="26" customFormat="1"/>
    <row r="119" s="26" customFormat="1"/>
    <row r="120" s="26" customFormat="1"/>
    <row r="121" s="26" customFormat="1"/>
    <row r="122" s="26" customFormat="1"/>
    <row r="123" s="26" customFormat="1"/>
    <row r="124" s="26" customFormat="1"/>
    <row r="125" s="26" customFormat="1"/>
    <row r="126" s="26" customFormat="1"/>
    <row r="127" s="26" customFormat="1"/>
    <row r="128" s="26" customFormat="1"/>
    <row r="129" s="26" customFormat="1"/>
    <row r="130" s="26" customFormat="1"/>
    <row r="131" s="26" customFormat="1"/>
    <row r="132" s="26" customFormat="1"/>
    <row r="133" s="26" customFormat="1"/>
    <row r="134" s="26" customFormat="1"/>
    <row r="135" s="26" customFormat="1"/>
    <row r="136" s="26" customFormat="1"/>
    <row r="137" s="26" customFormat="1"/>
    <row r="138" s="26" customFormat="1"/>
    <row r="139" s="26" customFormat="1"/>
    <row r="140" s="26" customFormat="1"/>
    <row r="141" s="26" customFormat="1"/>
    <row r="142" s="26" customFormat="1"/>
    <row r="143" s="26" customFormat="1"/>
    <row r="144" s="26" customFormat="1"/>
    <row r="145" s="26" customFormat="1"/>
    <row r="146" s="26" customFormat="1"/>
    <row r="147" s="26" customFormat="1"/>
    <row r="148" s="26" customFormat="1"/>
    <row r="149" s="26" customFormat="1"/>
    <row r="150" s="26" customFormat="1"/>
    <row r="151" s="26" customFormat="1"/>
    <row r="152" s="26" customFormat="1"/>
    <row r="153" s="26" customFormat="1"/>
    <row r="154" s="26" customFormat="1"/>
    <row r="155" s="26" customFormat="1"/>
    <row r="156" s="26" customFormat="1"/>
    <row r="157" s="26" customFormat="1"/>
    <row r="158" s="26" customFormat="1"/>
    <row r="159" s="26" customFormat="1"/>
    <row r="160" s="26" customFormat="1"/>
    <row r="161" s="26" customFormat="1"/>
    <row r="162" s="26" customFormat="1"/>
    <row r="163" s="26" customFormat="1"/>
    <row r="164" s="26" customFormat="1"/>
    <row r="165" s="26" customFormat="1"/>
    <row r="166" s="26" customFormat="1"/>
    <row r="167" s="26" customFormat="1"/>
    <row r="168" s="26" customFormat="1"/>
    <row r="169" s="26" customFormat="1"/>
    <row r="170" s="26" customFormat="1"/>
    <row r="171" s="26" customFormat="1"/>
    <row r="172" s="26" customFormat="1"/>
    <row r="173" s="26" customFormat="1"/>
    <row r="174" s="26" customFormat="1"/>
    <row r="175" s="26" customFormat="1"/>
    <row r="176" s="26" customFormat="1"/>
    <row r="177" s="26" customFormat="1"/>
    <row r="178" s="26" customFormat="1"/>
    <row r="179" s="26" customFormat="1"/>
    <row r="180" s="26" customFormat="1"/>
    <row r="181" s="26" customFormat="1"/>
    <row r="182" s="26" customFormat="1"/>
    <row r="183" s="26" customFormat="1"/>
    <row r="184" s="26" customFormat="1"/>
    <row r="185" s="26" customFormat="1"/>
    <row r="186" s="26" customFormat="1"/>
    <row r="187" s="26" customFormat="1"/>
    <row r="188" s="26" customFormat="1"/>
    <row r="189" s="26" customFormat="1"/>
    <row r="190" s="26" customFormat="1"/>
    <row r="191" s="26" customFormat="1"/>
    <row r="192" s="26" customFormat="1"/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B24:B39">
    <sortCondition ref="B24:B39"/>
  </sortState>
  <dataValidations count="1">
    <dataValidation type="list" allowBlank="1" showInputMessage="1" showErrorMessage="1" sqref="C3:C21" xr:uid="{55807D0A-79D0-401E-84DF-5409FCA576A6}">
      <formula1>$B$24:$B$39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AE692-D5B4-456C-A27A-F14196D7B955}">
  <sheetPr codeName="Sheet12"/>
  <dimension ref="B1:J28"/>
  <sheetViews>
    <sheetView showGridLines="0" zoomScaleNormal="100" workbookViewId="0">
      <selection activeCell="E28" sqref="E28"/>
    </sheetView>
  </sheetViews>
  <sheetFormatPr defaultColWidth="9.44140625" defaultRowHeight="14.4"/>
  <cols>
    <col min="1" max="1" width="7.44140625" customWidth="1"/>
    <col min="2" max="2" width="37.5546875" customWidth="1"/>
    <col min="3" max="3" width="9.44140625" bestFit="1" customWidth="1"/>
    <col min="4" max="4" width="12.5546875" bestFit="1" customWidth="1"/>
    <col min="5" max="5" width="10.33203125" customWidth="1"/>
    <col min="6" max="6" width="33.44140625" customWidth="1"/>
  </cols>
  <sheetData>
    <row r="1" spans="2:10" ht="15" thickBot="1"/>
    <row r="2" spans="2:10" ht="15.6" thickTop="1" thickBot="1">
      <c r="B2" s="678" t="s">
        <v>102</v>
      </c>
      <c r="C2" s="679"/>
      <c r="D2" s="679"/>
      <c r="E2" s="679"/>
      <c r="F2" s="680"/>
      <c r="G2" s="13"/>
      <c r="H2" s="13"/>
      <c r="I2" s="13"/>
      <c r="J2" s="13"/>
    </row>
    <row r="3" spans="2:10" ht="6.75" customHeight="1" thickTop="1"/>
    <row r="4" spans="2:10">
      <c r="B4" s="8" t="s">
        <v>103</v>
      </c>
      <c r="C4" s="14" t="s">
        <v>44</v>
      </c>
      <c r="D4" s="14" t="s">
        <v>45</v>
      </c>
      <c r="E4" s="14" t="s">
        <v>21</v>
      </c>
      <c r="F4" s="14" t="s">
        <v>47</v>
      </c>
    </row>
    <row r="5" spans="2:10">
      <c r="B5" s="10" t="s">
        <v>104</v>
      </c>
      <c r="C5" s="12"/>
      <c r="D5" s="12"/>
      <c r="E5" s="12"/>
      <c r="F5" s="7"/>
    </row>
    <row r="6" spans="2:10">
      <c r="B6" s="10" t="s">
        <v>105</v>
      </c>
      <c r="C6" s="12"/>
      <c r="D6" s="12"/>
      <c r="E6" s="12"/>
      <c r="F6" s="7"/>
    </row>
    <row r="7" spans="2:10">
      <c r="B7" s="10" t="s">
        <v>106</v>
      </c>
      <c r="C7" s="12"/>
      <c r="D7" s="12"/>
      <c r="E7" s="12"/>
      <c r="F7" s="7"/>
    </row>
    <row r="8" spans="2:10">
      <c r="B8" s="10" t="s">
        <v>107</v>
      </c>
      <c r="C8" s="12"/>
      <c r="D8" s="12"/>
      <c r="E8" s="12"/>
      <c r="F8" s="7"/>
    </row>
    <row r="9" spans="2:10">
      <c r="B9" s="11" t="s">
        <v>108</v>
      </c>
      <c r="C9" s="11"/>
      <c r="D9" s="11"/>
      <c r="E9" s="11"/>
      <c r="F9" s="7"/>
    </row>
    <row r="10" spans="2:10">
      <c r="B10" s="11"/>
      <c r="C10" s="11"/>
      <c r="D10" s="11"/>
      <c r="E10" s="11"/>
      <c r="F10" s="7"/>
    </row>
    <row r="11" spans="2:10">
      <c r="B11" s="11"/>
      <c r="C11" s="11"/>
      <c r="D11" s="11"/>
      <c r="E11" s="11"/>
      <c r="F11" s="7"/>
    </row>
    <row r="12" spans="2:10">
      <c r="B12" s="11"/>
      <c r="C12" s="11"/>
      <c r="D12" s="11"/>
      <c r="E12" s="11"/>
      <c r="F12" s="7"/>
    </row>
    <row r="13" spans="2:10">
      <c r="B13" s="11"/>
      <c r="C13" s="11"/>
      <c r="D13" s="11"/>
      <c r="E13" s="11"/>
      <c r="F13" s="7"/>
    </row>
    <row r="14" spans="2:10">
      <c r="B14" s="11"/>
      <c r="C14" s="11"/>
      <c r="D14" s="11"/>
      <c r="E14" s="11"/>
      <c r="F14" s="7"/>
    </row>
    <row r="15" spans="2:10" ht="15" thickBot="1"/>
    <row r="16" spans="2:10" ht="15.6" thickTop="1" thickBot="1">
      <c r="B16" s="678" t="s">
        <v>109</v>
      </c>
      <c r="C16" s="679"/>
      <c r="D16" s="679"/>
      <c r="E16" s="679"/>
      <c r="F16" s="680"/>
    </row>
    <row r="17" spans="2:6" ht="15" thickTop="1"/>
    <row r="18" spans="2:6">
      <c r="B18" s="8" t="s">
        <v>103</v>
      </c>
      <c r="C18" s="14" t="s">
        <v>44</v>
      </c>
      <c r="D18" s="14" t="s">
        <v>45</v>
      </c>
      <c r="E18" s="14" t="s">
        <v>21</v>
      </c>
      <c r="F18" s="14" t="s">
        <v>47</v>
      </c>
    </row>
    <row r="19" spans="2:6">
      <c r="B19" s="10" t="s">
        <v>36</v>
      </c>
      <c r="C19" s="12"/>
      <c r="D19" s="12"/>
      <c r="E19" s="12"/>
      <c r="F19" s="7"/>
    </row>
    <row r="20" spans="2:6">
      <c r="B20" s="10" t="s">
        <v>110</v>
      </c>
      <c r="C20" s="12"/>
      <c r="D20" s="12"/>
      <c r="E20" s="12"/>
      <c r="F20" s="7"/>
    </row>
    <row r="21" spans="2:6">
      <c r="B21" s="10" t="s">
        <v>111</v>
      </c>
      <c r="C21" s="12"/>
      <c r="D21" s="12"/>
      <c r="E21" s="12"/>
      <c r="F21" s="7"/>
    </row>
    <row r="22" spans="2:6">
      <c r="B22" s="10"/>
      <c r="C22" s="12"/>
      <c r="D22" s="12"/>
      <c r="E22" s="12"/>
      <c r="F22" s="7"/>
    </row>
    <row r="23" spans="2:6">
      <c r="B23" s="11"/>
      <c r="C23" s="11"/>
      <c r="D23" s="11"/>
      <c r="E23" s="11"/>
      <c r="F23" s="7"/>
    </row>
    <row r="24" spans="2:6">
      <c r="B24" s="11"/>
      <c r="C24" s="11"/>
      <c r="D24" s="11"/>
      <c r="E24" s="11"/>
      <c r="F24" s="7"/>
    </row>
    <row r="25" spans="2:6">
      <c r="B25" s="11"/>
      <c r="C25" s="11"/>
      <c r="D25" s="11"/>
      <c r="E25" s="11"/>
      <c r="F25" s="7"/>
    </row>
    <row r="26" spans="2:6">
      <c r="B26" s="11"/>
      <c r="C26" s="11"/>
      <c r="D26" s="11"/>
      <c r="E26" s="11"/>
      <c r="F26" s="7"/>
    </row>
    <row r="27" spans="2:6">
      <c r="B27" s="11"/>
      <c r="C27" s="11"/>
      <c r="D27" s="11"/>
      <c r="E27" s="11"/>
      <c r="F27" s="7"/>
    </row>
    <row r="28" spans="2:6">
      <c r="B28" s="11"/>
      <c r="C28" s="11"/>
      <c r="D28" s="11"/>
      <c r="E28" s="11"/>
      <c r="F28" s="7"/>
    </row>
  </sheetData>
  <mergeCells count="2">
    <mergeCell ref="B2:F2"/>
    <mergeCell ref="B16:F16"/>
  </mergeCells>
  <conditionalFormatting sqref="C5:C14">
    <cfRule type="containsText" dxfId="20" priority="6" operator="containsText" text="Pending">
      <formula>NOT(ISERROR(SEARCH("Pending",C5)))</formula>
    </cfRule>
    <cfRule type="containsText" dxfId="19" priority="7" operator="containsText" text="Declined">
      <formula>NOT(ISERROR(SEARCH("Declined",C5)))</formula>
    </cfRule>
    <cfRule type="containsText" dxfId="18" priority="8" operator="containsText" text="Abanded">
      <formula>NOT(ISERROR(SEARCH("Abanded",C5)))</formula>
    </cfRule>
    <cfRule type="containsText" dxfId="17" priority="9" operator="containsText" text="Declined">
      <formula>NOT(ISERROR(SEARCH("Declined",C5)))</formula>
    </cfRule>
    <cfRule type="containsText" dxfId="16" priority="10" operator="containsText" text="Approved">
      <formula>NOT(ISERROR(SEARCH("Approved",C5)))</formula>
    </cfRule>
  </conditionalFormatting>
  <conditionalFormatting sqref="C19:C28">
    <cfRule type="containsText" dxfId="15" priority="1" operator="containsText" text="Pending">
      <formula>NOT(ISERROR(SEARCH("Pending",C19)))</formula>
    </cfRule>
    <cfRule type="containsText" dxfId="14" priority="2" operator="containsText" text="Declined">
      <formula>NOT(ISERROR(SEARCH("Declined",C19)))</formula>
    </cfRule>
    <cfRule type="containsText" dxfId="13" priority="3" operator="containsText" text="Abanded">
      <formula>NOT(ISERROR(SEARCH("Abanded",C19)))</formula>
    </cfRule>
    <cfRule type="containsText" dxfId="12" priority="4" operator="containsText" text="Declined">
      <formula>NOT(ISERROR(SEARCH("Declined",C19)))</formula>
    </cfRule>
    <cfRule type="containsText" dxfId="11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D916852-0161-44DC-8A16-7E302C5E4119}">
          <x14:formula1>
            <xm:f>Data!$F$3:$F$6</xm:f>
          </x14:formula1>
          <xm:sqref>C5:C14 C19:C28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0"/>
  <sheetViews>
    <sheetView zoomScaleNormal="100" workbookViewId="0">
      <selection activeCell="F7" sqref="F7"/>
    </sheetView>
  </sheetViews>
  <sheetFormatPr defaultColWidth="8.44140625" defaultRowHeight="13.8"/>
  <cols>
    <col min="1" max="1" width="1.44140625" style="26" customWidth="1"/>
    <col min="2" max="2" width="6.44140625" style="83" bestFit="1" customWidth="1"/>
    <col min="3" max="3" width="44.5546875" style="4" customWidth="1"/>
    <col min="4" max="4" width="3.44140625" style="26" customWidth="1"/>
    <col min="5" max="5" width="14.5546875" style="4" customWidth="1"/>
    <col min="6" max="6" width="10.33203125" style="80" customWidth="1"/>
    <col min="7" max="7" width="13.5546875" style="5" customWidth="1"/>
    <col min="8" max="8" width="5" style="26" customWidth="1"/>
    <col min="9" max="9" width="13.44140625" style="26" customWidth="1"/>
    <col min="10" max="10" width="11.44140625" style="27" customWidth="1"/>
    <col min="11" max="11" width="14.5546875" style="26" customWidth="1"/>
    <col min="12" max="12" width="2.44140625" style="26" customWidth="1"/>
    <col min="13" max="13" width="12.5546875" style="26" customWidth="1"/>
    <col min="14" max="14" width="11.44140625" style="26" bestFit="1" customWidth="1"/>
    <col min="15" max="15" width="39.44140625" style="26" bestFit="1" customWidth="1"/>
    <col min="16" max="16" width="1.44140625" style="26" customWidth="1"/>
    <col min="17" max="17" width="5.5546875" style="1" customWidth="1"/>
    <col min="18" max="18" width="8.44140625" style="26"/>
    <col min="19" max="19" width="21.5546875" style="26" customWidth="1"/>
    <col min="20" max="22" width="12.5546875" style="26" customWidth="1"/>
    <col min="23" max="23" width="8.44140625" style="26"/>
    <col min="24" max="25" width="10.33203125" style="26" bestFit="1" customWidth="1"/>
    <col min="26" max="16384" width="8.44140625" style="4"/>
  </cols>
  <sheetData>
    <row r="1" spans="2:28" s="26" customFormat="1" ht="4.5" customHeight="1" thickBot="1">
      <c r="B1" s="79"/>
      <c r="F1" s="80"/>
      <c r="G1" s="27"/>
      <c r="J1" s="27"/>
      <c r="N1" s="305">
        <f ca="1">TODAY()</f>
        <v>46062</v>
      </c>
      <c r="O1" s="305">
        <f ca="1">TODAY()</f>
        <v>46062</v>
      </c>
      <c r="Q1" s="1"/>
    </row>
    <row r="2" spans="2:28" ht="15" customHeight="1" thickBot="1">
      <c r="B2" s="88"/>
      <c r="C2" s="89" t="s">
        <v>112</v>
      </c>
      <c r="D2" s="90"/>
      <c r="E2" s="566" t="s">
        <v>113</v>
      </c>
      <c r="F2" s="567"/>
      <c r="G2" s="567"/>
      <c r="H2" s="568"/>
      <c r="I2" s="681" t="s">
        <v>114</v>
      </c>
      <c r="J2" s="682"/>
      <c r="K2" s="587">
        <f>NETWORKDAYS(I18,K39,Data!C3:C60)</f>
        <v>21</v>
      </c>
      <c r="N2" s="306">
        <v>0</v>
      </c>
      <c r="O2" s="306">
        <v>1</v>
      </c>
    </row>
    <row r="3" spans="2:28" s="26" customFormat="1" ht="14.4" thickBot="1">
      <c r="B3" s="91"/>
      <c r="C3" s="92" t="s">
        <v>115</v>
      </c>
      <c r="D3" s="90"/>
      <c r="E3" s="312">
        <v>250</v>
      </c>
      <c r="F3" s="93"/>
      <c r="G3" s="94"/>
      <c r="H3" s="94"/>
      <c r="I3" s="681" t="s">
        <v>116</v>
      </c>
      <c r="J3" s="682"/>
      <c r="K3" s="587">
        <f>K2/5</f>
        <v>4.2</v>
      </c>
      <c r="Q3" s="1"/>
    </row>
    <row r="4" spans="2:28" s="26" customFormat="1" ht="14.4" thickBot="1">
      <c r="B4" s="91"/>
      <c r="C4" s="92" t="s">
        <v>117</v>
      </c>
      <c r="D4" s="90"/>
      <c r="E4" s="565" t="s">
        <v>118</v>
      </c>
      <c r="F4" s="94"/>
      <c r="G4" s="94"/>
      <c r="H4" s="94"/>
      <c r="I4" s="681" t="s">
        <v>119</v>
      </c>
      <c r="J4" s="682"/>
      <c r="K4" s="588">
        <f>E3/K3</f>
        <v>59.523809523809518</v>
      </c>
      <c r="Q4" s="1"/>
    </row>
    <row r="5" spans="2:28" s="26" customFormat="1">
      <c r="B5" s="91"/>
      <c r="C5" s="92" t="s">
        <v>120</v>
      </c>
      <c r="D5" s="90"/>
      <c r="E5" s="565" t="s">
        <v>118</v>
      </c>
      <c r="F5" s="94"/>
      <c r="G5" s="94"/>
      <c r="H5" s="94"/>
      <c r="Q5" s="1"/>
    </row>
    <row r="6" spans="2:28">
      <c r="B6" s="95"/>
      <c r="C6" s="96" t="s">
        <v>121</v>
      </c>
      <c r="D6" s="90"/>
      <c r="E6" s="544">
        <v>2077436.28</v>
      </c>
      <c r="F6" s="569"/>
      <c r="G6" s="569"/>
      <c r="H6" s="570"/>
    </row>
    <row r="7" spans="2:28" s="26" customFormat="1">
      <c r="B7" s="79"/>
      <c r="C7" s="654" t="s">
        <v>122</v>
      </c>
      <c r="D7" s="627"/>
      <c r="E7" s="655" t="s">
        <v>454</v>
      </c>
      <c r="F7" s="80"/>
      <c r="G7" s="97"/>
      <c r="J7" s="27"/>
      <c r="Q7" s="1"/>
    </row>
    <row r="8" spans="2:28" ht="30" customHeight="1">
      <c r="B8" s="685" t="s">
        <v>124</v>
      </c>
      <c r="C8" s="686" t="s">
        <v>125</v>
      </c>
      <c r="D8" s="126"/>
      <c r="E8" s="687" t="s">
        <v>126</v>
      </c>
      <c r="F8" s="148" t="s">
        <v>127</v>
      </c>
      <c r="G8" s="687" t="s">
        <v>128</v>
      </c>
      <c r="H8" s="149"/>
      <c r="I8" s="687" t="s">
        <v>129</v>
      </c>
      <c r="J8" s="148" t="s">
        <v>127</v>
      </c>
      <c r="K8" s="687" t="s">
        <v>130</v>
      </c>
      <c r="M8" s="584" t="s">
        <v>44</v>
      </c>
      <c r="N8" s="585" t="s">
        <v>131</v>
      </c>
      <c r="O8" s="683" t="s">
        <v>132</v>
      </c>
      <c r="Z8" s="26"/>
      <c r="AA8" s="26"/>
      <c r="AB8" s="26"/>
    </row>
    <row r="9" spans="2:28">
      <c r="B9" s="685"/>
      <c r="C9" s="686"/>
      <c r="D9" s="126"/>
      <c r="E9" s="687"/>
      <c r="F9" s="40">
        <f>G39-E19</f>
        <v>21</v>
      </c>
      <c r="G9" s="687"/>
      <c r="H9" s="149"/>
      <c r="I9" s="687"/>
      <c r="J9" s="41">
        <f>K39-I19</f>
        <v>28</v>
      </c>
      <c r="K9" s="687"/>
      <c r="M9" s="265">
        <f>AVERAGE(M11,M18,M21,M28,M35,M39,M48,M44)</f>
        <v>1</v>
      </c>
      <c r="N9" s="265">
        <f ca="1">AVERAGE(N11,N18,N21,N28,N35,N39,N48,N44)</f>
        <v>0.99996958994209062</v>
      </c>
      <c r="O9" s="684"/>
      <c r="S9" s="586">
        <f ca="1">TODAY()</f>
        <v>46062</v>
      </c>
      <c r="T9" s="586">
        <f ca="1">TODAY()</f>
        <v>46062</v>
      </c>
      <c r="Z9" s="26"/>
      <c r="AA9" s="26"/>
      <c r="AB9" s="26"/>
    </row>
    <row r="10" spans="2:28" s="26" customFormat="1" ht="4.5" customHeight="1">
      <c r="B10" s="150"/>
      <c r="C10" s="126"/>
      <c r="D10" s="126"/>
      <c r="E10" s="151"/>
      <c r="F10" s="151"/>
      <c r="G10" s="152"/>
      <c r="H10" s="149"/>
      <c r="I10" s="153"/>
      <c r="J10" s="153"/>
      <c r="K10" s="154"/>
      <c r="Q10" s="1"/>
      <c r="S10" s="90">
        <v>1</v>
      </c>
      <c r="T10" s="90">
        <v>0</v>
      </c>
    </row>
    <row r="11" spans="2:28" s="28" customFormat="1">
      <c r="B11" s="155">
        <v>1</v>
      </c>
      <c r="C11" s="156" t="s">
        <v>133</v>
      </c>
      <c r="D11" s="130"/>
      <c r="E11" s="571">
        <f>MIN(E12:E17)</f>
        <v>45931</v>
      </c>
      <c r="F11" s="572">
        <f>G11-E11</f>
        <v>30</v>
      </c>
      <c r="G11" s="571">
        <f>MAX(G12:G17)</f>
        <v>45961</v>
      </c>
      <c r="H11" s="573"/>
      <c r="I11" s="571">
        <f>MIN(I12:I17)</f>
        <v>45931</v>
      </c>
      <c r="J11" s="572">
        <f>K11-I11</f>
        <v>30</v>
      </c>
      <c r="K11" s="571">
        <f>MAX(K12:K17)</f>
        <v>45961</v>
      </c>
      <c r="L11" s="574"/>
      <c r="M11" s="575">
        <f>(J12*M12+J13*M13+J14*M14+J15*M15+J16*M16)/SUM(J12:J16)</f>
        <v>1</v>
      </c>
      <c r="N11" s="575">
        <f ca="1">(K12*N12+K13*N13+K14*N14+K15*N15+K16*N16)/SUM(K12:K16)</f>
        <v>1</v>
      </c>
      <c r="O11" s="33"/>
      <c r="P11" s="26"/>
      <c r="Q11" s="34"/>
    </row>
    <row r="12" spans="2:28" s="26" customFormat="1">
      <c r="B12" s="157" t="s">
        <v>134</v>
      </c>
      <c r="C12" s="158" t="s">
        <v>135</v>
      </c>
      <c r="D12" s="126"/>
      <c r="E12" s="576">
        <v>45931</v>
      </c>
      <c r="F12" s="577">
        <v>1</v>
      </c>
      <c r="G12" s="576">
        <f>WORKDAY.INTL(E12,F12,1,Data!$C$3:$C$60)</f>
        <v>45932</v>
      </c>
      <c r="H12" s="578"/>
      <c r="I12" s="576">
        <v>45931</v>
      </c>
      <c r="J12" s="577">
        <v>1</v>
      </c>
      <c r="K12" s="576">
        <f>WORKDAY.INTL(I12,J12,1,Data!$C$3:$C$60)</f>
        <v>45932</v>
      </c>
      <c r="L12" s="77"/>
      <c r="M12" s="579">
        <v>1</v>
      </c>
      <c r="N12" s="579">
        <f ca="1">_xlfn.LET(
  _xlpm.s,VALUE($I12),
  _xlpm.e,VALUE($K12),
  IF(OR(_xlpm.s="",_xlpm.e=""),"", IF(_xlpm.e&lt;=_xlpm.s, IF(TODAY()&gt;=_xlpm.e,1,0), MAX(0,MIN(1,(TODAY()-_xlpm.s)/(_xlpm.e-_xlpm.s)))))
)</f>
        <v>1</v>
      </c>
      <c r="O12" s="36"/>
      <c r="Q12" s="1"/>
      <c r="S12" s="377" t="s">
        <v>136</v>
      </c>
      <c r="T12" s="538" t="s">
        <v>137</v>
      </c>
      <c r="U12" s="538" t="s">
        <v>127</v>
      </c>
      <c r="V12" s="538" t="s">
        <v>138</v>
      </c>
    </row>
    <row r="13" spans="2:28" s="26" customFormat="1">
      <c r="B13" s="157" t="s">
        <v>139</v>
      </c>
      <c r="C13" s="158" t="s">
        <v>140</v>
      </c>
      <c r="D13" s="126"/>
      <c r="E13" s="576">
        <f>WORKDAY.INTL(G12,0,1,Data!$C$3:$C$60)</f>
        <v>45932</v>
      </c>
      <c r="F13" s="577">
        <v>15</v>
      </c>
      <c r="G13" s="576">
        <f>WORKDAY.INTL(E13,F13,1,Data!$C$3:$C$60)</f>
        <v>45953</v>
      </c>
      <c r="H13" s="578"/>
      <c r="I13" s="576">
        <f>WORKDAY.INTL(K12,0,1,Data!$C$3:$C$60)</f>
        <v>45932</v>
      </c>
      <c r="J13" s="577">
        <v>15</v>
      </c>
      <c r="K13" s="576">
        <f>WORKDAY.INTL(I13,J13,1,Data!$C$3:$C$60)</f>
        <v>45953</v>
      </c>
      <c r="L13" s="77"/>
      <c r="M13" s="579">
        <v>1</v>
      </c>
      <c r="N13" s="579">
        <f ca="1">_xlfn.LET(
  _xlpm.s,VALUE($I13),
  _xlpm.e,VALUE($K13),
  IF(OR(_xlpm.s="",_xlpm.e=""),"", IF(_xlpm.e&lt;=_xlpm.s, IF(TODAY()&gt;=_xlpm.e,1,0), MAX(0,MIN(1,(TODAY()-_xlpm.s)/(_xlpm.e-_xlpm.s)))))
)</f>
        <v>1</v>
      </c>
      <c r="O13" s="36"/>
      <c r="Q13" s="1"/>
      <c r="S13" s="537" t="str">
        <f>C11</f>
        <v>Project Initiation</v>
      </c>
      <c r="T13" s="539">
        <f>I11</f>
        <v>45931</v>
      </c>
      <c r="U13" s="540">
        <f>J11</f>
        <v>30</v>
      </c>
      <c r="V13" s="539">
        <f>K11</f>
        <v>45961</v>
      </c>
    </row>
    <row r="14" spans="2:28" s="26" customFormat="1">
      <c r="B14" s="157" t="s">
        <v>141</v>
      </c>
      <c r="C14" s="158" t="s">
        <v>142</v>
      </c>
      <c r="D14" s="126"/>
      <c r="E14" s="576">
        <f>WORKDAY.INTL(G12,0,1,Data!$C$3:$C$60)+14</f>
        <v>45946</v>
      </c>
      <c r="F14" s="577">
        <v>1</v>
      </c>
      <c r="G14" s="576">
        <f>WORKDAY.INTL(E14,F14,1,Data!$C$3:$C$60)</f>
        <v>45947</v>
      </c>
      <c r="H14" s="578"/>
      <c r="I14" s="576">
        <f>WORKDAY.INTL(K12,0,1,Data!$C$3:$C$60)+14</f>
        <v>45946</v>
      </c>
      <c r="J14" s="577">
        <v>1</v>
      </c>
      <c r="K14" s="576">
        <f>WORKDAY.INTL(I14,J14,1,Data!$C$3:$C$60)</f>
        <v>45947</v>
      </c>
      <c r="L14" s="77"/>
      <c r="M14" s="579">
        <v>1</v>
      </c>
      <c r="N14" s="579">
        <f t="shared" ref="N14:N16" ca="1" si="0">_xlfn.LET(
  _xlpm.s,VALUE($I14),
  _xlpm.e,VALUE($K14),
  IF(OR(_xlpm.s="",_xlpm.e=""),"", IF(_xlpm.e&lt;=_xlpm.s, IF(TODAY()&gt;=_xlpm.e,1,0), MAX(0,MIN(1,(TODAY()-_xlpm.s)/(_xlpm.e-_xlpm.s)))))
)</f>
        <v>1</v>
      </c>
      <c r="O14" s="36"/>
      <c r="Q14" s="1"/>
      <c r="S14" s="537" t="str">
        <f>C18</f>
        <v>Site Establishment</v>
      </c>
      <c r="T14" s="539">
        <f>I18</f>
        <v>45967</v>
      </c>
      <c r="U14" s="540">
        <f>J18</f>
        <v>1</v>
      </c>
      <c r="V14" s="539">
        <f>K18</f>
        <v>45968</v>
      </c>
    </row>
    <row r="15" spans="2:28" s="26" customFormat="1">
      <c r="B15" s="157" t="s">
        <v>143</v>
      </c>
      <c r="C15" s="158" t="s">
        <v>144</v>
      </c>
      <c r="D15" s="126"/>
      <c r="E15" s="576">
        <f>WORKDAY.INTL(E14,0,1,Data!$C$3:$C$60)+14</f>
        <v>45960</v>
      </c>
      <c r="F15" s="577">
        <v>1</v>
      </c>
      <c r="G15" s="576">
        <f>WORKDAY.INTL(E15,F15,1,Data!$C$3:$C$60)</f>
        <v>45961</v>
      </c>
      <c r="H15" s="578"/>
      <c r="I15" s="576">
        <f>WORKDAY.INTL(I14,0,1,Data!$C$3:$C$60)+14</f>
        <v>45960</v>
      </c>
      <c r="J15" s="577">
        <v>1</v>
      </c>
      <c r="K15" s="576">
        <f>WORKDAY.INTL(I15,J15,1,Data!$C$3:$C$60)</f>
        <v>45961</v>
      </c>
      <c r="L15" s="77"/>
      <c r="M15" s="579">
        <v>1</v>
      </c>
      <c r="N15" s="579">
        <f t="shared" ca="1" si="0"/>
        <v>1</v>
      </c>
      <c r="O15" s="36"/>
      <c r="Q15" s="1"/>
      <c r="S15" s="537" t="str">
        <f>C21</f>
        <v>AC Installation</v>
      </c>
      <c r="T15" s="539">
        <f>I21</f>
        <v>45925</v>
      </c>
      <c r="U15" s="540">
        <f>J21</f>
        <v>62</v>
      </c>
      <c r="V15" s="539">
        <f>K21</f>
        <v>45987</v>
      </c>
    </row>
    <row r="16" spans="2:28" s="26" customFormat="1">
      <c r="B16" s="157" t="s">
        <v>145</v>
      </c>
      <c r="C16" s="158" t="s">
        <v>146</v>
      </c>
      <c r="D16" s="126"/>
      <c r="E16" s="576">
        <f>WORKDAY.INTL(E15,0,1,Data!$C$3:$C$60)</f>
        <v>45960</v>
      </c>
      <c r="F16" s="577">
        <v>1</v>
      </c>
      <c r="G16" s="576">
        <f>WORKDAY.INTL(E16,F16,1,Data!$C$3:$C$60)</f>
        <v>45961</v>
      </c>
      <c r="H16" s="578"/>
      <c r="I16" s="576">
        <f>WORKDAY.INTL(I15,0,1,Data!$C$3:$C$60)</f>
        <v>45960</v>
      </c>
      <c r="J16" s="577">
        <v>1</v>
      </c>
      <c r="K16" s="576">
        <f>WORKDAY.INTL(I16,J16,1,Data!$C$3:$C$60)</f>
        <v>45961</v>
      </c>
      <c r="L16" s="77"/>
      <c r="M16" s="579">
        <v>1</v>
      </c>
      <c r="N16" s="579">
        <f t="shared" ca="1" si="0"/>
        <v>1</v>
      </c>
      <c r="O16" s="36"/>
      <c r="Q16" s="1"/>
      <c r="S16" s="537" t="str">
        <f>C28</f>
        <v>DC Works</v>
      </c>
      <c r="T16" s="539">
        <f>I28</f>
        <v>45967</v>
      </c>
      <c r="U16" s="540">
        <f>J28</f>
        <v>21</v>
      </c>
      <c r="V16" s="539">
        <f>K28</f>
        <v>45988</v>
      </c>
    </row>
    <row r="17" spans="2:28" s="26" customFormat="1">
      <c r="B17" s="150"/>
      <c r="C17" s="126"/>
      <c r="D17" s="126"/>
      <c r="E17" s="580"/>
      <c r="F17" s="580"/>
      <c r="G17" s="580"/>
      <c r="H17" s="578"/>
      <c r="I17" s="580"/>
      <c r="J17" s="580"/>
      <c r="K17" s="580"/>
      <c r="L17" s="77"/>
      <c r="M17" s="77"/>
      <c r="N17" s="77"/>
      <c r="Q17" s="1"/>
      <c r="S17" s="537" t="str">
        <f>C35</f>
        <v>Module installation</v>
      </c>
      <c r="T17" s="539">
        <f>I35</f>
        <v>45974</v>
      </c>
      <c r="U17" s="540">
        <f>J35</f>
        <v>11</v>
      </c>
      <c r="V17" s="539">
        <f>K35</f>
        <v>45985</v>
      </c>
    </row>
    <row r="18" spans="2:28" s="28" customFormat="1">
      <c r="B18" s="155">
        <v>2</v>
      </c>
      <c r="C18" s="156" t="s">
        <v>147</v>
      </c>
      <c r="D18" s="130"/>
      <c r="E18" s="571">
        <f>MIN(E19:E20)</f>
        <v>45968</v>
      </c>
      <c r="F18" s="572">
        <f>G18-E18</f>
        <v>1</v>
      </c>
      <c r="G18" s="571">
        <f>MAX(G19:G20)</f>
        <v>45969</v>
      </c>
      <c r="H18" s="573"/>
      <c r="I18" s="571">
        <f>MIN(I19:I20)</f>
        <v>45967</v>
      </c>
      <c r="J18" s="572">
        <f>K18-I18</f>
        <v>1</v>
      </c>
      <c r="K18" s="571">
        <f>MAX(K19:K20)</f>
        <v>45968</v>
      </c>
      <c r="L18" s="574"/>
      <c r="M18" s="575">
        <f>(J19*M19)/J18</f>
        <v>1</v>
      </c>
      <c r="N18" s="575">
        <f ca="1">(K19*N19)/K18</f>
        <v>1</v>
      </c>
      <c r="O18" s="33"/>
      <c r="P18" s="26"/>
      <c r="Q18" s="37"/>
      <c r="R18" s="32"/>
      <c r="S18" s="537" t="str">
        <f>C39</f>
        <v>Commissioning</v>
      </c>
      <c r="T18" s="539">
        <f>I39</f>
        <v>45988</v>
      </c>
      <c r="U18" s="540">
        <f>J39</f>
        <v>7</v>
      </c>
      <c r="V18" s="539">
        <f>K39</f>
        <v>45995</v>
      </c>
      <c r="W18" s="35"/>
      <c r="X18" s="35"/>
      <c r="Y18" s="35"/>
      <c r="Z18" s="35"/>
      <c r="AA18" s="35"/>
      <c r="AB18" s="32"/>
    </row>
    <row r="19" spans="2:28" s="26" customFormat="1">
      <c r="B19" s="157" t="s">
        <v>148</v>
      </c>
      <c r="C19" s="158" t="s">
        <v>149</v>
      </c>
      <c r="D19" s="126"/>
      <c r="E19" s="576">
        <f>WORKDAY.INTL(G16,0,1,Data!$C$3:$C$60)+7</f>
        <v>45968</v>
      </c>
      <c r="F19" s="577">
        <v>1</v>
      </c>
      <c r="G19" s="576">
        <f>E19+F19</f>
        <v>45969</v>
      </c>
      <c r="H19" s="578"/>
      <c r="I19" s="576">
        <v>45967</v>
      </c>
      <c r="J19" s="577">
        <v>1</v>
      </c>
      <c r="K19" s="576">
        <f>I19+J19</f>
        <v>45968</v>
      </c>
      <c r="L19" s="77"/>
      <c r="M19" s="579">
        <v>1</v>
      </c>
      <c r="N19" s="579">
        <f ca="1">_xlfn.LET(
  _xlpm.s,VALUE($I19),
  _xlpm.e,VALUE($K19),
  IF(OR(_xlpm.s="",_xlpm.e=""),"", IF(_xlpm.e&lt;=_xlpm.s, IF(TODAY()&gt;=_xlpm.e,1,0), MAX(0,MIN(1,(TODAY()-_xlpm.s)/(_xlpm.e-_xlpm.s)))))
)</f>
        <v>1</v>
      </c>
      <c r="O19" s="36"/>
      <c r="Q19" s="38"/>
      <c r="R19" s="35"/>
      <c r="S19" s="537" t="str">
        <f>C44</f>
        <v>QA Inspections</v>
      </c>
      <c r="T19" s="539">
        <f>I44</f>
        <v>45988</v>
      </c>
      <c r="U19" s="540">
        <f>J44</f>
        <v>4</v>
      </c>
      <c r="V19" s="539">
        <f>K44</f>
        <v>45992</v>
      </c>
      <c r="W19" s="35"/>
      <c r="X19" s="35"/>
      <c r="Z19" s="35"/>
      <c r="AA19" s="35"/>
      <c r="AB19" s="35"/>
    </row>
    <row r="20" spans="2:28" s="26" customFormat="1">
      <c r="B20" s="150"/>
      <c r="C20" s="126"/>
      <c r="D20" s="126"/>
      <c r="E20" s="580"/>
      <c r="F20" s="580"/>
      <c r="G20" s="580"/>
      <c r="H20" s="578"/>
      <c r="I20" s="580"/>
      <c r="J20" s="580"/>
      <c r="K20" s="580"/>
      <c r="L20" s="77"/>
      <c r="M20" s="77"/>
      <c r="N20" s="77"/>
      <c r="Q20" s="1"/>
      <c r="S20" s="537" t="str">
        <f>C48</f>
        <v>Project Closure</v>
      </c>
      <c r="T20" s="539">
        <f>I48</f>
        <v>45989</v>
      </c>
      <c r="U20" s="540">
        <f>J48</f>
        <v>62</v>
      </c>
      <c r="V20" s="539">
        <f>K48</f>
        <v>46051</v>
      </c>
    </row>
    <row r="21" spans="2:28" s="28" customFormat="1">
      <c r="B21" s="155">
        <v>3</v>
      </c>
      <c r="C21" s="156" t="s">
        <v>150</v>
      </c>
      <c r="D21" s="130"/>
      <c r="E21" s="571">
        <f>MIN(E22:E27)</f>
        <v>45925</v>
      </c>
      <c r="F21" s="572">
        <f>G21-E21</f>
        <v>49</v>
      </c>
      <c r="G21" s="571">
        <f>MAX(G22:G27)</f>
        <v>45974</v>
      </c>
      <c r="H21" s="581"/>
      <c r="I21" s="571">
        <f>MIN(I22:I27)</f>
        <v>45925</v>
      </c>
      <c r="J21" s="572">
        <f>K21-I21</f>
        <v>62</v>
      </c>
      <c r="K21" s="571">
        <f>MAX(K22:K27)</f>
        <v>45987</v>
      </c>
      <c r="L21" s="574"/>
      <c r="M21" s="575">
        <f>(J22*M22+J23*M23+J24*M24+J25*M25+J26*M26)/SUM(J22:J26)</f>
        <v>1</v>
      </c>
      <c r="N21" s="575">
        <f ca="1">(J22*N22+J23*N23+J24*N24+J25*N25+J26*N26)/SUM(J22:J26)</f>
        <v>1</v>
      </c>
      <c r="O21" s="33"/>
      <c r="P21" s="26"/>
      <c r="Q21" s="37"/>
      <c r="R21" s="32"/>
      <c r="S21" s="26"/>
      <c r="T21" s="26"/>
      <c r="U21" s="35"/>
      <c r="V21" s="35"/>
      <c r="W21" s="35"/>
      <c r="X21" s="35"/>
      <c r="Y21" s="35"/>
      <c r="Z21" s="35"/>
      <c r="AA21" s="35"/>
      <c r="AB21" s="32"/>
    </row>
    <row r="22" spans="2:28" s="26" customFormat="1">
      <c r="B22" s="157" t="s">
        <v>151</v>
      </c>
      <c r="C22" s="158" t="s">
        <v>152</v>
      </c>
      <c r="D22" s="126"/>
      <c r="E22" s="576">
        <f>WORKDAY.INTL(G19,0,1,Data!$C$3:$C$60)</f>
        <v>45969</v>
      </c>
      <c r="F22" s="577">
        <v>1</v>
      </c>
      <c r="G22" s="576">
        <f>WORKDAY.INTL(E22,F22,1,Data!$C$3:$C$60)</f>
        <v>45971</v>
      </c>
      <c r="H22" s="578"/>
      <c r="I22" s="576">
        <v>45973</v>
      </c>
      <c r="J22" s="577">
        <v>1</v>
      </c>
      <c r="K22" s="576">
        <f>WORKDAY.INTL(I22,J22,1,Data!$C$3:$C$60)</f>
        <v>45974</v>
      </c>
      <c r="L22" s="77"/>
      <c r="M22" s="579">
        <v>1</v>
      </c>
      <c r="N22" s="579">
        <f t="shared" ref="N22:N26" ca="1" si="1">_xlfn.LET(
  _xlpm.s,VALUE($I22),
  _xlpm.e,VALUE($K22),
  IF(OR(_xlpm.s="",_xlpm.e=""),"", IF(_xlpm.e&lt;=_xlpm.s, IF(TODAY()&gt;=_xlpm.e,1,0), MAX(0,MIN(1,(TODAY()-_xlpm.s)/(_xlpm.e-_xlpm.s)))))
)</f>
        <v>1</v>
      </c>
      <c r="O22" s="36"/>
      <c r="Q22" s="38"/>
      <c r="R22" s="35"/>
      <c r="U22" s="35"/>
      <c r="V22" s="35"/>
      <c r="W22" s="35"/>
      <c r="X22" s="35"/>
      <c r="Y22" s="35"/>
      <c r="Z22" s="35"/>
      <c r="AA22" s="35"/>
      <c r="AB22" s="35"/>
    </row>
    <row r="23" spans="2:28" s="26" customFormat="1">
      <c r="B23" s="157" t="s">
        <v>153</v>
      </c>
      <c r="C23" s="158" t="s">
        <v>154</v>
      </c>
      <c r="D23" s="126"/>
      <c r="E23" s="576">
        <f>WORKDAY.INTL(G22,0,1,Data!$C$3:$C$60)</f>
        <v>45971</v>
      </c>
      <c r="F23" s="577">
        <v>2</v>
      </c>
      <c r="G23" s="576">
        <f>WORKDAY.INTL(E23,F23,1,Data!$C$3:$C$60)</f>
        <v>45973</v>
      </c>
      <c r="H23" s="578"/>
      <c r="I23" s="576">
        <v>45973</v>
      </c>
      <c r="J23" s="577">
        <v>1</v>
      </c>
      <c r="K23" s="576">
        <f>WORKDAY.INTL(I23,J23,1,Data!$C$3:$C$60)</f>
        <v>45974</v>
      </c>
      <c r="L23" s="77"/>
      <c r="M23" s="579">
        <v>1</v>
      </c>
      <c r="N23" s="579">
        <f t="shared" ca="1" si="1"/>
        <v>1</v>
      </c>
      <c r="O23" s="36"/>
      <c r="Q23" s="38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</row>
    <row r="24" spans="2:28" s="26" customFormat="1">
      <c r="B24" s="157" t="s">
        <v>155</v>
      </c>
      <c r="C24" s="158" t="s">
        <v>156</v>
      </c>
      <c r="D24" s="126"/>
      <c r="E24" s="576">
        <f>WORKDAY.INTL(E14,0,1,Data!$C$3:$C$60)-21</f>
        <v>45925</v>
      </c>
      <c r="F24" s="577">
        <v>30</v>
      </c>
      <c r="G24" s="576">
        <f>WORKDAY.INTL(E24,F24,1,Data!$C$3:$C$60)</f>
        <v>45967</v>
      </c>
      <c r="H24" s="578"/>
      <c r="I24" s="576">
        <f>WORKDAY.INTL(I14,0,1,Data!$C$3:$C$60)-21</f>
        <v>45925</v>
      </c>
      <c r="J24" s="577">
        <v>36</v>
      </c>
      <c r="K24" s="576">
        <f>WORKDAY.INTL(I24,J24,1,Data!$C$3:$C$60)</f>
        <v>45975</v>
      </c>
      <c r="L24" s="77"/>
      <c r="M24" s="579">
        <v>1</v>
      </c>
      <c r="N24" s="579">
        <f t="shared" ca="1" si="1"/>
        <v>1</v>
      </c>
      <c r="O24" s="36"/>
      <c r="Q24" s="38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</row>
    <row r="25" spans="2:28" s="26" customFormat="1">
      <c r="B25" s="157" t="s">
        <v>157</v>
      </c>
      <c r="C25" s="158" t="s">
        <v>158</v>
      </c>
      <c r="D25" s="126"/>
      <c r="E25" s="576">
        <f>WORKDAY.INTL(G24,0,1,Data!$C$3:$C$60)</f>
        <v>45967</v>
      </c>
      <c r="F25" s="577">
        <v>5</v>
      </c>
      <c r="G25" s="576">
        <f>WORKDAY.INTL(E25,F25,1,Data!$C$3:$C$60)</f>
        <v>45974</v>
      </c>
      <c r="H25" s="578"/>
      <c r="I25" s="576">
        <v>45978</v>
      </c>
      <c r="J25" s="577">
        <v>6</v>
      </c>
      <c r="K25" s="576">
        <f>WORKDAY.INTL(I25,J25,1,Data!$C$3:$C$60)</f>
        <v>45986</v>
      </c>
      <c r="L25" s="77"/>
      <c r="M25" s="579">
        <v>1</v>
      </c>
      <c r="N25" s="579">
        <f t="shared" ca="1" si="1"/>
        <v>1</v>
      </c>
      <c r="O25" s="36"/>
      <c r="Q25" s="38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</row>
    <row r="26" spans="2:28" s="26" customFormat="1">
      <c r="B26" s="157" t="s">
        <v>159</v>
      </c>
      <c r="C26" s="158" t="s">
        <v>160</v>
      </c>
      <c r="D26" s="126"/>
      <c r="E26" s="576">
        <f>WORKDAY.INTL(E25,0,1,Data!$C$3:$C$60)</f>
        <v>45967</v>
      </c>
      <c r="F26" s="577">
        <v>1</v>
      </c>
      <c r="G26" s="576">
        <f>WORKDAY.INTL(E26,F26,1,Data!$C$3:$C$60)</f>
        <v>45968</v>
      </c>
      <c r="H26" s="578"/>
      <c r="I26" s="576">
        <f>K25</f>
        <v>45986</v>
      </c>
      <c r="J26" s="577">
        <v>1</v>
      </c>
      <c r="K26" s="576">
        <f>WORKDAY.INTL(I26,J26,1,Data!$C$3:$C$60)</f>
        <v>45987</v>
      </c>
      <c r="L26" s="77"/>
      <c r="M26" s="579">
        <v>1</v>
      </c>
      <c r="N26" s="579">
        <f t="shared" ca="1" si="1"/>
        <v>1</v>
      </c>
      <c r="O26" s="36"/>
      <c r="Q26" s="38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</row>
    <row r="27" spans="2:28" s="26" customFormat="1" ht="4.5" customHeight="1">
      <c r="B27" s="150"/>
      <c r="C27" s="126"/>
      <c r="D27" s="126"/>
      <c r="E27" s="580"/>
      <c r="F27" s="580"/>
      <c r="G27" s="580"/>
      <c r="H27" s="578"/>
      <c r="I27" s="580"/>
      <c r="J27" s="580"/>
      <c r="K27" s="580"/>
      <c r="L27" s="77"/>
      <c r="M27" s="77"/>
      <c r="N27" s="77"/>
      <c r="Q27" s="1"/>
    </row>
    <row r="28" spans="2:28" s="26" customFormat="1">
      <c r="B28" s="155">
        <v>4</v>
      </c>
      <c r="C28" s="156" t="s">
        <v>161</v>
      </c>
      <c r="D28" s="130"/>
      <c r="E28" s="571">
        <f>MIN(E30:E34)</f>
        <v>45968</v>
      </c>
      <c r="F28" s="572">
        <f>G28-E28</f>
        <v>12</v>
      </c>
      <c r="G28" s="571">
        <f>MAX(G30:G34)</f>
        <v>45980</v>
      </c>
      <c r="H28" s="581"/>
      <c r="I28" s="571">
        <f>MIN(I30:I34)</f>
        <v>45967</v>
      </c>
      <c r="J28" s="572">
        <f>K28-I28</f>
        <v>21</v>
      </c>
      <c r="K28" s="571">
        <f>MAX(K30:K34)</f>
        <v>45988</v>
      </c>
      <c r="L28" s="574"/>
      <c r="M28" s="575">
        <f>(J30*M30+J31*M31+J33*M33+J32*M32)/SUM(J30:J33)</f>
        <v>1</v>
      </c>
      <c r="N28" s="575">
        <f ca="1">(K30*N30+K31*N31+K33*N33+K32*N32)/SUM(K30:K33)</f>
        <v>1</v>
      </c>
      <c r="O28" s="36"/>
      <c r="Q28" s="38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</row>
    <row r="29" spans="2:28" s="26" customFormat="1" hidden="1">
      <c r="B29" s="157"/>
      <c r="C29" s="158"/>
      <c r="D29" s="126"/>
      <c r="E29" s="576"/>
      <c r="F29" s="577"/>
      <c r="G29" s="576"/>
      <c r="H29" s="578"/>
      <c r="I29" s="576"/>
      <c r="J29" s="577"/>
      <c r="K29" s="576"/>
      <c r="L29" s="77"/>
      <c r="M29" s="579"/>
      <c r="N29" s="579"/>
      <c r="O29" s="36"/>
      <c r="Q29" s="38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</row>
    <row r="30" spans="2:28" s="26" customFormat="1">
      <c r="B30" s="157" t="s">
        <v>162</v>
      </c>
      <c r="C30" s="158" t="s">
        <v>163</v>
      </c>
      <c r="D30" s="126"/>
      <c r="E30" s="576">
        <f>E19</f>
        <v>45968</v>
      </c>
      <c r="F30" s="577">
        <v>1</v>
      </c>
      <c r="G30" s="576">
        <f>WORKDAY.INTL(E30,F30,1,Data!$C$3:$C$60)</f>
        <v>45971</v>
      </c>
      <c r="H30" s="578"/>
      <c r="I30" s="576">
        <f>I19</f>
        <v>45967</v>
      </c>
      <c r="J30" s="577">
        <v>1</v>
      </c>
      <c r="K30" s="576">
        <f>WORKDAY.INTL(I30,J30,1,Data!$C$3:$C$60)</f>
        <v>45968</v>
      </c>
      <c r="L30" s="77"/>
      <c r="M30" s="579">
        <v>1</v>
      </c>
      <c r="N30" s="579">
        <f t="shared" ref="N30:N33" ca="1" si="2">_xlfn.LET(
  _xlpm.s,VALUE($I30),
  _xlpm.e,VALUE($K30),
  IF(OR(_xlpm.s="",_xlpm.e=""),"", IF(_xlpm.e&lt;=_xlpm.s, IF(TODAY()&gt;=_xlpm.e,1,0), MAX(0,MIN(1,(TODAY()-_xlpm.s)/(_xlpm.e-_xlpm.s)))))
)</f>
        <v>1</v>
      </c>
      <c r="Q30" s="38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</row>
    <row r="31" spans="2:28" s="26" customFormat="1">
      <c r="B31" s="157" t="s">
        <v>164</v>
      </c>
      <c r="C31" s="158" t="s">
        <v>165</v>
      </c>
      <c r="D31" s="126"/>
      <c r="E31" s="576">
        <f>WORKDAY.INTL(G30,0,1,Data!$C$3:$C$60)</f>
        <v>45971</v>
      </c>
      <c r="F31" s="577">
        <v>3</v>
      </c>
      <c r="G31" s="576">
        <f>WORKDAY.INTL(E31,F31,1,Data!$C$3:$C$60)</f>
        <v>45974</v>
      </c>
      <c r="H31" s="578"/>
      <c r="I31" s="576">
        <f>WORKDAY.INTL(K30,0,1,Data!$C$3:$C$60)</f>
        <v>45968</v>
      </c>
      <c r="J31" s="577">
        <v>4</v>
      </c>
      <c r="K31" s="576">
        <f>WORKDAY.INTL(I31,J31,1,Data!$C$3:$C$60)</f>
        <v>45974</v>
      </c>
      <c r="L31" s="77"/>
      <c r="M31" s="579">
        <v>1</v>
      </c>
      <c r="N31" s="579">
        <f t="shared" ca="1" si="2"/>
        <v>1</v>
      </c>
      <c r="O31" s="36"/>
      <c r="Q31" s="38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</row>
    <row r="32" spans="2:28" s="26" customFormat="1">
      <c r="B32" s="157" t="s">
        <v>166</v>
      </c>
      <c r="C32" s="158" t="s">
        <v>167</v>
      </c>
      <c r="D32" s="126"/>
      <c r="E32" s="576">
        <f>E30</f>
        <v>45968</v>
      </c>
      <c r="F32" s="577">
        <v>1</v>
      </c>
      <c r="G32" s="576">
        <f>WORKDAY.INTL(E32,F32,1,Data!$C$3:$C$60)</f>
        <v>45971</v>
      </c>
      <c r="H32" s="578"/>
      <c r="I32" s="576">
        <f>I30</f>
        <v>45967</v>
      </c>
      <c r="J32" s="577">
        <v>1</v>
      </c>
      <c r="K32" s="576">
        <f>WORKDAY.INTL(I32,J32,1,Data!$C$3:$C$60)</f>
        <v>45968</v>
      </c>
      <c r="L32" s="77"/>
      <c r="M32" s="579">
        <v>1</v>
      </c>
      <c r="N32" s="579">
        <f t="shared" ca="1" si="2"/>
        <v>1</v>
      </c>
      <c r="O32" s="36"/>
      <c r="Q32" s="38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</row>
    <row r="33" spans="2:28" ht="14.4">
      <c r="B33" s="157" t="s">
        <v>168</v>
      </c>
      <c r="C33" s="154" t="s">
        <v>169</v>
      </c>
      <c r="D33" s="126"/>
      <c r="E33" s="582">
        <f>WORKDAY.INTL(G37,0,1,Data!$C$3:$C$60)-3</f>
        <v>45977</v>
      </c>
      <c r="F33" s="577">
        <v>3</v>
      </c>
      <c r="G33" s="582">
        <f>WORKDAY.INTL(E33,F33,1,Data!$C$3:$C$60)</f>
        <v>45980</v>
      </c>
      <c r="H33" s="578"/>
      <c r="I33" s="582">
        <f>WORKDAY.INTL(K37,0,1,Data!$C$3:$C$60)-3</f>
        <v>45982</v>
      </c>
      <c r="J33" s="577">
        <v>4</v>
      </c>
      <c r="K33" s="582">
        <f>WORKDAY.INTL(I33,J33,1,Data!$C$3:$C$60)</f>
        <v>45988</v>
      </c>
      <c r="L33" s="77"/>
      <c r="M33" s="579">
        <v>1</v>
      </c>
      <c r="N33" s="579">
        <f t="shared" ca="1" si="2"/>
        <v>1</v>
      </c>
      <c r="O33" s="36"/>
      <c r="U33"/>
      <c r="Y33" s="4"/>
    </row>
    <row r="34" spans="2:28" s="26" customFormat="1" ht="4.5" customHeight="1">
      <c r="B34" s="150"/>
      <c r="C34" s="126"/>
      <c r="D34" s="126"/>
      <c r="E34" s="580"/>
      <c r="F34" s="580"/>
      <c r="G34" s="580"/>
      <c r="H34" s="578"/>
      <c r="I34" s="580"/>
      <c r="J34" s="580"/>
      <c r="K34" s="580"/>
      <c r="L34" s="77"/>
      <c r="M34" s="77"/>
      <c r="N34" s="77"/>
      <c r="Q34" s="1"/>
    </row>
    <row r="35" spans="2:28" s="26" customFormat="1">
      <c r="B35" s="155">
        <v>5</v>
      </c>
      <c r="C35" s="156" t="s">
        <v>170</v>
      </c>
      <c r="D35" s="130"/>
      <c r="E35" s="571">
        <f>MIN(E36:E38)</f>
        <v>45968</v>
      </c>
      <c r="F35" s="572">
        <f>G35-E35</f>
        <v>12</v>
      </c>
      <c r="G35" s="571">
        <f>MAX(G36:G38)</f>
        <v>45980</v>
      </c>
      <c r="H35" s="573"/>
      <c r="I35" s="571">
        <f>MIN(I36:I38)</f>
        <v>45974</v>
      </c>
      <c r="J35" s="572">
        <f>K35-I35</f>
        <v>11</v>
      </c>
      <c r="K35" s="571">
        <f>MAX(K36:K38)</f>
        <v>45985</v>
      </c>
      <c r="L35" s="574"/>
      <c r="M35" s="575">
        <f>(J36*M36+J37*M37)/SUM(J36:J37)</f>
        <v>1</v>
      </c>
      <c r="N35" s="575">
        <f ca="1">(K36*N36+K37*N37)/SUM(K36:K37)</f>
        <v>1</v>
      </c>
      <c r="O35" s="36"/>
      <c r="Q35" s="38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</row>
    <row r="36" spans="2:28" s="26" customFormat="1">
      <c r="B36" s="157" t="s">
        <v>171</v>
      </c>
      <c r="C36" s="158" t="s">
        <v>172</v>
      </c>
      <c r="D36" s="126"/>
      <c r="E36" s="582">
        <f>WORKDAY.INTL(E19,0,1,Data!$C$3:$C$60)</f>
        <v>45968</v>
      </c>
      <c r="F36" s="577">
        <v>1</v>
      </c>
      <c r="G36" s="576">
        <f>WORKDAY.INTL(E36,F36,1,Data!$C$3:$C$60)</f>
        <v>45971</v>
      </c>
      <c r="H36" s="578"/>
      <c r="I36" s="582">
        <v>45974</v>
      </c>
      <c r="J36" s="577">
        <v>2</v>
      </c>
      <c r="K36" s="576">
        <f>WORKDAY.INTL(I36,J36,1,Data!$C$3:$C$60)</f>
        <v>45978</v>
      </c>
      <c r="L36" s="77"/>
      <c r="M36" s="579">
        <v>1</v>
      </c>
      <c r="N36" s="579">
        <f t="shared" ref="N36:N37" ca="1" si="3">_xlfn.LET(
  _xlpm.s,VALUE($I36),
  _xlpm.e,VALUE($K36),
  IF(OR(_xlpm.s="",_xlpm.e=""),"", IF(_xlpm.e&lt;=_xlpm.s, IF(TODAY()&gt;=_xlpm.e,1,0), MAX(0,MIN(1,(TODAY()-_xlpm.s)/(_xlpm.e-_xlpm.s)))))
)</f>
        <v>1</v>
      </c>
      <c r="O36" s="36"/>
      <c r="Q36" s="38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</row>
    <row r="37" spans="2:28" s="26" customFormat="1">
      <c r="B37" s="157" t="s">
        <v>173</v>
      </c>
      <c r="C37" s="158" t="s">
        <v>174</v>
      </c>
      <c r="D37" s="126"/>
      <c r="E37" s="582">
        <f>G31</f>
        <v>45974</v>
      </c>
      <c r="F37" s="577">
        <v>4</v>
      </c>
      <c r="G37" s="576">
        <f>WORKDAY.INTL(E37,F37,1,Data!$C$3:$C$60)</f>
        <v>45980</v>
      </c>
      <c r="H37" s="578"/>
      <c r="I37" s="582">
        <f>K31</f>
        <v>45974</v>
      </c>
      <c r="J37" s="577">
        <v>7</v>
      </c>
      <c r="K37" s="576">
        <f>WORKDAY.INTL(I37,J37,1,Data!$C$3:$C$60)</f>
        <v>45985</v>
      </c>
      <c r="L37" s="77"/>
      <c r="M37" s="579">
        <v>1</v>
      </c>
      <c r="N37" s="579">
        <f t="shared" ca="1" si="3"/>
        <v>1</v>
      </c>
      <c r="O37" s="36"/>
      <c r="Q37" s="38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</row>
    <row r="38" spans="2:28" s="26" customFormat="1" ht="4.5" customHeight="1">
      <c r="B38" s="150"/>
      <c r="C38" s="126"/>
      <c r="D38" s="126"/>
      <c r="E38" s="580"/>
      <c r="F38" s="580"/>
      <c r="G38" s="580"/>
      <c r="H38" s="578"/>
      <c r="I38" s="580"/>
      <c r="J38" s="580"/>
      <c r="K38" s="580"/>
      <c r="L38" s="77"/>
      <c r="M38" s="77"/>
      <c r="N38" s="77"/>
      <c r="Q38" s="1"/>
    </row>
    <row r="39" spans="2:28" s="26" customFormat="1">
      <c r="B39" s="155">
        <v>6</v>
      </c>
      <c r="C39" s="156" t="s">
        <v>175</v>
      </c>
      <c r="D39" s="130"/>
      <c r="E39" s="571">
        <f>MIN(E40:E43)</f>
        <v>45980</v>
      </c>
      <c r="F39" s="572">
        <f>G39-E39</f>
        <v>9</v>
      </c>
      <c r="G39" s="571">
        <f>MAX(G40:G43)</f>
        <v>45989</v>
      </c>
      <c r="H39" s="573"/>
      <c r="I39" s="571">
        <f>MIN(I40:I43)</f>
        <v>45988</v>
      </c>
      <c r="J39" s="572">
        <f>K39-I39</f>
        <v>7</v>
      </c>
      <c r="K39" s="571">
        <f>MAX(K40:K43)</f>
        <v>45995</v>
      </c>
      <c r="L39" s="574"/>
      <c r="M39" s="575">
        <f>(J40*M40+J41*M41+J42*M42)/SUM(J40:J42)</f>
        <v>1</v>
      </c>
      <c r="N39" s="575">
        <f ca="1">(K40*N40+K41*N41)/SUM(K40:K41)</f>
        <v>1</v>
      </c>
      <c r="O39" s="36"/>
      <c r="Q39" s="38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</row>
    <row r="40" spans="2:28">
      <c r="B40" s="157" t="s">
        <v>176</v>
      </c>
      <c r="C40" s="154" t="s">
        <v>175</v>
      </c>
      <c r="D40" s="126"/>
      <c r="E40" s="582">
        <f>WORKDAY.INTL(MAX(G21,G28,G35),0,1,Data!$C$3:$C$60)</f>
        <v>45980</v>
      </c>
      <c r="F40" s="577">
        <v>1</v>
      </c>
      <c r="G40" s="582">
        <f>WORKDAY.INTL(E40,F40,1,Data!$C$3:$C$60)</f>
        <v>45981</v>
      </c>
      <c r="H40" s="578"/>
      <c r="I40" s="582">
        <f>WORKDAY.INTL(MAX(K21,K28,K35),0,1,Data!$C$3:$C$60)</f>
        <v>45988</v>
      </c>
      <c r="J40" s="577">
        <v>1</v>
      </c>
      <c r="K40" s="582">
        <f>WORKDAY.INTL(I40,J40,1,Data!$C$3:$C$60)</f>
        <v>45989</v>
      </c>
      <c r="L40" s="77"/>
      <c r="M40" s="579">
        <v>1</v>
      </c>
      <c r="N40" s="579">
        <f t="shared" ref="N40:N42" ca="1" si="4">_xlfn.LET(
  _xlpm.s,VALUE($I40),
  _xlpm.e,VALUE($K40),
  IF(OR(_xlpm.s="",_xlpm.e=""),"", IF(_xlpm.e&lt;=_xlpm.s, IF(TODAY()&gt;=_xlpm.e,1,0), MAX(0,MIN(1,(TODAY()-_xlpm.s)/(_xlpm.e-_xlpm.s)))))
)</f>
        <v>1</v>
      </c>
      <c r="O40" s="36"/>
      <c r="Y40" s="4"/>
    </row>
    <row r="41" spans="2:28">
      <c r="B41" s="157" t="s">
        <v>177</v>
      </c>
      <c r="C41" s="154" t="s">
        <v>178</v>
      </c>
      <c r="D41" s="126"/>
      <c r="E41" s="582">
        <f>WORKDAY.INTL(G40,0,1,Data!$C$3:$C$60)</f>
        <v>45981</v>
      </c>
      <c r="F41" s="577">
        <v>1</v>
      </c>
      <c r="G41" s="582">
        <f>WORKDAY.INTL(E41,F41,1,Data!$C$3:$C$60)</f>
        <v>45982</v>
      </c>
      <c r="H41" s="578"/>
      <c r="I41" s="582">
        <f>WORKDAY.INTL(K40,0,1,Data!$C$3:$C$60)</f>
        <v>45989</v>
      </c>
      <c r="J41" s="577">
        <v>1</v>
      </c>
      <c r="K41" s="582">
        <f>WORKDAY.INTL(I41,J41,1,Data!$C$3:$C$60)</f>
        <v>45992</v>
      </c>
      <c r="L41" s="77"/>
      <c r="M41" s="579">
        <v>1</v>
      </c>
      <c r="N41" s="579">
        <f t="shared" ca="1" si="4"/>
        <v>1</v>
      </c>
      <c r="O41" s="36"/>
      <c r="Y41" s="4"/>
    </row>
    <row r="42" spans="2:28">
      <c r="B42" s="157" t="s">
        <v>179</v>
      </c>
      <c r="C42" s="154" t="s">
        <v>180</v>
      </c>
      <c r="D42" s="126"/>
      <c r="E42" s="582">
        <f>WORKDAY.INTL(G41,0,1,Data!$C$3:$C$60)</f>
        <v>45982</v>
      </c>
      <c r="F42" s="577">
        <v>5</v>
      </c>
      <c r="G42" s="582">
        <f>WORKDAY.INTL(E42,F42,1,Data!$C$3:$C$60)</f>
        <v>45989</v>
      </c>
      <c r="H42" s="578"/>
      <c r="I42" s="582">
        <f>WORKDAY.INTL(K41,0,1,Data!$C$3:$C$60)</f>
        <v>45992</v>
      </c>
      <c r="J42" s="577">
        <v>3</v>
      </c>
      <c r="K42" s="582">
        <f>WORKDAY.INTL(I42,J42,1,Data!$C$3:$C$60)</f>
        <v>45995</v>
      </c>
      <c r="L42" s="77"/>
      <c r="M42" s="579">
        <v>1</v>
      </c>
      <c r="N42" s="579">
        <f t="shared" ca="1" si="4"/>
        <v>1</v>
      </c>
      <c r="O42" s="36"/>
      <c r="Y42" s="4"/>
    </row>
    <row r="43" spans="2:28" s="26" customFormat="1" ht="4.5" customHeight="1">
      <c r="B43" s="150"/>
      <c r="C43" s="126"/>
      <c r="D43" s="126"/>
      <c r="E43" s="580"/>
      <c r="F43" s="580"/>
      <c r="G43" s="580"/>
      <c r="H43" s="578"/>
      <c r="I43" s="580"/>
      <c r="J43" s="580"/>
      <c r="K43" s="580"/>
      <c r="L43" s="77"/>
      <c r="M43" s="77"/>
      <c r="N43" s="77"/>
      <c r="Q43" s="1"/>
    </row>
    <row r="44" spans="2:28" s="26" customFormat="1">
      <c r="B44" s="155">
        <v>7</v>
      </c>
      <c r="C44" s="156" t="s">
        <v>181</v>
      </c>
      <c r="D44" s="130"/>
      <c r="E44" s="571">
        <f>MIN(E45:E47)</f>
        <v>45980</v>
      </c>
      <c r="F44" s="572">
        <f>G44-E44</f>
        <v>6</v>
      </c>
      <c r="G44" s="571">
        <f>MAX(G45:G47)</f>
        <v>45986</v>
      </c>
      <c r="H44" s="573"/>
      <c r="I44" s="571">
        <f>MIN(I45:I47)</f>
        <v>45988</v>
      </c>
      <c r="J44" s="572">
        <f>K44-I44</f>
        <v>4</v>
      </c>
      <c r="K44" s="571">
        <f>MAX(K45:K47)</f>
        <v>45992</v>
      </c>
      <c r="L44" s="574"/>
      <c r="M44" s="575">
        <f>(J45*M45+J46*M46)/SUM(J45:J46)</f>
        <v>1</v>
      </c>
      <c r="N44" s="575">
        <f ca="1">(K45*N45)/SUM(K45)</f>
        <v>1</v>
      </c>
      <c r="O44" s="36"/>
      <c r="Q44" s="38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</row>
    <row r="45" spans="2:28">
      <c r="B45" s="157" t="s">
        <v>182</v>
      </c>
      <c r="C45" s="154" t="s">
        <v>183</v>
      </c>
      <c r="D45" s="126"/>
      <c r="E45" s="582">
        <f>WORKDAY.INTL(E40,0,1,Data!$C$3:$C$60)</f>
        <v>45980</v>
      </c>
      <c r="F45" s="577">
        <v>2</v>
      </c>
      <c r="G45" s="582">
        <f>WORKDAY.INTL(E45,F45,1,Data!$C$3:$C$60)</f>
        <v>45982</v>
      </c>
      <c r="H45" s="578"/>
      <c r="I45" s="582">
        <f>WORKDAY.INTL(I40,0,1,Data!$C$3:$C$60)</f>
        <v>45988</v>
      </c>
      <c r="J45" s="577">
        <v>1</v>
      </c>
      <c r="K45" s="582">
        <f>WORKDAY.INTL(I45,J45,1,Data!$C$3:$C$60)</f>
        <v>45989</v>
      </c>
      <c r="L45" s="77"/>
      <c r="M45" s="579">
        <v>1</v>
      </c>
      <c r="N45" s="579">
        <f t="shared" ref="N45:N46" ca="1" si="5">_xlfn.LET(
  _xlpm.s,VALUE($I45),
  _xlpm.e,VALUE($K45),
  IF(OR(_xlpm.s="",_xlpm.e=""),"", IF(_xlpm.e&lt;=_xlpm.s, IF(TODAY()&gt;=_xlpm.e,1,0), MAX(0,MIN(1,(TODAY()-_xlpm.s)/(_xlpm.e-_xlpm.s)))))
)</f>
        <v>1</v>
      </c>
      <c r="O45" s="36"/>
      <c r="Y45" s="4"/>
    </row>
    <row r="46" spans="2:28">
      <c r="B46" s="157" t="s">
        <v>184</v>
      </c>
      <c r="C46" s="154" t="s">
        <v>185</v>
      </c>
      <c r="D46" s="126"/>
      <c r="E46" s="582">
        <f>G45</f>
        <v>45982</v>
      </c>
      <c r="F46" s="577">
        <v>2</v>
      </c>
      <c r="G46" s="582">
        <f>WORKDAY.INTL(E46,F46,1,Data!$C$3:$C$60)</f>
        <v>45986</v>
      </c>
      <c r="H46" s="578"/>
      <c r="I46" s="582">
        <f>K45</f>
        <v>45989</v>
      </c>
      <c r="J46" s="577">
        <v>1</v>
      </c>
      <c r="K46" s="582">
        <f>WORKDAY.INTL(I46,J46,1,Data!$C$3:$C$60)</f>
        <v>45992</v>
      </c>
      <c r="L46" s="77"/>
      <c r="M46" s="579">
        <v>1</v>
      </c>
      <c r="N46" s="579">
        <f t="shared" ca="1" si="5"/>
        <v>1</v>
      </c>
      <c r="O46" s="36"/>
      <c r="Y46" s="4"/>
    </row>
    <row r="47" spans="2:28" s="26" customFormat="1" ht="4.5" customHeight="1">
      <c r="B47" s="150"/>
      <c r="C47" s="126"/>
      <c r="D47" s="126"/>
      <c r="E47" s="580"/>
      <c r="F47" s="580"/>
      <c r="G47" s="580"/>
      <c r="H47" s="578"/>
      <c r="I47" s="580"/>
      <c r="J47" s="580"/>
      <c r="K47" s="580"/>
      <c r="L47" s="77"/>
      <c r="M47" s="77"/>
      <c r="N47" s="77"/>
      <c r="Q47" s="1"/>
    </row>
    <row r="48" spans="2:28" s="26" customFormat="1">
      <c r="B48" s="155">
        <v>8</v>
      </c>
      <c r="C48" s="156" t="s">
        <v>186</v>
      </c>
      <c r="D48" s="130"/>
      <c r="E48" s="571">
        <f>MIN(E49:E51)</f>
        <v>45982</v>
      </c>
      <c r="F48" s="572">
        <f>G48-E48</f>
        <v>18</v>
      </c>
      <c r="G48" s="571">
        <f>MAX(G49:G51)</f>
        <v>46000</v>
      </c>
      <c r="H48" s="573"/>
      <c r="I48" s="571">
        <f>MIN(I49:I51)</f>
        <v>45989</v>
      </c>
      <c r="J48" s="572">
        <f>K48-I48</f>
        <v>62</v>
      </c>
      <c r="K48" s="571">
        <f>MAX(K49:K51)</f>
        <v>46051</v>
      </c>
      <c r="L48" s="574"/>
      <c r="M48" s="575">
        <f>(J49*M49+J50*M50+J51*M51)/SUM(J49:J51)</f>
        <v>1</v>
      </c>
      <c r="N48" s="575">
        <f ca="1">(K46*N46+K42*N42+K49*N49+K50*N50+K51*N51)/SUM(K46:K51)</f>
        <v>0.99975671953672451</v>
      </c>
      <c r="O48" s="36"/>
      <c r="Q48" s="38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</row>
    <row r="49" spans="2:28">
      <c r="B49" s="157" t="s">
        <v>187</v>
      </c>
      <c r="C49" s="154" t="s">
        <v>188</v>
      </c>
      <c r="D49" s="126"/>
      <c r="E49" s="582">
        <f>WORKDAY.INTL(E46,0,1,Data!$C$3:$C$60)</f>
        <v>45982</v>
      </c>
      <c r="F49" s="577">
        <v>7</v>
      </c>
      <c r="G49" s="582">
        <f>WORKDAY.INTL(E49,F49,1,Data!$C$3:$C$60)</f>
        <v>45993</v>
      </c>
      <c r="H49" s="578"/>
      <c r="I49" s="582">
        <f>WORKDAY.INTL(I46,0,1,Data!$C$3:$C$60)</f>
        <v>45989</v>
      </c>
      <c r="J49" s="577">
        <v>15</v>
      </c>
      <c r="K49" s="582">
        <f>WORKDAY.INTL(I49,J49,1,Data!$C$3:$C$60)</f>
        <v>46045</v>
      </c>
      <c r="L49" s="77"/>
      <c r="M49" s="579">
        <v>1</v>
      </c>
      <c r="N49" s="579">
        <f t="shared" ref="N49:N51" ca="1" si="6">_xlfn.LET(
  _xlpm.s,VALUE($I49),
  _xlpm.e,VALUE($K49),
  IF(OR(_xlpm.s="",_xlpm.e=""),"", IF(_xlpm.e&lt;=_xlpm.s, IF(TODAY()&gt;=_xlpm.e,1,0), MAX(0,MIN(1,(TODAY()-_xlpm.s)/(_xlpm.e-_xlpm.s)))))
)</f>
        <v>1</v>
      </c>
      <c r="O49" s="36"/>
      <c r="Y49" s="4"/>
    </row>
    <row r="50" spans="2:28">
      <c r="B50" s="157" t="s">
        <v>189</v>
      </c>
      <c r="C50" s="154" t="s">
        <v>190</v>
      </c>
      <c r="D50" s="126"/>
      <c r="E50" s="582">
        <f>WORKDAY.INTL(G49,0,1,Data!$C$3:$C$60)</f>
        <v>45993</v>
      </c>
      <c r="F50" s="577">
        <v>1</v>
      </c>
      <c r="G50" s="582">
        <f>WORKDAY.INTL(E50,F50,1,Data!$C$3:$C$60)</f>
        <v>45994</v>
      </c>
      <c r="H50" s="578"/>
      <c r="I50" s="582">
        <v>46050</v>
      </c>
      <c r="J50" s="577">
        <v>1</v>
      </c>
      <c r="K50" s="582">
        <f>WORKDAY.INTL(I50,J50,1,Data!$C$3:$C$60)</f>
        <v>46051</v>
      </c>
      <c r="L50" s="77"/>
      <c r="M50" s="579">
        <v>1</v>
      </c>
      <c r="N50" s="579">
        <f t="shared" ca="1" si="6"/>
        <v>1</v>
      </c>
      <c r="O50" s="36"/>
      <c r="Y50" s="4"/>
    </row>
    <row r="51" spans="2:28">
      <c r="B51" s="157" t="s">
        <v>191</v>
      </c>
      <c r="C51" s="154" t="s">
        <v>192</v>
      </c>
      <c r="D51" s="126"/>
      <c r="E51" s="582">
        <f>WORKDAY.INTL(G49,0,1,Data!$C$3:$C$60)</f>
        <v>45993</v>
      </c>
      <c r="F51" s="577">
        <v>5</v>
      </c>
      <c r="G51" s="582">
        <f>WORKDAY.INTL(E51,F51,1,Data!$C$3:$C$60)</f>
        <v>46000</v>
      </c>
      <c r="H51" s="578"/>
      <c r="I51" s="582">
        <f>WORKDAY.INTL(K49,0,1,Data!$C$3:$C$60)</f>
        <v>46045</v>
      </c>
      <c r="J51" s="577">
        <v>1</v>
      </c>
      <c r="K51" s="582">
        <f>WORKDAY.INTL(I51,J51,1,Data!$C$3:$C$60)</f>
        <v>46048</v>
      </c>
      <c r="L51" s="77"/>
      <c r="M51" s="579">
        <v>1</v>
      </c>
      <c r="N51" s="579">
        <f t="shared" ca="1" si="6"/>
        <v>1</v>
      </c>
      <c r="O51" s="36"/>
      <c r="Y51" s="4"/>
    </row>
    <row r="52" spans="2:28" s="26" customFormat="1" ht="4.5" customHeight="1">
      <c r="B52" s="150"/>
      <c r="C52" s="126"/>
      <c r="D52" s="126"/>
      <c r="E52" s="583"/>
      <c r="F52" s="583"/>
      <c r="G52" s="583"/>
      <c r="H52" s="583"/>
      <c r="I52" s="583"/>
      <c r="J52" s="583"/>
      <c r="K52" s="583"/>
      <c r="L52" s="583"/>
      <c r="M52" s="583"/>
      <c r="N52" s="583"/>
      <c r="O52" s="126"/>
      <c r="Q52" s="38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</row>
    <row r="53" spans="2:28" s="1" customFormat="1">
      <c r="B53" s="81"/>
      <c r="E53" s="82"/>
      <c r="F53" s="25"/>
      <c r="J53" s="25"/>
    </row>
    <row r="54" spans="2:28">
      <c r="B54" s="79"/>
      <c r="C54" s="26"/>
      <c r="E54" s="26"/>
      <c r="G54" s="27"/>
    </row>
    <row r="55" spans="2:28">
      <c r="B55" s="79"/>
      <c r="C55" s="26"/>
      <c r="E55" s="26"/>
      <c r="G55" s="27"/>
    </row>
    <row r="56" spans="2:28">
      <c r="B56" s="79"/>
      <c r="C56" s="26"/>
      <c r="E56" s="26"/>
      <c r="G56" s="27"/>
    </row>
    <row r="57" spans="2:28">
      <c r="B57" s="79"/>
      <c r="C57" s="26"/>
      <c r="E57" s="26"/>
      <c r="G57" s="27"/>
    </row>
    <row r="58" spans="2:28">
      <c r="B58" s="79"/>
      <c r="C58" s="26"/>
      <c r="E58" s="26"/>
      <c r="G58" s="27"/>
    </row>
    <row r="59" spans="2:28">
      <c r="B59" s="79"/>
      <c r="C59" s="26"/>
      <c r="E59" s="26"/>
      <c r="G59" s="27"/>
    </row>
    <row r="60" spans="2:28">
      <c r="B60" s="79"/>
      <c r="C60" s="26"/>
      <c r="E60" s="26"/>
      <c r="G60" s="27"/>
    </row>
    <row r="61" spans="2:28">
      <c r="B61" s="79"/>
      <c r="C61" s="26"/>
      <c r="E61" s="26"/>
      <c r="G61" s="27"/>
    </row>
    <row r="62" spans="2:28">
      <c r="B62" s="79"/>
      <c r="C62" s="26"/>
      <c r="E62" s="26"/>
      <c r="G62" s="27"/>
    </row>
    <row r="63" spans="2:28">
      <c r="B63" s="79"/>
      <c r="C63" s="26"/>
      <c r="E63" s="26"/>
      <c r="G63" s="27"/>
    </row>
    <row r="64" spans="2:28">
      <c r="B64" s="79"/>
      <c r="C64" s="26"/>
      <c r="E64" s="26"/>
      <c r="G64" s="27"/>
    </row>
    <row r="65" spans="2:7">
      <c r="B65" s="79"/>
      <c r="C65" s="26"/>
      <c r="E65" s="26"/>
      <c r="G65" s="27"/>
    </row>
    <row r="66" spans="2:7">
      <c r="B66" s="79"/>
      <c r="C66" s="26"/>
      <c r="E66" s="26"/>
      <c r="G66" s="27"/>
    </row>
    <row r="67" spans="2:7">
      <c r="B67" s="79"/>
      <c r="C67" s="26"/>
      <c r="E67" s="26"/>
      <c r="G67" s="27"/>
    </row>
    <row r="68" spans="2:7">
      <c r="B68" s="79"/>
      <c r="C68" s="26"/>
      <c r="E68" s="26"/>
      <c r="G68" s="27"/>
    </row>
    <row r="69" spans="2:7">
      <c r="B69" s="79"/>
      <c r="C69" s="26"/>
      <c r="E69" s="26"/>
      <c r="G69" s="27"/>
    </row>
    <row r="70" spans="2:7">
      <c r="B70" s="79"/>
      <c r="C70" s="26"/>
      <c r="E70" s="26"/>
      <c r="G70" s="27"/>
    </row>
    <row r="71" spans="2:7">
      <c r="B71" s="79"/>
      <c r="C71" s="26"/>
      <c r="E71" s="26"/>
      <c r="G71" s="27"/>
    </row>
    <row r="72" spans="2:7">
      <c r="B72" s="79"/>
      <c r="C72" s="26"/>
      <c r="E72" s="26"/>
      <c r="G72" s="27"/>
    </row>
    <row r="73" spans="2:7">
      <c r="B73" s="79"/>
      <c r="C73" s="26"/>
      <c r="E73" s="26"/>
      <c r="G73" s="27"/>
    </row>
    <row r="74" spans="2:7">
      <c r="B74" s="79"/>
      <c r="C74" s="26"/>
      <c r="E74" s="26"/>
      <c r="G74" s="27"/>
    </row>
    <row r="75" spans="2:7">
      <c r="B75" s="79"/>
      <c r="C75" s="26"/>
      <c r="E75" s="26"/>
      <c r="G75" s="27"/>
    </row>
    <row r="76" spans="2:7">
      <c r="B76" s="79"/>
      <c r="C76" s="26"/>
      <c r="E76" s="26"/>
      <c r="G76" s="27"/>
    </row>
    <row r="77" spans="2:7">
      <c r="B77" s="79"/>
      <c r="C77" s="26"/>
      <c r="E77" s="26"/>
      <c r="G77" s="27"/>
    </row>
    <row r="78" spans="2:7">
      <c r="B78" s="79"/>
      <c r="C78" s="26"/>
      <c r="E78" s="26"/>
      <c r="G78" s="27"/>
    </row>
    <row r="79" spans="2:7">
      <c r="B79" s="79"/>
      <c r="C79" s="26"/>
      <c r="E79" s="26"/>
      <c r="G79" s="27"/>
    </row>
    <row r="80" spans="2:7">
      <c r="B80" s="79"/>
      <c r="C80" s="26"/>
      <c r="E80" s="26"/>
      <c r="G80" s="27"/>
    </row>
    <row r="81" spans="2:7">
      <c r="B81" s="79"/>
      <c r="C81" s="26"/>
      <c r="E81" s="26"/>
      <c r="G81" s="27"/>
    </row>
    <row r="82" spans="2:7">
      <c r="B82" s="79"/>
      <c r="C82" s="26"/>
      <c r="E82" s="26"/>
      <c r="G82" s="27"/>
    </row>
    <row r="83" spans="2:7">
      <c r="B83" s="79"/>
      <c r="C83" s="26"/>
      <c r="E83" s="26"/>
      <c r="G83" s="27"/>
    </row>
    <row r="84" spans="2:7">
      <c r="B84" s="79"/>
      <c r="C84" s="26"/>
      <c r="E84" s="26"/>
      <c r="G84" s="27"/>
    </row>
    <row r="85" spans="2:7">
      <c r="B85" s="79"/>
      <c r="C85" s="26"/>
      <c r="E85" s="26"/>
      <c r="G85" s="27"/>
    </row>
    <row r="86" spans="2:7">
      <c r="B86" s="79"/>
      <c r="C86" s="26"/>
      <c r="E86" s="26"/>
      <c r="G86" s="27"/>
    </row>
    <row r="87" spans="2:7">
      <c r="B87" s="79"/>
      <c r="C87" s="26"/>
      <c r="E87" s="26"/>
      <c r="G87" s="27"/>
    </row>
    <row r="88" spans="2:7">
      <c r="B88" s="79"/>
      <c r="C88" s="26"/>
      <c r="E88" s="26"/>
      <c r="G88" s="27"/>
    </row>
    <row r="89" spans="2:7">
      <c r="B89" s="79"/>
      <c r="C89" s="26"/>
      <c r="E89" s="26"/>
      <c r="G89" s="27"/>
    </row>
    <row r="90" spans="2:7">
      <c r="B90" s="79"/>
      <c r="C90" s="26"/>
      <c r="E90" s="26"/>
      <c r="G90" s="27"/>
    </row>
    <row r="91" spans="2:7">
      <c r="B91" s="79"/>
      <c r="C91" s="26"/>
      <c r="E91" s="26"/>
      <c r="G91" s="27"/>
    </row>
    <row r="92" spans="2:7">
      <c r="B92" s="79"/>
      <c r="C92" s="26"/>
      <c r="E92" s="26"/>
      <c r="G92" s="27"/>
    </row>
    <row r="93" spans="2:7">
      <c r="B93" s="79"/>
      <c r="C93" s="26"/>
      <c r="E93" s="26"/>
      <c r="G93" s="27"/>
    </row>
    <row r="94" spans="2:7">
      <c r="B94" s="79"/>
      <c r="C94" s="26"/>
      <c r="E94" s="26"/>
      <c r="G94" s="27"/>
    </row>
    <row r="95" spans="2:7">
      <c r="B95" s="79"/>
      <c r="C95" s="26"/>
      <c r="E95" s="26"/>
      <c r="G95" s="27"/>
    </row>
    <row r="96" spans="2:7">
      <c r="B96" s="79"/>
      <c r="C96" s="26"/>
      <c r="E96" s="26"/>
      <c r="G96" s="27"/>
    </row>
    <row r="97" spans="2:7">
      <c r="B97" s="79"/>
      <c r="C97" s="26"/>
      <c r="E97" s="26"/>
      <c r="G97" s="27"/>
    </row>
    <row r="98" spans="2:7">
      <c r="B98" s="79"/>
      <c r="C98" s="26"/>
      <c r="E98" s="26"/>
      <c r="G98" s="27"/>
    </row>
    <row r="99" spans="2:7">
      <c r="B99" s="79"/>
      <c r="C99" s="26"/>
      <c r="E99" s="26"/>
      <c r="G99" s="27"/>
    </row>
    <row r="100" spans="2:7">
      <c r="B100" s="79"/>
      <c r="C100" s="26"/>
      <c r="E100" s="26"/>
      <c r="G100" s="27"/>
    </row>
    <row r="101" spans="2:7">
      <c r="B101" s="79"/>
      <c r="C101" s="26"/>
      <c r="E101" s="26"/>
      <c r="G101" s="27"/>
    </row>
    <row r="102" spans="2:7">
      <c r="B102" s="79"/>
      <c r="C102" s="26"/>
      <c r="E102" s="26"/>
      <c r="G102" s="27"/>
    </row>
    <row r="103" spans="2:7">
      <c r="B103" s="79"/>
      <c r="C103" s="26"/>
      <c r="E103" s="26"/>
      <c r="G103" s="27"/>
    </row>
    <row r="104" spans="2:7">
      <c r="B104" s="79"/>
      <c r="C104" s="26"/>
      <c r="E104" s="26"/>
      <c r="G104" s="27"/>
    </row>
    <row r="105" spans="2:7">
      <c r="B105" s="79"/>
      <c r="C105" s="26"/>
      <c r="E105" s="26"/>
      <c r="G105" s="27"/>
    </row>
    <row r="106" spans="2:7">
      <c r="B106" s="79"/>
      <c r="C106" s="26"/>
      <c r="E106" s="26"/>
      <c r="G106" s="27"/>
    </row>
    <row r="107" spans="2:7">
      <c r="B107" s="79"/>
      <c r="C107" s="26"/>
      <c r="E107" s="26"/>
      <c r="G107" s="27"/>
    </row>
    <row r="108" spans="2:7">
      <c r="B108" s="79"/>
      <c r="C108" s="26"/>
      <c r="E108" s="26"/>
      <c r="G108" s="27"/>
    </row>
    <row r="109" spans="2:7">
      <c r="B109" s="79"/>
      <c r="C109" s="26"/>
      <c r="E109" s="26"/>
      <c r="G109" s="27"/>
    </row>
    <row r="110" spans="2:7">
      <c r="B110" s="79"/>
      <c r="C110" s="26"/>
      <c r="E110" s="26"/>
      <c r="G110" s="27"/>
    </row>
    <row r="111" spans="2:7">
      <c r="B111" s="79"/>
      <c r="C111" s="26"/>
      <c r="E111" s="26"/>
      <c r="G111" s="27"/>
    </row>
    <row r="112" spans="2:7">
      <c r="B112" s="79"/>
      <c r="C112" s="26"/>
      <c r="E112" s="26"/>
      <c r="G112" s="27"/>
    </row>
    <row r="113" spans="2:7">
      <c r="B113" s="79"/>
      <c r="C113" s="26"/>
      <c r="E113" s="26"/>
      <c r="G113" s="27"/>
    </row>
    <row r="114" spans="2:7">
      <c r="B114" s="79"/>
      <c r="C114" s="26"/>
      <c r="E114" s="26"/>
      <c r="G114" s="27"/>
    </row>
    <row r="115" spans="2:7">
      <c r="B115" s="79"/>
      <c r="C115" s="26"/>
      <c r="E115" s="26"/>
      <c r="G115" s="27"/>
    </row>
    <row r="116" spans="2:7">
      <c r="B116" s="79"/>
      <c r="C116" s="26"/>
      <c r="E116" s="26"/>
      <c r="G116" s="27"/>
    </row>
    <row r="117" spans="2:7">
      <c r="B117" s="79"/>
      <c r="C117" s="26"/>
      <c r="E117" s="26"/>
      <c r="G117" s="27"/>
    </row>
    <row r="118" spans="2:7">
      <c r="B118" s="79"/>
      <c r="C118" s="26"/>
      <c r="E118" s="26"/>
      <c r="G118" s="27"/>
    </row>
    <row r="119" spans="2:7">
      <c r="B119" s="79"/>
      <c r="C119" s="26"/>
      <c r="E119" s="26"/>
      <c r="G119" s="27"/>
    </row>
    <row r="120" spans="2:7">
      <c r="B120" s="79"/>
      <c r="C120" s="26"/>
      <c r="E120" s="26"/>
      <c r="G120" s="27"/>
    </row>
    <row r="121" spans="2:7">
      <c r="B121" s="79"/>
      <c r="C121" s="26"/>
      <c r="E121" s="26"/>
      <c r="G121" s="27"/>
    </row>
    <row r="122" spans="2:7">
      <c r="B122" s="79"/>
      <c r="C122" s="26"/>
      <c r="E122" s="26"/>
      <c r="G122" s="27"/>
    </row>
    <row r="123" spans="2:7">
      <c r="B123" s="79"/>
      <c r="C123" s="26"/>
      <c r="E123" s="26"/>
      <c r="G123" s="27"/>
    </row>
    <row r="124" spans="2:7">
      <c r="B124" s="79"/>
      <c r="C124" s="26"/>
      <c r="E124" s="26"/>
      <c r="G124" s="27"/>
    </row>
    <row r="125" spans="2:7">
      <c r="B125" s="79"/>
      <c r="C125" s="26"/>
      <c r="E125" s="26"/>
      <c r="G125" s="27"/>
    </row>
    <row r="126" spans="2:7">
      <c r="B126" s="79"/>
      <c r="C126" s="26"/>
      <c r="E126" s="26"/>
      <c r="G126" s="27"/>
    </row>
    <row r="127" spans="2:7">
      <c r="B127" s="79"/>
      <c r="C127" s="26"/>
      <c r="E127" s="26"/>
      <c r="G127" s="27"/>
    </row>
    <row r="128" spans="2:7">
      <c r="B128" s="79"/>
      <c r="C128" s="26"/>
      <c r="E128" s="26"/>
      <c r="G128" s="27"/>
    </row>
    <row r="129" spans="2:7">
      <c r="B129" s="79"/>
      <c r="C129" s="26"/>
      <c r="E129" s="26"/>
      <c r="G129" s="27"/>
    </row>
    <row r="130" spans="2:7">
      <c r="B130" s="79"/>
      <c r="C130" s="26"/>
      <c r="E130" s="26"/>
      <c r="G130" s="27"/>
    </row>
    <row r="131" spans="2:7">
      <c r="B131" s="79"/>
      <c r="C131" s="26"/>
      <c r="E131" s="26"/>
      <c r="G131" s="27"/>
    </row>
    <row r="132" spans="2:7">
      <c r="B132" s="79"/>
      <c r="C132" s="26"/>
      <c r="E132" s="26"/>
      <c r="G132" s="27"/>
    </row>
    <row r="133" spans="2:7">
      <c r="B133" s="79"/>
      <c r="C133" s="26"/>
      <c r="E133" s="26"/>
      <c r="G133" s="27"/>
    </row>
    <row r="134" spans="2:7">
      <c r="B134" s="79"/>
      <c r="C134" s="26"/>
      <c r="E134" s="26"/>
      <c r="G134" s="27"/>
    </row>
    <row r="135" spans="2:7">
      <c r="B135" s="79"/>
      <c r="C135" s="26"/>
      <c r="E135" s="26"/>
      <c r="G135" s="27"/>
    </row>
    <row r="136" spans="2:7">
      <c r="B136" s="79"/>
      <c r="C136" s="26"/>
      <c r="E136" s="26"/>
      <c r="G136" s="27"/>
    </row>
    <row r="137" spans="2:7">
      <c r="B137" s="79"/>
      <c r="C137" s="26"/>
      <c r="E137" s="26"/>
      <c r="G137" s="27"/>
    </row>
    <row r="138" spans="2:7">
      <c r="B138" s="79"/>
      <c r="C138" s="26"/>
      <c r="E138" s="26"/>
      <c r="G138" s="27"/>
    </row>
    <row r="139" spans="2:7">
      <c r="B139" s="79"/>
      <c r="C139" s="26"/>
      <c r="E139" s="26"/>
      <c r="G139" s="27"/>
    </row>
    <row r="140" spans="2:7">
      <c r="B140" s="79"/>
      <c r="C140" s="26"/>
      <c r="E140" s="26"/>
      <c r="G140" s="27"/>
    </row>
    <row r="141" spans="2:7">
      <c r="B141" s="79"/>
      <c r="C141" s="26"/>
      <c r="E141" s="26"/>
      <c r="G141" s="27"/>
    </row>
    <row r="142" spans="2:7">
      <c r="B142" s="79"/>
      <c r="C142" s="26"/>
      <c r="E142" s="26"/>
      <c r="G142" s="27"/>
    </row>
    <row r="143" spans="2:7">
      <c r="B143" s="79"/>
      <c r="C143" s="26"/>
      <c r="E143" s="26"/>
      <c r="G143" s="27"/>
    </row>
    <row r="144" spans="2:7">
      <c r="B144" s="79"/>
      <c r="C144" s="26"/>
      <c r="E144" s="26"/>
      <c r="G144" s="27"/>
    </row>
    <row r="145" spans="2:7">
      <c r="B145" s="79"/>
      <c r="C145" s="26"/>
      <c r="E145" s="26"/>
      <c r="G145" s="27"/>
    </row>
    <row r="146" spans="2:7">
      <c r="B146" s="79"/>
      <c r="C146" s="26"/>
      <c r="E146" s="26"/>
      <c r="G146" s="27"/>
    </row>
    <row r="147" spans="2:7">
      <c r="B147" s="79"/>
      <c r="C147" s="26"/>
      <c r="E147" s="26"/>
      <c r="G147" s="27"/>
    </row>
    <row r="148" spans="2:7">
      <c r="B148" s="79"/>
      <c r="C148" s="26"/>
      <c r="E148" s="26"/>
      <c r="G148" s="27"/>
    </row>
    <row r="149" spans="2:7">
      <c r="B149" s="79"/>
      <c r="C149" s="26"/>
      <c r="E149" s="26"/>
      <c r="G149" s="27"/>
    </row>
    <row r="150" spans="2:7">
      <c r="B150" s="79"/>
      <c r="C150" s="26"/>
      <c r="E150" s="26"/>
      <c r="G150" s="27"/>
    </row>
    <row r="151" spans="2:7">
      <c r="B151" s="79"/>
      <c r="C151" s="26"/>
      <c r="E151" s="26"/>
      <c r="G151" s="27"/>
    </row>
    <row r="152" spans="2:7">
      <c r="B152" s="79"/>
      <c r="C152" s="26"/>
      <c r="E152" s="26"/>
      <c r="G152" s="27"/>
    </row>
    <row r="153" spans="2:7">
      <c r="B153" s="79"/>
      <c r="C153" s="26"/>
      <c r="E153" s="26"/>
      <c r="G153" s="27"/>
    </row>
    <row r="154" spans="2:7">
      <c r="B154" s="79"/>
      <c r="C154" s="26"/>
      <c r="E154" s="26"/>
      <c r="G154" s="27"/>
    </row>
    <row r="155" spans="2:7">
      <c r="B155" s="79"/>
      <c r="C155" s="26"/>
      <c r="E155" s="26"/>
      <c r="G155" s="27"/>
    </row>
    <row r="156" spans="2:7">
      <c r="B156" s="79"/>
      <c r="C156" s="26"/>
      <c r="E156" s="26"/>
      <c r="G156" s="27"/>
    </row>
    <row r="157" spans="2:7">
      <c r="B157" s="79"/>
      <c r="C157" s="26"/>
      <c r="E157" s="26"/>
      <c r="G157" s="27"/>
    </row>
    <row r="158" spans="2:7">
      <c r="B158" s="79"/>
      <c r="C158" s="26"/>
      <c r="E158" s="26"/>
      <c r="G158" s="27"/>
    </row>
    <row r="159" spans="2:7">
      <c r="B159" s="79"/>
      <c r="C159" s="26"/>
      <c r="E159" s="26"/>
      <c r="G159" s="27"/>
    </row>
    <row r="160" spans="2:7">
      <c r="B160" s="79"/>
      <c r="C160" s="26"/>
      <c r="E160" s="26"/>
      <c r="G160" s="27"/>
    </row>
    <row r="161" spans="2:7">
      <c r="B161" s="79"/>
      <c r="C161" s="26"/>
      <c r="E161" s="26"/>
      <c r="G161" s="27"/>
    </row>
    <row r="162" spans="2:7">
      <c r="B162" s="79"/>
      <c r="C162" s="26"/>
      <c r="E162" s="26"/>
      <c r="G162" s="27"/>
    </row>
    <row r="163" spans="2:7">
      <c r="B163" s="79"/>
      <c r="C163" s="26"/>
      <c r="E163" s="26"/>
      <c r="G163" s="27"/>
    </row>
    <row r="164" spans="2:7">
      <c r="B164" s="79"/>
      <c r="C164" s="26"/>
      <c r="E164" s="26"/>
      <c r="G164" s="27"/>
    </row>
    <row r="165" spans="2:7">
      <c r="B165" s="79"/>
      <c r="C165" s="26"/>
      <c r="E165" s="26"/>
      <c r="G165" s="27"/>
    </row>
    <row r="166" spans="2:7">
      <c r="B166" s="79"/>
      <c r="C166" s="26"/>
      <c r="E166" s="26"/>
      <c r="G166" s="27"/>
    </row>
    <row r="167" spans="2:7">
      <c r="B167" s="79"/>
      <c r="C167" s="26"/>
      <c r="E167" s="26"/>
      <c r="G167" s="27"/>
    </row>
    <row r="168" spans="2:7">
      <c r="B168" s="79"/>
      <c r="C168" s="26"/>
      <c r="E168" s="26"/>
      <c r="G168" s="27"/>
    </row>
    <row r="169" spans="2:7">
      <c r="B169" s="79"/>
      <c r="C169" s="26"/>
      <c r="E169" s="26"/>
      <c r="G169" s="27"/>
    </row>
    <row r="170" spans="2:7">
      <c r="B170" s="79"/>
      <c r="C170" s="26"/>
      <c r="E170" s="26"/>
      <c r="G170" s="27"/>
    </row>
    <row r="171" spans="2:7">
      <c r="B171" s="79"/>
      <c r="C171" s="26"/>
      <c r="E171" s="26"/>
      <c r="G171" s="27"/>
    </row>
    <row r="172" spans="2:7">
      <c r="B172" s="79"/>
      <c r="C172" s="26"/>
      <c r="E172" s="26"/>
      <c r="G172" s="27"/>
    </row>
    <row r="173" spans="2:7">
      <c r="B173" s="79"/>
      <c r="C173" s="26"/>
      <c r="E173" s="26"/>
      <c r="G173" s="27"/>
    </row>
    <row r="174" spans="2:7">
      <c r="B174" s="79"/>
      <c r="C174" s="26"/>
      <c r="E174" s="26"/>
      <c r="G174" s="27"/>
    </row>
    <row r="175" spans="2:7">
      <c r="B175" s="79"/>
      <c r="C175" s="26"/>
      <c r="E175" s="26"/>
      <c r="G175" s="27"/>
    </row>
    <row r="176" spans="2:7">
      <c r="B176" s="79"/>
      <c r="C176" s="26"/>
      <c r="E176" s="26"/>
      <c r="G176" s="27"/>
    </row>
    <row r="177" spans="2:7">
      <c r="B177" s="79"/>
      <c r="C177" s="26"/>
      <c r="E177" s="26"/>
      <c r="G177" s="27"/>
    </row>
    <row r="178" spans="2:7">
      <c r="B178" s="79"/>
      <c r="C178" s="26"/>
      <c r="E178" s="26"/>
      <c r="G178" s="27"/>
    </row>
    <row r="179" spans="2:7">
      <c r="B179" s="79"/>
      <c r="C179" s="26"/>
      <c r="E179" s="26"/>
      <c r="G179" s="27"/>
    </row>
    <row r="180" spans="2:7">
      <c r="B180" s="79"/>
      <c r="C180" s="26"/>
      <c r="E180" s="26"/>
      <c r="G180" s="27"/>
    </row>
    <row r="181" spans="2:7">
      <c r="B181" s="79"/>
      <c r="C181" s="26"/>
      <c r="E181" s="26"/>
      <c r="G181" s="27"/>
    </row>
    <row r="182" spans="2:7">
      <c r="B182" s="79"/>
      <c r="C182" s="26"/>
      <c r="E182" s="26"/>
      <c r="G182" s="27"/>
    </row>
    <row r="183" spans="2:7">
      <c r="B183" s="79"/>
      <c r="C183" s="26"/>
      <c r="E183" s="26"/>
      <c r="G183" s="27"/>
    </row>
    <row r="184" spans="2:7">
      <c r="B184" s="79"/>
      <c r="C184" s="26"/>
      <c r="E184" s="26"/>
      <c r="G184" s="27"/>
    </row>
    <row r="185" spans="2:7">
      <c r="B185" s="79"/>
      <c r="C185" s="26"/>
      <c r="E185" s="26"/>
      <c r="G185" s="27"/>
    </row>
    <row r="186" spans="2:7">
      <c r="B186" s="79"/>
      <c r="C186" s="26"/>
      <c r="E186" s="26"/>
      <c r="G186" s="27"/>
    </row>
    <row r="187" spans="2:7">
      <c r="B187" s="79"/>
      <c r="C187" s="26"/>
      <c r="E187" s="26"/>
      <c r="G187" s="27"/>
    </row>
    <row r="188" spans="2:7">
      <c r="B188" s="79"/>
      <c r="C188" s="26"/>
      <c r="E188" s="26"/>
      <c r="G188" s="27"/>
    </row>
    <row r="189" spans="2:7">
      <c r="B189" s="79"/>
      <c r="C189" s="26"/>
      <c r="E189" s="26"/>
      <c r="G189" s="27"/>
    </row>
    <row r="190" spans="2:7">
      <c r="B190" s="79"/>
      <c r="C190" s="26"/>
      <c r="E190" s="26"/>
      <c r="G190" s="27"/>
    </row>
    <row r="191" spans="2:7">
      <c r="B191" s="79"/>
      <c r="C191" s="26"/>
      <c r="E191" s="26"/>
      <c r="G191" s="27"/>
    </row>
    <row r="192" spans="2:7">
      <c r="B192" s="79"/>
      <c r="C192" s="26"/>
      <c r="E192" s="26"/>
      <c r="G192" s="27"/>
    </row>
    <row r="193" spans="2:7">
      <c r="B193" s="79"/>
      <c r="C193" s="26"/>
      <c r="E193" s="26"/>
      <c r="G193" s="27"/>
    </row>
    <row r="194" spans="2:7">
      <c r="B194" s="79"/>
      <c r="C194" s="26"/>
      <c r="E194" s="26"/>
      <c r="G194" s="27"/>
    </row>
    <row r="195" spans="2:7">
      <c r="B195" s="79"/>
      <c r="C195" s="26"/>
      <c r="E195" s="26"/>
      <c r="G195" s="27"/>
    </row>
    <row r="196" spans="2:7">
      <c r="B196" s="79"/>
      <c r="C196" s="26"/>
      <c r="E196" s="26"/>
      <c r="G196" s="27"/>
    </row>
    <row r="197" spans="2:7">
      <c r="B197" s="79"/>
      <c r="C197" s="26"/>
      <c r="E197" s="26"/>
      <c r="G197" s="27"/>
    </row>
    <row r="198" spans="2:7">
      <c r="B198" s="79"/>
      <c r="C198" s="26"/>
      <c r="E198" s="26"/>
      <c r="G198" s="27"/>
    </row>
    <row r="199" spans="2:7">
      <c r="B199" s="79"/>
      <c r="C199" s="26"/>
      <c r="E199" s="26"/>
      <c r="G199" s="27"/>
    </row>
    <row r="200" spans="2:7">
      <c r="B200" s="79"/>
      <c r="C200" s="26"/>
      <c r="E200" s="26"/>
      <c r="G200" s="27"/>
    </row>
    <row r="201" spans="2:7">
      <c r="B201" s="79"/>
      <c r="C201" s="26"/>
      <c r="E201" s="26"/>
      <c r="G201" s="27"/>
    </row>
    <row r="202" spans="2:7">
      <c r="B202" s="79"/>
      <c r="C202" s="26"/>
      <c r="E202" s="26"/>
      <c r="G202" s="27"/>
    </row>
    <row r="203" spans="2:7">
      <c r="B203" s="79"/>
      <c r="C203" s="26"/>
      <c r="E203" s="26"/>
      <c r="G203" s="27"/>
    </row>
    <row r="204" spans="2:7">
      <c r="B204" s="79"/>
      <c r="C204" s="26"/>
      <c r="E204" s="26"/>
      <c r="G204" s="27"/>
    </row>
    <row r="205" spans="2:7">
      <c r="B205" s="79"/>
      <c r="C205" s="26"/>
      <c r="E205" s="26"/>
      <c r="G205" s="27"/>
    </row>
    <row r="206" spans="2:7">
      <c r="B206" s="79"/>
      <c r="C206" s="26"/>
      <c r="E206" s="26"/>
      <c r="G206" s="27"/>
    </row>
    <row r="207" spans="2:7">
      <c r="B207" s="79"/>
      <c r="C207" s="26"/>
      <c r="E207" s="26"/>
      <c r="G207" s="27"/>
    </row>
    <row r="208" spans="2:7">
      <c r="B208" s="79"/>
      <c r="C208" s="26"/>
      <c r="E208" s="26"/>
      <c r="G208" s="27"/>
    </row>
    <row r="209" spans="2:7">
      <c r="B209" s="79"/>
      <c r="C209" s="26"/>
      <c r="E209" s="26"/>
      <c r="G209" s="27"/>
    </row>
    <row r="210" spans="2:7">
      <c r="B210" s="79"/>
      <c r="C210" s="26"/>
      <c r="E210" s="26"/>
      <c r="G210" s="27"/>
    </row>
    <row r="211" spans="2:7">
      <c r="B211" s="79"/>
      <c r="C211" s="26"/>
      <c r="E211" s="26"/>
      <c r="G211" s="27"/>
    </row>
    <row r="212" spans="2:7">
      <c r="B212" s="79"/>
      <c r="C212" s="26"/>
      <c r="E212" s="26"/>
      <c r="G212" s="27"/>
    </row>
    <row r="213" spans="2:7">
      <c r="B213" s="79"/>
      <c r="C213" s="26"/>
      <c r="E213" s="26"/>
      <c r="G213" s="27"/>
    </row>
    <row r="214" spans="2:7">
      <c r="B214" s="79"/>
      <c r="C214" s="26"/>
      <c r="E214" s="26"/>
      <c r="G214" s="27"/>
    </row>
    <row r="215" spans="2:7">
      <c r="B215" s="79"/>
      <c r="C215" s="26"/>
      <c r="E215" s="26"/>
      <c r="G215" s="27"/>
    </row>
    <row r="216" spans="2:7">
      <c r="B216" s="79"/>
      <c r="C216" s="26"/>
      <c r="E216" s="26"/>
      <c r="G216" s="27"/>
    </row>
    <row r="217" spans="2:7">
      <c r="B217" s="79"/>
      <c r="C217" s="26"/>
      <c r="E217" s="26"/>
      <c r="G217" s="27"/>
    </row>
    <row r="218" spans="2:7">
      <c r="B218" s="79"/>
      <c r="C218" s="26"/>
      <c r="E218" s="26"/>
      <c r="G218" s="27"/>
    </row>
    <row r="219" spans="2:7">
      <c r="B219" s="79"/>
      <c r="C219" s="26"/>
      <c r="E219" s="26"/>
      <c r="G219" s="27"/>
    </row>
    <row r="220" spans="2:7">
      <c r="B220" s="79"/>
      <c r="C220" s="26"/>
      <c r="E220" s="26"/>
      <c r="G220" s="2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M53:P1048576 N1:O2 N6:O7 M1:M7 P1:P52 O8:O29 O31:O51" name="Range1"/>
    <protectedRange algorithmName="SHA-512" hashValue="0fHuZEaiYGK5sqlV/38Hfc0T7yH0tOTbdy5iYtX6c3lYp4VF2ar7IMEIVGfLLUnhvJzWsmOZSDZnUiLySCBxdg==" saltValue="oeJbzSFL5Q9rgT2MjiMjew==" spinCount="100000" sqref="M8:N51" name="Range1_1"/>
  </protectedRanges>
  <mergeCells count="10">
    <mergeCell ref="I4:J4"/>
    <mergeCell ref="I2:J2"/>
    <mergeCell ref="I3:J3"/>
    <mergeCell ref="O8:O9"/>
    <mergeCell ref="B8:B9"/>
    <mergeCell ref="C8:C9"/>
    <mergeCell ref="E8:E9"/>
    <mergeCell ref="G8:G9"/>
    <mergeCell ref="I8:I9"/>
    <mergeCell ref="K8:K9"/>
  </mergeCells>
  <phoneticPr fontId="11" type="noConversion"/>
  <conditionalFormatting sqref="M49:N51 M45:N46 M40:N42 M19:N19 M29:N33 M36:N37 M12:N16 M22:N26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93" orientation="portrait" r:id="rId1"/>
  <ignoredErrors>
    <ignoredError sqref="S9:T9 K3:K4" unlockedFormula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O218"/>
  <sheetViews>
    <sheetView zoomScale="85" zoomScaleNormal="85" workbookViewId="0">
      <selection activeCell="N25" sqref="N25"/>
    </sheetView>
  </sheetViews>
  <sheetFormatPr defaultColWidth="8.44140625" defaultRowHeight="14.4"/>
  <cols>
    <col min="1" max="1" width="5.5546875" style="24" customWidth="1"/>
    <col min="2" max="2" width="5.5546875" style="45" customWidth="1"/>
    <col min="3" max="4" width="23.44140625" style="43" customWidth="1"/>
    <col min="5" max="5" width="6.5546875" style="43" customWidth="1"/>
    <col min="6" max="6" width="16.44140625" style="43" customWidth="1"/>
    <col min="7" max="7" width="3.44140625" style="43" customWidth="1"/>
    <col min="8" max="8" width="15.44140625" style="43" customWidth="1"/>
    <col min="9" max="9" width="1.44140625" style="43" customWidth="1"/>
    <col min="10" max="10" width="3.44140625" style="24" customWidth="1"/>
    <col min="11" max="11" width="1.44140625" style="87" customWidth="1"/>
    <col min="12" max="12" width="29.44140625" style="24" customWidth="1"/>
    <col min="13" max="13" width="1.44140625" style="43" customWidth="1"/>
    <col min="14" max="14" width="29.44140625" style="43" customWidth="1"/>
    <col min="15" max="15" width="1.44140625" style="43" customWidth="1"/>
    <col min="16" max="16" width="16.5546875" style="43" customWidth="1"/>
    <col min="17" max="17" width="5.5546875" style="43" customWidth="1"/>
    <col min="18" max="18" width="112.44140625" style="43" bestFit="1" customWidth="1"/>
    <col min="19" max="19" width="4.44140625" style="43" customWidth="1"/>
    <col min="20" max="20" width="19.5546875" style="43" bestFit="1" customWidth="1"/>
    <col min="21" max="21" width="15.44140625" style="24" bestFit="1" customWidth="1"/>
    <col min="22" max="22" width="20.44140625" style="24" bestFit="1" customWidth="1"/>
    <col min="23" max="23" width="16.44140625" style="24" bestFit="1" customWidth="1"/>
    <col min="24" max="24" width="19.5546875" style="24" bestFit="1" customWidth="1"/>
    <col min="25" max="25" width="15.44140625" style="24" bestFit="1" customWidth="1"/>
    <col min="26" max="26" width="8.44140625" style="24"/>
    <col min="27" max="27" width="14.5546875" style="24" bestFit="1" customWidth="1"/>
    <col min="28" max="28" width="8.44140625" style="43"/>
    <col min="29" max="29" width="12.5546875" style="43" bestFit="1" customWidth="1"/>
    <col min="30" max="40" width="8.44140625" style="43"/>
    <col min="41" max="41" width="9.44140625" style="43" bestFit="1" customWidth="1"/>
    <col min="42" max="16384" width="8.44140625" style="43"/>
  </cols>
  <sheetData>
    <row r="1" spans="1:41" s="24" customFormat="1" ht="14.25" customHeight="1">
      <c r="A1" s="278"/>
      <c r="B1" s="31"/>
      <c r="J1" s="53"/>
      <c r="S1" s="53"/>
    </row>
    <row r="2" spans="1:41" s="24" customFormat="1" ht="14.25" customHeight="1" thickBot="1">
      <c r="A2" s="278"/>
      <c r="B2" s="42" t="s">
        <v>193</v>
      </c>
      <c r="C2" s="42"/>
      <c r="D2" s="42"/>
      <c r="E2" s="42"/>
      <c r="F2" s="42"/>
      <c r="G2" s="42"/>
      <c r="H2" s="42"/>
      <c r="J2" s="53"/>
      <c r="R2" s="42"/>
      <c r="S2" s="53"/>
    </row>
    <row r="3" spans="1:41" s="24" customFormat="1" ht="13.2">
      <c r="B3" s="31"/>
      <c r="D3" s="39" t="s">
        <v>194</v>
      </c>
      <c r="F3" s="39" t="s">
        <v>195</v>
      </c>
      <c r="J3" s="53"/>
      <c r="L3" s="310" t="s">
        <v>196</v>
      </c>
      <c r="N3" s="310" t="s">
        <v>197</v>
      </c>
      <c r="S3" s="53"/>
      <c r="T3" s="629" t="s">
        <v>198</v>
      </c>
      <c r="U3" s="629" t="s">
        <v>199</v>
      </c>
      <c r="V3" s="629" t="s">
        <v>200</v>
      </c>
      <c r="W3" s="629" t="s">
        <v>201</v>
      </c>
      <c r="X3" s="629" t="s">
        <v>202</v>
      </c>
      <c r="Y3" s="629" t="s">
        <v>203</v>
      </c>
    </row>
    <row r="4" spans="1:41" s="24" customFormat="1" ht="13.2">
      <c r="B4" s="256">
        <v>1</v>
      </c>
      <c r="C4" s="257" t="s">
        <v>204</v>
      </c>
      <c r="D4" s="258">
        <f>'Project Plan'!E6</f>
        <v>2077436.28</v>
      </c>
      <c r="E4" s="259"/>
      <c r="F4" s="258">
        <f>F21</f>
        <v>2077436.28</v>
      </c>
      <c r="J4" s="53"/>
      <c r="L4" s="276"/>
      <c r="N4" s="276" t="s">
        <v>137</v>
      </c>
      <c r="Q4" s="44"/>
      <c r="S4" s="53"/>
      <c r="T4" s="630">
        <f>SUMIFS('Expenditure Breakdown'!$U:$U,
        'Expenditure Breakdown'!$T:$T, "&gt;"&amp;DATE(2024,8,31),
        'Expenditure Breakdown'!$T:$T, "&lt;="&amp;DATE(2025,8,31),
        'Expenditure Breakdown'!$S:$S, "&lt;&gt;")</f>
        <v>0</v>
      </c>
      <c r="U4" s="630">
        <f>SUMIFS('Expenditure Breakdown'!$Q:$Q,
        'Expenditure Breakdown'!$T:$T, "&gt;"&amp;DATE(2024,8,31),
        'Expenditure Breakdown'!$T:$T, "&lt;="&amp;DATE(2025,8,31),
        'Expenditure Breakdown'!$S:$S, "&lt;&gt;")</f>
        <v>0</v>
      </c>
      <c r="V4" s="630">
        <f>SUMIFS('Expenditure Breakdown'!$U:$U,
        'Expenditure Breakdown'!$T:$T, "&gt;"&amp;DATE(2025,8,31),
        'Expenditure Breakdown'!$T:$T, "&lt;="&amp;DATE(2026,8,31))</f>
        <v>2064651.6964640508</v>
      </c>
      <c r="W4" s="630">
        <f>SUMIFS('Expenditure Breakdown'!$Q:$Q,
        'Expenditure Breakdown'!$T:$T, "&gt;"&amp;DATE(2025,8,31),
        'Expenditure Breakdown'!$T:$T, "&lt;="&amp;DATE(2026,8,31))</f>
        <v>1502144.1835000003</v>
      </c>
      <c r="X4" s="630">
        <f>SUMIFS('Expenditure Breakdown'!$U:$U,
        'Expenditure Breakdown'!$T:$T, "&gt;"&amp;DATE(2025,8,31),
        'Expenditure Breakdown'!$T:$T, "&lt;="&amp;DATE(2026,8,31),
        'Expenditure Breakdown'!$S:$S, "&lt;&gt;")</f>
        <v>2063554.2506838776</v>
      </c>
      <c r="Y4" s="630">
        <f>SUMIFS('Expenditure Breakdown'!$Q:$Q,
        'Expenditure Breakdown'!$T:$T, "&gt;"&amp;DATE(2025,8,31),
        'Expenditure Breakdown'!$T:$T, "&lt;="&amp;DATE(2026,8,31),
        'Expenditure Breakdown'!$S:$S, "&lt;&gt;")</f>
        <v>1501050.4335000003</v>
      </c>
    </row>
    <row r="5" spans="1:41" s="24" customFormat="1" ht="15" customHeight="1">
      <c r="B5" s="256">
        <v>2</v>
      </c>
      <c r="C5" s="257" t="s">
        <v>205</v>
      </c>
      <c r="D5" s="258">
        <f>+'Expenditure Tracking'!F5</f>
        <v>1702430.3199999998</v>
      </c>
      <c r="E5" s="259"/>
      <c r="F5" s="258">
        <f>+'Expenditure Tracking'!H5</f>
        <v>1502144.1835</v>
      </c>
      <c r="J5" s="53"/>
      <c r="L5" s="276"/>
      <c r="N5" s="311"/>
      <c r="S5" s="53"/>
    </row>
    <row r="6" spans="1:41" s="24" customFormat="1" ht="15" customHeight="1">
      <c r="B6" s="256">
        <v>3</v>
      </c>
      <c r="C6" s="257" t="s">
        <v>206</v>
      </c>
      <c r="D6" s="258">
        <f>+D4-D5</f>
        <v>375005.9600000002</v>
      </c>
      <c r="E6" s="259"/>
      <c r="F6" s="258">
        <f>+F4-F5</f>
        <v>575292.09649999999</v>
      </c>
      <c r="J6" s="53"/>
      <c r="L6" s="276"/>
      <c r="N6" s="276" t="s">
        <v>207</v>
      </c>
      <c r="S6" s="53"/>
    </row>
    <row r="7" spans="1:41" s="24" customFormat="1" ht="15" customHeight="1" thickBot="1">
      <c r="B7" s="256">
        <v>4</v>
      </c>
      <c r="C7" s="257" t="s">
        <v>208</v>
      </c>
      <c r="D7" s="260">
        <f>+D6/D4</f>
        <v>0.1805138206212516</v>
      </c>
      <c r="E7" s="259"/>
      <c r="F7" s="260">
        <f>+F6/F4</f>
        <v>0.27692406358668192</v>
      </c>
      <c r="J7" s="53"/>
      <c r="L7" s="277"/>
      <c r="N7" s="344"/>
      <c r="S7" s="53"/>
    </row>
    <row r="8" spans="1:41" s="24" customFormat="1" ht="9" customHeight="1">
      <c r="B8" s="31"/>
      <c r="J8" s="53"/>
      <c r="S8" s="53"/>
    </row>
    <row r="9" spans="1:41" s="24" customFormat="1" ht="9.75" customHeight="1">
      <c r="B9" s="31"/>
      <c r="J9" s="53"/>
      <c r="S9" s="53"/>
    </row>
    <row r="10" spans="1:41" s="24" customFormat="1" ht="13.2">
      <c r="B10" s="42" t="s">
        <v>209</v>
      </c>
      <c r="J10" s="53"/>
      <c r="S10" s="53"/>
      <c r="U10" s="42"/>
    </row>
    <row r="11" spans="1:41" s="24" customFormat="1" ht="14.25" customHeight="1">
      <c r="B11" s="31"/>
      <c r="J11" s="53"/>
      <c r="S11" s="53"/>
    </row>
    <row r="12" spans="1:41" s="24" customFormat="1" ht="26.4">
      <c r="B12" s="46" t="s">
        <v>124</v>
      </c>
      <c r="C12" s="47" t="s">
        <v>210</v>
      </c>
      <c r="D12" s="48"/>
      <c r="E12" s="46" t="s">
        <v>211</v>
      </c>
      <c r="F12" s="46" t="s">
        <v>212</v>
      </c>
      <c r="H12" s="261" t="s">
        <v>213</v>
      </c>
      <c r="J12" s="53"/>
      <c r="L12" s="78" t="s">
        <v>214</v>
      </c>
      <c r="M12" s="49"/>
      <c r="N12" s="78" t="s">
        <v>215</v>
      </c>
      <c r="O12" s="49"/>
      <c r="P12" s="78" t="s">
        <v>216</v>
      </c>
      <c r="R12" s="279" t="s">
        <v>217</v>
      </c>
      <c r="S12" s="53"/>
    </row>
    <row r="13" spans="1:41" s="24" customFormat="1" ht="13.2">
      <c r="B13" s="589">
        <v>1</v>
      </c>
      <c r="C13" s="690" t="s">
        <v>218</v>
      </c>
      <c r="D13" s="691"/>
      <c r="E13" s="590">
        <v>0.5</v>
      </c>
      <c r="F13" s="591">
        <f>$D$4*E13</f>
        <v>1038718.14</v>
      </c>
      <c r="G13" s="592"/>
      <c r="H13" s="593">
        <v>45908</v>
      </c>
      <c r="I13" s="594"/>
      <c r="J13" s="595"/>
      <c r="K13" s="594"/>
      <c r="L13" s="596" t="s">
        <v>219</v>
      </c>
      <c r="M13" s="597"/>
      <c r="N13" s="593">
        <v>45961</v>
      </c>
      <c r="O13" s="597"/>
      <c r="P13" s="645">
        <v>45971</v>
      </c>
      <c r="R13" s="86"/>
      <c r="S13" s="53"/>
      <c r="AO13" s="525">
        <f>'Change Register'!$Q$14+ 7</f>
        <v>7</v>
      </c>
    </row>
    <row r="14" spans="1:41" s="24" customFormat="1" ht="13.2">
      <c r="B14" s="599">
        <v>2</v>
      </c>
      <c r="C14" s="690" t="s">
        <v>220</v>
      </c>
      <c r="D14" s="691"/>
      <c r="E14" s="590">
        <v>0.25</v>
      </c>
      <c r="F14" s="591">
        <f t="shared" ref="F14:F18" si="0">$D$4*E14</f>
        <v>519359.07</v>
      </c>
      <c r="G14" s="600"/>
      <c r="H14" s="593">
        <f>'Project Plan'!E36+7</f>
        <v>45975</v>
      </c>
      <c r="I14" s="594"/>
      <c r="J14" s="595"/>
      <c r="K14" s="594"/>
      <c r="L14" s="596" t="s">
        <v>219</v>
      </c>
      <c r="M14" s="594"/>
      <c r="N14" s="593">
        <v>45961</v>
      </c>
      <c r="O14" s="594"/>
      <c r="P14" s="645">
        <v>45975</v>
      </c>
      <c r="R14" s="280"/>
      <c r="S14" s="53"/>
    </row>
    <row r="15" spans="1:41" s="24" customFormat="1" ht="13.2">
      <c r="B15" s="589">
        <v>3</v>
      </c>
      <c r="C15" s="690" t="s">
        <v>221</v>
      </c>
      <c r="D15" s="691"/>
      <c r="E15" s="590">
        <v>0.1</v>
      </c>
      <c r="F15" s="591">
        <f t="shared" si="0"/>
        <v>207743.62800000003</v>
      </c>
      <c r="G15" s="600"/>
      <c r="H15" s="593">
        <f>'Project Plan'!E22+7</f>
        <v>45976</v>
      </c>
      <c r="I15" s="594"/>
      <c r="J15" s="595"/>
      <c r="K15" s="594"/>
      <c r="L15" s="596" t="s">
        <v>219</v>
      </c>
      <c r="M15" s="594"/>
      <c r="N15" s="593">
        <v>45961</v>
      </c>
      <c r="O15" s="594"/>
      <c r="P15" s="645">
        <v>45975</v>
      </c>
      <c r="R15" s="280"/>
      <c r="S15" s="53"/>
    </row>
    <row r="16" spans="1:41" s="24" customFormat="1" ht="13.2">
      <c r="B16" s="589">
        <v>4</v>
      </c>
      <c r="C16" s="688" t="s">
        <v>178</v>
      </c>
      <c r="D16" s="689"/>
      <c r="E16" s="590">
        <v>0.1</v>
      </c>
      <c r="F16" s="591">
        <f t="shared" si="0"/>
        <v>207743.62800000003</v>
      </c>
      <c r="G16" s="600"/>
      <c r="H16" s="593">
        <f>'Project Plan'!G39+7</f>
        <v>45996</v>
      </c>
      <c r="I16" s="594"/>
      <c r="J16" s="595"/>
      <c r="K16" s="594"/>
      <c r="L16" s="596" t="s">
        <v>219</v>
      </c>
      <c r="M16" s="601"/>
      <c r="N16" s="593">
        <v>45961</v>
      </c>
      <c r="O16" s="601"/>
      <c r="P16" s="593">
        <f>'Project Plan'!K39+7</f>
        <v>46002</v>
      </c>
      <c r="R16" s="280"/>
      <c r="S16" s="53"/>
    </row>
    <row r="17" spans="2:19" s="24" customFormat="1" ht="13.2">
      <c r="B17" s="589">
        <v>5</v>
      </c>
      <c r="C17" s="688" t="s">
        <v>123</v>
      </c>
      <c r="D17" s="689"/>
      <c r="E17" s="590">
        <v>0.05</v>
      </c>
      <c r="F17" s="591">
        <f t="shared" si="0"/>
        <v>103871.81400000001</v>
      </c>
      <c r="G17" s="600"/>
      <c r="H17" s="593">
        <f>'Project Plan'!E50+7</f>
        <v>46000</v>
      </c>
      <c r="I17" s="594"/>
      <c r="J17" s="595"/>
      <c r="K17" s="594"/>
      <c r="L17" s="596" t="s">
        <v>219</v>
      </c>
      <c r="M17" s="594"/>
      <c r="N17" s="593">
        <v>45961</v>
      </c>
      <c r="O17" s="594"/>
      <c r="P17" s="593">
        <v>46002</v>
      </c>
      <c r="R17" s="280"/>
      <c r="S17" s="53"/>
    </row>
    <row r="18" spans="2:19" s="24" customFormat="1" ht="13.2">
      <c r="B18" s="589">
        <v>6</v>
      </c>
      <c r="C18" s="688" t="s">
        <v>222</v>
      </c>
      <c r="D18" s="689"/>
      <c r="E18" s="590">
        <v>0</v>
      </c>
      <c r="F18" s="591">
        <f t="shared" si="0"/>
        <v>0</v>
      </c>
      <c r="G18" s="600"/>
      <c r="H18" s="593"/>
      <c r="I18" s="594"/>
      <c r="J18" s="595"/>
      <c r="K18" s="594"/>
      <c r="L18" s="596"/>
      <c r="M18" s="592"/>
      <c r="N18" s="593"/>
      <c r="O18" s="592"/>
      <c r="P18" s="598"/>
      <c r="R18" s="280"/>
      <c r="S18" s="53"/>
    </row>
    <row r="19" spans="2:19" s="24" customFormat="1" ht="13.2">
      <c r="B19" s="589">
        <v>7</v>
      </c>
      <c r="C19" s="690" t="s">
        <v>222</v>
      </c>
      <c r="D19" s="691"/>
      <c r="E19" s="590">
        <v>0</v>
      </c>
      <c r="F19" s="591">
        <f t="shared" ref="F19" si="1">$D$4*E19</f>
        <v>0</v>
      </c>
      <c r="G19" s="600"/>
      <c r="H19" s="593"/>
      <c r="I19" s="594"/>
      <c r="J19" s="595"/>
      <c r="K19" s="594"/>
      <c r="L19" s="598"/>
      <c r="M19" s="594"/>
      <c r="N19" s="598"/>
      <c r="O19" s="594"/>
      <c r="P19" s="598"/>
      <c r="R19" s="280"/>
      <c r="S19" s="53"/>
    </row>
    <row r="20" spans="2:19" s="24" customFormat="1" ht="9" customHeight="1">
      <c r="B20" s="31"/>
      <c r="E20" s="52"/>
      <c r="F20" s="30"/>
      <c r="H20" s="262"/>
      <c r="J20" s="53"/>
      <c r="S20" s="53"/>
    </row>
    <row r="21" spans="2:19" s="24" customFormat="1" ht="13.2">
      <c r="B21" s="31"/>
      <c r="E21" s="263">
        <f>SUM(E13:E19)</f>
        <v>1</v>
      </c>
      <c r="F21" s="264">
        <f>SUM(F13:F19)</f>
        <v>2077436.28</v>
      </c>
      <c r="J21" s="53"/>
      <c r="S21" s="53"/>
    </row>
    <row r="22" spans="2:19" s="53" customFormat="1" ht="25.5" customHeight="1">
      <c r="B22" s="54"/>
      <c r="F22" s="55"/>
    </row>
    <row r="23" spans="2:19" s="24" customFormat="1" ht="24.75" customHeight="1">
      <c r="B23" s="56" t="s">
        <v>223</v>
      </c>
      <c r="C23" s="57" t="s">
        <v>224</v>
      </c>
      <c r="D23" s="57"/>
      <c r="F23" s="650"/>
      <c r="H23" s="30"/>
    </row>
    <row r="24" spans="2:19" s="24" customFormat="1" ht="13.2">
      <c r="C24" s="59" t="s">
        <v>225</v>
      </c>
      <c r="D24" s="60"/>
      <c r="F24" s="61"/>
    </row>
    <row r="25" spans="2:19" s="24" customFormat="1" ht="13.2">
      <c r="C25" s="59" t="s">
        <v>226</v>
      </c>
      <c r="D25" s="60"/>
    </row>
    <row r="26" spans="2:19" s="24" customFormat="1" ht="13.2">
      <c r="C26" s="62" t="s">
        <v>227</v>
      </c>
      <c r="D26" s="63"/>
    </row>
    <row r="27" spans="2:19" s="24" customFormat="1" ht="13.2">
      <c r="C27" s="64" t="s">
        <v>228</v>
      </c>
      <c r="D27" s="60"/>
    </row>
    <row r="28" spans="2:19" s="24" customFormat="1" ht="13.2">
      <c r="B28" s="31"/>
      <c r="C28" s="64" t="s">
        <v>229</v>
      </c>
      <c r="D28" s="60"/>
    </row>
    <row r="29" spans="2:19" s="24" customFormat="1" ht="13.2">
      <c r="B29" s="31"/>
      <c r="C29" s="24" t="s">
        <v>230</v>
      </c>
    </row>
    <row r="30" spans="2:19" s="24" customFormat="1" ht="27.75" customHeight="1">
      <c r="B30" s="31"/>
      <c r="C30" s="65" t="s">
        <v>231</v>
      </c>
      <c r="D30" s="65"/>
      <c r="F30" s="61"/>
    </row>
    <row r="31" spans="2:19" s="24" customFormat="1" ht="13.2">
      <c r="B31" s="31"/>
      <c r="F31" s="58"/>
      <c r="N31" s="30"/>
    </row>
    <row r="32" spans="2:19" s="24" customFormat="1" ht="13.2">
      <c r="B32" s="31"/>
      <c r="F32" s="58"/>
    </row>
    <row r="33" spans="2:6" s="24" customFormat="1" ht="13.2">
      <c r="B33" s="31"/>
      <c r="F33" s="58"/>
    </row>
    <row r="34" spans="2:6" s="24" customFormat="1" ht="13.2">
      <c r="B34" s="31"/>
      <c r="F34" s="58"/>
    </row>
    <row r="35" spans="2:6" s="24" customFormat="1" ht="13.2">
      <c r="B35" s="31"/>
    </row>
    <row r="36" spans="2:6" s="24" customFormat="1" ht="13.2">
      <c r="B36" s="31"/>
    </row>
    <row r="37" spans="2:6" s="24" customFormat="1" ht="13.2">
      <c r="B37" s="31"/>
    </row>
    <row r="38" spans="2:6" s="24" customFormat="1" ht="12.75" hidden="1" customHeight="1">
      <c r="B38" s="31"/>
    </row>
    <row r="39" spans="2:6" s="24" customFormat="1" ht="12.75" hidden="1" customHeight="1">
      <c r="B39" s="31"/>
    </row>
    <row r="40" spans="2:6" s="24" customFormat="1" ht="13.5" hidden="1" customHeight="1">
      <c r="B40" s="46" t="s">
        <v>124</v>
      </c>
      <c r="C40" s="47" t="s">
        <v>210</v>
      </c>
      <c r="D40" s="48"/>
      <c r="E40" s="46" t="s">
        <v>211</v>
      </c>
      <c r="F40" s="46" t="s">
        <v>212</v>
      </c>
    </row>
    <row r="41" spans="2:6" s="24" customFormat="1" ht="12.75" hidden="1" customHeight="1">
      <c r="B41" s="66">
        <v>1</v>
      </c>
      <c r="C41" s="67" t="s">
        <v>232</v>
      </c>
      <c r="D41" s="67"/>
      <c r="E41" s="50">
        <v>0.35</v>
      </c>
      <c r="F41" s="51">
        <f>$F$47*E41</f>
        <v>727102.69799999997</v>
      </c>
    </row>
    <row r="42" spans="2:6" s="24" customFormat="1" ht="12.75" hidden="1" customHeight="1">
      <c r="B42" s="66">
        <v>2</v>
      </c>
      <c r="C42" s="67" t="s">
        <v>220</v>
      </c>
      <c r="D42" s="67"/>
      <c r="E42" s="50">
        <v>0.3</v>
      </c>
      <c r="F42" s="51">
        <f t="shared" ref="F42:F45" si="2">$F$47*E42</f>
        <v>623230.88399999996</v>
      </c>
    </row>
    <row r="43" spans="2:6" s="24" customFormat="1" ht="12.75" hidden="1" customHeight="1">
      <c r="B43" s="66">
        <v>3</v>
      </c>
      <c r="C43" s="67" t="s">
        <v>221</v>
      </c>
      <c r="D43" s="67"/>
      <c r="E43" s="50">
        <v>0.2</v>
      </c>
      <c r="F43" s="51">
        <f t="shared" si="2"/>
        <v>415487.25600000005</v>
      </c>
    </row>
    <row r="44" spans="2:6" s="24" customFormat="1" ht="12.75" hidden="1" customHeight="1">
      <c r="B44" s="66">
        <v>4</v>
      </c>
      <c r="C44" s="67" t="s">
        <v>233</v>
      </c>
      <c r="D44" s="67"/>
      <c r="E44" s="50">
        <v>0.1</v>
      </c>
      <c r="F44" s="51">
        <f t="shared" si="2"/>
        <v>207743.62800000003</v>
      </c>
    </row>
    <row r="45" spans="2:6" s="24" customFormat="1" ht="13.5" hidden="1" customHeight="1" thickBot="1">
      <c r="B45" s="68">
        <v>5</v>
      </c>
      <c r="C45" s="69" t="s">
        <v>123</v>
      </c>
      <c r="D45" s="69"/>
      <c r="E45" s="70">
        <v>0.05</v>
      </c>
      <c r="F45" s="71">
        <f t="shared" si="2"/>
        <v>103871.81400000001</v>
      </c>
    </row>
    <row r="46" spans="2:6" s="24" customFormat="1" ht="13.5" hidden="1" customHeight="1" thickBot="1">
      <c r="B46" s="72"/>
      <c r="C46" s="73" t="s">
        <v>234</v>
      </c>
      <c r="D46" s="73"/>
      <c r="E46" s="74">
        <f>SUM(E41:E45)</f>
        <v>0.99999999999999989</v>
      </c>
      <c r="F46" s="75">
        <f>SUM(F41:F45)</f>
        <v>2077436.28</v>
      </c>
    </row>
    <row r="47" spans="2:6" s="24" customFormat="1" ht="12.75" hidden="1" customHeight="1">
      <c r="B47" s="31"/>
      <c r="E47" s="52">
        <f>SUM(E41:E45)</f>
        <v>0.99999999999999989</v>
      </c>
      <c r="F47" s="30">
        <f>F21</f>
        <v>2077436.28</v>
      </c>
    </row>
    <row r="48" spans="2:6" s="24" customFormat="1" ht="12.75" hidden="1" customHeight="1">
      <c r="B48" s="31"/>
    </row>
    <row r="49" spans="2:2" s="24" customFormat="1" ht="13.2">
      <c r="B49" s="31"/>
    </row>
    <row r="50" spans="2:2" s="24" customFormat="1" ht="13.2">
      <c r="B50" s="31"/>
    </row>
    <row r="51" spans="2:2" s="24" customFormat="1" ht="13.2">
      <c r="B51" s="31"/>
    </row>
    <row r="52" spans="2:2" s="24" customFormat="1" ht="13.2">
      <c r="B52" s="31"/>
    </row>
    <row r="53" spans="2:2" s="24" customFormat="1" ht="13.2">
      <c r="B53" s="31"/>
    </row>
    <row r="54" spans="2:2" s="24" customFormat="1" ht="13.2">
      <c r="B54" s="31"/>
    </row>
    <row r="55" spans="2:2" s="24" customFormat="1" ht="13.2">
      <c r="B55" s="31"/>
    </row>
    <row r="56" spans="2:2" s="24" customFormat="1" ht="13.2">
      <c r="B56" s="31"/>
    </row>
    <row r="57" spans="2:2" s="24" customFormat="1" ht="13.2">
      <c r="B57" s="31"/>
    </row>
    <row r="58" spans="2:2" s="24" customFormat="1" ht="13.2">
      <c r="B58" s="31"/>
    </row>
    <row r="59" spans="2:2" s="24" customFormat="1" ht="13.2">
      <c r="B59" s="31"/>
    </row>
    <row r="60" spans="2:2" s="24" customFormat="1" ht="13.2">
      <c r="B60" s="31"/>
    </row>
    <row r="61" spans="2:2" s="24" customFormat="1" ht="13.2">
      <c r="B61" s="31"/>
    </row>
    <row r="62" spans="2:2" s="24" customFormat="1" ht="13.2">
      <c r="B62" s="31"/>
    </row>
    <row r="63" spans="2:2" s="24" customFormat="1" ht="13.2">
      <c r="B63" s="31"/>
    </row>
    <row r="64" spans="2:2" s="24" customFormat="1" ht="13.2">
      <c r="B64" s="31"/>
    </row>
    <row r="65" spans="2:2" s="24" customFormat="1" ht="13.2">
      <c r="B65" s="31"/>
    </row>
    <row r="66" spans="2:2" s="24" customFormat="1" ht="13.2">
      <c r="B66" s="31"/>
    </row>
    <row r="67" spans="2:2" s="24" customFormat="1" ht="13.2">
      <c r="B67" s="31"/>
    </row>
    <row r="68" spans="2:2" s="24" customFormat="1" ht="13.2">
      <c r="B68" s="31"/>
    </row>
    <row r="69" spans="2:2" s="24" customFormat="1" ht="13.2">
      <c r="B69" s="31"/>
    </row>
    <row r="70" spans="2:2" s="24" customFormat="1" ht="13.2">
      <c r="B70" s="31"/>
    </row>
    <row r="71" spans="2:2" s="24" customFormat="1" ht="13.2">
      <c r="B71" s="31"/>
    </row>
    <row r="72" spans="2:2" s="24" customFormat="1" ht="13.2">
      <c r="B72" s="31"/>
    </row>
    <row r="73" spans="2:2" s="24" customFormat="1" ht="13.2">
      <c r="B73" s="31"/>
    </row>
    <row r="74" spans="2:2" s="24" customFormat="1" ht="13.2">
      <c r="B74" s="31"/>
    </row>
    <row r="75" spans="2:2" s="24" customFormat="1" ht="13.2">
      <c r="B75" s="31"/>
    </row>
    <row r="76" spans="2:2" s="24" customFormat="1" ht="13.2">
      <c r="B76" s="31"/>
    </row>
    <row r="77" spans="2:2" s="24" customFormat="1" ht="13.2">
      <c r="B77" s="31"/>
    </row>
    <row r="78" spans="2:2" s="24" customFormat="1" ht="13.2">
      <c r="B78" s="31"/>
    </row>
    <row r="79" spans="2:2" s="24" customFormat="1" ht="13.2">
      <c r="B79" s="31"/>
    </row>
    <row r="80" spans="2:2" s="24" customFormat="1" ht="13.2">
      <c r="B80" s="31"/>
    </row>
    <row r="81" spans="2:2" s="24" customFormat="1" ht="13.2">
      <c r="B81" s="31"/>
    </row>
    <row r="82" spans="2:2" s="24" customFormat="1" ht="13.2">
      <c r="B82" s="31"/>
    </row>
    <row r="83" spans="2:2" s="24" customFormat="1" ht="13.2">
      <c r="B83" s="31"/>
    </row>
    <row r="84" spans="2:2" s="24" customFormat="1" ht="13.2">
      <c r="B84" s="31"/>
    </row>
    <row r="85" spans="2:2" s="24" customFormat="1" ht="13.2">
      <c r="B85" s="31"/>
    </row>
    <row r="86" spans="2:2" s="24" customFormat="1" ht="13.2">
      <c r="B86" s="31"/>
    </row>
    <row r="87" spans="2:2" s="24" customFormat="1" ht="13.2">
      <c r="B87" s="31"/>
    </row>
    <row r="88" spans="2:2" s="24" customFormat="1" ht="13.2">
      <c r="B88" s="31"/>
    </row>
    <row r="89" spans="2:2" s="24" customFormat="1" ht="13.2">
      <c r="B89" s="31"/>
    </row>
    <row r="90" spans="2:2" s="24" customFormat="1" ht="13.2">
      <c r="B90" s="31"/>
    </row>
    <row r="91" spans="2:2" s="24" customFormat="1" ht="13.2">
      <c r="B91" s="31"/>
    </row>
    <row r="92" spans="2:2" s="24" customFormat="1" ht="13.2">
      <c r="B92" s="31"/>
    </row>
    <row r="93" spans="2:2" s="24" customFormat="1" ht="13.2">
      <c r="B93" s="31"/>
    </row>
    <row r="94" spans="2:2" s="24" customFormat="1" ht="13.2">
      <c r="B94" s="31"/>
    </row>
    <row r="95" spans="2:2" s="24" customFormat="1" ht="13.2">
      <c r="B95" s="31"/>
    </row>
    <row r="96" spans="2:2" s="24" customFormat="1" ht="13.2">
      <c r="B96" s="31"/>
    </row>
    <row r="97" spans="2:2" s="24" customFormat="1" ht="13.2">
      <c r="B97" s="31"/>
    </row>
    <row r="98" spans="2:2" s="24" customFormat="1" ht="13.2">
      <c r="B98" s="31"/>
    </row>
    <row r="99" spans="2:2" s="24" customFormat="1" ht="13.2">
      <c r="B99" s="31"/>
    </row>
    <row r="100" spans="2:2" s="24" customFormat="1" ht="13.2">
      <c r="B100" s="31"/>
    </row>
    <row r="101" spans="2:2" s="24" customFormat="1" ht="13.2">
      <c r="B101" s="31"/>
    </row>
    <row r="102" spans="2:2" s="24" customFormat="1" ht="13.2">
      <c r="B102" s="31"/>
    </row>
    <row r="103" spans="2:2" s="24" customFormat="1" ht="13.2">
      <c r="B103" s="31"/>
    </row>
    <row r="104" spans="2:2" s="24" customFormat="1" ht="13.2">
      <c r="B104" s="31"/>
    </row>
    <row r="105" spans="2:2" s="24" customFormat="1" ht="13.2">
      <c r="B105" s="31"/>
    </row>
    <row r="106" spans="2:2" s="24" customFormat="1" ht="13.2">
      <c r="B106" s="31"/>
    </row>
    <row r="107" spans="2:2" s="24" customFormat="1" ht="13.2">
      <c r="B107" s="31"/>
    </row>
    <row r="108" spans="2:2" s="24" customFormat="1" ht="13.2">
      <c r="B108" s="31"/>
    </row>
    <row r="109" spans="2:2" s="24" customFormat="1" ht="13.2">
      <c r="B109" s="31"/>
    </row>
    <row r="110" spans="2:2" s="24" customFormat="1" ht="13.2">
      <c r="B110" s="31"/>
    </row>
    <row r="111" spans="2:2" s="24" customFormat="1" ht="13.2">
      <c r="B111" s="31"/>
    </row>
    <row r="112" spans="2:2" s="24" customFormat="1" ht="13.2">
      <c r="B112" s="31"/>
    </row>
    <row r="113" spans="2:2" s="24" customFormat="1" ht="13.2">
      <c r="B113" s="31"/>
    </row>
    <row r="114" spans="2:2" s="24" customFormat="1" ht="13.2">
      <c r="B114" s="31"/>
    </row>
    <row r="115" spans="2:2" s="24" customFormat="1" ht="13.2">
      <c r="B115" s="31"/>
    </row>
    <row r="116" spans="2:2" s="24" customFormat="1" ht="13.2">
      <c r="B116" s="31"/>
    </row>
    <row r="117" spans="2:2" s="24" customFormat="1" ht="13.2">
      <c r="B117" s="31"/>
    </row>
    <row r="118" spans="2:2" s="24" customFormat="1" ht="13.2">
      <c r="B118" s="31"/>
    </row>
    <row r="119" spans="2:2" s="24" customFormat="1" ht="13.2">
      <c r="B119" s="31"/>
    </row>
    <row r="120" spans="2:2" s="24" customFormat="1" ht="13.2">
      <c r="B120" s="31"/>
    </row>
    <row r="121" spans="2:2" s="24" customFormat="1" ht="13.2">
      <c r="B121" s="31"/>
    </row>
    <row r="122" spans="2:2" s="24" customFormat="1" ht="13.2">
      <c r="B122" s="31"/>
    </row>
    <row r="123" spans="2:2" s="24" customFormat="1" ht="13.2">
      <c r="B123" s="31"/>
    </row>
    <row r="124" spans="2:2" s="24" customFormat="1" ht="13.2">
      <c r="B124" s="31"/>
    </row>
    <row r="125" spans="2:2" s="24" customFormat="1" ht="13.2">
      <c r="B125" s="31"/>
    </row>
    <row r="126" spans="2:2" s="24" customFormat="1" ht="13.2">
      <c r="B126" s="31"/>
    </row>
    <row r="127" spans="2:2" s="24" customFormat="1" ht="13.2">
      <c r="B127" s="31"/>
    </row>
    <row r="128" spans="2:2" s="24" customFormat="1" ht="13.2">
      <c r="B128" s="31"/>
    </row>
    <row r="129" spans="2:2" s="24" customFormat="1" ht="13.2">
      <c r="B129" s="31"/>
    </row>
    <row r="130" spans="2:2" s="24" customFormat="1" ht="13.2">
      <c r="B130" s="31"/>
    </row>
    <row r="131" spans="2:2" s="24" customFormat="1" ht="13.2">
      <c r="B131" s="31"/>
    </row>
    <row r="132" spans="2:2" s="24" customFormat="1" ht="13.2">
      <c r="B132" s="31"/>
    </row>
    <row r="133" spans="2:2" s="24" customFormat="1" ht="13.2">
      <c r="B133" s="31"/>
    </row>
    <row r="134" spans="2:2" s="24" customFormat="1" ht="13.2">
      <c r="B134" s="31"/>
    </row>
    <row r="135" spans="2:2" s="24" customFormat="1" ht="13.2">
      <c r="B135" s="31"/>
    </row>
    <row r="136" spans="2:2" s="24" customFormat="1" ht="13.2">
      <c r="B136" s="31"/>
    </row>
    <row r="137" spans="2:2" s="24" customFormat="1" ht="13.2">
      <c r="B137" s="31"/>
    </row>
    <row r="138" spans="2:2" s="24" customFormat="1" ht="13.2">
      <c r="B138" s="31"/>
    </row>
    <row r="139" spans="2:2" s="24" customFormat="1" ht="13.2">
      <c r="B139" s="31"/>
    </row>
    <row r="140" spans="2:2" s="24" customFormat="1" ht="13.2">
      <c r="B140" s="31"/>
    </row>
    <row r="141" spans="2:2" s="24" customFormat="1" ht="13.2">
      <c r="B141" s="31"/>
    </row>
    <row r="142" spans="2:2" s="24" customFormat="1" ht="13.2">
      <c r="B142" s="31"/>
    </row>
    <row r="143" spans="2:2" s="24" customFormat="1" ht="13.2">
      <c r="B143" s="31"/>
    </row>
    <row r="144" spans="2:2" s="24" customFormat="1" ht="13.2">
      <c r="B144" s="31"/>
    </row>
    <row r="145" spans="2:2" s="24" customFormat="1" ht="13.2">
      <c r="B145" s="31"/>
    </row>
    <row r="146" spans="2:2" s="24" customFormat="1" ht="13.2">
      <c r="B146" s="31"/>
    </row>
    <row r="147" spans="2:2" s="24" customFormat="1" ht="13.2">
      <c r="B147" s="31"/>
    </row>
    <row r="148" spans="2:2" s="24" customFormat="1" ht="13.2">
      <c r="B148" s="31"/>
    </row>
    <row r="149" spans="2:2" s="24" customFormat="1" ht="13.2">
      <c r="B149" s="31"/>
    </row>
    <row r="150" spans="2:2" s="24" customFormat="1" ht="13.2">
      <c r="B150" s="31"/>
    </row>
    <row r="151" spans="2:2" s="24" customFormat="1" ht="13.2">
      <c r="B151" s="31"/>
    </row>
    <row r="152" spans="2:2" s="24" customFormat="1" ht="13.2">
      <c r="B152" s="31"/>
    </row>
    <row r="153" spans="2:2" s="24" customFormat="1" ht="13.2">
      <c r="B153" s="31"/>
    </row>
    <row r="154" spans="2:2" s="24" customFormat="1" ht="13.2">
      <c r="B154" s="31"/>
    </row>
    <row r="155" spans="2:2" s="24" customFormat="1" ht="13.2">
      <c r="B155" s="31"/>
    </row>
    <row r="156" spans="2:2" s="24" customFormat="1" ht="13.2">
      <c r="B156" s="31"/>
    </row>
    <row r="157" spans="2:2" s="24" customFormat="1" ht="13.2">
      <c r="B157" s="31"/>
    </row>
    <row r="158" spans="2:2" s="24" customFormat="1" ht="13.2">
      <c r="B158" s="31"/>
    </row>
    <row r="159" spans="2:2" s="24" customFormat="1" ht="13.2">
      <c r="B159" s="31"/>
    </row>
    <row r="160" spans="2:2" s="24" customFormat="1" ht="13.2">
      <c r="B160" s="31"/>
    </row>
    <row r="161" spans="2:2" s="24" customFormat="1" ht="13.2">
      <c r="B161" s="31"/>
    </row>
    <row r="162" spans="2:2" s="24" customFormat="1" ht="13.2">
      <c r="B162" s="31"/>
    </row>
    <row r="163" spans="2:2" s="24" customFormat="1" ht="13.2">
      <c r="B163" s="31"/>
    </row>
    <row r="164" spans="2:2" s="24" customFormat="1" ht="13.2">
      <c r="B164" s="31"/>
    </row>
    <row r="165" spans="2:2" s="24" customFormat="1" ht="13.2">
      <c r="B165" s="31"/>
    </row>
    <row r="166" spans="2:2" s="24" customFormat="1" ht="13.2">
      <c r="B166" s="31"/>
    </row>
    <row r="167" spans="2:2" s="24" customFormat="1" ht="13.2">
      <c r="B167" s="31"/>
    </row>
    <row r="168" spans="2:2" s="24" customFormat="1" ht="13.2">
      <c r="B168" s="31"/>
    </row>
    <row r="169" spans="2:2" s="24" customFormat="1" ht="13.2">
      <c r="B169" s="31"/>
    </row>
    <row r="170" spans="2:2" s="24" customFormat="1" ht="13.2">
      <c r="B170" s="31"/>
    </row>
    <row r="171" spans="2:2" s="24" customFormat="1" ht="13.2">
      <c r="B171" s="31"/>
    </row>
    <row r="172" spans="2:2" s="24" customFormat="1" ht="13.2">
      <c r="B172" s="31"/>
    </row>
    <row r="173" spans="2:2" s="24" customFormat="1" ht="13.2">
      <c r="B173" s="31"/>
    </row>
    <row r="174" spans="2:2" s="24" customFormat="1" ht="13.2">
      <c r="B174" s="31"/>
    </row>
    <row r="175" spans="2:2" s="24" customFormat="1" ht="13.2">
      <c r="B175" s="31"/>
    </row>
    <row r="176" spans="2:2" s="24" customFormat="1" ht="13.2">
      <c r="B176" s="31"/>
    </row>
    <row r="177" spans="2:2" s="24" customFormat="1" ht="13.2">
      <c r="B177" s="31"/>
    </row>
    <row r="178" spans="2:2" s="24" customFormat="1" ht="13.2">
      <c r="B178" s="31"/>
    </row>
    <row r="179" spans="2:2" s="24" customFormat="1" ht="13.2">
      <c r="B179" s="31"/>
    </row>
    <row r="180" spans="2:2" s="24" customFormat="1" ht="13.2">
      <c r="B180" s="31"/>
    </row>
    <row r="181" spans="2:2" s="24" customFormat="1" ht="13.2">
      <c r="B181" s="31"/>
    </row>
    <row r="182" spans="2:2" s="24" customFormat="1" ht="13.2">
      <c r="B182" s="31"/>
    </row>
    <row r="183" spans="2:2" s="24" customFormat="1" ht="13.2">
      <c r="B183" s="31"/>
    </row>
    <row r="184" spans="2:2" s="24" customFormat="1" ht="13.2">
      <c r="B184" s="31"/>
    </row>
    <row r="185" spans="2:2" s="24" customFormat="1" ht="13.2">
      <c r="B185" s="31"/>
    </row>
    <row r="186" spans="2:2" s="24" customFormat="1" ht="13.2">
      <c r="B186" s="31"/>
    </row>
    <row r="187" spans="2:2" s="24" customFormat="1" ht="13.2">
      <c r="B187" s="31"/>
    </row>
    <row r="188" spans="2:2" s="24" customFormat="1" ht="13.2">
      <c r="B188" s="31"/>
    </row>
    <row r="189" spans="2:2" s="24" customFormat="1" ht="13.2">
      <c r="B189" s="31"/>
    </row>
    <row r="190" spans="2:2" s="24" customFormat="1" ht="13.2">
      <c r="B190" s="31"/>
    </row>
    <row r="191" spans="2:2" s="24" customFormat="1" ht="13.2">
      <c r="B191" s="31"/>
    </row>
    <row r="192" spans="2:2" s="24" customFormat="1" ht="13.2">
      <c r="B192" s="31"/>
    </row>
    <row r="193" spans="2:2" s="24" customFormat="1" ht="13.2">
      <c r="B193" s="31"/>
    </row>
    <row r="194" spans="2:2" s="24" customFormat="1" ht="13.2">
      <c r="B194" s="31"/>
    </row>
    <row r="195" spans="2:2" s="24" customFormat="1" ht="13.2">
      <c r="B195" s="31"/>
    </row>
    <row r="196" spans="2:2" s="24" customFormat="1" ht="13.2">
      <c r="B196" s="31"/>
    </row>
    <row r="197" spans="2:2" s="24" customFormat="1" ht="13.2">
      <c r="B197" s="31"/>
    </row>
    <row r="198" spans="2:2" s="24" customFormat="1" ht="13.2">
      <c r="B198" s="31"/>
    </row>
    <row r="199" spans="2:2" s="24" customFormat="1" ht="13.2">
      <c r="B199" s="31"/>
    </row>
    <row r="200" spans="2:2" s="24" customFormat="1" ht="13.2">
      <c r="B200" s="31"/>
    </row>
    <row r="201" spans="2:2" s="24" customFormat="1" ht="13.2">
      <c r="B201" s="31"/>
    </row>
    <row r="202" spans="2:2" s="24" customFormat="1" ht="13.2">
      <c r="B202" s="31"/>
    </row>
    <row r="203" spans="2:2" s="24" customFormat="1" ht="13.2">
      <c r="B203" s="31"/>
    </row>
    <row r="204" spans="2:2" s="24" customFormat="1" ht="13.2">
      <c r="B204" s="31"/>
    </row>
    <row r="205" spans="2:2" s="24" customFormat="1" ht="13.2">
      <c r="B205" s="31"/>
    </row>
    <row r="206" spans="2:2" s="24" customFormat="1" ht="13.2">
      <c r="B206" s="31"/>
    </row>
    <row r="207" spans="2:2" s="24" customFormat="1" ht="13.2">
      <c r="B207" s="31"/>
    </row>
    <row r="208" spans="2:2" s="24" customFormat="1" ht="13.2">
      <c r="B208" s="31"/>
    </row>
    <row r="209" spans="2:2" s="24" customFormat="1" ht="13.2">
      <c r="B209" s="31"/>
    </row>
    <row r="210" spans="2:2" s="24" customFormat="1" ht="13.2">
      <c r="B210" s="31"/>
    </row>
    <row r="211" spans="2:2" s="24" customFormat="1" ht="13.2">
      <c r="B211" s="31"/>
    </row>
    <row r="212" spans="2:2" s="24" customFormat="1" ht="13.2">
      <c r="B212" s="31"/>
    </row>
    <row r="213" spans="2:2" s="24" customFormat="1" ht="13.2">
      <c r="B213" s="31"/>
    </row>
    <row r="214" spans="2:2" s="24" customFormat="1" ht="13.2">
      <c r="B214" s="31"/>
    </row>
    <row r="215" spans="2:2" s="24" customFormat="1" ht="13.2">
      <c r="B215" s="31"/>
    </row>
    <row r="216" spans="2:2" s="24" customFormat="1" ht="13.2">
      <c r="B216" s="31"/>
    </row>
    <row r="217" spans="2:2" s="24" customFormat="1" ht="13.2">
      <c r="B217" s="31"/>
    </row>
    <row r="218" spans="2:2" s="24" customFormat="1" ht="13.2">
      <c r="B218" s="31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P13:P18 L13:N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10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ignoredErrors>
    <ignoredError sqref="A1:XFD2 A11:XFD12 A6:F6 I6:XFD6 A4:F5 I5:XFD5 A7:F10 I7:XFD10 A18:XFD22 A13:D17 F16:K16 F13:K13 Q13:XFD13 F17:K17 Q17:XFD17 A3:S3 Z3:XFD3 I4:S4 Z4:XFD4 M13 F14:K14 M14 F15:K15 M15 M16 M17 O13 O14 O15 O16:XFD16 O17 Q14:XFD14 Q15:XFD15 A24:XFD1048576 A23:E23 G23:XFD23" unlockedFormula="1"/>
  </ignoredError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10" zoomScaleNormal="110" workbookViewId="0">
      <pane ySplit="7" topLeftCell="A8" activePane="bottomLeft" state="frozen"/>
      <selection activeCell="X33" sqref="X33"/>
      <selection pane="bottomLeft" activeCell="X33" sqref="X33"/>
    </sheetView>
  </sheetViews>
  <sheetFormatPr defaultColWidth="8.44140625" defaultRowHeight="13.8"/>
  <cols>
    <col min="1" max="1" width="1.44140625" style="4" customWidth="1"/>
    <col min="2" max="2" width="8.44140625" style="5"/>
    <col min="3" max="3" width="2.44140625" style="5" customWidth="1"/>
    <col min="4" max="4" width="21.5546875" style="4" customWidth="1"/>
    <col min="5" max="5" width="1.44140625" style="4" customWidth="1"/>
    <col min="6" max="6" width="19.5546875" style="4" customWidth="1"/>
    <col min="7" max="7" width="1.44140625" style="4" customWidth="1"/>
    <col min="8" max="8" width="18.44140625" style="4" customWidth="1"/>
    <col min="9" max="9" width="3.44140625" style="4" customWidth="1"/>
    <col min="10" max="10" width="24.44140625" style="4" customWidth="1"/>
    <col min="11" max="11" width="2" style="4" customWidth="1"/>
    <col min="12" max="12" width="53.44140625" style="4" customWidth="1"/>
    <col min="13" max="16384" width="8.44140625" style="4"/>
  </cols>
  <sheetData>
    <row r="1" spans="1:12" ht="6.75" customHeight="1">
      <c r="A1" s="126"/>
      <c r="B1" s="127"/>
      <c r="C1" s="127"/>
      <c r="D1" s="126"/>
      <c r="E1" s="126"/>
      <c r="F1" s="126"/>
      <c r="G1" s="126"/>
      <c r="H1" s="126"/>
      <c r="I1" s="126"/>
      <c r="J1" s="126"/>
      <c r="K1" s="26"/>
      <c r="L1" s="26"/>
    </row>
    <row r="2" spans="1:12">
      <c r="A2" s="126"/>
      <c r="B2" s="130" t="s">
        <v>235</v>
      </c>
      <c r="C2" s="130"/>
      <c r="D2" s="130"/>
      <c r="E2" s="130"/>
      <c r="F2" s="130"/>
      <c r="G2" s="130"/>
      <c r="H2" s="130"/>
      <c r="I2" s="130"/>
      <c r="J2" s="130"/>
      <c r="K2" s="28"/>
      <c r="L2" s="28"/>
    </row>
    <row r="3" spans="1:12" ht="6.75" customHeight="1">
      <c r="A3" s="126"/>
      <c r="B3" s="127"/>
      <c r="C3" s="127"/>
      <c r="D3" s="126"/>
      <c r="E3" s="126"/>
      <c r="F3" s="126"/>
      <c r="G3" s="126"/>
      <c r="H3" s="126"/>
      <c r="I3" s="126"/>
      <c r="J3" s="126"/>
      <c r="K3" s="26"/>
      <c r="L3" s="26"/>
    </row>
    <row r="4" spans="1:12" ht="14.4" thickBot="1">
      <c r="A4" s="126"/>
      <c r="B4" s="692"/>
      <c r="C4" s="692"/>
      <c r="D4" s="692"/>
      <c r="E4" s="313"/>
      <c r="F4" s="131" t="s">
        <v>194</v>
      </c>
      <c r="G4" s="126"/>
      <c r="H4" s="131" t="s">
        <v>195</v>
      </c>
      <c r="I4" s="126"/>
      <c r="J4" s="132" t="s">
        <v>236</v>
      </c>
      <c r="K4" s="26"/>
      <c r="L4" s="26"/>
    </row>
    <row r="5" spans="1:12" ht="14.4" thickBot="1">
      <c r="A5" s="126"/>
      <c r="B5" s="693" t="s">
        <v>237</v>
      </c>
      <c r="C5" s="693"/>
      <c r="D5" s="693"/>
      <c r="E5" s="313"/>
      <c r="F5" s="133">
        <f>SUM(F9:F23)</f>
        <v>1702430.3199999998</v>
      </c>
      <c r="G5" s="128"/>
      <c r="H5" s="133">
        <f>SUM(H9:H23)</f>
        <v>1502144.1835</v>
      </c>
      <c r="I5" s="126"/>
      <c r="J5" s="134">
        <f>SUM(J9:J23)</f>
        <v>200286.13650000005</v>
      </c>
      <c r="K5" s="26"/>
      <c r="L5" s="26"/>
    </row>
    <row r="6" spans="1:12" ht="6.75" customHeight="1" thickBot="1">
      <c r="A6" s="126"/>
      <c r="B6" s="135"/>
      <c r="C6" s="135"/>
      <c r="D6" s="135"/>
      <c r="E6" s="135"/>
      <c r="F6" s="126"/>
      <c r="G6" s="126"/>
      <c r="H6" s="126"/>
      <c r="I6" s="126"/>
      <c r="J6" s="126"/>
      <c r="K6" s="26"/>
      <c r="L6" s="26"/>
    </row>
    <row r="7" spans="1:12" ht="27" thickBot="1">
      <c r="A7" s="126"/>
      <c r="B7" s="136" t="s">
        <v>124</v>
      </c>
      <c r="C7" s="137"/>
      <c r="D7" s="136" t="s">
        <v>78</v>
      </c>
      <c r="E7" s="137"/>
      <c r="F7" s="138" t="s">
        <v>238</v>
      </c>
      <c r="G7" s="139"/>
      <c r="H7" s="138" t="s">
        <v>239</v>
      </c>
      <c r="I7" s="139"/>
      <c r="J7" s="138" t="s">
        <v>240</v>
      </c>
      <c r="K7" s="84"/>
      <c r="L7" s="29" t="s">
        <v>241</v>
      </c>
    </row>
    <row r="8" spans="1:12" ht="6.75" customHeight="1">
      <c r="A8" s="126"/>
      <c r="B8" s="127"/>
      <c r="C8" s="127"/>
      <c r="D8" s="126"/>
      <c r="E8" s="126"/>
      <c r="F8" s="126"/>
      <c r="G8" s="126"/>
      <c r="H8" s="126"/>
      <c r="I8" s="126"/>
      <c r="J8" s="126"/>
      <c r="K8" s="26"/>
      <c r="L8" s="26"/>
    </row>
    <row r="9" spans="1:12">
      <c r="A9" s="126"/>
      <c r="B9" s="140">
        <f>'Expenditure Breakdown'!L6</f>
        <v>1</v>
      </c>
      <c r="C9" s="129"/>
      <c r="D9" s="141" t="str">
        <f>'Expenditure Breakdown'!M6</f>
        <v>1. Panels</v>
      </c>
      <c r="E9" s="21"/>
      <c r="F9" s="142">
        <f>'Expenditure Breakdown'!I6</f>
        <v>556966.5</v>
      </c>
      <c r="G9" s="21"/>
      <c r="H9" s="142">
        <f>'Expenditure Breakdown'!X6</f>
        <v>506043.6</v>
      </c>
      <c r="I9" s="23"/>
      <c r="J9" s="143">
        <f t="shared" ref="J9:J23" si="0">F9-H9</f>
        <v>50922.900000000023</v>
      </c>
      <c r="K9" s="85"/>
      <c r="L9" s="159"/>
    </row>
    <row r="10" spans="1:12">
      <c r="A10" s="126"/>
      <c r="B10" s="140">
        <f>'Expenditure Breakdown'!L13</f>
        <v>2</v>
      </c>
      <c r="C10" s="129"/>
      <c r="D10" s="141" t="str">
        <f>'Expenditure Breakdown'!M13</f>
        <v>2. Inverters</v>
      </c>
      <c r="E10" s="21"/>
      <c r="F10" s="142">
        <f>'Expenditure Breakdown'!I13</f>
        <v>140000</v>
      </c>
      <c r="G10" s="21"/>
      <c r="H10" s="142">
        <f>'Expenditure Breakdown'!X13</f>
        <v>137740.70000000001</v>
      </c>
      <c r="I10" s="23"/>
      <c r="J10" s="143">
        <f t="shared" si="0"/>
        <v>2259.2999999999884</v>
      </c>
      <c r="K10" s="85"/>
      <c r="L10" s="159"/>
    </row>
    <row r="11" spans="1:12">
      <c r="A11" s="126"/>
      <c r="B11" s="140">
        <f>'Expenditure Breakdown'!L21</f>
        <v>3</v>
      </c>
      <c r="C11" s="129"/>
      <c r="D11" s="141" t="str">
        <f>'Expenditure Breakdown'!M21</f>
        <v>3. Mounting Structures</v>
      </c>
      <c r="E11" s="144"/>
      <c r="F11" s="142">
        <f>'Expenditure Breakdown'!I21</f>
        <v>112716</v>
      </c>
      <c r="G11" s="21"/>
      <c r="H11" s="142">
        <f>'Expenditure Breakdown'!X21</f>
        <v>78119</v>
      </c>
      <c r="I11" s="23"/>
      <c r="J11" s="143">
        <f t="shared" si="0"/>
        <v>34597</v>
      </c>
      <c r="K11" s="85"/>
      <c r="L11" s="159"/>
    </row>
    <row r="12" spans="1:12">
      <c r="A12" s="126"/>
      <c r="B12" s="140">
        <f>'Expenditure Breakdown'!L29</f>
        <v>4</v>
      </c>
      <c r="C12" s="129"/>
      <c r="D12" s="141" t="str">
        <f>'Expenditure Breakdown'!M29</f>
        <v>4. DC Equipment</v>
      </c>
      <c r="E12" s="144"/>
      <c r="F12" s="142">
        <f>'Expenditure Breakdown'!I29</f>
        <v>207033.9</v>
      </c>
      <c r="G12" s="21"/>
      <c r="H12" s="142">
        <f>'Expenditure Breakdown'!X29</f>
        <v>93178.369999999981</v>
      </c>
      <c r="I12" s="23"/>
      <c r="J12" s="143">
        <f t="shared" si="0"/>
        <v>113855.53000000001</v>
      </c>
      <c r="K12" s="85"/>
      <c r="L12" s="159"/>
    </row>
    <row r="13" spans="1:12">
      <c r="A13" s="126"/>
      <c r="B13" s="140">
        <f>'Expenditure Breakdown'!L46</f>
        <v>5</v>
      </c>
      <c r="C13" s="129"/>
      <c r="D13" s="141" t="str">
        <f>'Expenditure Breakdown'!M46</f>
        <v>5. Monitoring</v>
      </c>
      <c r="E13" s="144"/>
      <c r="F13" s="142">
        <f>'Expenditure Breakdown'!I46</f>
        <v>49000</v>
      </c>
      <c r="G13" s="21"/>
      <c r="H13" s="142">
        <f>'Expenditure Breakdown'!X46</f>
        <v>59038.009999999995</v>
      </c>
      <c r="I13" s="23"/>
      <c r="J13" s="143">
        <f t="shared" si="0"/>
        <v>-10038.009999999995</v>
      </c>
      <c r="K13" s="85"/>
      <c r="L13" s="159"/>
    </row>
    <row r="14" spans="1:12">
      <c r="A14" s="126"/>
      <c r="B14" s="140">
        <f>'Expenditure Breakdown'!L56</f>
        <v>6</v>
      </c>
      <c r="C14" s="129"/>
      <c r="D14" s="141" t="str">
        <f>'Expenditure Breakdown'!M56</f>
        <v>6. AC Equipment</v>
      </c>
      <c r="E14" s="144"/>
      <c r="F14" s="142">
        <f>'Expenditure Breakdown'!I56</f>
        <v>268570.82</v>
      </c>
      <c r="G14" s="21"/>
      <c r="H14" s="142">
        <f>'Expenditure Breakdown'!X56</f>
        <v>121280.62</v>
      </c>
      <c r="I14" s="23"/>
      <c r="J14" s="143">
        <f t="shared" si="0"/>
        <v>147290.20000000001</v>
      </c>
      <c r="K14" s="85"/>
      <c r="L14" s="159"/>
    </row>
    <row r="15" spans="1:12">
      <c r="A15" s="126"/>
      <c r="B15" s="140">
        <f>'Expenditure Breakdown'!L75</f>
        <v>7</v>
      </c>
      <c r="C15" s="129"/>
      <c r="D15" s="141" t="str">
        <f>'Expenditure Breakdown'!M75</f>
        <v>7.BESS</v>
      </c>
      <c r="E15" s="144"/>
      <c r="F15" s="142">
        <f>'Expenditure Breakdown'!I75</f>
        <v>0</v>
      </c>
      <c r="G15" s="21"/>
      <c r="H15" s="142">
        <f>'Expenditure Breakdown'!X75</f>
        <v>0</v>
      </c>
      <c r="I15" s="23"/>
      <c r="J15" s="143">
        <f t="shared" si="0"/>
        <v>0</v>
      </c>
      <c r="K15" s="85"/>
      <c r="L15" s="159"/>
    </row>
    <row r="16" spans="1:12">
      <c r="A16" s="126"/>
      <c r="B16" s="140">
        <f>'Expenditure Breakdown'!L84</f>
        <v>8</v>
      </c>
      <c r="C16" s="129"/>
      <c r="D16" s="141" t="str">
        <f>'Expenditure Breakdown'!M84</f>
        <v xml:space="preserve">8. Product Add On </v>
      </c>
      <c r="E16" s="144"/>
      <c r="F16" s="142">
        <f>'Expenditure Breakdown'!I84</f>
        <v>0</v>
      </c>
      <c r="G16" s="21"/>
      <c r="H16" s="142">
        <f>'Expenditure Breakdown'!X84</f>
        <v>26057.31</v>
      </c>
      <c r="I16" s="23"/>
      <c r="J16" s="143">
        <f t="shared" si="0"/>
        <v>-26057.31</v>
      </c>
      <c r="K16" s="85"/>
      <c r="L16" s="159"/>
    </row>
    <row r="17" spans="1:12">
      <c r="A17" s="126"/>
      <c r="B17" s="140">
        <f>'Expenditure Breakdown'!L94</f>
        <v>9</v>
      </c>
      <c r="C17" s="129"/>
      <c r="D17" s="141" t="str">
        <f>'Expenditure Breakdown'!M94</f>
        <v>9. AC &amp; DC installation</v>
      </c>
      <c r="E17" s="144"/>
      <c r="F17" s="142">
        <f>'Expenditure Breakdown'!I94</f>
        <v>196950</v>
      </c>
      <c r="G17" s="21"/>
      <c r="H17" s="142">
        <f>'Expenditure Breakdown'!X94</f>
        <v>311148.24999999994</v>
      </c>
      <c r="I17" s="23"/>
      <c r="J17" s="143">
        <f t="shared" si="0"/>
        <v>-114198.24999999994</v>
      </c>
      <c r="K17" s="85"/>
      <c r="L17" s="159"/>
    </row>
    <row r="18" spans="1:12">
      <c r="A18" s="126"/>
      <c r="B18" s="140">
        <f>'Expenditure Breakdown'!L108</f>
        <v>10</v>
      </c>
      <c r="C18" s="129"/>
      <c r="D18" s="141" t="str">
        <f>'Expenditure Breakdown'!M108</f>
        <v>10. Site Logistics</v>
      </c>
      <c r="E18" s="21"/>
      <c r="F18" s="142">
        <f>'Expenditure Breakdown'!I108</f>
        <v>56854.45</v>
      </c>
      <c r="G18" s="21"/>
      <c r="H18" s="142">
        <f>'Expenditure Breakdown'!X108</f>
        <v>109850.74000000002</v>
      </c>
      <c r="I18" s="23"/>
      <c r="J18" s="143">
        <f t="shared" si="0"/>
        <v>-52996.290000000023</v>
      </c>
      <c r="K18" s="85"/>
      <c r="L18" s="159"/>
    </row>
    <row r="19" spans="1:12">
      <c r="A19" s="126"/>
      <c r="B19" s="140">
        <f>'Expenditure Breakdown'!L125</f>
        <v>11</v>
      </c>
      <c r="C19" s="129"/>
      <c r="D19" s="141" t="str">
        <f>'Expenditure Breakdown'!M125</f>
        <v>11. Due Dilligence</v>
      </c>
      <c r="E19" s="21"/>
      <c r="F19" s="142">
        <f>'Expenditure Breakdown'!I125</f>
        <v>89000</v>
      </c>
      <c r="G19" s="21"/>
      <c r="H19" s="142">
        <f>'Expenditure Breakdown'!X125</f>
        <v>21375</v>
      </c>
      <c r="I19" s="23"/>
      <c r="J19" s="143">
        <f t="shared" si="0"/>
        <v>67625</v>
      </c>
      <c r="K19" s="85"/>
      <c r="L19" s="159"/>
    </row>
    <row r="20" spans="1:12">
      <c r="A20" s="126"/>
      <c r="B20" s="140">
        <f>'Expenditure Breakdown'!L131</f>
        <v>12</v>
      </c>
      <c r="C20" s="129"/>
      <c r="D20" s="141" t="str">
        <f>'Expenditure Breakdown'!M131</f>
        <v>12. BDP Commission</v>
      </c>
      <c r="E20" s="21"/>
      <c r="F20" s="142">
        <f>'Expenditure Breakdown'!I131</f>
        <v>0</v>
      </c>
      <c r="G20" s="21"/>
      <c r="H20" s="142">
        <f>'Expenditure Breakdown'!X131</f>
        <v>0</v>
      </c>
      <c r="I20" s="23"/>
      <c r="J20" s="143">
        <f t="shared" si="0"/>
        <v>0</v>
      </c>
      <c r="K20" s="85"/>
      <c r="L20" s="159"/>
    </row>
    <row r="21" spans="1:12">
      <c r="A21" s="126"/>
      <c r="B21" s="140">
        <f>'Expenditure Breakdown'!L134</f>
        <v>13</v>
      </c>
      <c r="C21" s="129"/>
      <c r="D21" s="141" t="str">
        <f>'Expenditure Breakdown'!M135</f>
        <v>13. Engineering</v>
      </c>
      <c r="E21" s="21"/>
      <c r="F21" s="142">
        <f>'Expenditure Breakdown'!I134</f>
        <v>20963.650000000001</v>
      </c>
      <c r="G21" s="21"/>
      <c r="H21" s="142">
        <f>'Expenditure Breakdown'!X134</f>
        <v>25967.953500000003</v>
      </c>
      <c r="I21" s="23"/>
      <c r="J21" s="143">
        <f t="shared" si="0"/>
        <v>-5004.3035000000018</v>
      </c>
      <c r="K21" s="85"/>
      <c r="L21" s="159"/>
    </row>
    <row r="22" spans="1:12">
      <c r="A22" s="126"/>
      <c r="B22" s="140">
        <f>'Expenditure Breakdown'!L141</f>
        <v>14</v>
      </c>
      <c r="C22" s="129"/>
      <c r="D22" s="141" t="str">
        <f>'Expenditure Breakdown'!M141</f>
        <v>14. General Expenses</v>
      </c>
      <c r="E22" s="21"/>
      <c r="F22" s="142">
        <f>'Expenditure Breakdown'!I141</f>
        <v>4375</v>
      </c>
      <c r="G22" s="21"/>
      <c r="H22" s="142">
        <f>'Expenditure Breakdown'!X141</f>
        <v>4844.63</v>
      </c>
      <c r="I22" s="23"/>
      <c r="J22" s="143">
        <f t="shared" si="0"/>
        <v>-469.63000000000011</v>
      </c>
      <c r="K22" s="85"/>
      <c r="L22" s="159"/>
    </row>
    <row r="23" spans="1:12">
      <c r="A23" s="126"/>
      <c r="B23" s="140">
        <f>'Expenditure Breakdown'!L154</f>
        <v>15</v>
      </c>
      <c r="C23" s="129"/>
      <c r="D23" s="141" t="str">
        <f>'Expenditure Breakdown'!M154</f>
        <v>15. Service Add On</v>
      </c>
      <c r="E23" s="21"/>
      <c r="F23" s="142">
        <f>'Expenditure Breakdown'!I154</f>
        <v>0</v>
      </c>
      <c r="G23" s="21"/>
      <c r="H23" s="142">
        <f>'Expenditure Breakdown'!X154</f>
        <v>7500</v>
      </c>
      <c r="I23" s="23"/>
      <c r="J23" s="143">
        <f t="shared" si="0"/>
        <v>-7500</v>
      </c>
      <c r="K23" s="85"/>
      <c r="L23" s="159"/>
    </row>
    <row r="24" spans="1:12" ht="6.75" customHeight="1">
      <c r="A24" s="126"/>
      <c r="B24" s="22"/>
      <c r="C24" s="22"/>
      <c r="D24" s="21"/>
      <c r="E24" s="21"/>
      <c r="F24" s="21"/>
      <c r="G24" s="21"/>
      <c r="H24" s="23"/>
      <c r="I24" s="23"/>
      <c r="J24" s="23"/>
      <c r="K24" s="85"/>
      <c r="L24" s="26"/>
    </row>
    <row r="25" spans="1:12" ht="15" customHeight="1">
      <c r="A25" s="126"/>
      <c r="B25" s="22"/>
      <c r="C25" s="22"/>
      <c r="D25" s="145" t="s">
        <v>242</v>
      </c>
      <c r="E25" s="21"/>
      <c r="F25" s="146">
        <f>'Expenditure Breakdown'!I2-'Expenditure Tracking'!F5</f>
        <v>0</v>
      </c>
      <c r="G25" s="146" t="e">
        <f>#REF!-G5</f>
        <v>#REF!</v>
      </c>
      <c r="H25" s="146">
        <f>'Expenditure Breakdown'!X2-H5</f>
        <v>0</v>
      </c>
      <c r="I25" s="23"/>
      <c r="J25" s="147"/>
      <c r="K25" s="85"/>
      <c r="L25" s="26"/>
    </row>
    <row r="26" spans="1:12" s="1" customFormat="1">
      <c r="B26" s="25"/>
      <c r="C26" s="25"/>
    </row>
    <row r="27" spans="1:12">
      <c r="A27" s="26"/>
      <c r="B27" s="27"/>
      <c r="C27" s="27"/>
      <c r="D27" s="26"/>
      <c r="E27" s="26"/>
      <c r="F27" s="26"/>
      <c r="G27" s="26"/>
      <c r="H27" s="26"/>
      <c r="I27" s="26"/>
      <c r="J27" s="26"/>
      <c r="K27" s="26"/>
      <c r="L27" s="26"/>
    </row>
    <row r="28" spans="1:12">
      <c r="A28" s="26"/>
      <c r="B28" s="27"/>
      <c r="C28" s="27"/>
      <c r="D28" s="26"/>
      <c r="E28" s="26"/>
      <c r="F28" s="26"/>
      <c r="G28" s="26"/>
      <c r="H28" s="26"/>
      <c r="I28" s="26"/>
      <c r="J28" s="26"/>
      <c r="K28" s="26"/>
      <c r="L28" s="26"/>
    </row>
    <row r="29" spans="1:12">
      <c r="A29" s="26"/>
      <c r="B29" s="27"/>
      <c r="C29" s="27"/>
      <c r="E29" s="26"/>
      <c r="F29" s="26"/>
      <c r="G29" s="26"/>
      <c r="H29" s="26"/>
      <c r="I29" s="26"/>
      <c r="J29" s="26"/>
      <c r="K29" s="26"/>
      <c r="L29" s="26"/>
    </row>
    <row r="30" spans="1:12">
      <c r="A30" s="26"/>
      <c r="B30" s="27"/>
      <c r="C30" s="27"/>
      <c r="D30" s="26"/>
      <c r="E30" s="26"/>
      <c r="F30" s="26"/>
      <c r="G30" s="26"/>
      <c r="H30" s="26"/>
      <c r="I30" s="26"/>
      <c r="J30" s="26"/>
      <c r="K30" s="26"/>
      <c r="L30" s="26"/>
    </row>
    <row r="31" spans="1:12">
      <c r="A31" s="26"/>
      <c r="B31" s="27"/>
      <c r="C31" s="27"/>
      <c r="D31" s="26"/>
      <c r="E31" s="26"/>
      <c r="F31" s="26"/>
      <c r="G31" s="26"/>
      <c r="H31" s="26"/>
      <c r="I31" s="26"/>
      <c r="J31" s="26"/>
      <c r="K31" s="26"/>
      <c r="L31" s="26"/>
    </row>
    <row r="32" spans="1:12">
      <c r="A32" s="26"/>
      <c r="B32" s="27"/>
      <c r="C32" s="27"/>
      <c r="D32" s="26"/>
      <c r="E32" s="26"/>
      <c r="F32" s="26"/>
      <c r="G32" s="26"/>
      <c r="H32" s="26"/>
      <c r="I32" s="26"/>
      <c r="J32" s="26"/>
      <c r="K32" s="26"/>
      <c r="L32" s="26"/>
    </row>
    <row r="33" spans="1:12">
      <c r="A33" s="26"/>
      <c r="B33" s="27"/>
      <c r="C33" s="27"/>
      <c r="D33" s="26"/>
      <c r="E33" s="26"/>
      <c r="F33" s="26"/>
      <c r="G33" s="26"/>
      <c r="H33" s="26"/>
      <c r="I33" s="26"/>
      <c r="J33" s="26"/>
      <c r="K33" s="26"/>
      <c r="L33" s="26"/>
    </row>
    <row r="34" spans="1:12">
      <c r="A34" s="26"/>
      <c r="B34" s="27"/>
      <c r="C34" s="27"/>
      <c r="D34" s="26"/>
      <c r="E34" s="26"/>
      <c r="F34" s="26"/>
      <c r="G34" s="26"/>
      <c r="H34" s="26"/>
      <c r="I34" s="26"/>
      <c r="J34" s="26"/>
      <c r="K34" s="26"/>
      <c r="L34" s="26"/>
    </row>
    <row r="35" spans="1:12">
      <c r="A35" s="26"/>
      <c r="B35" s="27"/>
      <c r="C35" s="27"/>
      <c r="D35" s="26"/>
      <c r="E35" s="26"/>
      <c r="F35" s="26"/>
      <c r="G35" s="26"/>
      <c r="H35" s="26"/>
      <c r="I35" s="26"/>
      <c r="J35" s="26"/>
      <c r="K35" s="26"/>
      <c r="L35" s="26"/>
    </row>
    <row r="36" spans="1:12">
      <c r="A36" s="26"/>
      <c r="B36" s="27"/>
      <c r="C36" s="27"/>
      <c r="D36" s="26"/>
      <c r="E36" s="26"/>
      <c r="F36" s="26"/>
      <c r="G36" s="26"/>
      <c r="H36" s="26"/>
      <c r="I36" s="26"/>
      <c r="J36" s="26"/>
      <c r="K36" s="26"/>
      <c r="L36" s="26"/>
    </row>
    <row r="37" spans="1:12">
      <c r="A37" s="26"/>
      <c r="B37" s="27"/>
      <c r="C37" s="27"/>
      <c r="D37" s="26"/>
      <c r="E37" s="26"/>
      <c r="F37" s="26"/>
      <c r="G37" s="26"/>
      <c r="H37" s="26"/>
      <c r="I37" s="26"/>
      <c r="J37" s="26"/>
      <c r="K37" s="26"/>
      <c r="L37" s="26"/>
    </row>
    <row r="38" spans="1:12">
      <c r="A38" s="26"/>
      <c r="B38" s="27"/>
      <c r="C38" s="27"/>
      <c r="D38" s="26"/>
      <c r="E38" s="26"/>
      <c r="F38" s="26"/>
      <c r="G38" s="26"/>
      <c r="H38" s="26"/>
      <c r="I38" s="26"/>
      <c r="J38" s="26"/>
      <c r="K38" s="26"/>
      <c r="L38" s="26"/>
    </row>
    <row r="39" spans="1:12" s="26" customFormat="1">
      <c r="B39" s="27"/>
      <c r="C39" s="27"/>
    </row>
    <row r="40" spans="1:12" s="26" customFormat="1">
      <c r="B40" s="27"/>
      <c r="C40" s="27"/>
    </row>
    <row r="41" spans="1:12" s="26" customFormat="1">
      <c r="B41" s="27"/>
      <c r="C41" s="27"/>
    </row>
    <row r="42" spans="1:12" s="26" customFormat="1">
      <c r="B42" s="27"/>
      <c r="C42" s="27"/>
    </row>
    <row r="43" spans="1:12" s="26" customFormat="1">
      <c r="B43" s="27"/>
      <c r="C43" s="27"/>
    </row>
    <row r="44" spans="1:12" s="26" customFormat="1">
      <c r="B44" s="27"/>
      <c r="C44" s="27"/>
    </row>
    <row r="45" spans="1:12" s="26" customFormat="1">
      <c r="B45" s="27"/>
      <c r="C45" s="27"/>
    </row>
    <row r="46" spans="1:12" s="26" customFormat="1">
      <c r="B46" s="27"/>
      <c r="C46" s="27"/>
    </row>
    <row r="47" spans="1:12" s="26" customFormat="1">
      <c r="B47" s="27"/>
      <c r="C47" s="27"/>
    </row>
    <row r="48" spans="1:12" s="26" customFormat="1">
      <c r="B48" s="27"/>
      <c r="C48" s="27"/>
    </row>
    <row r="49" spans="2:3" s="26" customFormat="1">
      <c r="B49" s="27"/>
      <c r="C49" s="27"/>
    </row>
    <row r="50" spans="2:3" s="26" customFormat="1">
      <c r="B50" s="27"/>
      <c r="C50" s="27"/>
    </row>
    <row r="51" spans="2:3" s="26" customFormat="1">
      <c r="B51" s="27"/>
      <c r="C51" s="27"/>
    </row>
    <row r="52" spans="2:3" s="26" customFormat="1">
      <c r="B52" s="27"/>
      <c r="C52" s="27"/>
    </row>
    <row r="53" spans="2:3" s="26" customFormat="1">
      <c r="B53" s="27"/>
      <c r="C53" s="27"/>
    </row>
    <row r="54" spans="2:3" s="26" customFormat="1">
      <c r="B54" s="27"/>
      <c r="C54" s="27"/>
    </row>
    <row r="55" spans="2:3" s="26" customFormat="1">
      <c r="B55" s="27"/>
      <c r="C55" s="27"/>
    </row>
    <row r="56" spans="2:3" s="26" customFormat="1">
      <c r="B56" s="27"/>
      <c r="C56" s="27"/>
    </row>
    <row r="57" spans="2:3" s="26" customFormat="1">
      <c r="B57" s="27"/>
      <c r="C57" s="27"/>
    </row>
    <row r="58" spans="2:3" s="26" customFormat="1">
      <c r="B58" s="27"/>
      <c r="C58" s="27"/>
    </row>
    <row r="59" spans="2:3" s="26" customFormat="1">
      <c r="B59" s="27"/>
      <c r="C59" s="27"/>
    </row>
    <row r="60" spans="2:3" s="26" customFormat="1">
      <c r="B60" s="27"/>
      <c r="C60" s="27"/>
    </row>
    <row r="61" spans="2:3" s="26" customFormat="1">
      <c r="B61" s="27"/>
      <c r="C61" s="27"/>
    </row>
    <row r="62" spans="2:3" s="26" customFormat="1">
      <c r="B62" s="27"/>
      <c r="C62" s="27"/>
    </row>
    <row r="63" spans="2:3" s="26" customFormat="1">
      <c r="B63" s="27"/>
      <c r="C63" s="27"/>
    </row>
    <row r="64" spans="2:3" s="26" customFormat="1">
      <c r="B64" s="27"/>
      <c r="C64" s="27"/>
    </row>
    <row r="65" spans="2:3" s="26" customFormat="1">
      <c r="B65" s="27"/>
      <c r="C65" s="27"/>
    </row>
    <row r="66" spans="2:3" s="26" customFormat="1">
      <c r="B66" s="27"/>
      <c r="C66" s="27"/>
    </row>
    <row r="67" spans="2:3" s="26" customFormat="1">
      <c r="B67" s="27"/>
      <c r="C67" s="27"/>
    </row>
    <row r="68" spans="2:3" s="26" customFormat="1">
      <c r="B68" s="27"/>
      <c r="C68" s="27"/>
    </row>
    <row r="69" spans="2:3" s="26" customFormat="1">
      <c r="B69" s="27"/>
      <c r="C69" s="27"/>
    </row>
    <row r="70" spans="2:3" s="26" customFormat="1">
      <c r="B70" s="27"/>
      <c r="C70" s="27"/>
    </row>
    <row r="71" spans="2:3" s="26" customFormat="1">
      <c r="B71" s="27"/>
      <c r="C71" s="27"/>
    </row>
    <row r="72" spans="2:3" s="26" customFormat="1">
      <c r="B72" s="27"/>
      <c r="C72" s="27"/>
    </row>
    <row r="73" spans="2:3" s="26" customFormat="1">
      <c r="B73" s="27"/>
      <c r="C73" s="27"/>
    </row>
    <row r="74" spans="2:3" s="26" customFormat="1">
      <c r="B74" s="27"/>
      <c r="C74" s="27"/>
    </row>
    <row r="75" spans="2:3" s="26" customFormat="1">
      <c r="B75" s="27"/>
      <c r="C75" s="27"/>
    </row>
    <row r="76" spans="2:3" s="26" customFormat="1">
      <c r="B76" s="27"/>
      <c r="C76" s="27"/>
    </row>
    <row r="77" spans="2:3" s="26" customFormat="1">
      <c r="B77" s="27"/>
      <c r="C77" s="27"/>
    </row>
    <row r="78" spans="2:3" s="26" customFormat="1">
      <c r="B78" s="27"/>
      <c r="C78" s="27"/>
    </row>
    <row r="79" spans="2:3" s="26" customFormat="1">
      <c r="B79" s="27"/>
      <c r="C79" s="27"/>
    </row>
    <row r="80" spans="2:3" s="26" customFormat="1">
      <c r="B80" s="27"/>
      <c r="C80" s="27"/>
    </row>
    <row r="81" spans="2:3" s="26" customFormat="1">
      <c r="B81" s="27"/>
      <c r="C81" s="27"/>
    </row>
    <row r="82" spans="2:3" s="26" customFormat="1">
      <c r="B82" s="27"/>
      <c r="C82" s="27"/>
    </row>
    <row r="83" spans="2:3" s="26" customFormat="1">
      <c r="B83" s="27"/>
      <c r="C83" s="27"/>
    </row>
    <row r="84" spans="2:3" s="26" customFormat="1">
      <c r="B84" s="27"/>
      <c r="C84" s="27"/>
    </row>
    <row r="85" spans="2:3" s="26" customFormat="1">
      <c r="B85" s="27"/>
      <c r="C85" s="27"/>
    </row>
    <row r="86" spans="2:3" s="26" customFormat="1">
      <c r="B86" s="27"/>
      <c r="C86" s="27"/>
    </row>
    <row r="87" spans="2:3" s="26" customFormat="1">
      <c r="B87" s="27"/>
      <c r="C87" s="27"/>
    </row>
    <row r="88" spans="2:3" s="26" customFormat="1">
      <c r="B88" s="27"/>
      <c r="C88" s="27"/>
    </row>
    <row r="89" spans="2:3" s="26" customFormat="1">
      <c r="B89" s="27"/>
      <c r="C89" s="27"/>
    </row>
    <row r="90" spans="2:3" s="26" customFormat="1">
      <c r="B90" s="27"/>
      <c r="C90" s="27"/>
    </row>
    <row r="91" spans="2:3" s="26" customFormat="1">
      <c r="B91" s="27"/>
      <c r="C91" s="27"/>
    </row>
    <row r="92" spans="2:3" s="26" customFormat="1">
      <c r="B92" s="27"/>
      <c r="C92" s="27"/>
    </row>
    <row r="93" spans="2:3" s="26" customFormat="1">
      <c r="B93" s="27"/>
      <c r="C93" s="27"/>
    </row>
    <row r="94" spans="2:3" s="26" customFormat="1">
      <c r="B94" s="27"/>
      <c r="C94" s="27"/>
    </row>
    <row r="95" spans="2:3" s="26" customFormat="1">
      <c r="B95" s="27"/>
      <c r="C95" s="27"/>
    </row>
    <row r="96" spans="2:3" s="26" customFormat="1">
      <c r="B96" s="27"/>
      <c r="C96" s="27"/>
    </row>
    <row r="97" spans="2:3" s="26" customFormat="1">
      <c r="B97" s="27"/>
      <c r="C97" s="27"/>
    </row>
    <row r="98" spans="2:3" s="26" customFormat="1">
      <c r="B98" s="27"/>
      <c r="C98" s="27"/>
    </row>
    <row r="99" spans="2:3" s="26" customFormat="1">
      <c r="B99" s="27"/>
      <c r="C99" s="27"/>
    </row>
    <row r="100" spans="2:3" s="26" customFormat="1">
      <c r="B100" s="27"/>
      <c r="C100" s="27"/>
    </row>
    <row r="101" spans="2:3" s="26" customFormat="1">
      <c r="B101" s="27"/>
      <c r="C101" s="27"/>
    </row>
    <row r="102" spans="2:3" s="26" customFormat="1">
      <c r="B102" s="27"/>
      <c r="C102" s="27"/>
    </row>
    <row r="103" spans="2:3" s="26" customFormat="1">
      <c r="B103" s="27"/>
      <c r="C103" s="27"/>
    </row>
    <row r="104" spans="2:3" s="26" customFormat="1">
      <c r="B104" s="27"/>
      <c r="C104" s="27"/>
    </row>
    <row r="105" spans="2:3" s="26" customFormat="1">
      <c r="B105" s="27"/>
      <c r="C105" s="27"/>
    </row>
    <row r="106" spans="2:3" s="26" customFormat="1">
      <c r="B106" s="27"/>
      <c r="C106" s="27"/>
    </row>
    <row r="107" spans="2:3" s="26" customFormat="1">
      <c r="B107" s="27"/>
      <c r="C107" s="27"/>
    </row>
    <row r="108" spans="2:3" s="26" customFormat="1">
      <c r="B108" s="27"/>
      <c r="C108" s="27"/>
    </row>
    <row r="109" spans="2:3" s="26" customFormat="1">
      <c r="B109" s="27"/>
      <c r="C109" s="27"/>
    </row>
    <row r="110" spans="2:3" s="26" customFormat="1">
      <c r="B110" s="27"/>
      <c r="C110" s="27"/>
    </row>
    <row r="111" spans="2:3" s="26" customFormat="1">
      <c r="B111" s="27"/>
      <c r="C111" s="27"/>
    </row>
    <row r="112" spans="2:3" s="26" customFormat="1">
      <c r="B112" s="27"/>
      <c r="C112" s="27"/>
    </row>
    <row r="113" spans="2:3" s="26" customFormat="1">
      <c r="B113" s="27"/>
      <c r="C113" s="27"/>
    </row>
    <row r="114" spans="2:3" s="26" customFormat="1">
      <c r="B114" s="27"/>
      <c r="C114" s="27"/>
    </row>
    <row r="115" spans="2:3" s="26" customFormat="1">
      <c r="B115" s="27"/>
      <c r="C115" s="27"/>
    </row>
    <row r="116" spans="2:3" s="26" customFormat="1">
      <c r="B116" s="27"/>
      <c r="C116" s="27"/>
    </row>
    <row r="117" spans="2:3" s="26" customFormat="1">
      <c r="B117" s="27"/>
      <c r="C117" s="27"/>
    </row>
    <row r="118" spans="2:3" s="26" customFormat="1">
      <c r="B118" s="27"/>
      <c r="C118" s="27"/>
    </row>
    <row r="119" spans="2:3" s="26" customFormat="1">
      <c r="B119" s="27"/>
      <c r="C119" s="27"/>
    </row>
    <row r="120" spans="2:3" s="26" customFormat="1">
      <c r="B120" s="27"/>
      <c r="C120" s="27"/>
    </row>
    <row r="121" spans="2:3" s="26" customFormat="1">
      <c r="B121" s="27"/>
      <c r="C121" s="27"/>
    </row>
    <row r="122" spans="2:3" s="26" customFormat="1">
      <c r="B122" s="27"/>
      <c r="C122" s="27"/>
    </row>
    <row r="123" spans="2:3" s="26" customFormat="1">
      <c r="B123" s="27"/>
      <c r="C123" s="27"/>
    </row>
    <row r="124" spans="2:3" s="26" customFormat="1">
      <c r="B124" s="27"/>
      <c r="C124" s="27"/>
    </row>
    <row r="125" spans="2:3" s="26" customFormat="1">
      <c r="B125" s="27"/>
      <c r="C125" s="27"/>
    </row>
    <row r="126" spans="2:3" s="26" customFormat="1">
      <c r="B126" s="27"/>
      <c r="C126" s="27"/>
    </row>
    <row r="127" spans="2:3" s="26" customFormat="1">
      <c r="B127" s="27"/>
      <c r="C127" s="27"/>
    </row>
    <row r="128" spans="2:3" s="26" customFormat="1">
      <c r="B128" s="27"/>
      <c r="C128" s="27"/>
    </row>
    <row r="129" spans="2:3" s="26" customFormat="1">
      <c r="B129" s="27"/>
      <c r="C129" s="27"/>
    </row>
    <row r="130" spans="2:3" s="26" customFormat="1">
      <c r="B130" s="27"/>
      <c r="C130" s="27"/>
    </row>
    <row r="131" spans="2:3" s="26" customFormat="1">
      <c r="B131" s="27"/>
      <c r="C131" s="27"/>
    </row>
    <row r="132" spans="2:3" s="26" customFormat="1">
      <c r="B132" s="27"/>
      <c r="C132" s="27"/>
    </row>
    <row r="133" spans="2:3" s="26" customFormat="1">
      <c r="B133" s="27"/>
      <c r="C133" s="27"/>
    </row>
    <row r="134" spans="2:3" s="26" customFormat="1">
      <c r="B134" s="27"/>
      <c r="C134" s="27"/>
    </row>
    <row r="135" spans="2:3" s="26" customFormat="1">
      <c r="B135" s="27"/>
      <c r="C135" s="27"/>
    </row>
    <row r="136" spans="2:3" s="26" customFormat="1">
      <c r="B136" s="27"/>
      <c r="C136" s="27"/>
    </row>
    <row r="137" spans="2:3" s="26" customFormat="1">
      <c r="B137" s="27"/>
      <c r="C137" s="27"/>
    </row>
    <row r="138" spans="2:3" s="26" customFormat="1">
      <c r="B138" s="27"/>
      <c r="C138" s="27"/>
    </row>
    <row r="139" spans="2:3" s="26" customFormat="1">
      <c r="B139" s="27"/>
      <c r="C139" s="27"/>
    </row>
    <row r="140" spans="2:3" s="26" customFormat="1">
      <c r="B140" s="27"/>
      <c r="C140" s="27"/>
    </row>
    <row r="141" spans="2:3" s="26" customFormat="1">
      <c r="B141" s="27"/>
      <c r="C141" s="27"/>
    </row>
    <row r="142" spans="2:3" s="26" customFormat="1">
      <c r="B142" s="27"/>
      <c r="C142" s="27"/>
    </row>
    <row r="143" spans="2:3" s="26" customFormat="1">
      <c r="B143" s="27"/>
      <c r="C143" s="27"/>
    </row>
    <row r="144" spans="2:3" s="26" customFormat="1">
      <c r="B144" s="27"/>
      <c r="C144" s="27"/>
    </row>
    <row r="145" spans="2:3" s="26" customFormat="1">
      <c r="B145" s="27"/>
      <c r="C145" s="27"/>
    </row>
    <row r="146" spans="2:3" s="26" customFormat="1">
      <c r="B146" s="27"/>
      <c r="C146" s="27"/>
    </row>
    <row r="147" spans="2:3" s="26" customFormat="1">
      <c r="B147" s="27"/>
      <c r="C147" s="27"/>
    </row>
    <row r="148" spans="2:3" s="26" customFormat="1">
      <c r="B148" s="27"/>
      <c r="C148" s="27"/>
    </row>
    <row r="149" spans="2:3" s="26" customFormat="1">
      <c r="B149" s="27"/>
      <c r="C149" s="27"/>
    </row>
    <row r="150" spans="2:3" s="26" customFormat="1">
      <c r="B150" s="27"/>
      <c r="C150" s="27"/>
    </row>
    <row r="151" spans="2:3" s="26" customFormat="1">
      <c r="B151" s="27"/>
      <c r="C151" s="27"/>
    </row>
    <row r="152" spans="2:3" s="26" customFormat="1">
      <c r="B152" s="27"/>
      <c r="C152" s="27"/>
    </row>
    <row r="153" spans="2:3" s="26" customFormat="1">
      <c r="B153" s="27"/>
      <c r="C153" s="27"/>
    </row>
    <row r="154" spans="2:3" s="26" customFormat="1">
      <c r="B154" s="27"/>
      <c r="C154" s="27"/>
    </row>
    <row r="155" spans="2:3" s="26" customFormat="1">
      <c r="B155" s="27"/>
      <c r="C155" s="27"/>
    </row>
    <row r="156" spans="2:3" s="26" customFormat="1">
      <c r="B156" s="27"/>
      <c r="C156" s="27"/>
    </row>
    <row r="157" spans="2:3" s="26" customFormat="1">
      <c r="B157" s="27"/>
      <c r="C157" s="27"/>
    </row>
    <row r="158" spans="2:3" s="26" customFormat="1">
      <c r="B158" s="27"/>
      <c r="C158" s="27"/>
    </row>
    <row r="159" spans="2:3" s="26" customFormat="1">
      <c r="B159" s="27"/>
      <c r="C159" s="27"/>
    </row>
    <row r="160" spans="2:3" s="26" customFormat="1">
      <c r="B160" s="27"/>
      <c r="C160" s="27"/>
    </row>
    <row r="161" spans="2:3" s="26" customFormat="1">
      <c r="B161" s="27"/>
      <c r="C161" s="27"/>
    </row>
    <row r="162" spans="2:3" s="26" customFormat="1">
      <c r="B162" s="27"/>
      <c r="C162" s="27"/>
    </row>
    <row r="163" spans="2:3" s="26" customFormat="1">
      <c r="B163" s="27"/>
      <c r="C163" s="27"/>
    </row>
    <row r="164" spans="2:3" s="26" customFormat="1">
      <c r="B164" s="27"/>
      <c r="C164" s="27"/>
    </row>
    <row r="165" spans="2:3" s="26" customFormat="1">
      <c r="B165" s="27"/>
      <c r="C165" s="27"/>
    </row>
    <row r="166" spans="2:3" s="26" customFormat="1">
      <c r="B166" s="27"/>
      <c r="C166" s="27"/>
    </row>
    <row r="167" spans="2:3" s="26" customFormat="1">
      <c r="B167" s="27"/>
      <c r="C167" s="27"/>
    </row>
    <row r="168" spans="2:3" s="26" customFormat="1">
      <c r="B168" s="27"/>
      <c r="C168" s="27"/>
    </row>
    <row r="169" spans="2:3" s="26" customFormat="1">
      <c r="B169" s="27"/>
      <c r="C169" s="27"/>
    </row>
    <row r="170" spans="2:3" s="26" customFormat="1">
      <c r="B170" s="27"/>
      <c r="C170" s="27"/>
    </row>
    <row r="171" spans="2:3" s="26" customFormat="1">
      <c r="B171" s="27"/>
      <c r="C171" s="27"/>
    </row>
    <row r="172" spans="2:3" s="26" customFormat="1">
      <c r="B172" s="27"/>
      <c r="C172" s="27"/>
    </row>
    <row r="173" spans="2:3" s="26" customFormat="1">
      <c r="B173" s="27"/>
      <c r="C173" s="27"/>
    </row>
    <row r="174" spans="2:3" s="26" customFormat="1">
      <c r="B174" s="27"/>
      <c r="C174" s="27"/>
    </row>
    <row r="175" spans="2:3" s="26" customFormat="1">
      <c r="B175" s="27"/>
      <c r="C175" s="27"/>
    </row>
    <row r="176" spans="2:3" s="26" customFormat="1">
      <c r="B176" s="27"/>
      <c r="C176" s="27"/>
    </row>
    <row r="177" spans="2:3" s="26" customFormat="1">
      <c r="B177" s="27"/>
      <c r="C177" s="27"/>
    </row>
    <row r="178" spans="2:3" s="26" customFormat="1">
      <c r="B178" s="27"/>
      <c r="C178" s="27"/>
    </row>
    <row r="179" spans="2:3" s="26" customFormat="1">
      <c r="B179" s="27"/>
      <c r="C179" s="27"/>
    </row>
    <row r="180" spans="2:3" s="26" customFormat="1">
      <c r="B180" s="27"/>
      <c r="C180" s="27"/>
    </row>
    <row r="181" spans="2:3" s="26" customFormat="1">
      <c r="B181" s="27"/>
      <c r="C181" s="27"/>
    </row>
    <row r="182" spans="2:3" s="26" customFormat="1">
      <c r="B182" s="27"/>
      <c r="C182" s="27"/>
    </row>
    <row r="183" spans="2:3" s="26" customFormat="1">
      <c r="B183" s="27"/>
      <c r="C183" s="27"/>
    </row>
    <row r="184" spans="2:3" s="26" customFormat="1">
      <c r="B184" s="27"/>
      <c r="C184" s="27"/>
    </row>
    <row r="185" spans="2:3" s="26" customFormat="1">
      <c r="B185" s="27"/>
      <c r="C185" s="27"/>
    </row>
    <row r="186" spans="2:3" s="26" customFormat="1">
      <c r="B186" s="27"/>
      <c r="C186" s="27"/>
    </row>
    <row r="187" spans="2:3" s="26" customFormat="1">
      <c r="B187" s="27"/>
      <c r="C187" s="27"/>
    </row>
    <row r="188" spans="2:3" s="26" customFormat="1">
      <c r="B188" s="27"/>
      <c r="C188" s="27"/>
    </row>
    <row r="189" spans="2:3" s="26" customFormat="1">
      <c r="B189" s="27"/>
      <c r="C189" s="27"/>
    </row>
    <row r="190" spans="2:3" s="26" customFormat="1">
      <c r="B190" s="27"/>
      <c r="C190" s="27"/>
    </row>
    <row r="191" spans="2:3" s="26" customFormat="1">
      <c r="B191" s="27"/>
      <c r="C191" s="27"/>
    </row>
    <row r="192" spans="2:3" s="26" customFormat="1">
      <c r="B192" s="27"/>
      <c r="C192" s="27"/>
    </row>
    <row r="193" spans="2:3" s="26" customFormat="1">
      <c r="B193" s="27"/>
      <c r="C193" s="27"/>
    </row>
    <row r="194" spans="2:3" s="26" customFormat="1">
      <c r="B194" s="27"/>
      <c r="C194" s="27"/>
    </row>
    <row r="195" spans="2:3" s="26" customFormat="1">
      <c r="B195" s="27"/>
      <c r="C195" s="27"/>
    </row>
    <row r="196" spans="2:3" s="26" customFormat="1">
      <c r="B196" s="27"/>
      <c r="C196" s="27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9" priority="5" operator="notEqual">
      <formula>0</formula>
    </cfRule>
  </conditionalFormatting>
  <conditionalFormatting sqref="H25">
    <cfRule type="cellIs" dxfId="8" priority="4" operator="notEqual">
      <formula>0</formula>
    </cfRule>
  </conditionalFormatting>
  <conditionalFormatting sqref="J5 J9:J23">
    <cfRule type="cellIs" dxfId="7" priority="1" operator="lessThan">
      <formula>0</formula>
    </cfRule>
    <cfRule type="cellIs" dxfId="6" priority="2" operator="greaterThanOrEqual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5"/>
  <sheetViews>
    <sheetView tabSelected="1" topLeftCell="P1" zoomScale="85" zoomScaleNormal="85" workbookViewId="0">
      <pane ySplit="4" topLeftCell="A92" activePane="bottomLeft" state="frozen"/>
      <selection activeCell="X33" sqref="X33"/>
      <selection pane="bottomLeft" activeCell="O109" sqref="O109"/>
    </sheetView>
  </sheetViews>
  <sheetFormatPr defaultColWidth="9.44140625" defaultRowHeight="13.8"/>
  <cols>
    <col min="1" max="1" width="2.44140625" style="26" hidden="1" customWidth="1"/>
    <col min="2" max="2" width="6.44140625" style="4" hidden="1" customWidth="1"/>
    <col min="3" max="3" width="20.44140625" style="4" hidden="1" customWidth="1"/>
    <col min="4" max="4" width="51.5546875" style="4" hidden="1" customWidth="1"/>
    <col min="5" max="5" width="13" style="6" hidden="1" customWidth="1"/>
    <col min="6" max="6" width="16.5546875" style="372" hidden="1" customWidth="1"/>
    <col min="7" max="8" width="17.44140625" style="4" hidden="1" customWidth="1"/>
    <col min="9" max="9" width="22.44140625" style="254" hidden="1" customWidth="1"/>
    <col min="10" max="10" width="22.44140625" style="254" customWidth="1"/>
    <col min="11" max="12" width="5.5546875" style="26" customWidth="1"/>
    <col min="13" max="13" width="25.5546875" style="26" customWidth="1"/>
    <col min="14" max="14" width="48.44140625" style="26" customWidth="1"/>
    <col min="15" max="15" width="15.44140625" style="26" customWidth="1"/>
    <col min="16" max="17" width="17.44140625" style="26" customWidth="1"/>
    <col min="18" max="18" width="37.5546875" style="26" bestFit="1" customWidth="1"/>
    <col min="19" max="19" width="31" style="26" bestFit="1" customWidth="1"/>
    <col min="20" max="21" width="17.44140625" style="431" customWidth="1"/>
    <col min="22" max="22" width="17.44140625" style="26" customWidth="1"/>
    <col min="23" max="23" width="17.44140625" style="431" customWidth="1"/>
    <col min="24" max="24" width="21.5546875" style="26" customWidth="1"/>
    <col min="25" max="25" width="29.44140625" style="26" bestFit="1" customWidth="1"/>
    <col min="26" max="26" width="24.44140625" style="26" bestFit="1" customWidth="1"/>
    <col min="27" max="76" width="17.44140625" style="26" customWidth="1"/>
    <col min="77" max="16384" width="9.44140625" style="4"/>
  </cols>
  <sheetData>
    <row r="1" spans="1:76" s="26" customFormat="1" ht="4.5" customHeight="1" thickBot="1">
      <c r="E1" s="77"/>
      <c r="F1" s="362"/>
      <c r="I1" s="160"/>
      <c r="J1" s="160"/>
      <c r="O1" s="77"/>
      <c r="P1" s="362"/>
      <c r="Q1" s="266"/>
      <c r="R1" s="266"/>
      <c r="S1" s="266"/>
      <c r="T1" s="161"/>
      <c r="U1" s="161"/>
      <c r="V1" s="266"/>
      <c r="W1" s="161"/>
      <c r="Y1" s="376"/>
    </row>
    <row r="2" spans="1:76" ht="21.75" customHeight="1" thickBot="1">
      <c r="B2" s="694" t="s">
        <v>243</v>
      </c>
      <c r="C2" s="695"/>
      <c r="D2" s="695"/>
      <c r="E2" s="695"/>
      <c r="F2" s="695"/>
      <c r="G2" s="695"/>
      <c r="H2" s="395"/>
      <c r="I2" s="162">
        <f>SUM(I6:I166)</f>
        <v>1702430.3199999998</v>
      </c>
      <c r="J2" s="162">
        <f>SUM(J6:J166)</f>
        <v>2077436</v>
      </c>
      <c r="L2" s="696" t="s">
        <v>244</v>
      </c>
      <c r="M2" s="697"/>
      <c r="N2" s="697"/>
      <c r="O2" s="697"/>
      <c r="P2" s="697"/>
      <c r="Q2" s="697"/>
      <c r="R2" s="704" t="s">
        <v>245</v>
      </c>
      <c r="S2" s="705"/>
      <c r="T2" s="705"/>
      <c r="U2" s="705"/>
      <c r="V2" s="705"/>
      <c r="W2" s="706"/>
      <c r="X2" s="162">
        <f>SUM(X6:X166)</f>
        <v>1502144.1835</v>
      </c>
    </row>
    <row r="3" spans="1:76" s="26" customFormat="1" ht="13.5" customHeight="1" thickBot="1">
      <c r="E3" s="77"/>
      <c r="F3" s="362"/>
      <c r="I3" s="160"/>
      <c r="J3" s="271"/>
      <c r="O3" s="77"/>
      <c r="P3" s="362"/>
      <c r="Q3" s="161"/>
      <c r="T3" s="431"/>
      <c r="U3" s="431"/>
      <c r="W3" s="431"/>
      <c r="X3" s="613"/>
    </row>
    <row r="4" spans="1:76" s="6" customFormat="1" ht="42" thickBot="1">
      <c r="A4" s="77"/>
      <c r="B4" s="163" t="s">
        <v>246</v>
      </c>
      <c r="C4" s="164" t="s">
        <v>247</v>
      </c>
      <c r="D4" s="164" t="s">
        <v>248</v>
      </c>
      <c r="E4" s="164" t="s">
        <v>249</v>
      </c>
      <c r="F4" s="363" t="s">
        <v>250</v>
      </c>
      <c r="G4" s="165" t="s">
        <v>251</v>
      </c>
      <c r="H4" s="273" t="s">
        <v>252</v>
      </c>
      <c r="I4" s="166" t="s">
        <v>253</v>
      </c>
      <c r="J4" s="166" t="str">
        <f>IF(J2-'Revenue Tracking'!D4&gt;=0, "Total Revenue", "ERROR on REV" )</f>
        <v>ERROR on REV</v>
      </c>
      <c r="K4" s="77"/>
      <c r="L4" s="163" t="s">
        <v>246</v>
      </c>
      <c r="M4" s="164" t="s">
        <v>254</v>
      </c>
      <c r="N4" s="164" t="s">
        <v>248</v>
      </c>
      <c r="O4" s="164" t="s">
        <v>249</v>
      </c>
      <c r="P4" s="363" t="s">
        <v>250</v>
      </c>
      <c r="Q4" s="274" t="s">
        <v>255</v>
      </c>
      <c r="R4" s="496" t="s">
        <v>256</v>
      </c>
      <c r="S4" s="497" t="s">
        <v>214</v>
      </c>
      <c r="T4" s="521" t="s">
        <v>215</v>
      </c>
      <c r="U4" s="522" t="s">
        <v>257</v>
      </c>
      <c r="V4" s="274" t="s">
        <v>258</v>
      </c>
      <c r="W4" s="521" t="s">
        <v>259</v>
      </c>
      <c r="X4" s="166" t="s">
        <v>253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</row>
    <row r="5" spans="1:76" s="1" customFormat="1" ht="7.5" customHeight="1" thickBot="1">
      <c r="B5" s="167"/>
      <c r="C5" s="168"/>
      <c r="D5" s="168"/>
      <c r="E5" s="169"/>
      <c r="F5" s="364"/>
      <c r="G5" s="170"/>
      <c r="H5" s="546"/>
      <c r="I5" s="171"/>
      <c r="J5" s="171"/>
      <c r="K5" s="172"/>
      <c r="L5" s="167"/>
      <c r="M5" s="168"/>
      <c r="N5" s="168"/>
      <c r="O5" s="169"/>
      <c r="P5" s="364"/>
      <c r="Q5" s="374"/>
      <c r="R5" s="390"/>
      <c r="S5" s="498"/>
      <c r="T5" s="391"/>
      <c r="U5" s="391"/>
      <c r="V5" s="391"/>
      <c r="W5" s="391"/>
      <c r="X5" s="171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</row>
    <row r="6" spans="1:76" ht="14.25" customHeight="1">
      <c r="B6" s="185">
        <v>1</v>
      </c>
      <c r="C6" s="255" t="s">
        <v>260</v>
      </c>
      <c r="D6" s="186" t="s">
        <v>261</v>
      </c>
      <c r="E6" s="187"/>
      <c r="F6" s="336"/>
      <c r="G6" s="292">
        <f>D167</f>
        <v>556966.5</v>
      </c>
      <c r="H6" s="550">
        <f>'Project Plan'!E36+60</f>
        <v>46028</v>
      </c>
      <c r="I6" s="698">
        <f>SUM(G6:G11)</f>
        <v>556966.5</v>
      </c>
      <c r="J6" s="701">
        <f>F167</f>
        <v>696208</v>
      </c>
      <c r="K6" s="289"/>
      <c r="L6" s="185">
        <v>1</v>
      </c>
      <c r="M6" s="316" t="s">
        <v>262</v>
      </c>
      <c r="N6" s="186" t="s">
        <v>263</v>
      </c>
      <c r="O6" s="520">
        <v>360</v>
      </c>
      <c r="P6" s="336">
        <v>1200</v>
      </c>
      <c r="Q6" s="292">
        <f>O6*P6</f>
        <v>432000</v>
      </c>
      <c r="R6" s="468"/>
      <c r="S6" s="499" t="s">
        <v>264</v>
      </c>
      <c r="T6" s="631">
        <v>45991</v>
      </c>
      <c r="U6" s="638">
        <v>594339.80787426222</v>
      </c>
      <c r="V6" s="713">
        <f>J6-SUM(U6:U11)</f>
        <v>0</v>
      </c>
      <c r="W6" s="658">
        <v>46037</v>
      </c>
      <c r="X6" s="698">
        <f>SUM(Q6:Q11)</f>
        <v>506043.6</v>
      </c>
    </row>
    <row r="7" spans="1:76" ht="15" customHeight="1">
      <c r="B7" s="215">
        <v>1</v>
      </c>
      <c r="C7" s="317"/>
      <c r="D7" s="290" t="s">
        <v>265</v>
      </c>
      <c r="E7" s="291"/>
      <c r="F7" s="357"/>
      <c r="G7" s="219"/>
      <c r="H7" s="542"/>
      <c r="I7" s="699"/>
      <c r="J7" s="702"/>
      <c r="K7" s="192"/>
      <c r="L7" s="215">
        <v>1</v>
      </c>
      <c r="M7" s="217" t="s">
        <v>262</v>
      </c>
      <c r="N7" s="290" t="s">
        <v>263</v>
      </c>
      <c r="O7" s="433">
        <v>57</v>
      </c>
      <c r="P7" s="343">
        <v>1200</v>
      </c>
      <c r="Q7" s="219">
        <f>O7*P7</f>
        <v>68400</v>
      </c>
      <c r="R7" s="469"/>
      <c r="S7" s="500" t="s">
        <v>266</v>
      </c>
      <c r="T7" s="631">
        <v>45991</v>
      </c>
      <c r="U7" s="638">
        <v>94103.80291342485</v>
      </c>
      <c r="V7" s="714"/>
      <c r="W7" s="653">
        <v>46037</v>
      </c>
      <c r="X7" s="699"/>
    </row>
    <row r="8" spans="1:76" ht="15" customHeight="1">
      <c r="B8" s="284">
        <v>1</v>
      </c>
      <c r="C8" s="378"/>
      <c r="D8" s="379"/>
      <c r="E8" s="380"/>
      <c r="F8" s="343"/>
      <c r="G8" s="287"/>
      <c r="H8" s="542"/>
      <c r="I8" s="699"/>
      <c r="J8" s="702"/>
      <c r="K8" s="192"/>
      <c r="L8" s="215">
        <v>1</v>
      </c>
      <c r="M8" s="217" t="s">
        <v>262</v>
      </c>
      <c r="N8" s="379" t="s">
        <v>267</v>
      </c>
      <c r="O8" s="434"/>
      <c r="P8" s="343"/>
      <c r="Q8" s="219">
        <v>3143.6</v>
      </c>
      <c r="R8" s="469"/>
      <c r="S8" s="500" t="s">
        <v>268</v>
      </c>
      <c r="T8" s="542">
        <v>45991</v>
      </c>
      <c r="U8" s="638">
        <v>4324.9227315590988</v>
      </c>
      <c r="V8" s="714"/>
      <c r="W8" s="643">
        <v>46045</v>
      </c>
      <c r="X8" s="699"/>
    </row>
    <row r="9" spans="1:76" ht="15" customHeight="1">
      <c r="B9" s="284">
        <v>1</v>
      </c>
      <c r="C9" s="378"/>
      <c r="D9" s="379"/>
      <c r="E9" s="380"/>
      <c r="F9" s="343"/>
      <c r="G9" s="287"/>
      <c r="H9" s="542"/>
      <c r="I9" s="699"/>
      <c r="J9" s="702"/>
      <c r="K9" s="192"/>
      <c r="L9" s="215">
        <v>1</v>
      </c>
      <c r="M9" s="217" t="s">
        <v>262</v>
      </c>
      <c r="N9" s="379"/>
      <c r="O9" s="434"/>
      <c r="P9" s="343"/>
      <c r="Q9" s="287"/>
      <c r="R9" s="470"/>
      <c r="S9" s="501"/>
      <c r="T9" s="412" t="str">
        <f t="shared" ref="T9:T74" si="0">IF(W9&gt;1,EOMONTH(W9,0),"")</f>
        <v/>
      </c>
      <c r="U9" s="638">
        <v>0</v>
      </c>
      <c r="V9" s="714"/>
      <c r="W9" s="454"/>
      <c r="X9" s="699"/>
    </row>
    <row r="10" spans="1:76" ht="15" customHeight="1">
      <c r="B10" s="284">
        <v>1</v>
      </c>
      <c r="C10" s="378"/>
      <c r="D10" s="379"/>
      <c r="E10" s="380"/>
      <c r="F10" s="343"/>
      <c r="G10" s="287"/>
      <c r="H10" s="551"/>
      <c r="I10" s="699"/>
      <c r="J10" s="702"/>
      <c r="K10" s="192"/>
      <c r="L10" s="215">
        <v>1</v>
      </c>
      <c r="M10" s="217" t="s">
        <v>262</v>
      </c>
      <c r="N10" s="379" t="s">
        <v>269</v>
      </c>
      <c r="O10" s="434"/>
      <c r="P10" s="343"/>
      <c r="Q10" s="287">
        <v>2500</v>
      </c>
      <c r="R10" s="470"/>
      <c r="S10" s="501" t="s">
        <v>270</v>
      </c>
      <c r="T10" s="551">
        <v>45991</v>
      </c>
      <c r="U10" s="638">
        <v>3439.4664807538325</v>
      </c>
      <c r="V10" s="714"/>
      <c r="W10" s="649">
        <v>46045</v>
      </c>
      <c r="X10" s="699"/>
    </row>
    <row r="11" spans="1:76" ht="15" customHeight="1" thickBot="1">
      <c r="B11" s="220">
        <v>1</v>
      </c>
      <c r="C11" s="318"/>
      <c r="D11" s="293"/>
      <c r="E11" s="294"/>
      <c r="F11" s="358"/>
      <c r="G11" s="234"/>
      <c r="H11" s="552"/>
      <c r="I11" s="700"/>
      <c r="J11" s="703"/>
      <c r="K11" s="193"/>
      <c r="L11" s="220">
        <v>1</v>
      </c>
      <c r="M11" s="318" t="s">
        <v>262</v>
      </c>
      <c r="N11" s="293"/>
      <c r="O11" s="435"/>
      <c r="P11" s="358"/>
      <c r="Q11" s="234"/>
      <c r="R11" s="471"/>
      <c r="S11" s="502"/>
      <c r="T11" s="413" t="str">
        <f t="shared" si="0"/>
        <v/>
      </c>
      <c r="U11" s="397">
        <f t="shared" ref="U11" si="1">(Q11/$X$6*$J$6)</f>
        <v>0</v>
      </c>
      <c r="V11" s="715"/>
      <c r="W11" s="455"/>
      <c r="X11" s="700"/>
      <c r="Y11" s="607" t="s">
        <v>271</v>
      </c>
      <c r="Z11" s="486" t="s">
        <v>272</v>
      </c>
    </row>
    <row r="12" spans="1:76" ht="14.4" thickBot="1">
      <c r="A12" s="4"/>
      <c r="B12" s="180"/>
      <c r="C12" s="181"/>
      <c r="D12" s="182"/>
      <c r="E12" s="195"/>
      <c r="F12" s="354"/>
      <c r="G12" s="183"/>
      <c r="H12" s="553"/>
      <c r="I12" s="547"/>
      <c r="J12" s="184"/>
      <c r="K12" s="4"/>
      <c r="L12" s="180"/>
      <c r="M12" s="304"/>
      <c r="N12" s="182"/>
      <c r="O12" s="436"/>
      <c r="P12" s="354"/>
      <c r="Q12" s="183"/>
      <c r="R12" s="472"/>
      <c r="S12" s="503"/>
      <c r="T12" s="414" t="str">
        <f t="shared" si="0"/>
        <v/>
      </c>
      <c r="U12" s="399"/>
      <c r="V12" s="389"/>
      <c r="W12" s="456"/>
      <c r="X12" s="547"/>
      <c r="Y12" s="608" t="s">
        <v>273</v>
      </c>
      <c r="Z12" s="487">
        <f>G56</f>
        <v>268570.82</v>
      </c>
      <c r="AA12" s="527"/>
    </row>
    <row r="13" spans="1:76" ht="14.25" customHeight="1">
      <c r="B13" s="197">
        <v>2</v>
      </c>
      <c r="C13" s="223" t="s">
        <v>84</v>
      </c>
      <c r="D13" s="223" t="s">
        <v>274</v>
      </c>
      <c r="E13" s="268"/>
      <c r="F13" s="355"/>
      <c r="G13" s="200">
        <f>D168</f>
        <v>140000</v>
      </c>
      <c r="H13" s="554">
        <f>'Project Plan'!E22+60</f>
        <v>46029</v>
      </c>
      <c r="I13" s="707">
        <f>SUM(G13:G19)</f>
        <v>140000</v>
      </c>
      <c r="J13" s="710">
        <f>F168</f>
        <v>175000</v>
      </c>
      <c r="K13" s="201"/>
      <c r="L13" s="197">
        <v>2</v>
      </c>
      <c r="M13" s="319" t="s">
        <v>275</v>
      </c>
      <c r="N13" s="223" t="s">
        <v>276</v>
      </c>
      <c r="O13" s="437">
        <v>2</v>
      </c>
      <c r="P13" s="355">
        <v>68870.350000000006</v>
      </c>
      <c r="Q13" s="200">
        <f>O13*P13</f>
        <v>137740.70000000001</v>
      </c>
      <c r="R13" s="473"/>
      <c r="S13" s="504" t="s">
        <v>266</v>
      </c>
      <c r="T13" s="647">
        <v>45991</v>
      </c>
      <c r="U13" s="639">
        <v>175000</v>
      </c>
      <c r="V13" s="716">
        <f>J13-SUM(U13:U19)</f>
        <v>0</v>
      </c>
      <c r="W13" s="457">
        <v>46050</v>
      </c>
      <c r="X13" s="707">
        <f>SUM(Q13:Q19)</f>
        <v>137740.70000000001</v>
      </c>
      <c r="Y13" s="608" t="s">
        <v>277</v>
      </c>
      <c r="Z13" s="488">
        <f>G30</f>
        <v>127723.9</v>
      </c>
      <c r="AA13" s="527"/>
    </row>
    <row r="14" spans="1:76" ht="14.25" customHeight="1">
      <c r="B14" s="202">
        <v>2</v>
      </c>
      <c r="C14" s="325"/>
      <c r="D14" s="309"/>
      <c r="E14" s="381"/>
      <c r="F14" s="351"/>
      <c r="G14" s="375"/>
      <c r="H14" s="545"/>
      <c r="I14" s="708"/>
      <c r="J14" s="711"/>
      <c r="K14" s="205"/>
      <c r="L14" s="202">
        <v>2</v>
      </c>
      <c r="M14" s="325" t="s">
        <v>275</v>
      </c>
      <c r="N14" s="309"/>
      <c r="O14" s="438"/>
      <c r="P14" s="351"/>
      <c r="Q14" s="375"/>
      <c r="R14" s="474"/>
      <c r="S14" s="505"/>
      <c r="T14" s="416" t="str">
        <f t="shared" si="0"/>
        <v/>
      </c>
      <c r="U14" s="401">
        <f t="shared" ref="U14:U19" si="2">(Q14/$X$13*$J$13)</f>
        <v>0</v>
      </c>
      <c r="V14" s="717"/>
      <c r="W14" s="526"/>
      <c r="X14" s="708"/>
      <c r="Y14" s="608" t="s">
        <v>278</v>
      </c>
      <c r="Z14" s="487">
        <f>G94</f>
        <v>62620</v>
      </c>
      <c r="AA14" s="527"/>
    </row>
    <row r="15" spans="1:76" ht="14.25" customHeight="1">
      <c r="B15" s="202">
        <v>2</v>
      </c>
      <c r="C15" s="325"/>
      <c r="D15" s="309"/>
      <c r="E15" s="381"/>
      <c r="F15" s="351"/>
      <c r="G15" s="375"/>
      <c r="H15" s="545"/>
      <c r="I15" s="708"/>
      <c r="J15" s="711"/>
      <c r="K15" s="205"/>
      <c r="L15" s="202">
        <v>2</v>
      </c>
      <c r="M15" s="325" t="s">
        <v>275</v>
      </c>
      <c r="N15" s="309"/>
      <c r="O15" s="438"/>
      <c r="P15" s="351"/>
      <c r="Q15" s="375"/>
      <c r="R15" s="474"/>
      <c r="S15" s="505"/>
      <c r="T15" s="416" t="str">
        <f t="shared" si="0"/>
        <v/>
      </c>
      <c r="U15" s="401">
        <f t="shared" si="2"/>
        <v>0</v>
      </c>
      <c r="V15" s="717"/>
      <c r="W15" s="458"/>
      <c r="X15" s="708"/>
      <c r="Y15" s="608" t="s">
        <v>279</v>
      </c>
      <c r="Z15" s="487">
        <f>G95</f>
        <v>134330</v>
      </c>
      <c r="AA15" s="527"/>
    </row>
    <row r="16" spans="1:76" ht="14.25" customHeight="1">
      <c r="B16" s="202">
        <v>2</v>
      </c>
      <c r="C16" s="325"/>
      <c r="D16" s="309"/>
      <c r="E16" s="381"/>
      <c r="F16" s="351"/>
      <c r="G16" s="375"/>
      <c r="H16" s="545"/>
      <c r="I16" s="708"/>
      <c r="J16" s="711"/>
      <c r="K16" s="205"/>
      <c r="L16" s="202">
        <v>2</v>
      </c>
      <c r="M16" s="325" t="s">
        <v>275</v>
      </c>
      <c r="N16" s="309"/>
      <c r="O16" s="438"/>
      <c r="P16" s="351"/>
      <c r="Q16" s="375"/>
      <c r="R16" s="474"/>
      <c r="S16" s="505"/>
      <c r="T16" s="416" t="str">
        <f t="shared" si="0"/>
        <v/>
      </c>
      <c r="U16" s="401">
        <f t="shared" si="2"/>
        <v>0</v>
      </c>
      <c r="V16" s="717"/>
      <c r="W16" s="458"/>
      <c r="X16" s="708"/>
      <c r="Y16" s="608" t="s">
        <v>280</v>
      </c>
      <c r="Z16" s="487">
        <f>G108</f>
        <v>8500</v>
      </c>
      <c r="AA16" s="527"/>
    </row>
    <row r="17" spans="1:30" ht="14.25" customHeight="1">
      <c r="B17" s="202">
        <v>2</v>
      </c>
      <c r="C17" s="325"/>
      <c r="D17" s="309"/>
      <c r="E17" s="381"/>
      <c r="F17" s="351"/>
      <c r="G17" s="375"/>
      <c r="H17" s="545"/>
      <c r="I17" s="708"/>
      <c r="J17" s="711"/>
      <c r="K17" s="205"/>
      <c r="L17" s="202">
        <v>2</v>
      </c>
      <c r="M17" s="325" t="s">
        <v>275</v>
      </c>
      <c r="N17" s="309"/>
      <c r="O17" s="438"/>
      <c r="P17" s="351"/>
      <c r="Q17" s="375"/>
      <c r="R17" s="474"/>
      <c r="S17" s="505"/>
      <c r="T17" s="416" t="str">
        <f t="shared" si="0"/>
        <v/>
      </c>
      <c r="U17" s="401">
        <f t="shared" si="2"/>
        <v>0</v>
      </c>
      <c r="V17" s="717"/>
      <c r="W17" s="458"/>
      <c r="X17" s="708"/>
      <c r="Y17" s="608" t="s">
        <v>281</v>
      </c>
      <c r="Z17" s="487">
        <f>G109</f>
        <v>17326.669999999998</v>
      </c>
      <c r="AA17" s="527"/>
    </row>
    <row r="18" spans="1:30" ht="14.25" customHeight="1">
      <c r="B18" s="202">
        <v>2</v>
      </c>
      <c r="C18" s="325"/>
      <c r="D18" s="309"/>
      <c r="E18" s="381"/>
      <c r="F18" s="351"/>
      <c r="G18" s="375"/>
      <c r="H18" s="545"/>
      <c r="I18" s="708"/>
      <c r="J18" s="711"/>
      <c r="K18" s="205"/>
      <c r="L18" s="202">
        <v>2</v>
      </c>
      <c r="M18" s="325" t="s">
        <v>275</v>
      </c>
      <c r="N18" s="309"/>
      <c r="O18" s="438"/>
      <c r="P18" s="351"/>
      <c r="Q18" s="375"/>
      <c r="R18" s="474"/>
      <c r="S18" s="505"/>
      <c r="T18" s="416" t="str">
        <f t="shared" si="0"/>
        <v/>
      </c>
      <c r="U18" s="401">
        <f t="shared" si="2"/>
        <v>0</v>
      </c>
      <c r="V18" s="717"/>
      <c r="W18" s="458"/>
      <c r="X18" s="708"/>
      <c r="Y18" s="608" t="s">
        <v>282</v>
      </c>
      <c r="Z18" s="487">
        <f>G111</f>
        <v>1027.78</v>
      </c>
      <c r="AA18" s="527"/>
    </row>
    <row r="19" spans="1:30" ht="15" customHeight="1" thickBot="1">
      <c r="B19" s="296">
        <v>2</v>
      </c>
      <c r="C19" s="297"/>
      <c r="D19" s="297"/>
      <c r="E19" s="298"/>
      <c r="F19" s="365"/>
      <c r="G19" s="299"/>
      <c r="H19" s="555"/>
      <c r="I19" s="709"/>
      <c r="J19" s="712"/>
      <c r="K19" s="210"/>
      <c r="L19" s="296">
        <v>2</v>
      </c>
      <c r="M19" s="320" t="s">
        <v>275</v>
      </c>
      <c r="N19" s="297"/>
      <c r="O19" s="439"/>
      <c r="P19" s="365"/>
      <c r="Q19" s="299"/>
      <c r="R19" s="475"/>
      <c r="S19" s="506"/>
      <c r="T19" s="417" t="str">
        <f t="shared" si="0"/>
        <v/>
      </c>
      <c r="U19" s="402">
        <f t="shared" si="2"/>
        <v>0</v>
      </c>
      <c r="V19" s="718"/>
      <c r="W19" s="459"/>
      <c r="X19" s="709"/>
      <c r="Y19" s="608" t="s">
        <v>283</v>
      </c>
      <c r="Z19" s="487">
        <v>0</v>
      </c>
      <c r="AA19" s="527"/>
    </row>
    <row r="20" spans="1:30" ht="14.4" thickBot="1">
      <c r="A20" s="4"/>
      <c r="B20" s="194"/>
      <c r="C20" s="181"/>
      <c r="D20" s="181"/>
      <c r="E20" s="195"/>
      <c r="F20" s="354"/>
      <c r="G20" s="196"/>
      <c r="H20" s="553"/>
      <c r="I20" s="547"/>
      <c r="J20" s="184"/>
      <c r="K20" s="4"/>
      <c r="L20" s="194"/>
      <c r="M20" s="181"/>
      <c r="N20" s="181"/>
      <c r="O20" s="436"/>
      <c r="P20" s="354"/>
      <c r="Q20" s="196"/>
      <c r="R20" s="472"/>
      <c r="S20" s="503"/>
      <c r="T20" s="414" t="str">
        <f t="shared" si="0"/>
        <v/>
      </c>
      <c r="U20" s="403"/>
      <c r="V20" s="385"/>
      <c r="W20" s="456"/>
      <c r="X20" s="547"/>
      <c r="Y20" s="608"/>
      <c r="Z20" s="487"/>
      <c r="AA20" s="527"/>
    </row>
    <row r="21" spans="1:30" ht="14.25" customHeight="1">
      <c r="B21" s="185">
        <v>3</v>
      </c>
      <c r="C21" s="213" t="s">
        <v>284</v>
      </c>
      <c r="D21" s="231" t="s">
        <v>285</v>
      </c>
      <c r="E21" s="187"/>
      <c r="F21" s="336"/>
      <c r="G21" s="188">
        <f>D169</f>
        <v>112716</v>
      </c>
      <c r="H21" s="543">
        <f>'Project Plan'!E30+30</f>
        <v>45998</v>
      </c>
      <c r="I21" s="698">
        <f>SUM(G21:G27)</f>
        <v>112716</v>
      </c>
      <c r="J21" s="701">
        <f>F169</f>
        <v>140895</v>
      </c>
      <c r="K21" s="189"/>
      <c r="L21" s="185">
        <v>3</v>
      </c>
      <c r="M21" s="321" t="s">
        <v>286</v>
      </c>
      <c r="N21" s="231" t="s">
        <v>287</v>
      </c>
      <c r="O21" s="432"/>
      <c r="P21" s="336"/>
      <c r="Q21" s="188"/>
      <c r="R21" s="476"/>
      <c r="S21" s="507"/>
      <c r="T21" s="606"/>
      <c r="U21" s="397"/>
      <c r="V21" s="713">
        <f>J21-SUM(U21:U27)</f>
        <v>12784.223071494125</v>
      </c>
      <c r="W21" s="460"/>
      <c r="X21" s="698">
        <f>SUM(Q21:Q27)</f>
        <v>78119</v>
      </c>
      <c r="Y21" s="608" t="s">
        <v>288</v>
      </c>
      <c r="Z21" s="489">
        <v>0</v>
      </c>
      <c r="AA21" s="527"/>
    </row>
    <row r="22" spans="1:30" ht="14.25" customHeight="1">
      <c r="B22" s="215">
        <v>3</v>
      </c>
      <c r="C22" s="216"/>
      <c r="D22" s="232"/>
      <c r="E22" s="218"/>
      <c r="F22" s="357"/>
      <c r="G22" s="219"/>
      <c r="H22" s="542"/>
      <c r="I22" s="699"/>
      <c r="J22" s="702"/>
      <c r="K22" s="192"/>
      <c r="L22" s="215">
        <v>3</v>
      </c>
      <c r="M22" s="322" t="s">
        <v>286</v>
      </c>
      <c r="N22" s="286" t="s">
        <v>287</v>
      </c>
      <c r="O22" s="433"/>
      <c r="P22" s="357"/>
      <c r="Q22" s="219">
        <v>76171</v>
      </c>
      <c r="R22" s="469" t="s">
        <v>289</v>
      </c>
      <c r="S22" s="500" t="s">
        <v>290</v>
      </c>
      <c r="T22" s="542">
        <v>45991</v>
      </c>
      <c r="U22" s="638">
        <v>124985.3033761515</v>
      </c>
      <c r="V22" s="714"/>
      <c r="W22" s="653">
        <v>46021</v>
      </c>
      <c r="X22" s="699"/>
      <c r="Y22" s="608" t="s">
        <v>234</v>
      </c>
      <c r="Z22" s="487">
        <f>SUM(Z12:Z21)</f>
        <v>620099.17000000004</v>
      </c>
    </row>
    <row r="23" spans="1:30" ht="14.25" customHeight="1">
      <c r="B23" s="215">
        <v>3</v>
      </c>
      <c r="C23" s="216"/>
      <c r="D23" s="232"/>
      <c r="E23" s="218"/>
      <c r="F23" s="357"/>
      <c r="G23" s="219"/>
      <c r="H23" s="542"/>
      <c r="I23" s="699"/>
      <c r="J23" s="702"/>
      <c r="K23" s="192"/>
      <c r="L23" s="215">
        <v>3</v>
      </c>
      <c r="M23" s="322" t="s">
        <v>286</v>
      </c>
      <c r="N23" s="232"/>
      <c r="O23" s="433"/>
      <c r="P23" s="357"/>
      <c r="Q23" s="219"/>
      <c r="R23" s="469"/>
      <c r="S23" s="500"/>
      <c r="T23" s="411" t="str">
        <f t="shared" si="0"/>
        <v/>
      </c>
      <c r="U23" s="397">
        <f t="shared" ref="U23:U27" si="3">(Q23/$X$21*$J$21)</f>
        <v>0</v>
      </c>
      <c r="V23" s="714"/>
      <c r="W23" s="453"/>
      <c r="X23" s="699"/>
      <c r="Y23" s="608" t="s">
        <v>291</v>
      </c>
      <c r="Z23" s="490">
        <f>+Z22*0.85</f>
        <v>527084.29450000008</v>
      </c>
    </row>
    <row r="24" spans="1:30" ht="14.25" customHeight="1">
      <c r="B24" s="215">
        <v>3</v>
      </c>
      <c r="C24" s="285"/>
      <c r="D24" s="286"/>
      <c r="E24" s="307"/>
      <c r="F24" s="343"/>
      <c r="G24" s="287"/>
      <c r="H24" s="551"/>
      <c r="I24" s="699"/>
      <c r="J24" s="702"/>
      <c r="K24" s="192"/>
      <c r="L24" s="215">
        <v>3</v>
      </c>
      <c r="M24" s="322" t="s">
        <v>286</v>
      </c>
      <c r="N24" s="286" t="s">
        <v>292</v>
      </c>
      <c r="O24" s="434"/>
      <c r="P24" s="343"/>
      <c r="Q24" s="287">
        <v>1948</v>
      </c>
      <c r="R24" s="470" t="s">
        <v>293</v>
      </c>
      <c r="S24" s="501" t="s">
        <v>294</v>
      </c>
      <c r="T24" s="551">
        <v>45991</v>
      </c>
      <c r="U24" s="638">
        <v>3125.4735523543814</v>
      </c>
      <c r="V24" s="714"/>
      <c r="W24" s="649">
        <f>T24+30</f>
        <v>46021</v>
      </c>
      <c r="X24" s="699"/>
      <c r="Y24" s="609" t="s">
        <v>295</v>
      </c>
      <c r="Z24" s="489">
        <f>Z23/'Project Plan'!$E$3/1000</f>
        <v>2.1083371780000002</v>
      </c>
    </row>
    <row r="25" spans="1:30" ht="14.25" customHeight="1">
      <c r="B25" s="215">
        <v>3</v>
      </c>
      <c r="C25" s="285"/>
      <c r="D25" s="286"/>
      <c r="E25" s="307"/>
      <c r="F25" s="343"/>
      <c r="G25" s="287"/>
      <c r="H25" s="551"/>
      <c r="I25" s="699"/>
      <c r="J25" s="702"/>
      <c r="K25" s="192"/>
      <c r="L25" s="215">
        <v>3</v>
      </c>
      <c r="M25" s="322" t="s">
        <v>286</v>
      </c>
      <c r="N25" s="286"/>
      <c r="O25" s="434"/>
      <c r="P25" s="343"/>
      <c r="Q25" s="287"/>
      <c r="R25" s="470"/>
      <c r="S25" s="501"/>
      <c r="T25" s="412" t="str">
        <f t="shared" si="0"/>
        <v/>
      </c>
      <c r="U25" s="397">
        <f t="shared" si="3"/>
        <v>0</v>
      </c>
      <c r="V25" s="714"/>
      <c r="W25" s="454"/>
      <c r="X25" s="699"/>
    </row>
    <row r="26" spans="1:30" ht="14.25" customHeight="1">
      <c r="B26" s="215">
        <v>3</v>
      </c>
      <c r="C26" s="285"/>
      <c r="D26" s="286"/>
      <c r="E26" s="307"/>
      <c r="F26" s="343"/>
      <c r="G26" s="287"/>
      <c r="H26" s="551"/>
      <c r="I26" s="699"/>
      <c r="J26" s="702"/>
      <c r="K26" s="192"/>
      <c r="L26" s="215">
        <v>3</v>
      </c>
      <c r="M26" s="322" t="s">
        <v>286</v>
      </c>
      <c r="N26" s="286"/>
      <c r="O26" s="434"/>
      <c r="P26" s="343"/>
      <c r="Q26" s="287"/>
      <c r="R26" s="470"/>
      <c r="S26" s="501"/>
      <c r="T26" s="412"/>
      <c r="U26" s="397">
        <f t="shared" si="3"/>
        <v>0</v>
      </c>
      <c r="V26" s="714"/>
      <c r="W26" s="454"/>
      <c r="X26" s="699"/>
      <c r="Y26" s="28" t="s">
        <v>296</v>
      </c>
      <c r="AC26" s="627" t="s">
        <v>297</v>
      </c>
    </row>
    <row r="27" spans="1:30" ht="15" customHeight="1" thickBot="1">
      <c r="B27" s="220">
        <v>3</v>
      </c>
      <c r="C27" s="241"/>
      <c r="D27" s="233"/>
      <c r="E27" s="222"/>
      <c r="F27" s="358"/>
      <c r="G27" s="234"/>
      <c r="H27" s="552"/>
      <c r="I27" s="700"/>
      <c r="J27" s="703"/>
      <c r="K27" s="193"/>
      <c r="L27" s="220">
        <v>3</v>
      </c>
      <c r="M27" s="323" t="s">
        <v>286</v>
      </c>
      <c r="N27" s="233"/>
      <c r="O27" s="435"/>
      <c r="P27" s="358"/>
      <c r="Q27" s="234"/>
      <c r="R27" s="471"/>
      <c r="S27" s="502"/>
      <c r="T27" s="413" t="str">
        <f t="shared" si="0"/>
        <v/>
      </c>
      <c r="U27" s="398">
        <f t="shared" si="3"/>
        <v>0</v>
      </c>
      <c r="V27" s="715"/>
      <c r="W27" s="455"/>
      <c r="X27" s="700"/>
      <c r="Y27" s="610" t="s">
        <v>195</v>
      </c>
      <c r="Z27" s="491" t="s">
        <v>298</v>
      </c>
      <c r="AC27" s="610" t="s">
        <v>195</v>
      </c>
      <c r="AD27" s="491" t="s">
        <v>298</v>
      </c>
    </row>
    <row r="28" spans="1:30" ht="14.4" thickBot="1">
      <c r="A28" s="4"/>
      <c r="B28" s="194"/>
      <c r="C28" s="211"/>
      <c r="D28" s="212"/>
      <c r="E28" s="195"/>
      <c r="F28" s="354"/>
      <c r="G28" s="196"/>
      <c r="H28" s="553"/>
      <c r="I28" s="547"/>
      <c r="J28" s="184"/>
      <c r="K28" s="4"/>
      <c r="L28" s="194"/>
      <c r="M28" s="211"/>
      <c r="N28" s="212"/>
      <c r="O28" s="436"/>
      <c r="P28" s="354"/>
      <c r="Q28" s="196"/>
      <c r="R28" s="472"/>
      <c r="S28" s="503"/>
      <c r="T28" s="414" t="str">
        <f t="shared" si="0"/>
        <v/>
      </c>
      <c r="U28" s="403"/>
      <c r="V28" s="385"/>
      <c r="W28" s="456"/>
      <c r="X28" s="547"/>
      <c r="Y28" s="611" t="str">
        <f>Y12</f>
        <v>AC Equipment</v>
      </c>
      <c r="Z28" s="492">
        <v>41164.9</v>
      </c>
      <c r="AC28" s="611" t="s">
        <v>273</v>
      </c>
      <c r="AD28" s="626">
        <v>41164.9</v>
      </c>
    </row>
    <row r="29" spans="1:30" ht="14.25" customHeight="1">
      <c r="B29" s="197">
        <v>4</v>
      </c>
      <c r="C29" s="198" t="s">
        <v>277</v>
      </c>
      <c r="D29" s="198" t="s">
        <v>299</v>
      </c>
      <c r="E29" s="268">
        <f>G29/14*1.15</f>
        <v>6514.7499999999991</v>
      </c>
      <c r="F29" s="355"/>
      <c r="G29" s="200">
        <v>79310</v>
      </c>
      <c r="H29" s="554">
        <f>'Project Plan'!E32+60</f>
        <v>46028</v>
      </c>
      <c r="I29" s="707">
        <f>SUM(G29:G44)</f>
        <v>207033.9</v>
      </c>
      <c r="J29" s="710">
        <f>F170</f>
        <v>258792</v>
      </c>
      <c r="K29" s="201"/>
      <c r="L29" s="197">
        <v>4</v>
      </c>
      <c r="M29" s="324" t="s">
        <v>300</v>
      </c>
      <c r="N29" s="198" t="s">
        <v>301</v>
      </c>
      <c r="O29" s="429">
        <v>6000</v>
      </c>
      <c r="P29" s="355">
        <v>13.65</v>
      </c>
      <c r="Q29" s="200">
        <f>O29*P29</f>
        <v>81900</v>
      </c>
      <c r="R29" s="473"/>
      <c r="S29" s="504" t="s">
        <v>266</v>
      </c>
      <c r="T29" s="647">
        <v>45991</v>
      </c>
      <c r="U29" s="639">
        <v>143405.58617645298</v>
      </c>
      <c r="V29" s="716">
        <f>J29-SUM(U29:U44)</f>
        <v>7.2109651169739664E-2</v>
      </c>
      <c r="W29" s="659">
        <v>46037</v>
      </c>
      <c r="X29" s="707">
        <f>SUM(Q29:Q44)</f>
        <v>93178.369999999981</v>
      </c>
      <c r="Y29" s="611" t="str">
        <f>Y13</f>
        <v>DC Equipment</v>
      </c>
      <c r="Z29" s="492">
        <v>42673.4</v>
      </c>
      <c r="AC29" s="611" t="s">
        <v>277</v>
      </c>
      <c r="AD29" s="626">
        <v>42673.4</v>
      </c>
    </row>
    <row r="30" spans="1:30" ht="14.25" customHeight="1">
      <c r="B30" s="224">
        <v>4</v>
      </c>
      <c r="C30" s="309"/>
      <c r="D30" s="309" t="s">
        <v>302</v>
      </c>
      <c r="E30" s="295"/>
      <c r="F30" s="351"/>
      <c r="G30" s="516">
        <f>D170-G29</f>
        <v>127723.9</v>
      </c>
      <c r="H30" s="545">
        <f>'Project Plan'!G28</f>
        <v>45980</v>
      </c>
      <c r="I30" s="708"/>
      <c r="J30" s="711"/>
      <c r="K30" s="205"/>
      <c r="L30" s="202">
        <v>4</v>
      </c>
      <c r="M30" s="325" t="s">
        <v>300</v>
      </c>
      <c r="N30" s="309" t="s">
        <v>303</v>
      </c>
      <c r="O30" s="430">
        <v>-1000</v>
      </c>
      <c r="P30" s="351">
        <v>13.65</v>
      </c>
      <c r="Q30" s="204">
        <f>O30*P30</f>
        <v>-13650</v>
      </c>
      <c r="R30" s="474"/>
      <c r="S30" s="505" t="s">
        <v>304</v>
      </c>
      <c r="T30" s="634">
        <v>46022</v>
      </c>
      <c r="U30" s="639">
        <v>0</v>
      </c>
      <c r="V30" s="717"/>
      <c r="W30" s="648">
        <v>46022</v>
      </c>
      <c r="X30" s="708"/>
      <c r="Y30" s="611" t="str">
        <f>Y14</f>
        <v>AC Labour</v>
      </c>
      <c r="Z30" s="492">
        <v>44112.61</v>
      </c>
      <c r="AA30" s="527">
        <f>Z30/'Project Plan'!$E$3/1000</f>
        <v>0.17645044000000001</v>
      </c>
      <c r="AC30" s="611" t="s">
        <v>278</v>
      </c>
      <c r="AD30" s="626">
        <v>44112.61</v>
      </c>
    </row>
    <row r="31" spans="1:30" ht="14.25" customHeight="1">
      <c r="B31" s="224">
        <v>4</v>
      </c>
      <c r="C31" s="309"/>
      <c r="D31" s="309"/>
      <c r="E31" s="295"/>
      <c r="F31" s="351"/>
      <c r="G31" s="204"/>
      <c r="H31" s="545"/>
      <c r="I31" s="708"/>
      <c r="J31" s="711"/>
      <c r="K31" s="205"/>
      <c r="L31" s="202">
        <v>4</v>
      </c>
      <c r="M31" s="325" t="s">
        <v>300</v>
      </c>
      <c r="N31" s="309" t="s">
        <v>305</v>
      </c>
      <c r="O31" s="430">
        <v>-1300</v>
      </c>
      <c r="P31" s="351">
        <v>13.65</v>
      </c>
      <c r="Q31" s="204">
        <f>O31*P31</f>
        <v>-17745</v>
      </c>
      <c r="R31" s="474"/>
      <c r="S31" s="505" t="s">
        <v>304</v>
      </c>
      <c r="T31" s="634">
        <v>46022</v>
      </c>
      <c r="U31" s="639">
        <v>0</v>
      </c>
      <c r="V31" s="717"/>
      <c r="W31" s="648">
        <v>46022</v>
      </c>
      <c r="X31" s="708"/>
      <c r="Y31" s="611" t="str">
        <f>Y15</f>
        <v>DC Labour</v>
      </c>
      <c r="Z31" s="492">
        <v>267035.64</v>
      </c>
      <c r="AA31" s="527">
        <f>Z31/'Project Plan'!$E$3/1000</f>
        <v>1.0681425600000001</v>
      </c>
      <c r="AC31" s="611" t="s">
        <v>279</v>
      </c>
      <c r="AD31" s="626">
        <v>267035.64</v>
      </c>
    </row>
    <row r="32" spans="1:30" ht="14.25" customHeight="1">
      <c r="B32" s="224">
        <v>4</v>
      </c>
      <c r="C32" s="309"/>
      <c r="D32" s="309"/>
      <c r="E32" s="295"/>
      <c r="F32" s="351"/>
      <c r="G32" s="204"/>
      <c r="H32" s="545"/>
      <c r="I32" s="708"/>
      <c r="J32" s="711"/>
      <c r="K32" s="205"/>
      <c r="L32" s="202">
        <v>4</v>
      </c>
      <c r="M32" s="325" t="s">
        <v>300</v>
      </c>
      <c r="N32" s="309"/>
      <c r="O32" s="438"/>
      <c r="P32" s="351"/>
      <c r="Q32" s="204"/>
      <c r="R32" s="474"/>
      <c r="S32" s="505"/>
      <c r="T32" s="416" t="str">
        <f t="shared" si="0"/>
        <v/>
      </c>
      <c r="U32" s="401">
        <f t="shared" ref="U32:U44" si="4">(Q32/$X$29*$J$29)</f>
        <v>0</v>
      </c>
      <c r="V32" s="717"/>
      <c r="W32" s="458"/>
      <c r="X32" s="708"/>
      <c r="Y32" s="611" t="s">
        <v>280</v>
      </c>
      <c r="Z32" s="492">
        <v>11410</v>
      </c>
      <c r="AC32" s="611" t="s">
        <v>280</v>
      </c>
      <c r="AD32" s="626">
        <v>11410</v>
      </c>
    </row>
    <row r="33" spans="1:30" ht="14.25" customHeight="1">
      <c r="B33" s="224">
        <v>4</v>
      </c>
      <c r="C33" s="309"/>
      <c r="D33" s="309"/>
      <c r="E33" s="295"/>
      <c r="F33" s="351"/>
      <c r="G33" s="204"/>
      <c r="H33" s="545"/>
      <c r="I33" s="708"/>
      <c r="J33" s="711"/>
      <c r="K33" s="205"/>
      <c r="L33" s="202">
        <v>4</v>
      </c>
      <c r="M33" s="325" t="s">
        <v>300</v>
      </c>
      <c r="N33" s="309" t="s">
        <v>306</v>
      </c>
      <c r="O33" s="447">
        <f>Z29</f>
        <v>42673.4</v>
      </c>
      <c r="P33" s="448">
        <v>0.1</v>
      </c>
      <c r="Q33" s="204">
        <f>$O$33*P33</f>
        <v>4267.34</v>
      </c>
      <c r="R33" s="722" t="s">
        <v>307</v>
      </c>
      <c r="S33" s="505" t="s">
        <v>308</v>
      </c>
      <c r="T33" s="634">
        <v>45961</v>
      </c>
      <c r="U33" s="639">
        <v>8718.1164575988332</v>
      </c>
      <c r="V33" s="717"/>
      <c r="W33" s="644">
        <f>W95</f>
        <v>45967</v>
      </c>
      <c r="X33" s="708"/>
      <c r="Y33" s="611" t="s">
        <v>309</v>
      </c>
      <c r="Z33" s="492">
        <v>23642.5</v>
      </c>
      <c r="AC33" s="611" t="s">
        <v>309</v>
      </c>
      <c r="AD33" s="626">
        <v>23642.5</v>
      </c>
    </row>
    <row r="34" spans="1:30" ht="14.25" customHeight="1">
      <c r="B34" s="224">
        <v>4</v>
      </c>
      <c r="C34" s="309"/>
      <c r="D34" s="309"/>
      <c r="E34" s="295"/>
      <c r="F34" s="351"/>
      <c r="G34" s="204"/>
      <c r="H34" s="545"/>
      <c r="I34" s="708"/>
      <c r="J34" s="711"/>
      <c r="K34" s="205"/>
      <c r="L34" s="202">
        <v>4</v>
      </c>
      <c r="M34" s="325" t="s">
        <v>300</v>
      </c>
      <c r="N34" s="309" t="s">
        <v>147</v>
      </c>
      <c r="O34" s="438"/>
      <c r="P34" s="448">
        <v>0.15</v>
      </c>
      <c r="Q34" s="204">
        <f t="shared" ref="Q34:Q41" si="5">$O$33*P34</f>
        <v>6401.01</v>
      </c>
      <c r="R34" s="723"/>
      <c r="S34" s="505" t="s">
        <v>310</v>
      </c>
      <c r="T34" s="545">
        <v>45991</v>
      </c>
      <c r="U34" s="639">
        <v>17778.049203678111</v>
      </c>
      <c r="V34" s="717"/>
      <c r="W34" s="644">
        <f>W96</f>
        <v>45989</v>
      </c>
      <c r="X34" s="708"/>
      <c r="Y34" s="611" t="s">
        <v>311</v>
      </c>
      <c r="Z34" s="492"/>
      <c r="AC34" s="611" t="s">
        <v>311</v>
      </c>
      <c r="AD34" s="626"/>
    </row>
    <row r="35" spans="1:30" ht="14.25" customHeight="1">
      <c r="B35" s="224">
        <v>4</v>
      </c>
      <c r="C35" s="309"/>
      <c r="D35" s="309"/>
      <c r="E35" s="295"/>
      <c r="F35" s="351"/>
      <c r="G35" s="204"/>
      <c r="H35" s="545"/>
      <c r="I35" s="708"/>
      <c r="J35" s="711"/>
      <c r="K35" s="205"/>
      <c r="L35" s="202">
        <v>4</v>
      </c>
      <c r="M35" s="325" t="s">
        <v>300</v>
      </c>
      <c r="N35" s="309" t="s">
        <v>312</v>
      </c>
      <c r="O35" s="438"/>
      <c r="P35" s="448">
        <v>0.2</v>
      </c>
      <c r="Q35" s="204">
        <f t="shared" si="5"/>
        <v>8534.68</v>
      </c>
      <c r="R35" s="723"/>
      <c r="S35" s="505" t="s">
        <v>313</v>
      </c>
      <c r="T35" s="545">
        <f>T97</f>
        <v>45991</v>
      </c>
      <c r="U35" s="639">
        <v>23704.065604904146</v>
      </c>
      <c r="V35" s="717"/>
      <c r="W35" s="644">
        <f>W97</f>
        <v>45989</v>
      </c>
      <c r="X35" s="708"/>
      <c r="Y35" s="611" t="s">
        <v>282</v>
      </c>
      <c r="Z35" s="492">
        <v>35837.75</v>
      </c>
      <c r="AC35" s="611" t="s">
        <v>282</v>
      </c>
      <c r="AD35" s="626">
        <v>35837.75</v>
      </c>
    </row>
    <row r="36" spans="1:30" ht="14.25" customHeight="1">
      <c r="B36" s="224">
        <v>4</v>
      </c>
      <c r="C36" s="309"/>
      <c r="D36" s="309"/>
      <c r="E36" s="295"/>
      <c r="F36" s="351"/>
      <c r="G36" s="204"/>
      <c r="H36" s="545"/>
      <c r="I36" s="708"/>
      <c r="J36" s="711"/>
      <c r="K36" s="205"/>
      <c r="L36" s="202">
        <v>4</v>
      </c>
      <c r="M36" s="325" t="s">
        <v>300</v>
      </c>
      <c r="N36" s="309" t="s">
        <v>314</v>
      </c>
      <c r="O36" s="438"/>
      <c r="P36" s="448">
        <v>0.2</v>
      </c>
      <c r="Q36" s="204">
        <f t="shared" si="5"/>
        <v>8534.68</v>
      </c>
      <c r="R36" s="723"/>
      <c r="S36" s="505" t="s">
        <v>313</v>
      </c>
      <c r="T36" s="545">
        <f>T98</f>
        <v>45991</v>
      </c>
      <c r="U36" s="639">
        <v>23704.065604904146</v>
      </c>
      <c r="V36" s="717"/>
      <c r="W36" s="644">
        <f>W98</f>
        <v>45989</v>
      </c>
      <c r="X36" s="708"/>
      <c r="Y36" s="611" t="s">
        <v>315</v>
      </c>
      <c r="Z36" s="492">
        <v>14117.5</v>
      </c>
      <c r="AC36" s="611" t="s">
        <v>315</v>
      </c>
      <c r="AD36" s="626">
        <f>10637.5+3480</f>
        <v>14117.5</v>
      </c>
    </row>
    <row r="37" spans="1:30" ht="14.25" customHeight="1">
      <c r="B37" s="224"/>
      <c r="C37" s="309"/>
      <c r="D37" s="309"/>
      <c r="E37" s="295"/>
      <c r="F37" s="351"/>
      <c r="G37" s="204"/>
      <c r="H37" s="545"/>
      <c r="I37" s="708"/>
      <c r="J37" s="711"/>
      <c r="K37" s="205"/>
      <c r="L37" s="202">
        <v>4</v>
      </c>
      <c r="M37" s="325" t="s">
        <v>300</v>
      </c>
      <c r="N37" s="309" t="s">
        <v>314</v>
      </c>
      <c r="O37" s="438"/>
      <c r="P37" s="448">
        <v>0.05</v>
      </c>
      <c r="Q37" s="204">
        <v>2133.64</v>
      </c>
      <c r="R37" s="723"/>
      <c r="S37" s="505" t="s">
        <v>316</v>
      </c>
      <c r="T37" s="545">
        <f t="shared" ref="T37:T38" si="6">T99</f>
        <v>46053</v>
      </c>
      <c r="U37" s="401">
        <f t="shared" ref="U37:U38" si="7">(Q37/$X$29*$J$29)</f>
        <v>5925.9349877015457</v>
      </c>
      <c r="V37" s="717"/>
      <c r="W37" s="644">
        <f>W99</f>
        <v>46053</v>
      </c>
      <c r="X37" s="708"/>
      <c r="Y37" s="611"/>
      <c r="Z37" s="492"/>
      <c r="AC37" s="611"/>
      <c r="AD37" s="626"/>
    </row>
    <row r="38" spans="1:30" ht="14.25" customHeight="1">
      <c r="B38" s="224">
        <v>4</v>
      </c>
      <c r="C38" s="309"/>
      <c r="D38" s="309"/>
      <c r="E38" s="295"/>
      <c r="F38" s="351"/>
      <c r="G38" s="204"/>
      <c r="H38" s="545"/>
      <c r="I38" s="708"/>
      <c r="J38" s="711"/>
      <c r="K38" s="205"/>
      <c r="L38" s="202">
        <v>4</v>
      </c>
      <c r="M38" s="325" t="s">
        <v>300</v>
      </c>
      <c r="N38" s="309" t="s">
        <v>317</v>
      </c>
      <c r="O38" s="438"/>
      <c r="P38" s="448">
        <v>0.1</v>
      </c>
      <c r="Q38" s="204">
        <f t="shared" si="5"/>
        <v>4267.34</v>
      </c>
      <c r="R38" s="723"/>
      <c r="S38" s="505" t="s">
        <v>316</v>
      </c>
      <c r="T38" s="545">
        <f t="shared" si="6"/>
        <v>46053</v>
      </c>
      <c r="U38" s="401">
        <f t="shared" si="7"/>
        <v>11852.036618369695</v>
      </c>
      <c r="V38" s="717"/>
      <c r="W38" s="644">
        <f t="shared" ref="W38:W41" si="8">W100</f>
        <v>46058</v>
      </c>
      <c r="X38" s="708"/>
      <c r="Y38" s="611" t="s">
        <v>318</v>
      </c>
      <c r="Z38" s="492">
        <v>17693</v>
      </c>
      <c r="AC38" s="611" t="s">
        <v>318</v>
      </c>
      <c r="AD38" s="626">
        <v>17693</v>
      </c>
    </row>
    <row r="39" spans="1:30" ht="14.25" customHeight="1">
      <c r="B39" s="224">
        <v>4</v>
      </c>
      <c r="C39" s="309"/>
      <c r="D39" s="309"/>
      <c r="E39" s="295"/>
      <c r="F39" s="351"/>
      <c r="G39" s="204"/>
      <c r="H39" s="545"/>
      <c r="I39" s="708"/>
      <c r="J39" s="711"/>
      <c r="K39" s="205"/>
      <c r="L39" s="202">
        <v>4</v>
      </c>
      <c r="M39" s="325" t="s">
        <v>300</v>
      </c>
      <c r="N39" s="309" t="s">
        <v>319</v>
      </c>
      <c r="O39" s="438"/>
      <c r="P39" s="448">
        <v>0.1</v>
      </c>
      <c r="Q39" s="204">
        <f t="shared" si="5"/>
        <v>4267.34</v>
      </c>
      <c r="R39" s="723"/>
      <c r="S39" s="505" t="s">
        <v>316</v>
      </c>
      <c r="T39" s="545">
        <f>T101</f>
        <v>46053</v>
      </c>
      <c r="U39" s="401">
        <f t="shared" si="4"/>
        <v>11852.036618369695</v>
      </c>
      <c r="V39" s="717"/>
      <c r="W39" s="458">
        <f t="shared" si="8"/>
        <v>46065</v>
      </c>
      <c r="X39" s="708"/>
      <c r="Y39" s="611" t="s">
        <v>288</v>
      </c>
      <c r="Z39" s="493">
        <v>0</v>
      </c>
      <c r="AC39" s="611" t="s">
        <v>288</v>
      </c>
      <c r="AD39" s="626"/>
    </row>
    <row r="40" spans="1:30" ht="14.25" customHeight="1">
      <c r="B40" s="224">
        <v>4</v>
      </c>
      <c r="C40" s="309"/>
      <c r="D40" s="309"/>
      <c r="E40" s="295"/>
      <c r="F40" s="351"/>
      <c r="G40" s="204"/>
      <c r="H40" s="545"/>
      <c r="I40" s="708"/>
      <c r="J40" s="711"/>
      <c r="K40" s="205"/>
      <c r="L40" s="202">
        <v>4</v>
      </c>
      <c r="M40" s="325" t="s">
        <v>300</v>
      </c>
      <c r="N40" s="309" t="s">
        <v>320</v>
      </c>
      <c r="O40" s="438"/>
      <c r="P40" s="448">
        <v>0.05</v>
      </c>
      <c r="Q40" s="204">
        <f t="shared" si="5"/>
        <v>2133.67</v>
      </c>
      <c r="R40" s="723"/>
      <c r="S40" s="505" t="s">
        <v>453</v>
      </c>
      <c r="T40" s="545">
        <f>T102</f>
        <v>46053</v>
      </c>
      <c r="U40" s="401">
        <f t="shared" si="4"/>
        <v>5926.0183091848476</v>
      </c>
      <c r="V40" s="717"/>
      <c r="W40" s="458">
        <f t="shared" si="8"/>
        <v>46065</v>
      </c>
      <c r="X40" s="708"/>
      <c r="Y40" s="611" t="s">
        <v>234</v>
      </c>
      <c r="Z40" s="492">
        <f>SUM(Z28:Z39)</f>
        <v>497687.30000000005</v>
      </c>
      <c r="AC40" s="611" t="s">
        <v>234</v>
      </c>
      <c r="AD40" s="628">
        <f>SUM(AD28:AD39)</f>
        <v>497687.30000000005</v>
      </c>
    </row>
    <row r="41" spans="1:30" ht="14.25" customHeight="1">
      <c r="B41" s="224">
        <v>4</v>
      </c>
      <c r="C41" s="309"/>
      <c r="D41" s="309"/>
      <c r="E41" s="295"/>
      <c r="F41" s="351"/>
      <c r="G41" s="204"/>
      <c r="H41" s="545"/>
      <c r="I41" s="708"/>
      <c r="J41" s="711"/>
      <c r="K41" s="205"/>
      <c r="L41" s="202">
        <v>4</v>
      </c>
      <c r="M41" s="325" t="s">
        <v>300</v>
      </c>
      <c r="N41" s="309" t="s">
        <v>321</v>
      </c>
      <c r="O41" s="438"/>
      <c r="P41" s="448">
        <v>0.05</v>
      </c>
      <c r="Q41" s="204">
        <f t="shared" si="5"/>
        <v>2133.67</v>
      </c>
      <c r="R41" s="724"/>
      <c r="S41" s="505" t="s">
        <v>453</v>
      </c>
      <c r="T41" s="545">
        <f>T103</f>
        <v>46053</v>
      </c>
      <c r="U41" s="401">
        <f t="shared" si="4"/>
        <v>5926.0183091848476</v>
      </c>
      <c r="V41" s="717"/>
      <c r="W41" s="458">
        <f t="shared" si="8"/>
        <v>46095</v>
      </c>
      <c r="X41" s="708"/>
      <c r="Y41" s="612" t="s">
        <v>295</v>
      </c>
      <c r="Z41" s="493">
        <f>Z40/'Project Plan'!$E$3/1000</f>
        <v>1.9907492000000002</v>
      </c>
      <c r="AC41" s="611" t="s">
        <v>295</v>
      </c>
      <c r="AD41" s="626">
        <f>AD40/'Project Plan'!E3/1000</f>
        <v>1.9907492000000002</v>
      </c>
    </row>
    <row r="42" spans="1:30" ht="14.25" customHeight="1">
      <c r="B42" s="224">
        <v>4</v>
      </c>
      <c r="C42" s="309"/>
      <c r="D42" s="309"/>
      <c r="E42" s="295"/>
      <c r="F42" s="351"/>
      <c r="G42" s="204"/>
      <c r="H42" s="545"/>
      <c r="I42" s="708"/>
      <c r="J42" s="711"/>
      <c r="K42" s="205"/>
      <c r="L42" s="202">
        <v>4</v>
      </c>
      <c r="M42" s="325" t="s">
        <v>300</v>
      </c>
      <c r="N42" s="309"/>
      <c r="O42" s="438"/>
      <c r="P42" s="351"/>
      <c r="Q42" s="204"/>
      <c r="R42" s="474"/>
      <c r="S42" s="505"/>
      <c r="T42" s="416" t="str">
        <f t="shared" si="0"/>
        <v/>
      </c>
      <c r="U42" s="401">
        <f t="shared" si="4"/>
        <v>0</v>
      </c>
      <c r="V42" s="717"/>
      <c r="W42" s="458"/>
      <c r="X42" s="708"/>
    </row>
    <row r="43" spans="1:30" ht="14.25" customHeight="1">
      <c r="B43" s="224">
        <v>4</v>
      </c>
      <c r="C43" s="309"/>
      <c r="D43" s="309"/>
      <c r="E43" s="295"/>
      <c r="F43" s="351"/>
      <c r="G43" s="204"/>
      <c r="H43" s="545"/>
      <c r="I43" s="708"/>
      <c r="J43" s="711"/>
      <c r="K43" s="205"/>
      <c r="L43" s="202">
        <v>4</v>
      </c>
      <c r="M43" s="325" t="s">
        <v>300</v>
      </c>
      <c r="N43" s="309"/>
      <c r="O43" s="438"/>
      <c r="P43" s="351"/>
      <c r="Q43" s="204"/>
      <c r="R43" s="474"/>
      <c r="S43" s="505"/>
      <c r="T43" s="416" t="str">
        <f t="shared" si="0"/>
        <v/>
      </c>
      <c r="U43" s="401">
        <f t="shared" si="4"/>
        <v>0</v>
      </c>
      <c r="V43" s="717"/>
      <c r="W43" s="458"/>
      <c r="X43" s="708"/>
    </row>
    <row r="44" spans="1:30" ht="15" customHeight="1" thickBot="1">
      <c r="B44" s="206">
        <v>4</v>
      </c>
      <c r="C44" s="229"/>
      <c r="D44" s="229"/>
      <c r="E44" s="298"/>
      <c r="F44" s="353"/>
      <c r="G44" s="209"/>
      <c r="H44" s="555"/>
      <c r="I44" s="709"/>
      <c r="J44" s="712"/>
      <c r="K44" s="210"/>
      <c r="L44" s="206">
        <v>4</v>
      </c>
      <c r="M44" s="326" t="s">
        <v>300</v>
      </c>
      <c r="N44" s="229"/>
      <c r="O44" s="439"/>
      <c r="P44" s="353"/>
      <c r="Q44" s="209"/>
      <c r="R44" s="475"/>
      <c r="S44" s="506"/>
      <c r="T44" s="417" t="str">
        <f t="shared" si="0"/>
        <v/>
      </c>
      <c r="U44" s="402">
        <f t="shared" si="4"/>
        <v>0</v>
      </c>
      <c r="V44" s="718"/>
      <c r="W44" s="459"/>
      <c r="X44" s="709"/>
    </row>
    <row r="45" spans="1:30" ht="14.4" thickBot="1">
      <c r="A45" s="4"/>
      <c r="B45" s="180"/>
      <c r="C45" s="181"/>
      <c r="D45" s="212"/>
      <c r="E45" s="195"/>
      <c r="F45" s="354"/>
      <c r="G45" s="196"/>
      <c r="H45" s="556"/>
      <c r="I45" s="547"/>
      <c r="J45" s="184"/>
      <c r="K45" s="4"/>
      <c r="L45" s="180"/>
      <c r="M45" s="181"/>
      <c r="N45" s="212"/>
      <c r="O45" s="436"/>
      <c r="P45" s="354"/>
      <c r="Q45" s="196"/>
      <c r="R45" s="477"/>
      <c r="S45" s="508"/>
      <c r="T45" s="414" t="str">
        <f t="shared" si="0"/>
        <v/>
      </c>
      <c r="U45" s="405"/>
      <c r="V45" s="388"/>
      <c r="W45" s="456"/>
      <c r="X45" s="547"/>
    </row>
    <row r="46" spans="1:30" ht="14.25" customHeight="1">
      <c r="B46" s="185">
        <v>5</v>
      </c>
      <c r="C46" s="213" t="s">
        <v>322</v>
      </c>
      <c r="D46" s="231" t="s">
        <v>323</v>
      </c>
      <c r="E46" s="187"/>
      <c r="F46" s="336"/>
      <c r="G46" s="188">
        <f>D172-G47</f>
        <v>34000</v>
      </c>
      <c r="H46" s="543">
        <f>H13</f>
        <v>46029</v>
      </c>
      <c r="I46" s="698">
        <f>SUM(G46:G54)</f>
        <v>49000</v>
      </c>
      <c r="J46" s="701">
        <f>F172</f>
        <v>61250</v>
      </c>
      <c r="K46" s="189"/>
      <c r="L46" s="185">
        <v>5</v>
      </c>
      <c r="M46" s="321" t="s">
        <v>324</v>
      </c>
      <c r="N46" s="231" t="s">
        <v>325</v>
      </c>
      <c r="O46" s="432"/>
      <c r="P46" s="336"/>
      <c r="Q46" s="188">
        <f>8598.34+100</f>
        <v>8698.34</v>
      </c>
      <c r="R46" s="476"/>
      <c r="S46" s="507" t="s">
        <v>326</v>
      </c>
      <c r="T46" s="543">
        <v>45991</v>
      </c>
      <c r="U46" s="640">
        <v>9080.9279110069801</v>
      </c>
      <c r="V46" s="713">
        <f>J46-SUM(U46:U54)</f>
        <v>3.9453588105970994E-3</v>
      </c>
      <c r="W46" s="652">
        <v>46031</v>
      </c>
      <c r="X46" s="698">
        <f>SUM(Q46:Q54)</f>
        <v>59038.009999999995</v>
      </c>
    </row>
    <row r="47" spans="1:30" ht="14.25" customHeight="1">
      <c r="B47" s="190">
        <v>5</v>
      </c>
      <c r="C47" s="214"/>
      <c r="D47" s="217" t="s">
        <v>327</v>
      </c>
      <c r="E47" s="349"/>
      <c r="F47" s="350"/>
      <c r="G47" s="219">
        <v>15000</v>
      </c>
      <c r="H47" s="542">
        <f>H46</f>
        <v>46029</v>
      </c>
      <c r="I47" s="699"/>
      <c r="J47" s="702"/>
      <c r="K47" s="192"/>
      <c r="L47" s="190">
        <v>5</v>
      </c>
      <c r="M47" s="327" t="s">
        <v>324</v>
      </c>
      <c r="N47" s="191" t="s">
        <v>328</v>
      </c>
      <c r="O47" s="440"/>
      <c r="P47" s="350"/>
      <c r="Q47" s="219">
        <v>25321</v>
      </c>
      <c r="R47" s="517" t="s">
        <v>329</v>
      </c>
      <c r="S47" s="500" t="s">
        <v>330</v>
      </c>
      <c r="T47" s="631">
        <v>45961</v>
      </c>
      <c r="U47" s="640">
        <v>26936.920577737092</v>
      </c>
      <c r="V47" s="714"/>
      <c r="W47" s="653">
        <v>46029</v>
      </c>
      <c r="X47" s="699"/>
    </row>
    <row r="48" spans="1:30" ht="14.25" customHeight="1">
      <c r="B48" s="190">
        <v>5</v>
      </c>
      <c r="C48" s="214"/>
      <c r="D48" s="217"/>
      <c r="E48" s="218"/>
      <c r="F48" s="357"/>
      <c r="G48" s="219"/>
      <c r="H48" s="542"/>
      <c r="I48" s="699"/>
      <c r="J48" s="702"/>
      <c r="K48" s="192"/>
      <c r="L48" s="190">
        <v>5</v>
      </c>
      <c r="M48" s="327" t="s">
        <v>324</v>
      </c>
      <c r="N48" s="217" t="s">
        <v>101</v>
      </c>
      <c r="O48" s="433">
        <v>2</v>
      </c>
      <c r="P48" s="357">
        <v>11169</v>
      </c>
      <c r="Q48" s="219">
        <f>O48*P48</f>
        <v>22338</v>
      </c>
      <c r="R48" s="469"/>
      <c r="S48" s="500" t="s">
        <v>331</v>
      </c>
      <c r="T48" s="542">
        <v>45961</v>
      </c>
      <c r="U48" s="640">
        <v>23763.553250878369</v>
      </c>
      <c r="V48" s="714"/>
      <c r="W48" s="653">
        <v>45989</v>
      </c>
      <c r="X48" s="699"/>
    </row>
    <row r="49" spans="1:24" ht="14.25" customHeight="1">
      <c r="B49" s="190"/>
      <c r="C49" s="214"/>
      <c r="D49" s="217"/>
      <c r="E49" s="218"/>
      <c r="F49" s="357"/>
      <c r="G49" s="219"/>
      <c r="H49" s="542"/>
      <c r="I49" s="699"/>
      <c r="J49" s="702"/>
      <c r="K49" s="192"/>
      <c r="L49" s="190">
        <v>5</v>
      </c>
      <c r="M49" s="327" t="s">
        <v>324</v>
      </c>
      <c r="N49" s="217" t="s">
        <v>332</v>
      </c>
      <c r="O49" s="433"/>
      <c r="P49" s="357"/>
      <c r="Q49" s="219">
        <v>343.33</v>
      </c>
      <c r="R49" s="469"/>
      <c r="S49" s="500" t="s">
        <v>333</v>
      </c>
      <c r="T49" s="542">
        <v>45961</v>
      </c>
      <c r="U49" s="640">
        <v>365.24043054991802</v>
      </c>
      <c r="V49" s="714"/>
      <c r="W49" s="653">
        <v>45989</v>
      </c>
      <c r="X49" s="699"/>
    </row>
    <row r="50" spans="1:24" ht="14.25" customHeight="1">
      <c r="B50" s="215">
        <v>5</v>
      </c>
      <c r="C50" s="216"/>
      <c r="D50" s="217"/>
      <c r="E50" s="218"/>
      <c r="F50" s="357"/>
      <c r="G50" s="219"/>
      <c r="H50" s="542"/>
      <c r="I50" s="699"/>
      <c r="J50" s="702"/>
      <c r="K50" s="192"/>
      <c r="L50" s="215">
        <v>5</v>
      </c>
      <c r="M50" s="327" t="s">
        <v>324</v>
      </c>
      <c r="N50" s="217" t="s">
        <v>334</v>
      </c>
      <c r="O50" s="433"/>
      <c r="P50" s="357"/>
      <c r="Q50" s="219">
        <v>975</v>
      </c>
      <c r="R50" s="469"/>
      <c r="S50" s="500" t="s">
        <v>335</v>
      </c>
      <c r="T50" s="542">
        <v>45961</v>
      </c>
      <c r="U50" s="640">
        <v>1037.2219724060528</v>
      </c>
      <c r="V50" s="714"/>
      <c r="W50" s="653">
        <v>45939</v>
      </c>
      <c r="X50" s="699"/>
    </row>
    <row r="51" spans="1:24" ht="14.25" customHeight="1">
      <c r="B51" s="284">
        <v>5</v>
      </c>
      <c r="C51" s="285"/>
      <c r="D51" s="288"/>
      <c r="E51" s="307"/>
      <c r="F51" s="343"/>
      <c r="G51" s="287"/>
      <c r="H51" s="551"/>
      <c r="I51" s="699"/>
      <c r="J51" s="702"/>
      <c r="K51" s="192"/>
      <c r="L51" s="215">
        <v>5</v>
      </c>
      <c r="M51" s="327" t="s">
        <v>324</v>
      </c>
      <c r="N51" s="288" t="s">
        <v>336</v>
      </c>
      <c r="O51" s="434"/>
      <c r="P51" s="343"/>
      <c r="Q51" s="287">
        <v>21.34</v>
      </c>
      <c r="R51" s="470" t="s">
        <v>337</v>
      </c>
      <c r="S51" s="501" t="s">
        <v>338</v>
      </c>
      <c r="T51" s="636">
        <v>45991</v>
      </c>
      <c r="U51" s="640">
        <v>22.63803342027202</v>
      </c>
      <c r="V51" s="714"/>
      <c r="W51" s="651">
        <v>45973</v>
      </c>
      <c r="X51" s="699"/>
    </row>
    <row r="52" spans="1:24" ht="14.25" customHeight="1">
      <c r="B52" s="284">
        <v>5</v>
      </c>
      <c r="C52" s="285"/>
      <c r="D52" s="288"/>
      <c r="E52" s="307"/>
      <c r="F52" s="343"/>
      <c r="G52" s="287"/>
      <c r="H52" s="551"/>
      <c r="I52" s="699"/>
      <c r="J52" s="702"/>
      <c r="K52" s="192"/>
      <c r="L52" s="215">
        <v>5</v>
      </c>
      <c r="M52" s="327" t="s">
        <v>324</v>
      </c>
      <c r="N52" s="288" t="s">
        <v>336</v>
      </c>
      <c r="O52" s="434"/>
      <c r="P52" s="343"/>
      <c r="Q52" s="287">
        <v>41</v>
      </c>
      <c r="R52" s="470"/>
      <c r="S52" s="501" t="s">
        <v>338</v>
      </c>
      <c r="T52" s="636">
        <v>45991</v>
      </c>
      <c r="U52" s="638">
        <v>43.493878642509507</v>
      </c>
      <c r="V52" s="714"/>
      <c r="W52" s="651">
        <v>45990</v>
      </c>
      <c r="X52" s="699"/>
    </row>
    <row r="53" spans="1:24" ht="14.25" customHeight="1">
      <c r="B53" s="284"/>
      <c r="C53" s="285"/>
      <c r="D53" s="288"/>
      <c r="E53" s="307"/>
      <c r="F53" s="343"/>
      <c r="G53" s="287"/>
      <c r="H53" s="551"/>
      <c r="I53" s="699"/>
      <c r="J53" s="702"/>
      <c r="K53" s="192"/>
      <c r="L53" s="215">
        <v>5</v>
      </c>
      <c r="M53" s="327" t="s">
        <v>324</v>
      </c>
      <c r="N53" s="288" t="s">
        <v>339</v>
      </c>
      <c r="O53" s="434"/>
      <c r="P53" s="343"/>
      <c r="Q53" s="287">
        <v>1300</v>
      </c>
      <c r="R53" s="470"/>
      <c r="S53" s="501" t="s">
        <v>340</v>
      </c>
      <c r="T53" s="636">
        <v>46022</v>
      </c>
      <c r="U53" s="638"/>
      <c r="V53" s="714"/>
      <c r="W53" s="651">
        <v>46022</v>
      </c>
      <c r="X53" s="699"/>
    </row>
    <row r="54" spans="1:24" ht="15" customHeight="1" thickBot="1">
      <c r="B54" s="220">
        <v>5</v>
      </c>
      <c r="C54" s="241"/>
      <c r="D54" s="221"/>
      <c r="E54" s="222"/>
      <c r="F54" s="358"/>
      <c r="G54" s="234"/>
      <c r="H54" s="552"/>
      <c r="I54" s="700"/>
      <c r="J54" s="703"/>
      <c r="K54" s="193"/>
      <c r="L54" s="220">
        <v>5</v>
      </c>
      <c r="M54" s="323" t="s">
        <v>324</v>
      </c>
      <c r="N54" s="221"/>
      <c r="O54" s="435"/>
      <c r="P54" s="358"/>
      <c r="Q54" s="234"/>
      <c r="R54" s="471"/>
      <c r="S54" s="502"/>
      <c r="T54" s="413" t="str">
        <f t="shared" si="0"/>
        <v/>
      </c>
      <c r="U54" s="398">
        <f t="shared" ref="U54" si="9">(Q54/$X$46*$J$46)</f>
        <v>0</v>
      </c>
      <c r="V54" s="715"/>
      <c r="W54" s="455"/>
      <c r="X54" s="700"/>
    </row>
    <row r="55" spans="1:24" ht="14.4" thickBot="1">
      <c r="A55" s="4"/>
      <c r="B55" s="194"/>
      <c r="C55" s="211"/>
      <c r="D55" s="182"/>
      <c r="E55" s="195"/>
      <c r="F55" s="354"/>
      <c r="G55" s="196"/>
      <c r="H55" s="553"/>
      <c r="I55" s="548"/>
      <c r="J55" s="230"/>
      <c r="K55" s="4"/>
      <c r="L55" s="194"/>
      <c r="M55" s="211"/>
      <c r="N55" s="182"/>
      <c r="O55" s="436"/>
      <c r="P55" s="354"/>
      <c r="Q55" s="196"/>
      <c r="R55" s="472"/>
      <c r="S55" s="503"/>
      <c r="T55" s="414" t="str">
        <f t="shared" si="0"/>
        <v/>
      </c>
      <c r="U55" s="403"/>
      <c r="V55" s="385"/>
      <c r="W55" s="456"/>
      <c r="X55" s="548"/>
    </row>
    <row r="56" spans="1:24" ht="14.25" customHeight="1">
      <c r="B56" s="197">
        <v>6</v>
      </c>
      <c r="C56" s="198" t="s">
        <v>273</v>
      </c>
      <c r="D56" s="199" t="s">
        <v>341</v>
      </c>
      <c r="E56" s="373"/>
      <c r="F56" s="355"/>
      <c r="G56" s="200">
        <f>D171</f>
        <v>268570.82</v>
      </c>
      <c r="H56" s="554">
        <f>'Project Plan'!G24+30</f>
        <v>45997</v>
      </c>
      <c r="I56" s="707">
        <f>SUM(G56:G73)</f>
        <v>268570.82</v>
      </c>
      <c r="J56" s="710">
        <f>F171</f>
        <v>335714</v>
      </c>
      <c r="K56" s="201"/>
      <c r="L56" s="197">
        <v>6</v>
      </c>
      <c r="M56" s="330" t="s">
        <v>342</v>
      </c>
      <c r="N56" s="199"/>
      <c r="O56" s="428"/>
      <c r="P56" s="355"/>
      <c r="Q56" s="200"/>
      <c r="R56" s="473"/>
      <c r="S56" s="504"/>
      <c r="T56" s="415" t="str">
        <f t="shared" si="0"/>
        <v/>
      </c>
      <c r="U56" s="400">
        <f t="shared" ref="U56:U73" si="10">(Q56/$X$56*$J$56)</f>
        <v>0</v>
      </c>
      <c r="V56" s="716">
        <f>J56-SUM(U56:U73)</f>
        <v>0</v>
      </c>
      <c r="W56" s="457"/>
      <c r="X56" s="707">
        <f>SUM(Q56:Q73)</f>
        <v>121280.62</v>
      </c>
    </row>
    <row r="57" spans="1:24" ht="14.25" customHeight="1">
      <c r="B57" s="202">
        <v>6</v>
      </c>
      <c r="C57" s="309"/>
      <c r="D57" s="342"/>
      <c r="E57" s="295"/>
      <c r="F57" s="351"/>
      <c r="G57" s="225"/>
      <c r="H57" s="545"/>
      <c r="I57" s="708"/>
      <c r="J57" s="711"/>
      <c r="K57" s="205"/>
      <c r="L57" s="202">
        <v>6</v>
      </c>
      <c r="M57" s="328" t="s">
        <v>342</v>
      </c>
      <c r="N57" s="342" t="s">
        <v>93</v>
      </c>
      <c r="O57" s="438"/>
      <c r="P57" s="351"/>
      <c r="Q57" s="225">
        <f>80115.72-Q58</f>
        <v>24740.639999999999</v>
      </c>
      <c r="R57" s="474" t="s">
        <v>343</v>
      </c>
      <c r="S57" s="505" t="s">
        <v>344</v>
      </c>
      <c r="T57" s="545">
        <v>45991</v>
      </c>
      <c r="U57" s="639">
        <v>68483.977217134932</v>
      </c>
      <c r="V57" s="717"/>
      <c r="W57" s="644">
        <f>T57+30</f>
        <v>46021</v>
      </c>
      <c r="X57" s="708"/>
    </row>
    <row r="58" spans="1:24" ht="14.25" customHeight="1">
      <c r="B58" s="202">
        <v>6</v>
      </c>
      <c r="C58" s="309"/>
      <c r="D58" s="342"/>
      <c r="E58" s="295"/>
      <c r="F58" s="351"/>
      <c r="G58" s="225"/>
      <c r="H58" s="545"/>
      <c r="I58" s="708"/>
      <c r="J58" s="711"/>
      <c r="K58" s="205"/>
      <c r="L58" s="202">
        <v>6</v>
      </c>
      <c r="M58" s="328" t="s">
        <v>342</v>
      </c>
      <c r="N58" s="342"/>
      <c r="O58" s="438"/>
      <c r="P58" s="351"/>
      <c r="Q58" s="225">
        <v>55375.08</v>
      </c>
      <c r="R58" s="474"/>
      <c r="S58" s="505" t="s">
        <v>345</v>
      </c>
      <c r="T58" s="545">
        <v>45991</v>
      </c>
      <c r="U58" s="639">
        <v>153282.44205150008</v>
      </c>
      <c r="V58" s="717"/>
      <c r="W58" s="458"/>
      <c r="X58" s="708"/>
    </row>
    <row r="59" spans="1:24" ht="14.25" customHeight="1">
      <c r="B59" s="202">
        <v>6</v>
      </c>
      <c r="C59" s="309"/>
      <c r="D59" s="342"/>
      <c r="E59" s="295"/>
      <c r="F59" s="351"/>
      <c r="G59" s="225"/>
      <c r="H59" s="545"/>
      <c r="I59" s="708"/>
      <c r="J59" s="711"/>
      <c r="K59" s="205"/>
      <c r="L59" s="202">
        <v>6</v>
      </c>
      <c r="M59" s="328" t="s">
        <v>342</v>
      </c>
      <c r="N59" s="342"/>
      <c r="O59" s="438"/>
      <c r="P59" s="351"/>
      <c r="Q59" s="225"/>
      <c r="R59" s="474"/>
      <c r="S59" s="505"/>
      <c r="T59" s="416" t="str">
        <f t="shared" si="0"/>
        <v/>
      </c>
      <c r="U59" s="401">
        <f t="shared" si="10"/>
        <v>0</v>
      </c>
      <c r="V59" s="717"/>
      <c r="W59" s="458"/>
      <c r="X59" s="708"/>
    </row>
    <row r="60" spans="1:24" ht="14.25" customHeight="1">
      <c r="B60" s="202">
        <v>6</v>
      </c>
      <c r="C60" s="309"/>
      <c r="D60" s="342"/>
      <c r="E60" s="295"/>
      <c r="F60" s="351"/>
      <c r="G60" s="225"/>
      <c r="H60" s="545"/>
      <c r="I60" s="708"/>
      <c r="J60" s="711"/>
      <c r="K60" s="205"/>
      <c r="L60" s="202">
        <v>6</v>
      </c>
      <c r="M60" s="328" t="s">
        <v>342</v>
      </c>
      <c r="N60" s="342"/>
      <c r="O60" s="438"/>
      <c r="P60" s="351"/>
      <c r="Q60" s="225"/>
      <c r="R60" s="474"/>
      <c r="S60" s="505"/>
      <c r="T60" s="416" t="str">
        <f t="shared" si="0"/>
        <v/>
      </c>
      <c r="U60" s="401">
        <f t="shared" si="10"/>
        <v>0</v>
      </c>
      <c r="V60" s="717"/>
      <c r="W60" s="458"/>
      <c r="X60" s="708"/>
    </row>
    <row r="61" spans="1:24" ht="14.25" customHeight="1">
      <c r="B61" s="202">
        <v>6</v>
      </c>
      <c r="C61" s="309"/>
      <c r="D61" s="342"/>
      <c r="E61" s="295"/>
      <c r="F61" s="351"/>
      <c r="G61" s="225"/>
      <c r="H61" s="545"/>
      <c r="I61" s="708"/>
      <c r="J61" s="711"/>
      <c r="K61" s="205"/>
      <c r="L61" s="202">
        <v>6</v>
      </c>
      <c r="M61" s="328" t="s">
        <v>342</v>
      </c>
      <c r="N61" s="342"/>
      <c r="O61" s="438"/>
      <c r="P61" s="351"/>
      <c r="Q61" s="225"/>
      <c r="R61" s="474"/>
      <c r="S61" s="505"/>
      <c r="T61" s="416" t="str">
        <f t="shared" si="0"/>
        <v/>
      </c>
      <c r="U61" s="401">
        <f t="shared" si="10"/>
        <v>0</v>
      </c>
      <c r="V61" s="717"/>
      <c r="W61" s="458"/>
      <c r="X61" s="708"/>
    </row>
    <row r="62" spans="1:24" ht="14.25" customHeight="1">
      <c r="B62" s="202">
        <v>6</v>
      </c>
      <c r="C62" s="348"/>
      <c r="D62" s="203"/>
      <c r="E62" s="300"/>
      <c r="F62" s="352"/>
      <c r="G62" s="225"/>
      <c r="H62" s="545"/>
      <c r="I62" s="708"/>
      <c r="J62" s="711"/>
      <c r="K62" s="205"/>
      <c r="L62" s="202">
        <v>6</v>
      </c>
      <c r="M62" s="328" t="s">
        <v>342</v>
      </c>
      <c r="N62" s="309" t="s">
        <v>306</v>
      </c>
      <c r="O62" s="447">
        <f>Z28</f>
        <v>41164.9</v>
      </c>
      <c r="P62" s="448">
        <v>0.1</v>
      </c>
      <c r="Q62" s="204">
        <f>$O$62*P62</f>
        <v>4116.4900000000007</v>
      </c>
      <c r="R62" s="722" t="s">
        <v>307</v>
      </c>
      <c r="S62" s="505" t="s">
        <v>308</v>
      </c>
      <c r="T62" s="635">
        <v>45961</v>
      </c>
      <c r="U62" s="639">
        <v>11394.758073136501</v>
      </c>
      <c r="V62" s="717"/>
      <c r="W62" s="644">
        <f>W95</f>
        <v>45967</v>
      </c>
      <c r="X62" s="708"/>
    </row>
    <row r="63" spans="1:24" ht="14.25" customHeight="1">
      <c r="B63" s="202">
        <v>6</v>
      </c>
      <c r="C63" s="301"/>
      <c r="D63" s="203"/>
      <c r="E63" s="300"/>
      <c r="F63" s="352"/>
      <c r="G63" s="225"/>
      <c r="H63" s="545"/>
      <c r="I63" s="708"/>
      <c r="J63" s="711"/>
      <c r="K63" s="205"/>
      <c r="L63" s="202">
        <v>6</v>
      </c>
      <c r="M63" s="329" t="s">
        <v>342</v>
      </c>
      <c r="N63" s="309" t="s">
        <v>147</v>
      </c>
      <c r="O63" s="438"/>
      <c r="P63" s="448">
        <v>0.15</v>
      </c>
      <c r="Q63" s="204">
        <f t="shared" ref="Q63:Q70" si="11">$O$62*P63</f>
        <v>6174.7349999999997</v>
      </c>
      <c r="R63" s="723"/>
      <c r="S63" s="505" t="s">
        <v>310</v>
      </c>
      <c r="T63" s="560">
        <v>45991</v>
      </c>
      <c r="U63" s="639">
        <v>17092.137109704749</v>
      </c>
      <c r="V63" s="717"/>
      <c r="W63" s="644">
        <f t="shared" ref="W63:W66" si="12">W96</f>
        <v>45989</v>
      </c>
      <c r="X63" s="708"/>
    </row>
    <row r="64" spans="1:24" ht="14.25" customHeight="1">
      <c r="B64" s="202">
        <v>6</v>
      </c>
      <c r="C64" s="301"/>
      <c r="D64" s="203"/>
      <c r="E64" s="300"/>
      <c r="F64" s="352"/>
      <c r="G64" s="225"/>
      <c r="H64" s="545"/>
      <c r="I64" s="708"/>
      <c r="J64" s="711"/>
      <c r="K64" s="205"/>
      <c r="L64" s="202">
        <v>6</v>
      </c>
      <c r="M64" s="329" t="s">
        <v>342</v>
      </c>
      <c r="N64" s="309" t="s">
        <v>312</v>
      </c>
      <c r="O64" s="438"/>
      <c r="P64" s="448">
        <v>0.2</v>
      </c>
      <c r="Q64" s="204">
        <f t="shared" si="11"/>
        <v>8232.9800000000014</v>
      </c>
      <c r="R64" s="723"/>
      <c r="S64" s="505" t="s">
        <v>313</v>
      </c>
      <c r="T64" s="560">
        <f t="shared" ref="T64:T66" si="13">T97</f>
        <v>45991</v>
      </c>
      <c r="U64" s="639">
        <v>22789.516146273003</v>
      </c>
      <c r="V64" s="717"/>
      <c r="W64" s="644">
        <f t="shared" si="12"/>
        <v>45989</v>
      </c>
      <c r="X64" s="708"/>
    </row>
    <row r="65" spans="1:24" ht="14.25" customHeight="1">
      <c r="B65" s="202">
        <v>6</v>
      </c>
      <c r="C65" s="301"/>
      <c r="D65" s="203"/>
      <c r="E65" s="300"/>
      <c r="F65" s="352"/>
      <c r="G65" s="225"/>
      <c r="H65" s="545"/>
      <c r="I65" s="708"/>
      <c r="J65" s="711"/>
      <c r="K65" s="205"/>
      <c r="L65" s="202">
        <v>6</v>
      </c>
      <c r="M65" s="329" t="s">
        <v>342</v>
      </c>
      <c r="N65" s="309" t="s">
        <v>314</v>
      </c>
      <c r="O65" s="438"/>
      <c r="P65" s="448">
        <v>0.2</v>
      </c>
      <c r="Q65" s="204">
        <f t="shared" si="11"/>
        <v>8232.9800000000014</v>
      </c>
      <c r="R65" s="723"/>
      <c r="S65" s="505" t="s">
        <v>313</v>
      </c>
      <c r="T65" s="560">
        <f t="shared" si="13"/>
        <v>45991</v>
      </c>
      <c r="U65" s="639">
        <v>22789.516146273003</v>
      </c>
      <c r="V65" s="717"/>
      <c r="W65" s="644">
        <f t="shared" si="12"/>
        <v>45989</v>
      </c>
      <c r="X65" s="708"/>
    </row>
    <row r="66" spans="1:24" ht="14.25" customHeight="1">
      <c r="B66" s="202"/>
      <c r="C66" s="301"/>
      <c r="D66" s="203"/>
      <c r="E66" s="300"/>
      <c r="F66" s="352"/>
      <c r="G66" s="225"/>
      <c r="H66" s="545"/>
      <c r="I66" s="708"/>
      <c r="J66" s="711"/>
      <c r="K66" s="205"/>
      <c r="L66" s="202">
        <v>6</v>
      </c>
      <c r="M66" s="329" t="s">
        <v>342</v>
      </c>
      <c r="N66" s="309" t="s">
        <v>314</v>
      </c>
      <c r="O66" s="438"/>
      <c r="P66" s="448">
        <v>0.05</v>
      </c>
      <c r="Q66" s="204">
        <f t="shared" ref="Q66" si="14">$O$62*P66</f>
        <v>2058.2450000000003</v>
      </c>
      <c r="R66" s="723"/>
      <c r="S66" s="505" t="s">
        <v>316</v>
      </c>
      <c r="T66" s="560">
        <f t="shared" si="13"/>
        <v>46053</v>
      </c>
      <c r="U66" s="401">
        <f t="shared" ref="U66" si="15">(Q66/$X$56*$J$56)</f>
        <v>5697.3790365682507</v>
      </c>
      <c r="V66" s="717"/>
      <c r="W66" s="644">
        <f t="shared" si="12"/>
        <v>46053</v>
      </c>
      <c r="X66" s="708"/>
    </row>
    <row r="67" spans="1:24" ht="14.25" customHeight="1">
      <c r="B67" s="202">
        <v>6</v>
      </c>
      <c r="C67" s="301"/>
      <c r="D67" s="203"/>
      <c r="E67" s="300"/>
      <c r="F67" s="352"/>
      <c r="G67" s="225"/>
      <c r="H67" s="545"/>
      <c r="I67" s="708"/>
      <c r="J67" s="711"/>
      <c r="K67" s="205"/>
      <c r="L67" s="202">
        <v>6</v>
      </c>
      <c r="M67" s="329" t="s">
        <v>342</v>
      </c>
      <c r="N67" s="309" t="s">
        <v>317</v>
      </c>
      <c r="O67" s="438"/>
      <c r="P67" s="448">
        <v>0.1</v>
      </c>
      <c r="Q67" s="204">
        <f t="shared" si="11"/>
        <v>4116.4900000000007</v>
      </c>
      <c r="R67" s="723"/>
      <c r="S67" s="505" t="s">
        <v>316</v>
      </c>
      <c r="T67" s="560">
        <f>T100</f>
        <v>46053</v>
      </c>
      <c r="U67" s="401">
        <f t="shared" si="10"/>
        <v>11394.758073136501</v>
      </c>
      <c r="V67" s="717"/>
      <c r="W67" s="644">
        <f>W100</f>
        <v>46058</v>
      </c>
      <c r="X67" s="708"/>
    </row>
    <row r="68" spans="1:24" ht="14.25" customHeight="1">
      <c r="B68" s="202">
        <v>6</v>
      </c>
      <c r="C68" s="392"/>
      <c r="D68" s="239"/>
      <c r="E68" s="314"/>
      <c r="F68" s="359"/>
      <c r="G68" s="225"/>
      <c r="H68" s="545"/>
      <c r="I68" s="708"/>
      <c r="J68" s="711"/>
      <c r="K68" s="205"/>
      <c r="L68" s="202">
        <v>6</v>
      </c>
      <c r="M68" s="329" t="s">
        <v>342</v>
      </c>
      <c r="N68" s="309" t="s">
        <v>319</v>
      </c>
      <c r="O68" s="438"/>
      <c r="P68" s="448">
        <v>0.1</v>
      </c>
      <c r="Q68" s="204">
        <f t="shared" si="11"/>
        <v>4116.4900000000007</v>
      </c>
      <c r="R68" s="723"/>
      <c r="S68" s="509" t="s">
        <v>316</v>
      </c>
      <c r="T68" s="560">
        <f>T101</f>
        <v>46053</v>
      </c>
      <c r="U68" s="406">
        <f t="shared" si="10"/>
        <v>11394.758073136501</v>
      </c>
      <c r="V68" s="717"/>
      <c r="W68" s="458">
        <f>W101</f>
        <v>46065</v>
      </c>
      <c r="X68" s="708"/>
    </row>
    <row r="69" spans="1:24" ht="14.25" customHeight="1">
      <c r="B69" s="202">
        <v>6</v>
      </c>
      <c r="C69" s="392"/>
      <c r="D69" s="239"/>
      <c r="E69" s="314"/>
      <c r="F69" s="359"/>
      <c r="G69" s="225"/>
      <c r="H69" s="545"/>
      <c r="I69" s="708"/>
      <c r="J69" s="711"/>
      <c r="K69" s="205"/>
      <c r="L69" s="202">
        <v>6</v>
      </c>
      <c r="M69" s="329" t="s">
        <v>342</v>
      </c>
      <c r="N69" s="309" t="s">
        <v>320</v>
      </c>
      <c r="O69" s="438"/>
      <c r="P69" s="448">
        <v>0.05</v>
      </c>
      <c r="Q69" s="204">
        <f t="shared" si="11"/>
        <v>2058.2450000000003</v>
      </c>
      <c r="R69" s="723"/>
      <c r="S69" s="509" t="s">
        <v>453</v>
      </c>
      <c r="T69" s="560">
        <f>T102</f>
        <v>46053</v>
      </c>
      <c r="U69" s="406">
        <f t="shared" si="10"/>
        <v>5697.3790365682507</v>
      </c>
      <c r="V69" s="717"/>
      <c r="W69" s="458">
        <f>W102</f>
        <v>46065</v>
      </c>
      <c r="X69" s="708"/>
    </row>
    <row r="70" spans="1:24" ht="14.25" customHeight="1">
      <c r="B70" s="202">
        <v>6</v>
      </c>
      <c r="C70" s="392"/>
      <c r="D70" s="239"/>
      <c r="E70" s="314"/>
      <c r="F70" s="359"/>
      <c r="G70" s="225"/>
      <c r="H70" s="545"/>
      <c r="I70" s="708"/>
      <c r="J70" s="711"/>
      <c r="K70" s="205"/>
      <c r="L70" s="202">
        <v>6</v>
      </c>
      <c r="M70" s="329" t="s">
        <v>342</v>
      </c>
      <c r="N70" s="309" t="s">
        <v>321</v>
      </c>
      <c r="O70" s="438"/>
      <c r="P70" s="448">
        <v>0.05</v>
      </c>
      <c r="Q70" s="204">
        <f t="shared" si="11"/>
        <v>2058.2450000000003</v>
      </c>
      <c r="R70" s="724"/>
      <c r="S70" s="509" t="s">
        <v>453</v>
      </c>
      <c r="T70" s="560">
        <f>T103</f>
        <v>46053</v>
      </c>
      <c r="U70" s="406">
        <f t="shared" si="10"/>
        <v>5697.3790365682507</v>
      </c>
      <c r="V70" s="717"/>
      <c r="W70" s="458">
        <f>W103</f>
        <v>46095</v>
      </c>
      <c r="X70" s="708"/>
    </row>
    <row r="71" spans="1:24" ht="14.25" customHeight="1">
      <c r="B71" s="202">
        <v>6</v>
      </c>
      <c r="C71" s="392"/>
      <c r="D71" s="239"/>
      <c r="E71" s="314"/>
      <c r="F71" s="359"/>
      <c r="G71" s="225"/>
      <c r="H71" s="545"/>
      <c r="I71" s="708"/>
      <c r="J71" s="711"/>
      <c r="K71" s="205"/>
      <c r="L71" s="202">
        <v>6</v>
      </c>
      <c r="M71" s="329" t="s">
        <v>342</v>
      </c>
      <c r="N71" s="309"/>
      <c r="O71" s="438"/>
      <c r="P71" s="448"/>
      <c r="Q71" s="204"/>
      <c r="R71" s="478"/>
      <c r="S71" s="509"/>
      <c r="T71" s="419" t="str">
        <f t="shared" si="0"/>
        <v/>
      </c>
      <c r="U71" s="406">
        <f t="shared" si="10"/>
        <v>0</v>
      </c>
      <c r="V71" s="717"/>
      <c r="W71" s="461"/>
      <c r="X71" s="708"/>
    </row>
    <row r="72" spans="1:24" ht="14.25" customHeight="1">
      <c r="B72" s="202">
        <v>6</v>
      </c>
      <c r="C72" s="392"/>
      <c r="D72" s="239"/>
      <c r="E72" s="314"/>
      <c r="F72" s="359"/>
      <c r="G72" s="225"/>
      <c r="H72" s="545"/>
      <c r="I72" s="708"/>
      <c r="J72" s="711"/>
      <c r="K72" s="205"/>
      <c r="L72" s="202">
        <v>6</v>
      </c>
      <c r="M72" s="329" t="s">
        <v>342</v>
      </c>
      <c r="N72" s="309"/>
      <c r="O72" s="438"/>
      <c r="P72" s="448"/>
      <c r="Q72" s="204"/>
      <c r="R72" s="478"/>
      <c r="S72" s="509"/>
      <c r="T72" s="419" t="str">
        <f t="shared" si="0"/>
        <v/>
      </c>
      <c r="U72" s="406">
        <f t="shared" si="10"/>
        <v>0</v>
      </c>
      <c r="V72" s="717"/>
      <c r="W72" s="461"/>
      <c r="X72" s="708"/>
    </row>
    <row r="73" spans="1:24" ht="15" customHeight="1" thickBot="1">
      <c r="B73" s="206">
        <v>6</v>
      </c>
      <c r="C73" s="302"/>
      <c r="D73" s="208"/>
      <c r="E73" s="356"/>
      <c r="F73" s="353"/>
      <c r="G73" s="209"/>
      <c r="H73" s="555"/>
      <c r="I73" s="709"/>
      <c r="J73" s="712"/>
      <c r="K73" s="210"/>
      <c r="L73" s="206">
        <v>6</v>
      </c>
      <c r="M73" s="331" t="s">
        <v>342</v>
      </c>
      <c r="N73" s="208"/>
      <c r="O73" s="442"/>
      <c r="P73" s="353"/>
      <c r="Q73" s="209"/>
      <c r="R73" s="475"/>
      <c r="S73" s="506"/>
      <c r="T73" s="417" t="str">
        <f t="shared" si="0"/>
        <v/>
      </c>
      <c r="U73" s="402">
        <f t="shared" si="10"/>
        <v>0</v>
      </c>
      <c r="V73" s="718"/>
      <c r="W73" s="459"/>
      <c r="X73" s="709"/>
    </row>
    <row r="74" spans="1:24" ht="14.4" thickBot="1">
      <c r="A74" s="4"/>
      <c r="B74" s="194"/>
      <c r="C74" s="235"/>
      <c r="D74" s="212"/>
      <c r="E74" s="195"/>
      <c r="F74" s="354"/>
      <c r="G74" s="196"/>
      <c r="H74" s="557"/>
      <c r="I74" s="547"/>
      <c r="J74" s="184"/>
      <c r="K74" s="4"/>
      <c r="L74" s="194"/>
      <c r="M74" s="235"/>
      <c r="N74" s="212"/>
      <c r="O74" s="436"/>
      <c r="P74" s="354"/>
      <c r="Q74" s="196"/>
      <c r="R74" s="479"/>
      <c r="S74" s="510"/>
      <c r="T74" s="420" t="str">
        <f t="shared" si="0"/>
        <v/>
      </c>
      <c r="U74" s="407"/>
      <c r="V74" s="382"/>
      <c r="W74" s="462"/>
      <c r="X74" s="547"/>
    </row>
    <row r="75" spans="1:24" ht="14.25" customHeight="1">
      <c r="B75" s="281">
        <v>7</v>
      </c>
      <c r="C75" s="213" t="s">
        <v>346</v>
      </c>
      <c r="D75" s="282"/>
      <c r="E75" s="360"/>
      <c r="F75" s="366"/>
      <c r="G75" s="283"/>
      <c r="H75" s="558"/>
      <c r="I75" s="698">
        <f>SUM(G75:G82)</f>
        <v>0</v>
      </c>
      <c r="J75" s="701">
        <f>F176</f>
        <v>0</v>
      </c>
      <c r="K75" s="189"/>
      <c r="L75" s="281">
        <v>7</v>
      </c>
      <c r="M75" s="213" t="s">
        <v>347</v>
      </c>
      <c r="N75" s="282"/>
      <c r="O75" s="360"/>
      <c r="P75" s="366"/>
      <c r="Q75" s="283"/>
      <c r="R75" s="480"/>
      <c r="S75" s="511"/>
      <c r="T75" s="421"/>
      <c r="U75" s="524"/>
      <c r="V75" s="719">
        <f>J75-SUM(U75:U82)</f>
        <v>0</v>
      </c>
      <c r="W75" s="463"/>
      <c r="X75" s="698">
        <f>SUM(Q75:Q82)</f>
        <v>0</v>
      </c>
    </row>
    <row r="76" spans="1:24" ht="14.25" customHeight="1">
      <c r="B76" s="284">
        <v>7</v>
      </c>
      <c r="C76" s="285"/>
      <c r="D76" s="286"/>
      <c r="E76" s="307"/>
      <c r="F76" s="343"/>
      <c r="G76" s="287"/>
      <c r="H76" s="542"/>
      <c r="I76" s="699"/>
      <c r="J76" s="702"/>
      <c r="K76" s="192"/>
      <c r="L76" s="284">
        <v>7</v>
      </c>
      <c r="M76" s="285" t="s">
        <v>347</v>
      </c>
      <c r="N76" s="286"/>
      <c r="O76" s="307"/>
      <c r="P76" s="343"/>
      <c r="Q76" s="287"/>
      <c r="R76" s="470"/>
      <c r="S76" s="501"/>
      <c r="T76" s="412"/>
      <c r="U76" s="397"/>
      <c r="V76" s="720"/>
      <c r="W76" s="454"/>
      <c r="X76" s="699"/>
    </row>
    <row r="77" spans="1:24" ht="14.25" customHeight="1">
      <c r="B77" s="284">
        <v>7</v>
      </c>
      <c r="C77" s="285"/>
      <c r="D77" s="286"/>
      <c r="E77" s="307"/>
      <c r="F77" s="343"/>
      <c r="G77" s="287"/>
      <c r="H77" s="542"/>
      <c r="I77" s="699"/>
      <c r="J77" s="702"/>
      <c r="K77" s="192"/>
      <c r="L77" s="284">
        <v>7</v>
      </c>
      <c r="M77" s="285" t="s">
        <v>347</v>
      </c>
      <c r="N77" s="286"/>
      <c r="O77" s="307"/>
      <c r="P77" s="343"/>
      <c r="Q77" s="287"/>
      <c r="R77" s="470"/>
      <c r="S77" s="501"/>
      <c r="T77" s="412"/>
      <c r="U77" s="397"/>
      <c r="V77" s="720"/>
      <c r="W77" s="454"/>
      <c r="X77" s="699"/>
    </row>
    <row r="78" spans="1:24" ht="14.25" customHeight="1">
      <c r="B78" s="284">
        <v>7</v>
      </c>
      <c r="C78" s="285"/>
      <c r="D78" s="286"/>
      <c r="E78" s="307"/>
      <c r="F78" s="343"/>
      <c r="G78" s="287"/>
      <c r="H78" s="542"/>
      <c r="I78" s="699"/>
      <c r="J78" s="702"/>
      <c r="K78" s="192"/>
      <c r="L78" s="284">
        <v>7</v>
      </c>
      <c r="M78" s="285" t="s">
        <v>347</v>
      </c>
      <c r="N78" s="286"/>
      <c r="O78" s="307"/>
      <c r="P78" s="343"/>
      <c r="Q78" s="287"/>
      <c r="R78" s="470"/>
      <c r="S78" s="501"/>
      <c r="T78" s="412"/>
      <c r="U78" s="397"/>
      <c r="V78" s="720"/>
      <c r="W78" s="454"/>
      <c r="X78" s="699"/>
    </row>
    <row r="79" spans="1:24" ht="14.25" customHeight="1">
      <c r="B79" s="284">
        <v>7</v>
      </c>
      <c r="C79" s="285"/>
      <c r="D79" s="286"/>
      <c r="E79" s="307"/>
      <c r="F79" s="343"/>
      <c r="G79" s="287"/>
      <c r="H79" s="542"/>
      <c r="I79" s="699"/>
      <c r="J79" s="702"/>
      <c r="K79" s="192"/>
      <c r="L79" s="284">
        <v>7</v>
      </c>
      <c r="M79" s="285" t="s">
        <v>347</v>
      </c>
      <c r="N79" s="286"/>
      <c r="O79" s="307"/>
      <c r="P79" s="343"/>
      <c r="Q79" s="287"/>
      <c r="R79" s="470"/>
      <c r="S79" s="501"/>
      <c r="T79" s="412"/>
      <c r="U79" s="397"/>
      <c r="V79" s="720"/>
      <c r="W79" s="454"/>
      <c r="X79" s="699"/>
    </row>
    <row r="80" spans="1:24" ht="14.25" customHeight="1">
      <c r="B80" s="284">
        <v>7</v>
      </c>
      <c r="C80" s="285"/>
      <c r="D80" s="286"/>
      <c r="E80" s="307"/>
      <c r="F80" s="343"/>
      <c r="G80" s="287"/>
      <c r="H80" s="542"/>
      <c r="I80" s="699"/>
      <c r="J80" s="702"/>
      <c r="K80" s="192"/>
      <c r="L80" s="284">
        <v>7</v>
      </c>
      <c r="M80" s="285" t="s">
        <v>347</v>
      </c>
      <c r="N80" s="286"/>
      <c r="O80" s="434"/>
      <c r="P80" s="343"/>
      <c r="Q80" s="287"/>
      <c r="R80" s="470"/>
      <c r="S80" s="501"/>
      <c r="T80" s="412"/>
      <c r="U80" s="397"/>
      <c r="V80" s="720"/>
      <c r="W80" s="454"/>
      <c r="X80" s="699"/>
    </row>
    <row r="81" spans="1:24" ht="14.25" customHeight="1">
      <c r="B81" s="284">
        <v>7</v>
      </c>
      <c r="C81" s="285"/>
      <c r="D81" s="286"/>
      <c r="E81" s="307"/>
      <c r="F81" s="343"/>
      <c r="G81" s="287"/>
      <c r="H81" s="542"/>
      <c r="I81" s="699"/>
      <c r="J81" s="702"/>
      <c r="K81" s="192"/>
      <c r="L81" s="284">
        <v>7</v>
      </c>
      <c r="M81" s="285" t="s">
        <v>347</v>
      </c>
      <c r="N81" s="286"/>
      <c r="O81" s="434"/>
      <c r="P81" s="343"/>
      <c r="Q81" s="287"/>
      <c r="R81" s="470"/>
      <c r="S81" s="501"/>
      <c r="T81" s="412"/>
      <c r="U81" s="397"/>
      <c r="V81" s="720"/>
      <c r="W81" s="454"/>
      <c r="X81" s="699"/>
    </row>
    <row r="82" spans="1:24" ht="15" customHeight="1" thickBot="1">
      <c r="B82" s="220">
        <v>7</v>
      </c>
      <c r="C82" s="241"/>
      <c r="D82" s="233"/>
      <c r="E82" s="222"/>
      <c r="F82" s="358"/>
      <c r="G82" s="234"/>
      <c r="H82" s="559"/>
      <c r="I82" s="700"/>
      <c r="J82" s="703"/>
      <c r="K82" s="193"/>
      <c r="L82" s="220">
        <v>7</v>
      </c>
      <c r="M82" s="241" t="s">
        <v>347</v>
      </c>
      <c r="N82" s="233"/>
      <c r="O82" s="435"/>
      <c r="P82" s="358"/>
      <c r="Q82" s="234"/>
      <c r="R82" s="471"/>
      <c r="S82" s="502"/>
      <c r="T82" s="413"/>
      <c r="U82" s="398"/>
      <c r="V82" s="721"/>
      <c r="W82" s="455"/>
      <c r="X82" s="700"/>
    </row>
    <row r="83" spans="1:24" ht="14.4" thickBot="1">
      <c r="A83" s="4"/>
      <c r="B83" s="194"/>
      <c r="C83" s="235"/>
      <c r="D83" s="212"/>
      <c r="E83" s="195"/>
      <c r="F83" s="354"/>
      <c r="G83" s="196"/>
      <c r="H83" s="553"/>
      <c r="I83" s="547"/>
      <c r="J83" s="184"/>
      <c r="K83" s="4"/>
      <c r="L83" s="194"/>
      <c r="M83" s="235"/>
      <c r="N83" s="212"/>
      <c r="O83" s="436"/>
      <c r="P83" s="354"/>
      <c r="Q83" s="196"/>
      <c r="R83" s="472"/>
      <c r="S83" s="503"/>
      <c r="T83" s="414"/>
      <c r="U83" s="403"/>
      <c r="V83" s="385"/>
      <c r="W83" s="456"/>
      <c r="X83" s="547"/>
    </row>
    <row r="84" spans="1:24" ht="14.25" customHeight="1">
      <c r="B84" s="236">
        <v>8</v>
      </c>
      <c r="C84" s="198" t="s">
        <v>348</v>
      </c>
      <c r="D84" s="237"/>
      <c r="E84" s="361"/>
      <c r="F84" s="315"/>
      <c r="G84" s="238"/>
      <c r="H84" s="554"/>
      <c r="I84" s="707">
        <f>SUM(G84:G92)</f>
        <v>0</v>
      </c>
      <c r="J84" s="710">
        <v>0</v>
      </c>
      <c r="K84" s="201"/>
      <c r="L84" s="236">
        <v>8</v>
      </c>
      <c r="M84" s="324" t="s">
        <v>349</v>
      </c>
      <c r="N84" s="237"/>
      <c r="O84" s="361"/>
      <c r="P84" s="315"/>
      <c r="Q84" s="238"/>
      <c r="R84" s="473"/>
      <c r="S84" s="504"/>
      <c r="T84" s="415"/>
      <c r="U84" s="400"/>
      <c r="V84" s="737">
        <f>J84-SUM(U84:U92)</f>
        <v>0</v>
      </c>
      <c r="W84" s="457"/>
      <c r="X84" s="707">
        <f>SUM(Q84:Q92)</f>
        <v>26057.31</v>
      </c>
    </row>
    <row r="85" spans="1:24" ht="14.25" customHeight="1">
      <c r="B85" s="226">
        <v>8</v>
      </c>
      <c r="C85" s="227"/>
      <c r="D85" s="239"/>
      <c r="E85" s="314"/>
      <c r="F85" s="359"/>
      <c r="G85" s="228"/>
      <c r="H85" s="545"/>
      <c r="I85" s="708"/>
      <c r="J85" s="711"/>
      <c r="K85" s="205"/>
      <c r="L85" s="226">
        <v>8</v>
      </c>
      <c r="M85" s="332" t="s">
        <v>349</v>
      </c>
      <c r="N85" s="239"/>
      <c r="O85" s="314"/>
      <c r="P85" s="359"/>
      <c r="Q85" s="228"/>
      <c r="R85" s="474"/>
      <c r="S85" s="505"/>
      <c r="T85" s="416"/>
      <c r="U85" s="401"/>
      <c r="V85" s="738"/>
      <c r="W85" s="458"/>
      <c r="X85" s="708"/>
    </row>
    <row r="86" spans="1:24" ht="14.25" customHeight="1">
      <c r="B86" s="226">
        <v>8</v>
      </c>
      <c r="C86" s="227"/>
      <c r="D86" s="239"/>
      <c r="E86" s="314"/>
      <c r="F86" s="359"/>
      <c r="G86" s="228"/>
      <c r="H86" s="545"/>
      <c r="I86" s="708"/>
      <c r="J86" s="711"/>
      <c r="K86" s="205"/>
      <c r="L86" s="226">
        <v>8</v>
      </c>
      <c r="M86" s="332" t="s">
        <v>349</v>
      </c>
      <c r="N86" s="239"/>
      <c r="O86" s="314"/>
      <c r="P86" s="359"/>
      <c r="Q86" s="228"/>
      <c r="R86" s="474"/>
      <c r="S86" s="505"/>
      <c r="T86" s="416"/>
      <c r="U86" s="401"/>
      <c r="V86" s="738"/>
      <c r="W86" s="458"/>
      <c r="X86" s="708"/>
    </row>
    <row r="87" spans="1:24" ht="14.25" customHeight="1">
      <c r="B87" s="226">
        <v>8</v>
      </c>
      <c r="C87" s="227"/>
      <c r="D87" s="239"/>
      <c r="E87" s="314"/>
      <c r="F87" s="359"/>
      <c r="G87" s="228"/>
      <c r="H87" s="545"/>
      <c r="I87" s="708"/>
      <c r="J87" s="711"/>
      <c r="K87" s="205"/>
      <c r="L87" s="226">
        <v>8</v>
      </c>
      <c r="M87" s="332" t="s">
        <v>349</v>
      </c>
      <c r="N87" s="239" t="s">
        <v>350</v>
      </c>
      <c r="O87" s="646">
        <v>0.7</v>
      </c>
      <c r="P87" s="359">
        <v>18231.22</v>
      </c>
      <c r="Q87" s="228">
        <f>O87*P87</f>
        <v>12761.853999999999</v>
      </c>
      <c r="R87" s="722" t="s">
        <v>351</v>
      </c>
      <c r="S87" s="505" t="s">
        <v>352</v>
      </c>
      <c r="T87" s="634">
        <v>45991</v>
      </c>
      <c r="U87" s="401"/>
      <c r="V87" s="738"/>
      <c r="W87" s="648">
        <v>45980</v>
      </c>
      <c r="X87" s="708"/>
    </row>
    <row r="88" spans="1:24" ht="14.25" customHeight="1">
      <c r="B88" s="226">
        <v>8</v>
      </c>
      <c r="C88" s="227"/>
      <c r="D88" s="239"/>
      <c r="E88" s="314"/>
      <c r="F88" s="359"/>
      <c r="G88" s="228"/>
      <c r="H88" s="545"/>
      <c r="I88" s="708"/>
      <c r="J88" s="711"/>
      <c r="K88" s="205"/>
      <c r="L88" s="226">
        <v>8</v>
      </c>
      <c r="M88" s="332" t="s">
        <v>349</v>
      </c>
      <c r="N88" s="239"/>
      <c r="O88" s="646">
        <v>0.3</v>
      </c>
      <c r="P88" s="359"/>
      <c r="Q88" s="228">
        <f>O88*P87</f>
        <v>5469.366</v>
      </c>
      <c r="R88" s="724"/>
      <c r="S88" s="505" t="s">
        <v>352</v>
      </c>
      <c r="T88" s="634">
        <v>45991</v>
      </c>
      <c r="U88" s="401"/>
      <c r="V88" s="738"/>
      <c r="W88" s="644">
        <v>46009</v>
      </c>
      <c r="X88" s="708"/>
    </row>
    <row r="89" spans="1:24" ht="14.25" customHeight="1">
      <c r="B89" s="226">
        <v>8</v>
      </c>
      <c r="C89" s="227"/>
      <c r="D89" s="239"/>
      <c r="E89" s="314"/>
      <c r="F89" s="359"/>
      <c r="G89" s="228"/>
      <c r="H89" s="545"/>
      <c r="I89" s="708"/>
      <c r="J89" s="711"/>
      <c r="K89" s="205"/>
      <c r="L89" s="226">
        <v>8</v>
      </c>
      <c r="M89" s="332" t="s">
        <v>349</v>
      </c>
      <c r="N89" s="239" t="s">
        <v>353</v>
      </c>
      <c r="O89" s="441"/>
      <c r="P89" s="534"/>
      <c r="Q89" s="228">
        <v>7826.09</v>
      </c>
      <c r="R89" s="474"/>
      <c r="S89" s="505" t="s">
        <v>354</v>
      </c>
      <c r="T89" s="545">
        <v>46022</v>
      </c>
      <c r="U89" s="401"/>
      <c r="V89" s="738"/>
      <c r="W89" s="644">
        <v>46010</v>
      </c>
      <c r="X89" s="708"/>
    </row>
    <row r="90" spans="1:24" ht="14.25" customHeight="1">
      <c r="B90" s="226">
        <v>8</v>
      </c>
      <c r="C90" s="227"/>
      <c r="D90" s="239"/>
      <c r="E90" s="314"/>
      <c r="F90" s="359"/>
      <c r="G90" s="228"/>
      <c r="H90" s="545"/>
      <c r="I90" s="708"/>
      <c r="J90" s="711"/>
      <c r="K90" s="205"/>
      <c r="L90" s="226">
        <v>8</v>
      </c>
      <c r="M90" s="332" t="s">
        <v>349</v>
      </c>
      <c r="N90" s="239"/>
      <c r="O90" s="441"/>
      <c r="P90" s="359"/>
      <c r="Q90" s="228"/>
      <c r="R90" s="474"/>
      <c r="S90" s="505"/>
      <c r="T90" s="545"/>
      <c r="U90" s="401"/>
      <c r="V90" s="738"/>
      <c r="W90" s="458"/>
      <c r="X90" s="708"/>
    </row>
    <row r="91" spans="1:24" ht="14.25" customHeight="1">
      <c r="B91" s="226">
        <v>8</v>
      </c>
      <c r="C91" s="227"/>
      <c r="D91" s="239"/>
      <c r="E91" s="314"/>
      <c r="F91" s="359"/>
      <c r="G91" s="228"/>
      <c r="H91" s="560"/>
      <c r="I91" s="708"/>
      <c r="J91" s="711"/>
      <c r="K91" s="205"/>
      <c r="L91" s="226">
        <v>8</v>
      </c>
      <c r="M91" s="332" t="s">
        <v>349</v>
      </c>
      <c r="N91" s="239"/>
      <c r="O91" s="441"/>
      <c r="P91" s="359"/>
      <c r="Q91" s="228"/>
      <c r="R91" s="478"/>
      <c r="S91" s="509"/>
      <c r="T91" s="419"/>
      <c r="U91" s="406"/>
      <c r="V91" s="738"/>
      <c r="W91" s="461"/>
      <c r="X91" s="708"/>
    </row>
    <row r="92" spans="1:24" ht="15" customHeight="1" thickBot="1">
      <c r="B92" s="226">
        <v>8</v>
      </c>
      <c r="C92" s="207"/>
      <c r="D92" s="208"/>
      <c r="E92" s="356"/>
      <c r="F92" s="353"/>
      <c r="G92" s="209"/>
      <c r="H92" s="555"/>
      <c r="I92" s="709"/>
      <c r="J92" s="712"/>
      <c r="K92" s="210"/>
      <c r="L92" s="206">
        <v>8</v>
      </c>
      <c r="M92" s="331" t="s">
        <v>349</v>
      </c>
      <c r="N92" s="208"/>
      <c r="O92" s="442"/>
      <c r="P92" s="353"/>
      <c r="Q92" s="209"/>
      <c r="R92" s="475"/>
      <c r="S92" s="506"/>
      <c r="T92" s="417"/>
      <c r="U92" s="402"/>
      <c r="V92" s="739"/>
      <c r="W92" s="459"/>
      <c r="X92" s="709"/>
    </row>
    <row r="93" spans="1:24" ht="22.5" customHeight="1" thickBot="1">
      <c r="A93" s="4"/>
      <c r="B93" s="240"/>
      <c r="C93" s="76"/>
      <c r="D93" s="76"/>
      <c r="E93" s="76"/>
      <c r="F93" s="367"/>
      <c r="G93" s="76"/>
      <c r="H93" s="422"/>
      <c r="I93" s="338"/>
      <c r="J93" s="339"/>
      <c r="K93" s="76" t="s">
        <v>355</v>
      </c>
      <c r="L93" s="240"/>
      <c r="M93" s="76"/>
      <c r="N93" s="76"/>
      <c r="O93" s="443"/>
      <c r="P93" s="367"/>
      <c r="Q93" s="76"/>
      <c r="R93" s="481"/>
      <c r="S93" s="240"/>
      <c r="T93" s="422" t="str">
        <f t="shared" ref="T93:T146" si="16">IF(W93&gt;1,EOMONTH(W93,0),"")</f>
        <v/>
      </c>
      <c r="U93" s="387"/>
      <c r="V93" s="387"/>
      <c r="W93" s="427"/>
      <c r="X93" s="614"/>
    </row>
    <row r="94" spans="1:24" ht="15" customHeight="1">
      <c r="B94" s="215">
        <v>9</v>
      </c>
      <c r="C94" s="341" t="s">
        <v>356</v>
      </c>
      <c r="D94" s="231" t="s">
        <v>357</v>
      </c>
      <c r="E94" s="218"/>
      <c r="F94" s="336"/>
      <c r="G94" s="495">
        <f>D180</f>
        <v>62620</v>
      </c>
      <c r="H94" s="543">
        <f>'Project Plan'!G21+7</f>
        <v>45981</v>
      </c>
      <c r="I94" s="731">
        <f>SUM(G94:G106)</f>
        <v>196950</v>
      </c>
      <c r="J94" s="701">
        <f>F180+F181</f>
        <v>218834</v>
      </c>
      <c r="K94" s="192"/>
      <c r="L94" s="215">
        <v>9</v>
      </c>
      <c r="M94" s="322" t="s">
        <v>358</v>
      </c>
      <c r="N94" s="231"/>
      <c r="O94" s="433"/>
      <c r="P94" s="336"/>
      <c r="Q94" s="219"/>
      <c r="R94" s="476"/>
      <c r="S94" s="507"/>
      <c r="T94" s="418" t="str">
        <f t="shared" si="16"/>
        <v/>
      </c>
      <c r="U94" s="404">
        <f t="shared" ref="U94:U106" si="17">(Q94/$X$94*$J$94)</f>
        <v>0</v>
      </c>
      <c r="V94" s="713">
        <f>J94-SUM(U94:U106)</f>
        <v>0</v>
      </c>
      <c r="W94" s="460"/>
      <c r="X94" s="698">
        <f>SUM(Q94:Q106)</f>
        <v>311148.24999999994</v>
      </c>
    </row>
    <row r="95" spans="1:24" ht="15" customHeight="1">
      <c r="B95" s="215">
        <v>9</v>
      </c>
      <c r="C95" s="341"/>
      <c r="D95" s="232" t="s">
        <v>359</v>
      </c>
      <c r="E95" s="218"/>
      <c r="F95" s="357"/>
      <c r="G95" s="495">
        <f>D181</f>
        <v>134330</v>
      </c>
      <c r="H95" s="542">
        <f>'Project Plan'!G28+7</f>
        <v>45987</v>
      </c>
      <c r="I95" s="732"/>
      <c r="J95" s="702"/>
      <c r="K95" s="192"/>
      <c r="L95" s="215">
        <v>9</v>
      </c>
      <c r="M95" s="322" t="s">
        <v>358</v>
      </c>
      <c r="N95" s="232" t="s">
        <v>306</v>
      </c>
      <c r="O95" s="450">
        <f>Z31+Z30</f>
        <v>311148.25</v>
      </c>
      <c r="P95" s="451">
        <v>0.1</v>
      </c>
      <c r="Q95" s="219">
        <f>$O$95*P95</f>
        <v>31114.825000000001</v>
      </c>
      <c r="R95" s="745" t="s">
        <v>307</v>
      </c>
      <c r="S95" s="500" t="s">
        <v>308</v>
      </c>
      <c r="T95" s="636">
        <v>45961</v>
      </c>
      <c r="U95" s="638">
        <v>21883.400000000005</v>
      </c>
      <c r="V95" s="714"/>
      <c r="W95" s="643">
        <f>'Project Plan'!I19</f>
        <v>45967</v>
      </c>
      <c r="X95" s="699"/>
    </row>
    <row r="96" spans="1:24" ht="15" customHeight="1">
      <c r="B96" s="284">
        <v>9</v>
      </c>
      <c r="C96" s="393"/>
      <c r="D96" s="286"/>
      <c r="E96" s="307"/>
      <c r="F96" s="343"/>
      <c r="G96" s="287"/>
      <c r="H96" s="551"/>
      <c r="I96" s="732"/>
      <c r="J96" s="702"/>
      <c r="K96" s="192"/>
      <c r="L96" s="284">
        <v>9</v>
      </c>
      <c r="M96" s="394" t="s">
        <v>358</v>
      </c>
      <c r="N96" s="286" t="s">
        <v>147</v>
      </c>
      <c r="O96" s="434"/>
      <c r="P96" s="449">
        <v>0.15</v>
      </c>
      <c r="Q96" s="219">
        <f t="shared" ref="Q96:Q103" si="18">$O$95*P96</f>
        <v>46672.237499999996</v>
      </c>
      <c r="R96" s="746"/>
      <c r="S96" s="501" t="s">
        <v>310</v>
      </c>
      <c r="T96" s="551">
        <v>45991</v>
      </c>
      <c r="U96" s="638">
        <v>32825.100000000006</v>
      </c>
      <c r="V96" s="714"/>
      <c r="W96" s="649">
        <v>45989</v>
      </c>
      <c r="X96" s="699"/>
    </row>
    <row r="97" spans="1:24" ht="15" customHeight="1">
      <c r="B97" s="284">
        <v>9</v>
      </c>
      <c r="C97" s="393"/>
      <c r="D97" s="286"/>
      <c r="E97" s="307"/>
      <c r="F97" s="343"/>
      <c r="G97" s="287"/>
      <c r="H97" s="551"/>
      <c r="I97" s="732"/>
      <c r="J97" s="702"/>
      <c r="K97" s="192"/>
      <c r="L97" s="284">
        <v>9</v>
      </c>
      <c r="M97" s="394" t="s">
        <v>358</v>
      </c>
      <c r="N97" s="286" t="s">
        <v>312</v>
      </c>
      <c r="O97" s="434"/>
      <c r="P97" s="449">
        <v>0.2</v>
      </c>
      <c r="Q97" s="219">
        <f t="shared" si="18"/>
        <v>62229.65</v>
      </c>
      <c r="R97" s="746"/>
      <c r="S97" s="501" t="s">
        <v>313</v>
      </c>
      <c r="T97" s="551">
        <v>45991</v>
      </c>
      <c r="U97" s="638">
        <v>43766.80000000001</v>
      </c>
      <c r="V97" s="714"/>
      <c r="W97" s="649">
        <v>45989</v>
      </c>
      <c r="X97" s="699"/>
    </row>
    <row r="98" spans="1:24" ht="15" customHeight="1">
      <c r="B98" s="284">
        <v>9</v>
      </c>
      <c r="C98" s="393"/>
      <c r="D98" s="286"/>
      <c r="E98" s="307"/>
      <c r="F98" s="343"/>
      <c r="G98" s="287"/>
      <c r="H98" s="551"/>
      <c r="I98" s="732"/>
      <c r="J98" s="702"/>
      <c r="K98" s="192"/>
      <c r="L98" s="284">
        <v>9</v>
      </c>
      <c r="M98" s="394" t="s">
        <v>358</v>
      </c>
      <c r="N98" s="286" t="s">
        <v>314</v>
      </c>
      <c r="O98" s="434"/>
      <c r="P98" s="449">
        <v>0.2</v>
      </c>
      <c r="Q98" s="219">
        <f t="shared" si="18"/>
        <v>62229.65</v>
      </c>
      <c r="R98" s="746"/>
      <c r="S98" s="501" t="s">
        <v>313</v>
      </c>
      <c r="T98" s="551">
        <v>45991</v>
      </c>
      <c r="U98" s="638">
        <v>43766.80000000001</v>
      </c>
      <c r="V98" s="714"/>
      <c r="W98" s="649">
        <v>45989</v>
      </c>
      <c r="X98" s="699"/>
    </row>
    <row r="99" spans="1:24" ht="15" customHeight="1">
      <c r="B99" s="284"/>
      <c r="C99" s="393"/>
      <c r="D99" s="286"/>
      <c r="E99" s="307"/>
      <c r="F99" s="343"/>
      <c r="G99" s="287"/>
      <c r="H99" s="551"/>
      <c r="I99" s="732"/>
      <c r="J99" s="702"/>
      <c r="K99" s="192"/>
      <c r="L99" s="284">
        <v>9</v>
      </c>
      <c r="M99" s="394" t="s">
        <v>358</v>
      </c>
      <c r="N99" s="286" t="s">
        <v>314</v>
      </c>
      <c r="O99" s="434"/>
      <c r="P99" s="449">
        <v>0.05</v>
      </c>
      <c r="Q99" s="219">
        <f t="shared" ref="Q99" si="19">$O$95*P99</f>
        <v>15557.4125</v>
      </c>
      <c r="R99" s="746"/>
      <c r="S99" s="501" t="s">
        <v>316</v>
      </c>
      <c r="T99" s="551">
        <v>46053</v>
      </c>
      <c r="U99" s="397">
        <f t="shared" si="17"/>
        <v>10941.700000000003</v>
      </c>
      <c r="V99" s="714"/>
      <c r="W99" s="649">
        <v>46053</v>
      </c>
      <c r="X99" s="699"/>
    </row>
    <row r="100" spans="1:24" ht="15" customHeight="1">
      <c r="B100" s="284">
        <v>9</v>
      </c>
      <c r="C100" s="393"/>
      <c r="D100" s="286"/>
      <c r="E100" s="307"/>
      <c r="F100" s="343"/>
      <c r="G100" s="287"/>
      <c r="H100" s="551"/>
      <c r="I100" s="732"/>
      <c r="J100" s="702"/>
      <c r="K100" s="192"/>
      <c r="L100" s="284">
        <v>9</v>
      </c>
      <c r="M100" s="394" t="s">
        <v>358</v>
      </c>
      <c r="N100" s="286" t="s">
        <v>317</v>
      </c>
      <c r="O100" s="434"/>
      <c r="P100" s="449">
        <v>0.1</v>
      </c>
      <c r="Q100" s="219">
        <f t="shared" si="18"/>
        <v>31114.825000000001</v>
      </c>
      <c r="R100" s="746"/>
      <c r="S100" s="501" t="s">
        <v>316</v>
      </c>
      <c r="T100" s="551">
        <v>46053</v>
      </c>
      <c r="U100" s="397">
        <f t="shared" si="17"/>
        <v>21883.400000000005</v>
      </c>
      <c r="V100" s="714"/>
      <c r="W100" s="649">
        <f>W99+5</f>
        <v>46058</v>
      </c>
      <c r="X100" s="699"/>
    </row>
    <row r="101" spans="1:24" ht="15" customHeight="1">
      <c r="B101" s="284">
        <v>9</v>
      </c>
      <c r="C101" s="393"/>
      <c r="D101" s="286"/>
      <c r="E101" s="307"/>
      <c r="F101" s="343"/>
      <c r="G101" s="287"/>
      <c r="H101" s="551"/>
      <c r="I101" s="732"/>
      <c r="J101" s="702"/>
      <c r="K101" s="192"/>
      <c r="L101" s="284">
        <v>9</v>
      </c>
      <c r="M101" s="394" t="s">
        <v>358</v>
      </c>
      <c r="N101" s="286" t="s">
        <v>319</v>
      </c>
      <c r="O101" s="434"/>
      <c r="P101" s="449">
        <v>0.1</v>
      </c>
      <c r="Q101" s="219">
        <f t="shared" si="18"/>
        <v>31114.825000000001</v>
      </c>
      <c r="R101" s="746"/>
      <c r="S101" s="501" t="s">
        <v>316</v>
      </c>
      <c r="T101" s="551">
        <v>46053</v>
      </c>
      <c r="U101" s="397">
        <f t="shared" si="17"/>
        <v>21883.400000000005</v>
      </c>
      <c r="V101" s="714"/>
      <c r="W101" s="454">
        <f>W100+7</f>
        <v>46065</v>
      </c>
      <c r="X101" s="699"/>
    </row>
    <row r="102" spans="1:24" ht="15" customHeight="1">
      <c r="B102" s="284">
        <v>9</v>
      </c>
      <c r="C102" s="393"/>
      <c r="D102" s="286"/>
      <c r="E102" s="307"/>
      <c r="F102" s="343"/>
      <c r="G102" s="287"/>
      <c r="H102" s="551"/>
      <c r="I102" s="732"/>
      <c r="J102" s="702"/>
      <c r="K102" s="192"/>
      <c r="L102" s="284">
        <v>9</v>
      </c>
      <c r="M102" s="394" t="s">
        <v>358</v>
      </c>
      <c r="N102" s="286" t="s">
        <v>320</v>
      </c>
      <c r="O102" s="434"/>
      <c r="P102" s="449">
        <v>0.05</v>
      </c>
      <c r="Q102" s="219">
        <f t="shared" si="18"/>
        <v>15557.4125</v>
      </c>
      <c r="R102" s="746"/>
      <c r="S102" s="501" t="s">
        <v>453</v>
      </c>
      <c r="T102" s="551">
        <v>46053</v>
      </c>
      <c r="U102" s="397">
        <f t="shared" si="17"/>
        <v>10941.700000000003</v>
      </c>
      <c r="V102" s="714"/>
      <c r="W102" s="454">
        <f>W101</f>
        <v>46065</v>
      </c>
      <c r="X102" s="699"/>
    </row>
    <row r="103" spans="1:24" ht="15" customHeight="1">
      <c r="B103" s="284">
        <v>9</v>
      </c>
      <c r="C103" s="393"/>
      <c r="D103" s="286"/>
      <c r="E103" s="307"/>
      <c r="F103" s="343"/>
      <c r="G103" s="287"/>
      <c r="H103" s="551"/>
      <c r="I103" s="732"/>
      <c r="J103" s="702"/>
      <c r="K103" s="192"/>
      <c r="L103" s="284">
        <v>9</v>
      </c>
      <c r="M103" s="394" t="s">
        <v>358</v>
      </c>
      <c r="N103" s="286" t="s">
        <v>321</v>
      </c>
      <c r="O103" s="434"/>
      <c r="P103" s="449">
        <v>0.05</v>
      </c>
      <c r="Q103" s="219">
        <f t="shared" si="18"/>
        <v>15557.4125</v>
      </c>
      <c r="R103" s="747"/>
      <c r="S103" s="501" t="s">
        <v>453</v>
      </c>
      <c r="T103" s="551">
        <v>46053</v>
      </c>
      <c r="U103" s="397">
        <f t="shared" si="17"/>
        <v>10941.700000000003</v>
      </c>
      <c r="V103" s="714"/>
      <c r="W103" s="454">
        <f>W102+30</f>
        <v>46095</v>
      </c>
      <c r="X103" s="699"/>
    </row>
    <row r="104" spans="1:24" ht="15" customHeight="1">
      <c r="B104" s="284">
        <v>9</v>
      </c>
      <c r="C104" s="393"/>
      <c r="D104" s="286"/>
      <c r="E104" s="307"/>
      <c r="F104" s="343"/>
      <c r="G104" s="287"/>
      <c r="H104" s="551"/>
      <c r="I104" s="732"/>
      <c r="J104" s="702"/>
      <c r="K104" s="192"/>
      <c r="L104" s="284">
        <v>9</v>
      </c>
      <c r="M104" s="394" t="s">
        <v>358</v>
      </c>
      <c r="N104" s="286"/>
      <c r="O104" s="434"/>
      <c r="P104" s="343"/>
      <c r="Q104" s="287"/>
      <c r="R104" s="470"/>
      <c r="S104" s="501"/>
      <c r="T104" s="412" t="str">
        <f t="shared" si="16"/>
        <v/>
      </c>
      <c r="U104" s="397">
        <f t="shared" si="17"/>
        <v>0</v>
      </c>
      <c r="V104" s="714"/>
      <c r="W104" s="454"/>
      <c r="X104" s="699"/>
    </row>
    <row r="105" spans="1:24" ht="15" customHeight="1">
      <c r="B105" s="284">
        <v>9</v>
      </c>
      <c r="C105" s="393"/>
      <c r="D105" s="286"/>
      <c r="E105" s="307"/>
      <c r="F105" s="343"/>
      <c r="G105" s="287"/>
      <c r="H105" s="551"/>
      <c r="I105" s="732"/>
      <c r="J105" s="702"/>
      <c r="K105" s="192"/>
      <c r="L105" s="284">
        <v>9</v>
      </c>
      <c r="M105" s="394" t="s">
        <v>358</v>
      </c>
      <c r="N105" s="286"/>
      <c r="O105" s="434"/>
      <c r="P105" s="343"/>
      <c r="Q105" s="287"/>
      <c r="R105" s="470"/>
      <c r="S105" s="501"/>
      <c r="T105" s="412"/>
      <c r="U105" s="397">
        <f t="shared" si="17"/>
        <v>0</v>
      </c>
      <c r="V105" s="714"/>
      <c r="W105" s="454"/>
      <c r="X105" s="699"/>
    </row>
    <row r="106" spans="1:24" ht="15" customHeight="1" thickBot="1">
      <c r="B106" s="220">
        <v>9</v>
      </c>
      <c r="C106" s="337"/>
      <c r="D106" s="233"/>
      <c r="E106" s="222"/>
      <c r="F106" s="358"/>
      <c r="G106" s="234"/>
      <c r="H106" s="552"/>
      <c r="I106" s="733"/>
      <c r="J106" s="703"/>
      <c r="K106" s="267"/>
      <c r="L106" s="220">
        <v>9</v>
      </c>
      <c r="M106" s="340" t="s">
        <v>358</v>
      </c>
      <c r="N106" s="233"/>
      <c r="O106" s="435"/>
      <c r="P106" s="358"/>
      <c r="Q106" s="234"/>
      <c r="R106" s="471"/>
      <c r="S106" s="502"/>
      <c r="T106" s="413" t="str">
        <f t="shared" si="16"/>
        <v/>
      </c>
      <c r="U106" s="398">
        <f t="shared" si="17"/>
        <v>0</v>
      </c>
      <c r="V106" s="715"/>
      <c r="W106" s="455"/>
      <c r="X106" s="700"/>
    </row>
    <row r="107" spans="1:24" ht="14.4" thickBot="1">
      <c r="A107" s="4"/>
      <c r="B107" s="194"/>
      <c r="C107" s="211"/>
      <c r="D107" s="212"/>
      <c r="E107" s="195"/>
      <c r="F107" s="354"/>
      <c r="G107" s="196"/>
      <c r="H107" s="553"/>
      <c r="I107" s="547"/>
      <c r="J107" s="303"/>
      <c r="K107" s="4"/>
      <c r="L107" s="194"/>
      <c r="M107" s="211"/>
      <c r="N107" s="212"/>
      <c r="O107" s="436"/>
      <c r="P107" s="354"/>
      <c r="Q107" s="196"/>
      <c r="R107" s="472"/>
      <c r="S107" s="503"/>
      <c r="T107" s="414" t="str">
        <f t="shared" si="16"/>
        <v/>
      </c>
      <c r="U107" s="403"/>
      <c r="V107" s="385"/>
      <c r="W107" s="456"/>
      <c r="X107" s="547"/>
    </row>
    <row r="108" spans="1:24" ht="14.25" customHeight="1">
      <c r="B108" s="173">
        <v>10</v>
      </c>
      <c r="C108" s="174" t="s">
        <v>360</v>
      </c>
      <c r="D108" s="174" t="s">
        <v>280</v>
      </c>
      <c r="E108" s="175"/>
      <c r="F108" s="368"/>
      <c r="G108" s="242">
        <f>D184</f>
        <v>8500</v>
      </c>
      <c r="H108" s="561">
        <f>H94</f>
        <v>45981</v>
      </c>
      <c r="I108" s="725">
        <f>SUM(G108:G123)</f>
        <v>56854.45</v>
      </c>
      <c r="J108" s="728">
        <f>F184+F187+F188+F186+F185</f>
        <v>63171</v>
      </c>
      <c r="K108" s="243"/>
      <c r="L108" s="173">
        <v>10</v>
      </c>
      <c r="M108" s="333" t="s">
        <v>361</v>
      </c>
      <c r="N108" s="174" t="s">
        <v>362</v>
      </c>
      <c r="O108" s="444"/>
      <c r="P108" s="368"/>
      <c r="Q108" s="242">
        <v>7150</v>
      </c>
      <c r="R108" s="482"/>
      <c r="S108" s="512" t="s">
        <v>363</v>
      </c>
      <c r="T108" s="632">
        <v>46022</v>
      </c>
      <c r="U108" s="657">
        <v>3700.52</v>
      </c>
      <c r="V108" s="734">
        <f>J108-SUM(U108:U123)</f>
        <v>8.307749085361138E-3</v>
      </c>
      <c r="W108" s="656">
        <v>45995</v>
      </c>
      <c r="X108" s="725">
        <f>SUM(Q108:Q123)</f>
        <v>109850.74000000002</v>
      </c>
    </row>
    <row r="109" spans="1:24" ht="14.25" customHeight="1">
      <c r="B109" s="244">
        <v>10</v>
      </c>
      <c r="C109" s="245"/>
      <c r="D109" s="245" t="s">
        <v>281</v>
      </c>
      <c r="E109" s="246"/>
      <c r="F109" s="369"/>
      <c r="G109" s="247">
        <f>D188</f>
        <v>17326.669999999998</v>
      </c>
      <c r="H109" s="562">
        <f>H94</f>
        <v>45981</v>
      </c>
      <c r="I109" s="726"/>
      <c r="J109" s="729"/>
      <c r="K109" s="176"/>
      <c r="L109" s="244">
        <v>10</v>
      </c>
      <c r="M109" s="334" t="s">
        <v>361</v>
      </c>
      <c r="N109" s="245"/>
      <c r="O109" s="445"/>
      <c r="P109" s="369"/>
      <c r="Q109" s="247"/>
      <c r="R109" s="483"/>
      <c r="S109" s="513"/>
      <c r="T109" s="424" t="str">
        <f t="shared" si="16"/>
        <v/>
      </c>
      <c r="U109" s="523">
        <f t="shared" ref="U109:U122" si="20">(Q109/$X$108*$J$108)</f>
        <v>0</v>
      </c>
      <c r="V109" s="735"/>
      <c r="W109" s="465"/>
      <c r="X109" s="726"/>
    </row>
    <row r="110" spans="1:24" ht="14.25" customHeight="1">
      <c r="B110" s="244">
        <v>10</v>
      </c>
      <c r="C110" s="245"/>
      <c r="D110" s="245" t="s">
        <v>362</v>
      </c>
      <c r="E110" s="246"/>
      <c r="F110" s="369"/>
      <c r="G110" s="247">
        <f>D187</f>
        <v>30000</v>
      </c>
      <c r="H110" s="562">
        <f>H94</f>
        <v>45981</v>
      </c>
      <c r="I110" s="726"/>
      <c r="J110" s="729"/>
      <c r="K110" s="176"/>
      <c r="L110" s="244">
        <v>10</v>
      </c>
      <c r="M110" s="334" t="s">
        <v>361</v>
      </c>
      <c r="N110" s="245"/>
      <c r="O110" s="445"/>
      <c r="P110" s="369"/>
      <c r="Q110" s="247"/>
      <c r="R110" s="483"/>
      <c r="S110" s="513"/>
      <c r="T110" s="424" t="str">
        <f t="shared" si="16"/>
        <v/>
      </c>
      <c r="U110" s="409">
        <f t="shared" si="20"/>
        <v>0</v>
      </c>
      <c r="V110" s="735"/>
      <c r="W110" s="465"/>
      <c r="X110" s="726"/>
    </row>
    <row r="111" spans="1:24" ht="14.25" customHeight="1">
      <c r="B111" s="244">
        <v>10</v>
      </c>
      <c r="C111" s="245"/>
      <c r="D111" s="245" t="s">
        <v>282</v>
      </c>
      <c r="E111" s="246"/>
      <c r="F111" s="369"/>
      <c r="G111" s="247">
        <f>D186</f>
        <v>1027.78</v>
      </c>
      <c r="H111" s="562">
        <f>H94</f>
        <v>45981</v>
      </c>
      <c r="I111" s="726"/>
      <c r="J111" s="729"/>
      <c r="K111" s="176"/>
      <c r="L111" s="244">
        <v>10</v>
      </c>
      <c r="M111" s="334" t="s">
        <v>361</v>
      </c>
      <c r="N111" s="245"/>
      <c r="O111" s="445"/>
      <c r="P111" s="369"/>
      <c r="Q111" s="247"/>
      <c r="R111" s="483"/>
      <c r="S111" s="513"/>
      <c r="T111" s="424" t="str">
        <f t="shared" si="16"/>
        <v/>
      </c>
      <c r="U111" s="409">
        <f t="shared" si="20"/>
        <v>0</v>
      </c>
      <c r="V111" s="735"/>
      <c r="W111" s="465"/>
      <c r="X111" s="726"/>
    </row>
    <row r="112" spans="1:24" ht="14.25" customHeight="1">
      <c r="B112" s="244">
        <v>10</v>
      </c>
      <c r="C112" s="245"/>
      <c r="D112" s="245"/>
      <c r="E112" s="246"/>
      <c r="F112" s="369"/>
      <c r="G112" s="247"/>
      <c r="H112" s="563"/>
      <c r="I112" s="726"/>
      <c r="J112" s="729"/>
      <c r="K112" s="176"/>
      <c r="L112" s="244">
        <v>10</v>
      </c>
      <c r="M112" s="334" t="s">
        <v>361</v>
      </c>
      <c r="N112" s="245" t="s">
        <v>306</v>
      </c>
      <c r="O112" s="494">
        <f>SUM(Z32:Z39)</f>
        <v>102700.75</v>
      </c>
      <c r="P112" s="452">
        <v>0.1</v>
      </c>
      <c r="Q112" s="247">
        <f>$O$112*P112</f>
        <v>10270.075000000001</v>
      </c>
      <c r="R112" s="742" t="s">
        <v>307</v>
      </c>
      <c r="S112" s="514" t="s">
        <v>308</v>
      </c>
      <c r="T112" s="637">
        <v>45961</v>
      </c>
      <c r="U112" s="641">
        <v>6317.1</v>
      </c>
      <c r="V112" s="735"/>
      <c r="W112" s="642">
        <f t="shared" ref="W112:W120" si="21">W95</f>
        <v>45967</v>
      </c>
      <c r="X112" s="726"/>
    </row>
    <row r="113" spans="1:24" ht="14.25" customHeight="1">
      <c r="B113" s="244">
        <v>10</v>
      </c>
      <c r="C113" s="245"/>
      <c r="D113" s="245"/>
      <c r="E113" s="246"/>
      <c r="F113" s="369"/>
      <c r="G113" s="247"/>
      <c r="H113" s="563"/>
      <c r="I113" s="726"/>
      <c r="J113" s="729"/>
      <c r="K113" s="176"/>
      <c r="L113" s="244">
        <v>10</v>
      </c>
      <c r="M113" s="334" t="s">
        <v>361</v>
      </c>
      <c r="N113" s="245" t="s">
        <v>147</v>
      </c>
      <c r="O113" s="445"/>
      <c r="P113" s="452">
        <v>0.15</v>
      </c>
      <c r="Q113" s="247">
        <f t="shared" ref="Q113:Q120" si="22">$O$112*P113</f>
        <v>15405.112499999999</v>
      </c>
      <c r="R113" s="743"/>
      <c r="S113" s="519" t="s">
        <v>310</v>
      </c>
      <c r="T113" s="563">
        <v>45991</v>
      </c>
      <c r="U113" s="641">
        <v>8858.8959268598519</v>
      </c>
      <c r="V113" s="735"/>
      <c r="W113" s="642">
        <f t="shared" si="21"/>
        <v>45989</v>
      </c>
      <c r="X113" s="726"/>
    </row>
    <row r="114" spans="1:24" ht="14.25" customHeight="1">
      <c r="B114" s="244">
        <v>10</v>
      </c>
      <c r="C114" s="245"/>
      <c r="D114" s="245"/>
      <c r="E114" s="246"/>
      <c r="F114" s="369"/>
      <c r="G114" s="247"/>
      <c r="H114" s="563"/>
      <c r="I114" s="726"/>
      <c r="J114" s="729"/>
      <c r="K114" s="176"/>
      <c r="L114" s="244">
        <v>10</v>
      </c>
      <c r="M114" s="334" t="s">
        <v>361</v>
      </c>
      <c r="N114" s="245" t="s">
        <v>312</v>
      </c>
      <c r="O114" s="445"/>
      <c r="P114" s="452">
        <v>0.2</v>
      </c>
      <c r="Q114" s="247">
        <f t="shared" si="22"/>
        <v>20540.150000000001</v>
      </c>
      <c r="R114" s="743"/>
      <c r="S114" s="514" t="s">
        <v>313</v>
      </c>
      <c r="T114" s="563">
        <f t="shared" ref="T114:T120" si="23">T97</f>
        <v>45991</v>
      </c>
      <c r="U114" s="641">
        <v>11811.861235813136</v>
      </c>
      <c r="V114" s="735"/>
      <c r="W114" s="642">
        <f t="shared" si="21"/>
        <v>45989</v>
      </c>
      <c r="X114" s="726"/>
    </row>
    <row r="115" spans="1:24" ht="14.25" customHeight="1">
      <c r="B115" s="244">
        <v>10</v>
      </c>
      <c r="C115" s="245"/>
      <c r="D115" s="245"/>
      <c r="E115" s="246"/>
      <c r="F115" s="369"/>
      <c r="G115" s="247"/>
      <c r="H115" s="563"/>
      <c r="I115" s="726"/>
      <c r="J115" s="729"/>
      <c r="K115" s="176"/>
      <c r="L115" s="244">
        <v>10</v>
      </c>
      <c r="M115" s="334" t="s">
        <v>361</v>
      </c>
      <c r="N115" s="245" t="s">
        <v>314</v>
      </c>
      <c r="O115" s="445"/>
      <c r="P115" s="452">
        <v>0.2</v>
      </c>
      <c r="Q115" s="247">
        <f t="shared" si="22"/>
        <v>20540.150000000001</v>
      </c>
      <c r="R115" s="743"/>
      <c r="S115" s="514" t="s">
        <v>313</v>
      </c>
      <c r="T115" s="563">
        <f t="shared" si="23"/>
        <v>45991</v>
      </c>
      <c r="U115" s="641">
        <v>11811.861235813136</v>
      </c>
      <c r="V115" s="735"/>
      <c r="W115" s="642">
        <f t="shared" si="21"/>
        <v>45989</v>
      </c>
      <c r="X115" s="726"/>
    </row>
    <row r="116" spans="1:24" ht="14.25" customHeight="1">
      <c r="B116" s="244"/>
      <c r="C116" s="245"/>
      <c r="D116" s="245"/>
      <c r="E116" s="246"/>
      <c r="F116" s="369"/>
      <c r="G116" s="247"/>
      <c r="H116" s="563"/>
      <c r="I116" s="726"/>
      <c r="J116" s="729"/>
      <c r="K116" s="176"/>
      <c r="L116" s="244">
        <v>10</v>
      </c>
      <c r="M116" s="334" t="s">
        <v>361</v>
      </c>
      <c r="N116" s="245" t="s">
        <v>314</v>
      </c>
      <c r="O116" s="445"/>
      <c r="P116" s="452">
        <v>0.05</v>
      </c>
      <c r="Q116" s="247">
        <f t="shared" ref="Q116" si="24">$O$112*P116</f>
        <v>5135.0375000000004</v>
      </c>
      <c r="R116" s="743"/>
      <c r="S116" s="514" t="s">
        <v>316</v>
      </c>
      <c r="T116" s="563">
        <f t="shared" si="23"/>
        <v>46053</v>
      </c>
      <c r="U116" s="409">
        <f t="shared" ref="U116" si="25">(Q116/$X$108*$J$108)</f>
        <v>2952.9655777694347</v>
      </c>
      <c r="V116" s="735"/>
      <c r="W116" s="642">
        <f t="shared" si="21"/>
        <v>46053</v>
      </c>
      <c r="X116" s="726"/>
    </row>
    <row r="117" spans="1:24" ht="14.25" customHeight="1">
      <c r="B117" s="244">
        <v>10</v>
      </c>
      <c r="C117" s="245"/>
      <c r="D117" s="245"/>
      <c r="E117" s="246"/>
      <c r="F117" s="369"/>
      <c r="G117" s="247"/>
      <c r="H117" s="563"/>
      <c r="I117" s="726"/>
      <c r="J117" s="729"/>
      <c r="K117" s="176"/>
      <c r="L117" s="244">
        <v>10</v>
      </c>
      <c r="M117" s="334" t="s">
        <v>361</v>
      </c>
      <c r="N117" s="245" t="s">
        <v>317</v>
      </c>
      <c r="O117" s="445"/>
      <c r="P117" s="452">
        <v>0.1</v>
      </c>
      <c r="Q117" s="247">
        <f t="shared" si="22"/>
        <v>10270.075000000001</v>
      </c>
      <c r="R117" s="743"/>
      <c r="S117" s="514" t="s">
        <v>316</v>
      </c>
      <c r="T117" s="563">
        <f t="shared" si="23"/>
        <v>46053</v>
      </c>
      <c r="U117" s="409">
        <f t="shared" si="20"/>
        <v>5905.9311555388695</v>
      </c>
      <c r="V117" s="735"/>
      <c r="W117" s="642">
        <f t="shared" si="21"/>
        <v>46058</v>
      </c>
      <c r="X117" s="726"/>
    </row>
    <row r="118" spans="1:24" ht="14.25" customHeight="1">
      <c r="B118" s="244">
        <v>10</v>
      </c>
      <c r="C118" s="245"/>
      <c r="D118" s="245"/>
      <c r="E118" s="246"/>
      <c r="F118" s="369"/>
      <c r="G118" s="247"/>
      <c r="H118" s="563"/>
      <c r="I118" s="726"/>
      <c r="J118" s="729"/>
      <c r="K118" s="176"/>
      <c r="L118" s="244">
        <v>10</v>
      </c>
      <c r="M118" s="334" t="s">
        <v>361</v>
      </c>
      <c r="N118" s="245" t="s">
        <v>319</v>
      </c>
      <c r="O118" s="445"/>
      <c r="P118" s="452">
        <v>0.1</v>
      </c>
      <c r="Q118" s="247">
        <f t="shared" si="22"/>
        <v>10270.075000000001</v>
      </c>
      <c r="R118" s="743"/>
      <c r="S118" s="514" t="s">
        <v>316</v>
      </c>
      <c r="T118" s="563">
        <f t="shared" si="23"/>
        <v>46053</v>
      </c>
      <c r="U118" s="409">
        <f t="shared" si="20"/>
        <v>5905.9311555388695</v>
      </c>
      <c r="V118" s="735"/>
      <c r="W118" s="466">
        <f t="shared" si="21"/>
        <v>46065</v>
      </c>
      <c r="X118" s="726"/>
    </row>
    <row r="119" spans="1:24" ht="14.25" customHeight="1">
      <c r="B119" s="244">
        <v>10</v>
      </c>
      <c r="C119" s="245"/>
      <c r="D119" s="245"/>
      <c r="E119" s="246"/>
      <c r="F119" s="369"/>
      <c r="G119" s="247"/>
      <c r="H119" s="563"/>
      <c r="I119" s="726"/>
      <c r="J119" s="729"/>
      <c r="K119" s="176"/>
      <c r="L119" s="244">
        <v>10</v>
      </c>
      <c r="M119" s="334" t="s">
        <v>361</v>
      </c>
      <c r="N119" s="245" t="s">
        <v>320</v>
      </c>
      <c r="O119" s="445"/>
      <c r="P119" s="452">
        <v>0.05</v>
      </c>
      <c r="Q119" s="247">
        <f t="shared" si="22"/>
        <v>5135.0375000000004</v>
      </c>
      <c r="R119" s="743"/>
      <c r="S119" s="514" t="s">
        <v>453</v>
      </c>
      <c r="T119" s="563">
        <f t="shared" si="23"/>
        <v>46053</v>
      </c>
      <c r="U119" s="409">
        <f t="shared" si="20"/>
        <v>2952.9655777694347</v>
      </c>
      <c r="V119" s="735"/>
      <c r="W119" s="466">
        <f t="shared" si="21"/>
        <v>46065</v>
      </c>
      <c r="X119" s="726"/>
    </row>
    <row r="120" spans="1:24" ht="14.25" customHeight="1">
      <c r="B120" s="244">
        <v>10</v>
      </c>
      <c r="C120" s="245"/>
      <c r="D120" s="245"/>
      <c r="E120" s="246"/>
      <c r="F120" s="369"/>
      <c r="G120" s="247"/>
      <c r="H120" s="563"/>
      <c r="I120" s="726"/>
      <c r="J120" s="729"/>
      <c r="K120" s="176"/>
      <c r="L120" s="244">
        <v>10</v>
      </c>
      <c r="M120" s="334" t="s">
        <v>361</v>
      </c>
      <c r="N120" s="245" t="s">
        <v>321</v>
      </c>
      <c r="O120" s="445"/>
      <c r="P120" s="452">
        <v>0.05</v>
      </c>
      <c r="Q120" s="247">
        <f t="shared" si="22"/>
        <v>5135.0375000000004</v>
      </c>
      <c r="R120" s="744"/>
      <c r="S120" s="514" t="s">
        <v>453</v>
      </c>
      <c r="T120" s="563">
        <f t="shared" si="23"/>
        <v>46053</v>
      </c>
      <c r="U120" s="409">
        <f t="shared" si="20"/>
        <v>2952.9655777694347</v>
      </c>
      <c r="V120" s="735"/>
      <c r="W120" s="466">
        <f t="shared" si="21"/>
        <v>46095</v>
      </c>
      <c r="X120" s="726"/>
    </row>
    <row r="121" spans="1:24" ht="14.25" customHeight="1">
      <c r="B121" s="244">
        <v>10</v>
      </c>
      <c r="C121" s="245"/>
      <c r="D121" s="245"/>
      <c r="E121" s="246"/>
      <c r="F121" s="369"/>
      <c r="G121" s="247"/>
      <c r="H121" s="563"/>
      <c r="I121" s="726"/>
      <c r="J121" s="729"/>
      <c r="K121" s="176"/>
      <c r="L121" s="244">
        <v>10</v>
      </c>
      <c r="M121" s="334" t="s">
        <v>361</v>
      </c>
      <c r="N121" s="245" t="s">
        <v>455</v>
      </c>
      <c r="O121" s="445"/>
      <c r="P121" s="369"/>
      <c r="Q121" s="247">
        <v>-0.01</v>
      </c>
      <c r="R121" s="484"/>
      <c r="S121" s="514" t="s">
        <v>453</v>
      </c>
      <c r="T121" s="563">
        <f>T103</f>
        <v>46053</v>
      </c>
      <c r="U121" s="409">
        <f t="shared" si="20"/>
        <v>-5.7506212520734949E-3</v>
      </c>
      <c r="V121" s="735"/>
      <c r="W121" s="466">
        <f>W103</f>
        <v>46095</v>
      </c>
      <c r="X121" s="726"/>
    </row>
    <row r="122" spans="1:24" ht="14.25" customHeight="1">
      <c r="B122" s="244">
        <v>10</v>
      </c>
      <c r="C122" s="245"/>
      <c r="D122" s="245"/>
      <c r="E122" s="246"/>
      <c r="F122" s="369"/>
      <c r="G122" s="247"/>
      <c r="H122" s="563"/>
      <c r="I122" s="726"/>
      <c r="J122" s="729"/>
      <c r="K122" s="176"/>
      <c r="L122" s="244">
        <v>10</v>
      </c>
      <c r="M122" s="334" t="s">
        <v>361</v>
      </c>
      <c r="N122" s="245"/>
      <c r="O122" s="445"/>
      <c r="P122" s="369"/>
      <c r="Q122" s="247"/>
      <c r="R122" s="484"/>
      <c r="S122" s="514"/>
      <c r="T122" s="425" t="str">
        <f t="shared" si="16"/>
        <v/>
      </c>
      <c r="U122" s="409">
        <f t="shared" si="20"/>
        <v>0</v>
      </c>
      <c r="V122" s="735"/>
      <c r="W122" s="466"/>
      <c r="X122" s="726"/>
    </row>
    <row r="123" spans="1:24" ht="15" customHeight="1" thickBot="1">
      <c r="B123" s="177">
        <v>10</v>
      </c>
      <c r="C123" s="248"/>
      <c r="D123" s="248"/>
      <c r="E123" s="249"/>
      <c r="F123" s="370"/>
      <c r="G123" s="178"/>
      <c r="H123" s="564"/>
      <c r="I123" s="727"/>
      <c r="J123" s="730"/>
      <c r="K123" s="179"/>
      <c r="L123" s="177">
        <v>10</v>
      </c>
      <c r="M123" s="335" t="s">
        <v>361</v>
      </c>
      <c r="N123" s="248"/>
      <c r="O123" s="446"/>
      <c r="P123" s="370"/>
      <c r="Q123" s="178"/>
      <c r="R123" s="485"/>
      <c r="S123" s="515"/>
      <c r="T123" s="426" t="str">
        <f t="shared" si="16"/>
        <v/>
      </c>
      <c r="U123" s="410"/>
      <c r="V123" s="736"/>
      <c r="W123" s="467"/>
      <c r="X123" s="727"/>
    </row>
    <row r="124" spans="1:24" ht="14.4" thickBot="1">
      <c r="A124" s="4"/>
      <c r="B124" s="180"/>
      <c r="C124" s="181"/>
      <c r="D124" s="181"/>
      <c r="E124" s="195"/>
      <c r="F124" s="354"/>
      <c r="G124" s="183"/>
      <c r="H124" s="556"/>
      <c r="I124" s="547"/>
      <c r="J124" s="303"/>
      <c r="K124" s="4"/>
      <c r="L124" s="180"/>
      <c r="M124" s="181"/>
      <c r="N124" s="181"/>
      <c r="O124" s="436"/>
      <c r="P124" s="354"/>
      <c r="Q124" s="535"/>
      <c r="R124" s="477"/>
      <c r="S124" s="508"/>
      <c r="T124" s="414" t="str">
        <f t="shared" si="16"/>
        <v/>
      </c>
      <c r="U124" s="399"/>
      <c r="V124" s="386"/>
      <c r="W124" s="456"/>
      <c r="X124" s="547"/>
    </row>
    <row r="125" spans="1:24" ht="14.25" customHeight="1">
      <c r="B125" s="185">
        <v>11</v>
      </c>
      <c r="C125" s="186" t="s">
        <v>364</v>
      </c>
      <c r="D125" s="255" t="s">
        <v>365</v>
      </c>
      <c r="E125" s="187"/>
      <c r="F125" s="336"/>
      <c r="G125" s="188">
        <v>11000</v>
      </c>
      <c r="H125" s="543">
        <f>'Project Plan'!G39</f>
        <v>45989</v>
      </c>
      <c r="I125" s="698">
        <f>SUM(G125:G129)</f>
        <v>89000</v>
      </c>
      <c r="J125" s="701">
        <f>F183</f>
        <v>98889</v>
      </c>
      <c r="K125" s="189"/>
      <c r="L125" s="185">
        <v>11</v>
      </c>
      <c r="M125" s="255" t="s">
        <v>366</v>
      </c>
      <c r="N125" s="255" t="s">
        <v>365</v>
      </c>
      <c r="O125" s="187"/>
      <c r="P125" s="336"/>
      <c r="Q125" s="188">
        <v>15375</v>
      </c>
      <c r="R125" s="536"/>
      <c r="S125" s="507" t="s">
        <v>367</v>
      </c>
      <c r="T125" s="543">
        <v>46053</v>
      </c>
      <c r="U125" s="397">
        <f>(Q125/$X$125*$J$125)</f>
        <v>71130.68421052632</v>
      </c>
      <c r="V125" s="713">
        <f>J125-SUM(U125:U129)</f>
        <v>0</v>
      </c>
      <c r="W125" s="660">
        <v>46058</v>
      </c>
      <c r="X125" s="698">
        <f>SUM(Q125:Q129)</f>
        <v>21375</v>
      </c>
    </row>
    <row r="126" spans="1:24" ht="15" customHeight="1">
      <c r="B126" s="215">
        <v>11</v>
      </c>
      <c r="C126" s="217"/>
      <c r="D126" s="217" t="s">
        <v>368</v>
      </c>
      <c r="E126" s="218"/>
      <c r="F126" s="357"/>
      <c r="G126" s="219">
        <v>18000</v>
      </c>
      <c r="H126" s="543">
        <f>H125</f>
        <v>45989</v>
      </c>
      <c r="I126" s="699"/>
      <c r="J126" s="702"/>
      <c r="K126" s="192"/>
      <c r="L126" s="215">
        <v>11</v>
      </c>
      <c r="M126" s="290" t="s">
        <v>366</v>
      </c>
      <c r="N126" s="217" t="s">
        <v>369</v>
      </c>
      <c r="O126" s="218"/>
      <c r="P126" s="357"/>
      <c r="Q126" s="219">
        <v>0</v>
      </c>
      <c r="R126" s="517"/>
      <c r="S126" s="500"/>
      <c r="T126" s="411"/>
      <c r="U126" s="397">
        <f>(Q126/$X$125*$J$125)</f>
        <v>0</v>
      </c>
      <c r="V126" s="714"/>
      <c r="W126" s="453"/>
      <c r="X126" s="699"/>
    </row>
    <row r="127" spans="1:24" ht="15" customHeight="1">
      <c r="B127" s="215">
        <v>11</v>
      </c>
      <c r="C127" s="217"/>
      <c r="D127" s="217" t="s">
        <v>370</v>
      </c>
      <c r="E127" s="218"/>
      <c r="F127" s="357"/>
      <c r="G127" s="219">
        <v>60000</v>
      </c>
      <c r="H127" s="543">
        <f>H125</f>
        <v>45989</v>
      </c>
      <c r="I127" s="699"/>
      <c r="J127" s="702"/>
      <c r="K127" s="192"/>
      <c r="L127" s="215">
        <v>11</v>
      </c>
      <c r="M127" s="290" t="s">
        <v>366</v>
      </c>
      <c r="N127" s="217" t="s">
        <v>370</v>
      </c>
      <c r="O127" s="218"/>
      <c r="P127" s="357"/>
      <c r="Q127" s="219">
        <v>0</v>
      </c>
      <c r="R127" s="469"/>
      <c r="S127" s="500"/>
      <c r="T127" s="411"/>
      <c r="U127" s="397">
        <f>(Q127/$X$125*$J$125)</f>
        <v>0</v>
      </c>
      <c r="V127" s="714"/>
      <c r="W127" s="453"/>
      <c r="X127" s="699"/>
    </row>
    <row r="128" spans="1:24" ht="15" customHeight="1">
      <c r="B128" s="215">
        <v>11</v>
      </c>
      <c r="C128" s="288"/>
      <c r="D128" s="288"/>
      <c r="E128" s="307"/>
      <c r="F128" s="343"/>
      <c r="G128" s="287"/>
      <c r="H128" s="551"/>
      <c r="I128" s="699"/>
      <c r="J128" s="702"/>
      <c r="K128" s="192"/>
      <c r="L128" s="215">
        <v>11</v>
      </c>
      <c r="M128" s="290" t="s">
        <v>366</v>
      </c>
      <c r="N128" s="288" t="s">
        <v>371</v>
      </c>
      <c r="O128" s="434"/>
      <c r="P128" s="343"/>
      <c r="Q128" s="287">
        <v>6000</v>
      </c>
      <c r="R128" s="470"/>
      <c r="S128" s="501" t="s">
        <v>452</v>
      </c>
      <c r="T128" s="542">
        <v>46053</v>
      </c>
      <c r="U128" s="397">
        <f>(Q128/$X$125*$J$125)</f>
        <v>27758.315789473683</v>
      </c>
      <c r="V128" s="714"/>
      <c r="W128" s="454">
        <v>46108</v>
      </c>
      <c r="X128" s="699"/>
    </row>
    <row r="129" spans="1:24" ht="15" customHeight="1" thickBot="1">
      <c r="B129" s="220">
        <v>11</v>
      </c>
      <c r="C129" s="221"/>
      <c r="D129" s="221"/>
      <c r="E129" s="222"/>
      <c r="F129" s="358"/>
      <c r="G129" s="234"/>
      <c r="H129" s="552"/>
      <c r="I129" s="700"/>
      <c r="J129" s="703"/>
      <c r="K129" s="193"/>
      <c r="L129" s="220">
        <v>11</v>
      </c>
      <c r="M129" s="318" t="s">
        <v>366</v>
      </c>
      <c r="N129" s="221"/>
      <c r="O129" s="222"/>
      <c r="P129" s="358"/>
      <c r="Q129" s="234"/>
      <c r="R129" s="471"/>
      <c r="S129" s="502"/>
      <c r="T129" s="413" t="str">
        <f t="shared" si="16"/>
        <v/>
      </c>
      <c r="U129" s="398">
        <f>(Q129/$X$125*$J$125)</f>
        <v>0</v>
      </c>
      <c r="V129" s="715"/>
      <c r="W129" s="455"/>
      <c r="X129" s="700"/>
    </row>
    <row r="130" spans="1:24" ht="15" customHeight="1" thickBot="1">
      <c r="A130" s="4"/>
      <c r="B130" s="194"/>
      <c r="C130" s="181"/>
      <c r="D130" s="181"/>
      <c r="E130" s="195"/>
      <c r="F130" s="354"/>
      <c r="G130" s="196"/>
      <c r="H130" s="553"/>
      <c r="I130" s="547"/>
      <c r="J130" s="184"/>
      <c r="K130" s="4"/>
      <c r="L130" s="194"/>
      <c r="M130" s="181"/>
      <c r="N130" s="181"/>
      <c r="O130" s="436"/>
      <c r="P130" s="354"/>
      <c r="Q130" s="196"/>
      <c r="R130" s="472"/>
      <c r="S130" s="503"/>
      <c r="T130" s="414" t="str">
        <f t="shared" si="16"/>
        <v/>
      </c>
      <c r="U130" s="403"/>
      <c r="V130" s="385"/>
      <c r="W130" s="456"/>
      <c r="X130" s="547"/>
    </row>
    <row r="131" spans="1:24">
      <c r="B131" s="173">
        <v>12</v>
      </c>
      <c r="C131" s="174" t="s">
        <v>372</v>
      </c>
      <c r="D131" s="174" t="s">
        <v>373</v>
      </c>
      <c r="E131" s="175"/>
      <c r="F131" s="368"/>
      <c r="G131" s="242"/>
      <c r="H131" s="561"/>
      <c r="I131" s="725">
        <f>SUM(G131:G132)</f>
        <v>0</v>
      </c>
      <c r="J131" s="728">
        <v>0</v>
      </c>
      <c r="K131" s="740"/>
      <c r="L131" s="173">
        <v>12</v>
      </c>
      <c r="M131" s="174" t="s">
        <v>374</v>
      </c>
      <c r="N131" s="174"/>
      <c r="O131" s="444"/>
      <c r="P131" s="368"/>
      <c r="Q131" s="242"/>
      <c r="R131" s="482"/>
      <c r="S131" s="512"/>
      <c r="T131" s="423"/>
      <c r="U131" s="408"/>
      <c r="V131" s="384"/>
      <c r="W131" s="464"/>
      <c r="X131" s="725">
        <f>SUM(Q131:Q132)</f>
        <v>0</v>
      </c>
    </row>
    <row r="132" spans="1:24" ht="15" customHeight="1" thickBot="1">
      <c r="B132" s="177">
        <v>12</v>
      </c>
      <c r="C132" s="248" t="s">
        <v>372</v>
      </c>
      <c r="D132" s="248"/>
      <c r="E132" s="249"/>
      <c r="F132" s="370"/>
      <c r="G132" s="178"/>
      <c r="H132" s="564"/>
      <c r="I132" s="727"/>
      <c r="J132" s="730"/>
      <c r="K132" s="741"/>
      <c r="L132" s="177">
        <v>12</v>
      </c>
      <c r="M132" s="248" t="s">
        <v>374</v>
      </c>
      <c r="N132" s="248"/>
      <c r="O132" s="446"/>
      <c r="P132" s="370"/>
      <c r="Q132" s="178"/>
      <c r="R132" s="485"/>
      <c r="S132" s="515"/>
      <c r="T132" s="426" t="str">
        <f t="shared" si="16"/>
        <v/>
      </c>
      <c r="U132" s="410"/>
      <c r="V132" s="383"/>
      <c r="W132" s="467"/>
      <c r="X132" s="727"/>
    </row>
    <row r="133" spans="1:24" ht="14.4" thickBot="1">
      <c r="A133" s="4"/>
      <c r="B133" s="194"/>
      <c r="C133" s="181"/>
      <c r="D133" s="181"/>
      <c r="E133" s="195"/>
      <c r="F133" s="354"/>
      <c r="G133" s="196"/>
      <c r="H133" s="553"/>
      <c r="I133" s="548"/>
      <c r="J133" s="230"/>
      <c r="K133" s="4"/>
      <c r="L133" s="194"/>
      <c r="M133" s="181"/>
      <c r="N133" s="181"/>
      <c r="O133" s="436"/>
      <c r="P133" s="354"/>
      <c r="Q133" s="196"/>
      <c r="R133" s="472"/>
      <c r="S133" s="503"/>
      <c r="T133" s="414" t="str">
        <f t="shared" si="16"/>
        <v/>
      </c>
      <c r="U133" s="403"/>
      <c r="V133" s="385"/>
      <c r="W133" s="456"/>
      <c r="X133" s="548"/>
    </row>
    <row r="134" spans="1:24" ht="15.75" customHeight="1">
      <c r="B134" s="185">
        <v>13</v>
      </c>
      <c r="C134" s="186" t="s">
        <v>375</v>
      </c>
      <c r="D134" s="255" t="s">
        <v>376</v>
      </c>
      <c r="E134" s="187"/>
      <c r="F134" s="336"/>
      <c r="G134" s="188">
        <f>D182</f>
        <v>20963.650000000001</v>
      </c>
      <c r="H134" s="543">
        <f>'Project Plan'!G48</f>
        <v>46000</v>
      </c>
      <c r="I134" s="698">
        <f>SUM(G134:G138)</f>
        <v>20963.650000000001</v>
      </c>
      <c r="J134" s="701">
        <f>F182</f>
        <v>23822</v>
      </c>
      <c r="K134" s="189"/>
      <c r="L134" s="185">
        <v>13</v>
      </c>
      <c r="M134" s="255" t="s">
        <v>377</v>
      </c>
      <c r="N134" s="255" t="s">
        <v>378</v>
      </c>
      <c r="O134" s="432"/>
      <c r="P134" s="336"/>
      <c r="Q134" s="188">
        <f>'Project Plan'!$E$6*1.25%</f>
        <v>25967.953500000003</v>
      </c>
      <c r="R134" s="476"/>
      <c r="S134" s="507" t="s">
        <v>451</v>
      </c>
      <c r="T134" s="543">
        <v>46053</v>
      </c>
      <c r="U134" s="404">
        <f t="shared" ref="U134:U139" si="26">(Q134/$X$134*$J$134)</f>
        <v>23822</v>
      </c>
      <c r="V134" s="713">
        <f>J134-SUM(U134:U139)</f>
        <v>0</v>
      </c>
      <c r="W134" s="460">
        <v>46080</v>
      </c>
      <c r="X134" s="698">
        <f>SUM(Q134:Q139)</f>
        <v>25967.953500000003</v>
      </c>
    </row>
    <row r="135" spans="1:24" ht="15.75" customHeight="1">
      <c r="B135" s="215">
        <v>13</v>
      </c>
      <c r="C135" s="217"/>
      <c r="D135" s="217"/>
      <c r="E135" s="218"/>
      <c r="F135" s="357"/>
      <c r="G135" s="219"/>
      <c r="H135" s="542"/>
      <c r="I135" s="699"/>
      <c r="J135" s="702"/>
      <c r="K135" s="192"/>
      <c r="L135" s="215">
        <v>13</v>
      </c>
      <c r="M135" s="290" t="s">
        <v>377</v>
      </c>
      <c r="N135" s="217"/>
      <c r="O135" s="433"/>
      <c r="P135" s="357"/>
      <c r="Q135" s="219"/>
      <c r="R135" s="469"/>
      <c r="S135" s="500"/>
      <c r="T135" s="411"/>
      <c r="U135" s="396">
        <f t="shared" si="26"/>
        <v>0</v>
      </c>
      <c r="V135" s="714"/>
      <c r="W135" s="453"/>
      <c r="X135" s="699"/>
    </row>
    <row r="136" spans="1:24" ht="15.75" customHeight="1">
      <c r="B136" s="215">
        <v>13</v>
      </c>
      <c r="C136" s="217"/>
      <c r="D136" s="217"/>
      <c r="E136" s="218"/>
      <c r="F136" s="357"/>
      <c r="G136" s="219"/>
      <c r="H136" s="542"/>
      <c r="I136" s="699"/>
      <c r="J136" s="702"/>
      <c r="K136" s="192"/>
      <c r="L136" s="215">
        <v>13</v>
      </c>
      <c r="M136" s="290" t="s">
        <v>377</v>
      </c>
      <c r="N136" s="217"/>
      <c r="O136" s="433"/>
      <c r="P136" s="357"/>
      <c r="Q136" s="219"/>
      <c r="R136" s="469"/>
      <c r="S136" s="500"/>
      <c r="T136" s="411"/>
      <c r="U136" s="396">
        <f t="shared" si="26"/>
        <v>0</v>
      </c>
      <c r="V136" s="714"/>
      <c r="W136" s="453"/>
      <c r="X136" s="699"/>
    </row>
    <row r="137" spans="1:24" ht="15.75" customHeight="1">
      <c r="B137" s="215">
        <v>13</v>
      </c>
      <c r="C137" s="217"/>
      <c r="D137" s="217"/>
      <c r="E137" s="218"/>
      <c r="F137" s="357"/>
      <c r="G137" s="219"/>
      <c r="H137" s="542"/>
      <c r="I137" s="699"/>
      <c r="J137" s="702"/>
      <c r="K137" s="192"/>
      <c r="L137" s="215">
        <v>13</v>
      </c>
      <c r="M137" s="290" t="s">
        <v>377</v>
      </c>
      <c r="N137" s="217"/>
      <c r="O137" s="433"/>
      <c r="P137" s="357"/>
      <c r="Q137" s="219"/>
      <c r="R137" s="469"/>
      <c r="S137" s="500"/>
      <c r="T137" s="411"/>
      <c r="U137" s="396">
        <f t="shared" si="26"/>
        <v>0</v>
      </c>
      <c r="V137" s="714"/>
      <c r="W137" s="453"/>
      <c r="X137" s="699"/>
    </row>
    <row r="138" spans="1:24" ht="15.75" customHeight="1">
      <c r="B138" s="215">
        <v>13</v>
      </c>
      <c r="C138" s="217"/>
      <c r="D138" s="217"/>
      <c r="E138" s="218"/>
      <c r="F138" s="357"/>
      <c r="G138" s="219"/>
      <c r="H138" s="542"/>
      <c r="I138" s="699"/>
      <c r="J138" s="702"/>
      <c r="K138" s="192"/>
      <c r="L138" s="215">
        <v>13</v>
      </c>
      <c r="M138" s="290" t="s">
        <v>377</v>
      </c>
      <c r="N138" s="217"/>
      <c r="O138" s="433"/>
      <c r="P138" s="357"/>
      <c r="Q138" s="219"/>
      <c r="R138" s="469"/>
      <c r="S138" s="500"/>
      <c r="T138" s="411"/>
      <c r="U138" s="396">
        <f t="shared" si="26"/>
        <v>0</v>
      </c>
      <c r="V138" s="714"/>
      <c r="W138" s="453"/>
      <c r="X138" s="699"/>
    </row>
    <row r="139" spans="1:24" ht="15.75" customHeight="1" thickBot="1">
      <c r="B139" s="220">
        <v>13</v>
      </c>
      <c r="C139" s="221"/>
      <c r="D139" s="221"/>
      <c r="E139" s="222"/>
      <c r="F139" s="358"/>
      <c r="G139" s="234"/>
      <c r="H139" s="552"/>
      <c r="I139" s="700"/>
      <c r="J139" s="703"/>
      <c r="K139" s="267"/>
      <c r="L139" s="220">
        <v>13</v>
      </c>
      <c r="M139" s="318" t="s">
        <v>377</v>
      </c>
      <c r="N139" s="221"/>
      <c r="O139" s="435"/>
      <c r="P139" s="358"/>
      <c r="Q139" s="234"/>
      <c r="R139" s="471"/>
      <c r="S139" s="502"/>
      <c r="T139" s="413"/>
      <c r="U139" s="398">
        <f t="shared" si="26"/>
        <v>0</v>
      </c>
      <c r="V139" s="715"/>
      <c r="W139" s="455"/>
      <c r="X139" s="700"/>
    </row>
    <row r="140" spans="1:24" ht="14.4" thickBot="1">
      <c r="A140" s="4"/>
      <c r="B140" s="194"/>
      <c r="C140" s="181"/>
      <c r="D140" s="181"/>
      <c r="E140" s="195"/>
      <c r="F140" s="354"/>
      <c r="G140" s="196"/>
      <c r="H140" s="553"/>
      <c r="I140" s="547"/>
      <c r="J140" s="184"/>
      <c r="K140" s="4"/>
      <c r="L140" s="194"/>
      <c r="M140" s="181"/>
      <c r="N140" s="181"/>
      <c r="O140" s="436"/>
      <c r="P140" s="354"/>
      <c r="Q140" s="196"/>
      <c r="R140" s="472"/>
      <c r="S140" s="503"/>
      <c r="T140" s="414" t="str">
        <f t="shared" si="16"/>
        <v/>
      </c>
      <c r="U140" s="403"/>
      <c r="V140" s="385"/>
      <c r="W140" s="456"/>
      <c r="X140" s="548"/>
    </row>
    <row r="141" spans="1:24" ht="14.25" customHeight="1">
      <c r="B141" s="173">
        <v>14</v>
      </c>
      <c r="C141" s="174" t="s">
        <v>379</v>
      </c>
      <c r="D141" s="174" t="s">
        <v>380</v>
      </c>
      <c r="E141" s="175"/>
      <c r="F141" s="368"/>
      <c r="G141" s="242">
        <f>D193</f>
        <v>4375</v>
      </c>
      <c r="H141" s="561">
        <f>'Project Plan'!G48</f>
        <v>46000</v>
      </c>
      <c r="I141" s="725">
        <f>SUM(G141:G152)</f>
        <v>4375</v>
      </c>
      <c r="J141" s="728">
        <f>F193</f>
        <v>4861</v>
      </c>
      <c r="K141" s="243"/>
      <c r="L141" s="173">
        <v>14</v>
      </c>
      <c r="M141" s="333" t="s">
        <v>381</v>
      </c>
      <c r="N141" s="174" t="s">
        <v>382</v>
      </c>
      <c r="O141" s="444"/>
      <c r="P141" s="528"/>
      <c r="Q141" s="533">
        <v>0</v>
      </c>
      <c r="R141" s="530"/>
      <c r="S141" s="518"/>
      <c r="T141" s="632">
        <v>45961</v>
      </c>
      <c r="U141" s="408">
        <v>0</v>
      </c>
      <c r="V141" s="734">
        <f>J141-SUM(U141:U152)</f>
        <v>-3.8983035410637967E-3</v>
      </c>
      <c r="W141" s="633">
        <v>45961</v>
      </c>
      <c r="X141" s="725">
        <f>SUM(Q141:Q152)</f>
        <v>4844.63</v>
      </c>
    </row>
    <row r="142" spans="1:24" ht="14.25" customHeight="1">
      <c r="B142" s="244">
        <v>14</v>
      </c>
      <c r="C142" s="245"/>
      <c r="D142" s="245"/>
      <c r="E142" s="246"/>
      <c r="F142" s="369"/>
      <c r="G142" s="247"/>
      <c r="H142" s="563"/>
      <c r="I142" s="726"/>
      <c r="J142" s="729"/>
      <c r="K142" s="176"/>
      <c r="L142" s="244">
        <v>14</v>
      </c>
      <c r="M142" s="334" t="s">
        <v>381</v>
      </c>
      <c r="N142" s="245" t="s">
        <v>382</v>
      </c>
      <c r="O142" s="445"/>
      <c r="P142" s="529"/>
      <c r="Q142" s="532">
        <v>1951.6</v>
      </c>
      <c r="R142" s="531"/>
      <c r="S142" s="518" t="s">
        <v>383</v>
      </c>
      <c r="T142" s="637">
        <v>45991</v>
      </c>
      <c r="U142" s="641">
        <v>2291.9783527820055</v>
      </c>
      <c r="V142" s="735"/>
      <c r="W142" s="633">
        <v>45996</v>
      </c>
      <c r="X142" s="726"/>
    </row>
    <row r="143" spans="1:24" ht="14.25" customHeight="1">
      <c r="B143" s="244">
        <v>14</v>
      </c>
      <c r="C143" s="245"/>
      <c r="D143" s="245"/>
      <c r="E143" s="246"/>
      <c r="F143" s="369"/>
      <c r="G143" s="247"/>
      <c r="H143" s="563"/>
      <c r="I143" s="726"/>
      <c r="J143" s="729"/>
      <c r="K143" s="176"/>
      <c r="L143" s="244">
        <v>14</v>
      </c>
      <c r="M143" s="334" t="s">
        <v>381</v>
      </c>
      <c r="N143" s="245" t="s">
        <v>382</v>
      </c>
      <c r="O143" s="445"/>
      <c r="P143" s="369"/>
      <c r="Q143" s="247">
        <v>1799.28</v>
      </c>
      <c r="R143" s="484"/>
      <c r="S143" s="518" t="s">
        <v>383</v>
      </c>
      <c r="T143" s="637">
        <v>46022</v>
      </c>
      <c r="U143" s="641">
        <v>1471.5797653484374</v>
      </c>
      <c r="V143" s="735"/>
      <c r="W143" s="633">
        <v>46030</v>
      </c>
      <c r="X143" s="726"/>
    </row>
    <row r="144" spans="1:24" ht="14.25" customHeight="1">
      <c r="B144" s="244">
        <v>14</v>
      </c>
      <c r="C144" s="245"/>
      <c r="D144" s="245"/>
      <c r="E144" s="246"/>
      <c r="F144" s="369"/>
      <c r="G144" s="247"/>
      <c r="H144" s="563"/>
      <c r="I144" s="726"/>
      <c r="J144" s="729"/>
      <c r="K144" s="176"/>
      <c r="L144" s="244">
        <v>14</v>
      </c>
      <c r="M144" s="334" t="s">
        <v>381</v>
      </c>
      <c r="N144" s="245" t="s">
        <v>382</v>
      </c>
      <c r="O144" s="445"/>
      <c r="P144" s="369"/>
      <c r="Q144" s="247">
        <f>$G$141/4</f>
        <v>1093.75</v>
      </c>
      <c r="R144" s="484"/>
      <c r="S144" s="512"/>
      <c r="T144" s="425">
        <f t="shared" si="16"/>
        <v>46053</v>
      </c>
      <c r="U144" s="409">
        <f t="shared" ref="U144:U152" si="27">(Q144/$X$141*$J$141)</f>
        <v>1097.4457801730987</v>
      </c>
      <c r="V144" s="735"/>
      <c r="W144" s="466">
        <v>46053</v>
      </c>
      <c r="X144" s="726"/>
    </row>
    <row r="145" spans="1:24" ht="14.25" customHeight="1">
      <c r="B145" s="244">
        <v>14</v>
      </c>
      <c r="C145" s="245"/>
      <c r="D145" s="245"/>
      <c r="E145" s="246"/>
      <c r="F145" s="369"/>
      <c r="G145" s="247"/>
      <c r="H145" s="563"/>
      <c r="I145" s="726"/>
      <c r="J145" s="729"/>
      <c r="K145" s="176"/>
      <c r="L145" s="244">
        <v>14</v>
      </c>
      <c r="M145" s="334" t="s">
        <v>381</v>
      </c>
      <c r="N145" s="245" t="s">
        <v>382</v>
      </c>
      <c r="O145" s="445"/>
      <c r="P145" s="369"/>
      <c r="Q145" s="247"/>
      <c r="R145" s="484"/>
      <c r="S145" s="512"/>
      <c r="T145" s="425" t="str">
        <f t="shared" si="16"/>
        <v/>
      </c>
      <c r="U145" s="409">
        <f t="shared" si="27"/>
        <v>0</v>
      </c>
      <c r="V145" s="735"/>
      <c r="W145" s="466"/>
      <c r="X145" s="726"/>
    </row>
    <row r="146" spans="1:24" ht="14.25" customHeight="1">
      <c r="B146" s="244">
        <v>14</v>
      </c>
      <c r="C146" s="245"/>
      <c r="D146" s="245"/>
      <c r="E146" s="246"/>
      <c r="F146" s="369"/>
      <c r="G146" s="247"/>
      <c r="H146" s="563"/>
      <c r="I146" s="726"/>
      <c r="J146" s="729"/>
      <c r="K146" s="176"/>
      <c r="L146" s="244">
        <v>14</v>
      </c>
      <c r="M146" s="334" t="s">
        <v>381</v>
      </c>
      <c r="N146" s="245" t="s">
        <v>382</v>
      </c>
      <c r="O146" s="445"/>
      <c r="P146" s="369"/>
      <c r="Q146" s="247"/>
      <c r="R146" s="484"/>
      <c r="S146" s="512"/>
      <c r="T146" s="425" t="str">
        <f t="shared" si="16"/>
        <v/>
      </c>
      <c r="U146" s="409">
        <f t="shared" si="27"/>
        <v>0</v>
      </c>
      <c r="V146" s="735"/>
      <c r="W146" s="466"/>
      <c r="X146" s="726"/>
    </row>
    <row r="147" spans="1:24" ht="14.25" customHeight="1">
      <c r="B147" s="244">
        <v>14</v>
      </c>
      <c r="C147" s="245"/>
      <c r="D147" s="245"/>
      <c r="E147" s="246"/>
      <c r="F147" s="369"/>
      <c r="G147" s="247"/>
      <c r="H147" s="563"/>
      <c r="I147" s="726"/>
      <c r="J147" s="729"/>
      <c r="K147" s="176"/>
      <c r="L147" s="244">
        <v>14</v>
      </c>
      <c r="M147" s="334" t="s">
        <v>381</v>
      </c>
      <c r="N147" s="245" t="s">
        <v>382</v>
      </c>
      <c r="O147" s="445"/>
      <c r="P147" s="369"/>
      <c r="Q147" s="247"/>
      <c r="R147" s="484"/>
      <c r="S147" s="512"/>
      <c r="T147" s="425" t="str">
        <f t="shared" ref="T147:T165" si="28">IF(W147&gt;1,EOMONTH(W147,0),"")</f>
        <v/>
      </c>
      <c r="U147" s="409">
        <f t="shared" si="27"/>
        <v>0</v>
      </c>
      <c r="V147" s="735"/>
      <c r="W147" s="466"/>
      <c r="X147" s="726"/>
    </row>
    <row r="148" spans="1:24" ht="14.25" customHeight="1">
      <c r="B148" s="244">
        <v>14</v>
      </c>
      <c r="C148" s="245"/>
      <c r="D148" s="245"/>
      <c r="E148" s="246"/>
      <c r="F148" s="369"/>
      <c r="G148" s="247"/>
      <c r="H148" s="563"/>
      <c r="I148" s="726"/>
      <c r="J148" s="729"/>
      <c r="K148" s="176"/>
      <c r="L148" s="244">
        <v>14</v>
      </c>
      <c r="M148" s="334" t="s">
        <v>381</v>
      </c>
      <c r="N148" s="245" t="s">
        <v>382</v>
      </c>
      <c r="O148" s="445"/>
      <c r="P148" s="369"/>
      <c r="Q148" s="247"/>
      <c r="R148" s="484"/>
      <c r="S148" s="512"/>
      <c r="T148" s="425" t="str">
        <f t="shared" si="28"/>
        <v/>
      </c>
      <c r="U148" s="409">
        <f t="shared" si="27"/>
        <v>0</v>
      </c>
      <c r="V148" s="735"/>
      <c r="W148" s="466"/>
      <c r="X148" s="726"/>
    </row>
    <row r="149" spans="1:24" ht="14.25" customHeight="1">
      <c r="B149" s="244">
        <v>14</v>
      </c>
      <c r="C149" s="245"/>
      <c r="D149" s="245"/>
      <c r="E149" s="246"/>
      <c r="F149" s="369"/>
      <c r="G149" s="247"/>
      <c r="H149" s="563"/>
      <c r="I149" s="726"/>
      <c r="J149" s="729"/>
      <c r="K149" s="176"/>
      <c r="L149" s="244">
        <v>14</v>
      </c>
      <c r="M149" s="334" t="s">
        <v>381</v>
      </c>
      <c r="N149" s="245" t="s">
        <v>382</v>
      </c>
      <c r="O149" s="445"/>
      <c r="P149" s="369"/>
      <c r="Q149" s="247"/>
      <c r="R149" s="484"/>
      <c r="S149" s="512"/>
      <c r="T149" s="425" t="str">
        <f t="shared" si="28"/>
        <v/>
      </c>
      <c r="U149" s="409">
        <f t="shared" si="27"/>
        <v>0</v>
      </c>
      <c r="V149" s="735"/>
      <c r="W149" s="466"/>
      <c r="X149" s="726"/>
    </row>
    <row r="150" spans="1:24" ht="14.25" customHeight="1">
      <c r="B150" s="244">
        <v>14</v>
      </c>
      <c r="C150" s="245"/>
      <c r="D150" s="245"/>
      <c r="E150" s="246"/>
      <c r="F150" s="369"/>
      <c r="G150" s="247"/>
      <c r="H150" s="563"/>
      <c r="I150" s="726"/>
      <c r="J150" s="729"/>
      <c r="K150" s="176"/>
      <c r="L150" s="244">
        <v>14</v>
      </c>
      <c r="M150" s="334" t="s">
        <v>381</v>
      </c>
      <c r="N150" s="245" t="s">
        <v>382</v>
      </c>
      <c r="O150" s="445"/>
      <c r="P150" s="369"/>
      <c r="Q150" s="247"/>
      <c r="R150" s="484"/>
      <c r="S150" s="512"/>
      <c r="T150" s="425" t="str">
        <f t="shared" si="28"/>
        <v/>
      </c>
      <c r="U150" s="409">
        <f t="shared" si="27"/>
        <v>0</v>
      </c>
      <c r="V150" s="735"/>
      <c r="W150" s="466"/>
      <c r="X150" s="726"/>
    </row>
    <row r="151" spans="1:24" ht="14.25" customHeight="1">
      <c r="B151" s="244">
        <v>14</v>
      </c>
      <c r="C151" s="245"/>
      <c r="D151" s="245"/>
      <c r="E151" s="246"/>
      <c r="F151" s="369"/>
      <c r="G151" s="247"/>
      <c r="H151" s="563"/>
      <c r="I151" s="726"/>
      <c r="J151" s="729"/>
      <c r="K151" s="176"/>
      <c r="L151" s="244">
        <v>14</v>
      </c>
      <c r="M151" s="334" t="s">
        <v>381</v>
      </c>
      <c r="N151" s="245"/>
      <c r="O151" s="445"/>
      <c r="P151" s="369"/>
      <c r="Q151" s="247"/>
      <c r="R151" s="484"/>
      <c r="S151" s="514"/>
      <c r="T151" s="425" t="str">
        <f t="shared" si="28"/>
        <v/>
      </c>
      <c r="U151" s="409">
        <f t="shared" si="27"/>
        <v>0</v>
      </c>
      <c r="V151" s="735"/>
      <c r="W151" s="466"/>
      <c r="X151" s="726"/>
    </row>
    <row r="152" spans="1:24" ht="15" customHeight="1" thickBot="1">
      <c r="B152" s="177">
        <v>14</v>
      </c>
      <c r="C152" s="248"/>
      <c r="D152" s="248"/>
      <c r="E152" s="249"/>
      <c r="F152" s="370"/>
      <c r="G152" s="178"/>
      <c r="H152" s="564"/>
      <c r="I152" s="727"/>
      <c r="J152" s="730"/>
      <c r="K152" s="179"/>
      <c r="L152" s="177">
        <v>14</v>
      </c>
      <c r="M152" s="335" t="s">
        <v>381</v>
      </c>
      <c r="N152" s="248"/>
      <c r="O152" s="446"/>
      <c r="P152" s="370"/>
      <c r="Q152" s="178"/>
      <c r="R152" s="485"/>
      <c r="S152" s="515"/>
      <c r="T152" s="426" t="str">
        <f t="shared" si="28"/>
        <v/>
      </c>
      <c r="U152" s="410">
        <f t="shared" si="27"/>
        <v>0</v>
      </c>
      <c r="V152" s="736"/>
      <c r="W152" s="467"/>
      <c r="X152" s="727"/>
    </row>
    <row r="153" spans="1:24" ht="14.4" thickBot="1">
      <c r="A153" s="4"/>
      <c r="B153" s="194"/>
      <c r="C153" s="181"/>
      <c r="D153" s="181"/>
      <c r="E153" s="195"/>
      <c r="F153" s="354"/>
      <c r="G153" s="196"/>
      <c r="H153" s="553"/>
      <c r="I153" s="549"/>
      <c r="J153" s="250"/>
      <c r="K153" s="4"/>
      <c r="L153" s="194"/>
      <c r="M153" s="181"/>
      <c r="N153" s="181"/>
      <c r="O153" s="436"/>
      <c r="P153" s="354"/>
      <c r="Q153" s="196"/>
      <c r="R153" s="472"/>
      <c r="S153" s="503"/>
      <c r="T153" s="414" t="str">
        <f t="shared" si="28"/>
        <v/>
      </c>
      <c r="U153" s="403"/>
      <c r="V153" s="385"/>
      <c r="W153" s="456"/>
      <c r="X153" s="549"/>
    </row>
    <row r="154" spans="1:24">
      <c r="B154" s="185">
        <v>15</v>
      </c>
      <c r="C154" s="186" t="s">
        <v>384</v>
      </c>
      <c r="D154" s="186"/>
      <c r="E154" s="187"/>
      <c r="F154" s="336"/>
      <c r="G154" s="188"/>
      <c r="H154" s="543"/>
      <c r="I154" s="698">
        <f>SUM(G154:G165)</f>
        <v>0</v>
      </c>
      <c r="J154" s="701">
        <f>F190</f>
        <v>0</v>
      </c>
      <c r="K154" s="189"/>
      <c r="L154" s="185">
        <v>15</v>
      </c>
      <c r="M154" s="255" t="s">
        <v>385</v>
      </c>
      <c r="N154" s="186"/>
      <c r="O154" s="187"/>
      <c r="P154" s="336"/>
      <c r="Q154" s="188"/>
      <c r="R154" s="476"/>
      <c r="S154" s="507"/>
      <c r="T154" s="418" t="str">
        <f t="shared" si="28"/>
        <v/>
      </c>
      <c r="U154" s="404"/>
      <c r="V154" s="713">
        <v>0</v>
      </c>
      <c r="W154" s="460"/>
      <c r="X154" s="698">
        <f>SUM(Q154:Q165)</f>
        <v>7500</v>
      </c>
    </row>
    <row r="155" spans="1:24">
      <c r="B155" s="215">
        <v>15</v>
      </c>
      <c r="C155" s="217"/>
      <c r="D155" s="217"/>
      <c r="E155" s="218"/>
      <c r="F155" s="357"/>
      <c r="G155" s="219"/>
      <c r="H155" s="542"/>
      <c r="I155" s="699"/>
      <c r="J155" s="702"/>
      <c r="K155" s="192"/>
      <c r="L155" s="215">
        <v>15</v>
      </c>
      <c r="M155" s="290" t="s">
        <v>385</v>
      </c>
      <c r="N155" s="217"/>
      <c r="O155" s="433"/>
      <c r="P155" s="357"/>
      <c r="Q155" s="219"/>
      <c r="R155" s="469"/>
      <c r="S155" s="500"/>
      <c r="T155" s="542"/>
      <c r="U155" s="396"/>
      <c r="V155" s="714"/>
      <c r="W155" s="453"/>
      <c r="X155" s="699"/>
    </row>
    <row r="156" spans="1:24">
      <c r="B156" s="215">
        <v>15</v>
      </c>
      <c r="C156" s="217"/>
      <c r="D156" s="217"/>
      <c r="E156" s="218"/>
      <c r="F156" s="357"/>
      <c r="G156" s="219"/>
      <c r="H156" s="542"/>
      <c r="I156" s="699"/>
      <c r="J156" s="702"/>
      <c r="K156" s="192"/>
      <c r="L156" s="215">
        <v>15</v>
      </c>
      <c r="M156" s="290" t="s">
        <v>385</v>
      </c>
      <c r="N156" s="217" t="s">
        <v>386</v>
      </c>
      <c r="O156" s="433"/>
      <c r="P156" s="357"/>
      <c r="Q156" s="219">
        <v>7500</v>
      </c>
      <c r="R156" s="469" t="s">
        <v>387</v>
      </c>
      <c r="S156" s="500" t="s">
        <v>388</v>
      </c>
      <c r="T156" s="542">
        <v>46022</v>
      </c>
      <c r="U156" s="396"/>
      <c r="V156" s="714"/>
      <c r="W156" s="643">
        <v>45995</v>
      </c>
      <c r="X156" s="699"/>
    </row>
    <row r="157" spans="1:24">
      <c r="B157" s="215">
        <v>15</v>
      </c>
      <c r="C157" s="217"/>
      <c r="D157" s="217"/>
      <c r="E157" s="218"/>
      <c r="F157" s="357"/>
      <c r="G157" s="219"/>
      <c r="H157" s="542"/>
      <c r="I157" s="699"/>
      <c r="J157" s="702"/>
      <c r="K157" s="192"/>
      <c r="L157" s="215">
        <v>15</v>
      </c>
      <c r="M157" s="290" t="s">
        <v>385</v>
      </c>
      <c r="N157" s="217"/>
      <c r="O157" s="433"/>
      <c r="P157" s="357"/>
      <c r="Q157" s="219"/>
      <c r="R157" s="469"/>
      <c r="S157" s="500"/>
      <c r="T157" s="411" t="str">
        <f t="shared" si="28"/>
        <v/>
      </c>
      <c r="U157" s="396"/>
      <c r="V157" s="714"/>
      <c r="W157" s="453"/>
      <c r="X157" s="699"/>
    </row>
    <row r="158" spans="1:24">
      <c r="B158" s="215">
        <v>15</v>
      </c>
      <c r="C158" s="217"/>
      <c r="D158" s="217"/>
      <c r="E158" s="218"/>
      <c r="F158" s="357"/>
      <c r="G158" s="219"/>
      <c r="H158" s="542"/>
      <c r="I158" s="699"/>
      <c r="J158" s="702"/>
      <c r="K158" s="192"/>
      <c r="L158" s="215">
        <v>15</v>
      </c>
      <c r="M158" s="290" t="s">
        <v>385</v>
      </c>
      <c r="N158" s="217"/>
      <c r="O158" s="433"/>
      <c r="P158" s="357"/>
      <c r="Q158" s="219"/>
      <c r="R158" s="469"/>
      <c r="S158" s="500"/>
      <c r="T158" s="411" t="str">
        <f t="shared" si="28"/>
        <v/>
      </c>
      <c r="U158" s="396"/>
      <c r="V158" s="714"/>
      <c r="W158" s="453"/>
      <c r="X158" s="699"/>
    </row>
    <row r="159" spans="1:24">
      <c r="B159" s="215">
        <v>15</v>
      </c>
      <c r="C159" s="217"/>
      <c r="D159" s="217"/>
      <c r="E159" s="218"/>
      <c r="F159" s="357"/>
      <c r="G159" s="219"/>
      <c r="H159" s="542"/>
      <c r="I159" s="699"/>
      <c r="J159" s="702"/>
      <c r="K159" s="192"/>
      <c r="L159" s="215">
        <v>15</v>
      </c>
      <c r="M159" s="290" t="s">
        <v>385</v>
      </c>
      <c r="N159" s="217"/>
      <c r="O159" s="433"/>
      <c r="P159" s="357"/>
      <c r="Q159" s="219"/>
      <c r="R159" s="469"/>
      <c r="S159" s="500"/>
      <c r="T159" s="411" t="str">
        <f t="shared" si="28"/>
        <v/>
      </c>
      <c r="U159" s="396"/>
      <c r="V159" s="714"/>
      <c r="W159" s="453"/>
      <c r="X159" s="699"/>
    </row>
    <row r="160" spans="1:24">
      <c r="B160" s="215">
        <v>15</v>
      </c>
      <c r="C160" s="217"/>
      <c r="D160" s="217"/>
      <c r="E160" s="218"/>
      <c r="F160" s="357"/>
      <c r="G160" s="219"/>
      <c r="H160" s="542"/>
      <c r="I160" s="699"/>
      <c r="J160" s="702"/>
      <c r="K160" s="192"/>
      <c r="L160" s="215">
        <v>15</v>
      </c>
      <c r="M160" s="290" t="s">
        <v>385</v>
      </c>
      <c r="N160" s="217"/>
      <c r="O160" s="433"/>
      <c r="P160" s="357"/>
      <c r="Q160" s="219"/>
      <c r="R160" s="469"/>
      <c r="S160" s="500"/>
      <c r="T160" s="411" t="str">
        <f t="shared" si="28"/>
        <v/>
      </c>
      <c r="U160" s="396"/>
      <c r="V160" s="714"/>
      <c r="W160" s="453"/>
      <c r="X160" s="699"/>
    </row>
    <row r="161" spans="2:24">
      <c r="B161" s="215">
        <v>15</v>
      </c>
      <c r="C161" s="217"/>
      <c r="D161" s="217"/>
      <c r="E161" s="218"/>
      <c r="F161" s="357"/>
      <c r="G161" s="219"/>
      <c r="H161" s="542"/>
      <c r="I161" s="699"/>
      <c r="J161" s="702"/>
      <c r="K161" s="192"/>
      <c r="L161" s="215">
        <v>15</v>
      </c>
      <c r="M161" s="290" t="s">
        <v>385</v>
      </c>
      <c r="N161" s="217"/>
      <c r="O161" s="433"/>
      <c r="P161" s="357"/>
      <c r="Q161" s="219"/>
      <c r="R161" s="469"/>
      <c r="S161" s="500"/>
      <c r="T161" s="411" t="str">
        <f t="shared" si="28"/>
        <v/>
      </c>
      <c r="U161" s="396"/>
      <c r="V161" s="714"/>
      <c r="W161" s="453"/>
      <c r="X161" s="699"/>
    </row>
    <row r="162" spans="2:24">
      <c r="B162" s="215">
        <v>15</v>
      </c>
      <c r="C162" s="217"/>
      <c r="D162" s="217"/>
      <c r="E162" s="218"/>
      <c r="F162" s="357"/>
      <c r="G162" s="219"/>
      <c r="H162" s="542"/>
      <c r="I162" s="699"/>
      <c r="J162" s="702"/>
      <c r="K162" s="192"/>
      <c r="L162" s="215">
        <v>15</v>
      </c>
      <c r="M162" s="290" t="s">
        <v>385</v>
      </c>
      <c r="N162" s="217"/>
      <c r="O162" s="433"/>
      <c r="P162" s="357"/>
      <c r="Q162" s="219"/>
      <c r="R162" s="469"/>
      <c r="S162" s="500"/>
      <c r="T162" s="411" t="str">
        <f t="shared" si="28"/>
        <v/>
      </c>
      <c r="U162" s="396"/>
      <c r="V162" s="714"/>
      <c r="W162" s="453"/>
      <c r="X162" s="699"/>
    </row>
    <row r="163" spans="2:24">
      <c r="B163" s="215">
        <v>15</v>
      </c>
      <c r="C163" s="217"/>
      <c r="D163" s="217"/>
      <c r="E163" s="218"/>
      <c r="F163" s="357"/>
      <c r="G163" s="219"/>
      <c r="H163" s="542"/>
      <c r="I163" s="699"/>
      <c r="J163" s="702"/>
      <c r="K163" s="192"/>
      <c r="L163" s="215">
        <v>15</v>
      </c>
      <c r="M163" s="290" t="s">
        <v>385</v>
      </c>
      <c r="N163" s="217"/>
      <c r="O163" s="433"/>
      <c r="P163" s="357"/>
      <c r="Q163" s="219"/>
      <c r="R163" s="469"/>
      <c r="S163" s="500"/>
      <c r="T163" s="411" t="str">
        <f t="shared" si="28"/>
        <v/>
      </c>
      <c r="U163" s="396"/>
      <c r="V163" s="714"/>
      <c r="W163" s="453"/>
      <c r="X163" s="699"/>
    </row>
    <row r="164" spans="2:24">
      <c r="B164" s="215">
        <v>15</v>
      </c>
      <c r="C164" s="217"/>
      <c r="D164" s="217"/>
      <c r="E164" s="218"/>
      <c r="F164" s="357"/>
      <c r="G164" s="219"/>
      <c r="H164" s="542"/>
      <c r="I164" s="699"/>
      <c r="J164" s="702"/>
      <c r="K164" s="192"/>
      <c r="L164" s="215">
        <v>15</v>
      </c>
      <c r="M164" s="290" t="s">
        <v>385</v>
      </c>
      <c r="N164" s="217"/>
      <c r="O164" s="433"/>
      <c r="P164" s="357"/>
      <c r="Q164" s="219"/>
      <c r="R164" s="469"/>
      <c r="S164" s="500"/>
      <c r="T164" s="411" t="str">
        <f t="shared" si="28"/>
        <v/>
      </c>
      <c r="U164" s="396"/>
      <c r="V164" s="714"/>
      <c r="W164" s="453"/>
      <c r="X164" s="699"/>
    </row>
    <row r="165" spans="2:24" ht="15" customHeight="1" thickBot="1">
      <c r="B165" s="220">
        <v>15</v>
      </c>
      <c r="C165" s="221"/>
      <c r="D165" s="221"/>
      <c r="E165" s="222"/>
      <c r="F165" s="358"/>
      <c r="G165" s="234"/>
      <c r="H165" s="552"/>
      <c r="I165" s="700"/>
      <c r="J165" s="703"/>
      <c r="K165" s="193"/>
      <c r="L165" s="220">
        <v>15</v>
      </c>
      <c r="M165" s="318" t="s">
        <v>385</v>
      </c>
      <c r="N165" s="221"/>
      <c r="O165" s="435"/>
      <c r="P165" s="358"/>
      <c r="Q165" s="234"/>
      <c r="R165" s="471"/>
      <c r="S165" s="502"/>
      <c r="T165" s="413" t="str">
        <f t="shared" si="28"/>
        <v/>
      </c>
      <c r="U165" s="398"/>
      <c r="V165" s="715"/>
      <c r="W165" s="455"/>
      <c r="X165" s="700"/>
    </row>
    <row r="166" spans="2:24" s="1" customFormat="1">
      <c r="B166" s="25"/>
      <c r="E166" s="2"/>
      <c r="F166" s="371"/>
      <c r="G166" s="3"/>
      <c r="H166" s="3"/>
      <c r="I166" s="251"/>
      <c r="J166" s="251"/>
      <c r="L166" s="25"/>
      <c r="O166" s="2"/>
      <c r="P166" s="371"/>
      <c r="Q166" s="252"/>
      <c r="R166" s="252"/>
      <c r="S166" s="252"/>
      <c r="T166" s="252"/>
      <c r="U166" s="252"/>
      <c r="V166" s="252"/>
      <c r="W166" s="252"/>
      <c r="X166" s="252"/>
    </row>
    <row r="167" spans="2:24">
      <c r="B167" s="26"/>
      <c r="C167" s="431" t="s">
        <v>389</v>
      </c>
      <c r="D167" s="623">
        <v>556966.5</v>
      </c>
      <c r="E167" s="77"/>
      <c r="F167" s="625">
        <v>696208</v>
      </c>
      <c r="G167" s="26"/>
      <c r="H167" s="26"/>
      <c r="I167" s="26"/>
      <c r="J167" s="26"/>
    </row>
    <row r="168" spans="2:24">
      <c r="B168" s="26"/>
      <c r="C168" s="431" t="s">
        <v>390</v>
      </c>
      <c r="D168" s="623">
        <v>140000</v>
      </c>
      <c r="E168" s="77"/>
      <c r="F168" s="625">
        <v>175000</v>
      </c>
      <c r="G168" s="26"/>
      <c r="H168" s="26"/>
      <c r="I168" s="160"/>
      <c r="J168" s="160"/>
    </row>
    <row r="169" spans="2:24">
      <c r="B169" s="26"/>
      <c r="C169" s="431" t="s">
        <v>391</v>
      </c>
      <c r="D169" s="623">
        <v>112716</v>
      </c>
      <c r="E169" s="77"/>
      <c r="F169" s="625">
        <v>140895</v>
      </c>
      <c r="G169" s="26"/>
      <c r="H169" s="26"/>
      <c r="I169" s="253"/>
      <c r="J169" s="253"/>
    </row>
    <row r="170" spans="2:24">
      <c r="B170" s="26"/>
      <c r="C170" s="431" t="s">
        <v>302</v>
      </c>
      <c r="D170" s="623">
        <v>207033.9</v>
      </c>
      <c r="E170" s="77"/>
      <c r="F170" s="625">
        <v>258792</v>
      </c>
      <c r="G170" s="26"/>
      <c r="H170" s="26"/>
      <c r="I170" s="160"/>
      <c r="J170" s="160"/>
    </row>
    <row r="171" spans="2:24">
      <c r="B171" s="26"/>
      <c r="C171" s="431" t="s">
        <v>341</v>
      </c>
      <c r="D171" s="623">
        <v>268570.82</v>
      </c>
      <c r="E171" s="77"/>
      <c r="F171" s="625">
        <v>335714</v>
      </c>
      <c r="G171" s="26"/>
      <c r="H171" s="26"/>
      <c r="I171" s="253"/>
      <c r="J171" s="253"/>
    </row>
    <row r="172" spans="2:24">
      <c r="B172" s="26"/>
      <c r="C172" s="431" t="s">
        <v>323</v>
      </c>
      <c r="D172" s="623">
        <v>49000</v>
      </c>
      <c r="E172" s="77"/>
      <c r="F172" s="625">
        <v>61250</v>
      </c>
      <c r="G172" s="26"/>
      <c r="H172" s="26"/>
      <c r="I172" s="160"/>
      <c r="J172" s="160"/>
    </row>
    <row r="173" spans="2:24">
      <c r="B173" s="26"/>
      <c r="C173" s="431" t="s">
        <v>392</v>
      </c>
      <c r="D173" s="623" t="s">
        <v>393</v>
      </c>
      <c r="E173" s="77"/>
      <c r="F173" s="625"/>
      <c r="G173" s="26"/>
      <c r="H173" s="26"/>
      <c r="I173" s="160"/>
      <c r="J173" s="160"/>
    </row>
    <row r="174" spans="2:24">
      <c r="B174" s="26"/>
      <c r="C174" s="431" t="s">
        <v>394</v>
      </c>
      <c r="D174" s="623" t="s">
        <v>393</v>
      </c>
      <c r="E174" s="77"/>
      <c r="F174" s="625"/>
      <c r="G174" s="26"/>
      <c r="H174" s="26"/>
      <c r="I174" s="160"/>
      <c r="J174" s="160"/>
    </row>
    <row r="175" spans="2:24">
      <c r="B175" s="26"/>
      <c r="C175" s="431" t="s">
        <v>395</v>
      </c>
      <c r="D175" s="623" t="s">
        <v>393</v>
      </c>
      <c r="E175" s="77"/>
      <c r="F175" s="625"/>
      <c r="G175" s="26"/>
      <c r="H175" s="26"/>
      <c r="I175" s="160"/>
      <c r="J175" s="160"/>
    </row>
    <row r="176" spans="2:24">
      <c r="B176" s="26"/>
      <c r="C176" s="431" t="s">
        <v>396</v>
      </c>
      <c r="D176" s="623" t="s">
        <v>393</v>
      </c>
      <c r="E176" s="77"/>
      <c r="F176" s="625"/>
      <c r="G176" s="26"/>
      <c r="H176" s="26"/>
      <c r="I176" s="160"/>
      <c r="J176" s="160"/>
    </row>
    <row r="177" spans="2:23">
      <c r="B177" s="26"/>
      <c r="C177" s="431" t="s">
        <v>397</v>
      </c>
      <c r="D177" s="623" t="s">
        <v>393</v>
      </c>
      <c r="E177" s="77"/>
      <c r="F177" s="625"/>
      <c r="G177" s="26"/>
      <c r="H177" s="26"/>
      <c r="I177" s="160"/>
      <c r="J177" s="160"/>
    </row>
    <row r="178" spans="2:23">
      <c r="B178" s="26"/>
      <c r="C178" s="431" t="s">
        <v>398</v>
      </c>
      <c r="D178" s="623"/>
      <c r="E178" s="77"/>
      <c r="F178" s="625"/>
      <c r="G178" s="26"/>
      <c r="H178" s="26"/>
      <c r="I178" s="160"/>
      <c r="J178" s="160"/>
    </row>
    <row r="179" spans="2:23">
      <c r="B179" s="26"/>
      <c r="C179" s="431"/>
      <c r="D179" s="623"/>
      <c r="E179" s="77"/>
      <c r="F179" s="625"/>
      <c r="G179" s="26"/>
      <c r="H179" s="26"/>
      <c r="I179" s="160"/>
      <c r="J179" s="160"/>
    </row>
    <row r="180" spans="2:23" s="26" customFormat="1">
      <c r="C180" s="431" t="s">
        <v>399</v>
      </c>
      <c r="D180" s="624">
        <v>62620</v>
      </c>
      <c r="E180" s="77"/>
      <c r="F180" s="625">
        <v>69578</v>
      </c>
      <c r="I180" s="160"/>
      <c r="J180" s="160"/>
      <c r="T180" s="431"/>
      <c r="U180" s="431"/>
      <c r="W180" s="431"/>
    </row>
    <row r="181" spans="2:23" s="26" customFormat="1">
      <c r="C181" s="431" t="s">
        <v>400</v>
      </c>
      <c r="D181" s="624">
        <v>134330</v>
      </c>
      <c r="E181" s="77"/>
      <c r="F181" s="625">
        <v>149256</v>
      </c>
      <c r="I181" s="160"/>
      <c r="J181" s="160"/>
      <c r="T181" s="431"/>
      <c r="U181" s="431"/>
      <c r="W181" s="431"/>
    </row>
    <row r="182" spans="2:23" s="26" customFormat="1">
      <c r="C182" s="431" t="s">
        <v>401</v>
      </c>
      <c r="D182" s="624">
        <v>20963.650000000001</v>
      </c>
      <c r="E182" s="77"/>
      <c r="F182" s="625">
        <v>23822</v>
      </c>
      <c r="I182" s="160"/>
      <c r="J182" s="160"/>
      <c r="T182" s="431"/>
      <c r="U182" s="431"/>
      <c r="W182" s="431"/>
    </row>
    <row r="183" spans="2:23" s="26" customFormat="1">
      <c r="C183" s="431" t="s">
        <v>402</v>
      </c>
      <c r="D183" s="624">
        <v>89000</v>
      </c>
      <c r="E183" s="77"/>
      <c r="F183" s="625">
        <v>98889</v>
      </c>
      <c r="I183" s="160"/>
      <c r="J183" s="160"/>
      <c r="T183" s="431"/>
      <c r="U183" s="431"/>
      <c r="W183" s="431"/>
    </row>
    <row r="184" spans="2:23" s="26" customFormat="1">
      <c r="C184" s="431" t="s">
        <v>403</v>
      </c>
      <c r="D184" s="624">
        <v>8500</v>
      </c>
      <c r="E184" s="77"/>
      <c r="F184" s="625">
        <v>9444</v>
      </c>
      <c r="I184" s="160"/>
      <c r="J184" s="160"/>
      <c r="T184" s="431"/>
      <c r="U184" s="431"/>
      <c r="W184" s="431"/>
    </row>
    <row r="185" spans="2:23" s="26" customFormat="1">
      <c r="C185" s="431" t="s">
        <v>404</v>
      </c>
      <c r="D185" s="624" t="s">
        <v>393</v>
      </c>
      <c r="E185" s="77"/>
      <c r="F185" s="625"/>
      <c r="I185" s="160"/>
      <c r="J185" s="160"/>
      <c r="T185" s="431"/>
      <c r="U185" s="431"/>
      <c r="W185" s="431"/>
    </row>
    <row r="186" spans="2:23" s="26" customFormat="1">
      <c r="C186" s="431" t="s">
        <v>405</v>
      </c>
      <c r="D186" s="624">
        <v>1027.78</v>
      </c>
      <c r="E186" s="77"/>
      <c r="F186" s="625">
        <v>1142</v>
      </c>
      <c r="I186" s="160"/>
      <c r="J186" s="160"/>
      <c r="T186" s="431"/>
      <c r="U186" s="431"/>
      <c r="W186" s="431"/>
    </row>
    <row r="187" spans="2:23" s="26" customFormat="1">
      <c r="C187" s="431" t="s">
        <v>406</v>
      </c>
      <c r="D187" s="624">
        <v>30000</v>
      </c>
      <c r="E187" s="77"/>
      <c r="F187" s="625">
        <v>33333</v>
      </c>
      <c r="I187" s="160"/>
      <c r="J187" s="160"/>
      <c r="T187" s="431"/>
      <c r="U187" s="431"/>
      <c r="W187" s="431"/>
    </row>
    <row r="188" spans="2:23" s="26" customFormat="1">
      <c r="C188" s="431" t="s">
        <v>407</v>
      </c>
      <c r="D188" s="624">
        <v>17326.669999999998</v>
      </c>
      <c r="E188" s="77"/>
      <c r="F188" s="625">
        <v>19252</v>
      </c>
      <c r="I188" s="160"/>
      <c r="J188" s="160"/>
      <c r="T188" s="431"/>
      <c r="U188" s="431"/>
      <c r="W188" s="431"/>
    </row>
    <row r="189" spans="2:23" s="26" customFormat="1">
      <c r="C189" s="431" t="s">
        <v>408</v>
      </c>
      <c r="D189" s="624" t="s">
        <v>393</v>
      </c>
      <c r="E189" s="77"/>
      <c r="F189" s="625"/>
      <c r="I189" s="160"/>
      <c r="J189" s="160"/>
      <c r="T189" s="431"/>
      <c r="U189" s="431"/>
      <c r="W189" s="431"/>
    </row>
    <row r="190" spans="2:23" s="26" customFormat="1">
      <c r="C190" s="431" t="s">
        <v>395</v>
      </c>
      <c r="D190" s="624" t="s">
        <v>393</v>
      </c>
      <c r="E190" s="77"/>
      <c r="F190" s="625"/>
      <c r="I190" s="160"/>
      <c r="J190" s="160"/>
      <c r="T190" s="431"/>
      <c r="U190" s="431"/>
      <c r="W190" s="431"/>
    </row>
    <row r="191" spans="2:23" s="26" customFormat="1">
      <c r="C191" s="431"/>
      <c r="D191" s="624"/>
      <c r="E191" s="77"/>
      <c r="F191" s="625"/>
      <c r="I191" s="160"/>
      <c r="J191" s="160"/>
      <c r="T191" s="431"/>
      <c r="U191" s="431"/>
      <c r="W191" s="431"/>
    </row>
    <row r="192" spans="2:23" s="26" customFormat="1">
      <c r="C192" s="431" t="s">
        <v>409</v>
      </c>
      <c r="D192" s="624"/>
      <c r="E192" s="77"/>
      <c r="F192" s="625"/>
      <c r="I192" s="160"/>
      <c r="J192" s="160"/>
      <c r="T192" s="431"/>
      <c r="U192" s="431"/>
      <c r="W192" s="431"/>
    </row>
    <row r="193" spans="3:23" s="26" customFormat="1">
      <c r="C193" s="431" t="s">
        <v>410</v>
      </c>
      <c r="D193" s="624">
        <v>4375</v>
      </c>
      <c r="E193" s="77"/>
      <c r="F193" s="625">
        <v>4861</v>
      </c>
      <c r="I193" s="160"/>
      <c r="J193" s="160"/>
      <c r="T193" s="431"/>
      <c r="U193" s="431"/>
      <c r="W193" s="431"/>
    </row>
    <row r="194" spans="3:23" s="26" customFormat="1">
      <c r="C194" s="431"/>
      <c r="D194" s="431"/>
      <c r="E194" s="77"/>
      <c r="F194" s="362"/>
      <c r="I194" s="160"/>
      <c r="J194" s="160"/>
      <c r="T194" s="431"/>
      <c r="U194" s="431"/>
      <c r="W194" s="431"/>
    </row>
    <row r="195" spans="3:23" s="26" customFormat="1">
      <c r="C195" s="431"/>
      <c r="D195" s="431"/>
      <c r="E195" s="77"/>
      <c r="F195" s="362"/>
      <c r="I195" s="160"/>
      <c r="J195" s="160"/>
      <c r="T195" s="431"/>
      <c r="U195" s="431"/>
      <c r="W195" s="431"/>
    </row>
    <row r="196" spans="3:23" s="26" customFormat="1">
      <c r="C196" s="431"/>
      <c r="D196" s="431"/>
      <c r="E196" s="77"/>
      <c r="F196" s="362"/>
      <c r="I196" s="160"/>
      <c r="J196" s="160"/>
      <c r="T196" s="431"/>
      <c r="U196" s="431"/>
      <c r="W196" s="431"/>
    </row>
    <row r="197" spans="3:23" s="26" customFormat="1">
      <c r="C197" s="431"/>
      <c r="D197" s="431"/>
      <c r="E197" s="77"/>
      <c r="F197" s="362"/>
      <c r="I197" s="160"/>
      <c r="J197" s="160"/>
      <c r="T197" s="431"/>
      <c r="U197" s="431"/>
      <c r="W197" s="431"/>
    </row>
    <row r="198" spans="3:23" s="26" customFormat="1">
      <c r="C198" s="431"/>
      <c r="D198" s="431"/>
      <c r="E198" s="77"/>
      <c r="F198" s="362"/>
      <c r="I198" s="160"/>
      <c r="J198" s="160"/>
      <c r="T198" s="431"/>
      <c r="U198" s="431"/>
      <c r="W198" s="431"/>
    </row>
    <row r="199" spans="3:23" s="26" customFormat="1">
      <c r="C199" s="431"/>
      <c r="D199" s="431"/>
      <c r="E199" s="77"/>
      <c r="F199" s="362"/>
      <c r="I199" s="160"/>
      <c r="J199" s="160"/>
      <c r="T199" s="431"/>
      <c r="U199" s="431"/>
      <c r="W199" s="431"/>
    </row>
    <row r="200" spans="3:23" s="26" customFormat="1">
      <c r="C200" s="431"/>
      <c r="D200" s="431"/>
      <c r="E200" s="77"/>
      <c r="F200" s="362"/>
      <c r="I200" s="160"/>
      <c r="J200" s="160"/>
      <c r="T200" s="431"/>
      <c r="U200" s="431"/>
      <c r="W200" s="431"/>
    </row>
    <row r="201" spans="3:23" s="26" customFormat="1">
      <c r="C201" s="431"/>
      <c r="D201" s="431"/>
      <c r="E201" s="77"/>
      <c r="F201" s="362"/>
      <c r="I201" s="160"/>
      <c r="J201" s="160"/>
      <c r="T201" s="431"/>
      <c r="U201" s="431"/>
      <c r="W201" s="431"/>
    </row>
    <row r="202" spans="3:23" s="26" customFormat="1">
      <c r="C202" s="431"/>
      <c r="D202" s="431"/>
      <c r="E202" s="77"/>
      <c r="F202" s="362"/>
      <c r="I202" s="160"/>
      <c r="J202" s="160"/>
      <c r="T202" s="431"/>
      <c r="U202" s="431"/>
      <c r="W202" s="431"/>
    </row>
    <row r="203" spans="3:23" s="26" customFormat="1">
      <c r="C203" s="431"/>
      <c r="D203" s="431"/>
      <c r="E203" s="77"/>
      <c r="F203" s="362"/>
      <c r="I203" s="160"/>
      <c r="J203" s="160"/>
      <c r="T203" s="431"/>
      <c r="U203" s="431"/>
      <c r="W203" s="431"/>
    </row>
    <row r="204" spans="3:23" s="26" customFormat="1">
      <c r="C204" s="431"/>
      <c r="D204" s="431"/>
      <c r="E204" s="77"/>
      <c r="F204" s="362"/>
      <c r="I204" s="160"/>
      <c r="J204" s="160"/>
      <c r="T204" s="431"/>
      <c r="U204" s="431"/>
      <c r="W204" s="431"/>
    </row>
    <row r="205" spans="3:23" s="26" customFormat="1">
      <c r="C205" s="431"/>
      <c r="D205" s="431"/>
      <c r="E205" s="77"/>
      <c r="F205" s="362"/>
      <c r="I205" s="160"/>
      <c r="J205" s="160"/>
      <c r="T205" s="431"/>
      <c r="U205" s="431"/>
      <c r="W205" s="431"/>
    </row>
    <row r="206" spans="3:23" s="26" customFormat="1">
      <c r="C206" s="431"/>
      <c r="D206" s="431"/>
      <c r="E206" s="77"/>
      <c r="F206" s="362"/>
      <c r="I206" s="160"/>
      <c r="J206" s="160"/>
      <c r="T206" s="431"/>
      <c r="U206" s="431"/>
      <c r="W206" s="431"/>
    </row>
    <row r="207" spans="3:23" s="26" customFormat="1">
      <c r="C207" s="431"/>
      <c r="D207" s="431"/>
      <c r="E207" s="77"/>
      <c r="F207" s="362"/>
      <c r="I207" s="160"/>
      <c r="J207" s="160"/>
      <c r="T207" s="431"/>
      <c r="U207" s="431"/>
      <c r="W207" s="431"/>
    </row>
    <row r="208" spans="3:23" s="26" customFormat="1">
      <c r="C208" s="431"/>
      <c r="D208" s="431"/>
      <c r="E208" s="77"/>
      <c r="F208" s="362"/>
      <c r="I208" s="160"/>
      <c r="J208" s="160"/>
      <c r="T208" s="431"/>
      <c r="U208" s="431"/>
      <c r="W208" s="431"/>
    </row>
    <row r="209" spans="3:23" s="26" customFormat="1">
      <c r="C209" s="431"/>
      <c r="D209" s="431"/>
      <c r="E209" s="77"/>
      <c r="F209" s="362"/>
      <c r="I209" s="160"/>
      <c r="J209" s="160"/>
      <c r="T209" s="431"/>
      <c r="U209" s="431"/>
      <c r="W209" s="431"/>
    </row>
    <row r="210" spans="3:23" s="26" customFormat="1">
      <c r="C210" s="431"/>
      <c r="D210" s="431"/>
      <c r="E210" s="77"/>
      <c r="F210" s="362"/>
      <c r="I210" s="160"/>
      <c r="J210" s="160"/>
      <c r="T210" s="431"/>
      <c r="U210" s="431"/>
      <c r="W210" s="431"/>
    </row>
    <row r="211" spans="3:23" s="26" customFormat="1">
      <c r="C211" s="431"/>
      <c r="D211" s="431"/>
      <c r="E211" s="77"/>
      <c r="F211" s="362"/>
      <c r="I211" s="160"/>
      <c r="J211" s="160"/>
      <c r="T211" s="431"/>
      <c r="U211" s="431"/>
      <c r="W211" s="431"/>
    </row>
    <row r="212" spans="3:23" s="26" customFormat="1">
      <c r="C212" s="431"/>
      <c r="D212" s="431"/>
      <c r="E212" s="77"/>
      <c r="F212" s="362"/>
      <c r="I212" s="160"/>
      <c r="J212" s="160"/>
      <c r="T212" s="431"/>
      <c r="U212" s="431"/>
      <c r="W212" s="431"/>
    </row>
    <row r="213" spans="3:23" s="26" customFormat="1">
      <c r="C213" s="431"/>
      <c r="D213" s="431"/>
      <c r="E213" s="77"/>
      <c r="F213" s="362"/>
      <c r="I213" s="160"/>
      <c r="J213" s="160"/>
      <c r="T213" s="431"/>
      <c r="U213" s="431"/>
      <c r="W213" s="431"/>
    </row>
    <row r="214" spans="3:23" s="26" customFormat="1">
      <c r="E214" s="77"/>
      <c r="F214" s="362"/>
      <c r="I214" s="160"/>
      <c r="J214" s="160"/>
      <c r="T214" s="431"/>
      <c r="U214" s="431"/>
      <c r="W214" s="431"/>
    </row>
    <row r="215" spans="3:23" s="26" customFormat="1">
      <c r="E215" s="77"/>
      <c r="F215" s="362"/>
      <c r="I215" s="160"/>
      <c r="J215" s="160"/>
      <c r="T215" s="431"/>
      <c r="U215" s="431"/>
      <c r="W215" s="431"/>
    </row>
    <row r="216" spans="3:23" s="26" customFormat="1">
      <c r="E216" s="77"/>
      <c r="F216" s="362"/>
      <c r="I216" s="160"/>
      <c r="J216" s="160"/>
      <c r="T216" s="431"/>
      <c r="U216" s="431"/>
      <c r="W216" s="431"/>
    </row>
    <row r="217" spans="3:23" s="26" customFormat="1">
      <c r="E217" s="77"/>
      <c r="F217" s="362"/>
      <c r="I217" s="160"/>
      <c r="J217" s="160"/>
      <c r="T217" s="431"/>
      <c r="U217" s="431"/>
      <c r="W217" s="431"/>
    </row>
    <row r="218" spans="3:23" s="26" customFormat="1">
      <c r="E218" s="77"/>
      <c r="F218" s="362"/>
      <c r="I218" s="160"/>
      <c r="J218" s="160"/>
      <c r="T218" s="431"/>
      <c r="U218" s="431"/>
      <c r="W218" s="431"/>
    </row>
    <row r="219" spans="3:23" s="26" customFormat="1">
      <c r="E219" s="77"/>
      <c r="F219" s="362"/>
      <c r="I219" s="160"/>
      <c r="J219" s="160"/>
      <c r="T219" s="431"/>
      <c r="U219" s="431"/>
      <c r="W219" s="431"/>
    </row>
    <row r="220" spans="3:23" s="26" customFormat="1">
      <c r="E220" s="77"/>
      <c r="F220" s="362"/>
      <c r="I220" s="160"/>
      <c r="J220" s="160"/>
      <c r="T220" s="431"/>
      <c r="U220" s="431"/>
      <c r="W220" s="431"/>
    </row>
    <row r="221" spans="3:23" s="26" customFormat="1">
      <c r="E221" s="77"/>
      <c r="F221" s="362"/>
      <c r="I221" s="160"/>
      <c r="J221" s="160"/>
      <c r="T221" s="431"/>
      <c r="U221" s="431"/>
      <c r="W221" s="431"/>
    </row>
    <row r="222" spans="3:23" s="26" customFormat="1">
      <c r="E222" s="77"/>
      <c r="F222" s="362"/>
      <c r="I222" s="160"/>
      <c r="J222" s="160"/>
      <c r="T222" s="431"/>
      <c r="U222" s="431"/>
      <c r="W222" s="431"/>
    </row>
    <row r="223" spans="3:23" s="26" customFormat="1">
      <c r="E223" s="77"/>
      <c r="F223" s="362"/>
      <c r="I223" s="160"/>
      <c r="J223" s="160"/>
      <c r="T223" s="431"/>
      <c r="U223" s="431"/>
      <c r="W223" s="431"/>
    </row>
    <row r="224" spans="3:23" s="26" customFormat="1">
      <c r="E224" s="77"/>
      <c r="F224" s="362"/>
      <c r="I224" s="160"/>
      <c r="J224" s="160"/>
      <c r="T224" s="431"/>
      <c r="U224" s="431"/>
      <c r="W224" s="431"/>
    </row>
    <row r="225" spans="5:23" s="26" customFormat="1">
      <c r="E225" s="77"/>
      <c r="F225" s="362"/>
      <c r="I225" s="160"/>
      <c r="J225" s="160"/>
      <c r="T225" s="431"/>
      <c r="U225" s="431"/>
      <c r="W225" s="431"/>
    </row>
    <row r="226" spans="5:23" s="26" customFormat="1">
      <c r="E226" s="77"/>
      <c r="F226" s="362"/>
      <c r="I226" s="160"/>
      <c r="J226" s="160"/>
      <c r="T226" s="431"/>
      <c r="U226" s="431"/>
      <c r="W226" s="431"/>
    </row>
    <row r="227" spans="5:23" s="26" customFormat="1">
      <c r="E227" s="77"/>
      <c r="F227" s="362"/>
      <c r="I227" s="160"/>
      <c r="J227" s="160"/>
      <c r="T227" s="431"/>
      <c r="U227" s="431"/>
      <c r="W227" s="431"/>
    </row>
    <row r="228" spans="5:23" s="26" customFormat="1">
      <c r="E228" s="77"/>
      <c r="F228" s="362"/>
      <c r="I228" s="160"/>
      <c r="J228" s="160"/>
      <c r="T228" s="431"/>
      <c r="U228" s="431"/>
      <c r="W228" s="431"/>
    </row>
    <row r="229" spans="5:23" s="26" customFormat="1">
      <c r="E229" s="77"/>
      <c r="F229" s="362"/>
      <c r="I229" s="160"/>
      <c r="J229" s="160"/>
      <c r="T229" s="431"/>
      <c r="U229" s="431"/>
      <c r="W229" s="431"/>
    </row>
    <row r="230" spans="5:23" s="26" customFormat="1">
      <c r="E230" s="77"/>
      <c r="F230" s="362"/>
      <c r="I230" s="160"/>
      <c r="J230" s="160"/>
      <c r="T230" s="431"/>
      <c r="U230" s="431"/>
      <c r="W230" s="431"/>
    </row>
    <row r="231" spans="5:23" s="26" customFormat="1">
      <c r="E231" s="77"/>
      <c r="F231" s="362"/>
      <c r="I231" s="160"/>
      <c r="J231" s="160"/>
      <c r="T231" s="431"/>
      <c r="U231" s="431"/>
      <c r="W231" s="431"/>
    </row>
    <row r="232" spans="5:23" s="26" customFormat="1">
      <c r="E232" s="77"/>
      <c r="F232" s="362"/>
      <c r="I232" s="160"/>
      <c r="J232" s="160"/>
      <c r="T232" s="431"/>
      <c r="U232" s="431"/>
      <c r="W232" s="431"/>
    </row>
    <row r="233" spans="5:23" s="26" customFormat="1">
      <c r="E233" s="77"/>
      <c r="F233" s="362"/>
      <c r="I233" s="160"/>
      <c r="J233" s="160"/>
      <c r="T233" s="431"/>
      <c r="U233" s="431"/>
      <c r="W233" s="431"/>
    </row>
    <row r="234" spans="5:23" s="26" customFormat="1">
      <c r="E234" s="77"/>
      <c r="F234" s="362"/>
      <c r="I234" s="160"/>
      <c r="J234" s="160"/>
      <c r="T234" s="431"/>
      <c r="U234" s="431"/>
      <c r="W234" s="431"/>
    </row>
    <row r="235" spans="5:23" s="26" customFormat="1">
      <c r="E235" s="77"/>
      <c r="F235" s="362"/>
      <c r="I235" s="160"/>
      <c r="J235" s="160"/>
      <c r="T235" s="431"/>
      <c r="U235" s="431"/>
      <c r="W235" s="431"/>
    </row>
    <row r="236" spans="5:23" s="26" customFormat="1">
      <c r="E236" s="77"/>
      <c r="F236" s="362"/>
      <c r="I236" s="160"/>
      <c r="J236" s="160"/>
      <c r="T236" s="431"/>
      <c r="U236" s="431"/>
      <c r="W236" s="431"/>
    </row>
    <row r="237" spans="5:23" s="26" customFormat="1">
      <c r="E237" s="77"/>
      <c r="F237" s="362"/>
      <c r="I237" s="160"/>
      <c r="J237" s="160"/>
      <c r="T237" s="431"/>
      <c r="U237" s="431"/>
      <c r="W237" s="431"/>
    </row>
    <row r="238" spans="5:23" s="26" customFormat="1">
      <c r="E238" s="77"/>
      <c r="F238" s="362"/>
      <c r="I238" s="160"/>
      <c r="J238" s="160"/>
      <c r="T238" s="431"/>
      <c r="U238" s="431"/>
      <c r="W238" s="431"/>
    </row>
    <row r="239" spans="5:23" s="26" customFormat="1">
      <c r="E239" s="77"/>
      <c r="F239" s="362"/>
      <c r="I239" s="160"/>
      <c r="J239" s="160"/>
      <c r="T239" s="431"/>
      <c r="U239" s="431"/>
      <c r="W239" s="431"/>
    </row>
    <row r="240" spans="5:23" s="26" customFormat="1">
      <c r="E240" s="77"/>
      <c r="F240" s="362"/>
      <c r="I240" s="160"/>
      <c r="J240" s="160"/>
      <c r="T240" s="431"/>
      <c r="U240" s="431"/>
      <c r="W240" s="431"/>
    </row>
    <row r="241" spans="5:23" s="26" customFormat="1">
      <c r="E241" s="77"/>
      <c r="F241" s="362"/>
      <c r="I241" s="160"/>
      <c r="J241" s="160"/>
      <c r="T241" s="431"/>
      <c r="U241" s="431"/>
      <c r="W241" s="431"/>
    </row>
    <row r="242" spans="5:23" s="26" customFormat="1">
      <c r="E242" s="77"/>
      <c r="F242" s="362"/>
      <c r="I242" s="160"/>
      <c r="J242" s="160"/>
      <c r="T242" s="431"/>
      <c r="U242" s="431"/>
      <c r="W242" s="431"/>
    </row>
    <row r="243" spans="5:23" s="26" customFormat="1">
      <c r="E243" s="77"/>
      <c r="F243" s="362"/>
      <c r="I243" s="160"/>
      <c r="J243" s="160"/>
      <c r="T243" s="431"/>
      <c r="U243" s="431"/>
      <c r="W243" s="431"/>
    </row>
    <row r="244" spans="5:23" s="26" customFormat="1">
      <c r="E244" s="77"/>
      <c r="F244" s="362"/>
      <c r="I244" s="160"/>
      <c r="J244" s="160"/>
      <c r="T244" s="431"/>
      <c r="U244" s="431"/>
      <c r="W244" s="431"/>
    </row>
    <row r="245" spans="5:23" s="26" customFormat="1">
      <c r="E245" s="77"/>
      <c r="F245" s="362"/>
      <c r="I245" s="160"/>
      <c r="J245" s="160"/>
      <c r="T245" s="431"/>
      <c r="U245" s="431"/>
      <c r="W245" s="431"/>
    </row>
    <row r="246" spans="5:23" s="26" customFormat="1">
      <c r="E246" s="77"/>
      <c r="F246" s="362"/>
      <c r="I246" s="160"/>
      <c r="J246" s="160"/>
      <c r="T246" s="431"/>
      <c r="U246" s="431"/>
      <c r="W246" s="431"/>
    </row>
    <row r="247" spans="5:23" s="26" customFormat="1">
      <c r="E247" s="77"/>
      <c r="F247" s="362"/>
      <c r="I247" s="160"/>
      <c r="J247" s="160"/>
      <c r="T247" s="431"/>
      <c r="U247" s="431"/>
      <c r="W247" s="431"/>
    </row>
    <row r="248" spans="5:23" s="26" customFormat="1">
      <c r="E248" s="77"/>
      <c r="F248" s="362"/>
      <c r="I248" s="160"/>
      <c r="J248" s="160"/>
      <c r="T248" s="431"/>
      <c r="U248" s="431"/>
      <c r="W248" s="431"/>
    </row>
    <row r="249" spans="5:23" s="26" customFormat="1">
      <c r="E249" s="77"/>
      <c r="F249" s="362"/>
      <c r="I249" s="160"/>
      <c r="J249" s="160"/>
      <c r="T249" s="431"/>
      <c r="U249" s="431"/>
      <c r="W249" s="431"/>
    </row>
    <row r="250" spans="5:23" s="26" customFormat="1">
      <c r="E250" s="77"/>
      <c r="F250" s="362"/>
      <c r="I250" s="160"/>
      <c r="J250" s="160"/>
      <c r="T250" s="431"/>
      <c r="U250" s="431"/>
      <c r="W250" s="431"/>
    </row>
    <row r="251" spans="5:23" s="26" customFormat="1">
      <c r="E251" s="77"/>
      <c r="F251" s="362"/>
      <c r="I251" s="160"/>
      <c r="J251" s="160"/>
      <c r="T251" s="431"/>
      <c r="U251" s="431"/>
      <c r="W251" s="431"/>
    </row>
    <row r="252" spans="5:23" s="26" customFormat="1">
      <c r="E252" s="77"/>
      <c r="F252" s="362"/>
      <c r="I252" s="160"/>
      <c r="J252" s="160"/>
      <c r="T252" s="431"/>
      <c r="U252" s="431"/>
      <c r="W252" s="431"/>
    </row>
    <row r="253" spans="5:23" s="26" customFormat="1">
      <c r="E253" s="77"/>
      <c r="F253" s="362"/>
      <c r="I253" s="160"/>
      <c r="J253" s="160"/>
      <c r="T253" s="431"/>
      <c r="U253" s="431"/>
      <c r="W253" s="431"/>
    </row>
    <row r="254" spans="5:23" s="26" customFormat="1">
      <c r="E254" s="77"/>
      <c r="F254" s="362"/>
      <c r="I254" s="160"/>
      <c r="J254" s="160"/>
      <c r="T254" s="431"/>
      <c r="U254" s="431"/>
      <c r="W254" s="431"/>
    </row>
    <row r="255" spans="5:23" s="26" customFormat="1">
      <c r="E255" s="77"/>
      <c r="F255" s="362"/>
      <c r="I255" s="160"/>
      <c r="J255" s="160"/>
      <c r="T255" s="431"/>
      <c r="U255" s="431"/>
      <c r="W255" s="431"/>
    </row>
    <row r="256" spans="5:23" s="26" customFormat="1">
      <c r="E256" s="77"/>
      <c r="F256" s="362"/>
      <c r="I256" s="160"/>
      <c r="J256" s="160"/>
      <c r="T256" s="431"/>
      <c r="U256" s="431"/>
      <c r="W256" s="431"/>
    </row>
    <row r="257" spans="5:23" s="26" customFormat="1">
      <c r="E257" s="77"/>
      <c r="F257" s="362"/>
      <c r="I257" s="160"/>
      <c r="J257" s="160"/>
      <c r="T257" s="431"/>
      <c r="U257" s="431"/>
      <c r="W257" s="431"/>
    </row>
    <row r="258" spans="5:23" s="26" customFormat="1">
      <c r="E258" s="77"/>
      <c r="F258" s="362"/>
      <c r="I258" s="160"/>
      <c r="J258" s="160"/>
      <c r="T258" s="431"/>
      <c r="U258" s="431"/>
      <c r="W258" s="431"/>
    </row>
    <row r="259" spans="5:23" s="26" customFormat="1">
      <c r="E259" s="77"/>
      <c r="F259" s="362"/>
      <c r="I259" s="160"/>
      <c r="J259" s="160"/>
      <c r="T259" s="431"/>
      <c r="U259" s="431"/>
      <c r="W259" s="431"/>
    </row>
    <row r="260" spans="5:23" s="26" customFormat="1">
      <c r="E260" s="77"/>
      <c r="F260" s="362"/>
      <c r="I260" s="160"/>
      <c r="J260" s="160"/>
      <c r="T260" s="431"/>
      <c r="U260" s="431"/>
      <c r="W260" s="431"/>
    </row>
    <row r="261" spans="5:23" s="26" customFormat="1">
      <c r="E261" s="77"/>
      <c r="F261" s="362"/>
      <c r="I261" s="160"/>
      <c r="J261" s="160"/>
      <c r="T261" s="431"/>
      <c r="U261" s="431"/>
      <c r="W261" s="431"/>
    </row>
    <row r="262" spans="5:23" s="26" customFormat="1">
      <c r="E262" s="77"/>
      <c r="F262" s="362"/>
      <c r="I262" s="160"/>
      <c r="J262" s="160"/>
      <c r="T262" s="431"/>
      <c r="U262" s="431"/>
      <c r="W262" s="431"/>
    </row>
    <row r="263" spans="5:23" s="26" customFormat="1">
      <c r="E263" s="77"/>
      <c r="F263" s="362"/>
      <c r="I263" s="160"/>
      <c r="J263" s="160"/>
      <c r="T263" s="431"/>
      <c r="U263" s="431"/>
      <c r="W263" s="431"/>
    </row>
    <row r="264" spans="5:23" s="26" customFormat="1">
      <c r="E264" s="77"/>
      <c r="F264" s="362"/>
      <c r="I264" s="160"/>
      <c r="J264" s="160"/>
      <c r="T264" s="431"/>
      <c r="U264" s="431"/>
      <c r="W264" s="431"/>
    </row>
    <row r="265" spans="5:23" s="26" customFormat="1">
      <c r="E265" s="77"/>
      <c r="F265" s="362"/>
      <c r="I265" s="160"/>
      <c r="J265" s="160"/>
      <c r="T265" s="431"/>
      <c r="U265" s="431"/>
      <c r="W265" s="431"/>
    </row>
    <row r="266" spans="5:23" s="26" customFormat="1">
      <c r="E266" s="77"/>
      <c r="F266" s="362"/>
      <c r="I266" s="160"/>
      <c r="J266" s="160"/>
      <c r="T266" s="431"/>
      <c r="U266" s="431"/>
      <c r="W266" s="431"/>
    </row>
    <row r="267" spans="5:23" s="26" customFormat="1">
      <c r="E267" s="77"/>
      <c r="F267" s="362"/>
      <c r="I267" s="160"/>
      <c r="J267" s="160"/>
      <c r="T267" s="431"/>
      <c r="U267" s="431"/>
      <c r="W267" s="431"/>
    </row>
    <row r="268" spans="5:23" s="26" customFormat="1">
      <c r="E268" s="77"/>
      <c r="F268" s="362"/>
      <c r="I268" s="160"/>
      <c r="J268" s="160"/>
      <c r="T268" s="431"/>
      <c r="U268" s="431"/>
      <c r="W268" s="431"/>
    </row>
    <row r="269" spans="5:23" s="26" customFormat="1">
      <c r="E269" s="77"/>
      <c r="F269" s="362"/>
      <c r="I269" s="160"/>
      <c r="J269" s="160"/>
      <c r="T269" s="431"/>
      <c r="U269" s="431"/>
      <c r="W269" s="431"/>
    </row>
    <row r="270" spans="5:23" s="26" customFormat="1">
      <c r="E270" s="77"/>
      <c r="F270" s="362"/>
      <c r="I270" s="160"/>
      <c r="J270" s="160"/>
      <c r="T270" s="431"/>
      <c r="U270" s="431"/>
      <c r="W270" s="431"/>
    </row>
    <row r="271" spans="5:23" s="26" customFormat="1">
      <c r="E271" s="77"/>
      <c r="F271" s="362"/>
      <c r="I271" s="160"/>
      <c r="J271" s="160"/>
      <c r="T271" s="431"/>
      <c r="U271" s="431"/>
      <c r="W271" s="431"/>
    </row>
    <row r="272" spans="5:23" s="26" customFormat="1">
      <c r="E272" s="77"/>
      <c r="F272" s="362"/>
      <c r="I272" s="160"/>
      <c r="J272" s="160"/>
      <c r="T272" s="431"/>
      <c r="U272" s="431"/>
      <c r="W272" s="431"/>
    </row>
    <row r="273" spans="5:23" s="26" customFormat="1">
      <c r="E273" s="77"/>
      <c r="F273" s="362"/>
      <c r="I273" s="160"/>
      <c r="J273" s="160"/>
      <c r="T273" s="431"/>
      <c r="U273" s="431"/>
      <c r="W273" s="431"/>
    </row>
    <row r="274" spans="5:23" s="26" customFormat="1">
      <c r="E274" s="77"/>
      <c r="F274" s="362"/>
      <c r="I274" s="160"/>
      <c r="J274" s="160"/>
      <c r="T274" s="431"/>
      <c r="U274" s="431"/>
      <c r="W274" s="431"/>
    </row>
    <row r="275" spans="5:23" s="26" customFormat="1">
      <c r="E275" s="77"/>
      <c r="F275" s="362"/>
      <c r="I275" s="160"/>
      <c r="J275" s="160"/>
      <c r="T275" s="431"/>
      <c r="U275" s="431"/>
      <c r="W275" s="431"/>
    </row>
    <row r="276" spans="5:23" s="26" customFormat="1">
      <c r="E276" s="77"/>
      <c r="F276" s="362"/>
      <c r="I276" s="160"/>
      <c r="J276" s="160"/>
      <c r="T276" s="431"/>
      <c r="U276" s="431"/>
      <c r="W276" s="431"/>
    </row>
    <row r="277" spans="5:23" s="26" customFormat="1">
      <c r="E277" s="77"/>
      <c r="F277" s="362"/>
      <c r="I277" s="160"/>
      <c r="J277" s="160"/>
      <c r="T277" s="431"/>
      <c r="U277" s="431"/>
      <c r="W277" s="431"/>
    </row>
    <row r="278" spans="5:23" s="26" customFormat="1">
      <c r="E278" s="77"/>
      <c r="F278" s="362"/>
      <c r="I278" s="160"/>
      <c r="J278" s="160"/>
      <c r="T278" s="431"/>
      <c r="U278" s="431"/>
      <c r="W278" s="431"/>
    </row>
    <row r="279" spans="5:23" s="26" customFormat="1">
      <c r="E279" s="77"/>
      <c r="F279" s="362"/>
      <c r="I279" s="160"/>
      <c r="J279" s="160"/>
      <c r="T279" s="431"/>
      <c r="U279" s="431"/>
      <c r="W279" s="431"/>
    </row>
    <row r="280" spans="5:23" s="26" customFormat="1">
      <c r="E280" s="77"/>
      <c r="F280" s="362"/>
      <c r="I280" s="160"/>
      <c r="J280" s="160"/>
      <c r="T280" s="431"/>
      <c r="U280" s="431"/>
      <c r="W280" s="431"/>
    </row>
    <row r="281" spans="5:23" s="26" customFormat="1">
      <c r="E281" s="77"/>
      <c r="F281" s="362"/>
      <c r="I281" s="160"/>
      <c r="J281" s="160"/>
      <c r="T281" s="431"/>
      <c r="U281" s="431"/>
      <c r="W281" s="431"/>
    </row>
    <row r="282" spans="5:23" s="26" customFormat="1">
      <c r="E282" s="77"/>
      <c r="F282" s="362"/>
      <c r="I282" s="160"/>
      <c r="J282" s="160"/>
      <c r="T282" s="431"/>
      <c r="U282" s="431"/>
      <c r="W282" s="431"/>
    </row>
    <row r="283" spans="5:23" s="26" customFormat="1">
      <c r="E283" s="77"/>
      <c r="F283" s="362"/>
      <c r="I283" s="160"/>
      <c r="J283" s="160"/>
      <c r="T283" s="431"/>
      <c r="U283" s="431"/>
      <c r="W283" s="431"/>
    </row>
    <row r="284" spans="5:23" s="26" customFormat="1">
      <c r="E284" s="77"/>
      <c r="F284" s="362"/>
      <c r="I284" s="160"/>
      <c r="J284" s="160"/>
      <c r="T284" s="431"/>
      <c r="U284" s="431"/>
      <c r="W284" s="431"/>
    </row>
    <row r="285" spans="5:23" s="26" customFormat="1">
      <c r="E285" s="77"/>
      <c r="F285" s="362"/>
      <c r="I285" s="160"/>
      <c r="J285" s="160"/>
      <c r="T285" s="431"/>
      <c r="U285" s="431"/>
      <c r="W285" s="431"/>
    </row>
    <row r="286" spans="5:23" s="26" customFormat="1">
      <c r="E286" s="77"/>
      <c r="F286" s="362"/>
      <c r="I286" s="160"/>
      <c r="J286" s="160"/>
      <c r="T286" s="431"/>
      <c r="U286" s="431"/>
      <c r="W286" s="431"/>
    </row>
    <row r="287" spans="5:23" s="26" customFormat="1">
      <c r="E287" s="77"/>
      <c r="F287" s="362"/>
      <c r="I287" s="160"/>
      <c r="J287" s="160"/>
      <c r="T287" s="431"/>
      <c r="U287" s="431"/>
      <c r="W287" s="431"/>
    </row>
    <row r="288" spans="5:23" s="26" customFormat="1">
      <c r="E288" s="77"/>
      <c r="F288" s="362"/>
      <c r="I288" s="160"/>
      <c r="J288" s="160"/>
      <c r="T288" s="431"/>
      <c r="U288" s="431"/>
      <c r="W288" s="431"/>
    </row>
    <row r="289" spans="5:23" s="26" customFormat="1">
      <c r="E289" s="77"/>
      <c r="F289" s="362"/>
      <c r="I289" s="160"/>
      <c r="J289" s="160"/>
      <c r="T289" s="431"/>
      <c r="U289" s="431"/>
      <c r="W289" s="431"/>
    </row>
    <row r="290" spans="5:23" s="26" customFormat="1">
      <c r="E290" s="77"/>
      <c r="F290" s="362"/>
      <c r="I290" s="160"/>
      <c r="J290" s="160"/>
      <c r="T290" s="431"/>
      <c r="U290" s="431"/>
      <c r="W290" s="431"/>
    </row>
    <row r="291" spans="5:23" s="26" customFormat="1">
      <c r="E291" s="77"/>
      <c r="F291" s="362"/>
      <c r="I291" s="160"/>
      <c r="J291" s="160"/>
      <c r="T291" s="431"/>
      <c r="U291" s="431"/>
      <c r="W291" s="431"/>
    </row>
    <row r="292" spans="5:23" s="26" customFormat="1">
      <c r="E292" s="77"/>
      <c r="F292" s="362"/>
      <c r="I292" s="160"/>
      <c r="J292" s="160"/>
      <c r="T292" s="431"/>
      <c r="U292" s="431"/>
      <c r="W292" s="431"/>
    </row>
    <row r="293" spans="5:23" s="26" customFormat="1">
      <c r="E293" s="77"/>
      <c r="F293" s="362"/>
      <c r="I293" s="160"/>
      <c r="J293" s="160"/>
      <c r="T293" s="431"/>
      <c r="U293" s="431"/>
      <c r="W293" s="431"/>
    </row>
    <row r="294" spans="5:23" s="26" customFormat="1">
      <c r="E294" s="77"/>
      <c r="F294" s="362"/>
      <c r="I294" s="160"/>
      <c r="J294" s="160"/>
      <c r="T294" s="431"/>
      <c r="U294" s="431"/>
      <c r="W294" s="431"/>
    </row>
    <row r="295" spans="5:23" s="26" customFormat="1">
      <c r="E295" s="77"/>
      <c r="F295" s="362"/>
      <c r="I295" s="160"/>
      <c r="J295" s="160"/>
      <c r="T295" s="431"/>
      <c r="U295" s="431"/>
      <c r="W295" s="431"/>
    </row>
    <row r="296" spans="5:23" s="26" customFormat="1">
      <c r="E296" s="77"/>
      <c r="F296" s="362"/>
      <c r="I296" s="160"/>
      <c r="J296" s="160"/>
      <c r="T296" s="431"/>
      <c r="U296" s="431"/>
      <c r="W296" s="431"/>
    </row>
    <row r="297" spans="5:23" s="26" customFormat="1">
      <c r="E297" s="77"/>
      <c r="F297" s="362"/>
      <c r="I297" s="160"/>
      <c r="J297" s="160"/>
      <c r="T297" s="431"/>
      <c r="U297" s="431"/>
      <c r="W297" s="431"/>
    </row>
    <row r="298" spans="5:23" s="26" customFormat="1">
      <c r="E298" s="77"/>
      <c r="F298" s="362"/>
      <c r="I298" s="160"/>
      <c r="J298" s="160"/>
      <c r="T298" s="431"/>
      <c r="U298" s="431"/>
      <c r="W298" s="431"/>
    </row>
    <row r="299" spans="5:23" s="26" customFormat="1">
      <c r="E299" s="77"/>
      <c r="F299" s="362"/>
      <c r="I299" s="160"/>
      <c r="J299" s="160"/>
      <c r="T299" s="431"/>
      <c r="U299" s="431"/>
      <c r="W299" s="431"/>
    </row>
    <row r="300" spans="5:23" s="26" customFormat="1">
      <c r="E300" s="77"/>
      <c r="F300" s="362"/>
      <c r="I300" s="160"/>
      <c r="J300" s="160"/>
      <c r="T300" s="431"/>
      <c r="U300" s="431"/>
      <c r="W300" s="431"/>
    </row>
    <row r="301" spans="5:23" s="26" customFormat="1">
      <c r="E301" s="77"/>
      <c r="F301" s="362"/>
      <c r="I301" s="160"/>
      <c r="J301" s="160"/>
      <c r="T301" s="431"/>
      <c r="U301" s="431"/>
      <c r="W301" s="431"/>
    </row>
    <row r="302" spans="5:23" s="26" customFormat="1">
      <c r="E302" s="77"/>
      <c r="F302" s="362"/>
      <c r="I302" s="160"/>
      <c r="J302" s="160"/>
      <c r="T302" s="431"/>
      <c r="U302" s="431"/>
      <c r="W302" s="431"/>
    </row>
    <row r="303" spans="5:23" s="26" customFormat="1">
      <c r="E303" s="77"/>
      <c r="F303" s="362"/>
      <c r="I303" s="160"/>
      <c r="J303" s="160"/>
      <c r="T303" s="431"/>
      <c r="U303" s="431"/>
      <c r="W303" s="431"/>
    </row>
    <row r="304" spans="5:23" s="26" customFormat="1">
      <c r="E304" s="77"/>
      <c r="F304" s="362"/>
      <c r="I304" s="160"/>
      <c r="J304" s="160"/>
      <c r="T304" s="431"/>
      <c r="U304" s="431"/>
      <c r="W304" s="431"/>
    </row>
    <row r="305" spans="5:23" s="26" customFormat="1">
      <c r="E305" s="77"/>
      <c r="F305" s="362"/>
      <c r="I305" s="160"/>
      <c r="J305" s="160"/>
      <c r="T305" s="431"/>
      <c r="U305" s="431"/>
      <c r="W305" s="431"/>
    </row>
    <row r="306" spans="5:23" s="26" customFormat="1">
      <c r="E306" s="77"/>
      <c r="F306" s="362"/>
      <c r="I306" s="160"/>
      <c r="J306" s="160"/>
      <c r="T306" s="431"/>
      <c r="U306" s="431"/>
      <c r="W306" s="431"/>
    </row>
    <row r="307" spans="5:23" s="26" customFormat="1">
      <c r="E307" s="77"/>
      <c r="F307" s="362"/>
      <c r="I307" s="160"/>
      <c r="J307" s="160"/>
      <c r="T307" s="431"/>
      <c r="U307" s="431"/>
      <c r="W307" s="431"/>
    </row>
    <row r="308" spans="5:23" s="26" customFormat="1">
      <c r="E308" s="77"/>
      <c r="F308" s="362"/>
      <c r="I308" s="160"/>
      <c r="J308" s="160"/>
      <c r="T308" s="431"/>
      <c r="U308" s="431"/>
      <c r="W308" s="431"/>
    </row>
    <row r="309" spans="5:23" s="26" customFormat="1">
      <c r="E309" s="77"/>
      <c r="F309" s="362"/>
      <c r="I309" s="160"/>
      <c r="J309" s="160"/>
      <c r="T309" s="431"/>
      <c r="U309" s="431"/>
      <c r="W309" s="431"/>
    </row>
    <row r="310" spans="5:23" s="26" customFormat="1">
      <c r="E310" s="77"/>
      <c r="F310" s="362"/>
      <c r="I310" s="160"/>
      <c r="J310" s="160"/>
      <c r="T310" s="431"/>
      <c r="U310" s="431"/>
      <c r="W310" s="431"/>
    </row>
    <row r="311" spans="5:23" s="26" customFormat="1">
      <c r="E311" s="77"/>
      <c r="F311" s="362"/>
      <c r="I311" s="160"/>
      <c r="J311" s="160"/>
      <c r="T311" s="431"/>
      <c r="U311" s="431"/>
      <c r="W311" s="431"/>
    </row>
    <row r="312" spans="5:23" s="26" customFormat="1">
      <c r="E312" s="77"/>
      <c r="F312" s="362"/>
      <c r="I312" s="160"/>
      <c r="J312" s="160"/>
      <c r="T312" s="431"/>
      <c r="U312" s="431"/>
      <c r="W312" s="431"/>
    </row>
    <row r="313" spans="5:23" s="26" customFormat="1">
      <c r="E313" s="77"/>
      <c r="F313" s="362"/>
      <c r="I313" s="160"/>
      <c r="J313" s="160"/>
      <c r="T313" s="431"/>
      <c r="U313" s="431"/>
      <c r="W313" s="431"/>
    </row>
    <row r="314" spans="5:23" s="26" customFormat="1">
      <c r="E314" s="77"/>
      <c r="F314" s="362"/>
      <c r="I314" s="160"/>
      <c r="J314" s="160"/>
      <c r="T314" s="431"/>
      <c r="U314" s="431"/>
      <c r="W314" s="431"/>
    </row>
    <row r="315" spans="5:23" s="26" customFormat="1">
      <c r="E315" s="77"/>
      <c r="F315" s="362"/>
      <c r="I315" s="160"/>
      <c r="J315" s="160"/>
      <c r="T315" s="431"/>
      <c r="U315" s="431"/>
      <c r="W315" s="431"/>
    </row>
    <row r="316" spans="5:23" s="26" customFormat="1">
      <c r="E316" s="77"/>
      <c r="F316" s="362"/>
      <c r="I316" s="160"/>
      <c r="J316" s="160"/>
      <c r="T316" s="431"/>
      <c r="U316" s="431"/>
      <c r="W316" s="431"/>
    </row>
    <row r="317" spans="5:23" s="26" customFormat="1">
      <c r="E317" s="77"/>
      <c r="F317" s="362"/>
      <c r="I317" s="160"/>
      <c r="J317" s="160"/>
      <c r="T317" s="431"/>
      <c r="U317" s="431"/>
      <c r="W317" s="431"/>
    </row>
    <row r="318" spans="5:23" s="26" customFormat="1">
      <c r="E318" s="77"/>
      <c r="F318" s="362"/>
      <c r="I318" s="160"/>
      <c r="J318" s="160"/>
      <c r="T318" s="431"/>
      <c r="U318" s="431"/>
      <c r="W318" s="431"/>
    </row>
    <row r="319" spans="5:23" s="26" customFormat="1">
      <c r="E319" s="77"/>
      <c r="F319" s="362"/>
      <c r="I319" s="160"/>
      <c r="J319" s="160"/>
      <c r="T319" s="431"/>
      <c r="U319" s="431"/>
      <c r="W319" s="431"/>
    </row>
    <row r="320" spans="5:23" s="26" customFormat="1">
      <c r="E320" s="77"/>
      <c r="F320" s="362"/>
      <c r="I320" s="160"/>
      <c r="J320" s="160"/>
      <c r="T320" s="431"/>
      <c r="U320" s="431"/>
      <c r="W320" s="431"/>
    </row>
    <row r="321" spans="5:23" s="26" customFormat="1">
      <c r="E321" s="77"/>
      <c r="F321" s="362"/>
      <c r="I321" s="160"/>
      <c r="J321" s="160"/>
      <c r="T321" s="431"/>
      <c r="U321" s="431"/>
      <c r="W321" s="431"/>
    </row>
    <row r="322" spans="5:23" s="26" customFormat="1">
      <c r="E322" s="77"/>
      <c r="F322" s="362"/>
      <c r="I322" s="160"/>
      <c r="J322" s="160"/>
      <c r="T322" s="431"/>
      <c r="U322" s="431"/>
      <c r="W322" s="431"/>
    </row>
    <row r="323" spans="5:23" s="26" customFormat="1">
      <c r="E323" s="77"/>
      <c r="F323" s="362"/>
      <c r="I323" s="160"/>
      <c r="J323" s="160"/>
      <c r="T323" s="431"/>
      <c r="U323" s="431"/>
      <c r="W323" s="431"/>
    </row>
    <row r="324" spans="5:23" s="26" customFormat="1">
      <c r="E324" s="77"/>
      <c r="F324" s="362"/>
      <c r="I324" s="160"/>
      <c r="J324" s="160"/>
      <c r="T324" s="431"/>
      <c r="U324" s="431"/>
      <c r="W324" s="431"/>
    </row>
    <row r="325" spans="5:23" s="26" customFormat="1">
      <c r="E325" s="77"/>
      <c r="F325" s="362"/>
      <c r="I325" s="160"/>
      <c r="J325" s="160"/>
      <c r="T325" s="431"/>
      <c r="U325" s="431"/>
      <c r="W325" s="431"/>
    </row>
    <row r="326" spans="5:23" s="26" customFormat="1">
      <c r="E326" s="77"/>
      <c r="F326" s="362"/>
      <c r="I326" s="160"/>
      <c r="J326" s="160"/>
      <c r="T326" s="431"/>
      <c r="U326" s="431"/>
      <c r="W326" s="431"/>
    </row>
    <row r="327" spans="5:23" s="26" customFormat="1">
      <c r="E327" s="77"/>
      <c r="F327" s="362"/>
      <c r="I327" s="160"/>
      <c r="J327" s="160"/>
      <c r="T327" s="431"/>
      <c r="U327" s="431"/>
      <c r="W327" s="431"/>
    </row>
    <row r="328" spans="5:23" s="26" customFormat="1">
      <c r="E328" s="77"/>
      <c r="F328" s="362"/>
      <c r="I328" s="160"/>
      <c r="J328" s="160"/>
      <c r="T328" s="431"/>
      <c r="U328" s="431"/>
      <c r="W328" s="431"/>
    </row>
    <row r="329" spans="5:23" s="26" customFormat="1">
      <c r="E329" s="77"/>
      <c r="F329" s="362"/>
      <c r="I329" s="160"/>
      <c r="J329" s="160"/>
      <c r="T329" s="431"/>
      <c r="U329" s="431"/>
      <c r="W329" s="431"/>
    </row>
    <row r="330" spans="5:23" s="26" customFormat="1">
      <c r="E330" s="77"/>
      <c r="F330" s="362"/>
      <c r="I330" s="160"/>
      <c r="J330" s="160"/>
      <c r="T330" s="431"/>
      <c r="U330" s="431"/>
      <c r="W330" s="431"/>
    </row>
    <row r="331" spans="5:23" s="26" customFormat="1">
      <c r="E331" s="77"/>
      <c r="F331" s="362"/>
      <c r="I331" s="160"/>
      <c r="J331" s="160"/>
      <c r="T331" s="431"/>
      <c r="U331" s="431"/>
      <c r="W331" s="431"/>
    </row>
    <row r="332" spans="5:23" s="26" customFormat="1">
      <c r="E332" s="77"/>
      <c r="F332" s="362"/>
      <c r="I332" s="160"/>
      <c r="J332" s="160"/>
      <c r="T332" s="431"/>
      <c r="U332" s="431"/>
      <c r="W332" s="431"/>
    </row>
    <row r="333" spans="5:23" s="26" customFormat="1">
      <c r="E333" s="77"/>
      <c r="F333" s="362"/>
      <c r="I333" s="160"/>
      <c r="J333" s="160"/>
      <c r="T333" s="431"/>
      <c r="U333" s="431"/>
      <c r="W333" s="431"/>
    </row>
    <row r="334" spans="5:23" s="26" customFormat="1">
      <c r="E334" s="77"/>
      <c r="F334" s="362"/>
      <c r="I334" s="160"/>
      <c r="J334" s="160"/>
      <c r="T334" s="431"/>
      <c r="U334" s="431"/>
      <c r="W334" s="431"/>
    </row>
    <row r="335" spans="5:23" s="26" customFormat="1">
      <c r="E335" s="77"/>
      <c r="F335" s="362"/>
      <c r="I335" s="160"/>
      <c r="J335" s="160"/>
      <c r="T335" s="431"/>
      <c r="U335" s="431"/>
      <c r="W335" s="431"/>
    </row>
    <row r="336" spans="5:23" s="26" customFormat="1">
      <c r="E336" s="77"/>
      <c r="F336" s="362"/>
      <c r="I336" s="160"/>
      <c r="J336" s="160"/>
      <c r="T336" s="431"/>
      <c r="U336" s="431"/>
      <c r="W336" s="431"/>
    </row>
    <row r="337" spans="5:23" s="26" customFormat="1">
      <c r="E337" s="77"/>
      <c r="F337" s="362"/>
      <c r="I337" s="160"/>
      <c r="J337" s="160"/>
      <c r="T337" s="431"/>
      <c r="U337" s="431"/>
      <c r="W337" s="431"/>
    </row>
    <row r="338" spans="5:23" s="26" customFormat="1">
      <c r="E338" s="77"/>
      <c r="F338" s="362"/>
      <c r="I338" s="160"/>
      <c r="J338" s="160"/>
      <c r="T338" s="431"/>
      <c r="U338" s="431"/>
      <c r="W338" s="431"/>
    </row>
    <row r="339" spans="5:23" s="26" customFormat="1">
      <c r="E339" s="77"/>
      <c r="F339" s="362"/>
      <c r="I339" s="160"/>
      <c r="J339" s="160"/>
      <c r="T339" s="431"/>
      <c r="U339" s="431"/>
      <c r="W339" s="431"/>
    </row>
    <row r="340" spans="5:23" s="26" customFormat="1">
      <c r="E340" s="77"/>
      <c r="F340" s="362"/>
      <c r="I340" s="160"/>
      <c r="J340" s="160"/>
      <c r="T340" s="431"/>
      <c r="U340" s="431"/>
      <c r="W340" s="431"/>
    </row>
    <row r="341" spans="5:23" s="26" customFormat="1">
      <c r="E341" s="77"/>
      <c r="F341" s="362"/>
      <c r="I341" s="160"/>
      <c r="J341" s="160"/>
      <c r="T341" s="431"/>
      <c r="U341" s="431"/>
      <c r="W341" s="431"/>
    </row>
    <row r="342" spans="5:23" s="26" customFormat="1">
      <c r="E342" s="77"/>
      <c r="F342" s="362"/>
      <c r="I342" s="160"/>
      <c r="J342" s="160"/>
      <c r="T342" s="431"/>
      <c r="U342" s="431"/>
      <c r="W342" s="431"/>
    </row>
    <row r="343" spans="5:23" s="26" customFormat="1">
      <c r="E343" s="77"/>
      <c r="F343" s="362"/>
      <c r="I343" s="160"/>
      <c r="J343" s="160"/>
      <c r="T343" s="431"/>
      <c r="U343" s="431"/>
      <c r="W343" s="431"/>
    </row>
    <row r="344" spans="5:23" s="26" customFormat="1">
      <c r="E344" s="77"/>
      <c r="F344" s="362"/>
      <c r="I344" s="160"/>
      <c r="J344" s="160"/>
      <c r="T344" s="431"/>
      <c r="U344" s="431"/>
      <c r="W344" s="431"/>
    </row>
    <row r="345" spans="5:23" s="26" customFormat="1">
      <c r="E345" s="77"/>
      <c r="F345" s="362"/>
      <c r="I345" s="160"/>
      <c r="J345" s="160"/>
      <c r="T345" s="431"/>
      <c r="U345" s="431"/>
      <c r="W345" s="431"/>
    </row>
    <row r="346" spans="5:23" s="26" customFormat="1">
      <c r="E346" s="77"/>
      <c r="F346" s="362"/>
      <c r="I346" s="160"/>
      <c r="J346" s="160"/>
      <c r="T346" s="431"/>
      <c r="U346" s="431"/>
      <c r="W346" s="431"/>
    </row>
    <row r="347" spans="5:23" s="26" customFormat="1">
      <c r="E347" s="77"/>
      <c r="F347" s="362"/>
      <c r="I347" s="160"/>
      <c r="J347" s="160"/>
      <c r="T347" s="431"/>
      <c r="U347" s="431"/>
      <c r="W347" s="431"/>
    </row>
    <row r="348" spans="5:23" s="26" customFormat="1">
      <c r="E348" s="77"/>
      <c r="F348" s="362"/>
      <c r="I348" s="160"/>
      <c r="J348" s="160"/>
      <c r="T348" s="431"/>
      <c r="U348" s="431"/>
      <c r="W348" s="431"/>
    </row>
    <row r="349" spans="5:23" s="26" customFormat="1">
      <c r="E349" s="77"/>
      <c r="F349" s="362"/>
      <c r="I349" s="160"/>
      <c r="J349" s="160"/>
      <c r="T349" s="431"/>
      <c r="U349" s="431"/>
      <c r="W349" s="431"/>
    </row>
    <row r="350" spans="5:23" s="26" customFormat="1">
      <c r="E350" s="77"/>
      <c r="F350" s="362"/>
      <c r="I350" s="160"/>
      <c r="J350" s="160"/>
      <c r="T350" s="431"/>
      <c r="U350" s="431"/>
      <c r="W350" s="431"/>
    </row>
    <row r="351" spans="5:23" s="26" customFormat="1">
      <c r="E351" s="77"/>
      <c r="F351" s="362"/>
      <c r="I351" s="160"/>
      <c r="J351" s="160"/>
      <c r="T351" s="431"/>
      <c r="U351" s="431"/>
      <c r="W351" s="431"/>
    </row>
    <row r="352" spans="5:23" s="26" customFormat="1">
      <c r="E352" s="77"/>
      <c r="F352" s="362"/>
      <c r="I352" s="160"/>
      <c r="J352" s="160"/>
      <c r="T352" s="431"/>
      <c r="U352" s="431"/>
      <c r="W352" s="431"/>
    </row>
    <row r="353" spans="5:23" s="26" customFormat="1">
      <c r="E353" s="77"/>
      <c r="F353" s="362"/>
      <c r="I353" s="160"/>
      <c r="J353" s="160"/>
      <c r="T353" s="431"/>
      <c r="U353" s="431"/>
      <c r="W353" s="431"/>
    </row>
    <row r="354" spans="5:23" s="26" customFormat="1">
      <c r="E354" s="77"/>
      <c r="F354" s="362"/>
      <c r="I354" s="160"/>
      <c r="J354" s="160"/>
      <c r="T354" s="431"/>
      <c r="U354" s="431"/>
      <c r="W354" s="431"/>
    </row>
    <row r="355" spans="5:23" s="26" customFormat="1">
      <c r="E355" s="77"/>
      <c r="F355" s="362"/>
      <c r="I355" s="160"/>
      <c r="J355" s="160"/>
      <c r="T355" s="431"/>
      <c r="U355" s="431"/>
      <c r="W355" s="431"/>
    </row>
    <row r="356" spans="5:23" s="26" customFormat="1">
      <c r="E356" s="77"/>
      <c r="F356" s="362"/>
      <c r="I356" s="160"/>
      <c r="J356" s="160"/>
      <c r="T356" s="431"/>
      <c r="U356" s="431"/>
      <c r="W356" s="431"/>
    </row>
    <row r="357" spans="5:23" s="26" customFormat="1">
      <c r="E357" s="77"/>
      <c r="F357" s="362"/>
      <c r="I357" s="160"/>
      <c r="J357" s="160"/>
      <c r="T357" s="431"/>
      <c r="U357" s="431"/>
      <c r="W357" s="431"/>
    </row>
    <row r="358" spans="5:23" s="26" customFormat="1">
      <c r="E358" s="77"/>
      <c r="F358" s="362"/>
      <c r="I358" s="160"/>
      <c r="J358" s="160"/>
      <c r="T358" s="431"/>
      <c r="U358" s="431"/>
      <c r="W358" s="431"/>
    </row>
    <row r="359" spans="5:23" s="26" customFormat="1">
      <c r="E359" s="77"/>
      <c r="F359" s="362"/>
      <c r="I359" s="160"/>
      <c r="J359" s="160"/>
      <c r="T359" s="431"/>
      <c r="U359" s="431"/>
      <c r="W359" s="431"/>
    </row>
    <row r="360" spans="5:23" s="26" customFormat="1">
      <c r="E360" s="77"/>
      <c r="F360" s="362"/>
      <c r="I360" s="160"/>
      <c r="J360" s="160"/>
      <c r="T360" s="431"/>
      <c r="U360" s="431"/>
      <c r="W360" s="431"/>
    </row>
    <row r="361" spans="5:23" s="26" customFormat="1">
      <c r="E361" s="77"/>
      <c r="F361" s="362"/>
      <c r="I361" s="160"/>
      <c r="J361" s="160"/>
      <c r="T361" s="431"/>
      <c r="U361" s="431"/>
      <c r="W361" s="431"/>
    </row>
    <row r="362" spans="5:23" s="26" customFormat="1">
      <c r="E362" s="77"/>
      <c r="F362" s="362"/>
      <c r="I362" s="160"/>
      <c r="J362" s="160"/>
      <c r="T362" s="431"/>
      <c r="U362" s="431"/>
      <c r="W362" s="431"/>
    </row>
    <row r="363" spans="5:23" s="26" customFormat="1">
      <c r="E363" s="77"/>
      <c r="F363" s="362"/>
      <c r="I363" s="160"/>
      <c r="J363" s="160"/>
      <c r="T363" s="431"/>
      <c r="U363" s="431"/>
      <c r="W363" s="431"/>
    </row>
    <row r="364" spans="5:23" s="26" customFormat="1">
      <c r="E364" s="77"/>
      <c r="F364" s="362"/>
      <c r="I364" s="160"/>
      <c r="J364" s="160"/>
      <c r="T364" s="431"/>
      <c r="U364" s="431"/>
      <c r="W364" s="431"/>
    </row>
    <row r="365" spans="5:23" s="26" customFormat="1">
      <c r="E365" s="77"/>
      <c r="F365" s="362"/>
      <c r="I365" s="160"/>
      <c r="J365" s="160"/>
      <c r="T365" s="431"/>
      <c r="U365" s="431"/>
      <c r="W365" s="431"/>
    </row>
    <row r="366" spans="5:23" s="26" customFormat="1">
      <c r="E366" s="77"/>
      <c r="F366" s="362"/>
      <c r="I366" s="160"/>
      <c r="J366" s="160"/>
      <c r="T366" s="431"/>
      <c r="U366" s="431"/>
      <c r="W366" s="431"/>
    </row>
    <row r="367" spans="5:23" s="26" customFormat="1">
      <c r="E367" s="77"/>
      <c r="F367" s="362"/>
      <c r="I367" s="160"/>
      <c r="J367" s="160"/>
      <c r="T367" s="431"/>
      <c r="U367" s="431"/>
      <c r="W367" s="431"/>
    </row>
    <row r="368" spans="5:23" s="26" customFormat="1">
      <c r="E368" s="77"/>
      <c r="F368" s="362"/>
      <c r="I368" s="160"/>
      <c r="J368" s="160"/>
      <c r="T368" s="431"/>
      <c r="U368" s="431"/>
      <c r="W368" s="431"/>
    </row>
    <row r="369" spans="5:23" s="26" customFormat="1">
      <c r="E369" s="77"/>
      <c r="F369" s="362"/>
      <c r="I369" s="160"/>
      <c r="J369" s="160"/>
      <c r="T369" s="431"/>
      <c r="U369" s="431"/>
      <c r="W369" s="431"/>
    </row>
    <row r="370" spans="5:23" s="26" customFormat="1">
      <c r="E370" s="77"/>
      <c r="F370" s="362"/>
      <c r="I370" s="160"/>
      <c r="J370" s="160"/>
      <c r="T370" s="431"/>
      <c r="U370" s="431"/>
      <c r="W370" s="431"/>
    </row>
    <row r="371" spans="5:23" s="26" customFormat="1">
      <c r="E371" s="77"/>
      <c r="F371" s="362"/>
      <c r="I371" s="160"/>
      <c r="J371" s="160"/>
      <c r="T371" s="431"/>
      <c r="U371" s="431"/>
      <c r="W371" s="431"/>
    </row>
    <row r="372" spans="5:23" s="26" customFormat="1">
      <c r="E372" s="77"/>
      <c r="F372" s="362"/>
      <c r="I372" s="160"/>
      <c r="J372" s="160"/>
      <c r="T372" s="431"/>
      <c r="U372" s="431"/>
      <c r="W372" s="431"/>
    </row>
    <row r="373" spans="5:23" s="26" customFormat="1">
      <c r="E373" s="77"/>
      <c r="F373" s="362"/>
      <c r="I373" s="160"/>
      <c r="J373" s="160"/>
      <c r="T373" s="431"/>
      <c r="U373" s="431"/>
      <c r="W373" s="431"/>
    </row>
    <row r="374" spans="5:23" s="26" customFormat="1">
      <c r="E374" s="77"/>
      <c r="F374" s="362"/>
      <c r="I374" s="160"/>
      <c r="J374" s="160"/>
      <c r="T374" s="431"/>
      <c r="U374" s="431"/>
      <c r="W374" s="431"/>
    </row>
    <row r="375" spans="5:23" s="26" customFormat="1">
      <c r="E375" s="77"/>
      <c r="F375" s="362"/>
      <c r="I375" s="160"/>
      <c r="J375" s="160"/>
      <c r="T375" s="431"/>
      <c r="U375" s="431"/>
      <c r="W375" s="431"/>
    </row>
    <row r="376" spans="5:23" s="26" customFormat="1">
      <c r="E376" s="77"/>
      <c r="F376" s="362"/>
      <c r="I376" s="160"/>
      <c r="J376" s="160"/>
      <c r="T376" s="431"/>
      <c r="U376" s="431"/>
      <c r="W376" s="431"/>
    </row>
    <row r="377" spans="5:23" s="26" customFormat="1">
      <c r="E377" s="77"/>
      <c r="F377" s="362"/>
      <c r="I377" s="160"/>
      <c r="J377" s="160"/>
      <c r="T377" s="431"/>
      <c r="U377" s="431"/>
      <c r="W377" s="431"/>
    </row>
    <row r="378" spans="5:23" s="26" customFormat="1">
      <c r="E378" s="77"/>
      <c r="F378" s="362"/>
      <c r="I378" s="160"/>
      <c r="J378" s="160"/>
      <c r="T378" s="431"/>
      <c r="U378" s="431"/>
      <c r="W378" s="431"/>
    </row>
    <row r="379" spans="5:23" s="26" customFormat="1">
      <c r="E379" s="77"/>
      <c r="F379" s="362"/>
      <c r="I379" s="160"/>
      <c r="J379" s="160"/>
      <c r="T379" s="431"/>
      <c r="U379" s="431"/>
      <c r="W379" s="431"/>
    </row>
    <row r="380" spans="5:23" s="26" customFormat="1">
      <c r="E380" s="77"/>
      <c r="F380" s="362"/>
      <c r="I380" s="160"/>
      <c r="J380" s="160"/>
      <c r="T380" s="431"/>
      <c r="U380" s="431"/>
      <c r="W380" s="431"/>
    </row>
    <row r="381" spans="5:23" s="26" customFormat="1">
      <c r="E381" s="77"/>
      <c r="F381" s="362"/>
      <c r="I381" s="160"/>
      <c r="J381" s="160"/>
      <c r="T381" s="431"/>
      <c r="U381" s="431"/>
      <c r="W381" s="431"/>
    </row>
    <row r="382" spans="5:23" s="26" customFormat="1">
      <c r="E382" s="77"/>
      <c r="F382" s="362"/>
      <c r="I382" s="160"/>
      <c r="J382" s="160"/>
      <c r="T382" s="431"/>
      <c r="U382" s="431"/>
      <c r="W382" s="431"/>
    </row>
    <row r="383" spans="5:23" s="26" customFormat="1">
      <c r="E383" s="77"/>
      <c r="F383" s="362"/>
      <c r="I383" s="160"/>
      <c r="J383" s="160"/>
      <c r="T383" s="431"/>
      <c r="U383" s="431"/>
      <c r="W383" s="431"/>
    </row>
    <row r="384" spans="5:23" s="26" customFormat="1">
      <c r="E384" s="77"/>
      <c r="F384" s="362"/>
      <c r="I384" s="160"/>
      <c r="J384" s="160"/>
      <c r="T384" s="431"/>
      <c r="U384" s="431"/>
      <c r="W384" s="431"/>
    </row>
    <row r="385" spans="5:23" s="26" customFormat="1">
      <c r="E385" s="77"/>
      <c r="F385" s="362"/>
      <c r="I385" s="160"/>
      <c r="J385" s="160"/>
      <c r="T385" s="431"/>
      <c r="U385" s="431"/>
      <c r="W385" s="431"/>
    </row>
    <row r="386" spans="5:23" s="26" customFormat="1">
      <c r="E386" s="77"/>
      <c r="F386" s="362"/>
      <c r="I386" s="160"/>
      <c r="J386" s="160"/>
      <c r="T386" s="431"/>
      <c r="U386" s="431"/>
      <c r="W386" s="431"/>
    </row>
    <row r="387" spans="5:23" s="26" customFormat="1">
      <c r="E387" s="77"/>
      <c r="F387" s="362"/>
      <c r="I387" s="160"/>
      <c r="J387" s="160"/>
      <c r="T387" s="431"/>
      <c r="U387" s="431"/>
      <c r="W387" s="431"/>
    </row>
    <row r="388" spans="5:23" s="26" customFormat="1">
      <c r="E388" s="77"/>
      <c r="F388" s="362"/>
      <c r="I388" s="160"/>
      <c r="J388" s="160"/>
      <c r="T388" s="431"/>
      <c r="U388" s="431"/>
      <c r="W388" s="431"/>
    </row>
    <row r="389" spans="5:23" s="26" customFormat="1">
      <c r="E389" s="77"/>
      <c r="F389" s="362"/>
      <c r="I389" s="160"/>
      <c r="J389" s="160"/>
      <c r="T389" s="431"/>
      <c r="U389" s="431"/>
      <c r="W389" s="431"/>
    </row>
    <row r="390" spans="5:23" s="26" customFormat="1">
      <c r="E390" s="77"/>
      <c r="F390" s="362"/>
      <c r="I390" s="160"/>
      <c r="J390" s="160"/>
      <c r="T390" s="431"/>
      <c r="U390" s="431"/>
      <c r="W390" s="431"/>
    </row>
    <row r="391" spans="5:23" s="26" customFormat="1">
      <c r="E391" s="77"/>
      <c r="F391" s="362"/>
      <c r="I391" s="160"/>
      <c r="J391" s="160"/>
      <c r="T391" s="431"/>
      <c r="U391" s="431"/>
      <c r="W391" s="431"/>
    </row>
    <row r="392" spans="5:23" s="26" customFormat="1">
      <c r="E392" s="77"/>
      <c r="F392" s="362"/>
      <c r="I392" s="160"/>
      <c r="J392" s="160"/>
      <c r="T392" s="431"/>
      <c r="U392" s="431"/>
      <c r="W392" s="431"/>
    </row>
    <row r="393" spans="5:23" s="26" customFormat="1">
      <c r="E393" s="77"/>
      <c r="F393" s="362"/>
      <c r="I393" s="160"/>
      <c r="J393" s="160"/>
      <c r="T393" s="431"/>
      <c r="U393" s="431"/>
      <c r="W393" s="431"/>
    </row>
    <row r="394" spans="5:23" s="26" customFormat="1">
      <c r="E394" s="77"/>
      <c r="F394" s="362"/>
      <c r="I394" s="160"/>
      <c r="J394" s="160"/>
      <c r="T394" s="431"/>
      <c r="U394" s="431"/>
      <c r="W394" s="431"/>
    </row>
    <row r="395" spans="5:23" s="26" customFormat="1">
      <c r="E395" s="77"/>
      <c r="F395" s="362"/>
      <c r="I395" s="160"/>
      <c r="J395" s="160"/>
      <c r="T395" s="431"/>
      <c r="U395" s="431"/>
      <c r="W395" s="431"/>
    </row>
    <row r="396" spans="5:23" s="26" customFormat="1">
      <c r="E396" s="77"/>
      <c r="F396" s="362"/>
      <c r="I396" s="160"/>
      <c r="J396" s="160"/>
      <c r="T396" s="431"/>
      <c r="U396" s="431"/>
      <c r="W396" s="431"/>
    </row>
    <row r="397" spans="5:23" s="26" customFormat="1">
      <c r="E397" s="77"/>
      <c r="F397" s="362"/>
      <c r="I397" s="160"/>
      <c r="J397" s="160"/>
      <c r="T397" s="431"/>
      <c r="U397" s="431"/>
      <c r="W397" s="431"/>
    </row>
    <row r="398" spans="5:23" s="26" customFormat="1">
      <c r="E398" s="77"/>
      <c r="F398" s="362"/>
      <c r="I398" s="160"/>
      <c r="J398" s="160"/>
      <c r="T398" s="431"/>
      <c r="U398" s="431"/>
      <c r="W398" s="431"/>
    </row>
    <row r="399" spans="5:23" s="26" customFormat="1">
      <c r="E399" s="77"/>
      <c r="F399" s="362"/>
      <c r="I399" s="160"/>
      <c r="J399" s="160"/>
      <c r="T399" s="431"/>
      <c r="U399" s="431"/>
      <c r="W399" s="431"/>
    </row>
    <row r="400" spans="5:23" s="26" customFormat="1">
      <c r="E400" s="77"/>
      <c r="F400" s="362"/>
      <c r="I400" s="160"/>
      <c r="J400" s="160"/>
      <c r="T400" s="431"/>
      <c r="U400" s="431"/>
      <c r="W400" s="431"/>
    </row>
    <row r="401" spans="5:23" s="26" customFormat="1">
      <c r="E401" s="77"/>
      <c r="F401" s="362"/>
      <c r="I401" s="160"/>
      <c r="J401" s="160"/>
      <c r="T401" s="431"/>
      <c r="U401" s="431"/>
      <c r="W401" s="431"/>
    </row>
    <row r="402" spans="5:23" s="26" customFormat="1">
      <c r="E402" s="77"/>
      <c r="F402" s="362"/>
      <c r="I402" s="160"/>
      <c r="J402" s="160"/>
      <c r="T402" s="431"/>
      <c r="U402" s="431"/>
      <c r="W402" s="431"/>
    </row>
    <row r="403" spans="5:23" s="26" customFormat="1">
      <c r="E403" s="77"/>
      <c r="F403" s="362"/>
      <c r="I403" s="160"/>
      <c r="J403" s="160"/>
      <c r="T403" s="431"/>
      <c r="U403" s="431"/>
      <c r="W403" s="431"/>
    </row>
    <row r="404" spans="5:23" s="26" customFormat="1">
      <c r="E404" s="77"/>
      <c r="F404" s="362"/>
      <c r="I404" s="160"/>
      <c r="J404" s="160"/>
      <c r="T404" s="431"/>
      <c r="U404" s="431"/>
      <c r="W404" s="431"/>
    </row>
    <row r="405" spans="5:23" s="26" customFormat="1">
      <c r="E405" s="77"/>
      <c r="F405" s="362"/>
      <c r="I405" s="160"/>
      <c r="J405" s="160"/>
      <c r="T405" s="431"/>
      <c r="U405" s="431"/>
      <c r="W405" s="431"/>
    </row>
    <row r="406" spans="5:23" s="26" customFormat="1">
      <c r="E406" s="77"/>
      <c r="F406" s="362"/>
      <c r="I406" s="160"/>
      <c r="J406" s="160"/>
      <c r="T406" s="431"/>
      <c r="U406" s="431"/>
      <c r="W406" s="431"/>
    </row>
    <row r="407" spans="5:23" s="26" customFormat="1">
      <c r="E407" s="77"/>
      <c r="F407" s="362"/>
      <c r="I407" s="160"/>
      <c r="J407" s="160"/>
      <c r="T407" s="431"/>
      <c r="U407" s="431"/>
      <c r="W407" s="431"/>
    </row>
    <row r="408" spans="5:23" s="26" customFormat="1">
      <c r="E408" s="77"/>
      <c r="F408" s="362"/>
      <c r="I408" s="160"/>
      <c r="J408" s="160"/>
      <c r="T408" s="431"/>
      <c r="U408" s="431"/>
      <c r="W408" s="431"/>
    </row>
    <row r="409" spans="5:23" s="26" customFormat="1">
      <c r="E409" s="77"/>
      <c r="F409" s="362"/>
      <c r="I409" s="160"/>
      <c r="J409" s="160"/>
      <c r="T409" s="431"/>
      <c r="U409" s="431"/>
      <c r="W409" s="431"/>
    </row>
    <row r="410" spans="5:23" s="26" customFormat="1">
      <c r="E410" s="77"/>
      <c r="F410" s="362"/>
      <c r="I410" s="160"/>
      <c r="J410" s="160"/>
      <c r="T410" s="431"/>
      <c r="U410" s="431"/>
      <c r="W410" s="431"/>
    </row>
    <row r="411" spans="5:23" s="26" customFormat="1">
      <c r="E411" s="77"/>
      <c r="F411" s="362"/>
      <c r="I411" s="160"/>
      <c r="J411" s="160"/>
      <c r="T411" s="431"/>
      <c r="U411" s="431"/>
      <c r="W411" s="431"/>
    </row>
    <row r="412" spans="5:23" s="26" customFormat="1">
      <c r="E412" s="77"/>
      <c r="F412" s="362"/>
      <c r="I412" s="160"/>
      <c r="J412" s="160"/>
      <c r="T412" s="431"/>
      <c r="U412" s="431"/>
      <c r="W412" s="431"/>
    </row>
    <row r="413" spans="5:23" s="26" customFormat="1">
      <c r="E413" s="77"/>
      <c r="F413" s="362"/>
      <c r="I413" s="160"/>
      <c r="J413" s="160"/>
      <c r="T413" s="431"/>
      <c r="U413" s="431"/>
      <c r="W413" s="431"/>
    </row>
    <row r="414" spans="5:23" s="26" customFormat="1">
      <c r="E414" s="77"/>
      <c r="F414" s="362"/>
      <c r="I414" s="160"/>
      <c r="J414" s="160"/>
      <c r="T414" s="431"/>
      <c r="U414" s="431"/>
      <c r="W414" s="431"/>
    </row>
    <row r="415" spans="5:23" s="26" customFormat="1">
      <c r="E415" s="77"/>
      <c r="F415" s="362"/>
      <c r="I415" s="160"/>
      <c r="J415" s="160"/>
      <c r="T415" s="431"/>
      <c r="U415" s="431"/>
      <c r="W415" s="431"/>
    </row>
    <row r="416" spans="5:23" s="26" customFormat="1">
      <c r="E416" s="77"/>
      <c r="F416" s="362"/>
      <c r="I416" s="160"/>
      <c r="J416" s="160"/>
      <c r="T416" s="431"/>
      <c r="U416" s="431"/>
      <c r="W416" s="431"/>
    </row>
    <row r="417" spans="5:23" s="26" customFormat="1">
      <c r="E417" s="77"/>
      <c r="F417" s="362"/>
      <c r="I417" s="160"/>
      <c r="J417" s="160"/>
      <c r="T417" s="431"/>
      <c r="U417" s="431"/>
      <c r="W417" s="431"/>
    </row>
    <row r="418" spans="5:23" s="26" customFormat="1">
      <c r="E418" s="77"/>
      <c r="F418" s="362"/>
      <c r="I418" s="160"/>
      <c r="J418" s="160"/>
      <c r="T418" s="431"/>
      <c r="U418" s="431"/>
      <c r="W418" s="431"/>
    </row>
    <row r="419" spans="5:23" s="26" customFormat="1">
      <c r="E419" s="77"/>
      <c r="F419" s="362"/>
      <c r="I419" s="160"/>
      <c r="J419" s="160"/>
      <c r="T419" s="431"/>
      <c r="U419" s="431"/>
      <c r="W419" s="431"/>
    </row>
    <row r="420" spans="5:23" s="26" customFormat="1">
      <c r="E420" s="77"/>
      <c r="F420" s="362"/>
      <c r="I420" s="160"/>
      <c r="J420" s="160"/>
      <c r="T420" s="431"/>
      <c r="U420" s="431"/>
      <c r="W420" s="431"/>
    </row>
    <row r="421" spans="5:23" s="26" customFormat="1">
      <c r="E421" s="77"/>
      <c r="F421" s="362"/>
      <c r="I421" s="160"/>
      <c r="J421" s="160"/>
      <c r="T421" s="431"/>
      <c r="U421" s="431"/>
      <c r="W421" s="431"/>
    </row>
    <row r="422" spans="5:23" s="26" customFormat="1">
      <c r="E422" s="77"/>
      <c r="F422" s="362"/>
      <c r="I422" s="160"/>
      <c r="J422" s="160"/>
      <c r="T422" s="431"/>
      <c r="U422" s="431"/>
      <c r="W422" s="431"/>
    </row>
    <row r="423" spans="5:23" s="26" customFormat="1">
      <c r="E423" s="77"/>
      <c r="F423" s="362"/>
      <c r="I423" s="160"/>
      <c r="J423" s="160"/>
      <c r="T423" s="431"/>
      <c r="U423" s="431"/>
      <c r="W423" s="431"/>
    </row>
    <row r="424" spans="5:23" s="26" customFormat="1">
      <c r="E424" s="77"/>
      <c r="F424" s="362"/>
      <c r="I424" s="160"/>
      <c r="J424" s="160"/>
      <c r="T424" s="431"/>
      <c r="U424" s="431"/>
      <c r="W424" s="431"/>
    </row>
    <row r="425" spans="5:23" s="26" customFormat="1">
      <c r="E425" s="77"/>
      <c r="F425" s="362"/>
      <c r="I425" s="160"/>
      <c r="J425" s="160"/>
      <c r="T425" s="431"/>
      <c r="U425" s="431"/>
      <c r="W425" s="431"/>
    </row>
    <row r="426" spans="5:23" s="26" customFormat="1">
      <c r="E426" s="77"/>
      <c r="F426" s="362"/>
      <c r="I426" s="160"/>
      <c r="J426" s="160"/>
      <c r="T426" s="431"/>
      <c r="U426" s="431"/>
      <c r="W426" s="431"/>
    </row>
    <row r="427" spans="5:23" s="26" customFormat="1">
      <c r="E427" s="77"/>
      <c r="F427" s="362"/>
      <c r="I427" s="160"/>
      <c r="J427" s="160"/>
      <c r="T427" s="431"/>
      <c r="U427" s="431"/>
      <c r="W427" s="431"/>
    </row>
    <row r="428" spans="5:23" s="26" customFormat="1">
      <c r="E428" s="77"/>
      <c r="F428" s="362"/>
      <c r="I428" s="160"/>
      <c r="J428" s="160"/>
      <c r="T428" s="431"/>
      <c r="U428" s="431"/>
      <c r="W428" s="431"/>
    </row>
    <row r="429" spans="5:23" s="26" customFormat="1">
      <c r="E429" s="77"/>
      <c r="F429" s="362"/>
      <c r="I429" s="160"/>
      <c r="J429" s="160"/>
      <c r="T429" s="431"/>
      <c r="U429" s="431"/>
      <c r="W429" s="431"/>
    </row>
    <row r="430" spans="5:23" s="26" customFormat="1">
      <c r="E430" s="77"/>
      <c r="F430" s="362"/>
      <c r="I430" s="160"/>
      <c r="J430" s="160"/>
      <c r="T430" s="431"/>
      <c r="U430" s="431"/>
      <c r="W430" s="431"/>
    </row>
    <row r="431" spans="5:23" s="26" customFormat="1">
      <c r="E431" s="77"/>
      <c r="F431" s="362"/>
      <c r="I431" s="160"/>
      <c r="J431" s="160"/>
      <c r="T431" s="431"/>
      <c r="U431" s="431"/>
      <c r="W431" s="431"/>
    </row>
    <row r="432" spans="5:23" s="26" customFormat="1">
      <c r="E432" s="77"/>
      <c r="F432" s="362"/>
      <c r="I432" s="160"/>
      <c r="J432" s="160"/>
      <c r="T432" s="431"/>
      <c r="U432" s="431"/>
      <c r="W432" s="431"/>
    </row>
    <row r="433" spans="5:23" s="26" customFormat="1">
      <c r="E433" s="77"/>
      <c r="F433" s="362"/>
      <c r="I433" s="160"/>
      <c r="J433" s="160"/>
      <c r="T433" s="431"/>
      <c r="U433" s="431"/>
      <c r="W433" s="431"/>
    </row>
    <row r="434" spans="5:23" s="26" customFormat="1">
      <c r="E434" s="77"/>
      <c r="F434" s="362"/>
      <c r="I434" s="160"/>
      <c r="J434" s="160"/>
      <c r="T434" s="431"/>
      <c r="U434" s="431"/>
      <c r="W434" s="431"/>
    </row>
    <row r="435" spans="5:23" s="26" customFormat="1">
      <c r="E435" s="77"/>
      <c r="F435" s="362"/>
      <c r="I435" s="160"/>
      <c r="J435" s="160"/>
      <c r="T435" s="431"/>
      <c r="U435" s="431"/>
      <c r="W435" s="431"/>
    </row>
    <row r="436" spans="5:23" s="26" customFormat="1">
      <c r="E436" s="77"/>
      <c r="F436" s="362"/>
      <c r="I436" s="160"/>
      <c r="J436" s="160"/>
      <c r="T436" s="431"/>
      <c r="U436" s="431"/>
      <c r="W436" s="431"/>
    </row>
    <row r="437" spans="5:23" s="26" customFormat="1">
      <c r="E437" s="77"/>
      <c r="F437" s="362"/>
      <c r="I437" s="160"/>
      <c r="J437" s="160"/>
      <c r="T437" s="431"/>
      <c r="U437" s="431"/>
      <c r="W437" s="431"/>
    </row>
    <row r="438" spans="5:23" s="26" customFormat="1">
      <c r="E438" s="77"/>
      <c r="F438" s="362"/>
      <c r="I438" s="160"/>
      <c r="J438" s="160"/>
      <c r="T438" s="431"/>
      <c r="U438" s="431"/>
      <c r="W438" s="431"/>
    </row>
    <row r="439" spans="5:23" s="26" customFormat="1">
      <c r="E439" s="77"/>
      <c r="F439" s="362"/>
      <c r="I439" s="160"/>
      <c r="J439" s="160"/>
      <c r="T439" s="431"/>
      <c r="U439" s="431"/>
      <c r="W439" s="431"/>
    </row>
    <row r="440" spans="5:23" s="26" customFormat="1">
      <c r="E440" s="77"/>
      <c r="F440" s="362"/>
      <c r="I440" s="160"/>
      <c r="J440" s="160"/>
      <c r="T440" s="431"/>
      <c r="U440" s="431"/>
      <c r="W440" s="431"/>
    </row>
    <row r="441" spans="5:23" s="26" customFormat="1">
      <c r="E441" s="77"/>
      <c r="F441" s="362"/>
      <c r="I441" s="160"/>
      <c r="J441" s="160"/>
      <c r="T441" s="431"/>
      <c r="U441" s="431"/>
      <c r="W441" s="431"/>
    </row>
    <row r="442" spans="5:23" s="26" customFormat="1">
      <c r="E442" s="77"/>
      <c r="F442" s="362"/>
      <c r="I442" s="160"/>
      <c r="J442" s="160"/>
      <c r="T442" s="431"/>
      <c r="U442" s="431"/>
      <c r="W442" s="431"/>
    </row>
    <row r="443" spans="5:23" s="26" customFormat="1">
      <c r="E443" s="77"/>
      <c r="F443" s="362"/>
      <c r="I443" s="160"/>
      <c r="J443" s="160"/>
      <c r="T443" s="431"/>
      <c r="U443" s="431"/>
      <c r="W443" s="431"/>
    </row>
    <row r="444" spans="5:23" s="26" customFormat="1">
      <c r="E444" s="77"/>
      <c r="F444" s="362"/>
      <c r="I444" s="160"/>
      <c r="J444" s="160"/>
      <c r="T444" s="431"/>
      <c r="U444" s="431"/>
      <c r="W444" s="431"/>
    </row>
    <row r="445" spans="5:23" s="26" customFormat="1">
      <c r="E445" s="77"/>
      <c r="F445" s="362"/>
      <c r="I445" s="160"/>
      <c r="J445" s="160"/>
      <c r="T445" s="431"/>
      <c r="U445" s="431"/>
      <c r="W445" s="431"/>
    </row>
    <row r="446" spans="5:23" s="26" customFormat="1">
      <c r="E446" s="77"/>
      <c r="F446" s="362"/>
      <c r="I446" s="160"/>
      <c r="J446" s="160"/>
      <c r="T446" s="431"/>
      <c r="U446" s="431"/>
      <c r="W446" s="431"/>
    </row>
    <row r="447" spans="5:23" s="26" customFormat="1">
      <c r="E447" s="77"/>
      <c r="F447" s="362"/>
      <c r="I447" s="160"/>
      <c r="J447" s="160"/>
      <c r="T447" s="431"/>
      <c r="U447" s="431"/>
      <c r="W447" s="431"/>
    </row>
    <row r="448" spans="5:23" s="26" customFormat="1">
      <c r="E448" s="77"/>
      <c r="F448" s="362"/>
      <c r="I448" s="160"/>
      <c r="J448" s="160"/>
      <c r="T448" s="431"/>
      <c r="U448" s="431"/>
      <c r="W448" s="431"/>
    </row>
    <row r="449" spans="5:23" s="26" customFormat="1">
      <c r="E449" s="77"/>
      <c r="F449" s="362"/>
      <c r="I449" s="160"/>
      <c r="J449" s="160"/>
      <c r="T449" s="431"/>
      <c r="U449" s="431"/>
      <c r="W449" s="431"/>
    </row>
    <row r="450" spans="5:23" s="26" customFormat="1">
      <c r="E450" s="77"/>
      <c r="F450" s="362"/>
      <c r="I450" s="160"/>
      <c r="J450" s="160"/>
      <c r="T450" s="431"/>
      <c r="U450" s="431"/>
      <c r="W450" s="431"/>
    </row>
    <row r="451" spans="5:23" s="26" customFormat="1">
      <c r="E451" s="77"/>
      <c r="F451" s="362"/>
      <c r="I451" s="160"/>
      <c r="J451" s="160"/>
      <c r="T451" s="431"/>
      <c r="U451" s="431"/>
      <c r="W451" s="431"/>
    </row>
    <row r="452" spans="5:23" s="26" customFormat="1">
      <c r="E452" s="77"/>
      <c r="F452" s="362"/>
      <c r="I452" s="160"/>
      <c r="J452" s="160"/>
      <c r="T452" s="431"/>
      <c r="U452" s="431"/>
      <c r="W452" s="431"/>
    </row>
    <row r="453" spans="5:23" s="26" customFormat="1">
      <c r="E453" s="77"/>
      <c r="F453" s="362"/>
      <c r="I453" s="160"/>
      <c r="J453" s="160"/>
      <c r="T453" s="431"/>
      <c r="U453" s="431"/>
      <c r="W453" s="431"/>
    </row>
    <row r="454" spans="5:23" s="26" customFormat="1">
      <c r="E454" s="77"/>
      <c r="F454" s="362"/>
      <c r="I454" s="160"/>
      <c r="J454" s="160"/>
      <c r="T454" s="431"/>
      <c r="U454" s="431"/>
      <c r="W454" s="431"/>
    </row>
    <row r="455" spans="5:23" s="26" customFormat="1">
      <c r="E455" s="77"/>
      <c r="F455" s="362"/>
      <c r="I455" s="160"/>
      <c r="J455" s="160"/>
      <c r="T455" s="431"/>
      <c r="U455" s="431"/>
      <c r="W455" s="431"/>
    </row>
    <row r="456" spans="5:23" s="26" customFormat="1">
      <c r="E456" s="77"/>
      <c r="F456" s="362"/>
      <c r="I456" s="160"/>
      <c r="J456" s="160"/>
      <c r="T456" s="431"/>
      <c r="U456" s="431"/>
      <c r="W456" s="431"/>
    </row>
    <row r="457" spans="5:23" s="26" customFormat="1">
      <c r="E457" s="77"/>
      <c r="F457" s="362"/>
      <c r="I457" s="160"/>
      <c r="J457" s="160"/>
      <c r="T457" s="431"/>
      <c r="U457" s="431"/>
      <c r="W457" s="431"/>
    </row>
    <row r="458" spans="5:23" s="26" customFormat="1">
      <c r="E458" s="77"/>
      <c r="F458" s="362"/>
      <c r="I458" s="160"/>
      <c r="J458" s="160"/>
      <c r="T458" s="431"/>
      <c r="U458" s="431"/>
      <c r="W458" s="431"/>
    </row>
    <row r="459" spans="5:23" s="26" customFormat="1">
      <c r="E459" s="77"/>
      <c r="F459" s="362"/>
      <c r="I459" s="160"/>
      <c r="J459" s="160"/>
      <c r="T459" s="431"/>
      <c r="U459" s="431"/>
      <c r="W459" s="431"/>
    </row>
    <row r="460" spans="5:23" s="26" customFormat="1">
      <c r="E460" s="77"/>
      <c r="F460" s="362"/>
      <c r="I460" s="160"/>
      <c r="J460" s="160"/>
      <c r="T460" s="431"/>
      <c r="U460" s="431"/>
      <c r="W460" s="431"/>
    </row>
    <row r="461" spans="5:23" s="26" customFormat="1">
      <c r="E461" s="77"/>
      <c r="F461" s="362"/>
      <c r="I461" s="160"/>
      <c r="J461" s="160"/>
      <c r="T461" s="431"/>
      <c r="U461" s="431"/>
      <c r="W461" s="431"/>
    </row>
    <row r="462" spans="5:23" s="26" customFormat="1">
      <c r="E462" s="77"/>
      <c r="F462" s="362"/>
      <c r="I462" s="160"/>
      <c r="J462" s="160"/>
      <c r="T462" s="431"/>
      <c r="U462" s="431"/>
      <c r="W462" s="431"/>
    </row>
    <row r="463" spans="5:23" s="26" customFormat="1">
      <c r="E463" s="77"/>
      <c r="F463" s="362"/>
      <c r="I463" s="160"/>
      <c r="J463" s="160"/>
      <c r="T463" s="431"/>
      <c r="U463" s="431"/>
      <c r="W463" s="431"/>
    </row>
    <row r="464" spans="5:23" s="26" customFormat="1">
      <c r="E464" s="77"/>
      <c r="F464" s="362"/>
      <c r="I464" s="160"/>
      <c r="J464" s="160"/>
      <c r="T464" s="431"/>
      <c r="U464" s="431"/>
      <c r="W464" s="431"/>
    </row>
    <row r="465" spans="5:23" s="26" customFormat="1">
      <c r="E465" s="77"/>
      <c r="F465" s="362"/>
      <c r="I465" s="160"/>
      <c r="J465" s="160"/>
      <c r="T465" s="431"/>
      <c r="U465" s="431"/>
      <c r="W465" s="431"/>
    </row>
    <row r="466" spans="5:23" s="26" customFormat="1">
      <c r="E466" s="77"/>
      <c r="F466" s="362"/>
      <c r="I466" s="160"/>
      <c r="J466" s="160"/>
      <c r="T466" s="431"/>
      <c r="U466" s="431"/>
      <c r="W466" s="431"/>
    </row>
    <row r="467" spans="5:23" s="26" customFormat="1">
      <c r="E467" s="77"/>
      <c r="F467" s="362"/>
      <c r="I467" s="160"/>
      <c r="J467" s="160"/>
      <c r="T467" s="431"/>
      <c r="U467" s="431"/>
      <c r="W467" s="431"/>
    </row>
    <row r="468" spans="5:23" s="26" customFormat="1">
      <c r="E468" s="77"/>
      <c r="F468" s="362"/>
      <c r="I468" s="160"/>
      <c r="J468" s="160"/>
      <c r="T468" s="431"/>
      <c r="U468" s="431"/>
      <c r="W468" s="431"/>
    </row>
    <row r="469" spans="5:23" s="26" customFormat="1">
      <c r="E469" s="77"/>
      <c r="F469" s="362"/>
      <c r="I469" s="160"/>
      <c r="J469" s="160"/>
      <c r="T469" s="431"/>
      <c r="U469" s="431"/>
      <c r="W469" s="431"/>
    </row>
    <row r="470" spans="5:23" s="26" customFormat="1">
      <c r="E470" s="77"/>
      <c r="F470" s="362"/>
      <c r="I470" s="160"/>
      <c r="J470" s="160"/>
      <c r="T470" s="431"/>
      <c r="U470" s="431"/>
      <c r="W470" s="431"/>
    </row>
    <row r="471" spans="5:23" s="26" customFormat="1">
      <c r="E471" s="77"/>
      <c r="F471" s="362"/>
      <c r="I471" s="160"/>
      <c r="J471" s="160"/>
      <c r="T471" s="431"/>
      <c r="U471" s="431"/>
      <c r="W471" s="431"/>
    </row>
    <row r="472" spans="5:23" s="26" customFormat="1">
      <c r="E472" s="77"/>
      <c r="F472" s="362"/>
      <c r="I472" s="160"/>
      <c r="J472" s="160"/>
      <c r="T472" s="431"/>
      <c r="U472" s="431"/>
      <c r="W472" s="431"/>
    </row>
    <row r="473" spans="5:23" s="26" customFormat="1">
      <c r="E473" s="77"/>
      <c r="F473" s="362"/>
      <c r="I473" s="160"/>
      <c r="J473" s="160"/>
      <c r="T473" s="431"/>
      <c r="U473" s="431"/>
      <c r="W473" s="431"/>
    </row>
    <row r="474" spans="5:23" s="26" customFormat="1">
      <c r="E474" s="77"/>
      <c r="F474" s="362"/>
      <c r="I474" s="160"/>
      <c r="J474" s="160"/>
      <c r="T474" s="431"/>
      <c r="U474" s="431"/>
      <c r="W474" s="431"/>
    </row>
    <row r="475" spans="5:23" s="26" customFormat="1">
      <c r="E475" s="77"/>
      <c r="F475" s="362"/>
      <c r="I475" s="160"/>
      <c r="J475" s="160"/>
      <c r="T475" s="431"/>
      <c r="U475" s="431"/>
      <c r="W475" s="431"/>
    </row>
    <row r="476" spans="5:23" s="26" customFormat="1">
      <c r="E476" s="77"/>
      <c r="F476" s="362"/>
      <c r="I476" s="160"/>
      <c r="J476" s="160"/>
      <c r="T476" s="431"/>
      <c r="U476" s="431"/>
      <c r="W476" s="431"/>
    </row>
    <row r="477" spans="5:23" s="26" customFormat="1">
      <c r="E477" s="77"/>
      <c r="F477" s="362"/>
      <c r="I477" s="160"/>
      <c r="J477" s="160"/>
      <c r="T477" s="431"/>
      <c r="U477" s="431"/>
      <c r="W477" s="431"/>
    </row>
    <row r="478" spans="5:23" s="26" customFormat="1">
      <c r="E478" s="77"/>
      <c r="F478" s="362"/>
      <c r="I478" s="160"/>
      <c r="J478" s="160"/>
      <c r="T478" s="431"/>
      <c r="U478" s="431"/>
      <c r="W478" s="431"/>
    </row>
    <row r="479" spans="5:23" s="26" customFormat="1">
      <c r="E479" s="77"/>
      <c r="F479" s="362"/>
      <c r="I479" s="160"/>
      <c r="J479" s="160"/>
      <c r="T479" s="431"/>
      <c r="U479" s="431"/>
      <c r="W479" s="431"/>
    </row>
    <row r="480" spans="5:23" s="26" customFormat="1">
      <c r="E480" s="77"/>
      <c r="F480" s="362"/>
      <c r="I480" s="160"/>
      <c r="J480" s="160"/>
      <c r="T480" s="431"/>
      <c r="U480" s="431"/>
      <c r="W480" s="431"/>
    </row>
    <row r="481" spans="5:23" s="26" customFormat="1">
      <c r="E481" s="77"/>
      <c r="F481" s="362"/>
      <c r="I481" s="160"/>
      <c r="J481" s="160"/>
      <c r="T481" s="431"/>
      <c r="U481" s="431"/>
      <c r="W481" s="431"/>
    </row>
    <row r="482" spans="5:23" s="26" customFormat="1">
      <c r="E482" s="77"/>
      <c r="F482" s="362"/>
      <c r="I482" s="160"/>
      <c r="J482" s="160"/>
      <c r="T482" s="431"/>
      <c r="U482" s="431"/>
      <c r="W482" s="431"/>
    </row>
    <row r="483" spans="5:23" s="26" customFormat="1">
      <c r="E483" s="77"/>
      <c r="F483" s="362"/>
      <c r="I483" s="160"/>
      <c r="J483" s="160"/>
      <c r="T483" s="431"/>
      <c r="U483" s="431"/>
      <c r="W483" s="431"/>
    </row>
    <row r="484" spans="5:23" s="26" customFormat="1">
      <c r="E484" s="77"/>
      <c r="F484" s="362"/>
      <c r="I484" s="160"/>
      <c r="J484" s="160"/>
      <c r="T484" s="431"/>
      <c r="U484" s="431"/>
      <c r="W484" s="431"/>
    </row>
    <row r="485" spans="5:23" s="26" customFormat="1">
      <c r="E485" s="77"/>
      <c r="F485" s="362"/>
      <c r="I485" s="160"/>
      <c r="J485" s="160"/>
      <c r="T485" s="431"/>
      <c r="U485" s="431"/>
      <c r="W485" s="431"/>
    </row>
    <row r="486" spans="5:23" s="26" customFormat="1">
      <c r="E486" s="77"/>
      <c r="F486" s="362"/>
      <c r="I486" s="160"/>
      <c r="J486" s="160"/>
      <c r="T486" s="431"/>
      <c r="U486" s="431"/>
      <c r="W486" s="431"/>
    </row>
    <row r="487" spans="5:23" s="26" customFormat="1">
      <c r="E487" s="77"/>
      <c r="F487" s="362"/>
      <c r="I487" s="160"/>
      <c r="J487" s="160"/>
      <c r="T487" s="431"/>
      <c r="U487" s="431"/>
      <c r="W487" s="431"/>
    </row>
    <row r="488" spans="5:23" s="26" customFormat="1">
      <c r="E488" s="77"/>
      <c r="F488" s="362"/>
      <c r="I488" s="160"/>
      <c r="J488" s="160"/>
      <c r="T488" s="431"/>
      <c r="U488" s="431"/>
      <c r="W488" s="431"/>
    </row>
    <row r="489" spans="5:23" s="26" customFormat="1">
      <c r="E489" s="77"/>
      <c r="F489" s="362"/>
      <c r="I489" s="160"/>
      <c r="J489" s="160"/>
      <c r="T489" s="431"/>
      <c r="U489" s="431"/>
      <c r="W489" s="431"/>
    </row>
    <row r="490" spans="5:23" s="26" customFormat="1">
      <c r="E490" s="77"/>
      <c r="F490" s="362"/>
      <c r="I490" s="160"/>
      <c r="J490" s="160"/>
      <c r="T490" s="431"/>
      <c r="U490" s="431"/>
      <c r="W490" s="431"/>
    </row>
    <row r="491" spans="5:23" s="26" customFormat="1">
      <c r="E491" s="77"/>
      <c r="F491" s="362"/>
      <c r="I491" s="160"/>
      <c r="J491" s="160"/>
      <c r="T491" s="431"/>
      <c r="U491" s="431"/>
      <c r="W491" s="431"/>
    </row>
    <row r="492" spans="5:23" s="26" customFormat="1">
      <c r="E492" s="77"/>
      <c r="F492" s="362"/>
      <c r="I492" s="160"/>
      <c r="J492" s="160"/>
      <c r="T492" s="431"/>
      <c r="U492" s="431"/>
      <c r="W492" s="431"/>
    </row>
    <row r="493" spans="5:23" s="26" customFormat="1">
      <c r="E493" s="77"/>
      <c r="F493" s="362"/>
      <c r="I493" s="160"/>
      <c r="J493" s="160"/>
      <c r="T493" s="431"/>
      <c r="U493" s="431"/>
      <c r="W493" s="431"/>
    </row>
    <row r="494" spans="5:23" s="26" customFormat="1">
      <c r="E494" s="77"/>
      <c r="F494" s="362"/>
      <c r="I494" s="160"/>
      <c r="J494" s="160"/>
      <c r="T494" s="431"/>
      <c r="U494" s="431"/>
      <c r="W494" s="431"/>
    </row>
    <row r="495" spans="5:23" s="26" customFormat="1">
      <c r="E495" s="77"/>
      <c r="F495" s="362"/>
      <c r="I495" s="160"/>
      <c r="J495" s="160"/>
      <c r="T495" s="431"/>
      <c r="U495" s="431"/>
      <c r="W495" s="431"/>
    </row>
    <row r="496" spans="5:23" s="26" customFormat="1">
      <c r="E496" s="77"/>
      <c r="F496" s="362"/>
      <c r="I496" s="160"/>
      <c r="J496" s="160"/>
      <c r="T496" s="431"/>
      <c r="U496" s="431"/>
      <c r="W496" s="431"/>
    </row>
    <row r="497" spans="5:23" s="26" customFormat="1">
      <c r="E497" s="77"/>
      <c r="F497" s="362"/>
      <c r="I497" s="160"/>
      <c r="J497" s="160"/>
      <c r="T497" s="431"/>
      <c r="U497" s="431"/>
      <c r="W497" s="431"/>
    </row>
    <row r="498" spans="5:23" s="26" customFormat="1">
      <c r="E498" s="77"/>
      <c r="F498" s="362"/>
      <c r="I498" s="160"/>
      <c r="J498" s="160"/>
      <c r="T498" s="431"/>
      <c r="U498" s="431"/>
      <c r="W498" s="431"/>
    </row>
    <row r="499" spans="5:23" s="26" customFormat="1">
      <c r="E499" s="77"/>
      <c r="F499" s="362"/>
      <c r="I499" s="160"/>
      <c r="J499" s="160"/>
      <c r="T499" s="431"/>
      <c r="U499" s="431"/>
      <c r="W499" s="431"/>
    </row>
    <row r="500" spans="5:23" s="26" customFormat="1">
      <c r="E500" s="77"/>
      <c r="F500" s="362"/>
      <c r="I500" s="160"/>
      <c r="J500" s="160"/>
      <c r="T500" s="431"/>
      <c r="U500" s="431"/>
      <c r="W500" s="431"/>
    </row>
    <row r="501" spans="5:23" s="26" customFormat="1">
      <c r="E501" s="77"/>
      <c r="F501" s="362"/>
      <c r="I501" s="160"/>
      <c r="J501" s="160"/>
      <c r="T501" s="431"/>
      <c r="U501" s="431"/>
      <c r="W501" s="431"/>
    </row>
    <row r="502" spans="5:23" s="26" customFormat="1">
      <c r="E502" s="77"/>
      <c r="F502" s="362"/>
      <c r="I502" s="160"/>
      <c r="J502" s="160"/>
      <c r="T502" s="431"/>
      <c r="U502" s="431"/>
      <c r="W502" s="431"/>
    </row>
    <row r="503" spans="5:23" s="26" customFormat="1">
      <c r="E503" s="77"/>
      <c r="F503" s="362"/>
      <c r="I503" s="160"/>
      <c r="J503" s="160"/>
      <c r="T503" s="431"/>
      <c r="U503" s="431"/>
      <c r="W503" s="431"/>
    </row>
    <row r="504" spans="5:23" s="26" customFormat="1">
      <c r="E504" s="77"/>
      <c r="F504" s="362"/>
      <c r="I504" s="160"/>
      <c r="J504" s="160"/>
      <c r="T504" s="431"/>
      <c r="U504" s="431"/>
      <c r="W504" s="431"/>
    </row>
    <row r="505" spans="5:23" s="26" customFormat="1">
      <c r="E505" s="77"/>
      <c r="F505" s="362"/>
      <c r="I505" s="160"/>
      <c r="J505" s="160"/>
      <c r="T505" s="431"/>
      <c r="U505" s="431"/>
      <c r="W505" s="431"/>
    </row>
    <row r="506" spans="5:23" s="26" customFormat="1">
      <c r="E506" s="77"/>
      <c r="F506" s="362"/>
      <c r="I506" s="160"/>
      <c r="J506" s="160"/>
      <c r="T506" s="431"/>
      <c r="U506" s="431"/>
      <c r="W506" s="431"/>
    </row>
    <row r="507" spans="5:23" s="26" customFormat="1">
      <c r="E507" s="77"/>
      <c r="F507" s="362"/>
      <c r="I507" s="160"/>
      <c r="J507" s="160"/>
      <c r="T507" s="431"/>
      <c r="U507" s="431"/>
      <c r="W507" s="431"/>
    </row>
    <row r="508" spans="5:23" s="26" customFormat="1">
      <c r="E508" s="77"/>
      <c r="F508" s="362"/>
      <c r="I508" s="160"/>
      <c r="J508" s="160"/>
      <c r="T508" s="431"/>
      <c r="U508" s="431"/>
      <c r="W508" s="431"/>
    </row>
    <row r="509" spans="5:23" s="26" customFormat="1">
      <c r="E509" s="77"/>
      <c r="F509" s="362"/>
      <c r="I509" s="160"/>
      <c r="J509" s="160"/>
      <c r="T509" s="431"/>
      <c r="U509" s="431"/>
      <c r="W509" s="431"/>
    </row>
    <row r="510" spans="5:23" s="26" customFormat="1">
      <c r="E510" s="77"/>
      <c r="F510" s="362"/>
      <c r="I510" s="160"/>
      <c r="J510" s="160"/>
      <c r="T510" s="431"/>
      <c r="U510" s="431"/>
      <c r="W510" s="431"/>
    </row>
    <row r="511" spans="5:23" s="26" customFormat="1">
      <c r="E511" s="77"/>
      <c r="F511" s="362"/>
      <c r="I511" s="160"/>
      <c r="J511" s="160"/>
      <c r="T511" s="431"/>
      <c r="U511" s="431"/>
      <c r="W511" s="431"/>
    </row>
    <row r="512" spans="5:23" s="26" customFormat="1">
      <c r="E512" s="77"/>
      <c r="F512" s="362"/>
      <c r="I512" s="160"/>
      <c r="J512" s="160"/>
      <c r="T512" s="431"/>
      <c r="U512" s="431"/>
      <c r="W512" s="431"/>
    </row>
    <row r="513" spans="5:23" s="26" customFormat="1">
      <c r="E513" s="77"/>
      <c r="F513" s="362"/>
      <c r="I513" s="160"/>
      <c r="J513" s="160"/>
      <c r="T513" s="431"/>
      <c r="U513" s="431"/>
      <c r="W513" s="431"/>
    </row>
    <row r="514" spans="5:23" s="26" customFormat="1">
      <c r="E514" s="77"/>
      <c r="F514" s="362"/>
      <c r="I514" s="160"/>
      <c r="J514" s="160"/>
      <c r="T514" s="431"/>
      <c r="U514" s="431"/>
      <c r="W514" s="431"/>
    </row>
    <row r="515" spans="5:23" s="26" customFormat="1">
      <c r="E515" s="77"/>
      <c r="F515" s="362"/>
      <c r="I515" s="160"/>
      <c r="J515" s="160"/>
      <c r="T515" s="431"/>
      <c r="U515" s="431"/>
      <c r="W515" s="431"/>
    </row>
    <row r="516" spans="5:23" s="26" customFormat="1">
      <c r="E516" s="77"/>
      <c r="F516" s="362"/>
      <c r="I516" s="160"/>
      <c r="J516" s="160"/>
      <c r="T516" s="431"/>
      <c r="U516" s="431"/>
      <c r="W516" s="431"/>
    </row>
    <row r="517" spans="5:23" s="26" customFormat="1">
      <c r="E517" s="77"/>
      <c r="F517" s="362"/>
      <c r="I517" s="160"/>
      <c r="J517" s="160"/>
      <c r="T517" s="431"/>
      <c r="U517" s="431"/>
      <c r="W517" s="431"/>
    </row>
    <row r="518" spans="5:23" s="26" customFormat="1">
      <c r="E518" s="77"/>
      <c r="F518" s="362"/>
      <c r="I518" s="160"/>
      <c r="J518" s="160"/>
      <c r="T518" s="431"/>
      <c r="U518" s="431"/>
      <c r="W518" s="431"/>
    </row>
    <row r="519" spans="5:23" s="26" customFormat="1">
      <c r="E519" s="77"/>
      <c r="F519" s="362"/>
      <c r="I519" s="160"/>
      <c r="J519" s="160"/>
      <c r="T519" s="431"/>
      <c r="U519" s="431"/>
      <c r="W519" s="431"/>
    </row>
    <row r="520" spans="5:23" s="26" customFormat="1">
      <c r="E520" s="77"/>
      <c r="F520" s="362"/>
      <c r="I520" s="160"/>
      <c r="J520" s="160"/>
      <c r="T520" s="431"/>
      <c r="U520" s="431"/>
      <c r="W520" s="431"/>
    </row>
    <row r="521" spans="5:23" s="26" customFormat="1">
      <c r="E521" s="77"/>
      <c r="F521" s="362"/>
      <c r="I521" s="160"/>
      <c r="J521" s="160"/>
      <c r="T521" s="431"/>
      <c r="U521" s="431"/>
      <c r="W521" s="431"/>
    </row>
    <row r="522" spans="5:23" s="26" customFormat="1">
      <c r="E522" s="77"/>
      <c r="F522" s="362"/>
      <c r="I522" s="160"/>
      <c r="J522" s="160"/>
      <c r="T522" s="431"/>
      <c r="U522" s="431"/>
      <c r="W522" s="431"/>
    </row>
    <row r="523" spans="5:23" s="26" customFormat="1">
      <c r="E523" s="77"/>
      <c r="F523" s="362"/>
      <c r="I523" s="160"/>
      <c r="J523" s="160"/>
      <c r="T523" s="431"/>
      <c r="U523" s="431"/>
      <c r="W523" s="431"/>
    </row>
    <row r="524" spans="5:23" s="26" customFormat="1">
      <c r="E524" s="77"/>
      <c r="F524" s="362"/>
      <c r="I524" s="160"/>
      <c r="J524" s="160"/>
      <c r="T524" s="431"/>
      <c r="U524" s="431"/>
      <c r="W524" s="431"/>
    </row>
    <row r="525" spans="5:23" s="26" customFormat="1">
      <c r="E525" s="77"/>
      <c r="F525" s="362"/>
      <c r="I525" s="160"/>
      <c r="J525" s="160"/>
      <c r="T525" s="431"/>
      <c r="U525" s="431"/>
      <c r="W525" s="431"/>
    </row>
  </sheetData>
  <sheetProtection formatCells="0" formatColumns="0" formatRows="0" insertColumns="0" insertRows="0" insertHyperlinks="0" deleteColumns="0" deleteRows="0" sort="0" autoFilter="0" pivotTables="0"/>
  <mergeCells count="68">
    <mergeCell ref="R87:R88"/>
    <mergeCell ref="I154:I165"/>
    <mergeCell ref="J154:J165"/>
    <mergeCell ref="X154:X165"/>
    <mergeCell ref="I134:I139"/>
    <mergeCell ref="J134:J139"/>
    <mergeCell ref="X134:X139"/>
    <mergeCell ref="I141:I152"/>
    <mergeCell ref="J141:J152"/>
    <mergeCell ref="X141:X152"/>
    <mergeCell ref="V134:V139"/>
    <mergeCell ref="V141:V152"/>
    <mergeCell ref="V154:V165"/>
    <mergeCell ref="R112:R120"/>
    <mergeCell ref="R95:R103"/>
    <mergeCell ref="X125:X129"/>
    <mergeCell ref="I131:I132"/>
    <mergeCell ref="J131:J132"/>
    <mergeCell ref="K131:K132"/>
    <mergeCell ref="X131:X132"/>
    <mergeCell ref="V125:V129"/>
    <mergeCell ref="I125:I129"/>
    <mergeCell ref="J125:J129"/>
    <mergeCell ref="R33:R41"/>
    <mergeCell ref="X75:X82"/>
    <mergeCell ref="I21:I27"/>
    <mergeCell ref="J21:J27"/>
    <mergeCell ref="I108:I123"/>
    <mergeCell ref="J108:J123"/>
    <mergeCell ref="X108:X123"/>
    <mergeCell ref="I84:I92"/>
    <mergeCell ref="J84:J92"/>
    <mergeCell ref="X84:X92"/>
    <mergeCell ref="I94:I106"/>
    <mergeCell ref="J94:J106"/>
    <mergeCell ref="X94:X106"/>
    <mergeCell ref="V108:V123"/>
    <mergeCell ref="V84:V92"/>
    <mergeCell ref="V94:V106"/>
    <mergeCell ref="I75:I82"/>
    <mergeCell ref="J75:J82"/>
    <mergeCell ref="V75:V82"/>
    <mergeCell ref="V46:V54"/>
    <mergeCell ref="V56:V73"/>
    <mergeCell ref="R62:R70"/>
    <mergeCell ref="I46:I54"/>
    <mergeCell ref="J46:J54"/>
    <mergeCell ref="X46:X54"/>
    <mergeCell ref="I56:I73"/>
    <mergeCell ref="J56:J73"/>
    <mergeCell ref="X56:X73"/>
    <mergeCell ref="X6:X11"/>
    <mergeCell ref="V6:V11"/>
    <mergeCell ref="V13:V19"/>
    <mergeCell ref="V21:V27"/>
    <mergeCell ref="V29:V44"/>
    <mergeCell ref="X21:X27"/>
    <mergeCell ref="I29:I44"/>
    <mergeCell ref="J29:J44"/>
    <mergeCell ref="X29:X44"/>
    <mergeCell ref="I13:I19"/>
    <mergeCell ref="J13:J19"/>
    <mergeCell ref="X13:X19"/>
    <mergeCell ref="B2:G2"/>
    <mergeCell ref="L2:Q2"/>
    <mergeCell ref="I6:I11"/>
    <mergeCell ref="J6:J11"/>
    <mergeCell ref="R2:W2"/>
  </mergeCells>
  <phoneticPr fontId="11" type="noConversion"/>
  <conditionalFormatting sqref="J4">
    <cfRule type="containsText" dxfId="5" priority="2" operator="containsText" text="ERROR">
      <formula>NOT(ISERROR(SEARCH("ERROR",J4)))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CP19"/>
  <sheetViews>
    <sheetView zoomScaleNormal="100" workbookViewId="0">
      <pane xSplit="5" ySplit="15" topLeftCell="J16" activePane="bottomRight" state="frozen"/>
      <selection pane="topRight" activeCell="X33" sqref="X33"/>
      <selection pane="bottomLeft" activeCell="X33" sqref="X33"/>
      <selection pane="bottomRight" activeCell="X33" sqref="X33"/>
    </sheetView>
  </sheetViews>
  <sheetFormatPr defaultColWidth="9.44140625" defaultRowHeight="14.4"/>
  <cols>
    <col min="1" max="1" width="9.44140625" customWidth="1"/>
    <col min="2" max="2" width="34.5546875" customWidth="1"/>
    <col min="3" max="3" width="18.5546875" bestFit="1" customWidth="1"/>
    <col min="4" max="4" width="21.5546875" customWidth="1"/>
    <col min="5" max="5" width="4.44140625" customWidth="1"/>
    <col min="6" max="6" width="16.44140625" bestFit="1" customWidth="1"/>
    <col min="7" max="7" width="20.44140625" customWidth="1"/>
    <col min="8" max="292" width="15.44140625" bestFit="1" customWidth="1"/>
    <col min="293" max="293" width="9.44140625" style="102"/>
  </cols>
  <sheetData>
    <row r="1" spans="1:770">
      <c r="D1" s="98" t="s">
        <v>411</v>
      </c>
      <c r="E1" s="99"/>
      <c r="F1" s="100">
        <v>45901</v>
      </c>
      <c r="G1" s="101">
        <f>F1+7</f>
        <v>45908</v>
      </c>
      <c r="H1" s="101">
        <f>G1+7</f>
        <v>45915</v>
      </c>
      <c r="I1" s="101">
        <f t="shared" ref="I1:BT1" si="0">H1+7</f>
        <v>45922</v>
      </c>
      <c r="J1" s="101">
        <f t="shared" si="0"/>
        <v>45929</v>
      </c>
      <c r="K1" s="101">
        <f t="shared" si="0"/>
        <v>45936</v>
      </c>
      <c r="L1" s="101">
        <f t="shared" si="0"/>
        <v>45943</v>
      </c>
      <c r="M1" s="101">
        <f t="shared" si="0"/>
        <v>45950</v>
      </c>
      <c r="N1" s="101">
        <f t="shared" si="0"/>
        <v>45957</v>
      </c>
      <c r="O1" s="101">
        <f t="shared" si="0"/>
        <v>45964</v>
      </c>
      <c r="P1" s="101">
        <f t="shared" si="0"/>
        <v>45971</v>
      </c>
      <c r="Q1" s="101">
        <f t="shared" si="0"/>
        <v>45978</v>
      </c>
      <c r="R1" s="101">
        <f t="shared" si="0"/>
        <v>45985</v>
      </c>
      <c r="S1" s="101">
        <f t="shared" si="0"/>
        <v>45992</v>
      </c>
      <c r="T1" s="101">
        <f t="shared" si="0"/>
        <v>45999</v>
      </c>
      <c r="U1" s="101">
        <f t="shared" si="0"/>
        <v>46006</v>
      </c>
      <c r="V1" s="101">
        <f t="shared" si="0"/>
        <v>46013</v>
      </c>
      <c r="W1" s="101">
        <f t="shared" si="0"/>
        <v>46020</v>
      </c>
      <c r="X1" s="101">
        <f t="shared" si="0"/>
        <v>46027</v>
      </c>
      <c r="Y1" s="101">
        <f t="shared" si="0"/>
        <v>46034</v>
      </c>
      <c r="Z1" s="101">
        <f t="shared" si="0"/>
        <v>46041</v>
      </c>
      <c r="AA1" s="101">
        <f t="shared" si="0"/>
        <v>46048</v>
      </c>
      <c r="AB1" s="101">
        <f t="shared" si="0"/>
        <v>46055</v>
      </c>
      <c r="AC1" s="101">
        <f t="shared" si="0"/>
        <v>46062</v>
      </c>
      <c r="AD1" s="101">
        <f>AC1+7</f>
        <v>46069</v>
      </c>
      <c r="AE1" s="101">
        <f t="shared" si="0"/>
        <v>46076</v>
      </c>
      <c r="AF1" s="101">
        <f t="shared" si="0"/>
        <v>46083</v>
      </c>
      <c r="AG1" s="101">
        <f t="shared" si="0"/>
        <v>46090</v>
      </c>
      <c r="AH1" s="101">
        <f t="shared" si="0"/>
        <v>46097</v>
      </c>
      <c r="AI1" s="101">
        <f t="shared" si="0"/>
        <v>46104</v>
      </c>
      <c r="AJ1" s="101">
        <f t="shared" si="0"/>
        <v>46111</v>
      </c>
      <c r="AK1" s="101">
        <f t="shared" si="0"/>
        <v>46118</v>
      </c>
      <c r="AL1" s="101">
        <f t="shared" si="0"/>
        <v>46125</v>
      </c>
      <c r="AM1" s="101">
        <f t="shared" si="0"/>
        <v>46132</v>
      </c>
      <c r="AN1" s="101">
        <f t="shared" si="0"/>
        <v>46139</v>
      </c>
      <c r="AO1" s="101">
        <f t="shared" si="0"/>
        <v>46146</v>
      </c>
      <c r="AP1" s="101">
        <f t="shared" si="0"/>
        <v>46153</v>
      </c>
      <c r="AQ1" s="101">
        <f t="shared" si="0"/>
        <v>46160</v>
      </c>
      <c r="AR1" s="101">
        <f t="shared" si="0"/>
        <v>46167</v>
      </c>
      <c r="AS1" s="101">
        <f t="shared" si="0"/>
        <v>46174</v>
      </c>
      <c r="AT1" s="101">
        <f t="shared" si="0"/>
        <v>46181</v>
      </c>
      <c r="AU1" s="101">
        <f t="shared" si="0"/>
        <v>46188</v>
      </c>
      <c r="AV1" s="101">
        <f t="shared" si="0"/>
        <v>46195</v>
      </c>
      <c r="AW1" s="101">
        <f t="shared" si="0"/>
        <v>46202</v>
      </c>
      <c r="AX1" s="101">
        <f t="shared" si="0"/>
        <v>46209</v>
      </c>
      <c r="AY1" s="101">
        <f t="shared" si="0"/>
        <v>46216</v>
      </c>
      <c r="AZ1" s="101">
        <f t="shared" si="0"/>
        <v>46223</v>
      </c>
      <c r="BA1" s="101">
        <f t="shared" si="0"/>
        <v>46230</v>
      </c>
      <c r="BB1" s="101">
        <f t="shared" si="0"/>
        <v>46237</v>
      </c>
      <c r="BC1" s="101">
        <f t="shared" si="0"/>
        <v>46244</v>
      </c>
      <c r="BD1" s="101">
        <f t="shared" si="0"/>
        <v>46251</v>
      </c>
      <c r="BE1" s="101">
        <f t="shared" si="0"/>
        <v>46258</v>
      </c>
      <c r="BF1" s="101">
        <f t="shared" si="0"/>
        <v>46265</v>
      </c>
      <c r="BG1" s="101">
        <f t="shared" si="0"/>
        <v>46272</v>
      </c>
      <c r="BH1" s="101">
        <f t="shared" si="0"/>
        <v>46279</v>
      </c>
      <c r="BI1" s="101">
        <f t="shared" si="0"/>
        <v>46286</v>
      </c>
      <c r="BJ1" s="101">
        <f t="shared" si="0"/>
        <v>46293</v>
      </c>
      <c r="BK1" s="101">
        <f t="shared" si="0"/>
        <v>46300</v>
      </c>
      <c r="BL1" s="101">
        <f t="shared" si="0"/>
        <v>46307</v>
      </c>
      <c r="BM1" s="101">
        <f t="shared" si="0"/>
        <v>46314</v>
      </c>
      <c r="BN1" s="101">
        <f t="shared" si="0"/>
        <v>46321</v>
      </c>
      <c r="BO1" s="101">
        <f t="shared" si="0"/>
        <v>46328</v>
      </c>
      <c r="BP1" s="101">
        <f t="shared" si="0"/>
        <v>46335</v>
      </c>
      <c r="BQ1" s="101">
        <f t="shared" si="0"/>
        <v>46342</v>
      </c>
      <c r="BR1" s="101">
        <f t="shared" si="0"/>
        <v>46349</v>
      </c>
      <c r="BS1" s="101">
        <f t="shared" si="0"/>
        <v>46356</v>
      </c>
      <c r="BT1" s="101">
        <f t="shared" si="0"/>
        <v>46363</v>
      </c>
      <c r="BU1" s="101">
        <f t="shared" ref="BU1:EF1" si="1">BT1+7</f>
        <v>46370</v>
      </c>
      <c r="BV1" s="101">
        <f t="shared" si="1"/>
        <v>46377</v>
      </c>
      <c r="BW1" s="101">
        <f t="shared" si="1"/>
        <v>46384</v>
      </c>
      <c r="BX1" s="101">
        <f t="shared" si="1"/>
        <v>46391</v>
      </c>
      <c r="BY1" s="101">
        <f t="shared" si="1"/>
        <v>46398</v>
      </c>
      <c r="BZ1" s="101">
        <f t="shared" si="1"/>
        <v>46405</v>
      </c>
      <c r="CA1" s="101">
        <f t="shared" si="1"/>
        <v>46412</v>
      </c>
      <c r="CB1" s="101">
        <f t="shared" si="1"/>
        <v>46419</v>
      </c>
      <c r="CC1" s="101">
        <f t="shared" si="1"/>
        <v>46426</v>
      </c>
      <c r="CD1" s="101">
        <f t="shared" si="1"/>
        <v>46433</v>
      </c>
      <c r="CE1" s="101">
        <f t="shared" si="1"/>
        <v>46440</v>
      </c>
      <c r="CF1" s="101">
        <f t="shared" si="1"/>
        <v>46447</v>
      </c>
      <c r="CG1" s="101">
        <f t="shared" si="1"/>
        <v>46454</v>
      </c>
      <c r="CH1" s="101">
        <f t="shared" si="1"/>
        <v>46461</v>
      </c>
      <c r="CI1" s="101">
        <f t="shared" si="1"/>
        <v>46468</v>
      </c>
      <c r="CJ1" s="101">
        <f t="shared" si="1"/>
        <v>46475</v>
      </c>
      <c r="CK1" s="101">
        <f t="shared" si="1"/>
        <v>46482</v>
      </c>
      <c r="CL1" s="101">
        <f t="shared" si="1"/>
        <v>46489</v>
      </c>
      <c r="CM1" s="101">
        <f t="shared" si="1"/>
        <v>46496</v>
      </c>
      <c r="CN1" s="101">
        <f t="shared" si="1"/>
        <v>46503</v>
      </c>
      <c r="CO1" s="101">
        <f t="shared" si="1"/>
        <v>46510</v>
      </c>
      <c r="CP1" s="101">
        <f t="shared" si="1"/>
        <v>46517</v>
      </c>
      <c r="CQ1" s="101">
        <f t="shared" si="1"/>
        <v>46524</v>
      </c>
      <c r="CR1" s="101">
        <f t="shared" si="1"/>
        <v>46531</v>
      </c>
      <c r="CS1" s="101">
        <f t="shared" si="1"/>
        <v>46538</v>
      </c>
      <c r="CT1" s="101">
        <f t="shared" si="1"/>
        <v>46545</v>
      </c>
      <c r="CU1" s="101">
        <f t="shared" si="1"/>
        <v>46552</v>
      </c>
      <c r="CV1" s="101">
        <f t="shared" si="1"/>
        <v>46559</v>
      </c>
      <c r="CW1" s="101">
        <f t="shared" si="1"/>
        <v>46566</v>
      </c>
      <c r="CX1" s="101">
        <f t="shared" si="1"/>
        <v>46573</v>
      </c>
      <c r="CY1" s="101">
        <f t="shared" si="1"/>
        <v>46580</v>
      </c>
      <c r="CZ1" s="101">
        <f t="shared" si="1"/>
        <v>46587</v>
      </c>
      <c r="DA1" s="101">
        <f t="shared" si="1"/>
        <v>46594</v>
      </c>
      <c r="DB1" s="101">
        <f t="shared" si="1"/>
        <v>46601</v>
      </c>
      <c r="DC1" s="101">
        <f t="shared" si="1"/>
        <v>46608</v>
      </c>
      <c r="DD1" s="101">
        <f t="shared" si="1"/>
        <v>46615</v>
      </c>
      <c r="DE1" s="101">
        <f t="shared" si="1"/>
        <v>46622</v>
      </c>
      <c r="DF1" s="101">
        <f t="shared" si="1"/>
        <v>46629</v>
      </c>
      <c r="DG1" s="101">
        <f t="shared" si="1"/>
        <v>46636</v>
      </c>
      <c r="DH1" s="101">
        <f t="shared" si="1"/>
        <v>46643</v>
      </c>
      <c r="DI1" s="101">
        <f t="shared" si="1"/>
        <v>46650</v>
      </c>
      <c r="DJ1" s="101">
        <f t="shared" si="1"/>
        <v>46657</v>
      </c>
      <c r="DK1" s="101">
        <f t="shared" si="1"/>
        <v>46664</v>
      </c>
      <c r="DL1" s="101">
        <f t="shared" si="1"/>
        <v>46671</v>
      </c>
      <c r="DM1" s="101">
        <f t="shared" si="1"/>
        <v>46678</v>
      </c>
      <c r="DN1" s="101">
        <f t="shared" si="1"/>
        <v>46685</v>
      </c>
      <c r="DO1" s="101">
        <f t="shared" si="1"/>
        <v>46692</v>
      </c>
      <c r="DP1" s="101">
        <f t="shared" si="1"/>
        <v>46699</v>
      </c>
      <c r="DQ1" s="101">
        <f t="shared" si="1"/>
        <v>46706</v>
      </c>
      <c r="DR1" s="101">
        <f t="shared" si="1"/>
        <v>46713</v>
      </c>
      <c r="DS1" s="101">
        <f t="shared" si="1"/>
        <v>46720</v>
      </c>
      <c r="DT1" s="101">
        <f t="shared" si="1"/>
        <v>46727</v>
      </c>
      <c r="DU1" s="101">
        <f t="shared" si="1"/>
        <v>46734</v>
      </c>
      <c r="DV1" s="101">
        <f t="shared" si="1"/>
        <v>46741</v>
      </c>
      <c r="DW1" s="101">
        <f t="shared" si="1"/>
        <v>46748</v>
      </c>
      <c r="DX1" s="101">
        <f t="shared" si="1"/>
        <v>46755</v>
      </c>
      <c r="DY1" s="101">
        <f t="shared" si="1"/>
        <v>46762</v>
      </c>
      <c r="DZ1" s="101">
        <f t="shared" si="1"/>
        <v>46769</v>
      </c>
      <c r="EA1" s="101">
        <f t="shared" si="1"/>
        <v>46776</v>
      </c>
      <c r="EB1" s="101">
        <f t="shared" si="1"/>
        <v>46783</v>
      </c>
      <c r="EC1" s="101">
        <f t="shared" si="1"/>
        <v>46790</v>
      </c>
      <c r="ED1" s="101">
        <f t="shared" si="1"/>
        <v>46797</v>
      </c>
      <c r="EE1" s="101">
        <f t="shared" si="1"/>
        <v>46804</v>
      </c>
      <c r="EF1" s="101">
        <f t="shared" si="1"/>
        <v>46811</v>
      </c>
      <c r="EG1" s="101">
        <f t="shared" ref="EG1:GR1" si="2">EF1+7</f>
        <v>46818</v>
      </c>
      <c r="EH1" s="101">
        <f t="shared" si="2"/>
        <v>46825</v>
      </c>
      <c r="EI1" s="101">
        <f t="shared" si="2"/>
        <v>46832</v>
      </c>
      <c r="EJ1" s="101">
        <f t="shared" si="2"/>
        <v>46839</v>
      </c>
      <c r="EK1" s="101">
        <f t="shared" si="2"/>
        <v>46846</v>
      </c>
      <c r="EL1" s="101">
        <f t="shared" si="2"/>
        <v>46853</v>
      </c>
      <c r="EM1" s="101">
        <f t="shared" si="2"/>
        <v>46860</v>
      </c>
      <c r="EN1" s="101">
        <f t="shared" si="2"/>
        <v>46867</v>
      </c>
      <c r="EO1" s="101">
        <f t="shared" si="2"/>
        <v>46874</v>
      </c>
      <c r="EP1" s="101">
        <f t="shared" si="2"/>
        <v>46881</v>
      </c>
      <c r="EQ1" s="101">
        <f t="shared" si="2"/>
        <v>46888</v>
      </c>
      <c r="ER1" s="101">
        <f t="shared" si="2"/>
        <v>46895</v>
      </c>
      <c r="ES1" s="101">
        <f t="shared" si="2"/>
        <v>46902</v>
      </c>
      <c r="ET1" s="101">
        <f t="shared" si="2"/>
        <v>46909</v>
      </c>
      <c r="EU1" s="101">
        <f t="shared" si="2"/>
        <v>46916</v>
      </c>
      <c r="EV1" s="101">
        <f t="shared" si="2"/>
        <v>46923</v>
      </c>
      <c r="EW1" s="101">
        <f t="shared" si="2"/>
        <v>46930</v>
      </c>
      <c r="EX1" s="101">
        <f t="shared" si="2"/>
        <v>46937</v>
      </c>
      <c r="EY1" s="101">
        <f t="shared" si="2"/>
        <v>46944</v>
      </c>
      <c r="EZ1" s="101">
        <f t="shared" si="2"/>
        <v>46951</v>
      </c>
      <c r="FA1" s="101">
        <f t="shared" si="2"/>
        <v>46958</v>
      </c>
      <c r="FB1" s="101">
        <f t="shared" si="2"/>
        <v>46965</v>
      </c>
      <c r="FC1" s="101">
        <f t="shared" si="2"/>
        <v>46972</v>
      </c>
      <c r="FD1" s="101">
        <f t="shared" si="2"/>
        <v>46979</v>
      </c>
      <c r="FE1" s="101">
        <f t="shared" si="2"/>
        <v>46986</v>
      </c>
      <c r="FF1" s="101">
        <f t="shared" si="2"/>
        <v>46993</v>
      </c>
      <c r="FG1" s="101">
        <f t="shared" si="2"/>
        <v>47000</v>
      </c>
      <c r="FH1" s="101">
        <f t="shared" si="2"/>
        <v>47007</v>
      </c>
      <c r="FI1" s="101">
        <f t="shared" si="2"/>
        <v>47014</v>
      </c>
      <c r="FJ1" s="101">
        <f t="shared" si="2"/>
        <v>47021</v>
      </c>
      <c r="FK1" s="101">
        <f t="shared" si="2"/>
        <v>47028</v>
      </c>
      <c r="FL1" s="101">
        <f t="shared" si="2"/>
        <v>47035</v>
      </c>
      <c r="FM1" s="101">
        <f t="shared" si="2"/>
        <v>47042</v>
      </c>
      <c r="FN1" s="101">
        <f t="shared" si="2"/>
        <v>47049</v>
      </c>
      <c r="FO1" s="101">
        <f t="shared" si="2"/>
        <v>47056</v>
      </c>
      <c r="FP1" s="101">
        <f t="shared" si="2"/>
        <v>47063</v>
      </c>
      <c r="FQ1" s="101">
        <f t="shared" si="2"/>
        <v>47070</v>
      </c>
      <c r="FR1" s="101">
        <f t="shared" si="2"/>
        <v>47077</v>
      </c>
      <c r="FS1" s="101">
        <f t="shared" si="2"/>
        <v>47084</v>
      </c>
      <c r="FT1" s="101">
        <f t="shared" si="2"/>
        <v>47091</v>
      </c>
      <c r="FU1" s="101">
        <f t="shared" si="2"/>
        <v>47098</v>
      </c>
      <c r="FV1" s="101">
        <f t="shared" si="2"/>
        <v>47105</v>
      </c>
      <c r="FW1" s="101">
        <f t="shared" si="2"/>
        <v>47112</v>
      </c>
      <c r="FX1" s="101">
        <f t="shared" si="2"/>
        <v>47119</v>
      </c>
      <c r="FY1" s="101">
        <f t="shared" si="2"/>
        <v>47126</v>
      </c>
      <c r="FZ1" s="101">
        <f t="shared" si="2"/>
        <v>47133</v>
      </c>
      <c r="GA1" s="101">
        <f t="shared" si="2"/>
        <v>47140</v>
      </c>
      <c r="GB1" s="101">
        <f t="shared" si="2"/>
        <v>47147</v>
      </c>
      <c r="GC1" s="101">
        <f t="shared" si="2"/>
        <v>47154</v>
      </c>
      <c r="GD1" s="101">
        <f t="shared" si="2"/>
        <v>47161</v>
      </c>
      <c r="GE1" s="101">
        <f t="shared" si="2"/>
        <v>47168</v>
      </c>
      <c r="GF1" s="101">
        <f t="shared" si="2"/>
        <v>47175</v>
      </c>
      <c r="GG1" s="101">
        <f t="shared" si="2"/>
        <v>47182</v>
      </c>
      <c r="GH1" s="101">
        <f t="shared" si="2"/>
        <v>47189</v>
      </c>
      <c r="GI1" s="101">
        <f t="shared" si="2"/>
        <v>47196</v>
      </c>
      <c r="GJ1" s="101">
        <f t="shared" si="2"/>
        <v>47203</v>
      </c>
      <c r="GK1" s="101">
        <f t="shared" si="2"/>
        <v>47210</v>
      </c>
      <c r="GL1" s="101">
        <f t="shared" si="2"/>
        <v>47217</v>
      </c>
      <c r="GM1" s="101">
        <f t="shared" si="2"/>
        <v>47224</v>
      </c>
      <c r="GN1" s="101">
        <f t="shared" si="2"/>
        <v>47231</v>
      </c>
      <c r="GO1" s="101">
        <f t="shared" si="2"/>
        <v>47238</v>
      </c>
      <c r="GP1" s="101">
        <f t="shared" si="2"/>
        <v>47245</v>
      </c>
      <c r="GQ1" s="101">
        <f t="shared" si="2"/>
        <v>47252</v>
      </c>
      <c r="GR1" s="101">
        <f t="shared" si="2"/>
        <v>47259</v>
      </c>
      <c r="GS1" s="101">
        <f t="shared" ref="GS1:JD1" si="3">GR1+7</f>
        <v>47266</v>
      </c>
      <c r="GT1" s="101">
        <f t="shared" si="3"/>
        <v>47273</v>
      </c>
      <c r="GU1" s="101">
        <f t="shared" si="3"/>
        <v>47280</v>
      </c>
      <c r="GV1" s="101">
        <f t="shared" si="3"/>
        <v>47287</v>
      </c>
      <c r="GW1" s="101">
        <f t="shared" si="3"/>
        <v>47294</v>
      </c>
      <c r="GX1" s="101">
        <f t="shared" si="3"/>
        <v>47301</v>
      </c>
      <c r="GY1" s="101">
        <f t="shared" si="3"/>
        <v>47308</v>
      </c>
      <c r="GZ1" s="101">
        <f t="shared" si="3"/>
        <v>47315</v>
      </c>
      <c r="HA1" s="101">
        <f t="shared" si="3"/>
        <v>47322</v>
      </c>
      <c r="HB1" s="101">
        <f t="shared" si="3"/>
        <v>47329</v>
      </c>
      <c r="HC1" s="101">
        <f t="shared" si="3"/>
        <v>47336</v>
      </c>
      <c r="HD1" s="101">
        <f t="shared" si="3"/>
        <v>47343</v>
      </c>
      <c r="HE1" s="101">
        <f t="shared" si="3"/>
        <v>47350</v>
      </c>
      <c r="HF1" s="101">
        <f t="shared" si="3"/>
        <v>47357</v>
      </c>
      <c r="HG1" s="101">
        <f t="shared" si="3"/>
        <v>47364</v>
      </c>
      <c r="HH1" s="101">
        <f t="shared" si="3"/>
        <v>47371</v>
      </c>
      <c r="HI1" s="101">
        <f t="shared" si="3"/>
        <v>47378</v>
      </c>
      <c r="HJ1" s="101">
        <f t="shared" si="3"/>
        <v>47385</v>
      </c>
      <c r="HK1" s="101">
        <f t="shared" si="3"/>
        <v>47392</v>
      </c>
      <c r="HL1" s="101">
        <f t="shared" si="3"/>
        <v>47399</v>
      </c>
      <c r="HM1" s="101">
        <f t="shared" si="3"/>
        <v>47406</v>
      </c>
      <c r="HN1" s="101">
        <f t="shared" si="3"/>
        <v>47413</v>
      </c>
      <c r="HO1" s="101">
        <f t="shared" si="3"/>
        <v>47420</v>
      </c>
      <c r="HP1" s="101">
        <f t="shared" si="3"/>
        <v>47427</v>
      </c>
      <c r="HQ1" s="101">
        <f t="shared" si="3"/>
        <v>47434</v>
      </c>
      <c r="HR1" s="101">
        <f t="shared" si="3"/>
        <v>47441</v>
      </c>
      <c r="HS1" s="101">
        <f t="shared" si="3"/>
        <v>47448</v>
      </c>
      <c r="HT1" s="101">
        <f t="shared" si="3"/>
        <v>47455</v>
      </c>
      <c r="HU1" s="101">
        <f t="shared" si="3"/>
        <v>47462</v>
      </c>
      <c r="HV1" s="101">
        <f t="shared" si="3"/>
        <v>47469</v>
      </c>
      <c r="HW1" s="101">
        <f t="shared" si="3"/>
        <v>47476</v>
      </c>
      <c r="HX1" s="101">
        <f t="shared" si="3"/>
        <v>47483</v>
      </c>
      <c r="HY1" s="101">
        <f t="shared" si="3"/>
        <v>47490</v>
      </c>
      <c r="HZ1" s="101">
        <f t="shared" si="3"/>
        <v>47497</v>
      </c>
      <c r="IA1" s="101">
        <f t="shared" si="3"/>
        <v>47504</v>
      </c>
      <c r="IB1" s="101">
        <f t="shared" si="3"/>
        <v>47511</v>
      </c>
      <c r="IC1" s="101">
        <f t="shared" si="3"/>
        <v>47518</v>
      </c>
      <c r="ID1" s="101">
        <f t="shared" si="3"/>
        <v>47525</v>
      </c>
      <c r="IE1" s="101">
        <f t="shared" si="3"/>
        <v>47532</v>
      </c>
      <c r="IF1" s="101">
        <f t="shared" si="3"/>
        <v>47539</v>
      </c>
      <c r="IG1" s="101">
        <f t="shared" si="3"/>
        <v>47546</v>
      </c>
      <c r="IH1" s="101">
        <f t="shared" si="3"/>
        <v>47553</v>
      </c>
      <c r="II1" s="101">
        <f t="shared" si="3"/>
        <v>47560</v>
      </c>
      <c r="IJ1" s="101">
        <f t="shared" si="3"/>
        <v>47567</v>
      </c>
      <c r="IK1" s="101">
        <f t="shared" si="3"/>
        <v>47574</v>
      </c>
      <c r="IL1" s="101">
        <f t="shared" si="3"/>
        <v>47581</v>
      </c>
      <c r="IM1" s="101">
        <f t="shared" si="3"/>
        <v>47588</v>
      </c>
      <c r="IN1" s="101">
        <f t="shared" si="3"/>
        <v>47595</v>
      </c>
      <c r="IO1" s="101">
        <f t="shared" si="3"/>
        <v>47602</v>
      </c>
      <c r="IP1" s="101">
        <f t="shared" si="3"/>
        <v>47609</v>
      </c>
      <c r="IQ1" s="101">
        <f t="shared" si="3"/>
        <v>47616</v>
      </c>
      <c r="IR1" s="101">
        <f t="shared" si="3"/>
        <v>47623</v>
      </c>
      <c r="IS1" s="101">
        <f t="shared" si="3"/>
        <v>47630</v>
      </c>
      <c r="IT1" s="101">
        <f t="shared" si="3"/>
        <v>47637</v>
      </c>
      <c r="IU1" s="101">
        <f t="shared" si="3"/>
        <v>47644</v>
      </c>
      <c r="IV1" s="101">
        <f t="shared" si="3"/>
        <v>47651</v>
      </c>
      <c r="IW1" s="101">
        <f t="shared" si="3"/>
        <v>47658</v>
      </c>
      <c r="IX1" s="101">
        <f t="shared" si="3"/>
        <v>47665</v>
      </c>
      <c r="IY1" s="101">
        <f t="shared" si="3"/>
        <v>47672</v>
      </c>
      <c r="IZ1" s="101">
        <f t="shared" si="3"/>
        <v>47679</v>
      </c>
      <c r="JA1" s="101">
        <f t="shared" si="3"/>
        <v>47686</v>
      </c>
      <c r="JB1" s="101">
        <f t="shared" si="3"/>
        <v>47693</v>
      </c>
      <c r="JC1" s="101">
        <f t="shared" si="3"/>
        <v>47700</v>
      </c>
      <c r="JD1" s="101">
        <f t="shared" si="3"/>
        <v>47707</v>
      </c>
      <c r="JE1" s="101">
        <f t="shared" ref="JE1:KF1" si="4">JD1+7</f>
        <v>47714</v>
      </c>
      <c r="JF1" s="101">
        <f t="shared" si="4"/>
        <v>47721</v>
      </c>
      <c r="JG1" s="101">
        <f t="shared" si="4"/>
        <v>47728</v>
      </c>
      <c r="JH1" s="101">
        <f t="shared" si="4"/>
        <v>47735</v>
      </c>
      <c r="JI1" s="101">
        <f t="shared" si="4"/>
        <v>47742</v>
      </c>
      <c r="JJ1" s="101">
        <f t="shared" si="4"/>
        <v>47749</v>
      </c>
      <c r="JK1" s="101">
        <f t="shared" si="4"/>
        <v>47756</v>
      </c>
      <c r="JL1" s="101">
        <f t="shared" si="4"/>
        <v>47763</v>
      </c>
      <c r="JM1" s="101">
        <f t="shared" si="4"/>
        <v>47770</v>
      </c>
      <c r="JN1" s="101">
        <f t="shared" si="4"/>
        <v>47777</v>
      </c>
      <c r="JO1" s="101">
        <f t="shared" si="4"/>
        <v>47784</v>
      </c>
      <c r="JP1" s="101">
        <f t="shared" si="4"/>
        <v>47791</v>
      </c>
      <c r="JQ1" s="101">
        <f t="shared" si="4"/>
        <v>47798</v>
      </c>
      <c r="JR1" s="101">
        <f t="shared" si="4"/>
        <v>47805</v>
      </c>
      <c r="JS1" s="101">
        <f t="shared" si="4"/>
        <v>47812</v>
      </c>
      <c r="JT1" s="101">
        <f t="shared" si="4"/>
        <v>47819</v>
      </c>
      <c r="JU1" s="101">
        <f t="shared" si="4"/>
        <v>47826</v>
      </c>
      <c r="JV1" s="101">
        <f t="shared" si="4"/>
        <v>47833</v>
      </c>
      <c r="JW1" s="101">
        <f t="shared" si="4"/>
        <v>47840</v>
      </c>
      <c r="JX1" s="101">
        <f t="shared" si="4"/>
        <v>47847</v>
      </c>
      <c r="JY1" s="101">
        <f t="shared" si="4"/>
        <v>47854</v>
      </c>
      <c r="JZ1" s="101">
        <f t="shared" si="4"/>
        <v>47861</v>
      </c>
      <c r="KA1" s="101">
        <f t="shared" si="4"/>
        <v>47868</v>
      </c>
      <c r="KB1" s="101">
        <f t="shared" si="4"/>
        <v>47875</v>
      </c>
      <c r="KC1" s="101">
        <f t="shared" si="4"/>
        <v>47882</v>
      </c>
      <c r="KD1" s="101">
        <f t="shared" si="4"/>
        <v>47889</v>
      </c>
      <c r="KE1" s="101">
        <f t="shared" si="4"/>
        <v>47896</v>
      </c>
      <c r="KF1" s="101">
        <f t="shared" si="4"/>
        <v>47903</v>
      </c>
    </row>
    <row r="2" spans="1:770" s="102" customFormat="1">
      <c r="A2" s="748" t="s">
        <v>412</v>
      </c>
      <c r="B2" s="103"/>
      <c r="C2" s="104" t="s">
        <v>258</v>
      </c>
      <c r="D2" s="104" t="s">
        <v>258</v>
      </c>
      <c r="E2" s="104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5"/>
      <c r="AN2" s="105"/>
      <c r="AO2" s="105"/>
      <c r="AP2" s="105"/>
      <c r="AQ2" s="105"/>
      <c r="AR2" s="105"/>
      <c r="AS2" s="105"/>
      <c r="AT2" s="105"/>
      <c r="AU2" s="105"/>
      <c r="AV2" s="105"/>
      <c r="AW2" s="105"/>
      <c r="AX2" s="105"/>
      <c r="AY2" s="105"/>
      <c r="AZ2" s="105"/>
      <c r="BA2" s="105"/>
      <c r="BB2" s="105"/>
      <c r="BC2" s="105"/>
      <c r="BD2" s="105"/>
      <c r="BE2" s="105"/>
      <c r="BF2" s="105"/>
      <c r="BG2" s="105"/>
      <c r="BH2" s="105"/>
      <c r="BI2" s="105"/>
      <c r="BJ2" s="105"/>
      <c r="BK2" s="105"/>
      <c r="BL2" s="105"/>
      <c r="BM2" s="105"/>
      <c r="BN2" s="105"/>
      <c r="BO2" s="105"/>
      <c r="BP2" s="105"/>
      <c r="BQ2" s="105"/>
      <c r="BR2" s="105"/>
      <c r="BS2" s="105"/>
      <c r="BT2" s="105"/>
      <c r="BU2" s="105"/>
      <c r="BV2" s="105"/>
      <c r="BW2" s="105"/>
      <c r="BX2" s="105"/>
      <c r="BY2" s="105"/>
      <c r="BZ2" s="105"/>
      <c r="CA2" s="105"/>
      <c r="CB2" s="105"/>
      <c r="CC2" s="105"/>
      <c r="CD2" s="105"/>
      <c r="CE2" s="105"/>
      <c r="CF2" s="105"/>
      <c r="CG2" s="105"/>
      <c r="CH2" s="105"/>
      <c r="CI2" s="105"/>
      <c r="CJ2" s="105"/>
      <c r="CK2" s="105"/>
      <c r="CL2" s="105"/>
      <c r="CM2" s="105"/>
      <c r="CN2" s="105"/>
      <c r="CO2" s="105"/>
      <c r="CP2" s="105"/>
      <c r="CQ2" s="105"/>
      <c r="CR2" s="105"/>
      <c r="CS2" s="105"/>
      <c r="CT2" s="105"/>
      <c r="CU2" s="105"/>
      <c r="CV2" s="105"/>
      <c r="CW2" s="105"/>
      <c r="CX2" s="105"/>
      <c r="CY2" s="105"/>
      <c r="CZ2" s="105"/>
      <c r="DA2" s="105"/>
      <c r="DB2" s="105"/>
      <c r="DC2" s="105"/>
      <c r="DD2" s="105"/>
      <c r="DE2" s="105"/>
      <c r="DF2" s="105"/>
      <c r="DG2" s="105"/>
      <c r="DH2" s="105"/>
      <c r="DI2" s="105"/>
      <c r="DJ2" s="105"/>
      <c r="DK2" s="105"/>
      <c r="DL2" s="105"/>
      <c r="DM2" s="105"/>
      <c r="DN2" s="105"/>
      <c r="DO2" s="105"/>
      <c r="DP2" s="105"/>
      <c r="DQ2" s="105"/>
      <c r="DR2" s="105"/>
      <c r="DS2" s="105"/>
      <c r="DT2" s="105"/>
      <c r="DU2" s="105"/>
      <c r="DV2" s="105"/>
      <c r="DW2" s="105"/>
      <c r="DX2" s="105"/>
      <c r="DY2" s="105"/>
      <c r="DZ2" s="105"/>
      <c r="EA2" s="105"/>
      <c r="EB2" s="105"/>
      <c r="EC2" s="105"/>
      <c r="ED2" s="105"/>
      <c r="EE2" s="105"/>
      <c r="EF2" s="105"/>
      <c r="EG2" s="105"/>
      <c r="EH2" s="105"/>
      <c r="EI2" s="105"/>
      <c r="EJ2" s="105"/>
      <c r="EK2" s="105"/>
      <c r="EL2" s="105"/>
      <c r="EM2" s="105"/>
      <c r="EN2" s="105"/>
      <c r="EO2" s="105"/>
      <c r="EP2" s="105"/>
      <c r="EQ2" s="105"/>
      <c r="ER2" s="105"/>
      <c r="ES2" s="105"/>
      <c r="ET2" s="105"/>
      <c r="EU2" s="105"/>
      <c r="EV2" s="105"/>
      <c r="EW2" s="105"/>
      <c r="EX2" s="105"/>
      <c r="EY2" s="105"/>
      <c r="EZ2" s="105"/>
      <c r="FA2" s="105"/>
      <c r="FB2" s="105"/>
      <c r="FC2" s="105"/>
      <c r="FD2" s="105"/>
      <c r="FE2" s="105"/>
      <c r="FF2" s="105"/>
      <c r="FG2" s="105"/>
      <c r="FH2" s="105"/>
      <c r="FI2" s="105"/>
      <c r="FJ2" s="105"/>
      <c r="FK2" s="105"/>
      <c r="FL2" s="105"/>
      <c r="FM2" s="105"/>
      <c r="FN2" s="105"/>
      <c r="FO2" s="105"/>
      <c r="FP2" s="105"/>
      <c r="FQ2" s="105"/>
      <c r="FR2" s="105"/>
      <c r="FS2" s="105"/>
      <c r="FT2" s="105"/>
      <c r="FU2" s="105"/>
      <c r="FV2" s="105"/>
      <c r="FW2" s="105"/>
      <c r="FX2" s="105"/>
      <c r="FY2" s="105"/>
      <c r="FZ2" s="105"/>
      <c r="GA2" s="105"/>
      <c r="GB2" s="105"/>
      <c r="GC2" s="105"/>
      <c r="GD2" s="105"/>
      <c r="GE2" s="105"/>
      <c r="GF2" s="105"/>
      <c r="GG2" s="105"/>
      <c r="GH2" s="105"/>
      <c r="GI2" s="105"/>
      <c r="GJ2" s="105"/>
      <c r="GK2" s="105"/>
      <c r="GL2" s="105"/>
      <c r="GM2" s="105"/>
      <c r="GN2" s="105"/>
      <c r="GO2" s="105"/>
      <c r="GP2" s="105"/>
      <c r="GQ2" s="105"/>
      <c r="GR2" s="105"/>
      <c r="GS2" s="105"/>
      <c r="GT2" s="105"/>
      <c r="GU2" s="105"/>
      <c r="GV2" s="105"/>
      <c r="GW2" s="105"/>
      <c r="GX2" s="105"/>
      <c r="GY2" s="105"/>
      <c r="GZ2" s="105"/>
      <c r="HA2" s="105"/>
      <c r="HB2" s="105"/>
      <c r="HC2" s="105"/>
      <c r="HD2" s="105"/>
      <c r="HE2" s="105"/>
      <c r="HF2" s="105"/>
      <c r="HG2" s="105"/>
      <c r="HH2" s="105"/>
      <c r="HI2" s="105"/>
      <c r="HJ2" s="105"/>
      <c r="HK2" s="105"/>
      <c r="HL2" s="105"/>
      <c r="HM2" s="105"/>
      <c r="HN2" s="105"/>
      <c r="HO2" s="105"/>
      <c r="HP2" s="105"/>
      <c r="HQ2" s="105"/>
      <c r="HR2" s="105"/>
      <c r="HS2" s="105"/>
      <c r="HT2" s="105"/>
      <c r="HU2" s="105"/>
      <c r="HV2" s="105"/>
      <c r="HW2" s="105"/>
      <c r="HX2" s="105"/>
      <c r="HY2" s="105"/>
      <c r="HZ2" s="105"/>
      <c r="IA2" s="105"/>
      <c r="IB2" s="105"/>
      <c r="IC2" s="105"/>
      <c r="ID2" s="105"/>
      <c r="IE2" s="105"/>
      <c r="IF2" s="105"/>
      <c r="IG2" s="105"/>
      <c r="IH2" s="105"/>
      <c r="II2" s="105"/>
      <c r="IJ2" s="105"/>
      <c r="IK2" s="105"/>
      <c r="IL2" s="105"/>
      <c r="IM2" s="105"/>
      <c r="IN2" s="105"/>
      <c r="IO2" s="105"/>
      <c r="IP2" s="105"/>
      <c r="IQ2" s="105"/>
      <c r="IR2" s="105"/>
      <c r="IS2" s="105"/>
      <c r="IT2" s="105"/>
      <c r="IU2" s="105"/>
      <c r="IV2" s="105"/>
      <c r="IW2" s="105"/>
      <c r="IX2" s="105"/>
      <c r="IY2" s="105"/>
      <c r="IZ2" s="105"/>
      <c r="JA2" s="105"/>
      <c r="JB2" s="105"/>
      <c r="JC2" s="105"/>
      <c r="JD2" s="105"/>
      <c r="JE2" s="105"/>
      <c r="JF2" s="105"/>
      <c r="JG2" s="105"/>
      <c r="JH2" s="105"/>
      <c r="JI2" s="105"/>
      <c r="JJ2" s="105"/>
      <c r="JK2" s="105"/>
      <c r="JL2" s="105"/>
      <c r="JM2" s="105"/>
      <c r="JN2" s="105"/>
      <c r="JO2" s="105"/>
      <c r="JP2" s="105"/>
      <c r="JQ2" s="105"/>
      <c r="JR2" s="105"/>
      <c r="JS2" s="105"/>
      <c r="JT2" s="105"/>
      <c r="JU2" s="105"/>
      <c r="JV2" s="105"/>
      <c r="JW2" s="105"/>
      <c r="JX2" s="105"/>
      <c r="JY2" s="105"/>
      <c r="JZ2" s="105"/>
      <c r="KA2" s="105"/>
      <c r="KB2" s="105"/>
      <c r="KC2" s="105"/>
      <c r="KD2" s="105"/>
      <c r="KE2" s="105"/>
      <c r="KF2" s="105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</row>
    <row r="3" spans="1:770">
      <c r="A3" s="749"/>
      <c r="B3" s="106" t="s">
        <v>204</v>
      </c>
      <c r="C3" s="107">
        <f>'Revenue Tracking'!D4</f>
        <v>2077436.28</v>
      </c>
      <c r="D3" s="107">
        <f>SUM(F3:KF3)</f>
        <v>2077436.28</v>
      </c>
      <c r="E3" s="108"/>
      <c r="F3" s="109">
        <f>SUMIFS('Revenue Tracking'!$F$13:$F$19, 'Revenue Tracking'!$H$13:$H$19, "&gt;="&amp;F1,'Revenue Tracking'!$H$13:$H$19, "&lt;"&amp;G1)</f>
        <v>0</v>
      </c>
      <c r="G3" s="109">
        <f>SUMIFS('Revenue Tracking'!$F$13:$F$19, 'Revenue Tracking'!$H$13:$H$19, "&gt;="&amp;G1,'Revenue Tracking'!$H$13:$H$19, "&lt;"&amp;H1)</f>
        <v>1038718.14</v>
      </c>
      <c r="H3" s="109">
        <f>SUMIFS('Revenue Tracking'!$F$13:$F$19, 'Revenue Tracking'!$H$13:$H$19, "&gt;="&amp;H1,'Revenue Tracking'!$H$13:$H$19, "&lt;"&amp;I1)</f>
        <v>0</v>
      </c>
      <c r="I3" s="109">
        <f>SUMIFS('Revenue Tracking'!$F$13:$F$19, 'Revenue Tracking'!$H$13:$H$19, "&gt;="&amp;I1,'Revenue Tracking'!$H$13:$H$19, "&lt;"&amp;J1)</f>
        <v>0</v>
      </c>
      <c r="J3" s="109">
        <f>SUMIFS('Revenue Tracking'!$F$13:$F$19, 'Revenue Tracking'!$H$13:$H$19, "&gt;="&amp;J1,'Revenue Tracking'!$H$13:$H$19, "&lt;"&amp;K1)</f>
        <v>0</v>
      </c>
      <c r="K3" s="109">
        <f>SUMIFS('Revenue Tracking'!$F$13:$F$19, 'Revenue Tracking'!$H$13:$H$19, "&gt;="&amp;K1,'Revenue Tracking'!$H$13:$H$19, "&lt;"&amp;L1)</f>
        <v>0</v>
      </c>
      <c r="L3" s="109">
        <f>SUMIFS('Revenue Tracking'!$F$13:$F$19, 'Revenue Tracking'!$H$13:$H$19, "&gt;="&amp;L1,'Revenue Tracking'!$H$13:$H$19, "&lt;"&amp;M1)</f>
        <v>0</v>
      </c>
      <c r="M3" s="109">
        <f>SUMIFS('Revenue Tracking'!$F$13:$F$19, 'Revenue Tracking'!$H$13:$H$19, "&gt;="&amp;M1,'Revenue Tracking'!$H$13:$H$19, "&lt;"&amp;N1)</f>
        <v>0</v>
      </c>
      <c r="N3" s="109">
        <f>SUMIFS('Revenue Tracking'!$F$13:$F$19, 'Revenue Tracking'!$H$13:$H$19, "&gt;="&amp;N1,'Revenue Tracking'!$H$13:$H$19, "&lt;"&amp;O1)</f>
        <v>0</v>
      </c>
      <c r="O3" s="109">
        <f>SUMIFS('Revenue Tracking'!$F$13:$F$19, 'Revenue Tracking'!$H$13:$H$19, "&gt;="&amp;O1,'Revenue Tracking'!$H$13:$H$19, "&lt;"&amp;P1)</f>
        <v>0</v>
      </c>
      <c r="P3" s="109">
        <f>SUMIFS('Revenue Tracking'!$F$13:$F$19, 'Revenue Tracking'!$H$13:$H$19, "&gt;="&amp;P1,'Revenue Tracking'!$H$13:$H$19, "&lt;"&amp;Q1)</f>
        <v>727102.69800000009</v>
      </c>
      <c r="Q3" s="109">
        <f>SUMIFS('Revenue Tracking'!$F$13:$F$19, 'Revenue Tracking'!$H$13:$H$19, "&gt;="&amp;Q1,'Revenue Tracking'!$H$13:$H$19, "&lt;"&amp;R1)</f>
        <v>0</v>
      </c>
      <c r="R3" s="109">
        <f>SUMIFS('Revenue Tracking'!$F$13:$F$19, 'Revenue Tracking'!$H$13:$H$19, "&gt;="&amp;R1,'Revenue Tracking'!$H$13:$H$19, "&lt;"&amp;S1)</f>
        <v>0</v>
      </c>
      <c r="S3" s="109">
        <f>SUMIFS('Revenue Tracking'!$F$13:$F$19, 'Revenue Tracking'!$H$13:$H$19, "&gt;="&amp;S1,'Revenue Tracking'!$H$13:$H$19, "&lt;"&amp;T1)</f>
        <v>207743.62800000003</v>
      </c>
      <c r="T3" s="109">
        <f>SUMIFS('Revenue Tracking'!$F$13:$F$19, 'Revenue Tracking'!$H$13:$H$19, "&gt;="&amp;T1,'Revenue Tracking'!$H$13:$H$19, "&lt;"&amp;U1)</f>
        <v>103871.81400000001</v>
      </c>
      <c r="U3" s="109">
        <f>SUMIFS('Revenue Tracking'!$F$13:$F$19, 'Revenue Tracking'!$H$13:$H$19, "&gt;="&amp;U1,'Revenue Tracking'!$H$13:$H$19, "&lt;"&amp;V1)</f>
        <v>0</v>
      </c>
      <c r="V3" s="109">
        <f>SUMIFS('Revenue Tracking'!$F$13:$F$19, 'Revenue Tracking'!$H$13:$H$19, "&gt;="&amp;V1,'Revenue Tracking'!$H$13:$H$19, "&lt;"&amp;W1)</f>
        <v>0</v>
      </c>
      <c r="W3" s="109">
        <f>SUMIFS('Revenue Tracking'!$F$13:$F$19, 'Revenue Tracking'!$H$13:$H$19, "&gt;="&amp;W1,'Revenue Tracking'!$H$13:$H$19, "&lt;"&amp;X1)</f>
        <v>0</v>
      </c>
      <c r="X3" s="109">
        <f>SUMIFS('Revenue Tracking'!$F$13:$F$19, 'Revenue Tracking'!$H$13:$H$19, "&gt;="&amp;X1,'Revenue Tracking'!$H$13:$H$19, "&lt;"&amp;Y1)</f>
        <v>0</v>
      </c>
      <c r="Y3" s="109">
        <f>SUMIFS('Revenue Tracking'!$F$13:$F$19, 'Revenue Tracking'!$H$13:$H$19, "&gt;="&amp;Y1,'Revenue Tracking'!$H$13:$H$19, "&lt;"&amp;Z1)</f>
        <v>0</v>
      </c>
      <c r="Z3" s="109">
        <f>SUMIFS('Revenue Tracking'!$F$13:$F$19, 'Revenue Tracking'!$H$13:$H$19, "&gt;="&amp;Z1,'Revenue Tracking'!$H$13:$H$19, "&lt;"&amp;AA1)</f>
        <v>0</v>
      </c>
      <c r="AA3" s="109">
        <f>SUMIFS('Revenue Tracking'!$F$13:$F$19, 'Revenue Tracking'!$H$13:$H$19, "&gt;="&amp;AA1,'Revenue Tracking'!$H$13:$H$19, "&lt;"&amp;AB1)</f>
        <v>0</v>
      </c>
      <c r="AB3" s="109">
        <f>SUMIFS('Revenue Tracking'!$F$13:$F$19, 'Revenue Tracking'!$H$13:$H$19, "&gt;="&amp;AB1,'Revenue Tracking'!$H$13:$H$19, "&lt;"&amp;AC1)</f>
        <v>0</v>
      </c>
      <c r="AC3" s="109">
        <f>SUMIFS('Revenue Tracking'!$F$13:$F$19, 'Revenue Tracking'!$H$13:$H$19, "&gt;="&amp;AC1,'Revenue Tracking'!$H$13:$H$19, "&lt;"&amp;AD1)</f>
        <v>0</v>
      </c>
      <c r="AD3" s="109">
        <f>SUMIFS('Revenue Tracking'!$F$13:$F$19, 'Revenue Tracking'!$H$13:$H$19, "&gt;="&amp;AD1,'Revenue Tracking'!$H$13:$H$19, "&lt;"&amp;AE1)</f>
        <v>0</v>
      </c>
      <c r="AE3" s="109">
        <f>SUMIFS('Revenue Tracking'!$F$13:$F$19, 'Revenue Tracking'!$H$13:$H$19, "&gt;="&amp;AE1,'Revenue Tracking'!$H$13:$H$19, "&lt;"&amp;AF1)</f>
        <v>0</v>
      </c>
      <c r="AF3" s="109">
        <f>SUMIFS('Revenue Tracking'!$F$13:$F$19, 'Revenue Tracking'!$H$13:$H$19, "&gt;="&amp;AF1,'Revenue Tracking'!$H$13:$H$19, "&lt;"&amp;AG1)</f>
        <v>0</v>
      </c>
      <c r="AG3" s="109">
        <f>SUMIFS('Revenue Tracking'!$F$13:$F$19, 'Revenue Tracking'!$H$13:$H$19, "&gt;="&amp;AG1,'Revenue Tracking'!$H$13:$H$19, "&lt;"&amp;AH1)</f>
        <v>0</v>
      </c>
      <c r="AH3" s="109">
        <f>SUMIFS('Revenue Tracking'!$F$13:$F$19, 'Revenue Tracking'!$H$13:$H$19, "&gt;="&amp;AH1,'Revenue Tracking'!$H$13:$H$19, "&lt;"&amp;AI1)</f>
        <v>0</v>
      </c>
      <c r="AI3" s="109">
        <f>SUMIFS('Revenue Tracking'!$F$13:$F$19, 'Revenue Tracking'!$H$13:$H$19, "&gt;="&amp;AI1,'Revenue Tracking'!$H$13:$H$19, "&lt;"&amp;AJ1)</f>
        <v>0</v>
      </c>
      <c r="AJ3" s="109">
        <f>SUMIFS('Revenue Tracking'!$F$13:$F$19, 'Revenue Tracking'!$H$13:$H$19, "&gt;="&amp;AJ1,'Revenue Tracking'!$H$13:$H$19, "&lt;"&amp;AK1)</f>
        <v>0</v>
      </c>
      <c r="AK3" s="109">
        <f>SUMIFS('Revenue Tracking'!$F$13:$F$19, 'Revenue Tracking'!$H$13:$H$19, "&gt;="&amp;AK1,'Revenue Tracking'!$H$13:$H$19, "&lt;"&amp;AL1)</f>
        <v>0</v>
      </c>
      <c r="AL3" s="109">
        <f>SUMIFS('Revenue Tracking'!$F$13:$F$19, 'Revenue Tracking'!$H$13:$H$19, "&gt;="&amp;AL1,'Revenue Tracking'!$H$13:$H$19, "&lt;"&amp;AM1)</f>
        <v>0</v>
      </c>
      <c r="AM3" s="109">
        <f>SUMIFS('Revenue Tracking'!$F$13:$F$19, 'Revenue Tracking'!$H$13:$H$19, "&gt;="&amp;AM1,'Revenue Tracking'!$H$13:$H$19, "&lt;"&amp;AN1)</f>
        <v>0</v>
      </c>
      <c r="AN3" s="109">
        <f>SUMIFS('Revenue Tracking'!$F$13:$F$19, 'Revenue Tracking'!$H$13:$H$19, "&gt;="&amp;AN1,'Revenue Tracking'!$H$13:$H$19, "&lt;"&amp;AO1)</f>
        <v>0</v>
      </c>
      <c r="AO3" s="109">
        <f>SUMIFS('Revenue Tracking'!$F$13:$F$19, 'Revenue Tracking'!$H$13:$H$19, "&gt;="&amp;AO1,'Revenue Tracking'!$H$13:$H$19, "&lt;"&amp;AP1)</f>
        <v>0</v>
      </c>
      <c r="AP3" s="109">
        <f>SUMIFS('Revenue Tracking'!$F$13:$F$19, 'Revenue Tracking'!$H$13:$H$19, "&gt;="&amp;AP1,'Revenue Tracking'!$H$13:$H$19, "&lt;"&amp;AQ1)</f>
        <v>0</v>
      </c>
      <c r="AQ3" s="109">
        <f>SUMIFS('Revenue Tracking'!$F$13:$F$19, 'Revenue Tracking'!$H$13:$H$19, "&gt;="&amp;AQ1,'Revenue Tracking'!$H$13:$H$19, "&lt;"&amp;AR1)</f>
        <v>0</v>
      </c>
      <c r="AR3" s="109">
        <f>SUMIFS('Revenue Tracking'!$F$13:$F$19, 'Revenue Tracking'!$H$13:$H$19, "&gt;="&amp;AR1,'Revenue Tracking'!$H$13:$H$19, "&lt;"&amp;AS1)</f>
        <v>0</v>
      </c>
      <c r="AS3" s="109">
        <f>SUMIFS('Revenue Tracking'!$F$13:$F$19, 'Revenue Tracking'!$H$13:$H$19, "&gt;="&amp;AS1,'Revenue Tracking'!$H$13:$H$19, "&lt;"&amp;AT1)</f>
        <v>0</v>
      </c>
      <c r="AT3" s="109">
        <f>SUMIFS('Revenue Tracking'!$F$13:$F$19, 'Revenue Tracking'!$H$13:$H$19, "&gt;="&amp;AT1,'Revenue Tracking'!$H$13:$H$19, "&lt;"&amp;AU1)</f>
        <v>0</v>
      </c>
      <c r="AU3" s="109">
        <f>SUMIFS('Revenue Tracking'!$F$13:$F$19, 'Revenue Tracking'!$H$13:$H$19, "&gt;="&amp;AU1,'Revenue Tracking'!$H$13:$H$19, "&lt;"&amp;AV1)</f>
        <v>0</v>
      </c>
      <c r="AV3" s="109">
        <f>SUMIFS('Revenue Tracking'!$F$13:$F$19, 'Revenue Tracking'!$H$13:$H$19, "&gt;="&amp;AV1,'Revenue Tracking'!$H$13:$H$19, "&lt;"&amp;AW1)</f>
        <v>0</v>
      </c>
      <c r="AW3" s="109">
        <f>SUMIFS('Revenue Tracking'!$F$13:$F$19, 'Revenue Tracking'!$H$13:$H$19, "&gt;="&amp;AW1,'Revenue Tracking'!$H$13:$H$19, "&lt;"&amp;AX1)</f>
        <v>0</v>
      </c>
      <c r="AX3" s="109">
        <f>SUMIFS('Revenue Tracking'!$F$13:$F$19, 'Revenue Tracking'!$H$13:$H$19, "&gt;="&amp;AX1,'Revenue Tracking'!$H$13:$H$19, "&lt;"&amp;AY1)</f>
        <v>0</v>
      </c>
      <c r="AY3" s="109">
        <f>SUMIFS('Revenue Tracking'!$F$13:$F$19, 'Revenue Tracking'!$H$13:$H$19, "&gt;="&amp;AY1,'Revenue Tracking'!$H$13:$H$19, "&lt;"&amp;AZ1)</f>
        <v>0</v>
      </c>
      <c r="AZ3" s="109">
        <f>SUMIFS('Revenue Tracking'!$F$13:$F$19, 'Revenue Tracking'!$H$13:$H$19, "&gt;="&amp;AZ1,'Revenue Tracking'!$H$13:$H$19, "&lt;"&amp;BA1)</f>
        <v>0</v>
      </c>
      <c r="BA3" s="109">
        <f>SUMIFS('Revenue Tracking'!$F$13:$F$19, 'Revenue Tracking'!$H$13:$H$19, "&gt;="&amp;BA1,'Revenue Tracking'!$H$13:$H$19, "&lt;"&amp;BB1)</f>
        <v>0</v>
      </c>
      <c r="BB3" s="109">
        <f>SUMIFS('Revenue Tracking'!$F$13:$F$19, 'Revenue Tracking'!$H$13:$H$19, "&gt;="&amp;BB1,'Revenue Tracking'!$H$13:$H$19, "&lt;"&amp;BC1)</f>
        <v>0</v>
      </c>
      <c r="BC3" s="109">
        <f>SUMIFS('Revenue Tracking'!$F$13:$F$19, 'Revenue Tracking'!$H$13:$H$19, "&gt;="&amp;BC1,'Revenue Tracking'!$H$13:$H$19, "&lt;"&amp;BD1)</f>
        <v>0</v>
      </c>
      <c r="BD3" s="109">
        <f>SUMIFS('Revenue Tracking'!$F$13:$F$19, 'Revenue Tracking'!$H$13:$H$19, "&gt;="&amp;BD1,'Revenue Tracking'!$H$13:$H$19, "&lt;"&amp;BE1)</f>
        <v>0</v>
      </c>
      <c r="BE3" s="109">
        <f>SUMIFS('Revenue Tracking'!$F$13:$F$19, 'Revenue Tracking'!$H$13:$H$19, "&gt;="&amp;BE1,'Revenue Tracking'!$H$13:$H$19, "&lt;"&amp;BF1)</f>
        <v>0</v>
      </c>
      <c r="BF3" s="109">
        <f>SUMIFS('Revenue Tracking'!$F$13:$F$19, 'Revenue Tracking'!$H$13:$H$19, "&gt;="&amp;BF1,'Revenue Tracking'!$H$13:$H$19, "&lt;"&amp;BG1)</f>
        <v>0</v>
      </c>
      <c r="BG3" s="109">
        <f>SUMIFS('Revenue Tracking'!$F$13:$F$19, 'Revenue Tracking'!$H$13:$H$19, "&gt;="&amp;BG1,'Revenue Tracking'!$H$13:$H$19, "&lt;"&amp;BH1)</f>
        <v>0</v>
      </c>
      <c r="BH3" s="109">
        <f>SUMIFS('Revenue Tracking'!$F$13:$F$19, 'Revenue Tracking'!$H$13:$H$19, "&gt;="&amp;BH1,'Revenue Tracking'!$H$13:$H$19, "&lt;"&amp;BI1)</f>
        <v>0</v>
      </c>
      <c r="BI3" s="109">
        <f>SUMIFS('Revenue Tracking'!$F$13:$F$19, 'Revenue Tracking'!$H$13:$H$19, "&gt;="&amp;BI1,'Revenue Tracking'!$H$13:$H$19, "&lt;"&amp;BJ1)</f>
        <v>0</v>
      </c>
      <c r="BJ3" s="109">
        <f>SUMIFS('Revenue Tracking'!$F$13:$F$19, 'Revenue Tracking'!$H$13:$H$19, "&gt;="&amp;BJ1,'Revenue Tracking'!$H$13:$H$19, "&lt;"&amp;BK1)</f>
        <v>0</v>
      </c>
      <c r="BK3" s="109">
        <f>SUMIFS('Revenue Tracking'!$F$13:$F$19, 'Revenue Tracking'!$H$13:$H$19, "&gt;="&amp;BK1,'Revenue Tracking'!$H$13:$H$19, "&lt;"&amp;BL1)</f>
        <v>0</v>
      </c>
      <c r="BL3" s="109">
        <f>SUMIFS('Revenue Tracking'!$F$13:$F$19, 'Revenue Tracking'!$H$13:$H$19, "&gt;="&amp;BL1,'Revenue Tracking'!$H$13:$H$19, "&lt;"&amp;BM1)</f>
        <v>0</v>
      </c>
      <c r="BM3" s="109">
        <f>SUMIFS('Revenue Tracking'!$F$13:$F$19, 'Revenue Tracking'!$H$13:$H$19, "&gt;="&amp;BM1,'Revenue Tracking'!$H$13:$H$19, "&lt;"&amp;BN1)</f>
        <v>0</v>
      </c>
      <c r="BN3" s="109">
        <f>SUMIFS('Revenue Tracking'!$F$13:$F$19, 'Revenue Tracking'!$H$13:$H$19, "&gt;="&amp;BN1,'Revenue Tracking'!$H$13:$H$19, "&lt;"&amp;BO1)</f>
        <v>0</v>
      </c>
      <c r="BO3" s="109">
        <f>SUMIFS('Revenue Tracking'!$F$13:$F$19, 'Revenue Tracking'!$H$13:$H$19, "&gt;="&amp;BO1,'Revenue Tracking'!$H$13:$H$19, "&lt;"&amp;BP1)</f>
        <v>0</v>
      </c>
      <c r="BP3" s="109">
        <f>SUMIFS('Revenue Tracking'!$F$13:$F$19, 'Revenue Tracking'!$H$13:$H$19, "&gt;="&amp;BP1,'Revenue Tracking'!$H$13:$H$19, "&lt;"&amp;BQ1)</f>
        <v>0</v>
      </c>
      <c r="BQ3" s="109">
        <f>SUMIFS('Revenue Tracking'!$F$13:$F$19, 'Revenue Tracking'!$H$13:$H$19, "&gt;="&amp;BQ1,'Revenue Tracking'!$H$13:$H$19, "&lt;"&amp;BR1)</f>
        <v>0</v>
      </c>
      <c r="BR3" s="109">
        <f>SUMIFS('Revenue Tracking'!$F$13:$F$19, 'Revenue Tracking'!$H$13:$H$19, "&gt;="&amp;BR1,'Revenue Tracking'!$H$13:$H$19, "&lt;"&amp;BS1)</f>
        <v>0</v>
      </c>
      <c r="BS3" s="109">
        <f>SUMIFS('Revenue Tracking'!$F$13:$F$19, 'Revenue Tracking'!$H$13:$H$19, "&gt;="&amp;BS1,'Revenue Tracking'!$H$13:$H$19, "&lt;"&amp;BT1)</f>
        <v>0</v>
      </c>
      <c r="BT3" s="109">
        <f>SUMIFS('Revenue Tracking'!$F$13:$F$19, 'Revenue Tracking'!$H$13:$H$19, "&gt;="&amp;BT1,'Revenue Tracking'!$H$13:$H$19, "&lt;"&amp;BU1)</f>
        <v>0</v>
      </c>
      <c r="BU3" s="109">
        <f>SUMIFS('Revenue Tracking'!$F$13:$F$19, 'Revenue Tracking'!$H$13:$H$19, "&gt;="&amp;BU1,'Revenue Tracking'!$H$13:$H$19, "&lt;"&amp;BV1)</f>
        <v>0</v>
      </c>
      <c r="BV3" s="109">
        <f>SUMIFS('Revenue Tracking'!$F$13:$F$19, 'Revenue Tracking'!$H$13:$H$19, "&gt;="&amp;BV1,'Revenue Tracking'!$H$13:$H$19, "&lt;"&amp;BW1)</f>
        <v>0</v>
      </c>
      <c r="BW3" s="109">
        <f>SUMIFS('Revenue Tracking'!$F$13:$F$19, 'Revenue Tracking'!$H$13:$H$19, "&gt;="&amp;BW1,'Revenue Tracking'!$H$13:$H$19, "&lt;"&amp;BX1)</f>
        <v>0</v>
      </c>
      <c r="BX3" s="109">
        <f>SUMIFS('Revenue Tracking'!$F$13:$F$19, 'Revenue Tracking'!$H$13:$H$19, "&gt;="&amp;BX1,'Revenue Tracking'!$H$13:$H$19, "&lt;"&amp;BY1)</f>
        <v>0</v>
      </c>
      <c r="BY3" s="109">
        <f>SUMIFS('Revenue Tracking'!$F$13:$F$19, 'Revenue Tracking'!$H$13:$H$19, "&gt;="&amp;BY1,'Revenue Tracking'!$H$13:$H$19, "&lt;"&amp;BZ1)</f>
        <v>0</v>
      </c>
      <c r="BZ3" s="109">
        <f>SUMIFS('Revenue Tracking'!$F$13:$F$19, 'Revenue Tracking'!$H$13:$H$19, "&gt;="&amp;BZ1,'Revenue Tracking'!$H$13:$H$19, "&lt;"&amp;CA1)</f>
        <v>0</v>
      </c>
      <c r="CA3" s="109">
        <f>SUMIFS('Revenue Tracking'!$F$13:$F$19, 'Revenue Tracking'!$H$13:$H$19, "&gt;="&amp;CA1,'Revenue Tracking'!$H$13:$H$19, "&lt;"&amp;CB1)</f>
        <v>0</v>
      </c>
      <c r="CB3" s="109">
        <f>SUMIFS('Revenue Tracking'!$F$13:$F$19, 'Revenue Tracking'!$H$13:$H$19, "&gt;="&amp;CB1,'Revenue Tracking'!$H$13:$H$19, "&lt;"&amp;CC1)</f>
        <v>0</v>
      </c>
      <c r="CC3" s="109">
        <f>SUMIFS('Revenue Tracking'!$F$13:$F$19, 'Revenue Tracking'!$H$13:$H$19, "&gt;="&amp;CC1,'Revenue Tracking'!$H$13:$H$19, "&lt;"&amp;CD1)</f>
        <v>0</v>
      </c>
      <c r="CD3" s="109">
        <f>SUMIFS('Revenue Tracking'!$F$13:$F$19, 'Revenue Tracking'!$H$13:$H$19, "&gt;="&amp;CD1,'Revenue Tracking'!$H$13:$H$19, "&lt;"&amp;CE1)</f>
        <v>0</v>
      </c>
      <c r="CE3" s="109">
        <f>SUMIFS('Revenue Tracking'!$F$13:$F$19, 'Revenue Tracking'!$H$13:$H$19, "&gt;="&amp;CE1,'Revenue Tracking'!$H$13:$H$19, "&lt;"&amp;CF1)</f>
        <v>0</v>
      </c>
      <c r="CF3" s="109">
        <f>SUMIFS('Revenue Tracking'!$F$13:$F$19, 'Revenue Tracking'!$H$13:$H$19, "&gt;="&amp;CF1,'Revenue Tracking'!$H$13:$H$19, "&lt;"&amp;CG1)</f>
        <v>0</v>
      </c>
      <c r="CG3" s="109">
        <f>SUMIFS('Revenue Tracking'!$F$13:$F$19, 'Revenue Tracking'!$H$13:$H$19, "&gt;="&amp;CG1,'Revenue Tracking'!$H$13:$H$19, "&lt;"&amp;CH1)</f>
        <v>0</v>
      </c>
      <c r="CH3" s="109">
        <f>SUMIFS('Revenue Tracking'!$F$13:$F$19, 'Revenue Tracking'!$H$13:$H$19, "&gt;="&amp;CH1,'Revenue Tracking'!$H$13:$H$19, "&lt;"&amp;CI1)</f>
        <v>0</v>
      </c>
      <c r="CI3" s="109">
        <f>SUMIFS('Revenue Tracking'!$F$13:$F$19, 'Revenue Tracking'!$H$13:$H$19, "&gt;="&amp;CI1,'Revenue Tracking'!$H$13:$H$19, "&lt;"&amp;CJ1)</f>
        <v>0</v>
      </c>
      <c r="CJ3" s="109">
        <f>SUMIFS('Revenue Tracking'!$F$13:$F$19, 'Revenue Tracking'!$H$13:$H$19, "&gt;="&amp;CJ1,'Revenue Tracking'!$H$13:$H$19, "&lt;"&amp;CK1)</f>
        <v>0</v>
      </c>
      <c r="CK3" s="109">
        <f>SUMIFS('Revenue Tracking'!$F$13:$F$19, 'Revenue Tracking'!$H$13:$H$19, "&gt;="&amp;CK1,'Revenue Tracking'!$H$13:$H$19, "&lt;"&amp;CL1)</f>
        <v>0</v>
      </c>
      <c r="CL3" s="109">
        <f>SUMIFS('Revenue Tracking'!$F$13:$F$19, 'Revenue Tracking'!$H$13:$H$19, "&gt;="&amp;CL1,'Revenue Tracking'!$H$13:$H$19, "&lt;"&amp;CM1)</f>
        <v>0</v>
      </c>
      <c r="CM3" s="109">
        <f>SUMIFS('Revenue Tracking'!$F$13:$F$19, 'Revenue Tracking'!$H$13:$H$19, "&gt;="&amp;CM1,'Revenue Tracking'!$H$13:$H$19, "&lt;"&amp;CN1)</f>
        <v>0</v>
      </c>
      <c r="CN3" s="109">
        <f>SUMIFS('Revenue Tracking'!$F$13:$F$19, 'Revenue Tracking'!$H$13:$H$19, "&gt;="&amp;CN1,'Revenue Tracking'!$H$13:$H$19, "&lt;"&amp;CO1)</f>
        <v>0</v>
      </c>
      <c r="CO3" s="109">
        <f>SUMIFS('Revenue Tracking'!$F$13:$F$19, 'Revenue Tracking'!$H$13:$H$19, "&gt;="&amp;CO1,'Revenue Tracking'!$H$13:$H$19, "&lt;"&amp;CP1)</f>
        <v>0</v>
      </c>
      <c r="CP3" s="109">
        <f>SUMIFS('Revenue Tracking'!$F$13:$F$19, 'Revenue Tracking'!$H$13:$H$19, "&gt;="&amp;CP1,'Revenue Tracking'!$H$13:$H$19, "&lt;"&amp;CQ1)</f>
        <v>0</v>
      </c>
      <c r="CQ3" s="109">
        <f>SUMIFS('Revenue Tracking'!$F$13:$F$19, 'Revenue Tracking'!$H$13:$H$19, "&gt;="&amp;CQ1,'Revenue Tracking'!$H$13:$H$19, "&lt;"&amp;CR1)</f>
        <v>0</v>
      </c>
      <c r="CR3" s="109">
        <f>SUMIFS('Revenue Tracking'!$F$13:$F$19, 'Revenue Tracking'!$H$13:$H$19, "&gt;="&amp;CR1,'Revenue Tracking'!$H$13:$H$19, "&lt;"&amp;CS1)</f>
        <v>0</v>
      </c>
      <c r="CS3" s="109">
        <f>SUMIFS('Revenue Tracking'!$F$13:$F$19, 'Revenue Tracking'!$H$13:$H$19, "&gt;="&amp;CS1,'Revenue Tracking'!$H$13:$H$19, "&lt;"&amp;CT1)</f>
        <v>0</v>
      </c>
      <c r="CT3" s="109">
        <f>SUMIFS('Revenue Tracking'!$F$13:$F$19, 'Revenue Tracking'!$H$13:$H$19, "&gt;="&amp;CT1,'Revenue Tracking'!$H$13:$H$19, "&lt;"&amp;CU1)</f>
        <v>0</v>
      </c>
      <c r="CU3" s="109">
        <f>SUMIFS('Revenue Tracking'!$F$13:$F$19, 'Revenue Tracking'!$H$13:$H$19, "&gt;="&amp;CU1,'Revenue Tracking'!$H$13:$H$19, "&lt;"&amp;CV1)</f>
        <v>0</v>
      </c>
      <c r="CV3" s="109">
        <f>SUMIFS('Revenue Tracking'!$F$13:$F$19, 'Revenue Tracking'!$H$13:$H$19, "&gt;="&amp;CV1,'Revenue Tracking'!$H$13:$H$19, "&lt;"&amp;CW1)</f>
        <v>0</v>
      </c>
      <c r="CW3" s="109">
        <f>SUMIFS('Revenue Tracking'!$F$13:$F$19, 'Revenue Tracking'!$H$13:$H$19, "&gt;="&amp;CW1,'Revenue Tracking'!$H$13:$H$19, "&lt;"&amp;CX1)</f>
        <v>0</v>
      </c>
      <c r="CX3" s="109">
        <f>SUMIFS('Revenue Tracking'!$F$13:$F$19, 'Revenue Tracking'!$H$13:$H$19, "&gt;="&amp;CX1,'Revenue Tracking'!$H$13:$H$19, "&lt;"&amp;CY1)</f>
        <v>0</v>
      </c>
      <c r="CY3" s="109">
        <f>SUMIFS('Revenue Tracking'!$F$13:$F$19, 'Revenue Tracking'!$H$13:$H$19, "&gt;="&amp;CY1,'Revenue Tracking'!$H$13:$H$19, "&lt;"&amp;CZ1)</f>
        <v>0</v>
      </c>
      <c r="CZ3" s="109">
        <f>SUMIFS('Revenue Tracking'!$F$13:$F$19, 'Revenue Tracking'!$H$13:$H$19, "&gt;="&amp;CZ1,'Revenue Tracking'!$H$13:$H$19, "&lt;"&amp;DA1)</f>
        <v>0</v>
      </c>
      <c r="DA3" s="109">
        <f>SUMIFS('Revenue Tracking'!$F$13:$F$19, 'Revenue Tracking'!$H$13:$H$19, "&gt;="&amp;DA1,'Revenue Tracking'!$H$13:$H$19, "&lt;"&amp;DB1)</f>
        <v>0</v>
      </c>
      <c r="DB3" s="109">
        <f>SUMIFS('Revenue Tracking'!$F$13:$F$19, 'Revenue Tracking'!$H$13:$H$19, "&gt;="&amp;DB1,'Revenue Tracking'!$H$13:$H$19, "&lt;"&amp;DC1)</f>
        <v>0</v>
      </c>
      <c r="DC3" s="109">
        <f>SUMIFS('Revenue Tracking'!$F$13:$F$19, 'Revenue Tracking'!$H$13:$H$19, "&gt;="&amp;DC1,'Revenue Tracking'!$H$13:$H$19, "&lt;"&amp;DD1)</f>
        <v>0</v>
      </c>
      <c r="DD3" s="109">
        <f>SUMIFS('Revenue Tracking'!$F$13:$F$19, 'Revenue Tracking'!$H$13:$H$19, "&gt;="&amp;DD1,'Revenue Tracking'!$H$13:$H$19, "&lt;"&amp;DE1)</f>
        <v>0</v>
      </c>
      <c r="DE3" s="109">
        <f>SUMIFS('Revenue Tracking'!$F$13:$F$19, 'Revenue Tracking'!$H$13:$H$19, "&gt;="&amp;DE1,'Revenue Tracking'!$H$13:$H$19, "&lt;"&amp;DF1)</f>
        <v>0</v>
      </c>
      <c r="DF3" s="109">
        <f>SUMIFS('Revenue Tracking'!$F$13:$F$19, 'Revenue Tracking'!$H$13:$H$19, "&gt;="&amp;DF1,'Revenue Tracking'!$H$13:$H$19, "&lt;"&amp;DG1)</f>
        <v>0</v>
      </c>
      <c r="DG3" s="109">
        <f>SUMIFS('Revenue Tracking'!$F$13:$F$19, 'Revenue Tracking'!$H$13:$H$19, "&gt;="&amp;DG1,'Revenue Tracking'!$H$13:$H$19, "&lt;"&amp;DH1)</f>
        <v>0</v>
      </c>
      <c r="DH3" s="109">
        <f>SUMIFS('Revenue Tracking'!$F$13:$F$19, 'Revenue Tracking'!$H$13:$H$19, "&gt;="&amp;DH1,'Revenue Tracking'!$H$13:$H$19, "&lt;"&amp;DI1)</f>
        <v>0</v>
      </c>
      <c r="DI3" s="109">
        <f>SUMIFS('Revenue Tracking'!$F$13:$F$19, 'Revenue Tracking'!$H$13:$H$19, "&gt;="&amp;DI1,'Revenue Tracking'!$H$13:$H$19, "&lt;"&amp;DJ1)</f>
        <v>0</v>
      </c>
      <c r="DJ3" s="109">
        <f>SUMIFS('Revenue Tracking'!$F$13:$F$19, 'Revenue Tracking'!$H$13:$H$19, "&gt;="&amp;DJ1,'Revenue Tracking'!$H$13:$H$19, "&lt;"&amp;DK1)</f>
        <v>0</v>
      </c>
      <c r="DK3" s="109">
        <f>SUMIFS('Revenue Tracking'!$F$13:$F$19, 'Revenue Tracking'!$H$13:$H$19, "&gt;="&amp;DK1,'Revenue Tracking'!$H$13:$H$19, "&lt;"&amp;DL1)</f>
        <v>0</v>
      </c>
      <c r="DL3" s="109">
        <f>SUMIFS('Revenue Tracking'!$F$13:$F$19, 'Revenue Tracking'!$H$13:$H$19, "&gt;="&amp;DL1,'Revenue Tracking'!$H$13:$H$19, "&lt;"&amp;DM1)</f>
        <v>0</v>
      </c>
      <c r="DM3" s="109">
        <f>SUMIFS('Revenue Tracking'!$F$13:$F$19, 'Revenue Tracking'!$H$13:$H$19, "&gt;="&amp;DM1,'Revenue Tracking'!$H$13:$H$19, "&lt;"&amp;DN1)</f>
        <v>0</v>
      </c>
      <c r="DN3" s="109">
        <f>SUMIFS('Revenue Tracking'!$F$13:$F$19, 'Revenue Tracking'!$H$13:$H$19, "&gt;="&amp;DN1,'Revenue Tracking'!$H$13:$H$19, "&lt;"&amp;DO1)</f>
        <v>0</v>
      </c>
      <c r="DO3" s="109">
        <f>SUMIFS('Revenue Tracking'!$F$13:$F$19, 'Revenue Tracking'!$H$13:$H$19, "&gt;="&amp;DO1,'Revenue Tracking'!$H$13:$H$19, "&lt;"&amp;DP1)</f>
        <v>0</v>
      </c>
      <c r="DP3" s="109">
        <f>SUMIFS('Revenue Tracking'!$F$13:$F$19, 'Revenue Tracking'!$H$13:$H$19, "&gt;="&amp;DP1,'Revenue Tracking'!$H$13:$H$19, "&lt;"&amp;DQ1)</f>
        <v>0</v>
      </c>
      <c r="DQ3" s="109">
        <f>SUMIFS('Revenue Tracking'!$F$13:$F$19, 'Revenue Tracking'!$H$13:$H$19, "&gt;="&amp;DQ1,'Revenue Tracking'!$H$13:$H$19, "&lt;"&amp;DR1)</f>
        <v>0</v>
      </c>
      <c r="DR3" s="109">
        <f>SUMIFS('Revenue Tracking'!$F$13:$F$19, 'Revenue Tracking'!$H$13:$H$19, "&gt;="&amp;DR1,'Revenue Tracking'!$H$13:$H$19, "&lt;"&amp;DS1)</f>
        <v>0</v>
      </c>
      <c r="DS3" s="109">
        <f>SUMIFS('Revenue Tracking'!$F$13:$F$19, 'Revenue Tracking'!$H$13:$H$19, "&gt;="&amp;DS1,'Revenue Tracking'!$H$13:$H$19, "&lt;"&amp;DT1)</f>
        <v>0</v>
      </c>
      <c r="DT3" s="109">
        <f>SUMIFS('Revenue Tracking'!$F$13:$F$19, 'Revenue Tracking'!$H$13:$H$19, "&gt;="&amp;DT1,'Revenue Tracking'!$H$13:$H$19, "&lt;"&amp;DU1)</f>
        <v>0</v>
      </c>
      <c r="DU3" s="109">
        <f>SUMIFS('Revenue Tracking'!$F$13:$F$19, 'Revenue Tracking'!$H$13:$H$19, "&gt;="&amp;DU1,'Revenue Tracking'!$H$13:$H$19, "&lt;"&amp;DV1)</f>
        <v>0</v>
      </c>
      <c r="DV3" s="109">
        <f>SUMIFS('Revenue Tracking'!$F$13:$F$19, 'Revenue Tracking'!$H$13:$H$19, "&gt;="&amp;DV1,'Revenue Tracking'!$H$13:$H$19, "&lt;"&amp;DW1)</f>
        <v>0</v>
      </c>
      <c r="DW3" s="109">
        <f>SUMIFS('Revenue Tracking'!$F$13:$F$19, 'Revenue Tracking'!$H$13:$H$19, "&gt;="&amp;DW1,'Revenue Tracking'!$H$13:$H$19, "&lt;"&amp;DX1)</f>
        <v>0</v>
      </c>
      <c r="DX3" s="109">
        <f>SUMIFS('Revenue Tracking'!$F$13:$F$19, 'Revenue Tracking'!$H$13:$H$19, "&gt;="&amp;DX1,'Revenue Tracking'!$H$13:$H$19, "&lt;"&amp;DY1)</f>
        <v>0</v>
      </c>
      <c r="DY3" s="109">
        <f>SUMIFS('Revenue Tracking'!$F$13:$F$19, 'Revenue Tracking'!$H$13:$H$19, "&gt;="&amp;DY1,'Revenue Tracking'!$H$13:$H$19, "&lt;"&amp;DZ1)</f>
        <v>0</v>
      </c>
      <c r="DZ3" s="109">
        <f>SUMIFS('Revenue Tracking'!$F$13:$F$19, 'Revenue Tracking'!$H$13:$H$19, "&gt;="&amp;DZ1,'Revenue Tracking'!$H$13:$H$19, "&lt;"&amp;EA1)</f>
        <v>0</v>
      </c>
      <c r="EA3" s="109">
        <f>SUMIFS('Revenue Tracking'!$F$13:$F$19, 'Revenue Tracking'!$H$13:$H$19, "&gt;="&amp;EA1,'Revenue Tracking'!$H$13:$H$19, "&lt;"&amp;EB1)</f>
        <v>0</v>
      </c>
      <c r="EB3" s="109">
        <f>SUMIFS('Revenue Tracking'!$F$13:$F$19, 'Revenue Tracking'!$H$13:$H$19, "&gt;="&amp;EB1,'Revenue Tracking'!$H$13:$H$19, "&lt;"&amp;EC1)</f>
        <v>0</v>
      </c>
      <c r="EC3" s="109">
        <f>SUMIFS('Revenue Tracking'!$F$13:$F$19, 'Revenue Tracking'!$H$13:$H$19, "&gt;="&amp;EC1,'Revenue Tracking'!$H$13:$H$19, "&lt;"&amp;ED1)</f>
        <v>0</v>
      </c>
      <c r="ED3" s="109">
        <f>SUMIFS('Revenue Tracking'!$F$13:$F$19, 'Revenue Tracking'!$H$13:$H$19, "&gt;="&amp;ED1,'Revenue Tracking'!$H$13:$H$19, "&lt;"&amp;EE1)</f>
        <v>0</v>
      </c>
      <c r="EE3" s="109">
        <f>SUMIFS('Revenue Tracking'!$F$13:$F$19, 'Revenue Tracking'!$H$13:$H$19, "&gt;="&amp;EE1,'Revenue Tracking'!$H$13:$H$19, "&lt;"&amp;EF1)</f>
        <v>0</v>
      </c>
      <c r="EF3" s="109">
        <f>SUMIFS('Revenue Tracking'!$F$13:$F$19, 'Revenue Tracking'!$H$13:$H$19, "&gt;="&amp;EF1,'Revenue Tracking'!$H$13:$H$19, "&lt;"&amp;EG1)</f>
        <v>0</v>
      </c>
      <c r="EG3" s="109">
        <f>SUMIFS('Revenue Tracking'!$F$13:$F$19, 'Revenue Tracking'!$H$13:$H$19, "&gt;="&amp;EG1,'Revenue Tracking'!$H$13:$H$19, "&lt;"&amp;EH1)</f>
        <v>0</v>
      </c>
      <c r="EH3" s="109">
        <f>SUMIFS('Revenue Tracking'!$F$13:$F$19, 'Revenue Tracking'!$H$13:$H$19, "&gt;="&amp;EH1,'Revenue Tracking'!$H$13:$H$19, "&lt;"&amp;EI1)</f>
        <v>0</v>
      </c>
      <c r="EI3" s="109">
        <f>SUMIFS('Revenue Tracking'!$F$13:$F$19, 'Revenue Tracking'!$H$13:$H$19, "&gt;="&amp;EI1,'Revenue Tracking'!$H$13:$H$19, "&lt;"&amp;EJ1)</f>
        <v>0</v>
      </c>
      <c r="EJ3" s="109">
        <f>SUMIFS('Revenue Tracking'!$F$13:$F$19, 'Revenue Tracking'!$H$13:$H$19, "&gt;="&amp;EJ1,'Revenue Tracking'!$H$13:$H$19, "&lt;"&amp;EK1)</f>
        <v>0</v>
      </c>
      <c r="EK3" s="109">
        <f>SUMIFS('Revenue Tracking'!$F$13:$F$19, 'Revenue Tracking'!$H$13:$H$19, "&gt;="&amp;EK1,'Revenue Tracking'!$H$13:$H$19, "&lt;"&amp;EL1)</f>
        <v>0</v>
      </c>
      <c r="EL3" s="109">
        <f>SUMIFS('Revenue Tracking'!$F$13:$F$19, 'Revenue Tracking'!$H$13:$H$19, "&gt;="&amp;EL1,'Revenue Tracking'!$H$13:$H$19, "&lt;"&amp;EM1)</f>
        <v>0</v>
      </c>
      <c r="EM3" s="109">
        <f>SUMIFS('Revenue Tracking'!$F$13:$F$19, 'Revenue Tracking'!$H$13:$H$19, "&gt;="&amp;EM1,'Revenue Tracking'!$H$13:$H$19, "&lt;"&amp;EN1)</f>
        <v>0</v>
      </c>
      <c r="EN3" s="109">
        <f>SUMIFS('Revenue Tracking'!$F$13:$F$19, 'Revenue Tracking'!$H$13:$H$19, "&gt;="&amp;EN1,'Revenue Tracking'!$H$13:$H$19, "&lt;"&amp;EO1)</f>
        <v>0</v>
      </c>
      <c r="EO3" s="109">
        <f>SUMIFS('Revenue Tracking'!$F$13:$F$19, 'Revenue Tracking'!$H$13:$H$19, "&gt;="&amp;EO1,'Revenue Tracking'!$H$13:$H$19, "&lt;"&amp;EP1)</f>
        <v>0</v>
      </c>
      <c r="EP3" s="109">
        <f>SUMIFS('Revenue Tracking'!$F$13:$F$19, 'Revenue Tracking'!$H$13:$H$19, "&gt;="&amp;EP1,'Revenue Tracking'!$H$13:$H$19, "&lt;"&amp;EQ1)</f>
        <v>0</v>
      </c>
      <c r="EQ3" s="109">
        <f>SUMIFS('Revenue Tracking'!$F$13:$F$19, 'Revenue Tracking'!$H$13:$H$19, "&gt;="&amp;EQ1,'Revenue Tracking'!$H$13:$H$19, "&lt;"&amp;ER1)</f>
        <v>0</v>
      </c>
      <c r="ER3" s="109">
        <f>SUMIFS('Revenue Tracking'!$F$13:$F$19, 'Revenue Tracking'!$H$13:$H$19, "&gt;="&amp;ER1,'Revenue Tracking'!$H$13:$H$19, "&lt;"&amp;ES1)</f>
        <v>0</v>
      </c>
      <c r="ES3" s="109">
        <f>SUMIFS('Revenue Tracking'!$F$13:$F$19, 'Revenue Tracking'!$H$13:$H$19, "&gt;="&amp;ES1,'Revenue Tracking'!$H$13:$H$19, "&lt;"&amp;ET1)</f>
        <v>0</v>
      </c>
      <c r="ET3" s="109">
        <f>SUMIFS('Revenue Tracking'!$F$13:$F$19, 'Revenue Tracking'!$H$13:$H$19, "&gt;="&amp;ET1,'Revenue Tracking'!$H$13:$H$19, "&lt;"&amp;EU1)</f>
        <v>0</v>
      </c>
      <c r="EU3" s="109">
        <f>SUMIFS('Revenue Tracking'!$F$13:$F$19, 'Revenue Tracking'!$H$13:$H$19, "&gt;="&amp;EU1,'Revenue Tracking'!$H$13:$H$19, "&lt;"&amp;EV1)</f>
        <v>0</v>
      </c>
      <c r="EV3" s="109">
        <f>SUMIFS('Revenue Tracking'!$F$13:$F$19, 'Revenue Tracking'!$H$13:$H$19, "&gt;="&amp;EV1,'Revenue Tracking'!$H$13:$H$19, "&lt;"&amp;EW1)</f>
        <v>0</v>
      </c>
      <c r="EW3" s="109">
        <f>SUMIFS('Revenue Tracking'!$F$13:$F$19, 'Revenue Tracking'!$H$13:$H$19, "&gt;="&amp;EW1,'Revenue Tracking'!$H$13:$H$19, "&lt;"&amp;EX1)</f>
        <v>0</v>
      </c>
      <c r="EX3" s="109">
        <f>SUMIFS('Revenue Tracking'!$F$13:$F$19, 'Revenue Tracking'!$H$13:$H$19, "&gt;="&amp;EX1,'Revenue Tracking'!$H$13:$H$19, "&lt;"&amp;EY1)</f>
        <v>0</v>
      </c>
      <c r="EY3" s="109">
        <f>SUMIFS('Revenue Tracking'!$F$13:$F$19, 'Revenue Tracking'!$H$13:$H$19, "&gt;="&amp;EY1,'Revenue Tracking'!$H$13:$H$19, "&lt;"&amp;EZ1)</f>
        <v>0</v>
      </c>
      <c r="EZ3" s="109">
        <f>SUMIFS('Revenue Tracking'!$F$13:$F$19, 'Revenue Tracking'!$H$13:$H$19, "&gt;="&amp;EZ1,'Revenue Tracking'!$H$13:$H$19, "&lt;"&amp;FA1)</f>
        <v>0</v>
      </c>
      <c r="FA3" s="109">
        <f>SUMIFS('Revenue Tracking'!$F$13:$F$19, 'Revenue Tracking'!$H$13:$H$19, "&gt;="&amp;FA1,'Revenue Tracking'!$H$13:$H$19, "&lt;"&amp;FB1)</f>
        <v>0</v>
      </c>
      <c r="FB3" s="109">
        <f>SUMIFS('Revenue Tracking'!$F$13:$F$19, 'Revenue Tracking'!$H$13:$H$19, "&gt;="&amp;FB1,'Revenue Tracking'!$H$13:$H$19, "&lt;"&amp;FC1)</f>
        <v>0</v>
      </c>
      <c r="FC3" s="109">
        <f>SUMIFS('Revenue Tracking'!$F$13:$F$19, 'Revenue Tracking'!$H$13:$H$19, "&gt;="&amp;FC1,'Revenue Tracking'!$H$13:$H$19, "&lt;"&amp;FD1)</f>
        <v>0</v>
      </c>
      <c r="FD3" s="109">
        <f>SUMIFS('Revenue Tracking'!$F$13:$F$19, 'Revenue Tracking'!$H$13:$H$19, "&gt;="&amp;FD1,'Revenue Tracking'!$H$13:$H$19, "&lt;"&amp;FE1)</f>
        <v>0</v>
      </c>
      <c r="FE3" s="109">
        <f>SUMIFS('Revenue Tracking'!$F$13:$F$19, 'Revenue Tracking'!$H$13:$H$19, "&gt;="&amp;FE1,'Revenue Tracking'!$H$13:$H$19, "&lt;"&amp;FF1)</f>
        <v>0</v>
      </c>
      <c r="FF3" s="109">
        <f>SUMIFS('Revenue Tracking'!$F$13:$F$19, 'Revenue Tracking'!$H$13:$H$19, "&gt;="&amp;FF1,'Revenue Tracking'!$H$13:$H$19, "&lt;"&amp;FG1)</f>
        <v>0</v>
      </c>
      <c r="FG3" s="109">
        <f>SUMIFS('Revenue Tracking'!$F$13:$F$19, 'Revenue Tracking'!$H$13:$H$19, "&gt;="&amp;FG1,'Revenue Tracking'!$H$13:$H$19, "&lt;"&amp;FH1)</f>
        <v>0</v>
      </c>
      <c r="FH3" s="109">
        <f>SUMIFS('Revenue Tracking'!$F$13:$F$19, 'Revenue Tracking'!$H$13:$H$19, "&gt;="&amp;FH1,'Revenue Tracking'!$H$13:$H$19, "&lt;"&amp;FI1)</f>
        <v>0</v>
      </c>
      <c r="FI3" s="109">
        <f>SUMIFS('Revenue Tracking'!$F$13:$F$19, 'Revenue Tracking'!$H$13:$H$19, "&gt;="&amp;FI1,'Revenue Tracking'!$H$13:$H$19, "&lt;"&amp;FJ1)</f>
        <v>0</v>
      </c>
      <c r="FJ3" s="109">
        <f>SUMIFS('Revenue Tracking'!$F$13:$F$19, 'Revenue Tracking'!$H$13:$H$19, "&gt;="&amp;FJ1,'Revenue Tracking'!$H$13:$H$19, "&lt;"&amp;FK1)</f>
        <v>0</v>
      </c>
      <c r="FK3" s="109">
        <f>SUMIFS('Revenue Tracking'!$F$13:$F$19, 'Revenue Tracking'!$H$13:$H$19, "&gt;="&amp;FK1,'Revenue Tracking'!$H$13:$H$19, "&lt;"&amp;FL1)</f>
        <v>0</v>
      </c>
      <c r="FL3" s="109">
        <f>SUMIFS('Revenue Tracking'!$F$13:$F$19, 'Revenue Tracking'!$H$13:$H$19, "&gt;="&amp;FL1,'Revenue Tracking'!$H$13:$H$19, "&lt;"&amp;FM1)</f>
        <v>0</v>
      </c>
      <c r="FM3" s="109">
        <f>SUMIFS('Revenue Tracking'!$F$13:$F$19, 'Revenue Tracking'!$H$13:$H$19, "&gt;="&amp;FM1,'Revenue Tracking'!$H$13:$H$19, "&lt;"&amp;FN1)</f>
        <v>0</v>
      </c>
      <c r="FN3" s="109">
        <f>SUMIFS('Revenue Tracking'!$F$13:$F$19, 'Revenue Tracking'!$H$13:$H$19, "&gt;="&amp;FN1,'Revenue Tracking'!$H$13:$H$19, "&lt;"&amp;FO1)</f>
        <v>0</v>
      </c>
      <c r="FO3" s="109">
        <f>SUMIFS('Revenue Tracking'!$F$13:$F$19, 'Revenue Tracking'!$H$13:$H$19, "&gt;="&amp;FO1,'Revenue Tracking'!$H$13:$H$19, "&lt;"&amp;FP1)</f>
        <v>0</v>
      </c>
      <c r="FP3" s="109">
        <f>SUMIFS('Revenue Tracking'!$F$13:$F$19, 'Revenue Tracking'!$H$13:$H$19, "&gt;="&amp;FP1,'Revenue Tracking'!$H$13:$H$19, "&lt;"&amp;FQ1)</f>
        <v>0</v>
      </c>
      <c r="FQ3" s="109">
        <f>SUMIFS('Revenue Tracking'!$F$13:$F$19, 'Revenue Tracking'!$H$13:$H$19, "&gt;="&amp;FQ1,'Revenue Tracking'!$H$13:$H$19, "&lt;"&amp;FR1)</f>
        <v>0</v>
      </c>
      <c r="FR3" s="109">
        <f>SUMIFS('Revenue Tracking'!$F$13:$F$19, 'Revenue Tracking'!$H$13:$H$19, "&gt;="&amp;FR1,'Revenue Tracking'!$H$13:$H$19, "&lt;"&amp;FS1)</f>
        <v>0</v>
      </c>
      <c r="FS3" s="109">
        <f>SUMIFS('Revenue Tracking'!$F$13:$F$19, 'Revenue Tracking'!$H$13:$H$19, "&gt;="&amp;FS1,'Revenue Tracking'!$H$13:$H$19, "&lt;"&amp;FT1)</f>
        <v>0</v>
      </c>
      <c r="FT3" s="109">
        <f>SUMIFS('Revenue Tracking'!$F$13:$F$19, 'Revenue Tracking'!$H$13:$H$19, "&gt;="&amp;FT1,'Revenue Tracking'!$H$13:$H$19, "&lt;"&amp;FU1)</f>
        <v>0</v>
      </c>
      <c r="FU3" s="109">
        <f>SUMIFS('Revenue Tracking'!$F$13:$F$19, 'Revenue Tracking'!$H$13:$H$19, "&gt;="&amp;FU1,'Revenue Tracking'!$H$13:$H$19, "&lt;"&amp;FV1)</f>
        <v>0</v>
      </c>
      <c r="FV3" s="109">
        <f>SUMIFS('Revenue Tracking'!$F$13:$F$19, 'Revenue Tracking'!$H$13:$H$19, "&gt;="&amp;FV1,'Revenue Tracking'!$H$13:$H$19, "&lt;"&amp;FW1)</f>
        <v>0</v>
      </c>
      <c r="FW3" s="109">
        <f>SUMIFS('Revenue Tracking'!$F$13:$F$19, 'Revenue Tracking'!$H$13:$H$19, "&gt;="&amp;FW1,'Revenue Tracking'!$H$13:$H$19, "&lt;"&amp;FX1)</f>
        <v>0</v>
      </c>
      <c r="FX3" s="109">
        <f>SUMIFS('Revenue Tracking'!$F$13:$F$19, 'Revenue Tracking'!$H$13:$H$19, "&gt;="&amp;FX1,'Revenue Tracking'!$H$13:$H$19, "&lt;"&amp;FY1)</f>
        <v>0</v>
      </c>
      <c r="FY3" s="109">
        <f>SUMIFS('Revenue Tracking'!$F$13:$F$19, 'Revenue Tracking'!$H$13:$H$19, "&gt;="&amp;FY1,'Revenue Tracking'!$H$13:$H$19, "&lt;"&amp;FZ1)</f>
        <v>0</v>
      </c>
      <c r="FZ3" s="109">
        <f>SUMIFS('Revenue Tracking'!$F$13:$F$19, 'Revenue Tracking'!$H$13:$H$19, "&gt;="&amp;FZ1,'Revenue Tracking'!$H$13:$H$19, "&lt;"&amp;GA1)</f>
        <v>0</v>
      </c>
      <c r="GA3" s="109">
        <f>SUMIFS('Revenue Tracking'!$F$13:$F$19, 'Revenue Tracking'!$H$13:$H$19, "&gt;="&amp;GA1,'Revenue Tracking'!$H$13:$H$19, "&lt;"&amp;GB1)</f>
        <v>0</v>
      </c>
      <c r="GB3" s="109">
        <f>SUMIFS('Revenue Tracking'!$F$13:$F$19, 'Revenue Tracking'!$H$13:$H$19, "&gt;="&amp;GB1,'Revenue Tracking'!$H$13:$H$19, "&lt;"&amp;GC1)</f>
        <v>0</v>
      </c>
      <c r="GC3" s="109">
        <f>SUMIFS('Revenue Tracking'!$F$13:$F$19, 'Revenue Tracking'!$H$13:$H$19, "&gt;="&amp;GC1,'Revenue Tracking'!$H$13:$H$19, "&lt;"&amp;GD1)</f>
        <v>0</v>
      </c>
      <c r="GD3" s="109">
        <f>SUMIFS('Revenue Tracking'!$F$13:$F$19, 'Revenue Tracking'!$H$13:$H$19, "&gt;="&amp;GD1,'Revenue Tracking'!$H$13:$H$19, "&lt;"&amp;GE1)</f>
        <v>0</v>
      </c>
      <c r="GE3" s="109">
        <f>SUMIFS('Revenue Tracking'!$F$13:$F$19, 'Revenue Tracking'!$H$13:$H$19, "&gt;="&amp;GE1,'Revenue Tracking'!$H$13:$H$19, "&lt;"&amp;GF1)</f>
        <v>0</v>
      </c>
      <c r="GF3" s="109">
        <f>SUMIFS('Revenue Tracking'!$F$13:$F$19, 'Revenue Tracking'!$H$13:$H$19, "&gt;="&amp;GF1,'Revenue Tracking'!$H$13:$H$19, "&lt;"&amp;GG1)</f>
        <v>0</v>
      </c>
      <c r="GG3" s="109">
        <f>SUMIFS('Revenue Tracking'!$F$13:$F$19, 'Revenue Tracking'!$H$13:$H$19, "&gt;="&amp;GG1,'Revenue Tracking'!$H$13:$H$19, "&lt;"&amp;GH1)</f>
        <v>0</v>
      </c>
      <c r="GH3" s="109">
        <f>SUMIFS('Revenue Tracking'!$F$13:$F$19, 'Revenue Tracking'!$H$13:$H$19, "&gt;="&amp;GH1,'Revenue Tracking'!$H$13:$H$19, "&lt;"&amp;GI1)</f>
        <v>0</v>
      </c>
      <c r="GI3" s="109">
        <f>SUMIFS('Revenue Tracking'!$F$13:$F$19, 'Revenue Tracking'!$H$13:$H$19, "&gt;="&amp;GI1,'Revenue Tracking'!$H$13:$H$19, "&lt;"&amp;GJ1)</f>
        <v>0</v>
      </c>
      <c r="GJ3" s="109">
        <f>SUMIFS('Revenue Tracking'!$F$13:$F$19, 'Revenue Tracking'!$H$13:$H$19, "&gt;="&amp;GJ1,'Revenue Tracking'!$H$13:$H$19, "&lt;"&amp;GK1)</f>
        <v>0</v>
      </c>
      <c r="GK3" s="109">
        <f>SUMIFS('Revenue Tracking'!$F$13:$F$19, 'Revenue Tracking'!$H$13:$H$19, "&gt;="&amp;GK1,'Revenue Tracking'!$H$13:$H$19, "&lt;"&amp;GL1)</f>
        <v>0</v>
      </c>
      <c r="GL3" s="109">
        <f>SUMIFS('Revenue Tracking'!$F$13:$F$19, 'Revenue Tracking'!$H$13:$H$19, "&gt;="&amp;GL1,'Revenue Tracking'!$H$13:$H$19, "&lt;"&amp;GM1)</f>
        <v>0</v>
      </c>
      <c r="GM3" s="109">
        <f>SUMIFS('Revenue Tracking'!$F$13:$F$19, 'Revenue Tracking'!$H$13:$H$19, "&gt;="&amp;GM1,'Revenue Tracking'!$H$13:$H$19, "&lt;"&amp;GN1)</f>
        <v>0</v>
      </c>
      <c r="GN3" s="109">
        <f>SUMIFS('Revenue Tracking'!$F$13:$F$19, 'Revenue Tracking'!$H$13:$H$19, "&gt;="&amp;GN1,'Revenue Tracking'!$H$13:$H$19, "&lt;"&amp;GO1)</f>
        <v>0</v>
      </c>
      <c r="GO3" s="109">
        <f>SUMIFS('Revenue Tracking'!$F$13:$F$19, 'Revenue Tracking'!$H$13:$H$19, "&gt;="&amp;GO1,'Revenue Tracking'!$H$13:$H$19, "&lt;"&amp;GP1)</f>
        <v>0</v>
      </c>
      <c r="GP3" s="109">
        <f>SUMIFS('Revenue Tracking'!$F$13:$F$19, 'Revenue Tracking'!$H$13:$H$19, "&gt;="&amp;GP1,'Revenue Tracking'!$H$13:$H$19, "&lt;"&amp;GQ1)</f>
        <v>0</v>
      </c>
      <c r="GQ3" s="109">
        <f>SUMIFS('Revenue Tracking'!$F$13:$F$19, 'Revenue Tracking'!$H$13:$H$19, "&gt;="&amp;GQ1,'Revenue Tracking'!$H$13:$H$19, "&lt;"&amp;GR1)</f>
        <v>0</v>
      </c>
      <c r="GR3" s="109">
        <f>SUMIFS('Revenue Tracking'!$F$13:$F$19, 'Revenue Tracking'!$H$13:$H$19, "&gt;="&amp;GR1,'Revenue Tracking'!$H$13:$H$19, "&lt;"&amp;GS1)</f>
        <v>0</v>
      </c>
      <c r="GS3" s="109">
        <f>SUMIFS('Revenue Tracking'!$F$13:$F$19, 'Revenue Tracking'!$H$13:$H$19, "&gt;="&amp;GS1,'Revenue Tracking'!$H$13:$H$19, "&lt;"&amp;GT1)</f>
        <v>0</v>
      </c>
      <c r="GT3" s="109">
        <f>SUMIFS('Revenue Tracking'!$F$13:$F$19, 'Revenue Tracking'!$H$13:$H$19, "&gt;="&amp;GT1,'Revenue Tracking'!$H$13:$H$19, "&lt;"&amp;GU1)</f>
        <v>0</v>
      </c>
      <c r="GU3" s="109">
        <f>SUMIFS('Revenue Tracking'!$F$13:$F$19, 'Revenue Tracking'!$H$13:$H$19, "&gt;="&amp;GU1,'Revenue Tracking'!$H$13:$H$19, "&lt;"&amp;GV1)</f>
        <v>0</v>
      </c>
      <c r="GV3" s="109">
        <f>SUMIFS('Revenue Tracking'!$F$13:$F$19, 'Revenue Tracking'!$H$13:$H$19, "&gt;="&amp;GV1,'Revenue Tracking'!$H$13:$H$19, "&lt;"&amp;GW1)</f>
        <v>0</v>
      </c>
      <c r="GW3" s="109">
        <f>SUMIFS('Revenue Tracking'!$F$13:$F$19, 'Revenue Tracking'!$H$13:$H$19, "&gt;="&amp;GW1,'Revenue Tracking'!$H$13:$H$19, "&lt;"&amp;GX1)</f>
        <v>0</v>
      </c>
      <c r="GX3" s="109">
        <f>SUMIFS('Revenue Tracking'!$F$13:$F$19, 'Revenue Tracking'!$H$13:$H$19, "&gt;="&amp;GX1,'Revenue Tracking'!$H$13:$H$19, "&lt;"&amp;GY1)</f>
        <v>0</v>
      </c>
      <c r="GY3" s="109">
        <f>SUMIFS('Revenue Tracking'!$F$13:$F$19, 'Revenue Tracking'!$H$13:$H$19, "&gt;="&amp;GY1,'Revenue Tracking'!$H$13:$H$19, "&lt;"&amp;GZ1)</f>
        <v>0</v>
      </c>
      <c r="GZ3" s="109">
        <f>SUMIFS('Revenue Tracking'!$F$13:$F$19, 'Revenue Tracking'!$H$13:$H$19, "&gt;="&amp;GZ1,'Revenue Tracking'!$H$13:$H$19, "&lt;"&amp;HA1)</f>
        <v>0</v>
      </c>
      <c r="HA3" s="109">
        <f>SUMIFS('Revenue Tracking'!$F$13:$F$19, 'Revenue Tracking'!$H$13:$H$19, "&gt;="&amp;HA1,'Revenue Tracking'!$H$13:$H$19, "&lt;"&amp;HB1)</f>
        <v>0</v>
      </c>
      <c r="HB3" s="109">
        <f>SUMIFS('Revenue Tracking'!$F$13:$F$19, 'Revenue Tracking'!$H$13:$H$19, "&gt;="&amp;HB1,'Revenue Tracking'!$H$13:$H$19, "&lt;"&amp;HC1)</f>
        <v>0</v>
      </c>
      <c r="HC3" s="109">
        <f>SUMIFS('Revenue Tracking'!$F$13:$F$19, 'Revenue Tracking'!$H$13:$H$19, "&gt;="&amp;HC1,'Revenue Tracking'!$H$13:$H$19, "&lt;"&amp;HD1)</f>
        <v>0</v>
      </c>
      <c r="HD3" s="109">
        <f>SUMIFS('Revenue Tracking'!$F$13:$F$19, 'Revenue Tracking'!$H$13:$H$19, "&gt;="&amp;HD1,'Revenue Tracking'!$H$13:$H$19, "&lt;"&amp;HE1)</f>
        <v>0</v>
      </c>
      <c r="HE3" s="109">
        <f>SUMIFS('Revenue Tracking'!$F$13:$F$19, 'Revenue Tracking'!$H$13:$H$19, "&gt;="&amp;HE1,'Revenue Tracking'!$H$13:$H$19, "&lt;"&amp;HF1)</f>
        <v>0</v>
      </c>
      <c r="HF3" s="109">
        <f>SUMIFS('Revenue Tracking'!$F$13:$F$19, 'Revenue Tracking'!$H$13:$H$19, "&gt;="&amp;HF1,'Revenue Tracking'!$H$13:$H$19, "&lt;"&amp;HG1)</f>
        <v>0</v>
      </c>
      <c r="HG3" s="109">
        <f>SUMIFS('Revenue Tracking'!$F$13:$F$19, 'Revenue Tracking'!$H$13:$H$19, "&gt;="&amp;HG1,'Revenue Tracking'!$H$13:$H$19, "&lt;"&amp;HH1)</f>
        <v>0</v>
      </c>
      <c r="HH3" s="109">
        <f>SUMIFS('Revenue Tracking'!$F$13:$F$19, 'Revenue Tracking'!$H$13:$H$19, "&gt;="&amp;HH1,'Revenue Tracking'!$H$13:$H$19, "&lt;"&amp;HI1)</f>
        <v>0</v>
      </c>
      <c r="HI3" s="109">
        <f>SUMIFS('Revenue Tracking'!$F$13:$F$19, 'Revenue Tracking'!$H$13:$H$19, "&gt;="&amp;HI1,'Revenue Tracking'!$H$13:$H$19, "&lt;"&amp;HJ1)</f>
        <v>0</v>
      </c>
      <c r="HJ3" s="109">
        <f>SUMIFS('Revenue Tracking'!$F$13:$F$19, 'Revenue Tracking'!$H$13:$H$19, "&gt;="&amp;HJ1,'Revenue Tracking'!$H$13:$H$19, "&lt;"&amp;HK1)</f>
        <v>0</v>
      </c>
      <c r="HK3" s="109">
        <f>SUMIFS('Revenue Tracking'!$F$13:$F$19, 'Revenue Tracking'!$H$13:$H$19, "&gt;="&amp;HK1,'Revenue Tracking'!$H$13:$H$19, "&lt;"&amp;HL1)</f>
        <v>0</v>
      </c>
      <c r="HL3" s="109">
        <f>SUMIFS('Revenue Tracking'!$F$13:$F$19, 'Revenue Tracking'!$H$13:$H$19, "&gt;="&amp;HL1,'Revenue Tracking'!$H$13:$H$19, "&lt;"&amp;HM1)</f>
        <v>0</v>
      </c>
      <c r="HM3" s="109">
        <f>SUMIFS('Revenue Tracking'!$F$13:$F$19, 'Revenue Tracking'!$H$13:$H$19, "&gt;="&amp;HM1,'Revenue Tracking'!$H$13:$H$19, "&lt;"&amp;HN1)</f>
        <v>0</v>
      </c>
      <c r="HN3" s="109">
        <f>SUMIFS('Revenue Tracking'!$F$13:$F$19, 'Revenue Tracking'!$H$13:$H$19, "&gt;="&amp;HN1,'Revenue Tracking'!$H$13:$H$19, "&lt;"&amp;HO1)</f>
        <v>0</v>
      </c>
      <c r="HO3" s="109">
        <f>SUMIFS('Revenue Tracking'!$F$13:$F$19, 'Revenue Tracking'!$H$13:$H$19, "&gt;="&amp;HO1,'Revenue Tracking'!$H$13:$H$19, "&lt;"&amp;HP1)</f>
        <v>0</v>
      </c>
      <c r="HP3" s="109">
        <f>SUMIFS('Revenue Tracking'!$F$13:$F$19, 'Revenue Tracking'!$H$13:$H$19, "&gt;="&amp;HP1,'Revenue Tracking'!$H$13:$H$19, "&lt;"&amp;HQ1)</f>
        <v>0</v>
      </c>
      <c r="HQ3" s="109">
        <f>SUMIFS('Revenue Tracking'!$F$13:$F$19, 'Revenue Tracking'!$H$13:$H$19, "&gt;="&amp;HQ1,'Revenue Tracking'!$H$13:$H$19, "&lt;"&amp;HR1)</f>
        <v>0</v>
      </c>
      <c r="HR3" s="109">
        <f>SUMIFS('Revenue Tracking'!$F$13:$F$19, 'Revenue Tracking'!$H$13:$H$19, "&gt;="&amp;HR1,'Revenue Tracking'!$H$13:$H$19, "&lt;"&amp;HS1)</f>
        <v>0</v>
      </c>
      <c r="HS3" s="109">
        <f>SUMIFS('Revenue Tracking'!$F$13:$F$19, 'Revenue Tracking'!$H$13:$H$19, "&gt;="&amp;HS1,'Revenue Tracking'!$H$13:$H$19, "&lt;"&amp;HT1)</f>
        <v>0</v>
      </c>
      <c r="HT3" s="109">
        <f>SUMIFS('Revenue Tracking'!$F$13:$F$19, 'Revenue Tracking'!$H$13:$H$19, "&gt;="&amp;HT1,'Revenue Tracking'!$H$13:$H$19, "&lt;"&amp;HU1)</f>
        <v>0</v>
      </c>
      <c r="HU3" s="109">
        <f>SUMIFS('Revenue Tracking'!$F$13:$F$19, 'Revenue Tracking'!$H$13:$H$19, "&gt;="&amp;HU1,'Revenue Tracking'!$H$13:$H$19, "&lt;"&amp;HV1)</f>
        <v>0</v>
      </c>
      <c r="HV3" s="109">
        <f>SUMIFS('Revenue Tracking'!$F$13:$F$19, 'Revenue Tracking'!$H$13:$H$19, "&gt;="&amp;HV1,'Revenue Tracking'!$H$13:$H$19, "&lt;"&amp;HW1)</f>
        <v>0</v>
      </c>
      <c r="HW3" s="109">
        <f>SUMIFS('Revenue Tracking'!$F$13:$F$19, 'Revenue Tracking'!$H$13:$H$19, "&gt;="&amp;HW1,'Revenue Tracking'!$H$13:$H$19, "&lt;"&amp;HX1)</f>
        <v>0</v>
      </c>
      <c r="HX3" s="109">
        <f>SUMIFS('Revenue Tracking'!$F$13:$F$19, 'Revenue Tracking'!$H$13:$H$19, "&gt;="&amp;HX1,'Revenue Tracking'!$H$13:$H$19, "&lt;"&amp;HY1)</f>
        <v>0</v>
      </c>
      <c r="HY3" s="109">
        <f>SUMIFS('Revenue Tracking'!$F$13:$F$19, 'Revenue Tracking'!$H$13:$H$19, "&gt;="&amp;HY1,'Revenue Tracking'!$H$13:$H$19, "&lt;"&amp;HZ1)</f>
        <v>0</v>
      </c>
      <c r="HZ3" s="109">
        <f>SUMIFS('Revenue Tracking'!$F$13:$F$19, 'Revenue Tracking'!$H$13:$H$19, "&gt;="&amp;HZ1,'Revenue Tracking'!$H$13:$H$19, "&lt;"&amp;IA1)</f>
        <v>0</v>
      </c>
      <c r="IA3" s="109">
        <f>SUMIFS('Revenue Tracking'!$F$13:$F$19, 'Revenue Tracking'!$H$13:$H$19, "&gt;="&amp;IA1,'Revenue Tracking'!$H$13:$H$19, "&lt;"&amp;IB1)</f>
        <v>0</v>
      </c>
      <c r="IB3" s="109">
        <f>SUMIFS('Revenue Tracking'!$F$13:$F$19, 'Revenue Tracking'!$H$13:$H$19, "&gt;="&amp;IB1,'Revenue Tracking'!$H$13:$H$19, "&lt;"&amp;IC1)</f>
        <v>0</v>
      </c>
      <c r="IC3" s="109">
        <f>SUMIFS('Revenue Tracking'!$F$13:$F$19, 'Revenue Tracking'!$H$13:$H$19, "&gt;="&amp;IC1,'Revenue Tracking'!$H$13:$H$19, "&lt;"&amp;ID1)</f>
        <v>0</v>
      </c>
      <c r="ID3" s="109">
        <f>SUMIFS('Revenue Tracking'!$F$13:$F$19, 'Revenue Tracking'!$H$13:$H$19, "&gt;="&amp;ID1,'Revenue Tracking'!$H$13:$H$19, "&lt;"&amp;IE1)</f>
        <v>0</v>
      </c>
      <c r="IE3" s="109">
        <f>SUMIFS('Revenue Tracking'!$F$13:$F$19, 'Revenue Tracking'!$H$13:$H$19, "&gt;="&amp;IE1,'Revenue Tracking'!$H$13:$H$19, "&lt;"&amp;IF1)</f>
        <v>0</v>
      </c>
      <c r="IF3" s="109">
        <f>SUMIFS('Revenue Tracking'!$F$13:$F$19, 'Revenue Tracking'!$H$13:$H$19, "&gt;="&amp;IF1,'Revenue Tracking'!$H$13:$H$19, "&lt;"&amp;IG1)</f>
        <v>0</v>
      </c>
      <c r="IG3" s="109">
        <f>SUMIFS('Revenue Tracking'!$F$13:$F$19, 'Revenue Tracking'!$H$13:$H$19, "&gt;="&amp;IG1,'Revenue Tracking'!$H$13:$H$19, "&lt;"&amp;IH1)</f>
        <v>0</v>
      </c>
      <c r="IH3" s="109">
        <f>SUMIFS('Revenue Tracking'!$F$13:$F$19, 'Revenue Tracking'!$H$13:$H$19, "&gt;="&amp;IH1,'Revenue Tracking'!$H$13:$H$19, "&lt;"&amp;II1)</f>
        <v>0</v>
      </c>
      <c r="II3" s="109">
        <f>SUMIFS('Revenue Tracking'!$F$13:$F$19, 'Revenue Tracking'!$H$13:$H$19, "&gt;="&amp;II1,'Revenue Tracking'!$H$13:$H$19, "&lt;"&amp;IJ1)</f>
        <v>0</v>
      </c>
      <c r="IJ3" s="109">
        <f>SUMIFS('Revenue Tracking'!$F$13:$F$19, 'Revenue Tracking'!$H$13:$H$19, "&gt;="&amp;IJ1,'Revenue Tracking'!$H$13:$H$19, "&lt;"&amp;IK1)</f>
        <v>0</v>
      </c>
      <c r="IK3" s="109">
        <f>SUMIFS('Revenue Tracking'!$F$13:$F$19, 'Revenue Tracking'!$H$13:$H$19, "&gt;="&amp;IK1,'Revenue Tracking'!$H$13:$H$19, "&lt;"&amp;IL1)</f>
        <v>0</v>
      </c>
      <c r="IL3" s="109">
        <f>SUMIFS('Revenue Tracking'!$F$13:$F$19, 'Revenue Tracking'!$H$13:$H$19, "&gt;="&amp;IL1,'Revenue Tracking'!$H$13:$H$19, "&lt;"&amp;IM1)</f>
        <v>0</v>
      </c>
      <c r="IM3" s="109">
        <f>SUMIFS('Revenue Tracking'!$F$13:$F$19, 'Revenue Tracking'!$H$13:$H$19, "&gt;="&amp;IM1,'Revenue Tracking'!$H$13:$H$19, "&lt;"&amp;IN1)</f>
        <v>0</v>
      </c>
      <c r="IN3" s="109">
        <f>SUMIFS('Revenue Tracking'!$F$13:$F$19, 'Revenue Tracking'!$H$13:$H$19, "&gt;="&amp;IN1,'Revenue Tracking'!$H$13:$H$19, "&lt;"&amp;IO1)</f>
        <v>0</v>
      </c>
      <c r="IO3" s="109">
        <f>SUMIFS('Revenue Tracking'!$F$13:$F$19, 'Revenue Tracking'!$H$13:$H$19, "&gt;="&amp;IO1,'Revenue Tracking'!$H$13:$H$19, "&lt;"&amp;IP1)</f>
        <v>0</v>
      </c>
      <c r="IP3" s="109">
        <f>SUMIFS('Revenue Tracking'!$F$13:$F$19, 'Revenue Tracking'!$H$13:$H$19, "&gt;="&amp;IP1,'Revenue Tracking'!$H$13:$H$19, "&lt;"&amp;IQ1)</f>
        <v>0</v>
      </c>
      <c r="IQ3" s="109">
        <f>SUMIFS('Revenue Tracking'!$F$13:$F$19, 'Revenue Tracking'!$H$13:$H$19, "&gt;="&amp;IQ1,'Revenue Tracking'!$H$13:$H$19, "&lt;"&amp;IR1)</f>
        <v>0</v>
      </c>
      <c r="IR3" s="109">
        <f>SUMIFS('Revenue Tracking'!$F$13:$F$19, 'Revenue Tracking'!$H$13:$H$19, "&gt;="&amp;IR1,'Revenue Tracking'!$H$13:$H$19, "&lt;"&amp;IS1)</f>
        <v>0</v>
      </c>
      <c r="IS3" s="109">
        <f>SUMIFS('Revenue Tracking'!$F$13:$F$19, 'Revenue Tracking'!$H$13:$H$19, "&gt;="&amp;IS1,'Revenue Tracking'!$H$13:$H$19, "&lt;"&amp;IT1)</f>
        <v>0</v>
      </c>
      <c r="IT3" s="109">
        <f>SUMIFS('Revenue Tracking'!$F$13:$F$19, 'Revenue Tracking'!$H$13:$H$19, "&gt;="&amp;IT1,'Revenue Tracking'!$H$13:$H$19, "&lt;"&amp;IU1)</f>
        <v>0</v>
      </c>
      <c r="IU3" s="109">
        <f>SUMIFS('Revenue Tracking'!$F$13:$F$19, 'Revenue Tracking'!$H$13:$H$19, "&gt;="&amp;IU1,'Revenue Tracking'!$H$13:$H$19, "&lt;"&amp;IV1)</f>
        <v>0</v>
      </c>
      <c r="IV3" s="109">
        <f>SUMIFS('Revenue Tracking'!$F$13:$F$19, 'Revenue Tracking'!$H$13:$H$19, "&gt;="&amp;IV1,'Revenue Tracking'!$H$13:$H$19, "&lt;"&amp;IW1)</f>
        <v>0</v>
      </c>
      <c r="IW3" s="109">
        <f>SUMIFS('Revenue Tracking'!$F$13:$F$19, 'Revenue Tracking'!$H$13:$H$19, "&gt;="&amp;IW1,'Revenue Tracking'!$H$13:$H$19, "&lt;"&amp;IX1)</f>
        <v>0</v>
      </c>
      <c r="IX3" s="109">
        <f>SUMIFS('Revenue Tracking'!$F$13:$F$19, 'Revenue Tracking'!$H$13:$H$19, "&gt;="&amp;IX1,'Revenue Tracking'!$H$13:$H$19, "&lt;"&amp;IY1)</f>
        <v>0</v>
      </c>
      <c r="IY3" s="109">
        <f>SUMIFS('Revenue Tracking'!$F$13:$F$19, 'Revenue Tracking'!$H$13:$H$19, "&gt;="&amp;IY1,'Revenue Tracking'!$H$13:$H$19, "&lt;"&amp;IZ1)</f>
        <v>0</v>
      </c>
      <c r="IZ3" s="109">
        <f>SUMIFS('Revenue Tracking'!$F$13:$F$19, 'Revenue Tracking'!$H$13:$H$19, "&gt;="&amp;IZ1,'Revenue Tracking'!$H$13:$H$19, "&lt;"&amp;JA1)</f>
        <v>0</v>
      </c>
      <c r="JA3" s="109">
        <f>SUMIFS('Revenue Tracking'!$F$13:$F$19, 'Revenue Tracking'!$H$13:$H$19, "&gt;="&amp;JA1,'Revenue Tracking'!$H$13:$H$19, "&lt;"&amp;JB1)</f>
        <v>0</v>
      </c>
      <c r="JB3" s="109">
        <f>SUMIFS('Revenue Tracking'!$F$13:$F$19, 'Revenue Tracking'!$H$13:$H$19, "&gt;="&amp;JB1,'Revenue Tracking'!$H$13:$H$19, "&lt;"&amp;JC1)</f>
        <v>0</v>
      </c>
      <c r="JC3" s="109">
        <f>SUMIFS('Revenue Tracking'!$F$13:$F$19, 'Revenue Tracking'!$H$13:$H$19, "&gt;="&amp;JC1,'Revenue Tracking'!$H$13:$H$19, "&lt;"&amp;JD1)</f>
        <v>0</v>
      </c>
      <c r="JD3" s="109">
        <f>SUMIFS('Revenue Tracking'!$F$13:$F$19, 'Revenue Tracking'!$H$13:$H$19, "&gt;="&amp;JD1,'Revenue Tracking'!$H$13:$H$19, "&lt;"&amp;JE1)</f>
        <v>0</v>
      </c>
      <c r="JE3" s="109">
        <f>SUMIFS('Revenue Tracking'!$F$13:$F$19, 'Revenue Tracking'!$H$13:$H$19, "&gt;="&amp;JE1,'Revenue Tracking'!$H$13:$H$19, "&lt;"&amp;JF1)</f>
        <v>0</v>
      </c>
      <c r="JF3" s="109">
        <f>SUMIFS('Revenue Tracking'!$F$13:$F$19, 'Revenue Tracking'!$H$13:$H$19, "&gt;="&amp;JF1,'Revenue Tracking'!$H$13:$H$19, "&lt;"&amp;JG1)</f>
        <v>0</v>
      </c>
      <c r="JG3" s="109">
        <f>SUMIFS('Revenue Tracking'!$F$13:$F$19, 'Revenue Tracking'!$H$13:$H$19, "&gt;="&amp;JG1,'Revenue Tracking'!$H$13:$H$19, "&lt;"&amp;JH1)</f>
        <v>0</v>
      </c>
      <c r="JH3" s="109">
        <f>SUMIFS('Revenue Tracking'!$F$13:$F$19, 'Revenue Tracking'!$H$13:$H$19, "&gt;="&amp;JH1,'Revenue Tracking'!$H$13:$H$19, "&lt;"&amp;JI1)</f>
        <v>0</v>
      </c>
      <c r="JI3" s="109">
        <f>SUMIFS('Revenue Tracking'!$F$13:$F$19, 'Revenue Tracking'!$H$13:$H$19, "&gt;="&amp;JI1,'Revenue Tracking'!$H$13:$H$19, "&lt;"&amp;JJ1)</f>
        <v>0</v>
      </c>
      <c r="JJ3" s="109">
        <f>SUMIFS('Revenue Tracking'!$F$13:$F$19, 'Revenue Tracking'!$H$13:$H$19, "&gt;="&amp;JJ1,'Revenue Tracking'!$H$13:$H$19, "&lt;"&amp;JK1)</f>
        <v>0</v>
      </c>
      <c r="JK3" s="109">
        <f>SUMIFS('Revenue Tracking'!$F$13:$F$19, 'Revenue Tracking'!$H$13:$H$19, "&gt;="&amp;JK1,'Revenue Tracking'!$H$13:$H$19, "&lt;"&amp;JL1)</f>
        <v>0</v>
      </c>
      <c r="JL3" s="109">
        <f>SUMIFS('Revenue Tracking'!$F$13:$F$19, 'Revenue Tracking'!$H$13:$H$19, "&gt;="&amp;JL1,'Revenue Tracking'!$H$13:$H$19, "&lt;"&amp;JM1)</f>
        <v>0</v>
      </c>
      <c r="JM3" s="109">
        <f>SUMIFS('Revenue Tracking'!$F$13:$F$19, 'Revenue Tracking'!$H$13:$H$19, "&gt;="&amp;JM1,'Revenue Tracking'!$H$13:$H$19, "&lt;"&amp;JN1)</f>
        <v>0</v>
      </c>
      <c r="JN3" s="109">
        <f>SUMIFS('Revenue Tracking'!$F$13:$F$19, 'Revenue Tracking'!$H$13:$H$19, "&gt;="&amp;JN1,'Revenue Tracking'!$H$13:$H$19, "&lt;"&amp;JO1)</f>
        <v>0</v>
      </c>
      <c r="JO3" s="109">
        <f>SUMIFS('Revenue Tracking'!$F$13:$F$19, 'Revenue Tracking'!$H$13:$H$19, "&gt;="&amp;JO1,'Revenue Tracking'!$H$13:$H$19, "&lt;"&amp;JP1)</f>
        <v>0</v>
      </c>
      <c r="JP3" s="109">
        <f>SUMIFS('Revenue Tracking'!$F$13:$F$19, 'Revenue Tracking'!$H$13:$H$19, "&gt;="&amp;JP1,'Revenue Tracking'!$H$13:$H$19, "&lt;"&amp;JQ1)</f>
        <v>0</v>
      </c>
      <c r="JQ3" s="109">
        <f>SUMIFS('Revenue Tracking'!$F$13:$F$19, 'Revenue Tracking'!$H$13:$H$19, "&gt;="&amp;JQ1,'Revenue Tracking'!$H$13:$H$19, "&lt;"&amp;JR1)</f>
        <v>0</v>
      </c>
      <c r="JR3" s="109">
        <f>SUMIFS('Revenue Tracking'!$F$13:$F$19, 'Revenue Tracking'!$H$13:$H$19, "&gt;="&amp;JR1,'Revenue Tracking'!$H$13:$H$19, "&lt;"&amp;JS1)</f>
        <v>0</v>
      </c>
      <c r="JS3" s="109">
        <f>SUMIFS('Revenue Tracking'!$F$13:$F$19, 'Revenue Tracking'!$H$13:$H$19, "&gt;="&amp;JS1,'Revenue Tracking'!$H$13:$H$19, "&lt;"&amp;JT1)</f>
        <v>0</v>
      </c>
      <c r="JT3" s="109">
        <f>SUMIFS('Revenue Tracking'!$F$13:$F$19, 'Revenue Tracking'!$H$13:$H$19, "&gt;="&amp;JT1,'Revenue Tracking'!$H$13:$H$19, "&lt;"&amp;JU1)</f>
        <v>0</v>
      </c>
      <c r="JU3" s="109">
        <f>SUMIFS('Revenue Tracking'!$F$13:$F$19, 'Revenue Tracking'!$H$13:$H$19, "&gt;="&amp;JU1,'Revenue Tracking'!$H$13:$H$19, "&lt;"&amp;JV1)</f>
        <v>0</v>
      </c>
      <c r="JV3" s="109">
        <f>SUMIFS('Revenue Tracking'!$F$13:$F$19, 'Revenue Tracking'!$H$13:$H$19, "&gt;="&amp;JV1,'Revenue Tracking'!$H$13:$H$19, "&lt;"&amp;JW1)</f>
        <v>0</v>
      </c>
      <c r="JW3" s="109">
        <f>SUMIFS('Revenue Tracking'!$F$13:$F$19, 'Revenue Tracking'!$H$13:$H$19, "&gt;="&amp;JW1,'Revenue Tracking'!$H$13:$H$19, "&lt;"&amp;JX1)</f>
        <v>0</v>
      </c>
      <c r="JX3" s="109">
        <f>SUMIFS('Revenue Tracking'!$F$13:$F$19, 'Revenue Tracking'!$H$13:$H$19, "&gt;="&amp;JX1,'Revenue Tracking'!$H$13:$H$19, "&lt;"&amp;JY1)</f>
        <v>0</v>
      </c>
      <c r="JY3" s="109">
        <f>SUMIFS('Revenue Tracking'!$F$13:$F$19, 'Revenue Tracking'!$H$13:$H$19, "&gt;="&amp;JY1,'Revenue Tracking'!$H$13:$H$19, "&lt;"&amp;JZ1)</f>
        <v>0</v>
      </c>
      <c r="JZ3" s="109">
        <f>SUMIFS('Revenue Tracking'!$F$13:$F$19, 'Revenue Tracking'!$H$13:$H$19, "&gt;="&amp;JZ1,'Revenue Tracking'!$H$13:$H$19, "&lt;"&amp;KA1)</f>
        <v>0</v>
      </c>
      <c r="KA3" s="109">
        <f>SUMIFS('Revenue Tracking'!$F$13:$F$19, 'Revenue Tracking'!$H$13:$H$19, "&gt;="&amp;KA1,'Revenue Tracking'!$H$13:$H$19, "&lt;"&amp;KB1)</f>
        <v>0</v>
      </c>
      <c r="KB3" s="109">
        <f>SUMIFS('Revenue Tracking'!$F$13:$F$19, 'Revenue Tracking'!$H$13:$H$19, "&gt;="&amp;KB1,'Revenue Tracking'!$H$13:$H$19, "&lt;"&amp;KC1)</f>
        <v>0</v>
      </c>
      <c r="KC3" s="109">
        <f>SUMIFS('Revenue Tracking'!$F$13:$F$19, 'Revenue Tracking'!$H$13:$H$19, "&gt;="&amp;KC1,'Revenue Tracking'!$H$13:$H$19, "&lt;"&amp;KD1)</f>
        <v>0</v>
      </c>
      <c r="KD3" s="109">
        <f>SUMIFS('Revenue Tracking'!$F$13:$F$19, 'Revenue Tracking'!$H$13:$H$19, "&gt;="&amp;KD1,'Revenue Tracking'!$H$13:$H$19, "&lt;"&amp;KE1)</f>
        <v>0</v>
      </c>
      <c r="KE3" s="109">
        <f>SUMIFS('Revenue Tracking'!$F$13:$F$19, 'Revenue Tracking'!$H$13:$H$19, "&gt;="&amp;KE1,'Revenue Tracking'!$H$13:$H$19, "&lt;"&amp;KF1)</f>
        <v>0</v>
      </c>
      <c r="KF3" s="109">
        <f>SUMIFS('Revenue Tracking'!$F$13:$F$19, 'Revenue Tracking'!$H$13:$H$19, "&gt;="&amp;KF1,'Revenue Tracking'!$H$13:$H$19, "&lt;"&amp;#REF!)</f>
        <v>0</v>
      </c>
    </row>
    <row r="4" spans="1:770">
      <c r="A4" s="749"/>
      <c r="B4" s="106" t="s">
        <v>413</v>
      </c>
      <c r="C4" s="107"/>
      <c r="D4" s="107"/>
      <c r="E4" s="108"/>
      <c r="F4" s="109">
        <f>F3</f>
        <v>0</v>
      </c>
      <c r="G4" s="109">
        <f>F4+G3</f>
        <v>1038718.14</v>
      </c>
      <c r="H4" s="109">
        <f>G4+H3</f>
        <v>1038718.14</v>
      </c>
      <c r="I4" s="109">
        <f t="shared" ref="I4:BT4" si="5">H4+I3</f>
        <v>1038718.14</v>
      </c>
      <c r="J4" s="109">
        <f t="shared" si="5"/>
        <v>1038718.14</v>
      </c>
      <c r="K4" s="109">
        <f t="shared" si="5"/>
        <v>1038718.14</v>
      </c>
      <c r="L4" s="109">
        <f t="shared" si="5"/>
        <v>1038718.14</v>
      </c>
      <c r="M4" s="109">
        <f t="shared" si="5"/>
        <v>1038718.14</v>
      </c>
      <c r="N4" s="109">
        <f t="shared" si="5"/>
        <v>1038718.14</v>
      </c>
      <c r="O4" s="109">
        <f t="shared" si="5"/>
        <v>1038718.14</v>
      </c>
      <c r="P4" s="109">
        <f t="shared" si="5"/>
        <v>1765820.838</v>
      </c>
      <c r="Q4" s="109">
        <f t="shared" si="5"/>
        <v>1765820.838</v>
      </c>
      <c r="R4" s="109">
        <f t="shared" si="5"/>
        <v>1765820.838</v>
      </c>
      <c r="S4" s="109">
        <f t="shared" si="5"/>
        <v>1973564.466</v>
      </c>
      <c r="T4" s="109">
        <f t="shared" si="5"/>
        <v>2077436.28</v>
      </c>
      <c r="U4" s="109">
        <f t="shared" si="5"/>
        <v>2077436.28</v>
      </c>
      <c r="V4" s="109">
        <f t="shared" si="5"/>
        <v>2077436.28</v>
      </c>
      <c r="W4" s="109">
        <f t="shared" si="5"/>
        <v>2077436.28</v>
      </c>
      <c r="X4" s="109">
        <f t="shared" si="5"/>
        <v>2077436.28</v>
      </c>
      <c r="Y4" s="109">
        <f t="shared" si="5"/>
        <v>2077436.28</v>
      </c>
      <c r="Z4" s="109">
        <f t="shared" si="5"/>
        <v>2077436.28</v>
      </c>
      <c r="AA4" s="109">
        <f t="shared" si="5"/>
        <v>2077436.28</v>
      </c>
      <c r="AB4" s="109">
        <f t="shared" si="5"/>
        <v>2077436.28</v>
      </c>
      <c r="AC4" s="109">
        <f t="shared" si="5"/>
        <v>2077436.28</v>
      </c>
      <c r="AD4" s="109">
        <f>AC4+AD3</f>
        <v>2077436.28</v>
      </c>
      <c r="AE4" s="109">
        <f t="shared" si="5"/>
        <v>2077436.28</v>
      </c>
      <c r="AF4" s="109">
        <f t="shared" si="5"/>
        <v>2077436.28</v>
      </c>
      <c r="AG4" s="109">
        <f t="shared" si="5"/>
        <v>2077436.28</v>
      </c>
      <c r="AH4" s="109">
        <f t="shared" si="5"/>
        <v>2077436.28</v>
      </c>
      <c r="AI4" s="109">
        <f t="shared" si="5"/>
        <v>2077436.28</v>
      </c>
      <c r="AJ4" s="109">
        <f t="shared" si="5"/>
        <v>2077436.28</v>
      </c>
      <c r="AK4" s="109">
        <f t="shared" si="5"/>
        <v>2077436.28</v>
      </c>
      <c r="AL4" s="109">
        <f t="shared" si="5"/>
        <v>2077436.28</v>
      </c>
      <c r="AM4" s="109">
        <f t="shared" si="5"/>
        <v>2077436.28</v>
      </c>
      <c r="AN4" s="109">
        <f t="shared" si="5"/>
        <v>2077436.28</v>
      </c>
      <c r="AO4" s="109">
        <f t="shared" si="5"/>
        <v>2077436.28</v>
      </c>
      <c r="AP4" s="109">
        <f t="shared" si="5"/>
        <v>2077436.28</v>
      </c>
      <c r="AQ4" s="109">
        <f t="shared" si="5"/>
        <v>2077436.28</v>
      </c>
      <c r="AR4" s="109">
        <f t="shared" si="5"/>
        <v>2077436.28</v>
      </c>
      <c r="AS4" s="109">
        <f t="shared" si="5"/>
        <v>2077436.28</v>
      </c>
      <c r="AT4" s="109">
        <f t="shared" si="5"/>
        <v>2077436.28</v>
      </c>
      <c r="AU4" s="109">
        <f t="shared" si="5"/>
        <v>2077436.28</v>
      </c>
      <c r="AV4" s="109">
        <f t="shared" si="5"/>
        <v>2077436.28</v>
      </c>
      <c r="AW4" s="109">
        <f t="shared" si="5"/>
        <v>2077436.28</v>
      </c>
      <c r="AX4" s="109">
        <f t="shared" si="5"/>
        <v>2077436.28</v>
      </c>
      <c r="AY4" s="109">
        <f t="shared" si="5"/>
        <v>2077436.28</v>
      </c>
      <c r="AZ4" s="109">
        <f t="shared" si="5"/>
        <v>2077436.28</v>
      </c>
      <c r="BA4" s="109">
        <f t="shared" si="5"/>
        <v>2077436.28</v>
      </c>
      <c r="BB4" s="109">
        <f t="shared" si="5"/>
        <v>2077436.28</v>
      </c>
      <c r="BC4" s="109">
        <f t="shared" si="5"/>
        <v>2077436.28</v>
      </c>
      <c r="BD4" s="109">
        <f t="shared" si="5"/>
        <v>2077436.28</v>
      </c>
      <c r="BE4" s="109">
        <f t="shared" si="5"/>
        <v>2077436.28</v>
      </c>
      <c r="BF4" s="109">
        <f t="shared" si="5"/>
        <v>2077436.28</v>
      </c>
      <c r="BG4" s="109">
        <f t="shared" si="5"/>
        <v>2077436.28</v>
      </c>
      <c r="BH4" s="109">
        <f t="shared" si="5"/>
        <v>2077436.28</v>
      </c>
      <c r="BI4" s="109">
        <f t="shared" si="5"/>
        <v>2077436.28</v>
      </c>
      <c r="BJ4" s="109">
        <f t="shared" si="5"/>
        <v>2077436.28</v>
      </c>
      <c r="BK4" s="109">
        <f t="shared" si="5"/>
        <v>2077436.28</v>
      </c>
      <c r="BL4" s="109">
        <f t="shared" si="5"/>
        <v>2077436.28</v>
      </c>
      <c r="BM4" s="109">
        <f t="shared" si="5"/>
        <v>2077436.28</v>
      </c>
      <c r="BN4" s="109">
        <f t="shared" si="5"/>
        <v>2077436.28</v>
      </c>
      <c r="BO4" s="109">
        <f t="shared" si="5"/>
        <v>2077436.28</v>
      </c>
      <c r="BP4" s="109">
        <f t="shared" si="5"/>
        <v>2077436.28</v>
      </c>
      <c r="BQ4" s="109">
        <f t="shared" si="5"/>
        <v>2077436.28</v>
      </c>
      <c r="BR4" s="109">
        <f t="shared" si="5"/>
        <v>2077436.28</v>
      </c>
      <c r="BS4" s="109">
        <f t="shared" si="5"/>
        <v>2077436.28</v>
      </c>
      <c r="BT4" s="109">
        <f t="shared" si="5"/>
        <v>2077436.28</v>
      </c>
      <c r="BU4" s="109">
        <f t="shared" ref="BU4:EF4" si="6">BT4+BU3</f>
        <v>2077436.28</v>
      </c>
      <c r="BV4" s="109">
        <f t="shared" si="6"/>
        <v>2077436.28</v>
      </c>
      <c r="BW4" s="109">
        <f t="shared" si="6"/>
        <v>2077436.28</v>
      </c>
      <c r="BX4" s="109">
        <f t="shared" si="6"/>
        <v>2077436.28</v>
      </c>
      <c r="BY4" s="109">
        <f t="shared" si="6"/>
        <v>2077436.28</v>
      </c>
      <c r="BZ4" s="109">
        <f t="shared" si="6"/>
        <v>2077436.28</v>
      </c>
      <c r="CA4" s="109">
        <f t="shared" si="6"/>
        <v>2077436.28</v>
      </c>
      <c r="CB4" s="109">
        <f t="shared" si="6"/>
        <v>2077436.28</v>
      </c>
      <c r="CC4" s="109">
        <f t="shared" si="6"/>
        <v>2077436.28</v>
      </c>
      <c r="CD4" s="109">
        <f t="shared" si="6"/>
        <v>2077436.28</v>
      </c>
      <c r="CE4" s="109">
        <f t="shared" si="6"/>
        <v>2077436.28</v>
      </c>
      <c r="CF4" s="109">
        <f t="shared" si="6"/>
        <v>2077436.28</v>
      </c>
      <c r="CG4" s="109">
        <f t="shared" si="6"/>
        <v>2077436.28</v>
      </c>
      <c r="CH4" s="109">
        <f t="shared" si="6"/>
        <v>2077436.28</v>
      </c>
      <c r="CI4" s="109">
        <f t="shared" si="6"/>
        <v>2077436.28</v>
      </c>
      <c r="CJ4" s="109">
        <f t="shared" si="6"/>
        <v>2077436.28</v>
      </c>
      <c r="CK4" s="109">
        <f t="shared" si="6"/>
        <v>2077436.28</v>
      </c>
      <c r="CL4" s="109">
        <f t="shared" si="6"/>
        <v>2077436.28</v>
      </c>
      <c r="CM4" s="109">
        <f t="shared" si="6"/>
        <v>2077436.28</v>
      </c>
      <c r="CN4" s="109">
        <f t="shared" si="6"/>
        <v>2077436.28</v>
      </c>
      <c r="CO4" s="109">
        <f t="shared" si="6"/>
        <v>2077436.28</v>
      </c>
      <c r="CP4" s="109">
        <f t="shared" si="6"/>
        <v>2077436.28</v>
      </c>
      <c r="CQ4" s="109">
        <f t="shared" si="6"/>
        <v>2077436.28</v>
      </c>
      <c r="CR4" s="109">
        <f t="shared" si="6"/>
        <v>2077436.28</v>
      </c>
      <c r="CS4" s="109">
        <f t="shared" si="6"/>
        <v>2077436.28</v>
      </c>
      <c r="CT4" s="109">
        <f t="shared" si="6"/>
        <v>2077436.28</v>
      </c>
      <c r="CU4" s="109">
        <f t="shared" si="6"/>
        <v>2077436.28</v>
      </c>
      <c r="CV4" s="109">
        <f t="shared" si="6"/>
        <v>2077436.28</v>
      </c>
      <c r="CW4" s="109">
        <f t="shared" si="6"/>
        <v>2077436.28</v>
      </c>
      <c r="CX4" s="109">
        <f t="shared" si="6"/>
        <v>2077436.28</v>
      </c>
      <c r="CY4" s="109">
        <f t="shared" si="6"/>
        <v>2077436.28</v>
      </c>
      <c r="CZ4" s="109">
        <f t="shared" si="6"/>
        <v>2077436.28</v>
      </c>
      <c r="DA4" s="109">
        <f t="shared" si="6"/>
        <v>2077436.28</v>
      </c>
      <c r="DB4" s="109">
        <f t="shared" si="6"/>
        <v>2077436.28</v>
      </c>
      <c r="DC4" s="109">
        <f t="shared" si="6"/>
        <v>2077436.28</v>
      </c>
      <c r="DD4" s="109">
        <f t="shared" si="6"/>
        <v>2077436.28</v>
      </c>
      <c r="DE4" s="109">
        <f t="shared" si="6"/>
        <v>2077436.28</v>
      </c>
      <c r="DF4" s="109">
        <f t="shared" si="6"/>
        <v>2077436.28</v>
      </c>
      <c r="DG4" s="109">
        <f t="shared" si="6"/>
        <v>2077436.28</v>
      </c>
      <c r="DH4" s="109">
        <f t="shared" si="6"/>
        <v>2077436.28</v>
      </c>
      <c r="DI4" s="109">
        <f t="shared" si="6"/>
        <v>2077436.28</v>
      </c>
      <c r="DJ4" s="109">
        <f t="shared" si="6"/>
        <v>2077436.28</v>
      </c>
      <c r="DK4" s="109">
        <f t="shared" si="6"/>
        <v>2077436.28</v>
      </c>
      <c r="DL4" s="109">
        <f t="shared" si="6"/>
        <v>2077436.28</v>
      </c>
      <c r="DM4" s="109">
        <f t="shared" si="6"/>
        <v>2077436.28</v>
      </c>
      <c r="DN4" s="109">
        <f t="shared" si="6"/>
        <v>2077436.28</v>
      </c>
      <c r="DO4" s="109">
        <f t="shared" si="6"/>
        <v>2077436.28</v>
      </c>
      <c r="DP4" s="109">
        <f t="shared" si="6"/>
        <v>2077436.28</v>
      </c>
      <c r="DQ4" s="109">
        <f t="shared" si="6"/>
        <v>2077436.28</v>
      </c>
      <c r="DR4" s="109">
        <f t="shared" si="6"/>
        <v>2077436.28</v>
      </c>
      <c r="DS4" s="109">
        <f t="shared" si="6"/>
        <v>2077436.28</v>
      </c>
      <c r="DT4" s="109">
        <f t="shared" si="6"/>
        <v>2077436.28</v>
      </c>
      <c r="DU4" s="109">
        <f t="shared" si="6"/>
        <v>2077436.28</v>
      </c>
      <c r="DV4" s="109">
        <f t="shared" si="6"/>
        <v>2077436.28</v>
      </c>
      <c r="DW4" s="109">
        <f t="shared" si="6"/>
        <v>2077436.28</v>
      </c>
      <c r="DX4" s="109">
        <f t="shared" si="6"/>
        <v>2077436.28</v>
      </c>
      <c r="DY4" s="109">
        <f t="shared" si="6"/>
        <v>2077436.28</v>
      </c>
      <c r="DZ4" s="109">
        <f t="shared" si="6"/>
        <v>2077436.28</v>
      </c>
      <c r="EA4" s="109">
        <f t="shared" si="6"/>
        <v>2077436.28</v>
      </c>
      <c r="EB4" s="109">
        <f t="shared" si="6"/>
        <v>2077436.28</v>
      </c>
      <c r="EC4" s="109">
        <f t="shared" si="6"/>
        <v>2077436.28</v>
      </c>
      <c r="ED4" s="109">
        <f t="shared" si="6"/>
        <v>2077436.28</v>
      </c>
      <c r="EE4" s="109">
        <f t="shared" si="6"/>
        <v>2077436.28</v>
      </c>
      <c r="EF4" s="109">
        <f t="shared" si="6"/>
        <v>2077436.28</v>
      </c>
      <c r="EG4" s="109">
        <f t="shared" ref="EG4:GR4" si="7">EF4+EG3</f>
        <v>2077436.28</v>
      </c>
      <c r="EH4" s="109">
        <f t="shared" si="7"/>
        <v>2077436.28</v>
      </c>
      <c r="EI4" s="109">
        <f t="shared" si="7"/>
        <v>2077436.28</v>
      </c>
      <c r="EJ4" s="109">
        <f t="shared" si="7"/>
        <v>2077436.28</v>
      </c>
      <c r="EK4" s="109">
        <f t="shared" si="7"/>
        <v>2077436.28</v>
      </c>
      <c r="EL4" s="109">
        <f t="shared" si="7"/>
        <v>2077436.28</v>
      </c>
      <c r="EM4" s="109">
        <f t="shared" si="7"/>
        <v>2077436.28</v>
      </c>
      <c r="EN4" s="109">
        <f t="shared" si="7"/>
        <v>2077436.28</v>
      </c>
      <c r="EO4" s="109">
        <f t="shared" si="7"/>
        <v>2077436.28</v>
      </c>
      <c r="EP4" s="109">
        <f t="shared" si="7"/>
        <v>2077436.28</v>
      </c>
      <c r="EQ4" s="109">
        <f t="shared" si="7"/>
        <v>2077436.28</v>
      </c>
      <c r="ER4" s="109">
        <f t="shared" si="7"/>
        <v>2077436.28</v>
      </c>
      <c r="ES4" s="109">
        <f t="shared" si="7"/>
        <v>2077436.28</v>
      </c>
      <c r="ET4" s="109">
        <f t="shared" si="7"/>
        <v>2077436.28</v>
      </c>
      <c r="EU4" s="109">
        <f t="shared" si="7"/>
        <v>2077436.28</v>
      </c>
      <c r="EV4" s="109">
        <f t="shared" si="7"/>
        <v>2077436.28</v>
      </c>
      <c r="EW4" s="109">
        <f t="shared" si="7"/>
        <v>2077436.28</v>
      </c>
      <c r="EX4" s="109">
        <f t="shared" si="7"/>
        <v>2077436.28</v>
      </c>
      <c r="EY4" s="109">
        <f t="shared" si="7"/>
        <v>2077436.28</v>
      </c>
      <c r="EZ4" s="109">
        <f t="shared" si="7"/>
        <v>2077436.28</v>
      </c>
      <c r="FA4" s="109">
        <f t="shared" si="7"/>
        <v>2077436.28</v>
      </c>
      <c r="FB4" s="109">
        <f t="shared" si="7"/>
        <v>2077436.28</v>
      </c>
      <c r="FC4" s="109">
        <f t="shared" si="7"/>
        <v>2077436.28</v>
      </c>
      <c r="FD4" s="109">
        <f t="shared" si="7"/>
        <v>2077436.28</v>
      </c>
      <c r="FE4" s="109">
        <f t="shared" si="7"/>
        <v>2077436.28</v>
      </c>
      <c r="FF4" s="109">
        <f t="shared" si="7"/>
        <v>2077436.28</v>
      </c>
      <c r="FG4" s="109">
        <f t="shared" si="7"/>
        <v>2077436.28</v>
      </c>
      <c r="FH4" s="109">
        <f t="shared" si="7"/>
        <v>2077436.28</v>
      </c>
      <c r="FI4" s="109">
        <f t="shared" si="7"/>
        <v>2077436.28</v>
      </c>
      <c r="FJ4" s="109">
        <f t="shared" si="7"/>
        <v>2077436.28</v>
      </c>
      <c r="FK4" s="109">
        <f t="shared" si="7"/>
        <v>2077436.28</v>
      </c>
      <c r="FL4" s="109">
        <f t="shared" si="7"/>
        <v>2077436.28</v>
      </c>
      <c r="FM4" s="109">
        <f t="shared" si="7"/>
        <v>2077436.28</v>
      </c>
      <c r="FN4" s="109">
        <f t="shared" si="7"/>
        <v>2077436.28</v>
      </c>
      <c r="FO4" s="109">
        <f t="shared" si="7"/>
        <v>2077436.28</v>
      </c>
      <c r="FP4" s="109">
        <f t="shared" si="7"/>
        <v>2077436.28</v>
      </c>
      <c r="FQ4" s="109">
        <f t="shared" si="7"/>
        <v>2077436.28</v>
      </c>
      <c r="FR4" s="109">
        <f t="shared" si="7"/>
        <v>2077436.28</v>
      </c>
      <c r="FS4" s="109">
        <f t="shared" si="7"/>
        <v>2077436.28</v>
      </c>
      <c r="FT4" s="109">
        <f t="shared" si="7"/>
        <v>2077436.28</v>
      </c>
      <c r="FU4" s="109">
        <f t="shared" si="7"/>
        <v>2077436.28</v>
      </c>
      <c r="FV4" s="109">
        <f t="shared" si="7"/>
        <v>2077436.28</v>
      </c>
      <c r="FW4" s="109">
        <f t="shared" si="7"/>
        <v>2077436.28</v>
      </c>
      <c r="FX4" s="109">
        <f t="shared" si="7"/>
        <v>2077436.28</v>
      </c>
      <c r="FY4" s="109">
        <f t="shared" si="7"/>
        <v>2077436.28</v>
      </c>
      <c r="FZ4" s="109">
        <f t="shared" si="7"/>
        <v>2077436.28</v>
      </c>
      <c r="GA4" s="109">
        <f t="shared" si="7"/>
        <v>2077436.28</v>
      </c>
      <c r="GB4" s="109">
        <f t="shared" si="7"/>
        <v>2077436.28</v>
      </c>
      <c r="GC4" s="109">
        <f t="shared" si="7"/>
        <v>2077436.28</v>
      </c>
      <c r="GD4" s="109">
        <f t="shared" si="7"/>
        <v>2077436.28</v>
      </c>
      <c r="GE4" s="109">
        <f t="shared" si="7"/>
        <v>2077436.28</v>
      </c>
      <c r="GF4" s="109">
        <f t="shared" si="7"/>
        <v>2077436.28</v>
      </c>
      <c r="GG4" s="109">
        <f t="shared" si="7"/>
        <v>2077436.28</v>
      </c>
      <c r="GH4" s="109">
        <f t="shared" si="7"/>
        <v>2077436.28</v>
      </c>
      <c r="GI4" s="109">
        <f t="shared" si="7"/>
        <v>2077436.28</v>
      </c>
      <c r="GJ4" s="109">
        <f t="shared" si="7"/>
        <v>2077436.28</v>
      </c>
      <c r="GK4" s="109">
        <f t="shared" si="7"/>
        <v>2077436.28</v>
      </c>
      <c r="GL4" s="109">
        <f t="shared" si="7"/>
        <v>2077436.28</v>
      </c>
      <c r="GM4" s="109">
        <f t="shared" si="7"/>
        <v>2077436.28</v>
      </c>
      <c r="GN4" s="109">
        <f t="shared" si="7"/>
        <v>2077436.28</v>
      </c>
      <c r="GO4" s="109">
        <f t="shared" si="7"/>
        <v>2077436.28</v>
      </c>
      <c r="GP4" s="109">
        <f t="shared" si="7"/>
        <v>2077436.28</v>
      </c>
      <c r="GQ4" s="109">
        <f t="shared" si="7"/>
        <v>2077436.28</v>
      </c>
      <c r="GR4" s="109">
        <f t="shared" si="7"/>
        <v>2077436.28</v>
      </c>
      <c r="GS4" s="109">
        <f t="shared" ref="GS4:JD4" si="8">GR4+GS3</f>
        <v>2077436.28</v>
      </c>
      <c r="GT4" s="109">
        <f t="shared" si="8"/>
        <v>2077436.28</v>
      </c>
      <c r="GU4" s="109">
        <f t="shared" si="8"/>
        <v>2077436.28</v>
      </c>
      <c r="GV4" s="109">
        <f t="shared" si="8"/>
        <v>2077436.28</v>
      </c>
      <c r="GW4" s="109">
        <f t="shared" si="8"/>
        <v>2077436.28</v>
      </c>
      <c r="GX4" s="109">
        <f t="shared" si="8"/>
        <v>2077436.28</v>
      </c>
      <c r="GY4" s="109">
        <f t="shared" si="8"/>
        <v>2077436.28</v>
      </c>
      <c r="GZ4" s="109">
        <f t="shared" si="8"/>
        <v>2077436.28</v>
      </c>
      <c r="HA4" s="109">
        <f t="shared" si="8"/>
        <v>2077436.28</v>
      </c>
      <c r="HB4" s="109">
        <f t="shared" si="8"/>
        <v>2077436.28</v>
      </c>
      <c r="HC4" s="109">
        <f t="shared" si="8"/>
        <v>2077436.28</v>
      </c>
      <c r="HD4" s="109">
        <f t="shared" si="8"/>
        <v>2077436.28</v>
      </c>
      <c r="HE4" s="109">
        <f t="shared" si="8"/>
        <v>2077436.28</v>
      </c>
      <c r="HF4" s="109">
        <f t="shared" si="8"/>
        <v>2077436.28</v>
      </c>
      <c r="HG4" s="109">
        <f t="shared" si="8"/>
        <v>2077436.28</v>
      </c>
      <c r="HH4" s="109">
        <f t="shared" si="8"/>
        <v>2077436.28</v>
      </c>
      <c r="HI4" s="109">
        <f t="shared" si="8"/>
        <v>2077436.28</v>
      </c>
      <c r="HJ4" s="109">
        <f t="shared" si="8"/>
        <v>2077436.28</v>
      </c>
      <c r="HK4" s="109">
        <f t="shared" si="8"/>
        <v>2077436.28</v>
      </c>
      <c r="HL4" s="109">
        <f t="shared" si="8"/>
        <v>2077436.28</v>
      </c>
      <c r="HM4" s="109">
        <f t="shared" si="8"/>
        <v>2077436.28</v>
      </c>
      <c r="HN4" s="109">
        <f t="shared" si="8"/>
        <v>2077436.28</v>
      </c>
      <c r="HO4" s="109">
        <f t="shared" si="8"/>
        <v>2077436.28</v>
      </c>
      <c r="HP4" s="109">
        <f t="shared" si="8"/>
        <v>2077436.28</v>
      </c>
      <c r="HQ4" s="109">
        <f t="shared" si="8"/>
        <v>2077436.28</v>
      </c>
      <c r="HR4" s="109">
        <f t="shared" si="8"/>
        <v>2077436.28</v>
      </c>
      <c r="HS4" s="109">
        <f t="shared" si="8"/>
        <v>2077436.28</v>
      </c>
      <c r="HT4" s="109">
        <f t="shared" si="8"/>
        <v>2077436.28</v>
      </c>
      <c r="HU4" s="109">
        <f t="shared" si="8"/>
        <v>2077436.28</v>
      </c>
      <c r="HV4" s="109">
        <f t="shared" si="8"/>
        <v>2077436.28</v>
      </c>
      <c r="HW4" s="109">
        <f t="shared" si="8"/>
        <v>2077436.28</v>
      </c>
      <c r="HX4" s="109">
        <f t="shared" si="8"/>
        <v>2077436.28</v>
      </c>
      <c r="HY4" s="109">
        <f t="shared" si="8"/>
        <v>2077436.28</v>
      </c>
      <c r="HZ4" s="109">
        <f t="shared" si="8"/>
        <v>2077436.28</v>
      </c>
      <c r="IA4" s="109">
        <f t="shared" si="8"/>
        <v>2077436.28</v>
      </c>
      <c r="IB4" s="109">
        <f t="shared" si="8"/>
        <v>2077436.28</v>
      </c>
      <c r="IC4" s="109">
        <f t="shared" si="8"/>
        <v>2077436.28</v>
      </c>
      <c r="ID4" s="109">
        <f t="shared" si="8"/>
        <v>2077436.28</v>
      </c>
      <c r="IE4" s="109">
        <f t="shared" si="8"/>
        <v>2077436.28</v>
      </c>
      <c r="IF4" s="109">
        <f t="shared" si="8"/>
        <v>2077436.28</v>
      </c>
      <c r="IG4" s="109">
        <f t="shared" si="8"/>
        <v>2077436.28</v>
      </c>
      <c r="IH4" s="109">
        <f t="shared" si="8"/>
        <v>2077436.28</v>
      </c>
      <c r="II4" s="109">
        <f t="shared" si="8"/>
        <v>2077436.28</v>
      </c>
      <c r="IJ4" s="109">
        <f t="shared" si="8"/>
        <v>2077436.28</v>
      </c>
      <c r="IK4" s="109">
        <f t="shared" si="8"/>
        <v>2077436.28</v>
      </c>
      <c r="IL4" s="109">
        <f t="shared" si="8"/>
        <v>2077436.28</v>
      </c>
      <c r="IM4" s="109">
        <f t="shared" si="8"/>
        <v>2077436.28</v>
      </c>
      <c r="IN4" s="109">
        <f t="shared" si="8"/>
        <v>2077436.28</v>
      </c>
      <c r="IO4" s="109">
        <f t="shared" si="8"/>
        <v>2077436.28</v>
      </c>
      <c r="IP4" s="109">
        <f t="shared" si="8"/>
        <v>2077436.28</v>
      </c>
      <c r="IQ4" s="109">
        <f t="shared" si="8"/>
        <v>2077436.28</v>
      </c>
      <c r="IR4" s="109">
        <f t="shared" si="8"/>
        <v>2077436.28</v>
      </c>
      <c r="IS4" s="109">
        <f t="shared" si="8"/>
        <v>2077436.28</v>
      </c>
      <c r="IT4" s="109">
        <f t="shared" si="8"/>
        <v>2077436.28</v>
      </c>
      <c r="IU4" s="109">
        <f t="shared" si="8"/>
        <v>2077436.28</v>
      </c>
      <c r="IV4" s="109">
        <f t="shared" si="8"/>
        <v>2077436.28</v>
      </c>
      <c r="IW4" s="109">
        <f t="shared" si="8"/>
        <v>2077436.28</v>
      </c>
      <c r="IX4" s="109">
        <f t="shared" si="8"/>
        <v>2077436.28</v>
      </c>
      <c r="IY4" s="109">
        <f t="shared" si="8"/>
        <v>2077436.28</v>
      </c>
      <c r="IZ4" s="109">
        <f t="shared" si="8"/>
        <v>2077436.28</v>
      </c>
      <c r="JA4" s="109">
        <f t="shared" si="8"/>
        <v>2077436.28</v>
      </c>
      <c r="JB4" s="109">
        <f t="shared" si="8"/>
        <v>2077436.28</v>
      </c>
      <c r="JC4" s="109">
        <f t="shared" si="8"/>
        <v>2077436.28</v>
      </c>
      <c r="JD4" s="109">
        <f t="shared" si="8"/>
        <v>2077436.28</v>
      </c>
      <c r="JE4" s="109">
        <f t="shared" ref="JE4:KF4" si="9">JD4+JE3</f>
        <v>2077436.28</v>
      </c>
      <c r="JF4" s="109">
        <f t="shared" si="9"/>
        <v>2077436.28</v>
      </c>
      <c r="JG4" s="109">
        <f t="shared" si="9"/>
        <v>2077436.28</v>
      </c>
      <c r="JH4" s="109">
        <f t="shared" si="9"/>
        <v>2077436.28</v>
      </c>
      <c r="JI4" s="109">
        <f t="shared" si="9"/>
        <v>2077436.28</v>
      </c>
      <c r="JJ4" s="109">
        <f t="shared" si="9"/>
        <v>2077436.28</v>
      </c>
      <c r="JK4" s="109">
        <f t="shared" si="9"/>
        <v>2077436.28</v>
      </c>
      <c r="JL4" s="109">
        <f t="shared" si="9"/>
        <v>2077436.28</v>
      </c>
      <c r="JM4" s="109">
        <f t="shared" si="9"/>
        <v>2077436.28</v>
      </c>
      <c r="JN4" s="109">
        <f t="shared" si="9"/>
        <v>2077436.28</v>
      </c>
      <c r="JO4" s="109">
        <f t="shared" si="9"/>
        <v>2077436.28</v>
      </c>
      <c r="JP4" s="109">
        <f t="shared" si="9"/>
        <v>2077436.28</v>
      </c>
      <c r="JQ4" s="109">
        <f t="shared" si="9"/>
        <v>2077436.28</v>
      </c>
      <c r="JR4" s="109">
        <f t="shared" si="9"/>
        <v>2077436.28</v>
      </c>
      <c r="JS4" s="109">
        <f t="shared" si="9"/>
        <v>2077436.28</v>
      </c>
      <c r="JT4" s="109">
        <f t="shared" si="9"/>
        <v>2077436.28</v>
      </c>
      <c r="JU4" s="109">
        <f t="shared" si="9"/>
        <v>2077436.28</v>
      </c>
      <c r="JV4" s="109">
        <f t="shared" si="9"/>
        <v>2077436.28</v>
      </c>
      <c r="JW4" s="109">
        <f t="shared" si="9"/>
        <v>2077436.28</v>
      </c>
      <c r="JX4" s="109">
        <f t="shared" si="9"/>
        <v>2077436.28</v>
      </c>
      <c r="JY4" s="109">
        <f t="shared" si="9"/>
        <v>2077436.28</v>
      </c>
      <c r="JZ4" s="109">
        <f t="shared" si="9"/>
        <v>2077436.28</v>
      </c>
      <c r="KA4" s="109">
        <f t="shared" si="9"/>
        <v>2077436.28</v>
      </c>
      <c r="KB4" s="109">
        <f t="shared" si="9"/>
        <v>2077436.28</v>
      </c>
      <c r="KC4" s="109">
        <f t="shared" si="9"/>
        <v>2077436.28</v>
      </c>
      <c r="KD4" s="109">
        <f t="shared" si="9"/>
        <v>2077436.28</v>
      </c>
      <c r="KE4" s="109">
        <f t="shared" si="9"/>
        <v>2077436.28</v>
      </c>
      <c r="KF4" s="109">
        <f t="shared" si="9"/>
        <v>2077436.28</v>
      </c>
    </row>
    <row r="5" spans="1:770" s="114" customFormat="1">
      <c r="A5" s="749"/>
      <c r="B5" s="110" t="s">
        <v>205</v>
      </c>
      <c r="C5" s="111">
        <f>'Revenue Tracking'!D5</f>
        <v>1702430.3199999998</v>
      </c>
      <c r="D5" s="111">
        <f>SUM(F5:KF5)</f>
        <v>1702430.3199999998</v>
      </c>
      <c r="E5" s="108"/>
      <c r="F5" s="112">
        <f>SUMIFS('Expenditure Breakdown'!$G$6:$G$173, 'Expenditure Breakdown'!$H$6:$H$173, "&gt;="&amp;F1,'Expenditure Breakdown'!$H$6:$H$173, "&lt;"&amp;G1)</f>
        <v>0</v>
      </c>
      <c r="G5" s="112">
        <f>SUMIFS('Expenditure Breakdown'!$G$6:$G$173, 'Expenditure Breakdown'!$H$6:$H$173, "&gt;="&amp;G1,'Expenditure Breakdown'!$H$6:$H$173, "&lt;"&amp;H1)</f>
        <v>0</v>
      </c>
      <c r="H5" s="112">
        <f>SUMIFS('Expenditure Breakdown'!$G$6:$G$173, 'Expenditure Breakdown'!$H$6:$H$173, "&gt;="&amp;H1,'Expenditure Breakdown'!$H$6:$H$173, "&lt;"&amp;I1)</f>
        <v>0</v>
      </c>
      <c r="I5" s="112">
        <f>SUMIFS('Expenditure Breakdown'!$G$6:$G$173, 'Expenditure Breakdown'!$H$6:$H$173, "&gt;="&amp;I1,'Expenditure Breakdown'!$H$6:$H$173, "&lt;"&amp;J1)</f>
        <v>0</v>
      </c>
      <c r="J5" s="112">
        <f>SUMIFS('Expenditure Breakdown'!$G$6:$G$173, 'Expenditure Breakdown'!$H$6:$H$173, "&gt;="&amp;J1,'Expenditure Breakdown'!$H$6:$H$173, "&lt;"&amp;K1)</f>
        <v>0</v>
      </c>
      <c r="K5" s="112">
        <f>SUMIFS('Expenditure Breakdown'!$G$6:$G$173, 'Expenditure Breakdown'!$H$6:$H$173, "&gt;="&amp;K1,'Expenditure Breakdown'!$H$6:$H$173, "&lt;"&amp;L1)</f>
        <v>0</v>
      </c>
      <c r="L5" s="112">
        <f>SUMIFS('Expenditure Breakdown'!$G$6:$G$173, 'Expenditure Breakdown'!$H$6:$H$173, "&gt;="&amp;L1,'Expenditure Breakdown'!$H$6:$H$173, "&lt;"&amp;M1)</f>
        <v>0</v>
      </c>
      <c r="M5" s="112">
        <f>SUMIFS('Expenditure Breakdown'!$G$6:$G$173, 'Expenditure Breakdown'!$H$6:$H$173, "&gt;="&amp;M1,'Expenditure Breakdown'!$H$6:$H$173, "&lt;"&amp;N1)</f>
        <v>0</v>
      </c>
      <c r="N5" s="112">
        <f>SUMIFS('Expenditure Breakdown'!$G$6:$G$173, 'Expenditure Breakdown'!$H$6:$H$173, "&gt;="&amp;N1,'Expenditure Breakdown'!$H$6:$H$173, "&lt;"&amp;O1)</f>
        <v>0</v>
      </c>
      <c r="O5" s="112">
        <f>SUMIFS('Expenditure Breakdown'!$G$6:$G$173, 'Expenditure Breakdown'!$H$6:$H$173, "&gt;="&amp;O1,'Expenditure Breakdown'!$H$6:$H$173, "&lt;"&amp;P1)</f>
        <v>0</v>
      </c>
      <c r="P5" s="112">
        <f>SUMIFS('Expenditure Breakdown'!$G$6:$G$173, 'Expenditure Breakdown'!$H$6:$H$173, "&gt;="&amp;P1,'Expenditure Breakdown'!$H$6:$H$173, "&lt;"&amp;Q1)</f>
        <v>0</v>
      </c>
      <c r="Q5" s="112">
        <f>SUMIFS('Expenditure Breakdown'!$G$6:$G$173, 'Expenditure Breakdown'!$H$6:$H$173, "&gt;="&amp;Q1,'Expenditure Breakdown'!$H$6:$H$173, "&lt;"&amp;R1)</f>
        <v>247198.35</v>
      </c>
      <c r="R5" s="112">
        <f>SUMIFS('Expenditure Breakdown'!$G$6:$G$173, 'Expenditure Breakdown'!$H$6:$H$173, "&gt;="&amp;R1,'Expenditure Breakdown'!$H$6:$H$173, "&lt;"&amp;S1)</f>
        <v>223330</v>
      </c>
      <c r="S5" s="112">
        <f>SUMIFS('Expenditure Breakdown'!$G$6:$G$173, 'Expenditure Breakdown'!$H$6:$H$173, "&gt;="&amp;S1,'Expenditure Breakdown'!$H$6:$H$173, "&lt;"&amp;T1)</f>
        <v>381286.82</v>
      </c>
      <c r="T5" s="112">
        <f>SUMIFS('Expenditure Breakdown'!$G$6:$G$173, 'Expenditure Breakdown'!$H$6:$H$173, "&gt;="&amp;T1,'Expenditure Breakdown'!$H$6:$H$173, "&lt;"&amp;U1)</f>
        <v>25338.65</v>
      </c>
      <c r="U5" s="112">
        <f>SUMIFS('Expenditure Breakdown'!$G$6:$G$173, 'Expenditure Breakdown'!$H$6:$H$173, "&gt;="&amp;U1,'Expenditure Breakdown'!$H$6:$H$173, "&lt;"&amp;V1)</f>
        <v>0</v>
      </c>
      <c r="V5" s="112">
        <f>SUMIFS('Expenditure Breakdown'!$G$6:$G$173, 'Expenditure Breakdown'!$H$6:$H$173, "&gt;="&amp;V1,'Expenditure Breakdown'!$H$6:$H$173, "&lt;"&amp;W1)</f>
        <v>0</v>
      </c>
      <c r="W5" s="112">
        <f>SUMIFS('Expenditure Breakdown'!$G$6:$G$173, 'Expenditure Breakdown'!$H$6:$H$173, "&gt;="&amp;W1,'Expenditure Breakdown'!$H$6:$H$173, "&lt;"&amp;X1)</f>
        <v>0</v>
      </c>
      <c r="X5" s="112">
        <f>SUMIFS('Expenditure Breakdown'!$G$6:$G$173, 'Expenditure Breakdown'!$H$6:$H$173, "&gt;="&amp;X1,'Expenditure Breakdown'!$H$6:$H$173, "&lt;"&amp;Y1)</f>
        <v>825276.5</v>
      </c>
      <c r="Y5" s="112">
        <f>SUMIFS('Expenditure Breakdown'!$G$6:$G$173, 'Expenditure Breakdown'!$H$6:$H$173, "&gt;="&amp;Y1,'Expenditure Breakdown'!$H$6:$H$173, "&lt;"&amp;Z1)</f>
        <v>0</v>
      </c>
      <c r="Z5" s="112">
        <f>SUMIFS('Expenditure Breakdown'!$G$6:$G$173, 'Expenditure Breakdown'!$H$6:$H$173, "&gt;="&amp;Z1,'Expenditure Breakdown'!$H$6:$H$173, "&lt;"&amp;AA1)</f>
        <v>0</v>
      </c>
      <c r="AA5" s="112">
        <f>SUMIFS('Expenditure Breakdown'!$G$6:$G$173, 'Expenditure Breakdown'!$H$6:$H$173, "&gt;="&amp;AA1,'Expenditure Breakdown'!$H$6:$H$173, "&lt;"&amp;AB1)</f>
        <v>0</v>
      </c>
      <c r="AB5" s="112">
        <f>SUMIFS('Expenditure Breakdown'!$G$6:$G$173, 'Expenditure Breakdown'!$H$6:$H$173, "&gt;="&amp;AB1,'Expenditure Breakdown'!$H$6:$H$173, "&lt;"&amp;AC1)</f>
        <v>0</v>
      </c>
      <c r="AC5" s="112">
        <f>SUMIFS('Expenditure Breakdown'!$G$6:$G$173, 'Expenditure Breakdown'!$H$6:$H$173, "&gt;="&amp;AC1,'Expenditure Breakdown'!$H$6:$H$173, "&lt;"&amp;AD1)</f>
        <v>0</v>
      </c>
      <c r="AD5" s="112">
        <f>SUMIFS('Expenditure Breakdown'!$G$6:$G$173, 'Expenditure Breakdown'!$H$6:$H$173, "&gt;="&amp;AD1,'Expenditure Breakdown'!$H$6:$H$173, "&lt;"&amp;AE1)</f>
        <v>0</v>
      </c>
      <c r="AE5" s="112">
        <f>SUMIFS('Expenditure Breakdown'!$G$6:$G$173, 'Expenditure Breakdown'!$H$6:$H$173, "&gt;="&amp;AE1,'Expenditure Breakdown'!$H$6:$H$173, "&lt;"&amp;AF1)</f>
        <v>0</v>
      </c>
      <c r="AF5" s="112">
        <f>SUMIFS('Expenditure Breakdown'!$G$6:$G$173, 'Expenditure Breakdown'!$H$6:$H$173, "&gt;="&amp;AF1,'Expenditure Breakdown'!$H$6:$H$173, "&lt;"&amp;AG1)</f>
        <v>0</v>
      </c>
      <c r="AG5" s="112">
        <f>SUMIFS('Expenditure Breakdown'!$G$6:$G$173, 'Expenditure Breakdown'!$H$6:$H$173, "&gt;="&amp;AG1,'Expenditure Breakdown'!$H$6:$H$173, "&lt;"&amp;AH1)</f>
        <v>0</v>
      </c>
      <c r="AH5" s="112">
        <f>SUMIFS('Expenditure Breakdown'!$G$6:$G$173, 'Expenditure Breakdown'!$H$6:$H$173, "&gt;="&amp;AH1,'Expenditure Breakdown'!$H$6:$H$173, "&lt;"&amp;AI1)</f>
        <v>0</v>
      </c>
      <c r="AI5" s="112">
        <f>SUMIFS('Expenditure Breakdown'!$G$6:$G$173, 'Expenditure Breakdown'!$H$6:$H$173, "&gt;="&amp;AI1,'Expenditure Breakdown'!$H$6:$H$173, "&lt;"&amp;AJ1)</f>
        <v>0</v>
      </c>
      <c r="AJ5" s="112">
        <f>SUMIFS('Expenditure Breakdown'!$G$6:$G$173, 'Expenditure Breakdown'!$H$6:$H$173, "&gt;="&amp;AJ1,'Expenditure Breakdown'!$H$6:$H$173, "&lt;"&amp;AK1)</f>
        <v>0</v>
      </c>
      <c r="AK5" s="112">
        <f>SUMIFS('Expenditure Breakdown'!$G$6:$G$173, 'Expenditure Breakdown'!$H$6:$H$173, "&gt;="&amp;AK1,'Expenditure Breakdown'!$H$6:$H$173, "&lt;"&amp;AL1)</f>
        <v>0</v>
      </c>
      <c r="AL5" s="112">
        <f>SUMIFS('Expenditure Breakdown'!$G$6:$G$173, 'Expenditure Breakdown'!$H$6:$H$173, "&gt;="&amp;AL1,'Expenditure Breakdown'!$H$6:$H$173, "&lt;"&amp;AM1)</f>
        <v>0</v>
      </c>
      <c r="AM5" s="112">
        <f>SUMIFS('Expenditure Breakdown'!$G$6:$G$173, 'Expenditure Breakdown'!$H$6:$H$173, "&gt;="&amp;AM1,'Expenditure Breakdown'!$H$6:$H$173, "&lt;"&amp;AN1)</f>
        <v>0</v>
      </c>
      <c r="AN5" s="112">
        <f>SUMIFS('Expenditure Breakdown'!$G$6:$G$173, 'Expenditure Breakdown'!$H$6:$H$173, "&gt;="&amp;AN1,'Expenditure Breakdown'!$H$6:$H$173, "&lt;"&amp;AO1)</f>
        <v>0</v>
      </c>
      <c r="AO5" s="112">
        <f>SUMIFS('Expenditure Breakdown'!$G$6:$G$173, 'Expenditure Breakdown'!$H$6:$H$173, "&gt;="&amp;AO1,'Expenditure Breakdown'!$H$6:$H$173, "&lt;"&amp;AP1)</f>
        <v>0</v>
      </c>
      <c r="AP5" s="112">
        <f>SUMIFS('Expenditure Breakdown'!$G$6:$G$173, 'Expenditure Breakdown'!$H$6:$H$173, "&gt;="&amp;AP1,'Expenditure Breakdown'!$H$6:$H$173, "&lt;"&amp;AQ1)</f>
        <v>0</v>
      </c>
      <c r="AQ5" s="112">
        <f>SUMIFS('Expenditure Breakdown'!$G$6:$G$173, 'Expenditure Breakdown'!$H$6:$H$173, "&gt;="&amp;AQ1,'Expenditure Breakdown'!$H$6:$H$173, "&lt;"&amp;AR1)</f>
        <v>0</v>
      </c>
      <c r="AR5" s="112">
        <f>SUMIFS('Expenditure Breakdown'!$G$6:$G$173, 'Expenditure Breakdown'!$H$6:$H$173, "&gt;="&amp;AR1,'Expenditure Breakdown'!$H$6:$H$173, "&lt;"&amp;AS1)</f>
        <v>0</v>
      </c>
      <c r="AS5" s="112">
        <f>SUMIFS('Expenditure Breakdown'!$G$6:$G$173, 'Expenditure Breakdown'!$H$6:$H$173, "&gt;="&amp;AS1,'Expenditure Breakdown'!$H$6:$H$173, "&lt;"&amp;AT1)</f>
        <v>0</v>
      </c>
      <c r="AT5" s="112">
        <f>SUMIFS('Expenditure Breakdown'!$G$6:$G$173, 'Expenditure Breakdown'!$H$6:$H$173, "&gt;="&amp;AT1,'Expenditure Breakdown'!$H$6:$H$173, "&lt;"&amp;AU1)</f>
        <v>0</v>
      </c>
      <c r="AU5" s="112">
        <f>SUMIFS('Expenditure Breakdown'!$G$6:$G$173, 'Expenditure Breakdown'!$H$6:$H$173, "&gt;="&amp;AU1,'Expenditure Breakdown'!$H$6:$H$173, "&lt;"&amp;AV1)</f>
        <v>0</v>
      </c>
      <c r="AV5" s="112">
        <f>SUMIFS('Expenditure Breakdown'!$G$6:$G$173, 'Expenditure Breakdown'!$H$6:$H$173, "&gt;="&amp;AV1,'Expenditure Breakdown'!$H$6:$H$173, "&lt;"&amp;AW1)</f>
        <v>0</v>
      </c>
      <c r="AW5" s="112">
        <f>SUMIFS('Expenditure Breakdown'!$G$6:$G$173, 'Expenditure Breakdown'!$H$6:$H$173, "&gt;="&amp;AW1,'Expenditure Breakdown'!$H$6:$H$173, "&lt;"&amp;AX1)</f>
        <v>0</v>
      </c>
      <c r="AX5" s="112">
        <f>SUMIFS('Expenditure Breakdown'!$G$6:$G$173, 'Expenditure Breakdown'!$H$6:$H$173, "&gt;="&amp;AX1,'Expenditure Breakdown'!$H$6:$H$173, "&lt;"&amp;AY1)</f>
        <v>0</v>
      </c>
      <c r="AY5" s="112">
        <f>SUMIFS('Expenditure Breakdown'!$G$6:$G$173, 'Expenditure Breakdown'!$H$6:$H$173, "&gt;="&amp;AY1,'Expenditure Breakdown'!$H$6:$H$173, "&lt;"&amp;AZ1)</f>
        <v>0</v>
      </c>
      <c r="AZ5" s="112">
        <f>SUMIFS('Expenditure Breakdown'!$G$6:$G$173, 'Expenditure Breakdown'!$H$6:$H$173, "&gt;="&amp;AZ1,'Expenditure Breakdown'!$H$6:$H$173, "&lt;"&amp;BA1)</f>
        <v>0</v>
      </c>
      <c r="BA5" s="112">
        <f>SUMIFS('Expenditure Breakdown'!$G$6:$G$173, 'Expenditure Breakdown'!$H$6:$H$173, "&gt;="&amp;BA1,'Expenditure Breakdown'!$H$6:$H$173, "&lt;"&amp;BB1)</f>
        <v>0</v>
      </c>
      <c r="BB5" s="112">
        <f>SUMIFS('Expenditure Breakdown'!$G$6:$G$173, 'Expenditure Breakdown'!$H$6:$H$173, "&gt;="&amp;BB1,'Expenditure Breakdown'!$H$6:$H$173, "&lt;"&amp;BC1)</f>
        <v>0</v>
      </c>
      <c r="BC5" s="112">
        <f>SUMIFS('Expenditure Breakdown'!$G$6:$G$173, 'Expenditure Breakdown'!$H$6:$H$173, "&gt;="&amp;BC1,'Expenditure Breakdown'!$H$6:$H$173, "&lt;"&amp;BD1)</f>
        <v>0</v>
      </c>
      <c r="BD5" s="112">
        <f>SUMIFS('Expenditure Breakdown'!$G$6:$G$173, 'Expenditure Breakdown'!$H$6:$H$173, "&gt;="&amp;BD1,'Expenditure Breakdown'!$H$6:$H$173, "&lt;"&amp;BE1)</f>
        <v>0</v>
      </c>
      <c r="BE5" s="112">
        <f>SUMIFS('Expenditure Breakdown'!$G$6:$G$173, 'Expenditure Breakdown'!$H$6:$H$173, "&gt;="&amp;BE1,'Expenditure Breakdown'!$H$6:$H$173, "&lt;"&amp;BF1)</f>
        <v>0</v>
      </c>
      <c r="BF5" s="112">
        <f>SUMIFS('Expenditure Breakdown'!$G$6:$G$173, 'Expenditure Breakdown'!$H$6:$H$173, "&gt;="&amp;BF1,'Expenditure Breakdown'!$H$6:$H$173, "&lt;"&amp;BG1)</f>
        <v>0</v>
      </c>
      <c r="BG5" s="112">
        <f>SUMIFS('Expenditure Breakdown'!$G$6:$G$173, 'Expenditure Breakdown'!$H$6:$H$173, "&gt;="&amp;BG1,'Expenditure Breakdown'!$H$6:$H$173, "&lt;"&amp;BH1)</f>
        <v>0</v>
      </c>
      <c r="BH5" s="112">
        <f>SUMIFS('Expenditure Breakdown'!$G$6:$G$173, 'Expenditure Breakdown'!$H$6:$H$173, "&gt;="&amp;BH1,'Expenditure Breakdown'!$H$6:$H$173, "&lt;"&amp;BI1)</f>
        <v>0</v>
      </c>
      <c r="BI5" s="112">
        <f>SUMIFS('Expenditure Breakdown'!$G$6:$G$173, 'Expenditure Breakdown'!$H$6:$H$173, "&gt;="&amp;BI1,'Expenditure Breakdown'!$H$6:$H$173, "&lt;"&amp;BJ1)</f>
        <v>0</v>
      </c>
      <c r="BJ5" s="112">
        <f>SUMIFS('Expenditure Breakdown'!$G$6:$G$173, 'Expenditure Breakdown'!$H$6:$H$173, "&gt;="&amp;BJ1,'Expenditure Breakdown'!$H$6:$H$173, "&lt;"&amp;BK1)</f>
        <v>0</v>
      </c>
      <c r="BK5" s="112">
        <f>SUMIFS('Expenditure Breakdown'!$G$6:$G$173, 'Expenditure Breakdown'!$H$6:$H$173, "&gt;="&amp;BK1,'Expenditure Breakdown'!$H$6:$H$173, "&lt;"&amp;BL1)</f>
        <v>0</v>
      </c>
      <c r="BL5" s="112">
        <f>SUMIFS('Expenditure Breakdown'!$G$6:$G$173, 'Expenditure Breakdown'!$H$6:$H$173, "&gt;="&amp;BL1,'Expenditure Breakdown'!$H$6:$H$173, "&lt;"&amp;BM1)</f>
        <v>0</v>
      </c>
      <c r="BM5" s="112">
        <f>SUMIFS('Expenditure Breakdown'!$G$6:$G$173, 'Expenditure Breakdown'!$H$6:$H$173, "&gt;="&amp;BM1,'Expenditure Breakdown'!$H$6:$H$173, "&lt;"&amp;BN1)</f>
        <v>0</v>
      </c>
      <c r="BN5" s="112">
        <f>SUMIFS('Expenditure Breakdown'!$G$6:$G$173, 'Expenditure Breakdown'!$H$6:$H$173, "&gt;="&amp;BN1,'Expenditure Breakdown'!$H$6:$H$173, "&lt;"&amp;BO1)</f>
        <v>0</v>
      </c>
      <c r="BO5" s="112">
        <f>SUMIFS('Expenditure Breakdown'!$G$6:$G$173, 'Expenditure Breakdown'!$H$6:$H$173, "&gt;="&amp;BO1,'Expenditure Breakdown'!$H$6:$H$173, "&lt;"&amp;BP1)</f>
        <v>0</v>
      </c>
      <c r="BP5" s="112">
        <f>SUMIFS('Expenditure Breakdown'!$G$6:$G$173, 'Expenditure Breakdown'!$H$6:$H$173, "&gt;="&amp;BP1,'Expenditure Breakdown'!$H$6:$H$173, "&lt;"&amp;BQ1)</f>
        <v>0</v>
      </c>
      <c r="BQ5" s="112">
        <f>SUMIFS('Expenditure Breakdown'!$G$6:$G$173, 'Expenditure Breakdown'!$H$6:$H$173, "&gt;="&amp;BQ1,'Expenditure Breakdown'!$H$6:$H$173, "&lt;"&amp;BR1)</f>
        <v>0</v>
      </c>
      <c r="BR5" s="112">
        <f>SUMIFS('Expenditure Breakdown'!$G$6:$G$173, 'Expenditure Breakdown'!$H$6:$H$173, "&gt;="&amp;BR1,'Expenditure Breakdown'!$H$6:$H$173, "&lt;"&amp;BS1)</f>
        <v>0</v>
      </c>
      <c r="BS5" s="112">
        <f>SUMIFS('Expenditure Breakdown'!$G$6:$G$173, 'Expenditure Breakdown'!$H$6:$H$173, "&gt;="&amp;BS1,'Expenditure Breakdown'!$H$6:$H$173, "&lt;"&amp;BT1)</f>
        <v>0</v>
      </c>
      <c r="BT5" s="112">
        <f>SUMIFS('Expenditure Breakdown'!$G$6:$G$173, 'Expenditure Breakdown'!$H$6:$H$173, "&gt;="&amp;BT1,'Expenditure Breakdown'!$H$6:$H$173, "&lt;"&amp;BU1)</f>
        <v>0</v>
      </c>
      <c r="BU5" s="112">
        <f>SUMIFS('Expenditure Breakdown'!$G$6:$G$173, 'Expenditure Breakdown'!$H$6:$H$173, "&gt;="&amp;BU1,'Expenditure Breakdown'!$H$6:$H$173, "&lt;"&amp;BV1)</f>
        <v>0</v>
      </c>
      <c r="BV5" s="112">
        <f>SUMIFS('Expenditure Breakdown'!$G$6:$G$173, 'Expenditure Breakdown'!$H$6:$H$173, "&gt;="&amp;BV1,'Expenditure Breakdown'!$H$6:$H$173, "&lt;"&amp;BW1)</f>
        <v>0</v>
      </c>
      <c r="BW5" s="112">
        <f>SUMIFS('Expenditure Breakdown'!$G$6:$G$173, 'Expenditure Breakdown'!$H$6:$H$173, "&gt;="&amp;BW1,'Expenditure Breakdown'!$H$6:$H$173, "&lt;"&amp;BX1)</f>
        <v>0</v>
      </c>
      <c r="BX5" s="112">
        <f>SUMIFS('Expenditure Breakdown'!$G$6:$G$173, 'Expenditure Breakdown'!$H$6:$H$173, "&gt;="&amp;BX1,'Expenditure Breakdown'!$H$6:$H$173, "&lt;"&amp;BY1)</f>
        <v>0</v>
      </c>
      <c r="BY5" s="112">
        <f>SUMIFS('Expenditure Breakdown'!$G$6:$G$173, 'Expenditure Breakdown'!$H$6:$H$173, "&gt;="&amp;BY1,'Expenditure Breakdown'!$H$6:$H$173, "&lt;"&amp;BZ1)</f>
        <v>0</v>
      </c>
      <c r="BZ5" s="112">
        <f>SUMIFS('Expenditure Breakdown'!$G$6:$G$173, 'Expenditure Breakdown'!$H$6:$H$173, "&gt;="&amp;BZ1,'Expenditure Breakdown'!$H$6:$H$173, "&lt;"&amp;CA1)</f>
        <v>0</v>
      </c>
      <c r="CA5" s="112">
        <f>SUMIFS('Expenditure Breakdown'!$G$6:$G$173, 'Expenditure Breakdown'!$H$6:$H$173, "&gt;="&amp;CA1,'Expenditure Breakdown'!$H$6:$H$173, "&lt;"&amp;CB1)</f>
        <v>0</v>
      </c>
      <c r="CB5" s="112">
        <f>SUMIFS('Expenditure Breakdown'!$G$6:$G$173, 'Expenditure Breakdown'!$H$6:$H$173, "&gt;="&amp;CB1,'Expenditure Breakdown'!$H$6:$H$173, "&lt;"&amp;CC1)</f>
        <v>0</v>
      </c>
      <c r="CC5" s="112">
        <f>SUMIFS('Expenditure Breakdown'!$G$6:$G$173, 'Expenditure Breakdown'!$H$6:$H$173, "&gt;="&amp;CC1,'Expenditure Breakdown'!$H$6:$H$173, "&lt;"&amp;CD1)</f>
        <v>0</v>
      </c>
      <c r="CD5" s="112">
        <f>SUMIFS('Expenditure Breakdown'!$G$6:$G$173, 'Expenditure Breakdown'!$H$6:$H$173, "&gt;="&amp;CD1,'Expenditure Breakdown'!$H$6:$H$173, "&lt;"&amp;CE1)</f>
        <v>0</v>
      </c>
      <c r="CE5" s="112">
        <f>SUMIFS('Expenditure Breakdown'!$G$6:$G$173, 'Expenditure Breakdown'!$H$6:$H$173, "&gt;="&amp;CE1,'Expenditure Breakdown'!$H$6:$H$173, "&lt;"&amp;CF1)</f>
        <v>0</v>
      </c>
      <c r="CF5" s="112">
        <f>SUMIFS('Expenditure Breakdown'!$G$6:$G$173, 'Expenditure Breakdown'!$H$6:$H$173, "&gt;="&amp;CF1,'Expenditure Breakdown'!$H$6:$H$173, "&lt;"&amp;CG1)</f>
        <v>0</v>
      </c>
      <c r="CG5" s="112">
        <f>SUMIFS('Expenditure Breakdown'!$G$6:$G$173, 'Expenditure Breakdown'!$H$6:$H$173, "&gt;="&amp;CG1,'Expenditure Breakdown'!$H$6:$H$173, "&lt;"&amp;CH1)</f>
        <v>0</v>
      </c>
      <c r="CH5" s="112">
        <f>SUMIFS('Expenditure Breakdown'!$G$6:$G$173, 'Expenditure Breakdown'!$H$6:$H$173, "&gt;="&amp;CH1,'Expenditure Breakdown'!$H$6:$H$173, "&lt;"&amp;CI1)</f>
        <v>0</v>
      </c>
      <c r="CI5" s="112">
        <f>SUMIFS('Expenditure Breakdown'!$G$6:$G$173, 'Expenditure Breakdown'!$H$6:$H$173, "&gt;="&amp;CI1,'Expenditure Breakdown'!$H$6:$H$173, "&lt;"&amp;CJ1)</f>
        <v>0</v>
      </c>
      <c r="CJ5" s="112">
        <f>SUMIFS('Expenditure Breakdown'!$G$6:$G$173, 'Expenditure Breakdown'!$H$6:$H$173, "&gt;="&amp;CJ1,'Expenditure Breakdown'!$H$6:$H$173, "&lt;"&amp;CK1)</f>
        <v>0</v>
      </c>
      <c r="CK5" s="112">
        <f>SUMIFS('Expenditure Breakdown'!$G$6:$G$173, 'Expenditure Breakdown'!$H$6:$H$173, "&gt;="&amp;CK1,'Expenditure Breakdown'!$H$6:$H$173, "&lt;"&amp;CL1)</f>
        <v>0</v>
      </c>
      <c r="CL5" s="112">
        <f>SUMIFS('Expenditure Breakdown'!$G$6:$G$173, 'Expenditure Breakdown'!$H$6:$H$173, "&gt;="&amp;CL1,'Expenditure Breakdown'!$H$6:$H$173, "&lt;"&amp;CM1)</f>
        <v>0</v>
      </c>
      <c r="CM5" s="112">
        <f>SUMIFS('Expenditure Breakdown'!$G$6:$G$173, 'Expenditure Breakdown'!$H$6:$H$173, "&gt;="&amp;CM1,'Expenditure Breakdown'!$H$6:$H$173, "&lt;"&amp;CN1)</f>
        <v>0</v>
      </c>
      <c r="CN5" s="112">
        <f>SUMIFS('Expenditure Breakdown'!$G$6:$G$173, 'Expenditure Breakdown'!$H$6:$H$173, "&gt;="&amp;CN1,'Expenditure Breakdown'!$H$6:$H$173, "&lt;"&amp;CO1)</f>
        <v>0</v>
      </c>
      <c r="CO5" s="112">
        <f>SUMIFS('Expenditure Breakdown'!$G$6:$G$173, 'Expenditure Breakdown'!$H$6:$H$173, "&gt;="&amp;CO1,'Expenditure Breakdown'!$H$6:$H$173, "&lt;"&amp;CP1)</f>
        <v>0</v>
      </c>
      <c r="CP5" s="112">
        <f>SUMIFS('Expenditure Breakdown'!$G$6:$G$173, 'Expenditure Breakdown'!$H$6:$H$173, "&gt;="&amp;CP1,'Expenditure Breakdown'!$H$6:$H$173, "&lt;"&amp;CQ1)</f>
        <v>0</v>
      </c>
      <c r="CQ5" s="112">
        <f>SUMIFS('Expenditure Breakdown'!$G$6:$G$173, 'Expenditure Breakdown'!$H$6:$H$173, "&gt;="&amp;CQ1,'Expenditure Breakdown'!$H$6:$H$173, "&lt;"&amp;CR1)</f>
        <v>0</v>
      </c>
      <c r="CR5" s="112">
        <f>SUMIFS('Expenditure Breakdown'!$G$6:$G$173, 'Expenditure Breakdown'!$H$6:$H$173, "&gt;="&amp;CR1,'Expenditure Breakdown'!$H$6:$H$173, "&lt;"&amp;CS1)</f>
        <v>0</v>
      </c>
      <c r="CS5" s="112">
        <f>SUMIFS('Expenditure Breakdown'!$G$6:$G$173, 'Expenditure Breakdown'!$H$6:$H$173, "&gt;="&amp;CS1,'Expenditure Breakdown'!$H$6:$H$173, "&lt;"&amp;CT1)</f>
        <v>0</v>
      </c>
      <c r="CT5" s="112">
        <f>SUMIFS('Expenditure Breakdown'!$G$6:$G$173, 'Expenditure Breakdown'!$H$6:$H$173, "&gt;="&amp;CT1,'Expenditure Breakdown'!$H$6:$H$173, "&lt;"&amp;CU1)</f>
        <v>0</v>
      </c>
      <c r="CU5" s="112">
        <f>SUMIFS('Expenditure Breakdown'!$G$6:$G$173, 'Expenditure Breakdown'!$H$6:$H$173, "&gt;="&amp;CU1,'Expenditure Breakdown'!$H$6:$H$173, "&lt;"&amp;CV1)</f>
        <v>0</v>
      </c>
      <c r="CV5" s="112">
        <f>SUMIFS('Expenditure Breakdown'!$G$6:$G$173, 'Expenditure Breakdown'!$H$6:$H$173, "&gt;="&amp;CV1,'Expenditure Breakdown'!$H$6:$H$173, "&lt;"&amp;CW1)</f>
        <v>0</v>
      </c>
      <c r="CW5" s="112">
        <f>SUMIFS('Expenditure Breakdown'!$G$6:$G$173, 'Expenditure Breakdown'!$H$6:$H$173, "&gt;="&amp;CW1,'Expenditure Breakdown'!$H$6:$H$173, "&lt;"&amp;CX1)</f>
        <v>0</v>
      </c>
      <c r="CX5" s="112">
        <f>SUMIFS('Expenditure Breakdown'!$G$6:$G$173, 'Expenditure Breakdown'!$H$6:$H$173, "&gt;="&amp;CX1,'Expenditure Breakdown'!$H$6:$H$173, "&lt;"&amp;CY1)</f>
        <v>0</v>
      </c>
      <c r="CY5" s="112">
        <f>SUMIFS('Expenditure Breakdown'!$G$6:$G$173, 'Expenditure Breakdown'!$H$6:$H$173, "&gt;="&amp;CY1,'Expenditure Breakdown'!$H$6:$H$173, "&lt;"&amp;CZ1)</f>
        <v>0</v>
      </c>
      <c r="CZ5" s="112">
        <f>SUMIFS('Expenditure Breakdown'!$G$6:$G$173, 'Expenditure Breakdown'!$H$6:$H$173, "&gt;="&amp;CZ1,'Expenditure Breakdown'!$H$6:$H$173, "&lt;"&amp;DA1)</f>
        <v>0</v>
      </c>
      <c r="DA5" s="112">
        <f>SUMIFS('Expenditure Breakdown'!$G$6:$G$173, 'Expenditure Breakdown'!$H$6:$H$173, "&gt;="&amp;DA1,'Expenditure Breakdown'!$H$6:$H$173, "&lt;"&amp;DB1)</f>
        <v>0</v>
      </c>
      <c r="DB5" s="112">
        <f>SUMIFS('Expenditure Breakdown'!$G$6:$G$173, 'Expenditure Breakdown'!$H$6:$H$173, "&gt;="&amp;DB1,'Expenditure Breakdown'!$H$6:$H$173, "&lt;"&amp;DC1)</f>
        <v>0</v>
      </c>
      <c r="DC5" s="112">
        <f>SUMIFS('Expenditure Breakdown'!$G$6:$G$173, 'Expenditure Breakdown'!$H$6:$H$173, "&gt;="&amp;DC1,'Expenditure Breakdown'!$H$6:$H$173, "&lt;"&amp;DD1)</f>
        <v>0</v>
      </c>
      <c r="DD5" s="112">
        <f>SUMIFS('Expenditure Breakdown'!$G$6:$G$173, 'Expenditure Breakdown'!$H$6:$H$173, "&gt;="&amp;DD1,'Expenditure Breakdown'!$H$6:$H$173, "&lt;"&amp;DE1)</f>
        <v>0</v>
      </c>
      <c r="DE5" s="112">
        <f>SUMIFS('Expenditure Breakdown'!$G$6:$G$173, 'Expenditure Breakdown'!$H$6:$H$173, "&gt;="&amp;DE1,'Expenditure Breakdown'!$H$6:$H$173, "&lt;"&amp;DF1)</f>
        <v>0</v>
      </c>
      <c r="DF5" s="112">
        <f>SUMIFS('Expenditure Breakdown'!$G$6:$G$173, 'Expenditure Breakdown'!$H$6:$H$173, "&gt;="&amp;DF1,'Expenditure Breakdown'!$H$6:$H$173, "&lt;"&amp;DG1)</f>
        <v>0</v>
      </c>
      <c r="DG5" s="112">
        <f>SUMIFS('Expenditure Breakdown'!$G$6:$G$173, 'Expenditure Breakdown'!$H$6:$H$173, "&gt;="&amp;DG1,'Expenditure Breakdown'!$H$6:$H$173, "&lt;"&amp;DH1)</f>
        <v>0</v>
      </c>
      <c r="DH5" s="112">
        <f>SUMIFS('Expenditure Breakdown'!$G$6:$G$173, 'Expenditure Breakdown'!$H$6:$H$173, "&gt;="&amp;DH1,'Expenditure Breakdown'!$H$6:$H$173, "&lt;"&amp;DI1)</f>
        <v>0</v>
      </c>
      <c r="DI5" s="112">
        <f>SUMIFS('Expenditure Breakdown'!$G$6:$G$173, 'Expenditure Breakdown'!$H$6:$H$173, "&gt;="&amp;DI1,'Expenditure Breakdown'!$H$6:$H$173, "&lt;"&amp;DJ1)</f>
        <v>0</v>
      </c>
      <c r="DJ5" s="112">
        <f>SUMIFS('Expenditure Breakdown'!$G$6:$G$173, 'Expenditure Breakdown'!$H$6:$H$173, "&gt;="&amp;DJ1,'Expenditure Breakdown'!$H$6:$H$173, "&lt;"&amp;DK1)</f>
        <v>0</v>
      </c>
      <c r="DK5" s="112">
        <f>SUMIFS('Expenditure Breakdown'!$G$6:$G$173, 'Expenditure Breakdown'!$H$6:$H$173, "&gt;="&amp;DK1,'Expenditure Breakdown'!$H$6:$H$173, "&lt;"&amp;DL1)</f>
        <v>0</v>
      </c>
      <c r="DL5" s="112">
        <f>SUMIFS('Expenditure Breakdown'!$G$6:$G$173, 'Expenditure Breakdown'!$H$6:$H$173, "&gt;="&amp;DL1,'Expenditure Breakdown'!$H$6:$H$173, "&lt;"&amp;DM1)</f>
        <v>0</v>
      </c>
      <c r="DM5" s="112">
        <f>SUMIFS('Expenditure Breakdown'!$G$6:$G$173, 'Expenditure Breakdown'!$H$6:$H$173, "&gt;="&amp;DM1,'Expenditure Breakdown'!$H$6:$H$173, "&lt;"&amp;DN1)</f>
        <v>0</v>
      </c>
      <c r="DN5" s="112">
        <f>SUMIFS('Expenditure Breakdown'!$G$6:$G$173, 'Expenditure Breakdown'!$H$6:$H$173, "&gt;="&amp;DN1,'Expenditure Breakdown'!$H$6:$H$173, "&lt;"&amp;DO1)</f>
        <v>0</v>
      </c>
      <c r="DO5" s="112">
        <f>SUMIFS('Expenditure Breakdown'!$G$6:$G$173, 'Expenditure Breakdown'!$H$6:$H$173, "&gt;="&amp;DO1,'Expenditure Breakdown'!$H$6:$H$173, "&lt;"&amp;DP1)</f>
        <v>0</v>
      </c>
      <c r="DP5" s="112">
        <f>SUMIFS('Expenditure Breakdown'!$G$6:$G$173, 'Expenditure Breakdown'!$H$6:$H$173, "&gt;="&amp;DP1,'Expenditure Breakdown'!$H$6:$H$173, "&lt;"&amp;DQ1)</f>
        <v>0</v>
      </c>
      <c r="DQ5" s="112">
        <f>SUMIFS('Expenditure Breakdown'!$G$6:$G$173, 'Expenditure Breakdown'!$H$6:$H$173, "&gt;="&amp;DQ1,'Expenditure Breakdown'!$H$6:$H$173, "&lt;"&amp;DR1)</f>
        <v>0</v>
      </c>
      <c r="DR5" s="112">
        <f>SUMIFS('Expenditure Breakdown'!$G$6:$G$173, 'Expenditure Breakdown'!$H$6:$H$173, "&gt;="&amp;DR1,'Expenditure Breakdown'!$H$6:$H$173, "&lt;"&amp;DS1)</f>
        <v>0</v>
      </c>
      <c r="DS5" s="112">
        <f>SUMIFS('Expenditure Breakdown'!$G$6:$G$173, 'Expenditure Breakdown'!$H$6:$H$173, "&gt;="&amp;DS1,'Expenditure Breakdown'!$H$6:$H$173, "&lt;"&amp;DT1)</f>
        <v>0</v>
      </c>
      <c r="DT5" s="112">
        <f>SUMIFS('Expenditure Breakdown'!$G$6:$G$173, 'Expenditure Breakdown'!$H$6:$H$173, "&gt;="&amp;DT1,'Expenditure Breakdown'!$H$6:$H$173, "&lt;"&amp;DU1)</f>
        <v>0</v>
      </c>
      <c r="DU5" s="112">
        <f>SUMIFS('Expenditure Breakdown'!$G$6:$G$173, 'Expenditure Breakdown'!$H$6:$H$173, "&gt;="&amp;DU1,'Expenditure Breakdown'!$H$6:$H$173, "&lt;"&amp;DV1)</f>
        <v>0</v>
      </c>
      <c r="DV5" s="112">
        <f>SUMIFS('Expenditure Breakdown'!$G$6:$G$173, 'Expenditure Breakdown'!$H$6:$H$173, "&gt;="&amp;DV1,'Expenditure Breakdown'!$H$6:$H$173, "&lt;"&amp;DW1)</f>
        <v>0</v>
      </c>
      <c r="DW5" s="112">
        <f>SUMIFS('Expenditure Breakdown'!$G$6:$G$173, 'Expenditure Breakdown'!$H$6:$H$173, "&gt;="&amp;DW1,'Expenditure Breakdown'!$H$6:$H$173, "&lt;"&amp;DX1)</f>
        <v>0</v>
      </c>
      <c r="DX5" s="112">
        <f>SUMIFS('Expenditure Breakdown'!$G$6:$G$173, 'Expenditure Breakdown'!$H$6:$H$173, "&gt;="&amp;DX1,'Expenditure Breakdown'!$H$6:$H$173, "&lt;"&amp;DY1)</f>
        <v>0</v>
      </c>
      <c r="DY5" s="112">
        <f>SUMIFS('Expenditure Breakdown'!$G$6:$G$173, 'Expenditure Breakdown'!$H$6:$H$173, "&gt;="&amp;DY1,'Expenditure Breakdown'!$H$6:$H$173, "&lt;"&amp;DZ1)</f>
        <v>0</v>
      </c>
      <c r="DZ5" s="112">
        <f>SUMIFS('Expenditure Breakdown'!$G$6:$G$173, 'Expenditure Breakdown'!$H$6:$H$173, "&gt;="&amp;DZ1,'Expenditure Breakdown'!$H$6:$H$173, "&lt;"&amp;EA1)</f>
        <v>0</v>
      </c>
      <c r="EA5" s="112">
        <f>SUMIFS('Expenditure Breakdown'!$G$6:$G$173, 'Expenditure Breakdown'!$H$6:$H$173, "&gt;="&amp;EA1,'Expenditure Breakdown'!$H$6:$H$173, "&lt;"&amp;EB1)</f>
        <v>0</v>
      </c>
      <c r="EB5" s="112">
        <f>SUMIFS('Expenditure Breakdown'!$G$6:$G$173, 'Expenditure Breakdown'!$H$6:$H$173, "&gt;="&amp;EB1,'Expenditure Breakdown'!$H$6:$H$173, "&lt;"&amp;EC1)</f>
        <v>0</v>
      </c>
      <c r="EC5" s="112">
        <f>SUMIFS('Expenditure Breakdown'!$G$6:$G$173, 'Expenditure Breakdown'!$H$6:$H$173, "&gt;="&amp;EC1,'Expenditure Breakdown'!$H$6:$H$173, "&lt;"&amp;ED1)</f>
        <v>0</v>
      </c>
      <c r="ED5" s="112">
        <f>SUMIFS('Expenditure Breakdown'!$G$6:$G$173, 'Expenditure Breakdown'!$H$6:$H$173, "&gt;="&amp;ED1,'Expenditure Breakdown'!$H$6:$H$173, "&lt;"&amp;EE1)</f>
        <v>0</v>
      </c>
      <c r="EE5" s="112">
        <f>SUMIFS('Expenditure Breakdown'!$G$6:$G$173, 'Expenditure Breakdown'!$H$6:$H$173, "&gt;="&amp;EE1,'Expenditure Breakdown'!$H$6:$H$173, "&lt;"&amp;EF1)</f>
        <v>0</v>
      </c>
      <c r="EF5" s="112">
        <f>SUMIFS('Expenditure Breakdown'!$G$6:$G$173, 'Expenditure Breakdown'!$H$6:$H$173, "&gt;="&amp;EF1,'Expenditure Breakdown'!$H$6:$H$173, "&lt;"&amp;EG1)</f>
        <v>0</v>
      </c>
      <c r="EG5" s="112">
        <f>SUMIFS('Expenditure Breakdown'!$G$6:$G$173, 'Expenditure Breakdown'!$H$6:$H$173, "&gt;="&amp;EG1,'Expenditure Breakdown'!$H$6:$H$173, "&lt;"&amp;EH1)</f>
        <v>0</v>
      </c>
      <c r="EH5" s="112">
        <f>SUMIFS('Expenditure Breakdown'!$G$6:$G$173, 'Expenditure Breakdown'!$H$6:$H$173, "&gt;="&amp;EH1,'Expenditure Breakdown'!$H$6:$H$173, "&lt;"&amp;EI1)</f>
        <v>0</v>
      </c>
      <c r="EI5" s="112">
        <f>SUMIFS('Expenditure Breakdown'!$G$6:$G$173, 'Expenditure Breakdown'!$H$6:$H$173, "&gt;="&amp;EI1,'Expenditure Breakdown'!$H$6:$H$173, "&lt;"&amp;EJ1)</f>
        <v>0</v>
      </c>
      <c r="EJ5" s="112">
        <f>SUMIFS('Expenditure Breakdown'!$G$6:$G$173, 'Expenditure Breakdown'!$H$6:$H$173, "&gt;="&amp;EJ1,'Expenditure Breakdown'!$H$6:$H$173, "&lt;"&amp;EK1)</f>
        <v>0</v>
      </c>
      <c r="EK5" s="112">
        <f>SUMIFS('Expenditure Breakdown'!$G$6:$G$173, 'Expenditure Breakdown'!$H$6:$H$173, "&gt;="&amp;EK1,'Expenditure Breakdown'!$H$6:$H$173, "&lt;"&amp;EL1)</f>
        <v>0</v>
      </c>
      <c r="EL5" s="112">
        <f>SUMIFS('Expenditure Breakdown'!$G$6:$G$173, 'Expenditure Breakdown'!$H$6:$H$173, "&gt;="&amp;EL1,'Expenditure Breakdown'!$H$6:$H$173, "&lt;"&amp;EM1)</f>
        <v>0</v>
      </c>
      <c r="EM5" s="112">
        <f>SUMIFS('Expenditure Breakdown'!$G$6:$G$173, 'Expenditure Breakdown'!$H$6:$H$173, "&gt;="&amp;EM1,'Expenditure Breakdown'!$H$6:$H$173, "&lt;"&amp;EN1)</f>
        <v>0</v>
      </c>
      <c r="EN5" s="112">
        <f>SUMIFS('Expenditure Breakdown'!$G$6:$G$173, 'Expenditure Breakdown'!$H$6:$H$173, "&gt;="&amp;EN1,'Expenditure Breakdown'!$H$6:$H$173, "&lt;"&amp;EO1)</f>
        <v>0</v>
      </c>
      <c r="EO5" s="112">
        <f>SUMIFS('Expenditure Breakdown'!$G$6:$G$173, 'Expenditure Breakdown'!$H$6:$H$173, "&gt;="&amp;EO1,'Expenditure Breakdown'!$H$6:$H$173, "&lt;"&amp;EP1)</f>
        <v>0</v>
      </c>
      <c r="EP5" s="112">
        <f>SUMIFS('Expenditure Breakdown'!$G$6:$G$173, 'Expenditure Breakdown'!$H$6:$H$173, "&gt;="&amp;EP1,'Expenditure Breakdown'!$H$6:$H$173, "&lt;"&amp;EQ1)</f>
        <v>0</v>
      </c>
      <c r="EQ5" s="112">
        <f>SUMIFS('Expenditure Breakdown'!$G$6:$G$173, 'Expenditure Breakdown'!$H$6:$H$173, "&gt;="&amp;EQ1,'Expenditure Breakdown'!$H$6:$H$173, "&lt;"&amp;ER1)</f>
        <v>0</v>
      </c>
      <c r="ER5" s="112">
        <f>SUMIFS('Expenditure Breakdown'!$G$6:$G$173, 'Expenditure Breakdown'!$H$6:$H$173, "&gt;="&amp;ER1,'Expenditure Breakdown'!$H$6:$H$173, "&lt;"&amp;ES1)</f>
        <v>0</v>
      </c>
      <c r="ES5" s="112">
        <f>SUMIFS('Expenditure Breakdown'!$G$6:$G$173, 'Expenditure Breakdown'!$H$6:$H$173, "&gt;="&amp;ES1,'Expenditure Breakdown'!$H$6:$H$173, "&lt;"&amp;ET1)</f>
        <v>0</v>
      </c>
      <c r="ET5" s="112">
        <f>SUMIFS('Expenditure Breakdown'!$G$6:$G$173, 'Expenditure Breakdown'!$H$6:$H$173, "&gt;="&amp;ET1,'Expenditure Breakdown'!$H$6:$H$173, "&lt;"&amp;EU1)</f>
        <v>0</v>
      </c>
      <c r="EU5" s="112">
        <f>SUMIFS('Expenditure Breakdown'!$G$6:$G$173, 'Expenditure Breakdown'!$H$6:$H$173, "&gt;="&amp;EU1,'Expenditure Breakdown'!$H$6:$H$173, "&lt;"&amp;EV1)</f>
        <v>0</v>
      </c>
      <c r="EV5" s="112">
        <f>SUMIFS('Expenditure Breakdown'!$G$6:$G$173, 'Expenditure Breakdown'!$H$6:$H$173, "&gt;="&amp;EV1,'Expenditure Breakdown'!$H$6:$H$173, "&lt;"&amp;EW1)</f>
        <v>0</v>
      </c>
      <c r="EW5" s="112">
        <f>SUMIFS('Expenditure Breakdown'!$G$6:$G$173, 'Expenditure Breakdown'!$H$6:$H$173, "&gt;="&amp;EW1,'Expenditure Breakdown'!$H$6:$H$173, "&lt;"&amp;EX1)</f>
        <v>0</v>
      </c>
      <c r="EX5" s="112">
        <f>SUMIFS('Expenditure Breakdown'!$G$6:$G$173, 'Expenditure Breakdown'!$H$6:$H$173, "&gt;="&amp;EX1,'Expenditure Breakdown'!$H$6:$H$173, "&lt;"&amp;EY1)</f>
        <v>0</v>
      </c>
      <c r="EY5" s="112">
        <f>SUMIFS('Expenditure Breakdown'!$G$6:$G$173, 'Expenditure Breakdown'!$H$6:$H$173, "&gt;="&amp;EY1,'Expenditure Breakdown'!$H$6:$H$173, "&lt;"&amp;EZ1)</f>
        <v>0</v>
      </c>
      <c r="EZ5" s="112">
        <f>SUMIFS('Expenditure Breakdown'!$G$6:$G$173, 'Expenditure Breakdown'!$H$6:$H$173, "&gt;="&amp;EZ1,'Expenditure Breakdown'!$H$6:$H$173, "&lt;"&amp;FA1)</f>
        <v>0</v>
      </c>
      <c r="FA5" s="112">
        <f>SUMIFS('Expenditure Breakdown'!$G$6:$G$173, 'Expenditure Breakdown'!$H$6:$H$173, "&gt;="&amp;FA1,'Expenditure Breakdown'!$H$6:$H$173, "&lt;"&amp;FB1)</f>
        <v>0</v>
      </c>
      <c r="FB5" s="112">
        <f>SUMIFS('Expenditure Breakdown'!$G$6:$G$173, 'Expenditure Breakdown'!$H$6:$H$173, "&gt;="&amp;FB1,'Expenditure Breakdown'!$H$6:$H$173, "&lt;"&amp;FC1)</f>
        <v>0</v>
      </c>
      <c r="FC5" s="112">
        <f>SUMIFS('Expenditure Breakdown'!$G$6:$G$173, 'Expenditure Breakdown'!$H$6:$H$173, "&gt;="&amp;FC1,'Expenditure Breakdown'!$H$6:$H$173, "&lt;"&amp;FD1)</f>
        <v>0</v>
      </c>
      <c r="FD5" s="112">
        <f>SUMIFS('Expenditure Breakdown'!$G$6:$G$173, 'Expenditure Breakdown'!$H$6:$H$173, "&gt;="&amp;FD1,'Expenditure Breakdown'!$H$6:$H$173, "&lt;"&amp;FE1)</f>
        <v>0</v>
      </c>
      <c r="FE5" s="112">
        <f>SUMIFS('Expenditure Breakdown'!$G$6:$G$173, 'Expenditure Breakdown'!$H$6:$H$173, "&gt;="&amp;FE1,'Expenditure Breakdown'!$H$6:$H$173, "&lt;"&amp;FF1)</f>
        <v>0</v>
      </c>
      <c r="FF5" s="112">
        <f>SUMIFS('Expenditure Breakdown'!$G$6:$G$173, 'Expenditure Breakdown'!$H$6:$H$173, "&gt;="&amp;FF1,'Expenditure Breakdown'!$H$6:$H$173, "&lt;"&amp;FG1)</f>
        <v>0</v>
      </c>
      <c r="FG5" s="112">
        <f>SUMIFS('Expenditure Breakdown'!$G$6:$G$173, 'Expenditure Breakdown'!$H$6:$H$173, "&gt;="&amp;FG1,'Expenditure Breakdown'!$H$6:$H$173, "&lt;"&amp;FH1)</f>
        <v>0</v>
      </c>
      <c r="FH5" s="112">
        <f>SUMIFS('Expenditure Breakdown'!$G$6:$G$173, 'Expenditure Breakdown'!$H$6:$H$173, "&gt;="&amp;FH1,'Expenditure Breakdown'!$H$6:$H$173, "&lt;"&amp;FI1)</f>
        <v>0</v>
      </c>
      <c r="FI5" s="112">
        <f>SUMIFS('Expenditure Breakdown'!$G$6:$G$173, 'Expenditure Breakdown'!$H$6:$H$173, "&gt;="&amp;FI1,'Expenditure Breakdown'!$H$6:$H$173, "&lt;"&amp;FJ1)</f>
        <v>0</v>
      </c>
      <c r="FJ5" s="112">
        <f>SUMIFS('Expenditure Breakdown'!$G$6:$G$173, 'Expenditure Breakdown'!$H$6:$H$173, "&gt;="&amp;FJ1,'Expenditure Breakdown'!$H$6:$H$173, "&lt;"&amp;FK1)</f>
        <v>0</v>
      </c>
      <c r="FK5" s="112">
        <f>SUMIFS('Expenditure Breakdown'!$G$6:$G$173, 'Expenditure Breakdown'!$H$6:$H$173, "&gt;="&amp;FK1,'Expenditure Breakdown'!$H$6:$H$173, "&lt;"&amp;FL1)</f>
        <v>0</v>
      </c>
      <c r="FL5" s="112">
        <f>SUMIFS('Expenditure Breakdown'!$G$6:$G$173, 'Expenditure Breakdown'!$H$6:$H$173, "&gt;="&amp;FL1,'Expenditure Breakdown'!$H$6:$H$173, "&lt;"&amp;FM1)</f>
        <v>0</v>
      </c>
      <c r="FM5" s="112">
        <f>SUMIFS('Expenditure Breakdown'!$G$6:$G$173, 'Expenditure Breakdown'!$H$6:$H$173, "&gt;="&amp;FM1,'Expenditure Breakdown'!$H$6:$H$173, "&lt;"&amp;FN1)</f>
        <v>0</v>
      </c>
      <c r="FN5" s="112">
        <f>SUMIFS('Expenditure Breakdown'!$G$6:$G$173, 'Expenditure Breakdown'!$H$6:$H$173, "&gt;="&amp;FN1,'Expenditure Breakdown'!$H$6:$H$173, "&lt;"&amp;FO1)</f>
        <v>0</v>
      </c>
      <c r="FO5" s="112">
        <f>SUMIFS('Expenditure Breakdown'!$G$6:$G$173, 'Expenditure Breakdown'!$H$6:$H$173, "&gt;="&amp;FO1,'Expenditure Breakdown'!$H$6:$H$173, "&lt;"&amp;FP1)</f>
        <v>0</v>
      </c>
      <c r="FP5" s="112">
        <f>SUMIFS('Expenditure Breakdown'!$G$6:$G$173, 'Expenditure Breakdown'!$H$6:$H$173, "&gt;="&amp;FP1,'Expenditure Breakdown'!$H$6:$H$173, "&lt;"&amp;FQ1)</f>
        <v>0</v>
      </c>
      <c r="FQ5" s="112">
        <f>SUMIFS('Expenditure Breakdown'!$G$6:$G$173, 'Expenditure Breakdown'!$H$6:$H$173, "&gt;="&amp;FQ1,'Expenditure Breakdown'!$H$6:$H$173, "&lt;"&amp;FR1)</f>
        <v>0</v>
      </c>
      <c r="FR5" s="112">
        <f>SUMIFS('Expenditure Breakdown'!$G$6:$G$173, 'Expenditure Breakdown'!$H$6:$H$173, "&gt;="&amp;FR1,'Expenditure Breakdown'!$H$6:$H$173, "&lt;"&amp;FS1)</f>
        <v>0</v>
      </c>
      <c r="FS5" s="112">
        <f>SUMIFS('Expenditure Breakdown'!$G$6:$G$173, 'Expenditure Breakdown'!$H$6:$H$173, "&gt;="&amp;FS1,'Expenditure Breakdown'!$H$6:$H$173, "&lt;"&amp;FT1)</f>
        <v>0</v>
      </c>
      <c r="FT5" s="112">
        <f>SUMIFS('Expenditure Breakdown'!$G$6:$G$173, 'Expenditure Breakdown'!$H$6:$H$173, "&gt;="&amp;FT1,'Expenditure Breakdown'!$H$6:$H$173, "&lt;"&amp;FU1)</f>
        <v>0</v>
      </c>
      <c r="FU5" s="112">
        <f>SUMIFS('Expenditure Breakdown'!$G$6:$G$173, 'Expenditure Breakdown'!$H$6:$H$173, "&gt;="&amp;FU1,'Expenditure Breakdown'!$H$6:$H$173, "&lt;"&amp;FV1)</f>
        <v>0</v>
      </c>
      <c r="FV5" s="112">
        <f>SUMIFS('Expenditure Breakdown'!$G$6:$G$173, 'Expenditure Breakdown'!$H$6:$H$173, "&gt;="&amp;FV1,'Expenditure Breakdown'!$H$6:$H$173, "&lt;"&amp;FW1)</f>
        <v>0</v>
      </c>
      <c r="FW5" s="112">
        <f>SUMIFS('Expenditure Breakdown'!$G$6:$G$173, 'Expenditure Breakdown'!$H$6:$H$173, "&gt;="&amp;FW1,'Expenditure Breakdown'!$H$6:$H$173, "&lt;"&amp;FX1)</f>
        <v>0</v>
      </c>
      <c r="FX5" s="112">
        <f>SUMIFS('Expenditure Breakdown'!$G$6:$G$173, 'Expenditure Breakdown'!$H$6:$H$173, "&gt;="&amp;FX1,'Expenditure Breakdown'!$H$6:$H$173, "&lt;"&amp;FY1)</f>
        <v>0</v>
      </c>
      <c r="FY5" s="112">
        <f>SUMIFS('Expenditure Breakdown'!$G$6:$G$173, 'Expenditure Breakdown'!$H$6:$H$173, "&gt;="&amp;FY1,'Expenditure Breakdown'!$H$6:$H$173, "&lt;"&amp;FZ1)</f>
        <v>0</v>
      </c>
      <c r="FZ5" s="112">
        <f>SUMIFS('Expenditure Breakdown'!$G$6:$G$173, 'Expenditure Breakdown'!$H$6:$H$173, "&gt;="&amp;FZ1,'Expenditure Breakdown'!$H$6:$H$173, "&lt;"&amp;GA1)</f>
        <v>0</v>
      </c>
      <c r="GA5" s="112">
        <f>SUMIFS('Expenditure Breakdown'!$G$6:$G$173, 'Expenditure Breakdown'!$H$6:$H$173, "&gt;="&amp;GA1,'Expenditure Breakdown'!$H$6:$H$173, "&lt;"&amp;GB1)</f>
        <v>0</v>
      </c>
      <c r="GB5" s="112">
        <f>SUMIFS('Expenditure Breakdown'!$G$6:$G$173, 'Expenditure Breakdown'!$H$6:$H$173, "&gt;="&amp;GB1,'Expenditure Breakdown'!$H$6:$H$173, "&lt;"&amp;GC1)</f>
        <v>0</v>
      </c>
      <c r="GC5" s="112">
        <f>SUMIFS('Expenditure Breakdown'!$G$6:$G$173, 'Expenditure Breakdown'!$H$6:$H$173, "&gt;="&amp;GC1,'Expenditure Breakdown'!$H$6:$H$173, "&lt;"&amp;GD1)</f>
        <v>0</v>
      </c>
      <c r="GD5" s="112">
        <f>SUMIFS('Expenditure Breakdown'!$G$6:$G$173, 'Expenditure Breakdown'!$H$6:$H$173, "&gt;="&amp;GD1,'Expenditure Breakdown'!$H$6:$H$173, "&lt;"&amp;GE1)</f>
        <v>0</v>
      </c>
      <c r="GE5" s="112">
        <f>SUMIFS('Expenditure Breakdown'!$G$6:$G$173, 'Expenditure Breakdown'!$H$6:$H$173, "&gt;="&amp;GE1,'Expenditure Breakdown'!$H$6:$H$173, "&lt;"&amp;GF1)</f>
        <v>0</v>
      </c>
      <c r="GF5" s="112">
        <f>SUMIFS('Expenditure Breakdown'!$G$6:$G$173, 'Expenditure Breakdown'!$H$6:$H$173, "&gt;="&amp;GF1,'Expenditure Breakdown'!$H$6:$H$173, "&lt;"&amp;GG1)</f>
        <v>0</v>
      </c>
      <c r="GG5" s="112">
        <f>SUMIFS('Expenditure Breakdown'!$G$6:$G$173, 'Expenditure Breakdown'!$H$6:$H$173, "&gt;="&amp;GG1,'Expenditure Breakdown'!$H$6:$H$173, "&lt;"&amp;GH1)</f>
        <v>0</v>
      </c>
      <c r="GH5" s="112">
        <f>SUMIFS('Expenditure Breakdown'!$G$6:$G$173, 'Expenditure Breakdown'!$H$6:$H$173, "&gt;="&amp;GH1,'Expenditure Breakdown'!$H$6:$H$173, "&lt;"&amp;GI1)</f>
        <v>0</v>
      </c>
      <c r="GI5" s="112">
        <f>SUMIFS('Expenditure Breakdown'!$G$6:$G$173, 'Expenditure Breakdown'!$H$6:$H$173, "&gt;="&amp;GI1,'Expenditure Breakdown'!$H$6:$H$173, "&lt;"&amp;GJ1)</f>
        <v>0</v>
      </c>
      <c r="GJ5" s="112">
        <f>SUMIFS('Expenditure Breakdown'!$G$6:$G$173, 'Expenditure Breakdown'!$H$6:$H$173, "&gt;="&amp;GJ1,'Expenditure Breakdown'!$H$6:$H$173, "&lt;"&amp;GK1)</f>
        <v>0</v>
      </c>
      <c r="GK5" s="112">
        <f>SUMIFS('Expenditure Breakdown'!$G$6:$G$173, 'Expenditure Breakdown'!$H$6:$H$173, "&gt;="&amp;GK1,'Expenditure Breakdown'!$H$6:$H$173, "&lt;"&amp;GL1)</f>
        <v>0</v>
      </c>
      <c r="GL5" s="112">
        <f>SUMIFS('Expenditure Breakdown'!$G$6:$G$173, 'Expenditure Breakdown'!$H$6:$H$173, "&gt;="&amp;GL1,'Expenditure Breakdown'!$H$6:$H$173, "&lt;"&amp;GM1)</f>
        <v>0</v>
      </c>
      <c r="GM5" s="112">
        <f>SUMIFS('Expenditure Breakdown'!$G$6:$G$173, 'Expenditure Breakdown'!$H$6:$H$173, "&gt;="&amp;GM1,'Expenditure Breakdown'!$H$6:$H$173, "&lt;"&amp;GN1)</f>
        <v>0</v>
      </c>
      <c r="GN5" s="112">
        <f>SUMIFS('Expenditure Breakdown'!$G$6:$G$173, 'Expenditure Breakdown'!$H$6:$H$173, "&gt;="&amp;GN1,'Expenditure Breakdown'!$H$6:$H$173, "&lt;"&amp;GO1)</f>
        <v>0</v>
      </c>
      <c r="GO5" s="112">
        <f>SUMIFS('Expenditure Breakdown'!$G$6:$G$173, 'Expenditure Breakdown'!$H$6:$H$173, "&gt;="&amp;GO1,'Expenditure Breakdown'!$H$6:$H$173, "&lt;"&amp;GP1)</f>
        <v>0</v>
      </c>
      <c r="GP5" s="112">
        <f>SUMIFS('Expenditure Breakdown'!$G$6:$G$173, 'Expenditure Breakdown'!$H$6:$H$173, "&gt;="&amp;GP1,'Expenditure Breakdown'!$H$6:$H$173, "&lt;"&amp;GQ1)</f>
        <v>0</v>
      </c>
      <c r="GQ5" s="112">
        <f>SUMIFS('Expenditure Breakdown'!$G$6:$G$173, 'Expenditure Breakdown'!$H$6:$H$173, "&gt;="&amp;GQ1,'Expenditure Breakdown'!$H$6:$H$173, "&lt;"&amp;GR1)</f>
        <v>0</v>
      </c>
      <c r="GR5" s="112">
        <f>SUMIFS('Expenditure Breakdown'!$G$6:$G$173, 'Expenditure Breakdown'!$H$6:$H$173, "&gt;="&amp;GR1,'Expenditure Breakdown'!$H$6:$H$173, "&lt;"&amp;GS1)</f>
        <v>0</v>
      </c>
      <c r="GS5" s="112">
        <f>SUMIFS('Expenditure Breakdown'!$G$6:$G$173, 'Expenditure Breakdown'!$H$6:$H$173, "&gt;="&amp;GS1,'Expenditure Breakdown'!$H$6:$H$173, "&lt;"&amp;GT1)</f>
        <v>0</v>
      </c>
      <c r="GT5" s="112">
        <f>SUMIFS('Expenditure Breakdown'!$G$6:$G$173, 'Expenditure Breakdown'!$H$6:$H$173, "&gt;="&amp;GT1,'Expenditure Breakdown'!$H$6:$H$173, "&lt;"&amp;GU1)</f>
        <v>0</v>
      </c>
      <c r="GU5" s="112">
        <f>SUMIFS('Expenditure Breakdown'!$G$6:$G$173, 'Expenditure Breakdown'!$H$6:$H$173, "&gt;="&amp;GU1,'Expenditure Breakdown'!$H$6:$H$173, "&lt;"&amp;GV1)</f>
        <v>0</v>
      </c>
      <c r="GV5" s="112">
        <f>SUMIFS('Expenditure Breakdown'!$G$6:$G$173, 'Expenditure Breakdown'!$H$6:$H$173, "&gt;="&amp;GV1,'Expenditure Breakdown'!$H$6:$H$173, "&lt;"&amp;GW1)</f>
        <v>0</v>
      </c>
      <c r="GW5" s="112">
        <f>SUMIFS('Expenditure Breakdown'!$G$6:$G$173, 'Expenditure Breakdown'!$H$6:$H$173, "&gt;="&amp;GW1,'Expenditure Breakdown'!$H$6:$H$173, "&lt;"&amp;GX1)</f>
        <v>0</v>
      </c>
      <c r="GX5" s="112">
        <f>SUMIFS('Expenditure Breakdown'!$G$6:$G$173, 'Expenditure Breakdown'!$H$6:$H$173, "&gt;="&amp;GX1,'Expenditure Breakdown'!$H$6:$H$173, "&lt;"&amp;GY1)</f>
        <v>0</v>
      </c>
      <c r="GY5" s="112">
        <f>SUMIFS('Expenditure Breakdown'!$G$6:$G$173, 'Expenditure Breakdown'!$H$6:$H$173, "&gt;="&amp;GY1,'Expenditure Breakdown'!$H$6:$H$173, "&lt;"&amp;GZ1)</f>
        <v>0</v>
      </c>
      <c r="GZ5" s="112">
        <f>SUMIFS('Expenditure Breakdown'!$G$6:$G$173, 'Expenditure Breakdown'!$H$6:$H$173, "&gt;="&amp;GZ1,'Expenditure Breakdown'!$H$6:$H$173, "&lt;"&amp;HA1)</f>
        <v>0</v>
      </c>
      <c r="HA5" s="112">
        <f>SUMIFS('Expenditure Breakdown'!$G$6:$G$173, 'Expenditure Breakdown'!$H$6:$H$173, "&gt;="&amp;HA1,'Expenditure Breakdown'!$H$6:$H$173, "&lt;"&amp;HB1)</f>
        <v>0</v>
      </c>
      <c r="HB5" s="112">
        <f>SUMIFS('Expenditure Breakdown'!$G$6:$G$173, 'Expenditure Breakdown'!$H$6:$H$173, "&gt;="&amp;HB1,'Expenditure Breakdown'!$H$6:$H$173, "&lt;"&amp;HC1)</f>
        <v>0</v>
      </c>
      <c r="HC5" s="112">
        <f>SUMIFS('Expenditure Breakdown'!$G$6:$G$173, 'Expenditure Breakdown'!$H$6:$H$173, "&gt;="&amp;HC1,'Expenditure Breakdown'!$H$6:$H$173, "&lt;"&amp;HD1)</f>
        <v>0</v>
      </c>
      <c r="HD5" s="112">
        <f>SUMIFS('Expenditure Breakdown'!$G$6:$G$173, 'Expenditure Breakdown'!$H$6:$H$173, "&gt;="&amp;HD1,'Expenditure Breakdown'!$H$6:$H$173, "&lt;"&amp;HE1)</f>
        <v>0</v>
      </c>
      <c r="HE5" s="112">
        <f>SUMIFS('Expenditure Breakdown'!$G$6:$G$173, 'Expenditure Breakdown'!$H$6:$H$173, "&gt;="&amp;HE1,'Expenditure Breakdown'!$H$6:$H$173, "&lt;"&amp;HF1)</f>
        <v>0</v>
      </c>
      <c r="HF5" s="112">
        <f>SUMIFS('Expenditure Breakdown'!$G$6:$G$173, 'Expenditure Breakdown'!$H$6:$H$173, "&gt;="&amp;HF1,'Expenditure Breakdown'!$H$6:$H$173, "&lt;"&amp;HG1)</f>
        <v>0</v>
      </c>
      <c r="HG5" s="112">
        <f>SUMIFS('Expenditure Breakdown'!$G$6:$G$173, 'Expenditure Breakdown'!$H$6:$H$173, "&gt;="&amp;HG1,'Expenditure Breakdown'!$H$6:$H$173, "&lt;"&amp;HH1)</f>
        <v>0</v>
      </c>
      <c r="HH5" s="112">
        <f>SUMIFS('Expenditure Breakdown'!$G$6:$G$173, 'Expenditure Breakdown'!$H$6:$H$173, "&gt;="&amp;HH1,'Expenditure Breakdown'!$H$6:$H$173, "&lt;"&amp;HI1)</f>
        <v>0</v>
      </c>
      <c r="HI5" s="112">
        <f>SUMIFS('Expenditure Breakdown'!$G$6:$G$173, 'Expenditure Breakdown'!$H$6:$H$173, "&gt;="&amp;HI1,'Expenditure Breakdown'!$H$6:$H$173, "&lt;"&amp;HJ1)</f>
        <v>0</v>
      </c>
      <c r="HJ5" s="112">
        <f>SUMIFS('Expenditure Breakdown'!$G$6:$G$173, 'Expenditure Breakdown'!$H$6:$H$173, "&gt;="&amp;HJ1,'Expenditure Breakdown'!$H$6:$H$173, "&lt;"&amp;HK1)</f>
        <v>0</v>
      </c>
      <c r="HK5" s="112">
        <f>SUMIFS('Expenditure Breakdown'!$G$6:$G$173, 'Expenditure Breakdown'!$H$6:$H$173, "&gt;="&amp;HK1,'Expenditure Breakdown'!$H$6:$H$173, "&lt;"&amp;HL1)</f>
        <v>0</v>
      </c>
      <c r="HL5" s="112">
        <f>SUMIFS('Expenditure Breakdown'!$G$6:$G$173, 'Expenditure Breakdown'!$H$6:$H$173, "&gt;="&amp;HL1,'Expenditure Breakdown'!$H$6:$H$173, "&lt;"&amp;HM1)</f>
        <v>0</v>
      </c>
      <c r="HM5" s="112">
        <f>SUMIFS('Expenditure Breakdown'!$G$6:$G$173, 'Expenditure Breakdown'!$H$6:$H$173, "&gt;="&amp;HM1,'Expenditure Breakdown'!$H$6:$H$173, "&lt;"&amp;HN1)</f>
        <v>0</v>
      </c>
      <c r="HN5" s="112">
        <f>SUMIFS('Expenditure Breakdown'!$G$6:$G$173, 'Expenditure Breakdown'!$H$6:$H$173, "&gt;="&amp;HN1,'Expenditure Breakdown'!$H$6:$H$173, "&lt;"&amp;HO1)</f>
        <v>0</v>
      </c>
      <c r="HO5" s="112">
        <f>SUMIFS('Expenditure Breakdown'!$G$6:$G$173, 'Expenditure Breakdown'!$H$6:$H$173, "&gt;="&amp;HO1,'Expenditure Breakdown'!$H$6:$H$173, "&lt;"&amp;HP1)</f>
        <v>0</v>
      </c>
      <c r="HP5" s="112">
        <f>SUMIFS('Expenditure Breakdown'!$G$6:$G$173, 'Expenditure Breakdown'!$H$6:$H$173, "&gt;="&amp;HP1,'Expenditure Breakdown'!$H$6:$H$173, "&lt;"&amp;HQ1)</f>
        <v>0</v>
      </c>
      <c r="HQ5" s="112">
        <f>SUMIFS('Expenditure Breakdown'!$G$6:$G$173, 'Expenditure Breakdown'!$H$6:$H$173, "&gt;="&amp;HQ1,'Expenditure Breakdown'!$H$6:$H$173, "&lt;"&amp;HR1)</f>
        <v>0</v>
      </c>
      <c r="HR5" s="112">
        <f>SUMIFS('Expenditure Breakdown'!$G$6:$G$173, 'Expenditure Breakdown'!$H$6:$H$173, "&gt;="&amp;HR1,'Expenditure Breakdown'!$H$6:$H$173, "&lt;"&amp;HS1)</f>
        <v>0</v>
      </c>
      <c r="HS5" s="112">
        <f>SUMIFS('Expenditure Breakdown'!$G$6:$G$173, 'Expenditure Breakdown'!$H$6:$H$173, "&gt;="&amp;HS1,'Expenditure Breakdown'!$H$6:$H$173, "&lt;"&amp;HT1)</f>
        <v>0</v>
      </c>
      <c r="HT5" s="112">
        <f>SUMIFS('Expenditure Breakdown'!$G$6:$G$173, 'Expenditure Breakdown'!$H$6:$H$173, "&gt;="&amp;HT1,'Expenditure Breakdown'!$H$6:$H$173, "&lt;"&amp;HU1)</f>
        <v>0</v>
      </c>
      <c r="HU5" s="112">
        <f>SUMIFS('Expenditure Breakdown'!$G$6:$G$173, 'Expenditure Breakdown'!$H$6:$H$173, "&gt;="&amp;HU1,'Expenditure Breakdown'!$H$6:$H$173, "&lt;"&amp;HV1)</f>
        <v>0</v>
      </c>
      <c r="HV5" s="112">
        <f>SUMIFS('Expenditure Breakdown'!$G$6:$G$173, 'Expenditure Breakdown'!$H$6:$H$173, "&gt;="&amp;HV1,'Expenditure Breakdown'!$H$6:$H$173, "&lt;"&amp;HW1)</f>
        <v>0</v>
      </c>
      <c r="HW5" s="112">
        <f>SUMIFS('Expenditure Breakdown'!$G$6:$G$173, 'Expenditure Breakdown'!$H$6:$H$173, "&gt;="&amp;HW1,'Expenditure Breakdown'!$H$6:$H$173, "&lt;"&amp;HX1)</f>
        <v>0</v>
      </c>
      <c r="HX5" s="112">
        <f>SUMIFS('Expenditure Breakdown'!$G$6:$G$173, 'Expenditure Breakdown'!$H$6:$H$173, "&gt;="&amp;HX1,'Expenditure Breakdown'!$H$6:$H$173, "&lt;"&amp;HY1)</f>
        <v>0</v>
      </c>
      <c r="HY5" s="112">
        <f>SUMIFS('Expenditure Breakdown'!$G$6:$G$173, 'Expenditure Breakdown'!$H$6:$H$173, "&gt;="&amp;HY1,'Expenditure Breakdown'!$H$6:$H$173, "&lt;"&amp;HZ1)</f>
        <v>0</v>
      </c>
      <c r="HZ5" s="112">
        <f>SUMIFS('Expenditure Breakdown'!$G$6:$G$173, 'Expenditure Breakdown'!$H$6:$H$173, "&gt;="&amp;HZ1,'Expenditure Breakdown'!$H$6:$H$173, "&lt;"&amp;IA1)</f>
        <v>0</v>
      </c>
      <c r="IA5" s="112">
        <f>SUMIFS('Expenditure Breakdown'!$G$6:$G$173, 'Expenditure Breakdown'!$H$6:$H$173, "&gt;="&amp;IA1,'Expenditure Breakdown'!$H$6:$H$173, "&lt;"&amp;IB1)</f>
        <v>0</v>
      </c>
      <c r="IB5" s="112">
        <f>SUMIFS('Expenditure Breakdown'!$G$6:$G$173, 'Expenditure Breakdown'!$H$6:$H$173, "&gt;="&amp;IB1,'Expenditure Breakdown'!$H$6:$H$173, "&lt;"&amp;IC1)</f>
        <v>0</v>
      </c>
      <c r="IC5" s="112">
        <f>SUMIFS('Expenditure Breakdown'!$G$6:$G$173, 'Expenditure Breakdown'!$H$6:$H$173, "&gt;="&amp;IC1,'Expenditure Breakdown'!$H$6:$H$173, "&lt;"&amp;ID1)</f>
        <v>0</v>
      </c>
      <c r="ID5" s="112">
        <f>SUMIFS('Expenditure Breakdown'!$G$6:$G$173, 'Expenditure Breakdown'!$H$6:$H$173, "&gt;="&amp;ID1,'Expenditure Breakdown'!$H$6:$H$173, "&lt;"&amp;IE1)</f>
        <v>0</v>
      </c>
      <c r="IE5" s="112">
        <f>SUMIFS('Expenditure Breakdown'!$G$6:$G$173, 'Expenditure Breakdown'!$H$6:$H$173, "&gt;="&amp;IE1,'Expenditure Breakdown'!$H$6:$H$173, "&lt;"&amp;IF1)</f>
        <v>0</v>
      </c>
      <c r="IF5" s="112">
        <f>SUMIFS('Expenditure Breakdown'!$G$6:$G$173, 'Expenditure Breakdown'!$H$6:$H$173, "&gt;="&amp;IF1,'Expenditure Breakdown'!$H$6:$H$173, "&lt;"&amp;IG1)</f>
        <v>0</v>
      </c>
      <c r="IG5" s="112">
        <f>SUMIFS('Expenditure Breakdown'!$G$6:$G$173, 'Expenditure Breakdown'!$H$6:$H$173, "&gt;="&amp;IG1,'Expenditure Breakdown'!$H$6:$H$173, "&lt;"&amp;IH1)</f>
        <v>0</v>
      </c>
      <c r="IH5" s="112">
        <f>SUMIFS('Expenditure Breakdown'!$G$6:$G$173, 'Expenditure Breakdown'!$H$6:$H$173, "&gt;="&amp;IH1,'Expenditure Breakdown'!$H$6:$H$173, "&lt;"&amp;II1)</f>
        <v>0</v>
      </c>
      <c r="II5" s="112">
        <f>SUMIFS('Expenditure Breakdown'!$G$6:$G$173, 'Expenditure Breakdown'!$H$6:$H$173, "&gt;="&amp;II1,'Expenditure Breakdown'!$H$6:$H$173, "&lt;"&amp;IJ1)</f>
        <v>0</v>
      </c>
      <c r="IJ5" s="112">
        <f>SUMIFS('Expenditure Breakdown'!$G$6:$G$173, 'Expenditure Breakdown'!$H$6:$H$173, "&gt;="&amp;IJ1,'Expenditure Breakdown'!$H$6:$H$173, "&lt;"&amp;IK1)</f>
        <v>0</v>
      </c>
      <c r="IK5" s="112">
        <f>SUMIFS('Expenditure Breakdown'!$G$6:$G$173, 'Expenditure Breakdown'!$H$6:$H$173, "&gt;="&amp;IK1,'Expenditure Breakdown'!$H$6:$H$173, "&lt;"&amp;IL1)</f>
        <v>0</v>
      </c>
      <c r="IL5" s="112">
        <f>SUMIFS('Expenditure Breakdown'!$G$6:$G$173, 'Expenditure Breakdown'!$H$6:$H$173, "&gt;="&amp;IL1,'Expenditure Breakdown'!$H$6:$H$173, "&lt;"&amp;IM1)</f>
        <v>0</v>
      </c>
      <c r="IM5" s="112">
        <f>SUMIFS('Expenditure Breakdown'!$G$6:$G$173, 'Expenditure Breakdown'!$H$6:$H$173, "&gt;="&amp;IM1,'Expenditure Breakdown'!$H$6:$H$173, "&lt;"&amp;IN1)</f>
        <v>0</v>
      </c>
      <c r="IN5" s="112">
        <f>SUMIFS('Expenditure Breakdown'!$G$6:$G$173, 'Expenditure Breakdown'!$H$6:$H$173, "&gt;="&amp;IN1,'Expenditure Breakdown'!$H$6:$H$173, "&lt;"&amp;IO1)</f>
        <v>0</v>
      </c>
      <c r="IO5" s="112">
        <f>SUMIFS('Expenditure Breakdown'!$G$6:$G$173, 'Expenditure Breakdown'!$H$6:$H$173, "&gt;="&amp;IO1,'Expenditure Breakdown'!$H$6:$H$173, "&lt;"&amp;IP1)</f>
        <v>0</v>
      </c>
      <c r="IP5" s="112">
        <f>SUMIFS('Expenditure Breakdown'!$G$6:$G$173, 'Expenditure Breakdown'!$H$6:$H$173, "&gt;="&amp;IP1,'Expenditure Breakdown'!$H$6:$H$173, "&lt;"&amp;IQ1)</f>
        <v>0</v>
      </c>
      <c r="IQ5" s="112">
        <f>SUMIFS('Expenditure Breakdown'!$G$6:$G$173, 'Expenditure Breakdown'!$H$6:$H$173, "&gt;="&amp;IQ1,'Expenditure Breakdown'!$H$6:$H$173, "&lt;"&amp;IR1)</f>
        <v>0</v>
      </c>
      <c r="IR5" s="112">
        <f>SUMIFS('Expenditure Breakdown'!$G$6:$G$173, 'Expenditure Breakdown'!$H$6:$H$173, "&gt;="&amp;IR1,'Expenditure Breakdown'!$H$6:$H$173, "&lt;"&amp;IS1)</f>
        <v>0</v>
      </c>
      <c r="IS5" s="112">
        <f>SUMIFS('Expenditure Breakdown'!$G$6:$G$173, 'Expenditure Breakdown'!$H$6:$H$173, "&gt;="&amp;IS1,'Expenditure Breakdown'!$H$6:$H$173, "&lt;"&amp;IT1)</f>
        <v>0</v>
      </c>
      <c r="IT5" s="112">
        <f>SUMIFS('Expenditure Breakdown'!$G$6:$G$173, 'Expenditure Breakdown'!$H$6:$H$173, "&gt;="&amp;IT1,'Expenditure Breakdown'!$H$6:$H$173, "&lt;"&amp;IU1)</f>
        <v>0</v>
      </c>
      <c r="IU5" s="112">
        <f>SUMIFS('Expenditure Breakdown'!$G$6:$G$173, 'Expenditure Breakdown'!$H$6:$H$173, "&gt;="&amp;IU1,'Expenditure Breakdown'!$H$6:$H$173, "&lt;"&amp;IV1)</f>
        <v>0</v>
      </c>
      <c r="IV5" s="112">
        <f>SUMIFS('Expenditure Breakdown'!$G$6:$G$173, 'Expenditure Breakdown'!$H$6:$H$173, "&gt;="&amp;IV1,'Expenditure Breakdown'!$H$6:$H$173, "&lt;"&amp;IW1)</f>
        <v>0</v>
      </c>
      <c r="IW5" s="112">
        <f>SUMIFS('Expenditure Breakdown'!$G$6:$G$173, 'Expenditure Breakdown'!$H$6:$H$173, "&gt;="&amp;IW1,'Expenditure Breakdown'!$H$6:$H$173, "&lt;"&amp;IX1)</f>
        <v>0</v>
      </c>
      <c r="IX5" s="112">
        <f>SUMIFS('Expenditure Breakdown'!$G$6:$G$173, 'Expenditure Breakdown'!$H$6:$H$173, "&gt;="&amp;IX1,'Expenditure Breakdown'!$H$6:$H$173, "&lt;"&amp;IY1)</f>
        <v>0</v>
      </c>
      <c r="IY5" s="112">
        <f>SUMIFS('Expenditure Breakdown'!$G$6:$G$173, 'Expenditure Breakdown'!$H$6:$H$173, "&gt;="&amp;IY1,'Expenditure Breakdown'!$H$6:$H$173, "&lt;"&amp;IZ1)</f>
        <v>0</v>
      </c>
      <c r="IZ5" s="112">
        <f>SUMIFS('Expenditure Breakdown'!$G$6:$G$173, 'Expenditure Breakdown'!$H$6:$H$173, "&gt;="&amp;IZ1,'Expenditure Breakdown'!$H$6:$H$173, "&lt;"&amp;JA1)</f>
        <v>0</v>
      </c>
      <c r="JA5" s="112">
        <f>SUMIFS('Expenditure Breakdown'!$G$6:$G$173, 'Expenditure Breakdown'!$H$6:$H$173, "&gt;="&amp;JA1,'Expenditure Breakdown'!$H$6:$H$173, "&lt;"&amp;JB1)</f>
        <v>0</v>
      </c>
      <c r="JB5" s="112">
        <f>SUMIFS('Expenditure Breakdown'!$G$6:$G$173, 'Expenditure Breakdown'!$H$6:$H$173, "&gt;="&amp;JB1,'Expenditure Breakdown'!$H$6:$H$173, "&lt;"&amp;JC1)</f>
        <v>0</v>
      </c>
      <c r="JC5" s="112">
        <f>SUMIFS('Expenditure Breakdown'!$G$6:$G$173, 'Expenditure Breakdown'!$H$6:$H$173, "&gt;="&amp;JC1,'Expenditure Breakdown'!$H$6:$H$173, "&lt;"&amp;JD1)</f>
        <v>0</v>
      </c>
      <c r="JD5" s="112">
        <f>SUMIFS('Expenditure Breakdown'!$G$6:$G$173, 'Expenditure Breakdown'!$H$6:$H$173, "&gt;="&amp;JD1,'Expenditure Breakdown'!$H$6:$H$173, "&lt;"&amp;JE1)</f>
        <v>0</v>
      </c>
      <c r="JE5" s="112">
        <f>SUMIFS('Expenditure Breakdown'!$G$6:$G$173, 'Expenditure Breakdown'!$H$6:$H$173, "&gt;="&amp;JE1,'Expenditure Breakdown'!$H$6:$H$173, "&lt;"&amp;JF1)</f>
        <v>0</v>
      </c>
      <c r="JF5" s="112">
        <f>SUMIFS('Expenditure Breakdown'!$G$6:$G$173, 'Expenditure Breakdown'!$H$6:$H$173, "&gt;="&amp;JF1,'Expenditure Breakdown'!$H$6:$H$173, "&lt;"&amp;JG1)</f>
        <v>0</v>
      </c>
      <c r="JG5" s="112">
        <f>SUMIFS('Expenditure Breakdown'!$G$6:$G$173, 'Expenditure Breakdown'!$H$6:$H$173, "&gt;="&amp;JG1,'Expenditure Breakdown'!$H$6:$H$173, "&lt;"&amp;JH1)</f>
        <v>0</v>
      </c>
      <c r="JH5" s="112">
        <f>SUMIFS('Expenditure Breakdown'!$G$6:$G$173, 'Expenditure Breakdown'!$H$6:$H$173, "&gt;="&amp;JH1,'Expenditure Breakdown'!$H$6:$H$173, "&lt;"&amp;JI1)</f>
        <v>0</v>
      </c>
      <c r="JI5" s="112">
        <f>SUMIFS('Expenditure Breakdown'!$G$6:$G$173, 'Expenditure Breakdown'!$H$6:$H$173, "&gt;="&amp;JI1,'Expenditure Breakdown'!$H$6:$H$173, "&lt;"&amp;JJ1)</f>
        <v>0</v>
      </c>
      <c r="JJ5" s="112">
        <f>SUMIFS('Expenditure Breakdown'!$G$6:$G$173, 'Expenditure Breakdown'!$H$6:$H$173, "&gt;="&amp;JJ1,'Expenditure Breakdown'!$H$6:$H$173, "&lt;"&amp;JK1)</f>
        <v>0</v>
      </c>
      <c r="JK5" s="112">
        <f>SUMIFS('Expenditure Breakdown'!$G$6:$G$173, 'Expenditure Breakdown'!$H$6:$H$173, "&gt;="&amp;JK1,'Expenditure Breakdown'!$H$6:$H$173, "&lt;"&amp;JL1)</f>
        <v>0</v>
      </c>
      <c r="JL5" s="112">
        <f>SUMIFS('Expenditure Breakdown'!$G$6:$G$173, 'Expenditure Breakdown'!$H$6:$H$173, "&gt;="&amp;JL1,'Expenditure Breakdown'!$H$6:$H$173, "&lt;"&amp;JM1)</f>
        <v>0</v>
      </c>
      <c r="JM5" s="112">
        <f>SUMIFS('Expenditure Breakdown'!$G$6:$G$173, 'Expenditure Breakdown'!$H$6:$H$173, "&gt;="&amp;JM1,'Expenditure Breakdown'!$H$6:$H$173, "&lt;"&amp;JN1)</f>
        <v>0</v>
      </c>
      <c r="JN5" s="112">
        <f>SUMIFS('Expenditure Breakdown'!$G$6:$G$173, 'Expenditure Breakdown'!$H$6:$H$173, "&gt;="&amp;JN1,'Expenditure Breakdown'!$H$6:$H$173, "&lt;"&amp;JO1)</f>
        <v>0</v>
      </c>
      <c r="JO5" s="112">
        <f>SUMIFS('Expenditure Breakdown'!$G$6:$G$173, 'Expenditure Breakdown'!$H$6:$H$173, "&gt;="&amp;JO1,'Expenditure Breakdown'!$H$6:$H$173, "&lt;"&amp;JP1)</f>
        <v>0</v>
      </c>
      <c r="JP5" s="112">
        <f>SUMIFS('Expenditure Breakdown'!$G$6:$G$173, 'Expenditure Breakdown'!$H$6:$H$173, "&gt;="&amp;JP1,'Expenditure Breakdown'!$H$6:$H$173, "&lt;"&amp;JQ1)</f>
        <v>0</v>
      </c>
      <c r="JQ5" s="112">
        <f>SUMIFS('Expenditure Breakdown'!$G$6:$G$173, 'Expenditure Breakdown'!$H$6:$H$173, "&gt;="&amp;JQ1,'Expenditure Breakdown'!$H$6:$H$173, "&lt;"&amp;JR1)</f>
        <v>0</v>
      </c>
      <c r="JR5" s="112">
        <f>SUMIFS('Expenditure Breakdown'!$G$6:$G$173, 'Expenditure Breakdown'!$H$6:$H$173, "&gt;="&amp;JR1,'Expenditure Breakdown'!$H$6:$H$173, "&lt;"&amp;JS1)</f>
        <v>0</v>
      </c>
      <c r="JS5" s="112">
        <f>SUMIFS('Expenditure Breakdown'!$G$6:$G$173, 'Expenditure Breakdown'!$H$6:$H$173, "&gt;="&amp;JS1,'Expenditure Breakdown'!$H$6:$H$173, "&lt;"&amp;JT1)</f>
        <v>0</v>
      </c>
      <c r="JT5" s="112">
        <f>SUMIFS('Expenditure Breakdown'!$G$6:$G$173, 'Expenditure Breakdown'!$H$6:$H$173, "&gt;="&amp;JT1,'Expenditure Breakdown'!$H$6:$H$173, "&lt;"&amp;JU1)</f>
        <v>0</v>
      </c>
      <c r="JU5" s="112">
        <f>SUMIFS('Expenditure Breakdown'!$G$6:$G$173, 'Expenditure Breakdown'!$H$6:$H$173, "&gt;="&amp;JU1,'Expenditure Breakdown'!$H$6:$H$173, "&lt;"&amp;JV1)</f>
        <v>0</v>
      </c>
      <c r="JV5" s="112">
        <f>SUMIFS('Expenditure Breakdown'!$G$6:$G$173, 'Expenditure Breakdown'!$H$6:$H$173, "&gt;="&amp;JV1,'Expenditure Breakdown'!$H$6:$H$173, "&lt;"&amp;JW1)</f>
        <v>0</v>
      </c>
      <c r="JW5" s="112">
        <f>SUMIFS('Expenditure Breakdown'!$G$6:$G$173, 'Expenditure Breakdown'!$H$6:$H$173, "&gt;="&amp;JW1,'Expenditure Breakdown'!$H$6:$H$173, "&lt;"&amp;JX1)</f>
        <v>0</v>
      </c>
      <c r="JX5" s="112">
        <f>SUMIFS('Expenditure Breakdown'!$G$6:$G$173, 'Expenditure Breakdown'!$H$6:$H$173, "&gt;="&amp;JX1,'Expenditure Breakdown'!$H$6:$H$173, "&lt;"&amp;JY1)</f>
        <v>0</v>
      </c>
      <c r="JY5" s="112">
        <f>SUMIFS('Expenditure Breakdown'!$G$6:$G$173, 'Expenditure Breakdown'!$H$6:$H$173, "&gt;="&amp;JY1,'Expenditure Breakdown'!$H$6:$H$173, "&lt;"&amp;JZ1)</f>
        <v>0</v>
      </c>
      <c r="JZ5" s="112">
        <f>SUMIFS('Expenditure Breakdown'!$G$6:$G$173, 'Expenditure Breakdown'!$H$6:$H$173, "&gt;="&amp;JZ1,'Expenditure Breakdown'!$H$6:$H$173, "&lt;"&amp;KA1)</f>
        <v>0</v>
      </c>
      <c r="KA5" s="112">
        <f>SUMIFS('Expenditure Breakdown'!$G$6:$G$173, 'Expenditure Breakdown'!$H$6:$H$173, "&gt;="&amp;KA1,'Expenditure Breakdown'!$H$6:$H$173, "&lt;"&amp;KB1)</f>
        <v>0</v>
      </c>
      <c r="KB5" s="112">
        <f>SUMIFS('Expenditure Breakdown'!$G$6:$G$173, 'Expenditure Breakdown'!$H$6:$H$173, "&gt;="&amp;KB1,'Expenditure Breakdown'!$H$6:$H$173, "&lt;"&amp;KC1)</f>
        <v>0</v>
      </c>
      <c r="KC5" s="112">
        <f>SUMIFS('Expenditure Breakdown'!$G$6:$G$173, 'Expenditure Breakdown'!$H$6:$H$173, "&gt;="&amp;KC1,'Expenditure Breakdown'!$H$6:$H$173, "&lt;"&amp;KD1)</f>
        <v>0</v>
      </c>
      <c r="KD5" s="112">
        <f>SUMIFS('Expenditure Breakdown'!$G$6:$G$173, 'Expenditure Breakdown'!$H$6:$H$173, "&gt;="&amp;KD1,'Expenditure Breakdown'!$H$6:$H$173, "&lt;"&amp;KE1)</f>
        <v>0</v>
      </c>
      <c r="KE5" s="112">
        <f>SUMIFS('Expenditure Breakdown'!$G$6:$G$173, 'Expenditure Breakdown'!$H$6:$H$173, "&gt;="&amp;KE1,'Expenditure Breakdown'!$H$6:$H$173, "&lt;"&amp;KF1)</f>
        <v>0</v>
      </c>
      <c r="KF5" s="112">
        <f>SUMIFS('Expenditure Breakdown'!$G$6:$G$173, 'Expenditure Breakdown'!$H$6:$H$173, "&gt;="&amp;KF1,'Expenditure Breakdown'!$H$6:$H$173, "&lt;"&amp;#REF!)</f>
        <v>0</v>
      </c>
      <c r="KG5" s="102"/>
      <c r="KH5" s="113"/>
      <c r="KI5" s="113"/>
    </row>
    <row r="6" spans="1:770" s="114" customFormat="1">
      <c r="A6" s="749"/>
      <c r="B6" s="110" t="s">
        <v>414</v>
      </c>
      <c r="C6" s="111"/>
      <c r="D6" s="111"/>
      <c r="E6" s="108"/>
      <c r="F6" s="112">
        <f>F5</f>
        <v>0</v>
      </c>
      <c r="G6" s="112">
        <f>F6+G5</f>
        <v>0</v>
      </c>
      <c r="H6" s="112">
        <f>G6+H5</f>
        <v>0</v>
      </c>
      <c r="I6" s="112">
        <f t="shared" ref="I6:BT6" si="10">H6+I5</f>
        <v>0</v>
      </c>
      <c r="J6" s="112">
        <f t="shared" si="10"/>
        <v>0</v>
      </c>
      <c r="K6" s="112">
        <f t="shared" si="10"/>
        <v>0</v>
      </c>
      <c r="L6" s="112">
        <f t="shared" si="10"/>
        <v>0</v>
      </c>
      <c r="M6" s="112">
        <f t="shared" si="10"/>
        <v>0</v>
      </c>
      <c r="N6" s="112">
        <f t="shared" si="10"/>
        <v>0</v>
      </c>
      <c r="O6" s="112">
        <f t="shared" si="10"/>
        <v>0</v>
      </c>
      <c r="P6" s="112">
        <f t="shared" si="10"/>
        <v>0</v>
      </c>
      <c r="Q6" s="112">
        <f t="shared" si="10"/>
        <v>247198.35</v>
      </c>
      <c r="R6" s="112">
        <f t="shared" si="10"/>
        <v>470528.35</v>
      </c>
      <c r="S6" s="112">
        <f t="shared" si="10"/>
        <v>851815.16999999993</v>
      </c>
      <c r="T6" s="112">
        <f t="shared" si="10"/>
        <v>877153.82</v>
      </c>
      <c r="U6" s="112">
        <f t="shared" si="10"/>
        <v>877153.82</v>
      </c>
      <c r="V6" s="112">
        <f t="shared" si="10"/>
        <v>877153.82</v>
      </c>
      <c r="W6" s="112">
        <f t="shared" si="10"/>
        <v>877153.82</v>
      </c>
      <c r="X6" s="112">
        <f t="shared" si="10"/>
        <v>1702430.3199999998</v>
      </c>
      <c r="Y6" s="112">
        <f t="shared" si="10"/>
        <v>1702430.3199999998</v>
      </c>
      <c r="Z6" s="112">
        <f t="shared" si="10"/>
        <v>1702430.3199999998</v>
      </c>
      <c r="AA6" s="112">
        <f t="shared" si="10"/>
        <v>1702430.3199999998</v>
      </c>
      <c r="AB6" s="112">
        <f t="shared" si="10"/>
        <v>1702430.3199999998</v>
      </c>
      <c r="AC6" s="112">
        <f t="shared" si="10"/>
        <v>1702430.3199999998</v>
      </c>
      <c r="AD6" s="112">
        <f>AC6+AD5</f>
        <v>1702430.3199999998</v>
      </c>
      <c r="AE6" s="112">
        <f t="shared" si="10"/>
        <v>1702430.3199999998</v>
      </c>
      <c r="AF6" s="112">
        <f t="shared" si="10"/>
        <v>1702430.3199999998</v>
      </c>
      <c r="AG6" s="112">
        <f t="shared" si="10"/>
        <v>1702430.3199999998</v>
      </c>
      <c r="AH6" s="112">
        <f t="shared" si="10"/>
        <v>1702430.3199999998</v>
      </c>
      <c r="AI6" s="112">
        <f t="shared" si="10"/>
        <v>1702430.3199999998</v>
      </c>
      <c r="AJ6" s="112">
        <f t="shared" si="10"/>
        <v>1702430.3199999998</v>
      </c>
      <c r="AK6" s="112">
        <f t="shared" si="10"/>
        <v>1702430.3199999998</v>
      </c>
      <c r="AL6" s="112">
        <f t="shared" si="10"/>
        <v>1702430.3199999998</v>
      </c>
      <c r="AM6" s="112">
        <f t="shared" si="10"/>
        <v>1702430.3199999998</v>
      </c>
      <c r="AN6" s="112">
        <f t="shared" si="10"/>
        <v>1702430.3199999998</v>
      </c>
      <c r="AO6" s="112">
        <f t="shared" si="10"/>
        <v>1702430.3199999998</v>
      </c>
      <c r="AP6" s="112">
        <f t="shared" si="10"/>
        <v>1702430.3199999998</v>
      </c>
      <c r="AQ6" s="112">
        <f t="shared" si="10"/>
        <v>1702430.3199999998</v>
      </c>
      <c r="AR6" s="112">
        <f t="shared" si="10"/>
        <v>1702430.3199999998</v>
      </c>
      <c r="AS6" s="112">
        <f t="shared" si="10"/>
        <v>1702430.3199999998</v>
      </c>
      <c r="AT6" s="112">
        <f t="shared" si="10"/>
        <v>1702430.3199999998</v>
      </c>
      <c r="AU6" s="112">
        <f t="shared" si="10"/>
        <v>1702430.3199999998</v>
      </c>
      <c r="AV6" s="112">
        <f t="shared" si="10"/>
        <v>1702430.3199999998</v>
      </c>
      <c r="AW6" s="112">
        <f t="shared" si="10"/>
        <v>1702430.3199999998</v>
      </c>
      <c r="AX6" s="112">
        <f t="shared" si="10"/>
        <v>1702430.3199999998</v>
      </c>
      <c r="AY6" s="112">
        <f t="shared" si="10"/>
        <v>1702430.3199999998</v>
      </c>
      <c r="AZ6" s="112">
        <f t="shared" si="10"/>
        <v>1702430.3199999998</v>
      </c>
      <c r="BA6" s="112">
        <f t="shared" si="10"/>
        <v>1702430.3199999998</v>
      </c>
      <c r="BB6" s="112">
        <f t="shared" si="10"/>
        <v>1702430.3199999998</v>
      </c>
      <c r="BC6" s="112">
        <f t="shared" si="10"/>
        <v>1702430.3199999998</v>
      </c>
      <c r="BD6" s="112">
        <f t="shared" si="10"/>
        <v>1702430.3199999998</v>
      </c>
      <c r="BE6" s="112">
        <f t="shared" si="10"/>
        <v>1702430.3199999998</v>
      </c>
      <c r="BF6" s="112">
        <f t="shared" si="10"/>
        <v>1702430.3199999998</v>
      </c>
      <c r="BG6" s="112">
        <f t="shared" si="10"/>
        <v>1702430.3199999998</v>
      </c>
      <c r="BH6" s="112">
        <f t="shared" si="10"/>
        <v>1702430.3199999998</v>
      </c>
      <c r="BI6" s="112">
        <f t="shared" si="10"/>
        <v>1702430.3199999998</v>
      </c>
      <c r="BJ6" s="112">
        <f t="shared" si="10"/>
        <v>1702430.3199999998</v>
      </c>
      <c r="BK6" s="112">
        <f t="shared" si="10"/>
        <v>1702430.3199999998</v>
      </c>
      <c r="BL6" s="112">
        <f t="shared" si="10"/>
        <v>1702430.3199999998</v>
      </c>
      <c r="BM6" s="112">
        <f t="shared" si="10"/>
        <v>1702430.3199999998</v>
      </c>
      <c r="BN6" s="112">
        <f t="shared" si="10"/>
        <v>1702430.3199999998</v>
      </c>
      <c r="BO6" s="112">
        <f t="shared" si="10"/>
        <v>1702430.3199999998</v>
      </c>
      <c r="BP6" s="112">
        <f t="shared" si="10"/>
        <v>1702430.3199999998</v>
      </c>
      <c r="BQ6" s="112">
        <f t="shared" si="10"/>
        <v>1702430.3199999998</v>
      </c>
      <c r="BR6" s="112">
        <f t="shared" si="10"/>
        <v>1702430.3199999998</v>
      </c>
      <c r="BS6" s="112">
        <f t="shared" si="10"/>
        <v>1702430.3199999998</v>
      </c>
      <c r="BT6" s="112">
        <f t="shared" si="10"/>
        <v>1702430.3199999998</v>
      </c>
      <c r="BU6" s="112">
        <f t="shared" ref="BU6:EF6" si="11">BT6+BU5</f>
        <v>1702430.3199999998</v>
      </c>
      <c r="BV6" s="112">
        <f t="shared" si="11"/>
        <v>1702430.3199999998</v>
      </c>
      <c r="BW6" s="112">
        <f t="shared" si="11"/>
        <v>1702430.3199999998</v>
      </c>
      <c r="BX6" s="112">
        <f t="shared" si="11"/>
        <v>1702430.3199999998</v>
      </c>
      <c r="BY6" s="112">
        <f t="shared" si="11"/>
        <v>1702430.3199999998</v>
      </c>
      <c r="BZ6" s="112">
        <f t="shared" si="11"/>
        <v>1702430.3199999998</v>
      </c>
      <c r="CA6" s="112">
        <f t="shared" si="11"/>
        <v>1702430.3199999998</v>
      </c>
      <c r="CB6" s="112">
        <f t="shared" si="11"/>
        <v>1702430.3199999998</v>
      </c>
      <c r="CC6" s="112">
        <f t="shared" si="11"/>
        <v>1702430.3199999998</v>
      </c>
      <c r="CD6" s="112">
        <f t="shared" si="11"/>
        <v>1702430.3199999998</v>
      </c>
      <c r="CE6" s="112">
        <f t="shared" si="11"/>
        <v>1702430.3199999998</v>
      </c>
      <c r="CF6" s="112">
        <f t="shared" si="11"/>
        <v>1702430.3199999998</v>
      </c>
      <c r="CG6" s="112">
        <f t="shared" si="11"/>
        <v>1702430.3199999998</v>
      </c>
      <c r="CH6" s="112">
        <f t="shared" si="11"/>
        <v>1702430.3199999998</v>
      </c>
      <c r="CI6" s="112">
        <f t="shared" si="11"/>
        <v>1702430.3199999998</v>
      </c>
      <c r="CJ6" s="112">
        <f t="shared" si="11"/>
        <v>1702430.3199999998</v>
      </c>
      <c r="CK6" s="112">
        <f t="shared" si="11"/>
        <v>1702430.3199999998</v>
      </c>
      <c r="CL6" s="112">
        <f t="shared" si="11"/>
        <v>1702430.3199999998</v>
      </c>
      <c r="CM6" s="112">
        <f t="shared" si="11"/>
        <v>1702430.3199999998</v>
      </c>
      <c r="CN6" s="112">
        <f t="shared" si="11"/>
        <v>1702430.3199999998</v>
      </c>
      <c r="CO6" s="112">
        <f t="shared" si="11"/>
        <v>1702430.3199999998</v>
      </c>
      <c r="CP6" s="112">
        <f t="shared" si="11"/>
        <v>1702430.3199999998</v>
      </c>
      <c r="CQ6" s="112">
        <f t="shared" si="11"/>
        <v>1702430.3199999998</v>
      </c>
      <c r="CR6" s="112">
        <f t="shared" si="11"/>
        <v>1702430.3199999998</v>
      </c>
      <c r="CS6" s="112">
        <f t="shared" si="11"/>
        <v>1702430.3199999998</v>
      </c>
      <c r="CT6" s="112">
        <f t="shared" si="11"/>
        <v>1702430.3199999998</v>
      </c>
      <c r="CU6" s="112">
        <f t="shared" si="11"/>
        <v>1702430.3199999998</v>
      </c>
      <c r="CV6" s="112">
        <f t="shared" si="11"/>
        <v>1702430.3199999998</v>
      </c>
      <c r="CW6" s="112">
        <f t="shared" si="11"/>
        <v>1702430.3199999998</v>
      </c>
      <c r="CX6" s="112">
        <f t="shared" si="11"/>
        <v>1702430.3199999998</v>
      </c>
      <c r="CY6" s="112">
        <f t="shared" si="11"/>
        <v>1702430.3199999998</v>
      </c>
      <c r="CZ6" s="112">
        <f t="shared" si="11"/>
        <v>1702430.3199999998</v>
      </c>
      <c r="DA6" s="112">
        <f t="shared" si="11"/>
        <v>1702430.3199999998</v>
      </c>
      <c r="DB6" s="112">
        <f t="shared" si="11"/>
        <v>1702430.3199999998</v>
      </c>
      <c r="DC6" s="112">
        <f t="shared" si="11"/>
        <v>1702430.3199999998</v>
      </c>
      <c r="DD6" s="112">
        <f t="shared" si="11"/>
        <v>1702430.3199999998</v>
      </c>
      <c r="DE6" s="112">
        <f t="shared" si="11"/>
        <v>1702430.3199999998</v>
      </c>
      <c r="DF6" s="112">
        <f t="shared" si="11"/>
        <v>1702430.3199999998</v>
      </c>
      <c r="DG6" s="112">
        <f t="shared" si="11"/>
        <v>1702430.3199999998</v>
      </c>
      <c r="DH6" s="112">
        <f t="shared" si="11"/>
        <v>1702430.3199999998</v>
      </c>
      <c r="DI6" s="112">
        <f t="shared" si="11"/>
        <v>1702430.3199999998</v>
      </c>
      <c r="DJ6" s="112">
        <f t="shared" si="11"/>
        <v>1702430.3199999998</v>
      </c>
      <c r="DK6" s="112">
        <f t="shared" si="11"/>
        <v>1702430.3199999998</v>
      </c>
      <c r="DL6" s="112">
        <f t="shared" si="11"/>
        <v>1702430.3199999998</v>
      </c>
      <c r="DM6" s="112">
        <f t="shared" si="11"/>
        <v>1702430.3199999998</v>
      </c>
      <c r="DN6" s="112">
        <f t="shared" si="11"/>
        <v>1702430.3199999998</v>
      </c>
      <c r="DO6" s="112">
        <f t="shared" si="11"/>
        <v>1702430.3199999998</v>
      </c>
      <c r="DP6" s="112">
        <f t="shared" si="11"/>
        <v>1702430.3199999998</v>
      </c>
      <c r="DQ6" s="112">
        <f t="shared" si="11"/>
        <v>1702430.3199999998</v>
      </c>
      <c r="DR6" s="112">
        <f t="shared" si="11"/>
        <v>1702430.3199999998</v>
      </c>
      <c r="DS6" s="112">
        <f t="shared" si="11"/>
        <v>1702430.3199999998</v>
      </c>
      <c r="DT6" s="112">
        <f t="shared" si="11"/>
        <v>1702430.3199999998</v>
      </c>
      <c r="DU6" s="112">
        <f t="shared" si="11"/>
        <v>1702430.3199999998</v>
      </c>
      <c r="DV6" s="112">
        <f t="shared" si="11"/>
        <v>1702430.3199999998</v>
      </c>
      <c r="DW6" s="112">
        <f t="shared" si="11"/>
        <v>1702430.3199999998</v>
      </c>
      <c r="DX6" s="112">
        <f t="shared" si="11"/>
        <v>1702430.3199999998</v>
      </c>
      <c r="DY6" s="112">
        <f t="shared" si="11"/>
        <v>1702430.3199999998</v>
      </c>
      <c r="DZ6" s="112">
        <f t="shared" si="11"/>
        <v>1702430.3199999998</v>
      </c>
      <c r="EA6" s="112">
        <f t="shared" si="11"/>
        <v>1702430.3199999998</v>
      </c>
      <c r="EB6" s="112">
        <f t="shared" si="11"/>
        <v>1702430.3199999998</v>
      </c>
      <c r="EC6" s="112">
        <f t="shared" si="11"/>
        <v>1702430.3199999998</v>
      </c>
      <c r="ED6" s="112">
        <f t="shared" si="11"/>
        <v>1702430.3199999998</v>
      </c>
      <c r="EE6" s="112">
        <f t="shared" si="11"/>
        <v>1702430.3199999998</v>
      </c>
      <c r="EF6" s="112">
        <f t="shared" si="11"/>
        <v>1702430.3199999998</v>
      </c>
      <c r="EG6" s="112">
        <f t="shared" ref="EG6:GR6" si="12">EF6+EG5</f>
        <v>1702430.3199999998</v>
      </c>
      <c r="EH6" s="112">
        <f t="shared" si="12"/>
        <v>1702430.3199999998</v>
      </c>
      <c r="EI6" s="112">
        <f t="shared" si="12"/>
        <v>1702430.3199999998</v>
      </c>
      <c r="EJ6" s="112">
        <f t="shared" si="12"/>
        <v>1702430.3199999998</v>
      </c>
      <c r="EK6" s="112">
        <f t="shared" si="12"/>
        <v>1702430.3199999998</v>
      </c>
      <c r="EL6" s="112">
        <f t="shared" si="12"/>
        <v>1702430.3199999998</v>
      </c>
      <c r="EM6" s="112">
        <f t="shared" si="12"/>
        <v>1702430.3199999998</v>
      </c>
      <c r="EN6" s="112">
        <f t="shared" si="12"/>
        <v>1702430.3199999998</v>
      </c>
      <c r="EO6" s="112">
        <f t="shared" si="12"/>
        <v>1702430.3199999998</v>
      </c>
      <c r="EP6" s="112">
        <f t="shared" si="12"/>
        <v>1702430.3199999998</v>
      </c>
      <c r="EQ6" s="112">
        <f t="shared" si="12"/>
        <v>1702430.3199999998</v>
      </c>
      <c r="ER6" s="112">
        <f t="shared" si="12"/>
        <v>1702430.3199999998</v>
      </c>
      <c r="ES6" s="112">
        <f t="shared" si="12"/>
        <v>1702430.3199999998</v>
      </c>
      <c r="ET6" s="112">
        <f t="shared" si="12"/>
        <v>1702430.3199999998</v>
      </c>
      <c r="EU6" s="112">
        <f t="shared" si="12"/>
        <v>1702430.3199999998</v>
      </c>
      <c r="EV6" s="112">
        <f t="shared" si="12"/>
        <v>1702430.3199999998</v>
      </c>
      <c r="EW6" s="112">
        <f t="shared" si="12"/>
        <v>1702430.3199999998</v>
      </c>
      <c r="EX6" s="112">
        <f t="shared" si="12"/>
        <v>1702430.3199999998</v>
      </c>
      <c r="EY6" s="112">
        <f t="shared" si="12"/>
        <v>1702430.3199999998</v>
      </c>
      <c r="EZ6" s="112">
        <f t="shared" si="12"/>
        <v>1702430.3199999998</v>
      </c>
      <c r="FA6" s="112">
        <f t="shared" si="12"/>
        <v>1702430.3199999998</v>
      </c>
      <c r="FB6" s="112">
        <f t="shared" si="12"/>
        <v>1702430.3199999998</v>
      </c>
      <c r="FC6" s="112">
        <f t="shared" si="12"/>
        <v>1702430.3199999998</v>
      </c>
      <c r="FD6" s="112">
        <f t="shared" si="12"/>
        <v>1702430.3199999998</v>
      </c>
      <c r="FE6" s="112">
        <f t="shared" si="12"/>
        <v>1702430.3199999998</v>
      </c>
      <c r="FF6" s="112">
        <f t="shared" si="12"/>
        <v>1702430.3199999998</v>
      </c>
      <c r="FG6" s="112">
        <f t="shared" si="12"/>
        <v>1702430.3199999998</v>
      </c>
      <c r="FH6" s="112">
        <f t="shared" si="12"/>
        <v>1702430.3199999998</v>
      </c>
      <c r="FI6" s="112">
        <f t="shared" si="12"/>
        <v>1702430.3199999998</v>
      </c>
      <c r="FJ6" s="112">
        <f t="shared" si="12"/>
        <v>1702430.3199999998</v>
      </c>
      <c r="FK6" s="112">
        <f t="shared" si="12"/>
        <v>1702430.3199999998</v>
      </c>
      <c r="FL6" s="112">
        <f t="shared" si="12"/>
        <v>1702430.3199999998</v>
      </c>
      <c r="FM6" s="112">
        <f t="shared" si="12"/>
        <v>1702430.3199999998</v>
      </c>
      <c r="FN6" s="112">
        <f t="shared" si="12"/>
        <v>1702430.3199999998</v>
      </c>
      <c r="FO6" s="112">
        <f t="shared" si="12"/>
        <v>1702430.3199999998</v>
      </c>
      <c r="FP6" s="112">
        <f t="shared" si="12"/>
        <v>1702430.3199999998</v>
      </c>
      <c r="FQ6" s="112">
        <f t="shared" si="12"/>
        <v>1702430.3199999998</v>
      </c>
      <c r="FR6" s="112">
        <f t="shared" si="12"/>
        <v>1702430.3199999998</v>
      </c>
      <c r="FS6" s="112">
        <f t="shared" si="12"/>
        <v>1702430.3199999998</v>
      </c>
      <c r="FT6" s="112">
        <f t="shared" si="12"/>
        <v>1702430.3199999998</v>
      </c>
      <c r="FU6" s="112">
        <f t="shared" si="12"/>
        <v>1702430.3199999998</v>
      </c>
      <c r="FV6" s="112">
        <f t="shared" si="12"/>
        <v>1702430.3199999998</v>
      </c>
      <c r="FW6" s="112">
        <f t="shared" si="12"/>
        <v>1702430.3199999998</v>
      </c>
      <c r="FX6" s="112">
        <f t="shared" si="12"/>
        <v>1702430.3199999998</v>
      </c>
      <c r="FY6" s="112">
        <f t="shared" si="12"/>
        <v>1702430.3199999998</v>
      </c>
      <c r="FZ6" s="112">
        <f t="shared" si="12"/>
        <v>1702430.3199999998</v>
      </c>
      <c r="GA6" s="112">
        <f t="shared" si="12"/>
        <v>1702430.3199999998</v>
      </c>
      <c r="GB6" s="112">
        <f t="shared" si="12"/>
        <v>1702430.3199999998</v>
      </c>
      <c r="GC6" s="112">
        <f t="shared" si="12"/>
        <v>1702430.3199999998</v>
      </c>
      <c r="GD6" s="112">
        <f t="shared" si="12"/>
        <v>1702430.3199999998</v>
      </c>
      <c r="GE6" s="112">
        <f t="shared" si="12"/>
        <v>1702430.3199999998</v>
      </c>
      <c r="GF6" s="112">
        <f t="shared" si="12"/>
        <v>1702430.3199999998</v>
      </c>
      <c r="GG6" s="112">
        <f t="shared" si="12"/>
        <v>1702430.3199999998</v>
      </c>
      <c r="GH6" s="112">
        <f t="shared" si="12"/>
        <v>1702430.3199999998</v>
      </c>
      <c r="GI6" s="112">
        <f t="shared" si="12"/>
        <v>1702430.3199999998</v>
      </c>
      <c r="GJ6" s="112">
        <f t="shared" si="12"/>
        <v>1702430.3199999998</v>
      </c>
      <c r="GK6" s="112">
        <f t="shared" si="12"/>
        <v>1702430.3199999998</v>
      </c>
      <c r="GL6" s="112">
        <f t="shared" si="12"/>
        <v>1702430.3199999998</v>
      </c>
      <c r="GM6" s="112">
        <f t="shared" si="12"/>
        <v>1702430.3199999998</v>
      </c>
      <c r="GN6" s="112">
        <f t="shared" si="12"/>
        <v>1702430.3199999998</v>
      </c>
      <c r="GO6" s="112">
        <f t="shared" si="12"/>
        <v>1702430.3199999998</v>
      </c>
      <c r="GP6" s="112">
        <f t="shared" si="12"/>
        <v>1702430.3199999998</v>
      </c>
      <c r="GQ6" s="112">
        <f t="shared" si="12"/>
        <v>1702430.3199999998</v>
      </c>
      <c r="GR6" s="112">
        <f t="shared" si="12"/>
        <v>1702430.3199999998</v>
      </c>
      <c r="GS6" s="112">
        <f t="shared" ref="GS6:JD6" si="13">GR6+GS5</f>
        <v>1702430.3199999998</v>
      </c>
      <c r="GT6" s="112">
        <f t="shared" si="13"/>
        <v>1702430.3199999998</v>
      </c>
      <c r="GU6" s="112">
        <f t="shared" si="13"/>
        <v>1702430.3199999998</v>
      </c>
      <c r="GV6" s="112">
        <f t="shared" si="13"/>
        <v>1702430.3199999998</v>
      </c>
      <c r="GW6" s="112">
        <f t="shared" si="13"/>
        <v>1702430.3199999998</v>
      </c>
      <c r="GX6" s="112">
        <f t="shared" si="13"/>
        <v>1702430.3199999998</v>
      </c>
      <c r="GY6" s="112">
        <f t="shared" si="13"/>
        <v>1702430.3199999998</v>
      </c>
      <c r="GZ6" s="112">
        <f t="shared" si="13"/>
        <v>1702430.3199999998</v>
      </c>
      <c r="HA6" s="112">
        <f t="shared" si="13"/>
        <v>1702430.3199999998</v>
      </c>
      <c r="HB6" s="112">
        <f t="shared" si="13"/>
        <v>1702430.3199999998</v>
      </c>
      <c r="HC6" s="112">
        <f t="shared" si="13"/>
        <v>1702430.3199999998</v>
      </c>
      <c r="HD6" s="112">
        <f t="shared" si="13"/>
        <v>1702430.3199999998</v>
      </c>
      <c r="HE6" s="112">
        <f t="shared" si="13"/>
        <v>1702430.3199999998</v>
      </c>
      <c r="HF6" s="112">
        <f t="shared" si="13"/>
        <v>1702430.3199999998</v>
      </c>
      <c r="HG6" s="112">
        <f t="shared" si="13"/>
        <v>1702430.3199999998</v>
      </c>
      <c r="HH6" s="112">
        <f t="shared" si="13"/>
        <v>1702430.3199999998</v>
      </c>
      <c r="HI6" s="112">
        <f t="shared" si="13"/>
        <v>1702430.3199999998</v>
      </c>
      <c r="HJ6" s="112">
        <f t="shared" si="13"/>
        <v>1702430.3199999998</v>
      </c>
      <c r="HK6" s="112">
        <f t="shared" si="13"/>
        <v>1702430.3199999998</v>
      </c>
      <c r="HL6" s="112">
        <f t="shared" si="13"/>
        <v>1702430.3199999998</v>
      </c>
      <c r="HM6" s="112">
        <f t="shared" si="13"/>
        <v>1702430.3199999998</v>
      </c>
      <c r="HN6" s="112">
        <f t="shared" si="13"/>
        <v>1702430.3199999998</v>
      </c>
      <c r="HO6" s="112">
        <f t="shared" si="13"/>
        <v>1702430.3199999998</v>
      </c>
      <c r="HP6" s="112">
        <f t="shared" si="13"/>
        <v>1702430.3199999998</v>
      </c>
      <c r="HQ6" s="112">
        <f t="shared" si="13"/>
        <v>1702430.3199999998</v>
      </c>
      <c r="HR6" s="112">
        <f t="shared" si="13"/>
        <v>1702430.3199999998</v>
      </c>
      <c r="HS6" s="112">
        <f t="shared" si="13"/>
        <v>1702430.3199999998</v>
      </c>
      <c r="HT6" s="112">
        <f t="shared" si="13"/>
        <v>1702430.3199999998</v>
      </c>
      <c r="HU6" s="112">
        <f t="shared" si="13"/>
        <v>1702430.3199999998</v>
      </c>
      <c r="HV6" s="112">
        <f t="shared" si="13"/>
        <v>1702430.3199999998</v>
      </c>
      <c r="HW6" s="112">
        <f t="shared" si="13"/>
        <v>1702430.3199999998</v>
      </c>
      <c r="HX6" s="112">
        <f t="shared" si="13"/>
        <v>1702430.3199999998</v>
      </c>
      <c r="HY6" s="112">
        <f t="shared" si="13"/>
        <v>1702430.3199999998</v>
      </c>
      <c r="HZ6" s="112">
        <f t="shared" si="13"/>
        <v>1702430.3199999998</v>
      </c>
      <c r="IA6" s="112">
        <f t="shared" si="13"/>
        <v>1702430.3199999998</v>
      </c>
      <c r="IB6" s="112">
        <f t="shared" si="13"/>
        <v>1702430.3199999998</v>
      </c>
      <c r="IC6" s="112">
        <f t="shared" si="13"/>
        <v>1702430.3199999998</v>
      </c>
      <c r="ID6" s="112">
        <f t="shared" si="13"/>
        <v>1702430.3199999998</v>
      </c>
      <c r="IE6" s="112">
        <f t="shared" si="13"/>
        <v>1702430.3199999998</v>
      </c>
      <c r="IF6" s="112">
        <f t="shared" si="13"/>
        <v>1702430.3199999998</v>
      </c>
      <c r="IG6" s="112">
        <f t="shared" si="13"/>
        <v>1702430.3199999998</v>
      </c>
      <c r="IH6" s="112">
        <f t="shared" si="13"/>
        <v>1702430.3199999998</v>
      </c>
      <c r="II6" s="112">
        <f t="shared" si="13"/>
        <v>1702430.3199999998</v>
      </c>
      <c r="IJ6" s="112">
        <f t="shared" si="13"/>
        <v>1702430.3199999998</v>
      </c>
      <c r="IK6" s="112">
        <f t="shared" si="13"/>
        <v>1702430.3199999998</v>
      </c>
      <c r="IL6" s="112">
        <f t="shared" si="13"/>
        <v>1702430.3199999998</v>
      </c>
      <c r="IM6" s="112">
        <f t="shared" si="13"/>
        <v>1702430.3199999998</v>
      </c>
      <c r="IN6" s="112">
        <f t="shared" si="13"/>
        <v>1702430.3199999998</v>
      </c>
      <c r="IO6" s="112">
        <f t="shared" si="13"/>
        <v>1702430.3199999998</v>
      </c>
      <c r="IP6" s="112">
        <f t="shared" si="13"/>
        <v>1702430.3199999998</v>
      </c>
      <c r="IQ6" s="112">
        <f t="shared" si="13"/>
        <v>1702430.3199999998</v>
      </c>
      <c r="IR6" s="112">
        <f t="shared" si="13"/>
        <v>1702430.3199999998</v>
      </c>
      <c r="IS6" s="112">
        <f t="shared" si="13"/>
        <v>1702430.3199999998</v>
      </c>
      <c r="IT6" s="112">
        <f t="shared" si="13"/>
        <v>1702430.3199999998</v>
      </c>
      <c r="IU6" s="112">
        <f t="shared" si="13"/>
        <v>1702430.3199999998</v>
      </c>
      <c r="IV6" s="112">
        <f t="shared" si="13"/>
        <v>1702430.3199999998</v>
      </c>
      <c r="IW6" s="112">
        <f t="shared" si="13"/>
        <v>1702430.3199999998</v>
      </c>
      <c r="IX6" s="112">
        <f t="shared" si="13"/>
        <v>1702430.3199999998</v>
      </c>
      <c r="IY6" s="112">
        <f t="shared" si="13"/>
        <v>1702430.3199999998</v>
      </c>
      <c r="IZ6" s="112">
        <f t="shared" si="13"/>
        <v>1702430.3199999998</v>
      </c>
      <c r="JA6" s="112">
        <f t="shared" si="13"/>
        <v>1702430.3199999998</v>
      </c>
      <c r="JB6" s="112">
        <f t="shared" si="13"/>
        <v>1702430.3199999998</v>
      </c>
      <c r="JC6" s="112">
        <f t="shared" si="13"/>
        <v>1702430.3199999998</v>
      </c>
      <c r="JD6" s="112">
        <f t="shared" si="13"/>
        <v>1702430.3199999998</v>
      </c>
      <c r="JE6" s="112">
        <f t="shared" ref="JE6:KF6" si="14">JD6+JE5</f>
        <v>1702430.3199999998</v>
      </c>
      <c r="JF6" s="112">
        <f t="shared" si="14"/>
        <v>1702430.3199999998</v>
      </c>
      <c r="JG6" s="112">
        <f t="shared" si="14"/>
        <v>1702430.3199999998</v>
      </c>
      <c r="JH6" s="112">
        <f t="shared" si="14"/>
        <v>1702430.3199999998</v>
      </c>
      <c r="JI6" s="112">
        <f t="shared" si="14"/>
        <v>1702430.3199999998</v>
      </c>
      <c r="JJ6" s="112">
        <f t="shared" si="14"/>
        <v>1702430.3199999998</v>
      </c>
      <c r="JK6" s="112">
        <f t="shared" si="14"/>
        <v>1702430.3199999998</v>
      </c>
      <c r="JL6" s="112">
        <f t="shared" si="14"/>
        <v>1702430.3199999998</v>
      </c>
      <c r="JM6" s="112">
        <f t="shared" si="14"/>
        <v>1702430.3199999998</v>
      </c>
      <c r="JN6" s="112">
        <f t="shared" si="14"/>
        <v>1702430.3199999998</v>
      </c>
      <c r="JO6" s="112">
        <f t="shared" si="14"/>
        <v>1702430.3199999998</v>
      </c>
      <c r="JP6" s="112">
        <f t="shared" si="14"/>
        <v>1702430.3199999998</v>
      </c>
      <c r="JQ6" s="112">
        <f t="shared" si="14"/>
        <v>1702430.3199999998</v>
      </c>
      <c r="JR6" s="112">
        <f t="shared" si="14"/>
        <v>1702430.3199999998</v>
      </c>
      <c r="JS6" s="112">
        <f t="shared" si="14"/>
        <v>1702430.3199999998</v>
      </c>
      <c r="JT6" s="112">
        <f t="shared" si="14"/>
        <v>1702430.3199999998</v>
      </c>
      <c r="JU6" s="112">
        <f t="shared" si="14"/>
        <v>1702430.3199999998</v>
      </c>
      <c r="JV6" s="112">
        <f t="shared" si="14"/>
        <v>1702430.3199999998</v>
      </c>
      <c r="JW6" s="112">
        <f t="shared" si="14"/>
        <v>1702430.3199999998</v>
      </c>
      <c r="JX6" s="112">
        <f t="shared" si="14"/>
        <v>1702430.3199999998</v>
      </c>
      <c r="JY6" s="112">
        <f t="shared" si="14"/>
        <v>1702430.3199999998</v>
      </c>
      <c r="JZ6" s="112">
        <f t="shared" si="14"/>
        <v>1702430.3199999998</v>
      </c>
      <c r="KA6" s="112">
        <f t="shared" si="14"/>
        <v>1702430.3199999998</v>
      </c>
      <c r="KB6" s="112">
        <f t="shared" si="14"/>
        <v>1702430.3199999998</v>
      </c>
      <c r="KC6" s="112">
        <f t="shared" si="14"/>
        <v>1702430.3199999998</v>
      </c>
      <c r="KD6" s="112">
        <f t="shared" si="14"/>
        <v>1702430.3199999998</v>
      </c>
      <c r="KE6" s="112">
        <f t="shared" si="14"/>
        <v>1702430.3199999998</v>
      </c>
      <c r="KF6" s="112">
        <f t="shared" si="14"/>
        <v>1702430.3199999998</v>
      </c>
      <c r="KG6" s="102"/>
      <c r="KH6" s="113"/>
    </row>
    <row r="7" spans="1:770">
      <c r="A7" s="749"/>
      <c r="B7" s="115" t="s">
        <v>415</v>
      </c>
      <c r="C7" s="116"/>
      <c r="D7" s="116"/>
      <c r="E7" s="117"/>
      <c r="F7" s="118">
        <f t="shared" ref="F7:H7" si="15">F4-F6</f>
        <v>0</v>
      </c>
      <c r="G7" s="118">
        <f t="shared" si="15"/>
        <v>1038718.14</v>
      </c>
      <c r="H7" s="118">
        <f t="shared" si="15"/>
        <v>1038718.14</v>
      </c>
      <c r="I7" s="118">
        <f t="shared" ref="I7:BT7" si="16">I4-I6</f>
        <v>1038718.14</v>
      </c>
      <c r="J7" s="118">
        <f t="shared" si="16"/>
        <v>1038718.14</v>
      </c>
      <c r="K7" s="118">
        <f t="shared" si="16"/>
        <v>1038718.14</v>
      </c>
      <c r="L7" s="118">
        <f t="shared" si="16"/>
        <v>1038718.14</v>
      </c>
      <c r="M7" s="118">
        <f t="shared" si="16"/>
        <v>1038718.14</v>
      </c>
      <c r="N7" s="118">
        <f t="shared" si="16"/>
        <v>1038718.14</v>
      </c>
      <c r="O7" s="118">
        <f t="shared" si="16"/>
        <v>1038718.14</v>
      </c>
      <c r="P7" s="118">
        <f t="shared" si="16"/>
        <v>1765820.838</v>
      </c>
      <c r="Q7" s="118">
        <f t="shared" si="16"/>
        <v>1518622.4879999999</v>
      </c>
      <c r="R7" s="118">
        <f t="shared" si="16"/>
        <v>1295292.4879999999</v>
      </c>
      <c r="S7" s="118">
        <f t="shared" si="16"/>
        <v>1121749.2960000001</v>
      </c>
      <c r="T7" s="118">
        <f t="shared" si="16"/>
        <v>1200282.46</v>
      </c>
      <c r="U7" s="118">
        <f t="shared" si="16"/>
        <v>1200282.46</v>
      </c>
      <c r="V7" s="118">
        <f t="shared" si="16"/>
        <v>1200282.46</v>
      </c>
      <c r="W7" s="118">
        <f t="shared" si="16"/>
        <v>1200282.46</v>
      </c>
      <c r="X7" s="118">
        <f t="shared" si="16"/>
        <v>375005.9600000002</v>
      </c>
      <c r="Y7" s="118">
        <f t="shared" si="16"/>
        <v>375005.9600000002</v>
      </c>
      <c r="Z7" s="118">
        <f t="shared" si="16"/>
        <v>375005.9600000002</v>
      </c>
      <c r="AA7" s="118">
        <f t="shared" si="16"/>
        <v>375005.9600000002</v>
      </c>
      <c r="AB7" s="118">
        <f t="shared" si="16"/>
        <v>375005.9600000002</v>
      </c>
      <c r="AC7" s="118">
        <f t="shared" si="16"/>
        <v>375005.9600000002</v>
      </c>
      <c r="AD7" s="118">
        <f t="shared" si="16"/>
        <v>375005.9600000002</v>
      </c>
      <c r="AE7" s="118">
        <f t="shared" si="16"/>
        <v>375005.9600000002</v>
      </c>
      <c r="AF7" s="118">
        <f t="shared" si="16"/>
        <v>375005.9600000002</v>
      </c>
      <c r="AG7" s="118">
        <f t="shared" si="16"/>
        <v>375005.9600000002</v>
      </c>
      <c r="AH7" s="118">
        <f t="shared" si="16"/>
        <v>375005.9600000002</v>
      </c>
      <c r="AI7" s="118">
        <f t="shared" si="16"/>
        <v>375005.9600000002</v>
      </c>
      <c r="AJ7" s="118">
        <f t="shared" si="16"/>
        <v>375005.9600000002</v>
      </c>
      <c r="AK7" s="118">
        <f t="shared" si="16"/>
        <v>375005.9600000002</v>
      </c>
      <c r="AL7" s="118">
        <f t="shared" si="16"/>
        <v>375005.9600000002</v>
      </c>
      <c r="AM7" s="118">
        <f t="shared" si="16"/>
        <v>375005.9600000002</v>
      </c>
      <c r="AN7" s="118">
        <f t="shared" si="16"/>
        <v>375005.9600000002</v>
      </c>
      <c r="AO7" s="118">
        <f t="shared" si="16"/>
        <v>375005.9600000002</v>
      </c>
      <c r="AP7" s="118">
        <f t="shared" si="16"/>
        <v>375005.9600000002</v>
      </c>
      <c r="AQ7" s="118">
        <f t="shared" si="16"/>
        <v>375005.9600000002</v>
      </c>
      <c r="AR7" s="118">
        <f t="shared" si="16"/>
        <v>375005.9600000002</v>
      </c>
      <c r="AS7" s="118">
        <f t="shared" si="16"/>
        <v>375005.9600000002</v>
      </c>
      <c r="AT7" s="118">
        <f t="shared" si="16"/>
        <v>375005.9600000002</v>
      </c>
      <c r="AU7" s="118">
        <f t="shared" si="16"/>
        <v>375005.9600000002</v>
      </c>
      <c r="AV7" s="118">
        <f t="shared" si="16"/>
        <v>375005.9600000002</v>
      </c>
      <c r="AW7" s="118">
        <f t="shared" si="16"/>
        <v>375005.9600000002</v>
      </c>
      <c r="AX7" s="118">
        <f t="shared" si="16"/>
        <v>375005.9600000002</v>
      </c>
      <c r="AY7" s="118">
        <f t="shared" si="16"/>
        <v>375005.9600000002</v>
      </c>
      <c r="AZ7" s="118">
        <f t="shared" si="16"/>
        <v>375005.9600000002</v>
      </c>
      <c r="BA7" s="118">
        <f t="shared" si="16"/>
        <v>375005.9600000002</v>
      </c>
      <c r="BB7" s="118">
        <f t="shared" si="16"/>
        <v>375005.9600000002</v>
      </c>
      <c r="BC7" s="118">
        <f t="shared" si="16"/>
        <v>375005.9600000002</v>
      </c>
      <c r="BD7" s="118">
        <f t="shared" si="16"/>
        <v>375005.9600000002</v>
      </c>
      <c r="BE7" s="118">
        <f t="shared" si="16"/>
        <v>375005.9600000002</v>
      </c>
      <c r="BF7" s="118">
        <f t="shared" si="16"/>
        <v>375005.9600000002</v>
      </c>
      <c r="BG7" s="118">
        <f t="shared" si="16"/>
        <v>375005.9600000002</v>
      </c>
      <c r="BH7" s="118">
        <f t="shared" si="16"/>
        <v>375005.9600000002</v>
      </c>
      <c r="BI7" s="118">
        <f t="shared" si="16"/>
        <v>375005.9600000002</v>
      </c>
      <c r="BJ7" s="118">
        <f t="shared" si="16"/>
        <v>375005.9600000002</v>
      </c>
      <c r="BK7" s="118">
        <f t="shared" si="16"/>
        <v>375005.9600000002</v>
      </c>
      <c r="BL7" s="118">
        <f t="shared" si="16"/>
        <v>375005.9600000002</v>
      </c>
      <c r="BM7" s="118">
        <f t="shared" si="16"/>
        <v>375005.9600000002</v>
      </c>
      <c r="BN7" s="118">
        <f t="shared" si="16"/>
        <v>375005.9600000002</v>
      </c>
      <c r="BO7" s="118">
        <f t="shared" si="16"/>
        <v>375005.9600000002</v>
      </c>
      <c r="BP7" s="118">
        <f t="shared" si="16"/>
        <v>375005.9600000002</v>
      </c>
      <c r="BQ7" s="118">
        <f t="shared" si="16"/>
        <v>375005.9600000002</v>
      </c>
      <c r="BR7" s="118">
        <f t="shared" si="16"/>
        <v>375005.9600000002</v>
      </c>
      <c r="BS7" s="118">
        <f t="shared" si="16"/>
        <v>375005.9600000002</v>
      </c>
      <c r="BT7" s="118">
        <f t="shared" si="16"/>
        <v>375005.9600000002</v>
      </c>
      <c r="BU7" s="118">
        <f t="shared" ref="BU7:EF7" si="17">BU4-BU6</f>
        <v>375005.9600000002</v>
      </c>
      <c r="BV7" s="118">
        <f t="shared" si="17"/>
        <v>375005.9600000002</v>
      </c>
      <c r="BW7" s="118">
        <f t="shared" si="17"/>
        <v>375005.9600000002</v>
      </c>
      <c r="BX7" s="118">
        <f t="shared" si="17"/>
        <v>375005.9600000002</v>
      </c>
      <c r="BY7" s="118">
        <f t="shared" si="17"/>
        <v>375005.9600000002</v>
      </c>
      <c r="BZ7" s="118">
        <f t="shared" si="17"/>
        <v>375005.9600000002</v>
      </c>
      <c r="CA7" s="118">
        <f t="shared" si="17"/>
        <v>375005.9600000002</v>
      </c>
      <c r="CB7" s="118">
        <f t="shared" si="17"/>
        <v>375005.9600000002</v>
      </c>
      <c r="CC7" s="118">
        <f t="shared" si="17"/>
        <v>375005.9600000002</v>
      </c>
      <c r="CD7" s="118">
        <f t="shared" si="17"/>
        <v>375005.9600000002</v>
      </c>
      <c r="CE7" s="118">
        <f t="shared" si="17"/>
        <v>375005.9600000002</v>
      </c>
      <c r="CF7" s="118">
        <f t="shared" si="17"/>
        <v>375005.9600000002</v>
      </c>
      <c r="CG7" s="118">
        <f t="shared" si="17"/>
        <v>375005.9600000002</v>
      </c>
      <c r="CH7" s="118">
        <f t="shared" si="17"/>
        <v>375005.9600000002</v>
      </c>
      <c r="CI7" s="118">
        <f t="shared" si="17"/>
        <v>375005.9600000002</v>
      </c>
      <c r="CJ7" s="118">
        <f t="shared" si="17"/>
        <v>375005.9600000002</v>
      </c>
      <c r="CK7" s="118">
        <f t="shared" si="17"/>
        <v>375005.9600000002</v>
      </c>
      <c r="CL7" s="118">
        <f t="shared" si="17"/>
        <v>375005.9600000002</v>
      </c>
      <c r="CM7" s="118">
        <f t="shared" si="17"/>
        <v>375005.9600000002</v>
      </c>
      <c r="CN7" s="118">
        <f t="shared" si="17"/>
        <v>375005.9600000002</v>
      </c>
      <c r="CO7" s="118">
        <f t="shared" si="17"/>
        <v>375005.9600000002</v>
      </c>
      <c r="CP7" s="118">
        <f t="shared" si="17"/>
        <v>375005.9600000002</v>
      </c>
      <c r="CQ7" s="118">
        <f t="shared" si="17"/>
        <v>375005.9600000002</v>
      </c>
      <c r="CR7" s="118">
        <f t="shared" si="17"/>
        <v>375005.9600000002</v>
      </c>
      <c r="CS7" s="118">
        <f t="shared" si="17"/>
        <v>375005.9600000002</v>
      </c>
      <c r="CT7" s="118">
        <f t="shared" si="17"/>
        <v>375005.9600000002</v>
      </c>
      <c r="CU7" s="118">
        <f t="shared" si="17"/>
        <v>375005.9600000002</v>
      </c>
      <c r="CV7" s="118">
        <f t="shared" si="17"/>
        <v>375005.9600000002</v>
      </c>
      <c r="CW7" s="118">
        <f t="shared" si="17"/>
        <v>375005.9600000002</v>
      </c>
      <c r="CX7" s="118">
        <f t="shared" si="17"/>
        <v>375005.9600000002</v>
      </c>
      <c r="CY7" s="118">
        <f t="shared" si="17"/>
        <v>375005.9600000002</v>
      </c>
      <c r="CZ7" s="118">
        <f t="shared" si="17"/>
        <v>375005.9600000002</v>
      </c>
      <c r="DA7" s="118">
        <f t="shared" si="17"/>
        <v>375005.9600000002</v>
      </c>
      <c r="DB7" s="118">
        <f t="shared" si="17"/>
        <v>375005.9600000002</v>
      </c>
      <c r="DC7" s="118">
        <f t="shared" si="17"/>
        <v>375005.9600000002</v>
      </c>
      <c r="DD7" s="118">
        <f t="shared" si="17"/>
        <v>375005.9600000002</v>
      </c>
      <c r="DE7" s="118">
        <f t="shared" si="17"/>
        <v>375005.9600000002</v>
      </c>
      <c r="DF7" s="118">
        <f t="shared" si="17"/>
        <v>375005.9600000002</v>
      </c>
      <c r="DG7" s="118">
        <f t="shared" si="17"/>
        <v>375005.9600000002</v>
      </c>
      <c r="DH7" s="118">
        <f t="shared" si="17"/>
        <v>375005.9600000002</v>
      </c>
      <c r="DI7" s="118">
        <f t="shared" si="17"/>
        <v>375005.9600000002</v>
      </c>
      <c r="DJ7" s="118">
        <f t="shared" si="17"/>
        <v>375005.9600000002</v>
      </c>
      <c r="DK7" s="118">
        <f t="shared" si="17"/>
        <v>375005.9600000002</v>
      </c>
      <c r="DL7" s="118">
        <f t="shared" si="17"/>
        <v>375005.9600000002</v>
      </c>
      <c r="DM7" s="118">
        <f t="shared" si="17"/>
        <v>375005.9600000002</v>
      </c>
      <c r="DN7" s="118">
        <f t="shared" si="17"/>
        <v>375005.9600000002</v>
      </c>
      <c r="DO7" s="118">
        <f t="shared" si="17"/>
        <v>375005.9600000002</v>
      </c>
      <c r="DP7" s="118">
        <f t="shared" si="17"/>
        <v>375005.9600000002</v>
      </c>
      <c r="DQ7" s="118">
        <f t="shared" si="17"/>
        <v>375005.9600000002</v>
      </c>
      <c r="DR7" s="118">
        <f t="shared" si="17"/>
        <v>375005.9600000002</v>
      </c>
      <c r="DS7" s="118">
        <f t="shared" si="17"/>
        <v>375005.9600000002</v>
      </c>
      <c r="DT7" s="118">
        <f t="shared" si="17"/>
        <v>375005.9600000002</v>
      </c>
      <c r="DU7" s="118">
        <f t="shared" si="17"/>
        <v>375005.9600000002</v>
      </c>
      <c r="DV7" s="118">
        <f t="shared" si="17"/>
        <v>375005.9600000002</v>
      </c>
      <c r="DW7" s="118">
        <f t="shared" si="17"/>
        <v>375005.9600000002</v>
      </c>
      <c r="DX7" s="118">
        <f t="shared" si="17"/>
        <v>375005.9600000002</v>
      </c>
      <c r="DY7" s="118">
        <f t="shared" si="17"/>
        <v>375005.9600000002</v>
      </c>
      <c r="DZ7" s="118">
        <f t="shared" si="17"/>
        <v>375005.9600000002</v>
      </c>
      <c r="EA7" s="118">
        <f t="shared" si="17"/>
        <v>375005.9600000002</v>
      </c>
      <c r="EB7" s="118">
        <f t="shared" si="17"/>
        <v>375005.9600000002</v>
      </c>
      <c r="EC7" s="118">
        <f t="shared" si="17"/>
        <v>375005.9600000002</v>
      </c>
      <c r="ED7" s="118">
        <f t="shared" si="17"/>
        <v>375005.9600000002</v>
      </c>
      <c r="EE7" s="118">
        <f t="shared" si="17"/>
        <v>375005.9600000002</v>
      </c>
      <c r="EF7" s="118">
        <f t="shared" si="17"/>
        <v>375005.9600000002</v>
      </c>
      <c r="EG7" s="118">
        <f t="shared" ref="EG7:GR7" si="18">EG4-EG6</f>
        <v>375005.9600000002</v>
      </c>
      <c r="EH7" s="118">
        <f t="shared" si="18"/>
        <v>375005.9600000002</v>
      </c>
      <c r="EI7" s="118">
        <f t="shared" si="18"/>
        <v>375005.9600000002</v>
      </c>
      <c r="EJ7" s="118">
        <f t="shared" si="18"/>
        <v>375005.9600000002</v>
      </c>
      <c r="EK7" s="118">
        <f t="shared" si="18"/>
        <v>375005.9600000002</v>
      </c>
      <c r="EL7" s="118">
        <f t="shared" si="18"/>
        <v>375005.9600000002</v>
      </c>
      <c r="EM7" s="118">
        <f t="shared" si="18"/>
        <v>375005.9600000002</v>
      </c>
      <c r="EN7" s="118">
        <f t="shared" si="18"/>
        <v>375005.9600000002</v>
      </c>
      <c r="EO7" s="118">
        <f t="shared" si="18"/>
        <v>375005.9600000002</v>
      </c>
      <c r="EP7" s="118">
        <f t="shared" si="18"/>
        <v>375005.9600000002</v>
      </c>
      <c r="EQ7" s="118">
        <f t="shared" si="18"/>
        <v>375005.9600000002</v>
      </c>
      <c r="ER7" s="118">
        <f t="shared" si="18"/>
        <v>375005.9600000002</v>
      </c>
      <c r="ES7" s="118">
        <f t="shared" si="18"/>
        <v>375005.9600000002</v>
      </c>
      <c r="ET7" s="118">
        <f t="shared" si="18"/>
        <v>375005.9600000002</v>
      </c>
      <c r="EU7" s="118">
        <f t="shared" si="18"/>
        <v>375005.9600000002</v>
      </c>
      <c r="EV7" s="118">
        <f t="shared" si="18"/>
        <v>375005.9600000002</v>
      </c>
      <c r="EW7" s="118">
        <f t="shared" si="18"/>
        <v>375005.9600000002</v>
      </c>
      <c r="EX7" s="118">
        <f t="shared" si="18"/>
        <v>375005.9600000002</v>
      </c>
      <c r="EY7" s="118">
        <f t="shared" si="18"/>
        <v>375005.9600000002</v>
      </c>
      <c r="EZ7" s="118">
        <f t="shared" si="18"/>
        <v>375005.9600000002</v>
      </c>
      <c r="FA7" s="118">
        <f t="shared" si="18"/>
        <v>375005.9600000002</v>
      </c>
      <c r="FB7" s="118">
        <f t="shared" si="18"/>
        <v>375005.9600000002</v>
      </c>
      <c r="FC7" s="118">
        <f t="shared" si="18"/>
        <v>375005.9600000002</v>
      </c>
      <c r="FD7" s="118">
        <f t="shared" si="18"/>
        <v>375005.9600000002</v>
      </c>
      <c r="FE7" s="118">
        <f t="shared" si="18"/>
        <v>375005.9600000002</v>
      </c>
      <c r="FF7" s="118">
        <f t="shared" si="18"/>
        <v>375005.9600000002</v>
      </c>
      <c r="FG7" s="118">
        <f t="shared" si="18"/>
        <v>375005.9600000002</v>
      </c>
      <c r="FH7" s="118">
        <f t="shared" si="18"/>
        <v>375005.9600000002</v>
      </c>
      <c r="FI7" s="118">
        <f t="shared" si="18"/>
        <v>375005.9600000002</v>
      </c>
      <c r="FJ7" s="118">
        <f t="shared" si="18"/>
        <v>375005.9600000002</v>
      </c>
      <c r="FK7" s="118">
        <f t="shared" si="18"/>
        <v>375005.9600000002</v>
      </c>
      <c r="FL7" s="118">
        <f t="shared" si="18"/>
        <v>375005.9600000002</v>
      </c>
      <c r="FM7" s="118">
        <f t="shared" si="18"/>
        <v>375005.9600000002</v>
      </c>
      <c r="FN7" s="118">
        <f t="shared" si="18"/>
        <v>375005.9600000002</v>
      </c>
      <c r="FO7" s="118">
        <f t="shared" si="18"/>
        <v>375005.9600000002</v>
      </c>
      <c r="FP7" s="118">
        <f t="shared" si="18"/>
        <v>375005.9600000002</v>
      </c>
      <c r="FQ7" s="118">
        <f t="shared" si="18"/>
        <v>375005.9600000002</v>
      </c>
      <c r="FR7" s="118">
        <f t="shared" si="18"/>
        <v>375005.9600000002</v>
      </c>
      <c r="FS7" s="118">
        <f t="shared" si="18"/>
        <v>375005.9600000002</v>
      </c>
      <c r="FT7" s="118">
        <f t="shared" si="18"/>
        <v>375005.9600000002</v>
      </c>
      <c r="FU7" s="118">
        <f t="shared" si="18"/>
        <v>375005.9600000002</v>
      </c>
      <c r="FV7" s="118">
        <f t="shared" si="18"/>
        <v>375005.9600000002</v>
      </c>
      <c r="FW7" s="118">
        <f t="shared" si="18"/>
        <v>375005.9600000002</v>
      </c>
      <c r="FX7" s="118">
        <f t="shared" si="18"/>
        <v>375005.9600000002</v>
      </c>
      <c r="FY7" s="118">
        <f t="shared" si="18"/>
        <v>375005.9600000002</v>
      </c>
      <c r="FZ7" s="118">
        <f t="shared" si="18"/>
        <v>375005.9600000002</v>
      </c>
      <c r="GA7" s="118">
        <f t="shared" si="18"/>
        <v>375005.9600000002</v>
      </c>
      <c r="GB7" s="118">
        <f t="shared" si="18"/>
        <v>375005.9600000002</v>
      </c>
      <c r="GC7" s="118">
        <f t="shared" si="18"/>
        <v>375005.9600000002</v>
      </c>
      <c r="GD7" s="118">
        <f t="shared" si="18"/>
        <v>375005.9600000002</v>
      </c>
      <c r="GE7" s="118">
        <f t="shared" si="18"/>
        <v>375005.9600000002</v>
      </c>
      <c r="GF7" s="118">
        <f t="shared" si="18"/>
        <v>375005.9600000002</v>
      </c>
      <c r="GG7" s="118">
        <f t="shared" si="18"/>
        <v>375005.9600000002</v>
      </c>
      <c r="GH7" s="118">
        <f t="shared" si="18"/>
        <v>375005.9600000002</v>
      </c>
      <c r="GI7" s="118">
        <f t="shared" si="18"/>
        <v>375005.9600000002</v>
      </c>
      <c r="GJ7" s="118">
        <f t="shared" si="18"/>
        <v>375005.9600000002</v>
      </c>
      <c r="GK7" s="118">
        <f t="shared" si="18"/>
        <v>375005.9600000002</v>
      </c>
      <c r="GL7" s="118">
        <f t="shared" si="18"/>
        <v>375005.9600000002</v>
      </c>
      <c r="GM7" s="118">
        <f t="shared" si="18"/>
        <v>375005.9600000002</v>
      </c>
      <c r="GN7" s="118">
        <f t="shared" si="18"/>
        <v>375005.9600000002</v>
      </c>
      <c r="GO7" s="118">
        <f t="shared" si="18"/>
        <v>375005.9600000002</v>
      </c>
      <c r="GP7" s="118">
        <f t="shared" si="18"/>
        <v>375005.9600000002</v>
      </c>
      <c r="GQ7" s="118">
        <f t="shared" si="18"/>
        <v>375005.9600000002</v>
      </c>
      <c r="GR7" s="118">
        <f t="shared" si="18"/>
        <v>375005.9600000002</v>
      </c>
      <c r="GS7" s="118">
        <f t="shared" ref="GS7:JD7" si="19">GS4-GS6</f>
        <v>375005.9600000002</v>
      </c>
      <c r="GT7" s="118">
        <f t="shared" si="19"/>
        <v>375005.9600000002</v>
      </c>
      <c r="GU7" s="118">
        <f t="shared" si="19"/>
        <v>375005.9600000002</v>
      </c>
      <c r="GV7" s="118">
        <f t="shared" si="19"/>
        <v>375005.9600000002</v>
      </c>
      <c r="GW7" s="118">
        <f t="shared" si="19"/>
        <v>375005.9600000002</v>
      </c>
      <c r="GX7" s="118">
        <f t="shared" si="19"/>
        <v>375005.9600000002</v>
      </c>
      <c r="GY7" s="118">
        <f t="shared" si="19"/>
        <v>375005.9600000002</v>
      </c>
      <c r="GZ7" s="118">
        <f t="shared" si="19"/>
        <v>375005.9600000002</v>
      </c>
      <c r="HA7" s="118">
        <f t="shared" si="19"/>
        <v>375005.9600000002</v>
      </c>
      <c r="HB7" s="118">
        <f t="shared" si="19"/>
        <v>375005.9600000002</v>
      </c>
      <c r="HC7" s="118">
        <f t="shared" si="19"/>
        <v>375005.9600000002</v>
      </c>
      <c r="HD7" s="118">
        <f t="shared" si="19"/>
        <v>375005.9600000002</v>
      </c>
      <c r="HE7" s="118">
        <f t="shared" si="19"/>
        <v>375005.9600000002</v>
      </c>
      <c r="HF7" s="118">
        <f t="shared" si="19"/>
        <v>375005.9600000002</v>
      </c>
      <c r="HG7" s="118">
        <f t="shared" si="19"/>
        <v>375005.9600000002</v>
      </c>
      <c r="HH7" s="118">
        <f t="shared" si="19"/>
        <v>375005.9600000002</v>
      </c>
      <c r="HI7" s="118">
        <f t="shared" si="19"/>
        <v>375005.9600000002</v>
      </c>
      <c r="HJ7" s="118">
        <f t="shared" si="19"/>
        <v>375005.9600000002</v>
      </c>
      <c r="HK7" s="118">
        <f t="shared" si="19"/>
        <v>375005.9600000002</v>
      </c>
      <c r="HL7" s="118">
        <f t="shared" si="19"/>
        <v>375005.9600000002</v>
      </c>
      <c r="HM7" s="118">
        <f t="shared" si="19"/>
        <v>375005.9600000002</v>
      </c>
      <c r="HN7" s="118">
        <f t="shared" si="19"/>
        <v>375005.9600000002</v>
      </c>
      <c r="HO7" s="118">
        <f t="shared" si="19"/>
        <v>375005.9600000002</v>
      </c>
      <c r="HP7" s="118">
        <f t="shared" si="19"/>
        <v>375005.9600000002</v>
      </c>
      <c r="HQ7" s="118">
        <f t="shared" si="19"/>
        <v>375005.9600000002</v>
      </c>
      <c r="HR7" s="118">
        <f t="shared" si="19"/>
        <v>375005.9600000002</v>
      </c>
      <c r="HS7" s="118">
        <f t="shared" si="19"/>
        <v>375005.9600000002</v>
      </c>
      <c r="HT7" s="118">
        <f t="shared" si="19"/>
        <v>375005.9600000002</v>
      </c>
      <c r="HU7" s="118">
        <f t="shared" si="19"/>
        <v>375005.9600000002</v>
      </c>
      <c r="HV7" s="118">
        <f t="shared" si="19"/>
        <v>375005.9600000002</v>
      </c>
      <c r="HW7" s="118">
        <f t="shared" si="19"/>
        <v>375005.9600000002</v>
      </c>
      <c r="HX7" s="118">
        <f t="shared" si="19"/>
        <v>375005.9600000002</v>
      </c>
      <c r="HY7" s="118">
        <f t="shared" si="19"/>
        <v>375005.9600000002</v>
      </c>
      <c r="HZ7" s="118">
        <f t="shared" si="19"/>
        <v>375005.9600000002</v>
      </c>
      <c r="IA7" s="118">
        <f t="shared" si="19"/>
        <v>375005.9600000002</v>
      </c>
      <c r="IB7" s="118">
        <f t="shared" si="19"/>
        <v>375005.9600000002</v>
      </c>
      <c r="IC7" s="118">
        <f t="shared" si="19"/>
        <v>375005.9600000002</v>
      </c>
      <c r="ID7" s="118">
        <f t="shared" si="19"/>
        <v>375005.9600000002</v>
      </c>
      <c r="IE7" s="118">
        <f t="shared" si="19"/>
        <v>375005.9600000002</v>
      </c>
      <c r="IF7" s="118">
        <f t="shared" si="19"/>
        <v>375005.9600000002</v>
      </c>
      <c r="IG7" s="118">
        <f t="shared" si="19"/>
        <v>375005.9600000002</v>
      </c>
      <c r="IH7" s="118">
        <f t="shared" si="19"/>
        <v>375005.9600000002</v>
      </c>
      <c r="II7" s="118">
        <f t="shared" si="19"/>
        <v>375005.9600000002</v>
      </c>
      <c r="IJ7" s="118">
        <f t="shared" si="19"/>
        <v>375005.9600000002</v>
      </c>
      <c r="IK7" s="118">
        <f t="shared" si="19"/>
        <v>375005.9600000002</v>
      </c>
      <c r="IL7" s="118">
        <f t="shared" si="19"/>
        <v>375005.9600000002</v>
      </c>
      <c r="IM7" s="118">
        <f t="shared" si="19"/>
        <v>375005.9600000002</v>
      </c>
      <c r="IN7" s="118">
        <f t="shared" si="19"/>
        <v>375005.9600000002</v>
      </c>
      <c r="IO7" s="118">
        <f t="shared" si="19"/>
        <v>375005.9600000002</v>
      </c>
      <c r="IP7" s="118">
        <f t="shared" si="19"/>
        <v>375005.9600000002</v>
      </c>
      <c r="IQ7" s="118">
        <f t="shared" si="19"/>
        <v>375005.9600000002</v>
      </c>
      <c r="IR7" s="118">
        <f t="shared" si="19"/>
        <v>375005.9600000002</v>
      </c>
      <c r="IS7" s="118">
        <f t="shared" si="19"/>
        <v>375005.9600000002</v>
      </c>
      <c r="IT7" s="118">
        <f t="shared" si="19"/>
        <v>375005.9600000002</v>
      </c>
      <c r="IU7" s="118">
        <f t="shared" si="19"/>
        <v>375005.9600000002</v>
      </c>
      <c r="IV7" s="118">
        <f t="shared" si="19"/>
        <v>375005.9600000002</v>
      </c>
      <c r="IW7" s="118">
        <f t="shared" si="19"/>
        <v>375005.9600000002</v>
      </c>
      <c r="IX7" s="118">
        <f t="shared" si="19"/>
        <v>375005.9600000002</v>
      </c>
      <c r="IY7" s="118">
        <f t="shared" si="19"/>
        <v>375005.9600000002</v>
      </c>
      <c r="IZ7" s="118">
        <f t="shared" si="19"/>
        <v>375005.9600000002</v>
      </c>
      <c r="JA7" s="118">
        <f t="shared" si="19"/>
        <v>375005.9600000002</v>
      </c>
      <c r="JB7" s="118">
        <f t="shared" si="19"/>
        <v>375005.9600000002</v>
      </c>
      <c r="JC7" s="118">
        <f t="shared" si="19"/>
        <v>375005.9600000002</v>
      </c>
      <c r="JD7" s="118">
        <f t="shared" si="19"/>
        <v>375005.9600000002</v>
      </c>
      <c r="JE7" s="118">
        <f t="shared" ref="JE7:KF7" si="20">JE4-JE6</f>
        <v>375005.9600000002</v>
      </c>
      <c r="JF7" s="118">
        <f t="shared" si="20"/>
        <v>375005.9600000002</v>
      </c>
      <c r="JG7" s="118">
        <f t="shared" si="20"/>
        <v>375005.9600000002</v>
      </c>
      <c r="JH7" s="118">
        <f t="shared" si="20"/>
        <v>375005.9600000002</v>
      </c>
      <c r="JI7" s="118">
        <f t="shared" si="20"/>
        <v>375005.9600000002</v>
      </c>
      <c r="JJ7" s="118">
        <f t="shared" si="20"/>
        <v>375005.9600000002</v>
      </c>
      <c r="JK7" s="118">
        <f t="shared" si="20"/>
        <v>375005.9600000002</v>
      </c>
      <c r="JL7" s="118">
        <f t="shared" si="20"/>
        <v>375005.9600000002</v>
      </c>
      <c r="JM7" s="118">
        <f t="shared" si="20"/>
        <v>375005.9600000002</v>
      </c>
      <c r="JN7" s="118">
        <f t="shared" si="20"/>
        <v>375005.9600000002</v>
      </c>
      <c r="JO7" s="118">
        <f t="shared" si="20"/>
        <v>375005.9600000002</v>
      </c>
      <c r="JP7" s="118">
        <f t="shared" si="20"/>
        <v>375005.9600000002</v>
      </c>
      <c r="JQ7" s="118">
        <f t="shared" si="20"/>
        <v>375005.9600000002</v>
      </c>
      <c r="JR7" s="118">
        <f t="shared" si="20"/>
        <v>375005.9600000002</v>
      </c>
      <c r="JS7" s="118">
        <f t="shared" si="20"/>
        <v>375005.9600000002</v>
      </c>
      <c r="JT7" s="118">
        <f t="shared" si="20"/>
        <v>375005.9600000002</v>
      </c>
      <c r="JU7" s="118">
        <f t="shared" si="20"/>
        <v>375005.9600000002</v>
      </c>
      <c r="JV7" s="118">
        <f t="shared" si="20"/>
        <v>375005.9600000002</v>
      </c>
      <c r="JW7" s="118">
        <f t="shared" si="20"/>
        <v>375005.9600000002</v>
      </c>
      <c r="JX7" s="118">
        <f t="shared" si="20"/>
        <v>375005.9600000002</v>
      </c>
      <c r="JY7" s="118">
        <f t="shared" si="20"/>
        <v>375005.9600000002</v>
      </c>
      <c r="JZ7" s="118">
        <f t="shared" si="20"/>
        <v>375005.9600000002</v>
      </c>
      <c r="KA7" s="118">
        <f t="shared" si="20"/>
        <v>375005.9600000002</v>
      </c>
      <c r="KB7" s="118">
        <f t="shared" si="20"/>
        <v>375005.9600000002</v>
      </c>
      <c r="KC7" s="118">
        <f t="shared" si="20"/>
        <v>375005.9600000002</v>
      </c>
      <c r="KD7" s="118">
        <f t="shared" si="20"/>
        <v>375005.9600000002</v>
      </c>
      <c r="KE7" s="118">
        <f t="shared" si="20"/>
        <v>375005.9600000002</v>
      </c>
      <c r="KF7" s="118">
        <f t="shared" si="20"/>
        <v>375005.9600000002</v>
      </c>
    </row>
    <row r="8" spans="1:770" s="102" customFormat="1">
      <c r="A8" s="748" t="s">
        <v>195</v>
      </c>
      <c r="B8" s="103"/>
      <c r="C8" s="104" t="s">
        <v>258</v>
      </c>
      <c r="D8" s="104" t="s">
        <v>258</v>
      </c>
      <c r="E8" s="104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9"/>
      <c r="AE8" s="119"/>
      <c r="AF8" s="119"/>
      <c r="AG8" s="119"/>
      <c r="AH8" s="119"/>
      <c r="AI8" s="119"/>
      <c r="AJ8" s="119"/>
      <c r="AK8" s="119"/>
      <c r="AL8" s="119"/>
      <c r="AM8" s="119"/>
      <c r="AN8" s="119"/>
      <c r="AO8" s="119"/>
      <c r="AP8" s="119"/>
      <c r="AQ8" s="119"/>
      <c r="AR8" s="119"/>
      <c r="AS8" s="119"/>
      <c r="AT8" s="119"/>
      <c r="AU8" s="119"/>
      <c r="AV8" s="119"/>
      <c r="AW8" s="119"/>
      <c r="AX8" s="119"/>
      <c r="AY8" s="119"/>
      <c r="AZ8" s="119"/>
      <c r="BA8" s="119"/>
      <c r="BB8" s="119"/>
      <c r="BC8" s="119"/>
      <c r="BD8" s="119"/>
      <c r="BE8" s="119"/>
      <c r="BF8" s="119"/>
      <c r="BG8" s="119"/>
      <c r="BH8" s="119"/>
      <c r="BI8" s="119"/>
      <c r="BJ8" s="119"/>
      <c r="BK8" s="119"/>
      <c r="BL8" s="119"/>
      <c r="BM8" s="119"/>
      <c r="BN8" s="119"/>
      <c r="BO8" s="119"/>
      <c r="BP8" s="119"/>
      <c r="BQ8" s="119"/>
      <c r="BR8" s="119"/>
      <c r="BS8" s="119"/>
      <c r="BT8" s="119"/>
      <c r="BU8" s="119"/>
      <c r="BV8" s="119"/>
      <c r="BW8" s="119"/>
      <c r="BX8" s="119"/>
      <c r="BY8" s="119"/>
      <c r="BZ8" s="119"/>
      <c r="CA8" s="119"/>
      <c r="CB8" s="119"/>
      <c r="CC8" s="119"/>
      <c r="CD8" s="119"/>
      <c r="CE8" s="119"/>
      <c r="CF8" s="119"/>
      <c r="CG8" s="119"/>
      <c r="CH8" s="119"/>
      <c r="CI8" s="119"/>
      <c r="CJ8" s="119"/>
      <c r="CK8" s="119"/>
      <c r="CL8" s="119"/>
      <c r="CM8" s="119"/>
      <c r="CN8" s="119"/>
      <c r="CO8" s="119"/>
      <c r="CP8" s="119"/>
      <c r="CQ8" s="119"/>
      <c r="CR8" s="119"/>
      <c r="CS8" s="119"/>
      <c r="CT8" s="119"/>
      <c r="CU8" s="119"/>
      <c r="CV8" s="119"/>
      <c r="CW8" s="119"/>
      <c r="CX8" s="119"/>
      <c r="CY8" s="119"/>
      <c r="CZ8" s="119"/>
      <c r="DA8" s="119"/>
      <c r="DB8" s="119"/>
      <c r="DC8" s="119"/>
      <c r="DD8" s="119"/>
      <c r="DE8" s="119"/>
      <c r="DF8" s="119"/>
      <c r="DG8" s="119"/>
      <c r="DH8" s="119"/>
      <c r="DI8" s="119"/>
      <c r="DJ8" s="119"/>
      <c r="DK8" s="119"/>
      <c r="DL8" s="119"/>
      <c r="DM8" s="119"/>
      <c r="DN8" s="119"/>
      <c r="DO8" s="119"/>
      <c r="DP8" s="119"/>
      <c r="DQ8" s="119"/>
      <c r="DR8" s="119"/>
      <c r="DS8" s="119"/>
      <c r="DT8" s="119"/>
      <c r="DU8" s="119"/>
      <c r="DV8" s="119"/>
      <c r="DW8" s="119"/>
      <c r="DX8" s="119"/>
      <c r="DY8" s="119"/>
      <c r="DZ8" s="119"/>
      <c r="EA8" s="119"/>
      <c r="EB8" s="119"/>
      <c r="EC8" s="119"/>
      <c r="ED8" s="119"/>
      <c r="EE8" s="119"/>
      <c r="EF8" s="119"/>
      <c r="EG8" s="119"/>
      <c r="EH8" s="119"/>
      <c r="EI8" s="119"/>
      <c r="EJ8" s="119"/>
      <c r="EK8" s="119"/>
      <c r="EL8" s="119"/>
      <c r="EM8" s="119"/>
      <c r="EN8" s="119"/>
      <c r="EO8" s="119"/>
      <c r="EP8" s="119"/>
      <c r="EQ8" s="119"/>
      <c r="ER8" s="119"/>
      <c r="ES8" s="119"/>
      <c r="ET8" s="119"/>
      <c r="EU8" s="119"/>
      <c r="EV8" s="119"/>
      <c r="EW8" s="119"/>
      <c r="EX8" s="119"/>
      <c r="EY8" s="119"/>
      <c r="EZ8" s="119"/>
      <c r="FA8" s="119"/>
      <c r="FB8" s="119"/>
      <c r="FC8" s="119"/>
      <c r="FD8" s="119"/>
      <c r="FE8" s="119"/>
      <c r="FF8" s="119"/>
      <c r="FG8" s="119"/>
      <c r="FH8" s="119"/>
      <c r="FI8" s="119"/>
      <c r="FJ8" s="119"/>
      <c r="FK8" s="119"/>
      <c r="FL8" s="119"/>
      <c r="FM8" s="119"/>
      <c r="FN8" s="119"/>
      <c r="FO8" s="119"/>
      <c r="FP8" s="119"/>
      <c r="FQ8" s="119"/>
      <c r="FR8" s="119"/>
      <c r="FS8" s="119"/>
      <c r="FT8" s="119"/>
      <c r="FU8" s="119"/>
      <c r="FV8" s="119"/>
      <c r="FW8" s="119"/>
      <c r="FX8" s="119"/>
      <c r="FY8" s="119"/>
      <c r="FZ8" s="119"/>
      <c r="GA8" s="119"/>
      <c r="GB8" s="119"/>
      <c r="GC8" s="119"/>
      <c r="GD8" s="119"/>
      <c r="GE8" s="119"/>
      <c r="GF8" s="119"/>
      <c r="GG8" s="119"/>
      <c r="GH8" s="119"/>
      <c r="GI8" s="119"/>
      <c r="GJ8" s="119"/>
      <c r="GK8" s="119"/>
      <c r="GL8" s="119"/>
      <c r="GM8" s="119"/>
      <c r="GN8" s="119"/>
      <c r="GO8" s="119"/>
      <c r="GP8" s="119"/>
      <c r="GQ8" s="119"/>
      <c r="GR8" s="119"/>
      <c r="GS8" s="119"/>
      <c r="GT8" s="119"/>
      <c r="GU8" s="119"/>
      <c r="GV8" s="119"/>
      <c r="GW8" s="119"/>
      <c r="GX8" s="119"/>
      <c r="GY8" s="119"/>
      <c r="GZ8" s="119"/>
      <c r="HA8" s="119"/>
      <c r="HB8" s="119"/>
      <c r="HC8" s="119"/>
      <c r="HD8" s="119"/>
      <c r="HE8" s="119"/>
      <c r="HF8" s="119"/>
      <c r="HG8" s="119"/>
      <c r="HH8" s="119"/>
      <c r="HI8" s="119"/>
      <c r="HJ8" s="119"/>
      <c r="HK8" s="119"/>
      <c r="HL8" s="119"/>
      <c r="HM8" s="119"/>
      <c r="HN8" s="119"/>
      <c r="HO8" s="119"/>
      <c r="HP8" s="119"/>
      <c r="HQ8" s="119"/>
      <c r="HR8" s="119"/>
      <c r="HS8" s="119"/>
      <c r="HT8" s="119"/>
      <c r="HU8" s="119"/>
      <c r="HV8" s="119"/>
      <c r="HW8" s="119"/>
      <c r="HX8" s="119"/>
      <c r="HY8" s="119"/>
      <c r="HZ8" s="119"/>
      <c r="IA8" s="119"/>
      <c r="IB8" s="119"/>
      <c r="IC8" s="119"/>
      <c r="ID8" s="119"/>
      <c r="IE8" s="119"/>
      <c r="IF8" s="119"/>
      <c r="IG8" s="119"/>
      <c r="IH8" s="119"/>
      <c r="II8" s="119"/>
      <c r="IJ8" s="119"/>
      <c r="IK8" s="119"/>
      <c r="IL8" s="119"/>
      <c r="IM8" s="119"/>
      <c r="IN8" s="119"/>
      <c r="IO8" s="119"/>
      <c r="IP8" s="119"/>
      <c r="IQ8" s="119"/>
      <c r="IR8" s="119"/>
      <c r="IS8" s="119"/>
      <c r="IT8" s="119"/>
      <c r="IU8" s="119"/>
      <c r="IV8" s="119"/>
      <c r="IW8" s="119"/>
      <c r="IX8" s="119"/>
      <c r="IY8" s="119"/>
      <c r="IZ8" s="119"/>
      <c r="JA8" s="119"/>
      <c r="JB8" s="119"/>
      <c r="JC8" s="119"/>
      <c r="JD8" s="119"/>
      <c r="JE8" s="119"/>
      <c r="JF8" s="119"/>
      <c r="JG8" s="119"/>
      <c r="JH8" s="119"/>
      <c r="JI8" s="119"/>
      <c r="JJ8" s="119"/>
      <c r="JK8" s="119"/>
      <c r="JL8" s="119"/>
      <c r="JM8" s="119"/>
      <c r="JN8" s="119"/>
      <c r="JO8" s="119"/>
      <c r="JP8" s="119"/>
      <c r="JQ8" s="119"/>
      <c r="JR8" s="119"/>
      <c r="JS8" s="119"/>
      <c r="JT8" s="119"/>
      <c r="JU8" s="119"/>
      <c r="JV8" s="119"/>
      <c r="JW8" s="119"/>
      <c r="JX8" s="119"/>
      <c r="JY8" s="119"/>
      <c r="JZ8" s="119"/>
      <c r="KA8" s="119"/>
      <c r="KB8" s="119"/>
      <c r="KC8" s="119"/>
      <c r="KD8" s="119"/>
      <c r="KE8" s="119"/>
      <c r="KF8" s="119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</row>
    <row r="9" spans="1:770">
      <c r="A9" s="749"/>
      <c r="B9" s="120" t="s">
        <v>416</v>
      </c>
      <c r="C9" s="121">
        <f>'Revenue Tracking'!F4</f>
        <v>2077436.28</v>
      </c>
      <c r="D9" s="121">
        <f>SUM(F9:KF9)</f>
        <v>2077436.28</v>
      </c>
      <c r="E9" s="108"/>
      <c r="F9" s="122">
        <f>SUMIFS('Revenue Tracking'!$F$13:$F$19, 'Revenue Tracking'!$P$13:$P$19, "&gt;="&amp;F1,'Revenue Tracking'!$P$13:$P$19, "&lt;"&amp;G1)</f>
        <v>0</v>
      </c>
      <c r="G9" s="122">
        <f>SUMIFS('Revenue Tracking'!$F$13:$F$19, 'Revenue Tracking'!$P$13:$P$19, "&gt;="&amp;G1,'Revenue Tracking'!$P$13:$P$19, "&lt;"&amp;H1)</f>
        <v>0</v>
      </c>
      <c r="H9" s="122">
        <f>SUMIFS('Revenue Tracking'!$F$13:$F$19, 'Revenue Tracking'!$P$13:$P$19, "&gt;="&amp;H1,'Revenue Tracking'!$P$13:$P$19, "&lt;"&amp;I1)</f>
        <v>0</v>
      </c>
      <c r="I9" s="122">
        <f>SUMIFS('Revenue Tracking'!$F$13:$F$19, 'Revenue Tracking'!$P$13:$P$19, "&gt;="&amp;I1,'Revenue Tracking'!$P$13:$P$19, "&lt;"&amp;J1)</f>
        <v>0</v>
      </c>
      <c r="J9" s="122">
        <f>SUMIFS('Revenue Tracking'!$F$13:$F$19, 'Revenue Tracking'!$P$13:$P$19, "&gt;="&amp;J1,'Revenue Tracking'!$P$13:$P$19, "&lt;"&amp;K1)</f>
        <v>0</v>
      </c>
      <c r="K9" s="122">
        <f>SUMIFS('Revenue Tracking'!$F$13:$F$19, 'Revenue Tracking'!$P$13:$P$19, "&gt;="&amp;K1,'Revenue Tracking'!$P$13:$P$19, "&lt;"&amp;L1)</f>
        <v>0</v>
      </c>
      <c r="L9" s="122">
        <f>SUMIFS('Revenue Tracking'!$F$13:$F$19, 'Revenue Tracking'!$P$13:$P$19, "&gt;="&amp;L1,'Revenue Tracking'!$P$13:$P$19, "&lt;"&amp;M1)</f>
        <v>0</v>
      </c>
      <c r="M9" s="122">
        <f>SUMIFS('Revenue Tracking'!$F$13:$F$19, 'Revenue Tracking'!$P$13:$P$19, "&gt;="&amp;M1,'Revenue Tracking'!$P$13:$P$19, "&lt;"&amp;N1)</f>
        <v>0</v>
      </c>
      <c r="N9" s="122">
        <f>SUMIFS('Revenue Tracking'!$F$13:$F$19, 'Revenue Tracking'!$P$13:$P$19, "&gt;="&amp;N1,'Revenue Tracking'!$P$13:$P$19, "&lt;"&amp;O1)</f>
        <v>0</v>
      </c>
      <c r="O9" s="122">
        <f>SUMIFS('Revenue Tracking'!$F$13:$F$19, 'Revenue Tracking'!$P$13:$P$19, "&gt;="&amp;O1,'Revenue Tracking'!$P$13:$P$19, "&lt;"&amp;P1)</f>
        <v>0</v>
      </c>
      <c r="P9" s="122">
        <f>SUMIFS('Revenue Tracking'!$F$13:$F$19, 'Revenue Tracking'!$P$13:$P$19, "&gt;="&amp;P1,'Revenue Tracking'!$P$13:$P$19, "&lt;"&amp;Q1)</f>
        <v>1765820.838</v>
      </c>
      <c r="Q9" s="122">
        <f>SUMIFS('Revenue Tracking'!$F$13:$F$19, 'Revenue Tracking'!$P$13:$P$19, "&gt;="&amp;Q1,'Revenue Tracking'!$P$13:$P$19, "&lt;"&amp;R1)</f>
        <v>0</v>
      </c>
      <c r="R9" s="122">
        <f>SUMIFS('Revenue Tracking'!$F$13:$F$19, 'Revenue Tracking'!$P$13:$P$19, "&gt;="&amp;R1,'Revenue Tracking'!$P$13:$P$19, "&lt;"&amp;S1)</f>
        <v>0</v>
      </c>
      <c r="S9" s="122">
        <f>SUMIFS('Revenue Tracking'!$F$13:$F$19, 'Revenue Tracking'!$P$13:$P$19, "&gt;="&amp;S1,'Revenue Tracking'!$P$13:$P$19, "&lt;"&amp;T1)</f>
        <v>0</v>
      </c>
      <c r="T9" s="122">
        <f>SUMIFS('Revenue Tracking'!$F$13:$F$19, 'Revenue Tracking'!$P$13:$P$19, "&gt;="&amp;T1,'Revenue Tracking'!$P$13:$P$19, "&lt;"&amp;U1)</f>
        <v>311615.44200000004</v>
      </c>
      <c r="U9" s="122">
        <f>SUMIFS('Revenue Tracking'!$F$13:$F$19, 'Revenue Tracking'!$P$13:$P$19, "&gt;="&amp;U1,'Revenue Tracking'!$P$13:$P$19, "&lt;"&amp;V1)</f>
        <v>0</v>
      </c>
      <c r="V9" s="122">
        <f>SUMIFS('Revenue Tracking'!$F$13:$F$19, 'Revenue Tracking'!$P$13:$P$19, "&gt;="&amp;V1,'Revenue Tracking'!$P$13:$P$19, "&lt;"&amp;W1)</f>
        <v>0</v>
      </c>
      <c r="W9" s="122">
        <f>SUMIFS('Revenue Tracking'!$F$13:$F$19, 'Revenue Tracking'!$P$13:$P$19, "&gt;="&amp;W1,'Revenue Tracking'!$P$13:$P$19, "&lt;"&amp;X1)</f>
        <v>0</v>
      </c>
      <c r="X9" s="122">
        <f>SUMIFS('Revenue Tracking'!$F$13:$F$19, 'Revenue Tracking'!$P$13:$P$19, "&gt;="&amp;X1,'Revenue Tracking'!$P$13:$P$19, "&lt;"&amp;Y1)</f>
        <v>0</v>
      </c>
      <c r="Y9" s="122">
        <f>SUMIFS('Revenue Tracking'!$F$13:$F$19, 'Revenue Tracking'!$P$13:$P$19, "&gt;="&amp;Y1,'Revenue Tracking'!$P$13:$P$19, "&lt;"&amp;Z1)</f>
        <v>0</v>
      </c>
      <c r="Z9" s="122">
        <f>SUMIFS('Revenue Tracking'!$F$13:$F$19, 'Revenue Tracking'!$P$13:$P$19, "&gt;="&amp;Z1,'Revenue Tracking'!$P$13:$P$19, "&lt;"&amp;AA1)</f>
        <v>0</v>
      </c>
      <c r="AA9" s="122">
        <f>SUMIFS('Revenue Tracking'!$F$13:$F$19, 'Revenue Tracking'!$P$13:$P$19, "&gt;="&amp;AA1,'Revenue Tracking'!$P$13:$P$19, "&lt;"&amp;AB1)</f>
        <v>0</v>
      </c>
      <c r="AB9" s="122">
        <f>SUMIFS('Revenue Tracking'!$F$13:$F$19, 'Revenue Tracking'!$P$13:$P$19, "&gt;="&amp;AB1,'Revenue Tracking'!$P$13:$P$19, "&lt;"&amp;AC1)</f>
        <v>0</v>
      </c>
      <c r="AC9" s="122">
        <f>SUMIFS('Revenue Tracking'!$F$13:$F$19, 'Revenue Tracking'!$P$13:$P$19, "&gt;="&amp;AC1,'Revenue Tracking'!$P$13:$P$19, "&lt;"&amp;AD1)</f>
        <v>0</v>
      </c>
      <c r="AD9" s="122">
        <f>SUMIFS('Revenue Tracking'!$F$13:$F$19, 'Revenue Tracking'!$P$13:$P$19, "&gt;="&amp;AD1,'Revenue Tracking'!$P$13:$P$19, "&lt;"&amp;AE1)</f>
        <v>0</v>
      </c>
      <c r="AE9" s="122">
        <f>SUMIFS('Revenue Tracking'!$F$13:$F$19, 'Revenue Tracking'!$P$13:$P$19, "&gt;="&amp;AE1,'Revenue Tracking'!$P$13:$P$19, "&lt;"&amp;AF1)</f>
        <v>0</v>
      </c>
      <c r="AF9" s="122">
        <f>SUMIFS('Revenue Tracking'!$F$13:$F$19, 'Revenue Tracking'!$P$13:$P$19, "&gt;="&amp;AF1,'Revenue Tracking'!$P$13:$P$19, "&lt;"&amp;AG1)</f>
        <v>0</v>
      </c>
      <c r="AG9" s="122">
        <f>SUMIFS('Revenue Tracking'!$F$13:$F$19, 'Revenue Tracking'!$P$13:$P$19, "&gt;="&amp;AG1,'Revenue Tracking'!$P$13:$P$19, "&lt;"&amp;AH1)</f>
        <v>0</v>
      </c>
      <c r="AH9" s="122">
        <f>SUMIFS('Revenue Tracking'!$F$13:$F$19, 'Revenue Tracking'!$P$13:$P$19, "&gt;="&amp;AH1,'Revenue Tracking'!$P$13:$P$19, "&lt;"&amp;AI1)</f>
        <v>0</v>
      </c>
      <c r="AI9" s="122">
        <f>SUMIFS('Revenue Tracking'!$F$13:$F$19, 'Revenue Tracking'!$P$13:$P$19, "&gt;="&amp;AI1,'Revenue Tracking'!$P$13:$P$19, "&lt;"&amp;AJ1)</f>
        <v>0</v>
      </c>
      <c r="AJ9" s="122">
        <f>SUMIFS('Revenue Tracking'!$F$13:$F$19, 'Revenue Tracking'!$P$13:$P$19, "&gt;="&amp;AJ1,'Revenue Tracking'!$P$13:$P$19, "&lt;"&amp;AK1)</f>
        <v>0</v>
      </c>
      <c r="AK9" s="122">
        <f>SUMIFS('Revenue Tracking'!$F$13:$F$19, 'Revenue Tracking'!$P$13:$P$19, "&gt;="&amp;AK1,'Revenue Tracking'!$P$13:$P$19, "&lt;"&amp;AL1)</f>
        <v>0</v>
      </c>
      <c r="AL9" s="122">
        <f>SUMIFS('Revenue Tracking'!$F$13:$F$19, 'Revenue Tracking'!$P$13:$P$19, "&gt;="&amp;AL1,'Revenue Tracking'!$P$13:$P$19, "&lt;"&amp;AM1)</f>
        <v>0</v>
      </c>
      <c r="AM9" s="122">
        <f>SUMIFS('Revenue Tracking'!$F$13:$F$19, 'Revenue Tracking'!$P$13:$P$19, "&gt;="&amp;AM1,'Revenue Tracking'!$P$13:$P$19, "&lt;"&amp;AN1)</f>
        <v>0</v>
      </c>
      <c r="AN9" s="122">
        <f>SUMIFS('Revenue Tracking'!$F$13:$F$19, 'Revenue Tracking'!$P$13:$P$19, "&gt;="&amp;AN1,'Revenue Tracking'!$P$13:$P$19, "&lt;"&amp;AO1)</f>
        <v>0</v>
      </c>
      <c r="AO9" s="122">
        <f>SUMIFS('Revenue Tracking'!$F$13:$F$19, 'Revenue Tracking'!$P$13:$P$19, "&gt;="&amp;AO1,'Revenue Tracking'!$P$13:$P$19, "&lt;"&amp;AP1)</f>
        <v>0</v>
      </c>
      <c r="AP9" s="122">
        <f>SUMIFS('Revenue Tracking'!$F$13:$F$19, 'Revenue Tracking'!$P$13:$P$19, "&gt;="&amp;AP1,'Revenue Tracking'!$P$13:$P$19, "&lt;"&amp;AQ1)</f>
        <v>0</v>
      </c>
      <c r="AQ9" s="122">
        <f>SUMIFS('Revenue Tracking'!$F$13:$F$19, 'Revenue Tracking'!$P$13:$P$19, "&gt;="&amp;AQ1,'Revenue Tracking'!$P$13:$P$19, "&lt;"&amp;AR1)</f>
        <v>0</v>
      </c>
      <c r="AR9" s="122">
        <f>SUMIFS('Revenue Tracking'!$F$13:$F$19, 'Revenue Tracking'!$P$13:$P$19, "&gt;="&amp;AR1,'Revenue Tracking'!$P$13:$P$19, "&lt;"&amp;AS1)</f>
        <v>0</v>
      </c>
      <c r="AS9" s="122">
        <f>SUMIFS('Revenue Tracking'!$F$13:$F$19, 'Revenue Tracking'!$P$13:$P$19, "&gt;="&amp;AS1,'Revenue Tracking'!$P$13:$P$19, "&lt;"&amp;AT1)</f>
        <v>0</v>
      </c>
      <c r="AT9" s="122">
        <f>SUMIFS('Revenue Tracking'!$F$13:$F$19, 'Revenue Tracking'!$P$13:$P$19, "&gt;="&amp;AT1,'Revenue Tracking'!$P$13:$P$19, "&lt;"&amp;AU1)</f>
        <v>0</v>
      </c>
      <c r="AU9" s="122">
        <f>SUMIFS('Revenue Tracking'!$F$13:$F$19, 'Revenue Tracking'!$P$13:$P$19, "&gt;="&amp;AU1,'Revenue Tracking'!$P$13:$P$19, "&lt;"&amp;AV1)</f>
        <v>0</v>
      </c>
      <c r="AV9" s="122">
        <f>SUMIFS('Revenue Tracking'!$F$13:$F$19, 'Revenue Tracking'!$P$13:$P$19, "&gt;="&amp;AV1,'Revenue Tracking'!$P$13:$P$19, "&lt;"&amp;AW1)</f>
        <v>0</v>
      </c>
      <c r="AW9" s="122">
        <f>SUMIFS('Revenue Tracking'!$F$13:$F$19, 'Revenue Tracking'!$P$13:$P$19, "&gt;="&amp;AW1,'Revenue Tracking'!$P$13:$P$19, "&lt;"&amp;AX1)</f>
        <v>0</v>
      </c>
      <c r="AX9" s="122">
        <f>SUMIFS('Revenue Tracking'!$F$13:$F$19, 'Revenue Tracking'!$P$13:$P$19, "&gt;="&amp;AX1,'Revenue Tracking'!$P$13:$P$19, "&lt;"&amp;AY1)</f>
        <v>0</v>
      </c>
      <c r="AY9" s="122">
        <f>SUMIFS('Revenue Tracking'!$F$13:$F$19, 'Revenue Tracking'!$P$13:$P$19, "&gt;="&amp;AY1,'Revenue Tracking'!$P$13:$P$19, "&lt;"&amp;AZ1)</f>
        <v>0</v>
      </c>
      <c r="AZ9" s="122">
        <f>SUMIFS('Revenue Tracking'!$F$13:$F$19, 'Revenue Tracking'!$P$13:$P$19, "&gt;="&amp;AZ1,'Revenue Tracking'!$P$13:$P$19, "&lt;"&amp;BA1)</f>
        <v>0</v>
      </c>
      <c r="BA9" s="122">
        <f>SUMIFS('Revenue Tracking'!$F$13:$F$19, 'Revenue Tracking'!$P$13:$P$19, "&gt;="&amp;BA1,'Revenue Tracking'!$P$13:$P$19, "&lt;"&amp;BB1)</f>
        <v>0</v>
      </c>
      <c r="BB9" s="122">
        <f>SUMIFS('Revenue Tracking'!$F$13:$F$19, 'Revenue Tracking'!$P$13:$P$19, "&gt;="&amp;BB1,'Revenue Tracking'!$P$13:$P$19, "&lt;"&amp;BC1)</f>
        <v>0</v>
      </c>
      <c r="BC9" s="122">
        <f>SUMIFS('Revenue Tracking'!$F$13:$F$19, 'Revenue Tracking'!$P$13:$P$19, "&gt;="&amp;BC1,'Revenue Tracking'!$P$13:$P$19, "&lt;"&amp;BD1)</f>
        <v>0</v>
      </c>
      <c r="BD9" s="122">
        <f>SUMIFS('Revenue Tracking'!$F$13:$F$19, 'Revenue Tracking'!$P$13:$P$19, "&gt;="&amp;BD1,'Revenue Tracking'!$P$13:$P$19, "&lt;"&amp;BE1)</f>
        <v>0</v>
      </c>
      <c r="BE9" s="122">
        <f>SUMIFS('Revenue Tracking'!$F$13:$F$19, 'Revenue Tracking'!$P$13:$P$19, "&gt;="&amp;BE1,'Revenue Tracking'!$P$13:$P$19, "&lt;"&amp;BF1)</f>
        <v>0</v>
      </c>
      <c r="BF9" s="122">
        <f>SUMIFS('Revenue Tracking'!$F$13:$F$19, 'Revenue Tracking'!$P$13:$P$19, "&gt;="&amp;BF1,'Revenue Tracking'!$P$13:$P$19, "&lt;"&amp;BG1)</f>
        <v>0</v>
      </c>
      <c r="BG9" s="122">
        <f>SUMIFS('Revenue Tracking'!$F$13:$F$19, 'Revenue Tracking'!$P$13:$P$19, "&gt;="&amp;BG1,'Revenue Tracking'!$P$13:$P$19, "&lt;"&amp;BH1)</f>
        <v>0</v>
      </c>
      <c r="BH9" s="122">
        <f>SUMIFS('Revenue Tracking'!$F$13:$F$19, 'Revenue Tracking'!$P$13:$P$19, "&gt;="&amp;BH1,'Revenue Tracking'!$P$13:$P$19, "&lt;"&amp;BI1)</f>
        <v>0</v>
      </c>
      <c r="BI9" s="122">
        <f>SUMIFS('Revenue Tracking'!$F$13:$F$19, 'Revenue Tracking'!$P$13:$P$19, "&gt;="&amp;BI1,'Revenue Tracking'!$P$13:$P$19, "&lt;"&amp;BJ1)</f>
        <v>0</v>
      </c>
      <c r="BJ9" s="122">
        <f>SUMIFS('Revenue Tracking'!$F$13:$F$19, 'Revenue Tracking'!$P$13:$P$19, "&gt;="&amp;BJ1,'Revenue Tracking'!$P$13:$P$19, "&lt;"&amp;BK1)</f>
        <v>0</v>
      </c>
      <c r="BK9" s="122">
        <f>SUMIFS('Revenue Tracking'!$F$13:$F$19, 'Revenue Tracking'!$P$13:$P$19, "&gt;="&amp;BK1,'Revenue Tracking'!$P$13:$P$19, "&lt;"&amp;BL1)</f>
        <v>0</v>
      </c>
      <c r="BL9" s="122">
        <f>SUMIFS('Revenue Tracking'!$F$13:$F$19, 'Revenue Tracking'!$P$13:$P$19, "&gt;="&amp;BL1,'Revenue Tracking'!$P$13:$P$19, "&lt;"&amp;BM1)</f>
        <v>0</v>
      </c>
      <c r="BM9" s="122">
        <f>SUMIFS('Revenue Tracking'!$F$13:$F$19, 'Revenue Tracking'!$P$13:$P$19, "&gt;="&amp;BM1,'Revenue Tracking'!$P$13:$P$19, "&lt;"&amp;BN1)</f>
        <v>0</v>
      </c>
      <c r="BN9" s="122">
        <f>SUMIFS('Revenue Tracking'!$F$13:$F$19, 'Revenue Tracking'!$P$13:$P$19, "&gt;="&amp;BN1,'Revenue Tracking'!$P$13:$P$19, "&lt;"&amp;BO1)</f>
        <v>0</v>
      </c>
      <c r="BO9" s="122">
        <f>SUMIFS('Revenue Tracking'!$F$13:$F$19, 'Revenue Tracking'!$P$13:$P$19, "&gt;="&amp;BO1,'Revenue Tracking'!$P$13:$P$19, "&lt;"&amp;BP1)</f>
        <v>0</v>
      </c>
      <c r="BP9" s="122">
        <f>SUMIFS('Revenue Tracking'!$F$13:$F$19, 'Revenue Tracking'!$P$13:$P$19, "&gt;="&amp;BP1,'Revenue Tracking'!$P$13:$P$19, "&lt;"&amp;BQ1)</f>
        <v>0</v>
      </c>
      <c r="BQ9" s="122">
        <f>SUMIFS('Revenue Tracking'!$F$13:$F$19, 'Revenue Tracking'!$P$13:$P$19, "&gt;="&amp;BQ1,'Revenue Tracking'!$P$13:$P$19, "&lt;"&amp;BR1)</f>
        <v>0</v>
      </c>
      <c r="BR9" s="122">
        <f>SUMIFS('Revenue Tracking'!$F$13:$F$19, 'Revenue Tracking'!$P$13:$P$19, "&gt;="&amp;BR1,'Revenue Tracking'!$P$13:$P$19, "&lt;"&amp;BS1)</f>
        <v>0</v>
      </c>
      <c r="BS9" s="122">
        <f>SUMIFS('Revenue Tracking'!$F$13:$F$19, 'Revenue Tracking'!$P$13:$P$19, "&gt;="&amp;BS1,'Revenue Tracking'!$P$13:$P$19, "&lt;"&amp;BT1)</f>
        <v>0</v>
      </c>
      <c r="BT9" s="122">
        <f>SUMIFS('Revenue Tracking'!$F$13:$F$19, 'Revenue Tracking'!$P$13:$P$19, "&gt;="&amp;BT1,'Revenue Tracking'!$P$13:$P$19, "&lt;"&amp;BU1)</f>
        <v>0</v>
      </c>
      <c r="BU9" s="122">
        <f>SUMIFS('Revenue Tracking'!$F$13:$F$19, 'Revenue Tracking'!$P$13:$P$19, "&gt;="&amp;BU1,'Revenue Tracking'!$P$13:$P$19, "&lt;"&amp;BV1)</f>
        <v>0</v>
      </c>
      <c r="BV9" s="122">
        <f>SUMIFS('Revenue Tracking'!$F$13:$F$19, 'Revenue Tracking'!$P$13:$P$19, "&gt;="&amp;BV1,'Revenue Tracking'!$P$13:$P$19, "&lt;"&amp;BW1)</f>
        <v>0</v>
      </c>
      <c r="BW9" s="122">
        <f>SUMIFS('Revenue Tracking'!$F$13:$F$19, 'Revenue Tracking'!$P$13:$P$19, "&gt;="&amp;BW1,'Revenue Tracking'!$P$13:$P$19, "&lt;"&amp;BX1)</f>
        <v>0</v>
      </c>
      <c r="BX9" s="122">
        <f>SUMIFS('Revenue Tracking'!$F$13:$F$19, 'Revenue Tracking'!$P$13:$P$19, "&gt;="&amp;BX1,'Revenue Tracking'!$P$13:$P$19, "&lt;"&amp;BY1)</f>
        <v>0</v>
      </c>
      <c r="BY9" s="122">
        <f>SUMIFS('Revenue Tracking'!$F$13:$F$19, 'Revenue Tracking'!$P$13:$P$19, "&gt;="&amp;BY1,'Revenue Tracking'!$P$13:$P$19, "&lt;"&amp;BZ1)</f>
        <v>0</v>
      </c>
      <c r="BZ9" s="122">
        <f>SUMIFS('Revenue Tracking'!$F$13:$F$19, 'Revenue Tracking'!$P$13:$P$19, "&gt;="&amp;BZ1,'Revenue Tracking'!$P$13:$P$19, "&lt;"&amp;CA1)</f>
        <v>0</v>
      </c>
      <c r="CA9" s="122">
        <f>SUMIFS('Revenue Tracking'!$F$13:$F$19, 'Revenue Tracking'!$P$13:$P$19, "&gt;="&amp;CA1,'Revenue Tracking'!$P$13:$P$19, "&lt;"&amp;CB1)</f>
        <v>0</v>
      </c>
      <c r="CB9" s="122">
        <f>SUMIFS('Revenue Tracking'!$F$13:$F$19, 'Revenue Tracking'!$P$13:$P$19, "&gt;="&amp;CB1,'Revenue Tracking'!$P$13:$P$19, "&lt;"&amp;CC1)</f>
        <v>0</v>
      </c>
      <c r="CC9" s="122">
        <f>SUMIFS('Revenue Tracking'!$F$13:$F$19, 'Revenue Tracking'!$P$13:$P$19, "&gt;="&amp;CC1,'Revenue Tracking'!$P$13:$P$19, "&lt;"&amp;CD1)</f>
        <v>0</v>
      </c>
      <c r="CD9" s="122">
        <f>SUMIFS('Revenue Tracking'!$F$13:$F$19, 'Revenue Tracking'!$P$13:$P$19, "&gt;="&amp;CD1,'Revenue Tracking'!$P$13:$P$19, "&lt;"&amp;CE1)</f>
        <v>0</v>
      </c>
      <c r="CE9" s="122">
        <f>SUMIFS('Revenue Tracking'!$F$13:$F$19, 'Revenue Tracking'!$P$13:$P$19, "&gt;="&amp;CE1,'Revenue Tracking'!$P$13:$P$19, "&lt;"&amp;CF1)</f>
        <v>0</v>
      </c>
      <c r="CF9" s="122">
        <f>SUMIFS('Revenue Tracking'!$F$13:$F$19, 'Revenue Tracking'!$P$13:$P$19, "&gt;="&amp;CF1,'Revenue Tracking'!$P$13:$P$19, "&lt;"&amp;CG1)</f>
        <v>0</v>
      </c>
      <c r="CG9" s="122">
        <f>SUMIFS('Revenue Tracking'!$F$13:$F$19, 'Revenue Tracking'!$P$13:$P$19, "&gt;="&amp;CG1,'Revenue Tracking'!$P$13:$P$19, "&lt;"&amp;CH1)</f>
        <v>0</v>
      </c>
      <c r="CH9" s="122">
        <f>SUMIFS('Revenue Tracking'!$F$13:$F$19, 'Revenue Tracking'!$P$13:$P$19, "&gt;="&amp;CH1,'Revenue Tracking'!$P$13:$P$19, "&lt;"&amp;CI1)</f>
        <v>0</v>
      </c>
      <c r="CI9" s="122">
        <f>SUMIFS('Revenue Tracking'!$F$13:$F$19, 'Revenue Tracking'!$P$13:$P$19, "&gt;="&amp;CI1,'Revenue Tracking'!$P$13:$P$19, "&lt;"&amp;CJ1)</f>
        <v>0</v>
      </c>
      <c r="CJ9" s="122">
        <f>SUMIFS('Revenue Tracking'!$F$13:$F$19, 'Revenue Tracking'!$P$13:$P$19, "&gt;="&amp;CJ1,'Revenue Tracking'!$P$13:$P$19, "&lt;"&amp;CK1)</f>
        <v>0</v>
      </c>
      <c r="CK9" s="122">
        <f>SUMIFS('Revenue Tracking'!$F$13:$F$19, 'Revenue Tracking'!$P$13:$P$19, "&gt;="&amp;CK1,'Revenue Tracking'!$P$13:$P$19, "&lt;"&amp;CL1)</f>
        <v>0</v>
      </c>
      <c r="CL9" s="122">
        <f>SUMIFS('Revenue Tracking'!$F$13:$F$19, 'Revenue Tracking'!$P$13:$P$19, "&gt;="&amp;CL1,'Revenue Tracking'!$P$13:$P$19, "&lt;"&amp;CM1)</f>
        <v>0</v>
      </c>
      <c r="CM9" s="122">
        <f>SUMIFS('Revenue Tracking'!$F$13:$F$19, 'Revenue Tracking'!$P$13:$P$19, "&gt;="&amp;CM1,'Revenue Tracking'!$P$13:$P$19, "&lt;"&amp;CN1)</f>
        <v>0</v>
      </c>
      <c r="CN9" s="122">
        <f>SUMIFS('Revenue Tracking'!$F$13:$F$19, 'Revenue Tracking'!$P$13:$P$19, "&gt;="&amp;CN1,'Revenue Tracking'!$P$13:$P$19, "&lt;"&amp;CO1)</f>
        <v>0</v>
      </c>
      <c r="CO9" s="122">
        <f>SUMIFS('Revenue Tracking'!$F$13:$F$19, 'Revenue Tracking'!$P$13:$P$19, "&gt;="&amp;CO1,'Revenue Tracking'!$P$13:$P$19, "&lt;"&amp;CP1)</f>
        <v>0</v>
      </c>
      <c r="CP9" s="122">
        <f>SUMIFS('Revenue Tracking'!$F$13:$F$19, 'Revenue Tracking'!$P$13:$P$19, "&gt;="&amp;CP1,'Revenue Tracking'!$P$13:$P$19, "&lt;"&amp;CQ1)</f>
        <v>0</v>
      </c>
      <c r="CQ9" s="122">
        <f>SUMIFS('Revenue Tracking'!$F$13:$F$19, 'Revenue Tracking'!$P$13:$P$19, "&gt;="&amp;CQ1,'Revenue Tracking'!$P$13:$P$19, "&lt;"&amp;CR1)</f>
        <v>0</v>
      </c>
      <c r="CR9" s="122">
        <f>SUMIFS('Revenue Tracking'!$F$13:$F$19, 'Revenue Tracking'!$P$13:$P$19, "&gt;="&amp;CR1,'Revenue Tracking'!$P$13:$P$19, "&lt;"&amp;CS1)</f>
        <v>0</v>
      </c>
      <c r="CS9" s="122">
        <f>SUMIFS('Revenue Tracking'!$F$13:$F$19, 'Revenue Tracking'!$P$13:$P$19, "&gt;="&amp;CS1,'Revenue Tracking'!$P$13:$P$19, "&lt;"&amp;CT1)</f>
        <v>0</v>
      </c>
      <c r="CT9" s="122">
        <f>SUMIFS('Revenue Tracking'!$F$13:$F$19, 'Revenue Tracking'!$P$13:$P$19, "&gt;="&amp;CT1,'Revenue Tracking'!$P$13:$P$19, "&lt;"&amp;CU1)</f>
        <v>0</v>
      </c>
      <c r="CU9" s="122">
        <f>SUMIFS('Revenue Tracking'!$F$13:$F$19, 'Revenue Tracking'!$P$13:$P$19, "&gt;="&amp;CU1,'Revenue Tracking'!$P$13:$P$19, "&lt;"&amp;CV1)</f>
        <v>0</v>
      </c>
      <c r="CV9" s="122">
        <f>SUMIFS('Revenue Tracking'!$F$13:$F$19, 'Revenue Tracking'!$P$13:$P$19, "&gt;="&amp;CV1,'Revenue Tracking'!$P$13:$P$19, "&lt;"&amp;CW1)</f>
        <v>0</v>
      </c>
      <c r="CW9" s="122">
        <f>SUMIFS('Revenue Tracking'!$F$13:$F$19, 'Revenue Tracking'!$P$13:$P$19, "&gt;="&amp;CW1,'Revenue Tracking'!$P$13:$P$19, "&lt;"&amp;CX1)</f>
        <v>0</v>
      </c>
      <c r="CX9" s="122">
        <f>SUMIFS('Revenue Tracking'!$F$13:$F$19, 'Revenue Tracking'!$P$13:$P$19, "&gt;="&amp;CX1,'Revenue Tracking'!$P$13:$P$19, "&lt;"&amp;CY1)</f>
        <v>0</v>
      </c>
      <c r="CY9" s="122">
        <f>SUMIFS('Revenue Tracking'!$F$13:$F$19, 'Revenue Tracking'!$P$13:$P$19, "&gt;="&amp;CY1,'Revenue Tracking'!$P$13:$P$19, "&lt;"&amp;CZ1)</f>
        <v>0</v>
      </c>
      <c r="CZ9" s="122">
        <f>SUMIFS('Revenue Tracking'!$F$13:$F$19, 'Revenue Tracking'!$P$13:$P$19, "&gt;="&amp;CZ1,'Revenue Tracking'!$P$13:$P$19, "&lt;"&amp;DA1)</f>
        <v>0</v>
      </c>
      <c r="DA9" s="122">
        <f>SUMIFS('Revenue Tracking'!$F$13:$F$19, 'Revenue Tracking'!$P$13:$P$19, "&gt;="&amp;DA1,'Revenue Tracking'!$P$13:$P$19, "&lt;"&amp;DB1)</f>
        <v>0</v>
      </c>
      <c r="DB9" s="122">
        <f>SUMIFS('Revenue Tracking'!$F$13:$F$19, 'Revenue Tracking'!$P$13:$P$19, "&gt;="&amp;DB1,'Revenue Tracking'!$P$13:$P$19, "&lt;"&amp;DC1)</f>
        <v>0</v>
      </c>
      <c r="DC9" s="122">
        <f>SUMIFS('Revenue Tracking'!$F$13:$F$19, 'Revenue Tracking'!$P$13:$P$19, "&gt;="&amp;DC1,'Revenue Tracking'!$P$13:$P$19, "&lt;"&amp;DD1)</f>
        <v>0</v>
      </c>
      <c r="DD9" s="122">
        <f>SUMIFS('Revenue Tracking'!$F$13:$F$19, 'Revenue Tracking'!$P$13:$P$19, "&gt;="&amp;DD1,'Revenue Tracking'!$P$13:$P$19, "&lt;"&amp;DE1)</f>
        <v>0</v>
      </c>
      <c r="DE9" s="122">
        <f>SUMIFS('Revenue Tracking'!$F$13:$F$19, 'Revenue Tracking'!$P$13:$P$19, "&gt;="&amp;DE1,'Revenue Tracking'!$P$13:$P$19, "&lt;"&amp;DF1)</f>
        <v>0</v>
      </c>
      <c r="DF9" s="122">
        <f>SUMIFS('Revenue Tracking'!$F$13:$F$19, 'Revenue Tracking'!$P$13:$P$19, "&gt;="&amp;DF1,'Revenue Tracking'!$P$13:$P$19, "&lt;"&amp;DG1)</f>
        <v>0</v>
      </c>
      <c r="DG9" s="122">
        <f>SUMIFS('Revenue Tracking'!$F$13:$F$19, 'Revenue Tracking'!$P$13:$P$19, "&gt;="&amp;DG1,'Revenue Tracking'!$P$13:$P$19, "&lt;"&amp;DH1)</f>
        <v>0</v>
      </c>
      <c r="DH9" s="122">
        <f>SUMIFS('Revenue Tracking'!$F$13:$F$19, 'Revenue Tracking'!$P$13:$P$19, "&gt;="&amp;DH1,'Revenue Tracking'!$P$13:$P$19, "&lt;"&amp;DI1)</f>
        <v>0</v>
      </c>
      <c r="DI9" s="122">
        <f>SUMIFS('Revenue Tracking'!$F$13:$F$19, 'Revenue Tracking'!$P$13:$P$19, "&gt;="&amp;DI1,'Revenue Tracking'!$P$13:$P$19, "&lt;"&amp;DJ1)</f>
        <v>0</v>
      </c>
      <c r="DJ9" s="122">
        <f>SUMIFS('Revenue Tracking'!$F$13:$F$19, 'Revenue Tracking'!$P$13:$P$19, "&gt;="&amp;DJ1,'Revenue Tracking'!$P$13:$P$19, "&lt;"&amp;DK1)</f>
        <v>0</v>
      </c>
      <c r="DK9" s="122">
        <f>SUMIFS('Revenue Tracking'!$F$13:$F$19, 'Revenue Tracking'!$P$13:$P$19, "&gt;="&amp;DK1,'Revenue Tracking'!$P$13:$P$19, "&lt;"&amp;DL1)</f>
        <v>0</v>
      </c>
      <c r="DL9" s="122">
        <f>SUMIFS('Revenue Tracking'!$F$13:$F$19, 'Revenue Tracking'!$P$13:$P$19, "&gt;="&amp;DL1,'Revenue Tracking'!$P$13:$P$19, "&lt;"&amp;DM1)</f>
        <v>0</v>
      </c>
      <c r="DM9" s="122">
        <f>SUMIFS('Revenue Tracking'!$F$13:$F$19, 'Revenue Tracking'!$P$13:$P$19, "&gt;="&amp;DM1,'Revenue Tracking'!$P$13:$P$19, "&lt;"&amp;DN1)</f>
        <v>0</v>
      </c>
      <c r="DN9" s="122">
        <f>SUMIFS('Revenue Tracking'!$F$13:$F$19, 'Revenue Tracking'!$P$13:$P$19, "&gt;="&amp;DN1,'Revenue Tracking'!$P$13:$P$19, "&lt;"&amp;DO1)</f>
        <v>0</v>
      </c>
      <c r="DO9" s="122">
        <f>SUMIFS('Revenue Tracking'!$F$13:$F$19, 'Revenue Tracking'!$P$13:$P$19, "&gt;="&amp;DO1,'Revenue Tracking'!$P$13:$P$19, "&lt;"&amp;DP1)</f>
        <v>0</v>
      </c>
      <c r="DP9" s="122">
        <f>SUMIFS('Revenue Tracking'!$F$13:$F$19, 'Revenue Tracking'!$P$13:$P$19, "&gt;="&amp;DP1,'Revenue Tracking'!$P$13:$P$19, "&lt;"&amp;DQ1)</f>
        <v>0</v>
      </c>
      <c r="DQ9" s="122">
        <f>SUMIFS('Revenue Tracking'!$F$13:$F$19, 'Revenue Tracking'!$P$13:$P$19, "&gt;="&amp;DQ1,'Revenue Tracking'!$P$13:$P$19, "&lt;"&amp;DR1)</f>
        <v>0</v>
      </c>
      <c r="DR9" s="122">
        <f>SUMIFS('Revenue Tracking'!$F$13:$F$19, 'Revenue Tracking'!$P$13:$P$19, "&gt;="&amp;DR1,'Revenue Tracking'!$P$13:$P$19, "&lt;"&amp;DS1)</f>
        <v>0</v>
      </c>
      <c r="DS9" s="122">
        <f>SUMIFS('Revenue Tracking'!$F$13:$F$19, 'Revenue Tracking'!$P$13:$P$19, "&gt;="&amp;DS1,'Revenue Tracking'!$P$13:$P$19, "&lt;"&amp;DT1)</f>
        <v>0</v>
      </c>
      <c r="DT9" s="122">
        <f>SUMIFS('Revenue Tracking'!$F$13:$F$19, 'Revenue Tracking'!$P$13:$P$19, "&gt;="&amp;DT1,'Revenue Tracking'!$P$13:$P$19, "&lt;"&amp;DU1)</f>
        <v>0</v>
      </c>
      <c r="DU9" s="122">
        <f>SUMIFS('Revenue Tracking'!$F$13:$F$19, 'Revenue Tracking'!$P$13:$P$19, "&gt;="&amp;DU1,'Revenue Tracking'!$P$13:$P$19, "&lt;"&amp;DV1)</f>
        <v>0</v>
      </c>
      <c r="DV9" s="122">
        <f>SUMIFS('Revenue Tracking'!$F$13:$F$19, 'Revenue Tracking'!$P$13:$P$19, "&gt;="&amp;DV1,'Revenue Tracking'!$P$13:$P$19, "&lt;"&amp;DW1)</f>
        <v>0</v>
      </c>
      <c r="DW9" s="122">
        <f>SUMIFS('Revenue Tracking'!$F$13:$F$19, 'Revenue Tracking'!$P$13:$P$19, "&gt;="&amp;DW1,'Revenue Tracking'!$P$13:$P$19, "&lt;"&amp;DX1)</f>
        <v>0</v>
      </c>
      <c r="DX9" s="122">
        <f>SUMIFS('Revenue Tracking'!$F$13:$F$19, 'Revenue Tracking'!$P$13:$P$19, "&gt;="&amp;DX1,'Revenue Tracking'!$P$13:$P$19, "&lt;"&amp;DY1)</f>
        <v>0</v>
      </c>
      <c r="DY9" s="122">
        <f>SUMIFS('Revenue Tracking'!$F$13:$F$19, 'Revenue Tracking'!$P$13:$P$19, "&gt;="&amp;DY1,'Revenue Tracking'!$P$13:$P$19, "&lt;"&amp;DZ1)</f>
        <v>0</v>
      </c>
      <c r="DZ9" s="122">
        <f>SUMIFS('Revenue Tracking'!$F$13:$F$19, 'Revenue Tracking'!$P$13:$P$19, "&gt;="&amp;DZ1,'Revenue Tracking'!$P$13:$P$19, "&lt;"&amp;EA1)</f>
        <v>0</v>
      </c>
      <c r="EA9" s="122">
        <f>SUMIFS('Revenue Tracking'!$F$13:$F$19, 'Revenue Tracking'!$P$13:$P$19, "&gt;="&amp;EA1,'Revenue Tracking'!$P$13:$P$19, "&lt;"&amp;EB1)</f>
        <v>0</v>
      </c>
      <c r="EB9" s="122">
        <f>SUMIFS('Revenue Tracking'!$F$13:$F$19, 'Revenue Tracking'!$P$13:$P$19, "&gt;="&amp;EB1,'Revenue Tracking'!$P$13:$P$19, "&lt;"&amp;EC1)</f>
        <v>0</v>
      </c>
      <c r="EC9" s="122">
        <f>SUMIFS('Revenue Tracking'!$F$13:$F$19, 'Revenue Tracking'!$P$13:$P$19, "&gt;="&amp;EC1,'Revenue Tracking'!$P$13:$P$19, "&lt;"&amp;ED1)</f>
        <v>0</v>
      </c>
      <c r="ED9" s="122">
        <f>SUMIFS('Revenue Tracking'!$F$13:$F$19, 'Revenue Tracking'!$P$13:$P$19, "&gt;="&amp;ED1,'Revenue Tracking'!$P$13:$P$19, "&lt;"&amp;EE1)</f>
        <v>0</v>
      </c>
      <c r="EE9" s="122">
        <f>SUMIFS('Revenue Tracking'!$F$13:$F$19, 'Revenue Tracking'!$P$13:$P$19, "&gt;="&amp;EE1,'Revenue Tracking'!$P$13:$P$19, "&lt;"&amp;EF1)</f>
        <v>0</v>
      </c>
      <c r="EF9" s="122">
        <f>SUMIFS('Revenue Tracking'!$F$13:$F$19, 'Revenue Tracking'!$P$13:$P$19, "&gt;="&amp;EF1,'Revenue Tracking'!$P$13:$P$19, "&lt;"&amp;EG1)</f>
        <v>0</v>
      </c>
      <c r="EG9" s="122">
        <f>SUMIFS('Revenue Tracking'!$F$13:$F$19, 'Revenue Tracking'!$P$13:$P$19, "&gt;="&amp;EG1,'Revenue Tracking'!$P$13:$P$19, "&lt;"&amp;EH1)</f>
        <v>0</v>
      </c>
      <c r="EH9" s="122">
        <f>SUMIFS('Revenue Tracking'!$F$13:$F$19, 'Revenue Tracking'!$P$13:$P$19, "&gt;="&amp;EH1,'Revenue Tracking'!$P$13:$P$19, "&lt;"&amp;EI1)</f>
        <v>0</v>
      </c>
      <c r="EI9" s="122">
        <f>SUMIFS('Revenue Tracking'!$F$13:$F$19, 'Revenue Tracking'!$P$13:$P$19, "&gt;="&amp;EI1,'Revenue Tracking'!$P$13:$P$19, "&lt;"&amp;EJ1)</f>
        <v>0</v>
      </c>
      <c r="EJ9" s="122">
        <f>SUMIFS('Revenue Tracking'!$F$13:$F$19, 'Revenue Tracking'!$P$13:$P$19, "&gt;="&amp;EJ1,'Revenue Tracking'!$P$13:$P$19, "&lt;"&amp;EK1)</f>
        <v>0</v>
      </c>
      <c r="EK9" s="122">
        <f>SUMIFS('Revenue Tracking'!$F$13:$F$19, 'Revenue Tracking'!$P$13:$P$19, "&gt;="&amp;EK1,'Revenue Tracking'!$P$13:$P$19, "&lt;"&amp;EL1)</f>
        <v>0</v>
      </c>
      <c r="EL9" s="122">
        <f>SUMIFS('Revenue Tracking'!$F$13:$F$19, 'Revenue Tracking'!$P$13:$P$19, "&gt;="&amp;EL1,'Revenue Tracking'!$P$13:$P$19, "&lt;"&amp;EM1)</f>
        <v>0</v>
      </c>
      <c r="EM9" s="122">
        <f>SUMIFS('Revenue Tracking'!$F$13:$F$19, 'Revenue Tracking'!$P$13:$P$19, "&gt;="&amp;EM1,'Revenue Tracking'!$P$13:$P$19, "&lt;"&amp;EN1)</f>
        <v>0</v>
      </c>
      <c r="EN9" s="122">
        <f>SUMIFS('Revenue Tracking'!$F$13:$F$19, 'Revenue Tracking'!$P$13:$P$19, "&gt;="&amp;EN1,'Revenue Tracking'!$P$13:$P$19, "&lt;"&amp;EO1)</f>
        <v>0</v>
      </c>
      <c r="EO9" s="122">
        <f>SUMIFS('Revenue Tracking'!$F$13:$F$19, 'Revenue Tracking'!$P$13:$P$19, "&gt;="&amp;EO1,'Revenue Tracking'!$P$13:$P$19, "&lt;"&amp;EP1)</f>
        <v>0</v>
      </c>
      <c r="EP9" s="122">
        <f>SUMIFS('Revenue Tracking'!$F$13:$F$19, 'Revenue Tracking'!$P$13:$P$19, "&gt;="&amp;EP1,'Revenue Tracking'!$P$13:$P$19, "&lt;"&amp;EQ1)</f>
        <v>0</v>
      </c>
      <c r="EQ9" s="122">
        <f>SUMIFS('Revenue Tracking'!$F$13:$F$19, 'Revenue Tracking'!$P$13:$P$19, "&gt;="&amp;EQ1,'Revenue Tracking'!$P$13:$P$19, "&lt;"&amp;ER1)</f>
        <v>0</v>
      </c>
      <c r="ER9" s="122">
        <f>SUMIFS('Revenue Tracking'!$F$13:$F$19, 'Revenue Tracking'!$P$13:$P$19, "&gt;="&amp;ER1,'Revenue Tracking'!$P$13:$P$19, "&lt;"&amp;ES1)</f>
        <v>0</v>
      </c>
      <c r="ES9" s="122">
        <f>SUMIFS('Revenue Tracking'!$F$13:$F$19, 'Revenue Tracking'!$P$13:$P$19, "&gt;="&amp;ES1,'Revenue Tracking'!$P$13:$P$19, "&lt;"&amp;ET1)</f>
        <v>0</v>
      </c>
      <c r="ET9" s="122">
        <f>SUMIFS('Revenue Tracking'!$F$13:$F$19, 'Revenue Tracking'!$P$13:$P$19, "&gt;="&amp;ET1,'Revenue Tracking'!$P$13:$P$19, "&lt;"&amp;EU1)</f>
        <v>0</v>
      </c>
      <c r="EU9" s="122">
        <f>SUMIFS('Revenue Tracking'!$F$13:$F$19, 'Revenue Tracking'!$P$13:$P$19, "&gt;="&amp;EU1,'Revenue Tracking'!$P$13:$P$19, "&lt;"&amp;EV1)</f>
        <v>0</v>
      </c>
      <c r="EV9" s="122">
        <f>SUMIFS('Revenue Tracking'!$F$13:$F$19, 'Revenue Tracking'!$P$13:$P$19, "&gt;="&amp;EV1,'Revenue Tracking'!$P$13:$P$19, "&lt;"&amp;EW1)</f>
        <v>0</v>
      </c>
      <c r="EW9" s="122">
        <f>SUMIFS('Revenue Tracking'!$F$13:$F$19, 'Revenue Tracking'!$P$13:$P$19, "&gt;="&amp;EW1,'Revenue Tracking'!$P$13:$P$19, "&lt;"&amp;EX1)</f>
        <v>0</v>
      </c>
      <c r="EX9" s="122">
        <f>SUMIFS('Revenue Tracking'!$F$13:$F$19, 'Revenue Tracking'!$P$13:$P$19, "&gt;="&amp;EX1,'Revenue Tracking'!$P$13:$P$19, "&lt;"&amp;EY1)</f>
        <v>0</v>
      </c>
      <c r="EY9" s="122">
        <f>SUMIFS('Revenue Tracking'!$F$13:$F$19, 'Revenue Tracking'!$P$13:$P$19, "&gt;="&amp;EY1,'Revenue Tracking'!$P$13:$P$19, "&lt;"&amp;EZ1)</f>
        <v>0</v>
      </c>
      <c r="EZ9" s="122">
        <f>SUMIFS('Revenue Tracking'!$F$13:$F$19, 'Revenue Tracking'!$P$13:$P$19, "&gt;="&amp;EZ1,'Revenue Tracking'!$P$13:$P$19, "&lt;"&amp;FA1)</f>
        <v>0</v>
      </c>
      <c r="FA9" s="122">
        <f>SUMIFS('Revenue Tracking'!$F$13:$F$19, 'Revenue Tracking'!$P$13:$P$19, "&gt;="&amp;FA1,'Revenue Tracking'!$P$13:$P$19, "&lt;"&amp;FB1)</f>
        <v>0</v>
      </c>
      <c r="FB9" s="122">
        <f>SUMIFS('Revenue Tracking'!$F$13:$F$19, 'Revenue Tracking'!$P$13:$P$19, "&gt;="&amp;FB1,'Revenue Tracking'!$P$13:$P$19, "&lt;"&amp;FC1)</f>
        <v>0</v>
      </c>
      <c r="FC9" s="122">
        <f>SUMIFS('Revenue Tracking'!$F$13:$F$19, 'Revenue Tracking'!$P$13:$P$19, "&gt;="&amp;FC1,'Revenue Tracking'!$P$13:$P$19, "&lt;"&amp;FD1)</f>
        <v>0</v>
      </c>
      <c r="FD9" s="122">
        <f>SUMIFS('Revenue Tracking'!$F$13:$F$19, 'Revenue Tracking'!$P$13:$P$19, "&gt;="&amp;FD1,'Revenue Tracking'!$P$13:$P$19, "&lt;"&amp;FE1)</f>
        <v>0</v>
      </c>
      <c r="FE9" s="122">
        <f>SUMIFS('Revenue Tracking'!$F$13:$F$19, 'Revenue Tracking'!$P$13:$P$19, "&gt;="&amp;FE1,'Revenue Tracking'!$P$13:$P$19, "&lt;"&amp;FF1)</f>
        <v>0</v>
      </c>
      <c r="FF9" s="122">
        <f>SUMIFS('Revenue Tracking'!$F$13:$F$19, 'Revenue Tracking'!$P$13:$P$19, "&gt;="&amp;FF1,'Revenue Tracking'!$P$13:$P$19, "&lt;"&amp;FG1)</f>
        <v>0</v>
      </c>
      <c r="FG9" s="122">
        <f>SUMIFS('Revenue Tracking'!$F$13:$F$19, 'Revenue Tracking'!$P$13:$P$19, "&gt;="&amp;FG1,'Revenue Tracking'!$P$13:$P$19, "&lt;"&amp;FH1)</f>
        <v>0</v>
      </c>
      <c r="FH9" s="122">
        <f>SUMIFS('Revenue Tracking'!$F$13:$F$19, 'Revenue Tracking'!$P$13:$P$19, "&gt;="&amp;FH1,'Revenue Tracking'!$P$13:$P$19, "&lt;"&amp;FI1)</f>
        <v>0</v>
      </c>
      <c r="FI9" s="122">
        <f>SUMIFS('Revenue Tracking'!$F$13:$F$19, 'Revenue Tracking'!$P$13:$P$19, "&gt;="&amp;FI1,'Revenue Tracking'!$P$13:$P$19, "&lt;"&amp;FJ1)</f>
        <v>0</v>
      </c>
      <c r="FJ9" s="122">
        <f>SUMIFS('Revenue Tracking'!$F$13:$F$19, 'Revenue Tracking'!$P$13:$P$19, "&gt;="&amp;FJ1,'Revenue Tracking'!$P$13:$P$19, "&lt;"&amp;FK1)</f>
        <v>0</v>
      </c>
      <c r="FK9" s="122">
        <f>SUMIFS('Revenue Tracking'!$F$13:$F$19, 'Revenue Tracking'!$P$13:$P$19, "&gt;="&amp;FK1,'Revenue Tracking'!$P$13:$P$19, "&lt;"&amp;FL1)</f>
        <v>0</v>
      </c>
      <c r="FL9" s="122">
        <f>SUMIFS('Revenue Tracking'!$F$13:$F$19, 'Revenue Tracking'!$P$13:$P$19, "&gt;="&amp;FL1,'Revenue Tracking'!$P$13:$P$19, "&lt;"&amp;FM1)</f>
        <v>0</v>
      </c>
      <c r="FM9" s="122">
        <f>SUMIFS('Revenue Tracking'!$F$13:$F$19, 'Revenue Tracking'!$P$13:$P$19, "&gt;="&amp;FM1,'Revenue Tracking'!$P$13:$P$19, "&lt;"&amp;FN1)</f>
        <v>0</v>
      </c>
      <c r="FN9" s="122">
        <f>SUMIFS('Revenue Tracking'!$F$13:$F$19, 'Revenue Tracking'!$P$13:$P$19, "&gt;="&amp;FN1,'Revenue Tracking'!$P$13:$P$19, "&lt;"&amp;FO1)</f>
        <v>0</v>
      </c>
      <c r="FO9" s="122">
        <f>SUMIFS('Revenue Tracking'!$F$13:$F$19, 'Revenue Tracking'!$P$13:$P$19, "&gt;="&amp;FO1,'Revenue Tracking'!$P$13:$P$19, "&lt;"&amp;FP1)</f>
        <v>0</v>
      </c>
      <c r="FP9" s="122">
        <f>SUMIFS('Revenue Tracking'!$F$13:$F$19, 'Revenue Tracking'!$P$13:$P$19, "&gt;="&amp;FP1,'Revenue Tracking'!$P$13:$P$19, "&lt;"&amp;FQ1)</f>
        <v>0</v>
      </c>
      <c r="FQ9" s="122">
        <f>SUMIFS('Revenue Tracking'!$F$13:$F$19, 'Revenue Tracking'!$P$13:$P$19, "&gt;="&amp;FQ1,'Revenue Tracking'!$P$13:$P$19, "&lt;"&amp;FR1)</f>
        <v>0</v>
      </c>
      <c r="FR9" s="122">
        <f>SUMIFS('Revenue Tracking'!$F$13:$F$19, 'Revenue Tracking'!$P$13:$P$19, "&gt;="&amp;FR1,'Revenue Tracking'!$P$13:$P$19, "&lt;"&amp;FS1)</f>
        <v>0</v>
      </c>
      <c r="FS9" s="122">
        <f>SUMIFS('Revenue Tracking'!$F$13:$F$19, 'Revenue Tracking'!$P$13:$P$19, "&gt;="&amp;FS1,'Revenue Tracking'!$P$13:$P$19, "&lt;"&amp;FT1)</f>
        <v>0</v>
      </c>
      <c r="FT9" s="122">
        <f>SUMIFS('Revenue Tracking'!$F$13:$F$19, 'Revenue Tracking'!$P$13:$P$19, "&gt;="&amp;FT1,'Revenue Tracking'!$P$13:$P$19, "&lt;"&amp;FU1)</f>
        <v>0</v>
      </c>
      <c r="FU9" s="122">
        <f>SUMIFS('Revenue Tracking'!$F$13:$F$19, 'Revenue Tracking'!$P$13:$P$19, "&gt;="&amp;FU1,'Revenue Tracking'!$P$13:$P$19, "&lt;"&amp;FV1)</f>
        <v>0</v>
      </c>
      <c r="FV9" s="122">
        <f>SUMIFS('Revenue Tracking'!$F$13:$F$19, 'Revenue Tracking'!$P$13:$P$19, "&gt;="&amp;FV1,'Revenue Tracking'!$P$13:$P$19, "&lt;"&amp;FW1)</f>
        <v>0</v>
      </c>
      <c r="FW9" s="122">
        <f>SUMIFS('Revenue Tracking'!$F$13:$F$19, 'Revenue Tracking'!$P$13:$P$19, "&gt;="&amp;FW1,'Revenue Tracking'!$P$13:$P$19, "&lt;"&amp;FX1)</f>
        <v>0</v>
      </c>
      <c r="FX9" s="122">
        <f>SUMIFS('Revenue Tracking'!$F$13:$F$19, 'Revenue Tracking'!$P$13:$P$19, "&gt;="&amp;FX1,'Revenue Tracking'!$P$13:$P$19, "&lt;"&amp;FY1)</f>
        <v>0</v>
      </c>
      <c r="FY9" s="122">
        <f>SUMIFS('Revenue Tracking'!$F$13:$F$19, 'Revenue Tracking'!$P$13:$P$19, "&gt;="&amp;FY1,'Revenue Tracking'!$P$13:$P$19, "&lt;"&amp;FZ1)</f>
        <v>0</v>
      </c>
      <c r="FZ9" s="122">
        <f>SUMIFS('Revenue Tracking'!$F$13:$F$19, 'Revenue Tracking'!$P$13:$P$19, "&gt;="&amp;FZ1,'Revenue Tracking'!$P$13:$P$19, "&lt;"&amp;GA1)</f>
        <v>0</v>
      </c>
      <c r="GA9" s="122">
        <f>SUMIFS('Revenue Tracking'!$F$13:$F$19, 'Revenue Tracking'!$P$13:$P$19, "&gt;="&amp;GA1,'Revenue Tracking'!$P$13:$P$19, "&lt;"&amp;GB1)</f>
        <v>0</v>
      </c>
      <c r="GB9" s="122">
        <f>SUMIFS('Revenue Tracking'!$F$13:$F$19, 'Revenue Tracking'!$P$13:$P$19, "&gt;="&amp;GB1,'Revenue Tracking'!$P$13:$P$19, "&lt;"&amp;GC1)</f>
        <v>0</v>
      </c>
      <c r="GC9" s="122">
        <f>SUMIFS('Revenue Tracking'!$F$13:$F$19, 'Revenue Tracking'!$P$13:$P$19, "&gt;="&amp;GC1,'Revenue Tracking'!$P$13:$P$19, "&lt;"&amp;GD1)</f>
        <v>0</v>
      </c>
      <c r="GD9" s="122">
        <f>SUMIFS('Revenue Tracking'!$F$13:$F$19, 'Revenue Tracking'!$P$13:$P$19, "&gt;="&amp;GD1,'Revenue Tracking'!$P$13:$P$19, "&lt;"&amp;GE1)</f>
        <v>0</v>
      </c>
      <c r="GE9" s="122">
        <f>SUMIFS('Revenue Tracking'!$F$13:$F$19, 'Revenue Tracking'!$P$13:$P$19, "&gt;="&amp;GE1,'Revenue Tracking'!$P$13:$P$19, "&lt;"&amp;GF1)</f>
        <v>0</v>
      </c>
      <c r="GF9" s="122">
        <f>SUMIFS('Revenue Tracking'!$F$13:$F$19, 'Revenue Tracking'!$P$13:$P$19, "&gt;="&amp;GF1,'Revenue Tracking'!$P$13:$P$19, "&lt;"&amp;GG1)</f>
        <v>0</v>
      </c>
      <c r="GG9" s="122">
        <f>SUMIFS('Revenue Tracking'!$F$13:$F$19, 'Revenue Tracking'!$P$13:$P$19, "&gt;="&amp;GG1,'Revenue Tracking'!$P$13:$P$19, "&lt;"&amp;GH1)</f>
        <v>0</v>
      </c>
      <c r="GH9" s="122">
        <f>SUMIFS('Revenue Tracking'!$F$13:$F$19, 'Revenue Tracking'!$P$13:$P$19, "&gt;="&amp;GH1,'Revenue Tracking'!$P$13:$P$19, "&lt;"&amp;GI1)</f>
        <v>0</v>
      </c>
      <c r="GI9" s="122">
        <f>SUMIFS('Revenue Tracking'!$F$13:$F$19, 'Revenue Tracking'!$P$13:$P$19, "&gt;="&amp;GI1,'Revenue Tracking'!$P$13:$P$19, "&lt;"&amp;GJ1)</f>
        <v>0</v>
      </c>
      <c r="GJ9" s="122">
        <f>SUMIFS('Revenue Tracking'!$F$13:$F$19, 'Revenue Tracking'!$P$13:$P$19, "&gt;="&amp;GJ1,'Revenue Tracking'!$P$13:$P$19, "&lt;"&amp;GK1)</f>
        <v>0</v>
      </c>
      <c r="GK9" s="122">
        <f>SUMIFS('Revenue Tracking'!$F$13:$F$19, 'Revenue Tracking'!$P$13:$P$19, "&gt;="&amp;GK1,'Revenue Tracking'!$P$13:$P$19, "&lt;"&amp;GL1)</f>
        <v>0</v>
      </c>
      <c r="GL9" s="122">
        <f>SUMIFS('Revenue Tracking'!$F$13:$F$19, 'Revenue Tracking'!$P$13:$P$19, "&gt;="&amp;GL1,'Revenue Tracking'!$P$13:$P$19, "&lt;"&amp;GM1)</f>
        <v>0</v>
      </c>
      <c r="GM9" s="122">
        <f>SUMIFS('Revenue Tracking'!$F$13:$F$19, 'Revenue Tracking'!$P$13:$P$19, "&gt;="&amp;GM1,'Revenue Tracking'!$P$13:$P$19, "&lt;"&amp;GN1)</f>
        <v>0</v>
      </c>
      <c r="GN9" s="122">
        <f>SUMIFS('Revenue Tracking'!$F$13:$F$19, 'Revenue Tracking'!$P$13:$P$19, "&gt;="&amp;GN1,'Revenue Tracking'!$P$13:$P$19, "&lt;"&amp;GO1)</f>
        <v>0</v>
      </c>
      <c r="GO9" s="122">
        <f>SUMIFS('Revenue Tracking'!$F$13:$F$19, 'Revenue Tracking'!$P$13:$P$19, "&gt;="&amp;GO1,'Revenue Tracking'!$P$13:$P$19, "&lt;"&amp;GP1)</f>
        <v>0</v>
      </c>
      <c r="GP9" s="122">
        <f>SUMIFS('Revenue Tracking'!$F$13:$F$19, 'Revenue Tracking'!$P$13:$P$19, "&gt;="&amp;GP1,'Revenue Tracking'!$P$13:$P$19, "&lt;"&amp;GQ1)</f>
        <v>0</v>
      </c>
      <c r="GQ9" s="122">
        <f>SUMIFS('Revenue Tracking'!$F$13:$F$19, 'Revenue Tracking'!$P$13:$P$19, "&gt;="&amp;GQ1,'Revenue Tracking'!$P$13:$P$19, "&lt;"&amp;GR1)</f>
        <v>0</v>
      </c>
      <c r="GR9" s="122">
        <f>SUMIFS('Revenue Tracking'!$F$13:$F$19, 'Revenue Tracking'!$P$13:$P$19, "&gt;="&amp;GR1,'Revenue Tracking'!$P$13:$P$19, "&lt;"&amp;GS1)</f>
        <v>0</v>
      </c>
      <c r="GS9" s="122">
        <f>SUMIFS('Revenue Tracking'!$F$13:$F$19, 'Revenue Tracking'!$P$13:$P$19, "&gt;="&amp;GS1,'Revenue Tracking'!$P$13:$P$19, "&lt;"&amp;GT1)</f>
        <v>0</v>
      </c>
      <c r="GT9" s="122">
        <f>SUMIFS('Revenue Tracking'!$F$13:$F$19, 'Revenue Tracking'!$P$13:$P$19, "&gt;="&amp;GT1,'Revenue Tracking'!$P$13:$P$19, "&lt;"&amp;GU1)</f>
        <v>0</v>
      </c>
      <c r="GU9" s="122">
        <f>SUMIFS('Revenue Tracking'!$F$13:$F$19, 'Revenue Tracking'!$P$13:$P$19, "&gt;="&amp;GU1,'Revenue Tracking'!$P$13:$P$19, "&lt;"&amp;GV1)</f>
        <v>0</v>
      </c>
      <c r="GV9" s="122">
        <f>SUMIFS('Revenue Tracking'!$F$13:$F$19, 'Revenue Tracking'!$P$13:$P$19, "&gt;="&amp;GV1,'Revenue Tracking'!$P$13:$P$19, "&lt;"&amp;GW1)</f>
        <v>0</v>
      </c>
      <c r="GW9" s="122">
        <f>SUMIFS('Revenue Tracking'!$F$13:$F$19, 'Revenue Tracking'!$P$13:$P$19, "&gt;="&amp;GW1,'Revenue Tracking'!$P$13:$P$19, "&lt;"&amp;GX1)</f>
        <v>0</v>
      </c>
      <c r="GX9" s="122">
        <f>SUMIFS('Revenue Tracking'!$F$13:$F$19, 'Revenue Tracking'!$P$13:$P$19, "&gt;="&amp;GX1,'Revenue Tracking'!$P$13:$P$19, "&lt;"&amp;GY1)</f>
        <v>0</v>
      </c>
      <c r="GY9" s="122">
        <f>SUMIFS('Revenue Tracking'!$F$13:$F$19, 'Revenue Tracking'!$P$13:$P$19, "&gt;="&amp;GY1,'Revenue Tracking'!$P$13:$P$19, "&lt;"&amp;GZ1)</f>
        <v>0</v>
      </c>
      <c r="GZ9" s="122">
        <f>SUMIFS('Revenue Tracking'!$F$13:$F$19, 'Revenue Tracking'!$P$13:$P$19, "&gt;="&amp;GZ1,'Revenue Tracking'!$P$13:$P$19, "&lt;"&amp;HA1)</f>
        <v>0</v>
      </c>
      <c r="HA9" s="122">
        <f>SUMIFS('Revenue Tracking'!$F$13:$F$19, 'Revenue Tracking'!$P$13:$P$19, "&gt;="&amp;HA1,'Revenue Tracking'!$P$13:$P$19, "&lt;"&amp;HB1)</f>
        <v>0</v>
      </c>
      <c r="HB9" s="122">
        <f>SUMIFS('Revenue Tracking'!$F$13:$F$19, 'Revenue Tracking'!$P$13:$P$19, "&gt;="&amp;HB1,'Revenue Tracking'!$P$13:$P$19, "&lt;"&amp;HC1)</f>
        <v>0</v>
      </c>
      <c r="HC9" s="122">
        <f>SUMIFS('Revenue Tracking'!$F$13:$F$19, 'Revenue Tracking'!$P$13:$P$19, "&gt;="&amp;HC1,'Revenue Tracking'!$P$13:$P$19, "&lt;"&amp;HD1)</f>
        <v>0</v>
      </c>
      <c r="HD9" s="122">
        <f>SUMIFS('Revenue Tracking'!$F$13:$F$19, 'Revenue Tracking'!$P$13:$P$19, "&gt;="&amp;HD1,'Revenue Tracking'!$P$13:$P$19, "&lt;"&amp;HE1)</f>
        <v>0</v>
      </c>
      <c r="HE9" s="122">
        <f>SUMIFS('Revenue Tracking'!$F$13:$F$19, 'Revenue Tracking'!$P$13:$P$19, "&gt;="&amp;HE1,'Revenue Tracking'!$P$13:$P$19, "&lt;"&amp;HF1)</f>
        <v>0</v>
      </c>
      <c r="HF9" s="122">
        <f>SUMIFS('Revenue Tracking'!$F$13:$F$19, 'Revenue Tracking'!$P$13:$P$19, "&gt;="&amp;HF1,'Revenue Tracking'!$P$13:$P$19, "&lt;"&amp;HG1)</f>
        <v>0</v>
      </c>
      <c r="HG9" s="122">
        <f>SUMIFS('Revenue Tracking'!$F$13:$F$19, 'Revenue Tracking'!$P$13:$P$19, "&gt;="&amp;HG1,'Revenue Tracking'!$P$13:$P$19, "&lt;"&amp;HH1)</f>
        <v>0</v>
      </c>
      <c r="HH9" s="122">
        <f>SUMIFS('Revenue Tracking'!$F$13:$F$19, 'Revenue Tracking'!$P$13:$P$19, "&gt;="&amp;HH1,'Revenue Tracking'!$P$13:$P$19, "&lt;"&amp;HI1)</f>
        <v>0</v>
      </c>
      <c r="HI9" s="122">
        <f>SUMIFS('Revenue Tracking'!$F$13:$F$19, 'Revenue Tracking'!$P$13:$P$19, "&gt;="&amp;HI1,'Revenue Tracking'!$P$13:$P$19, "&lt;"&amp;HJ1)</f>
        <v>0</v>
      </c>
      <c r="HJ9" s="122">
        <f>SUMIFS('Revenue Tracking'!$F$13:$F$19, 'Revenue Tracking'!$P$13:$P$19, "&gt;="&amp;HJ1,'Revenue Tracking'!$P$13:$P$19, "&lt;"&amp;HK1)</f>
        <v>0</v>
      </c>
      <c r="HK9" s="122">
        <f>SUMIFS('Revenue Tracking'!$F$13:$F$19, 'Revenue Tracking'!$P$13:$P$19, "&gt;="&amp;HK1,'Revenue Tracking'!$P$13:$P$19, "&lt;"&amp;HL1)</f>
        <v>0</v>
      </c>
      <c r="HL9" s="122">
        <f>SUMIFS('Revenue Tracking'!$F$13:$F$19, 'Revenue Tracking'!$P$13:$P$19, "&gt;="&amp;HL1,'Revenue Tracking'!$P$13:$P$19, "&lt;"&amp;HM1)</f>
        <v>0</v>
      </c>
      <c r="HM9" s="122">
        <f>SUMIFS('Revenue Tracking'!$F$13:$F$19, 'Revenue Tracking'!$P$13:$P$19, "&gt;="&amp;HM1,'Revenue Tracking'!$P$13:$P$19, "&lt;"&amp;HN1)</f>
        <v>0</v>
      </c>
      <c r="HN9" s="122">
        <f>SUMIFS('Revenue Tracking'!$F$13:$F$19, 'Revenue Tracking'!$P$13:$P$19, "&gt;="&amp;HN1,'Revenue Tracking'!$P$13:$P$19, "&lt;"&amp;HO1)</f>
        <v>0</v>
      </c>
      <c r="HO9" s="122">
        <f>SUMIFS('Revenue Tracking'!$F$13:$F$19, 'Revenue Tracking'!$P$13:$P$19, "&gt;="&amp;HO1,'Revenue Tracking'!$P$13:$P$19, "&lt;"&amp;HP1)</f>
        <v>0</v>
      </c>
      <c r="HP9" s="122">
        <f>SUMIFS('Revenue Tracking'!$F$13:$F$19, 'Revenue Tracking'!$P$13:$P$19, "&gt;="&amp;HP1,'Revenue Tracking'!$P$13:$P$19, "&lt;"&amp;HQ1)</f>
        <v>0</v>
      </c>
      <c r="HQ9" s="122">
        <f>SUMIFS('Revenue Tracking'!$F$13:$F$19, 'Revenue Tracking'!$P$13:$P$19, "&gt;="&amp;HQ1,'Revenue Tracking'!$P$13:$P$19, "&lt;"&amp;HR1)</f>
        <v>0</v>
      </c>
      <c r="HR9" s="122">
        <f>SUMIFS('Revenue Tracking'!$F$13:$F$19, 'Revenue Tracking'!$P$13:$P$19, "&gt;="&amp;HR1,'Revenue Tracking'!$P$13:$P$19, "&lt;"&amp;HS1)</f>
        <v>0</v>
      </c>
      <c r="HS9" s="122">
        <f>SUMIFS('Revenue Tracking'!$F$13:$F$19, 'Revenue Tracking'!$P$13:$P$19, "&gt;="&amp;HS1,'Revenue Tracking'!$P$13:$P$19, "&lt;"&amp;HT1)</f>
        <v>0</v>
      </c>
      <c r="HT9" s="122">
        <f>SUMIFS('Revenue Tracking'!$F$13:$F$19, 'Revenue Tracking'!$P$13:$P$19, "&gt;="&amp;HT1,'Revenue Tracking'!$P$13:$P$19, "&lt;"&amp;HU1)</f>
        <v>0</v>
      </c>
      <c r="HU9" s="122">
        <f>SUMIFS('Revenue Tracking'!$F$13:$F$19, 'Revenue Tracking'!$P$13:$P$19, "&gt;="&amp;HU1,'Revenue Tracking'!$P$13:$P$19, "&lt;"&amp;HV1)</f>
        <v>0</v>
      </c>
      <c r="HV9" s="122">
        <f>SUMIFS('Revenue Tracking'!$F$13:$F$19, 'Revenue Tracking'!$P$13:$P$19, "&gt;="&amp;HV1,'Revenue Tracking'!$P$13:$P$19, "&lt;"&amp;HW1)</f>
        <v>0</v>
      </c>
      <c r="HW9" s="122">
        <f>SUMIFS('Revenue Tracking'!$F$13:$F$19, 'Revenue Tracking'!$P$13:$P$19, "&gt;="&amp;HW1,'Revenue Tracking'!$P$13:$P$19, "&lt;"&amp;HX1)</f>
        <v>0</v>
      </c>
      <c r="HX9" s="122">
        <f>SUMIFS('Revenue Tracking'!$F$13:$F$19, 'Revenue Tracking'!$P$13:$P$19, "&gt;="&amp;HX1,'Revenue Tracking'!$P$13:$P$19, "&lt;"&amp;HY1)</f>
        <v>0</v>
      </c>
      <c r="HY9" s="122">
        <f>SUMIFS('Revenue Tracking'!$F$13:$F$19, 'Revenue Tracking'!$P$13:$P$19, "&gt;="&amp;HY1,'Revenue Tracking'!$P$13:$P$19, "&lt;"&amp;HZ1)</f>
        <v>0</v>
      </c>
      <c r="HZ9" s="122">
        <f>SUMIFS('Revenue Tracking'!$F$13:$F$19, 'Revenue Tracking'!$P$13:$P$19, "&gt;="&amp;HZ1,'Revenue Tracking'!$P$13:$P$19, "&lt;"&amp;IA1)</f>
        <v>0</v>
      </c>
      <c r="IA9" s="122">
        <f>SUMIFS('Revenue Tracking'!$F$13:$F$19, 'Revenue Tracking'!$P$13:$P$19, "&gt;="&amp;IA1,'Revenue Tracking'!$P$13:$P$19, "&lt;"&amp;IB1)</f>
        <v>0</v>
      </c>
      <c r="IB9" s="122">
        <f>SUMIFS('Revenue Tracking'!$F$13:$F$19, 'Revenue Tracking'!$P$13:$P$19, "&gt;="&amp;IB1,'Revenue Tracking'!$P$13:$P$19, "&lt;"&amp;IC1)</f>
        <v>0</v>
      </c>
      <c r="IC9" s="122">
        <f>SUMIFS('Revenue Tracking'!$F$13:$F$19, 'Revenue Tracking'!$P$13:$P$19, "&gt;="&amp;IC1,'Revenue Tracking'!$P$13:$P$19, "&lt;"&amp;ID1)</f>
        <v>0</v>
      </c>
      <c r="ID9" s="122">
        <f>SUMIFS('Revenue Tracking'!$F$13:$F$19, 'Revenue Tracking'!$P$13:$P$19, "&gt;="&amp;ID1,'Revenue Tracking'!$P$13:$P$19, "&lt;"&amp;IE1)</f>
        <v>0</v>
      </c>
      <c r="IE9" s="122">
        <f>SUMIFS('Revenue Tracking'!$F$13:$F$19, 'Revenue Tracking'!$P$13:$P$19, "&gt;="&amp;IE1,'Revenue Tracking'!$P$13:$P$19, "&lt;"&amp;IF1)</f>
        <v>0</v>
      </c>
      <c r="IF9" s="122">
        <f>SUMIFS('Revenue Tracking'!$F$13:$F$19, 'Revenue Tracking'!$P$13:$P$19, "&gt;="&amp;IF1,'Revenue Tracking'!$P$13:$P$19, "&lt;"&amp;IG1)</f>
        <v>0</v>
      </c>
      <c r="IG9" s="122">
        <f>SUMIFS('Revenue Tracking'!$F$13:$F$19, 'Revenue Tracking'!$P$13:$P$19, "&gt;="&amp;IG1,'Revenue Tracking'!$P$13:$P$19, "&lt;"&amp;IH1)</f>
        <v>0</v>
      </c>
      <c r="IH9" s="122">
        <f>SUMIFS('Revenue Tracking'!$F$13:$F$19, 'Revenue Tracking'!$P$13:$P$19, "&gt;="&amp;IH1,'Revenue Tracking'!$P$13:$P$19, "&lt;"&amp;II1)</f>
        <v>0</v>
      </c>
      <c r="II9" s="122">
        <f>SUMIFS('Revenue Tracking'!$F$13:$F$19, 'Revenue Tracking'!$P$13:$P$19, "&gt;="&amp;II1,'Revenue Tracking'!$P$13:$P$19, "&lt;"&amp;IJ1)</f>
        <v>0</v>
      </c>
      <c r="IJ9" s="122">
        <f>SUMIFS('Revenue Tracking'!$F$13:$F$19, 'Revenue Tracking'!$P$13:$P$19, "&gt;="&amp;IJ1,'Revenue Tracking'!$P$13:$P$19, "&lt;"&amp;IK1)</f>
        <v>0</v>
      </c>
      <c r="IK9" s="122">
        <f>SUMIFS('Revenue Tracking'!$F$13:$F$19, 'Revenue Tracking'!$P$13:$P$19, "&gt;="&amp;IK1,'Revenue Tracking'!$P$13:$P$19, "&lt;"&amp;IL1)</f>
        <v>0</v>
      </c>
      <c r="IL9" s="122">
        <f>SUMIFS('Revenue Tracking'!$F$13:$F$19, 'Revenue Tracking'!$P$13:$P$19, "&gt;="&amp;IL1,'Revenue Tracking'!$P$13:$P$19, "&lt;"&amp;IM1)</f>
        <v>0</v>
      </c>
      <c r="IM9" s="122">
        <f>SUMIFS('Revenue Tracking'!$F$13:$F$19, 'Revenue Tracking'!$P$13:$P$19, "&gt;="&amp;IM1,'Revenue Tracking'!$P$13:$P$19, "&lt;"&amp;IN1)</f>
        <v>0</v>
      </c>
      <c r="IN9" s="122">
        <f>SUMIFS('Revenue Tracking'!$F$13:$F$19, 'Revenue Tracking'!$P$13:$P$19, "&gt;="&amp;IN1,'Revenue Tracking'!$P$13:$P$19, "&lt;"&amp;IO1)</f>
        <v>0</v>
      </c>
      <c r="IO9" s="122">
        <f>SUMIFS('Revenue Tracking'!$F$13:$F$19, 'Revenue Tracking'!$P$13:$P$19, "&gt;="&amp;IO1,'Revenue Tracking'!$P$13:$P$19, "&lt;"&amp;IP1)</f>
        <v>0</v>
      </c>
      <c r="IP9" s="122">
        <f>SUMIFS('Revenue Tracking'!$F$13:$F$19, 'Revenue Tracking'!$P$13:$P$19, "&gt;="&amp;IP1,'Revenue Tracking'!$P$13:$P$19, "&lt;"&amp;IQ1)</f>
        <v>0</v>
      </c>
      <c r="IQ9" s="122">
        <f>SUMIFS('Revenue Tracking'!$F$13:$F$19, 'Revenue Tracking'!$P$13:$P$19, "&gt;="&amp;IQ1,'Revenue Tracking'!$P$13:$P$19, "&lt;"&amp;IR1)</f>
        <v>0</v>
      </c>
      <c r="IR9" s="122">
        <f>SUMIFS('Revenue Tracking'!$F$13:$F$19, 'Revenue Tracking'!$P$13:$P$19, "&gt;="&amp;IR1,'Revenue Tracking'!$P$13:$P$19, "&lt;"&amp;IS1)</f>
        <v>0</v>
      </c>
      <c r="IS9" s="122">
        <f>SUMIFS('Revenue Tracking'!$F$13:$F$19, 'Revenue Tracking'!$P$13:$P$19, "&gt;="&amp;IS1,'Revenue Tracking'!$P$13:$P$19, "&lt;"&amp;IT1)</f>
        <v>0</v>
      </c>
      <c r="IT9" s="122">
        <f>SUMIFS('Revenue Tracking'!$F$13:$F$19, 'Revenue Tracking'!$P$13:$P$19, "&gt;="&amp;IT1,'Revenue Tracking'!$P$13:$P$19, "&lt;"&amp;IU1)</f>
        <v>0</v>
      </c>
      <c r="IU9" s="122">
        <f>SUMIFS('Revenue Tracking'!$F$13:$F$19, 'Revenue Tracking'!$P$13:$P$19, "&gt;="&amp;IU1,'Revenue Tracking'!$P$13:$P$19, "&lt;"&amp;IV1)</f>
        <v>0</v>
      </c>
      <c r="IV9" s="122">
        <f>SUMIFS('Revenue Tracking'!$F$13:$F$19, 'Revenue Tracking'!$P$13:$P$19, "&gt;="&amp;IV1,'Revenue Tracking'!$P$13:$P$19, "&lt;"&amp;IW1)</f>
        <v>0</v>
      </c>
      <c r="IW9" s="122">
        <f>SUMIFS('Revenue Tracking'!$F$13:$F$19, 'Revenue Tracking'!$P$13:$P$19, "&gt;="&amp;IW1,'Revenue Tracking'!$P$13:$P$19, "&lt;"&amp;IX1)</f>
        <v>0</v>
      </c>
      <c r="IX9" s="122">
        <f>SUMIFS('Revenue Tracking'!$F$13:$F$19, 'Revenue Tracking'!$P$13:$P$19, "&gt;="&amp;IX1,'Revenue Tracking'!$P$13:$P$19, "&lt;"&amp;IY1)</f>
        <v>0</v>
      </c>
      <c r="IY9" s="122">
        <f>SUMIFS('Revenue Tracking'!$F$13:$F$19, 'Revenue Tracking'!$P$13:$P$19, "&gt;="&amp;IY1,'Revenue Tracking'!$P$13:$P$19, "&lt;"&amp;IZ1)</f>
        <v>0</v>
      </c>
      <c r="IZ9" s="122">
        <f>SUMIFS('Revenue Tracking'!$F$13:$F$19, 'Revenue Tracking'!$P$13:$P$19, "&gt;="&amp;IZ1,'Revenue Tracking'!$P$13:$P$19, "&lt;"&amp;JA1)</f>
        <v>0</v>
      </c>
      <c r="JA9" s="122">
        <f>SUMIFS('Revenue Tracking'!$F$13:$F$19, 'Revenue Tracking'!$P$13:$P$19, "&gt;="&amp;JA1,'Revenue Tracking'!$P$13:$P$19, "&lt;"&amp;JB1)</f>
        <v>0</v>
      </c>
      <c r="JB9" s="122">
        <f>SUMIFS('Revenue Tracking'!$F$13:$F$19, 'Revenue Tracking'!$P$13:$P$19, "&gt;="&amp;JB1,'Revenue Tracking'!$P$13:$P$19, "&lt;"&amp;JC1)</f>
        <v>0</v>
      </c>
      <c r="JC9" s="122">
        <f>SUMIFS('Revenue Tracking'!$F$13:$F$19, 'Revenue Tracking'!$P$13:$P$19, "&gt;="&amp;JC1,'Revenue Tracking'!$P$13:$P$19, "&lt;"&amp;JD1)</f>
        <v>0</v>
      </c>
      <c r="JD9" s="122">
        <f>SUMIFS('Revenue Tracking'!$F$13:$F$19, 'Revenue Tracking'!$P$13:$P$19, "&gt;="&amp;JD1,'Revenue Tracking'!$P$13:$P$19, "&lt;"&amp;JE1)</f>
        <v>0</v>
      </c>
      <c r="JE9" s="122">
        <f>SUMIFS('Revenue Tracking'!$F$13:$F$19, 'Revenue Tracking'!$P$13:$P$19, "&gt;="&amp;JE1,'Revenue Tracking'!$P$13:$P$19, "&lt;"&amp;JF1)</f>
        <v>0</v>
      </c>
      <c r="JF9" s="122">
        <f>SUMIFS('Revenue Tracking'!$F$13:$F$19, 'Revenue Tracking'!$P$13:$P$19, "&gt;="&amp;JF1,'Revenue Tracking'!$P$13:$P$19, "&lt;"&amp;JG1)</f>
        <v>0</v>
      </c>
      <c r="JG9" s="122">
        <f>SUMIFS('Revenue Tracking'!$F$13:$F$19, 'Revenue Tracking'!$P$13:$P$19, "&gt;="&amp;JG1,'Revenue Tracking'!$P$13:$P$19, "&lt;"&amp;JH1)</f>
        <v>0</v>
      </c>
      <c r="JH9" s="122">
        <f>SUMIFS('Revenue Tracking'!$F$13:$F$19, 'Revenue Tracking'!$P$13:$P$19, "&gt;="&amp;JH1,'Revenue Tracking'!$P$13:$P$19, "&lt;"&amp;JI1)</f>
        <v>0</v>
      </c>
      <c r="JI9" s="122">
        <f>SUMIFS('Revenue Tracking'!$F$13:$F$19, 'Revenue Tracking'!$P$13:$P$19, "&gt;="&amp;JI1,'Revenue Tracking'!$P$13:$P$19, "&lt;"&amp;JJ1)</f>
        <v>0</v>
      </c>
      <c r="JJ9" s="122">
        <f>SUMIFS('Revenue Tracking'!$F$13:$F$19, 'Revenue Tracking'!$P$13:$P$19, "&gt;="&amp;JJ1,'Revenue Tracking'!$P$13:$P$19, "&lt;"&amp;JK1)</f>
        <v>0</v>
      </c>
      <c r="JK9" s="122">
        <f>SUMIFS('Revenue Tracking'!$F$13:$F$19, 'Revenue Tracking'!$P$13:$P$19, "&gt;="&amp;JK1,'Revenue Tracking'!$P$13:$P$19, "&lt;"&amp;JL1)</f>
        <v>0</v>
      </c>
      <c r="JL9" s="122">
        <f>SUMIFS('Revenue Tracking'!$F$13:$F$19, 'Revenue Tracking'!$P$13:$P$19, "&gt;="&amp;JL1,'Revenue Tracking'!$P$13:$P$19, "&lt;"&amp;JM1)</f>
        <v>0</v>
      </c>
      <c r="JM9" s="122">
        <f>SUMIFS('Revenue Tracking'!$F$13:$F$19, 'Revenue Tracking'!$P$13:$P$19, "&gt;="&amp;JM1,'Revenue Tracking'!$P$13:$P$19, "&lt;"&amp;JN1)</f>
        <v>0</v>
      </c>
      <c r="JN9" s="122">
        <f>SUMIFS('Revenue Tracking'!$F$13:$F$19, 'Revenue Tracking'!$P$13:$P$19, "&gt;="&amp;JN1,'Revenue Tracking'!$P$13:$P$19, "&lt;"&amp;JO1)</f>
        <v>0</v>
      </c>
      <c r="JO9" s="122">
        <f>SUMIFS('Revenue Tracking'!$F$13:$F$19, 'Revenue Tracking'!$P$13:$P$19, "&gt;="&amp;JO1,'Revenue Tracking'!$P$13:$P$19, "&lt;"&amp;JP1)</f>
        <v>0</v>
      </c>
      <c r="JP9" s="122">
        <f>SUMIFS('Revenue Tracking'!$F$13:$F$19, 'Revenue Tracking'!$P$13:$P$19, "&gt;="&amp;JP1,'Revenue Tracking'!$P$13:$P$19, "&lt;"&amp;JQ1)</f>
        <v>0</v>
      </c>
      <c r="JQ9" s="122">
        <f>SUMIFS('Revenue Tracking'!$F$13:$F$19, 'Revenue Tracking'!$P$13:$P$19, "&gt;="&amp;JQ1,'Revenue Tracking'!$P$13:$P$19, "&lt;"&amp;JR1)</f>
        <v>0</v>
      </c>
      <c r="JR9" s="122">
        <f>SUMIFS('Revenue Tracking'!$F$13:$F$19, 'Revenue Tracking'!$P$13:$P$19, "&gt;="&amp;JR1,'Revenue Tracking'!$P$13:$P$19, "&lt;"&amp;JS1)</f>
        <v>0</v>
      </c>
      <c r="JS9" s="122">
        <f>SUMIFS('Revenue Tracking'!$F$13:$F$19, 'Revenue Tracking'!$P$13:$P$19, "&gt;="&amp;JS1,'Revenue Tracking'!$P$13:$P$19, "&lt;"&amp;JT1)</f>
        <v>0</v>
      </c>
      <c r="JT9" s="122">
        <f>SUMIFS('Revenue Tracking'!$F$13:$F$19, 'Revenue Tracking'!$P$13:$P$19, "&gt;="&amp;JT1,'Revenue Tracking'!$P$13:$P$19, "&lt;"&amp;JU1)</f>
        <v>0</v>
      </c>
      <c r="JU9" s="122">
        <f>SUMIFS('Revenue Tracking'!$F$13:$F$19, 'Revenue Tracking'!$P$13:$P$19, "&gt;="&amp;JU1,'Revenue Tracking'!$P$13:$P$19, "&lt;"&amp;JV1)</f>
        <v>0</v>
      </c>
      <c r="JV9" s="122">
        <f>SUMIFS('Revenue Tracking'!$F$13:$F$19, 'Revenue Tracking'!$P$13:$P$19, "&gt;="&amp;JV1,'Revenue Tracking'!$P$13:$P$19, "&lt;"&amp;JW1)</f>
        <v>0</v>
      </c>
      <c r="JW9" s="122">
        <f>SUMIFS('Revenue Tracking'!$F$13:$F$19, 'Revenue Tracking'!$P$13:$P$19, "&gt;="&amp;JW1,'Revenue Tracking'!$P$13:$P$19, "&lt;"&amp;JX1)</f>
        <v>0</v>
      </c>
      <c r="JX9" s="122">
        <f>SUMIFS('Revenue Tracking'!$F$13:$F$19, 'Revenue Tracking'!$P$13:$P$19, "&gt;="&amp;JX1,'Revenue Tracking'!$P$13:$P$19, "&lt;"&amp;JY1)</f>
        <v>0</v>
      </c>
      <c r="JY9" s="122">
        <f>SUMIFS('Revenue Tracking'!$F$13:$F$19, 'Revenue Tracking'!$P$13:$P$19, "&gt;="&amp;JY1,'Revenue Tracking'!$P$13:$P$19, "&lt;"&amp;JZ1)</f>
        <v>0</v>
      </c>
      <c r="JZ9" s="122">
        <f>SUMIFS('Revenue Tracking'!$F$13:$F$19, 'Revenue Tracking'!$P$13:$P$19, "&gt;="&amp;JZ1,'Revenue Tracking'!$P$13:$P$19, "&lt;"&amp;KA1)</f>
        <v>0</v>
      </c>
      <c r="KA9" s="122">
        <f>SUMIFS('Revenue Tracking'!$F$13:$F$19, 'Revenue Tracking'!$P$13:$P$19, "&gt;="&amp;KA1,'Revenue Tracking'!$P$13:$P$19, "&lt;"&amp;KB1)</f>
        <v>0</v>
      </c>
      <c r="KB9" s="122">
        <f>SUMIFS('Revenue Tracking'!$F$13:$F$19, 'Revenue Tracking'!$P$13:$P$19, "&gt;="&amp;KB1,'Revenue Tracking'!$P$13:$P$19, "&lt;"&amp;KC1)</f>
        <v>0</v>
      </c>
      <c r="KC9" s="122">
        <f>SUMIFS('Revenue Tracking'!$F$13:$F$19, 'Revenue Tracking'!$P$13:$P$19, "&gt;="&amp;KC1,'Revenue Tracking'!$P$13:$P$19, "&lt;"&amp;KD1)</f>
        <v>0</v>
      </c>
      <c r="KD9" s="122">
        <f>SUMIFS('Revenue Tracking'!$F$13:$F$19, 'Revenue Tracking'!$P$13:$P$19, "&gt;="&amp;KD1,'Revenue Tracking'!$P$13:$P$19, "&lt;"&amp;KE1)</f>
        <v>0</v>
      </c>
      <c r="KE9" s="122">
        <f>SUMIFS('Revenue Tracking'!$F$13:$F$19, 'Revenue Tracking'!$P$13:$P$19, "&gt;="&amp;KE1,'Revenue Tracking'!$P$13:$P$19, "&lt;"&amp;KF1)</f>
        <v>0</v>
      </c>
      <c r="KF9" s="122">
        <f>SUMIFS('Revenue Tracking'!$F$13:$F$19, 'Revenue Tracking'!$P$13:$P$19, "&gt;="&amp;KF1,'Revenue Tracking'!$P$13:$P$19, "&lt;"&amp;#REF!)</f>
        <v>0</v>
      </c>
    </row>
    <row r="10" spans="1:770">
      <c r="A10" s="749"/>
      <c r="B10" s="120" t="s">
        <v>417</v>
      </c>
      <c r="C10" s="121"/>
      <c r="D10" s="121"/>
      <c r="E10" s="108"/>
      <c r="F10" s="122">
        <f>F9</f>
        <v>0</v>
      </c>
      <c r="G10" s="122">
        <f>F10+G9</f>
        <v>0</v>
      </c>
      <c r="H10" s="122">
        <f>G10+H9</f>
        <v>0</v>
      </c>
      <c r="I10" s="122">
        <f t="shared" ref="I10:BT10" si="21">H10+I9</f>
        <v>0</v>
      </c>
      <c r="J10" s="122">
        <f t="shared" si="21"/>
        <v>0</v>
      </c>
      <c r="K10" s="122">
        <f t="shared" si="21"/>
        <v>0</v>
      </c>
      <c r="L10" s="122">
        <f t="shared" si="21"/>
        <v>0</v>
      </c>
      <c r="M10" s="122">
        <f t="shared" si="21"/>
        <v>0</v>
      </c>
      <c r="N10" s="122">
        <f t="shared" si="21"/>
        <v>0</v>
      </c>
      <c r="O10" s="122">
        <f t="shared" si="21"/>
        <v>0</v>
      </c>
      <c r="P10" s="122">
        <f t="shared" si="21"/>
        <v>1765820.838</v>
      </c>
      <c r="Q10" s="122">
        <f t="shared" si="21"/>
        <v>1765820.838</v>
      </c>
      <c r="R10" s="122">
        <f t="shared" si="21"/>
        <v>1765820.838</v>
      </c>
      <c r="S10" s="122">
        <f t="shared" si="21"/>
        <v>1765820.838</v>
      </c>
      <c r="T10" s="122">
        <f t="shared" si="21"/>
        <v>2077436.28</v>
      </c>
      <c r="U10" s="122">
        <f t="shared" si="21"/>
        <v>2077436.28</v>
      </c>
      <c r="V10" s="122">
        <f t="shared" si="21"/>
        <v>2077436.28</v>
      </c>
      <c r="W10" s="122">
        <f t="shared" si="21"/>
        <v>2077436.28</v>
      </c>
      <c r="X10" s="122">
        <f t="shared" si="21"/>
        <v>2077436.28</v>
      </c>
      <c r="Y10" s="122">
        <f t="shared" si="21"/>
        <v>2077436.28</v>
      </c>
      <c r="Z10" s="122">
        <f t="shared" si="21"/>
        <v>2077436.28</v>
      </c>
      <c r="AA10" s="122">
        <f t="shared" si="21"/>
        <v>2077436.28</v>
      </c>
      <c r="AB10" s="122">
        <f t="shared" si="21"/>
        <v>2077436.28</v>
      </c>
      <c r="AC10" s="122">
        <f t="shared" si="21"/>
        <v>2077436.28</v>
      </c>
      <c r="AD10" s="122">
        <f>AC10+AD9</f>
        <v>2077436.28</v>
      </c>
      <c r="AE10" s="122">
        <f t="shared" si="21"/>
        <v>2077436.28</v>
      </c>
      <c r="AF10" s="122">
        <f t="shared" si="21"/>
        <v>2077436.28</v>
      </c>
      <c r="AG10" s="122">
        <f t="shared" si="21"/>
        <v>2077436.28</v>
      </c>
      <c r="AH10" s="122">
        <f t="shared" si="21"/>
        <v>2077436.28</v>
      </c>
      <c r="AI10" s="122">
        <f t="shared" si="21"/>
        <v>2077436.28</v>
      </c>
      <c r="AJ10" s="122">
        <f t="shared" si="21"/>
        <v>2077436.28</v>
      </c>
      <c r="AK10" s="122">
        <f t="shared" si="21"/>
        <v>2077436.28</v>
      </c>
      <c r="AL10" s="122">
        <f t="shared" si="21"/>
        <v>2077436.28</v>
      </c>
      <c r="AM10" s="122">
        <f t="shared" si="21"/>
        <v>2077436.28</v>
      </c>
      <c r="AN10" s="122">
        <f t="shared" si="21"/>
        <v>2077436.28</v>
      </c>
      <c r="AO10" s="122">
        <f t="shared" si="21"/>
        <v>2077436.28</v>
      </c>
      <c r="AP10" s="122">
        <f t="shared" si="21"/>
        <v>2077436.28</v>
      </c>
      <c r="AQ10" s="122">
        <f t="shared" si="21"/>
        <v>2077436.28</v>
      </c>
      <c r="AR10" s="122">
        <f t="shared" si="21"/>
        <v>2077436.28</v>
      </c>
      <c r="AS10" s="122">
        <f t="shared" si="21"/>
        <v>2077436.28</v>
      </c>
      <c r="AT10" s="122">
        <f t="shared" si="21"/>
        <v>2077436.28</v>
      </c>
      <c r="AU10" s="122">
        <f t="shared" si="21"/>
        <v>2077436.28</v>
      </c>
      <c r="AV10" s="122">
        <f t="shared" si="21"/>
        <v>2077436.28</v>
      </c>
      <c r="AW10" s="122">
        <f t="shared" si="21"/>
        <v>2077436.28</v>
      </c>
      <c r="AX10" s="122">
        <f t="shared" si="21"/>
        <v>2077436.28</v>
      </c>
      <c r="AY10" s="122">
        <f t="shared" si="21"/>
        <v>2077436.28</v>
      </c>
      <c r="AZ10" s="122">
        <f t="shared" si="21"/>
        <v>2077436.28</v>
      </c>
      <c r="BA10" s="122">
        <f t="shared" si="21"/>
        <v>2077436.28</v>
      </c>
      <c r="BB10" s="122">
        <f t="shared" si="21"/>
        <v>2077436.28</v>
      </c>
      <c r="BC10" s="122">
        <f t="shared" si="21"/>
        <v>2077436.28</v>
      </c>
      <c r="BD10" s="122">
        <f t="shared" si="21"/>
        <v>2077436.28</v>
      </c>
      <c r="BE10" s="122">
        <f t="shared" si="21"/>
        <v>2077436.28</v>
      </c>
      <c r="BF10" s="122">
        <f t="shared" si="21"/>
        <v>2077436.28</v>
      </c>
      <c r="BG10" s="122">
        <f t="shared" si="21"/>
        <v>2077436.28</v>
      </c>
      <c r="BH10" s="122">
        <f t="shared" si="21"/>
        <v>2077436.28</v>
      </c>
      <c r="BI10" s="122">
        <f t="shared" si="21"/>
        <v>2077436.28</v>
      </c>
      <c r="BJ10" s="122">
        <f t="shared" si="21"/>
        <v>2077436.28</v>
      </c>
      <c r="BK10" s="122">
        <f t="shared" si="21"/>
        <v>2077436.28</v>
      </c>
      <c r="BL10" s="122">
        <f t="shared" si="21"/>
        <v>2077436.28</v>
      </c>
      <c r="BM10" s="122">
        <f t="shared" si="21"/>
        <v>2077436.28</v>
      </c>
      <c r="BN10" s="122">
        <f t="shared" si="21"/>
        <v>2077436.28</v>
      </c>
      <c r="BO10" s="122">
        <f t="shared" si="21"/>
        <v>2077436.28</v>
      </c>
      <c r="BP10" s="122">
        <f t="shared" si="21"/>
        <v>2077436.28</v>
      </c>
      <c r="BQ10" s="122">
        <f t="shared" si="21"/>
        <v>2077436.28</v>
      </c>
      <c r="BR10" s="122">
        <f t="shared" si="21"/>
        <v>2077436.28</v>
      </c>
      <c r="BS10" s="122">
        <f t="shared" si="21"/>
        <v>2077436.28</v>
      </c>
      <c r="BT10" s="122">
        <f t="shared" si="21"/>
        <v>2077436.28</v>
      </c>
      <c r="BU10" s="122">
        <f t="shared" ref="BU10:EF10" si="22">BT10+BU9</f>
        <v>2077436.28</v>
      </c>
      <c r="BV10" s="122">
        <f t="shared" si="22"/>
        <v>2077436.28</v>
      </c>
      <c r="BW10" s="122">
        <f t="shared" si="22"/>
        <v>2077436.28</v>
      </c>
      <c r="BX10" s="122">
        <f t="shared" si="22"/>
        <v>2077436.28</v>
      </c>
      <c r="BY10" s="122">
        <f t="shared" si="22"/>
        <v>2077436.28</v>
      </c>
      <c r="BZ10" s="122">
        <f t="shared" si="22"/>
        <v>2077436.28</v>
      </c>
      <c r="CA10" s="122">
        <f t="shared" si="22"/>
        <v>2077436.28</v>
      </c>
      <c r="CB10" s="122">
        <f t="shared" si="22"/>
        <v>2077436.28</v>
      </c>
      <c r="CC10" s="122">
        <f t="shared" si="22"/>
        <v>2077436.28</v>
      </c>
      <c r="CD10" s="122">
        <f t="shared" si="22"/>
        <v>2077436.28</v>
      </c>
      <c r="CE10" s="122">
        <f t="shared" si="22"/>
        <v>2077436.28</v>
      </c>
      <c r="CF10" s="122">
        <f t="shared" si="22"/>
        <v>2077436.28</v>
      </c>
      <c r="CG10" s="122">
        <f t="shared" si="22"/>
        <v>2077436.28</v>
      </c>
      <c r="CH10" s="122">
        <f t="shared" si="22"/>
        <v>2077436.28</v>
      </c>
      <c r="CI10" s="122">
        <f t="shared" si="22"/>
        <v>2077436.28</v>
      </c>
      <c r="CJ10" s="122">
        <f t="shared" si="22"/>
        <v>2077436.28</v>
      </c>
      <c r="CK10" s="122">
        <f t="shared" si="22"/>
        <v>2077436.28</v>
      </c>
      <c r="CL10" s="122">
        <f t="shared" si="22"/>
        <v>2077436.28</v>
      </c>
      <c r="CM10" s="122">
        <f t="shared" si="22"/>
        <v>2077436.28</v>
      </c>
      <c r="CN10" s="122">
        <f t="shared" si="22"/>
        <v>2077436.28</v>
      </c>
      <c r="CO10" s="122">
        <f t="shared" si="22"/>
        <v>2077436.28</v>
      </c>
      <c r="CP10" s="122">
        <f t="shared" si="22"/>
        <v>2077436.28</v>
      </c>
      <c r="CQ10" s="122">
        <f t="shared" si="22"/>
        <v>2077436.28</v>
      </c>
      <c r="CR10" s="122">
        <f t="shared" si="22"/>
        <v>2077436.28</v>
      </c>
      <c r="CS10" s="122">
        <f t="shared" si="22"/>
        <v>2077436.28</v>
      </c>
      <c r="CT10" s="122">
        <f t="shared" si="22"/>
        <v>2077436.28</v>
      </c>
      <c r="CU10" s="122">
        <f t="shared" si="22"/>
        <v>2077436.28</v>
      </c>
      <c r="CV10" s="122">
        <f t="shared" si="22"/>
        <v>2077436.28</v>
      </c>
      <c r="CW10" s="122">
        <f t="shared" si="22"/>
        <v>2077436.28</v>
      </c>
      <c r="CX10" s="122">
        <f t="shared" si="22"/>
        <v>2077436.28</v>
      </c>
      <c r="CY10" s="122">
        <f t="shared" si="22"/>
        <v>2077436.28</v>
      </c>
      <c r="CZ10" s="122">
        <f t="shared" si="22"/>
        <v>2077436.28</v>
      </c>
      <c r="DA10" s="122">
        <f t="shared" si="22"/>
        <v>2077436.28</v>
      </c>
      <c r="DB10" s="122">
        <f t="shared" si="22"/>
        <v>2077436.28</v>
      </c>
      <c r="DC10" s="122">
        <f t="shared" si="22"/>
        <v>2077436.28</v>
      </c>
      <c r="DD10" s="122">
        <f t="shared" si="22"/>
        <v>2077436.28</v>
      </c>
      <c r="DE10" s="122">
        <f t="shared" si="22"/>
        <v>2077436.28</v>
      </c>
      <c r="DF10" s="122">
        <f t="shared" si="22"/>
        <v>2077436.28</v>
      </c>
      <c r="DG10" s="122">
        <f t="shared" si="22"/>
        <v>2077436.28</v>
      </c>
      <c r="DH10" s="122">
        <f t="shared" si="22"/>
        <v>2077436.28</v>
      </c>
      <c r="DI10" s="122">
        <f t="shared" si="22"/>
        <v>2077436.28</v>
      </c>
      <c r="DJ10" s="122">
        <f t="shared" si="22"/>
        <v>2077436.28</v>
      </c>
      <c r="DK10" s="122">
        <f t="shared" si="22"/>
        <v>2077436.28</v>
      </c>
      <c r="DL10" s="122">
        <f t="shared" si="22"/>
        <v>2077436.28</v>
      </c>
      <c r="DM10" s="122">
        <f t="shared" si="22"/>
        <v>2077436.28</v>
      </c>
      <c r="DN10" s="122">
        <f t="shared" si="22"/>
        <v>2077436.28</v>
      </c>
      <c r="DO10" s="122">
        <f t="shared" si="22"/>
        <v>2077436.28</v>
      </c>
      <c r="DP10" s="122">
        <f t="shared" si="22"/>
        <v>2077436.28</v>
      </c>
      <c r="DQ10" s="122">
        <f t="shared" si="22"/>
        <v>2077436.28</v>
      </c>
      <c r="DR10" s="122">
        <f t="shared" si="22"/>
        <v>2077436.28</v>
      </c>
      <c r="DS10" s="122">
        <f t="shared" si="22"/>
        <v>2077436.28</v>
      </c>
      <c r="DT10" s="122">
        <f t="shared" si="22"/>
        <v>2077436.28</v>
      </c>
      <c r="DU10" s="122">
        <f t="shared" si="22"/>
        <v>2077436.28</v>
      </c>
      <c r="DV10" s="122">
        <f t="shared" si="22"/>
        <v>2077436.28</v>
      </c>
      <c r="DW10" s="122">
        <f t="shared" si="22"/>
        <v>2077436.28</v>
      </c>
      <c r="DX10" s="122">
        <f t="shared" si="22"/>
        <v>2077436.28</v>
      </c>
      <c r="DY10" s="122">
        <f t="shared" si="22"/>
        <v>2077436.28</v>
      </c>
      <c r="DZ10" s="122">
        <f t="shared" si="22"/>
        <v>2077436.28</v>
      </c>
      <c r="EA10" s="122">
        <f t="shared" si="22"/>
        <v>2077436.28</v>
      </c>
      <c r="EB10" s="122">
        <f t="shared" si="22"/>
        <v>2077436.28</v>
      </c>
      <c r="EC10" s="122">
        <f t="shared" si="22"/>
        <v>2077436.28</v>
      </c>
      <c r="ED10" s="122">
        <f t="shared" si="22"/>
        <v>2077436.28</v>
      </c>
      <c r="EE10" s="122">
        <f t="shared" si="22"/>
        <v>2077436.28</v>
      </c>
      <c r="EF10" s="122">
        <f t="shared" si="22"/>
        <v>2077436.28</v>
      </c>
      <c r="EG10" s="122">
        <f t="shared" ref="EG10:GR10" si="23">EF10+EG9</f>
        <v>2077436.28</v>
      </c>
      <c r="EH10" s="122">
        <f t="shared" si="23"/>
        <v>2077436.28</v>
      </c>
      <c r="EI10" s="122">
        <f t="shared" si="23"/>
        <v>2077436.28</v>
      </c>
      <c r="EJ10" s="122">
        <f t="shared" si="23"/>
        <v>2077436.28</v>
      </c>
      <c r="EK10" s="122">
        <f t="shared" si="23"/>
        <v>2077436.28</v>
      </c>
      <c r="EL10" s="122">
        <f t="shared" si="23"/>
        <v>2077436.28</v>
      </c>
      <c r="EM10" s="122">
        <f t="shared" si="23"/>
        <v>2077436.28</v>
      </c>
      <c r="EN10" s="122">
        <f t="shared" si="23"/>
        <v>2077436.28</v>
      </c>
      <c r="EO10" s="122">
        <f t="shared" si="23"/>
        <v>2077436.28</v>
      </c>
      <c r="EP10" s="122">
        <f t="shared" si="23"/>
        <v>2077436.28</v>
      </c>
      <c r="EQ10" s="122">
        <f t="shared" si="23"/>
        <v>2077436.28</v>
      </c>
      <c r="ER10" s="122">
        <f t="shared" si="23"/>
        <v>2077436.28</v>
      </c>
      <c r="ES10" s="122">
        <f t="shared" si="23"/>
        <v>2077436.28</v>
      </c>
      <c r="ET10" s="122">
        <f t="shared" si="23"/>
        <v>2077436.28</v>
      </c>
      <c r="EU10" s="122">
        <f t="shared" si="23"/>
        <v>2077436.28</v>
      </c>
      <c r="EV10" s="122">
        <f t="shared" si="23"/>
        <v>2077436.28</v>
      </c>
      <c r="EW10" s="122">
        <f t="shared" si="23"/>
        <v>2077436.28</v>
      </c>
      <c r="EX10" s="122">
        <f t="shared" si="23"/>
        <v>2077436.28</v>
      </c>
      <c r="EY10" s="122">
        <f t="shared" si="23"/>
        <v>2077436.28</v>
      </c>
      <c r="EZ10" s="122">
        <f t="shared" si="23"/>
        <v>2077436.28</v>
      </c>
      <c r="FA10" s="122">
        <f t="shared" si="23"/>
        <v>2077436.28</v>
      </c>
      <c r="FB10" s="122">
        <f t="shared" si="23"/>
        <v>2077436.28</v>
      </c>
      <c r="FC10" s="122">
        <f t="shared" si="23"/>
        <v>2077436.28</v>
      </c>
      <c r="FD10" s="122">
        <f t="shared" si="23"/>
        <v>2077436.28</v>
      </c>
      <c r="FE10" s="122">
        <f t="shared" si="23"/>
        <v>2077436.28</v>
      </c>
      <c r="FF10" s="122">
        <f t="shared" si="23"/>
        <v>2077436.28</v>
      </c>
      <c r="FG10" s="122">
        <f t="shared" si="23"/>
        <v>2077436.28</v>
      </c>
      <c r="FH10" s="122">
        <f t="shared" si="23"/>
        <v>2077436.28</v>
      </c>
      <c r="FI10" s="122">
        <f t="shared" si="23"/>
        <v>2077436.28</v>
      </c>
      <c r="FJ10" s="122">
        <f t="shared" si="23"/>
        <v>2077436.28</v>
      </c>
      <c r="FK10" s="122">
        <f t="shared" si="23"/>
        <v>2077436.28</v>
      </c>
      <c r="FL10" s="122">
        <f t="shared" si="23"/>
        <v>2077436.28</v>
      </c>
      <c r="FM10" s="122">
        <f t="shared" si="23"/>
        <v>2077436.28</v>
      </c>
      <c r="FN10" s="122">
        <f t="shared" si="23"/>
        <v>2077436.28</v>
      </c>
      <c r="FO10" s="122">
        <f t="shared" si="23"/>
        <v>2077436.28</v>
      </c>
      <c r="FP10" s="122">
        <f t="shared" si="23"/>
        <v>2077436.28</v>
      </c>
      <c r="FQ10" s="122">
        <f t="shared" si="23"/>
        <v>2077436.28</v>
      </c>
      <c r="FR10" s="122">
        <f t="shared" si="23"/>
        <v>2077436.28</v>
      </c>
      <c r="FS10" s="122">
        <f t="shared" si="23"/>
        <v>2077436.28</v>
      </c>
      <c r="FT10" s="122">
        <f t="shared" si="23"/>
        <v>2077436.28</v>
      </c>
      <c r="FU10" s="122">
        <f t="shared" si="23"/>
        <v>2077436.28</v>
      </c>
      <c r="FV10" s="122">
        <f t="shared" si="23"/>
        <v>2077436.28</v>
      </c>
      <c r="FW10" s="122">
        <f t="shared" si="23"/>
        <v>2077436.28</v>
      </c>
      <c r="FX10" s="122">
        <f t="shared" si="23"/>
        <v>2077436.28</v>
      </c>
      <c r="FY10" s="122">
        <f t="shared" si="23"/>
        <v>2077436.28</v>
      </c>
      <c r="FZ10" s="122">
        <f t="shared" si="23"/>
        <v>2077436.28</v>
      </c>
      <c r="GA10" s="122">
        <f t="shared" si="23"/>
        <v>2077436.28</v>
      </c>
      <c r="GB10" s="122">
        <f t="shared" si="23"/>
        <v>2077436.28</v>
      </c>
      <c r="GC10" s="122">
        <f t="shared" si="23"/>
        <v>2077436.28</v>
      </c>
      <c r="GD10" s="122">
        <f t="shared" si="23"/>
        <v>2077436.28</v>
      </c>
      <c r="GE10" s="122">
        <f t="shared" si="23"/>
        <v>2077436.28</v>
      </c>
      <c r="GF10" s="122">
        <f t="shared" si="23"/>
        <v>2077436.28</v>
      </c>
      <c r="GG10" s="122">
        <f t="shared" si="23"/>
        <v>2077436.28</v>
      </c>
      <c r="GH10" s="122">
        <f t="shared" si="23"/>
        <v>2077436.28</v>
      </c>
      <c r="GI10" s="122">
        <f t="shared" si="23"/>
        <v>2077436.28</v>
      </c>
      <c r="GJ10" s="122">
        <f t="shared" si="23"/>
        <v>2077436.28</v>
      </c>
      <c r="GK10" s="122">
        <f t="shared" si="23"/>
        <v>2077436.28</v>
      </c>
      <c r="GL10" s="122">
        <f t="shared" si="23"/>
        <v>2077436.28</v>
      </c>
      <c r="GM10" s="122">
        <f t="shared" si="23"/>
        <v>2077436.28</v>
      </c>
      <c r="GN10" s="122">
        <f t="shared" si="23"/>
        <v>2077436.28</v>
      </c>
      <c r="GO10" s="122">
        <f t="shared" si="23"/>
        <v>2077436.28</v>
      </c>
      <c r="GP10" s="122">
        <f t="shared" si="23"/>
        <v>2077436.28</v>
      </c>
      <c r="GQ10" s="122">
        <f t="shared" si="23"/>
        <v>2077436.28</v>
      </c>
      <c r="GR10" s="122">
        <f t="shared" si="23"/>
        <v>2077436.28</v>
      </c>
      <c r="GS10" s="122">
        <f t="shared" ref="GS10:JD10" si="24">GR10+GS9</f>
        <v>2077436.28</v>
      </c>
      <c r="GT10" s="122">
        <f t="shared" si="24"/>
        <v>2077436.28</v>
      </c>
      <c r="GU10" s="122">
        <f t="shared" si="24"/>
        <v>2077436.28</v>
      </c>
      <c r="GV10" s="122">
        <f t="shared" si="24"/>
        <v>2077436.28</v>
      </c>
      <c r="GW10" s="122">
        <f t="shared" si="24"/>
        <v>2077436.28</v>
      </c>
      <c r="GX10" s="122">
        <f t="shared" si="24"/>
        <v>2077436.28</v>
      </c>
      <c r="GY10" s="122">
        <f t="shared" si="24"/>
        <v>2077436.28</v>
      </c>
      <c r="GZ10" s="122">
        <f t="shared" si="24"/>
        <v>2077436.28</v>
      </c>
      <c r="HA10" s="122">
        <f t="shared" si="24"/>
        <v>2077436.28</v>
      </c>
      <c r="HB10" s="122">
        <f t="shared" si="24"/>
        <v>2077436.28</v>
      </c>
      <c r="HC10" s="122">
        <f t="shared" si="24"/>
        <v>2077436.28</v>
      </c>
      <c r="HD10" s="122">
        <f t="shared" si="24"/>
        <v>2077436.28</v>
      </c>
      <c r="HE10" s="122">
        <f t="shared" si="24"/>
        <v>2077436.28</v>
      </c>
      <c r="HF10" s="122">
        <f t="shared" si="24"/>
        <v>2077436.28</v>
      </c>
      <c r="HG10" s="122">
        <f t="shared" si="24"/>
        <v>2077436.28</v>
      </c>
      <c r="HH10" s="122">
        <f t="shared" si="24"/>
        <v>2077436.28</v>
      </c>
      <c r="HI10" s="122">
        <f t="shared" si="24"/>
        <v>2077436.28</v>
      </c>
      <c r="HJ10" s="122">
        <f t="shared" si="24"/>
        <v>2077436.28</v>
      </c>
      <c r="HK10" s="122">
        <f t="shared" si="24"/>
        <v>2077436.28</v>
      </c>
      <c r="HL10" s="122">
        <f t="shared" si="24"/>
        <v>2077436.28</v>
      </c>
      <c r="HM10" s="122">
        <f t="shared" si="24"/>
        <v>2077436.28</v>
      </c>
      <c r="HN10" s="122">
        <f t="shared" si="24"/>
        <v>2077436.28</v>
      </c>
      <c r="HO10" s="122">
        <f t="shared" si="24"/>
        <v>2077436.28</v>
      </c>
      <c r="HP10" s="122">
        <f t="shared" si="24"/>
        <v>2077436.28</v>
      </c>
      <c r="HQ10" s="122">
        <f t="shared" si="24"/>
        <v>2077436.28</v>
      </c>
      <c r="HR10" s="122">
        <f t="shared" si="24"/>
        <v>2077436.28</v>
      </c>
      <c r="HS10" s="122">
        <f t="shared" si="24"/>
        <v>2077436.28</v>
      </c>
      <c r="HT10" s="122">
        <f t="shared" si="24"/>
        <v>2077436.28</v>
      </c>
      <c r="HU10" s="122">
        <f t="shared" si="24"/>
        <v>2077436.28</v>
      </c>
      <c r="HV10" s="122">
        <f t="shared" si="24"/>
        <v>2077436.28</v>
      </c>
      <c r="HW10" s="122">
        <f t="shared" si="24"/>
        <v>2077436.28</v>
      </c>
      <c r="HX10" s="122">
        <f t="shared" si="24"/>
        <v>2077436.28</v>
      </c>
      <c r="HY10" s="122">
        <f t="shared" si="24"/>
        <v>2077436.28</v>
      </c>
      <c r="HZ10" s="122">
        <f t="shared" si="24"/>
        <v>2077436.28</v>
      </c>
      <c r="IA10" s="122">
        <f t="shared" si="24"/>
        <v>2077436.28</v>
      </c>
      <c r="IB10" s="122">
        <f t="shared" si="24"/>
        <v>2077436.28</v>
      </c>
      <c r="IC10" s="122">
        <f t="shared" si="24"/>
        <v>2077436.28</v>
      </c>
      <c r="ID10" s="122">
        <f t="shared" si="24"/>
        <v>2077436.28</v>
      </c>
      <c r="IE10" s="122">
        <f t="shared" si="24"/>
        <v>2077436.28</v>
      </c>
      <c r="IF10" s="122">
        <f t="shared" si="24"/>
        <v>2077436.28</v>
      </c>
      <c r="IG10" s="122">
        <f t="shared" si="24"/>
        <v>2077436.28</v>
      </c>
      <c r="IH10" s="122">
        <f t="shared" si="24"/>
        <v>2077436.28</v>
      </c>
      <c r="II10" s="122">
        <f t="shared" si="24"/>
        <v>2077436.28</v>
      </c>
      <c r="IJ10" s="122">
        <f t="shared" si="24"/>
        <v>2077436.28</v>
      </c>
      <c r="IK10" s="122">
        <f t="shared" si="24"/>
        <v>2077436.28</v>
      </c>
      <c r="IL10" s="122">
        <f t="shared" si="24"/>
        <v>2077436.28</v>
      </c>
      <c r="IM10" s="122">
        <f t="shared" si="24"/>
        <v>2077436.28</v>
      </c>
      <c r="IN10" s="122">
        <f t="shared" si="24"/>
        <v>2077436.28</v>
      </c>
      <c r="IO10" s="122">
        <f t="shared" si="24"/>
        <v>2077436.28</v>
      </c>
      <c r="IP10" s="122">
        <f t="shared" si="24"/>
        <v>2077436.28</v>
      </c>
      <c r="IQ10" s="122">
        <f t="shared" si="24"/>
        <v>2077436.28</v>
      </c>
      <c r="IR10" s="122">
        <f t="shared" si="24"/>
        <v>2077436.28</v>
      </c>
      <c r="IS10" s="122">
        <f t="shared" si="24"/>
        <v>2077436.28</v>
      </c>
      <c r="IT10" s="122">
        <f t="shared" si="24"/>
        <v>2077436.28</v>
      </c>
      <c r="IU10" s="122">
        <f t="shared" si="24"/>
        <v>2077436.28</v>
      </c>
      <c r="IV10" s="122">
        <f t="shared" si="24"/>
        <v>2077436.28</v>
      </c>
      <c r="IW10" s="122">
        <f t="shared" si="24"/>
        <v>2077436.28</v>
      </c>
      <c r="IX10" s="122">
        <f t="shared" si="24"/>
        <v>2077436.28</v>
      </c>
      <c r="IY10" s="122">
        <f t="shared" si="24"/>
        <v>2077436.28</v>
      </c>
      <c r="IZ10" s="122">
        <f t="shared" si="24"/>
        <v>2077436.28</v>
      </c>
      <c r="JA10" s="122">
        <f t="shared" si="24"/>
        <v>2077436.28</v>
      </c>
      <c r="JB10" s="122">
        <f t="shared" si="24"/>
        <v>2077436.28</v>
      </c>
      <c r="JC10" s="122">
        <f t="shared" si="24"/>
        <v>2077436.28</v>
      </c>
      <c r="JD10" s="122">
        <f t="shared" si="24"/>
        <v>2077436.28</v>
      </c>
      <c r="JE10" s="122">
        <f t="shared" ref="JE10:KF10" si="25">JD10+JE9</f>
        <v>2077436.28</v>
      </c>
      <c r="JF10" s="122">
        <f t="shared" si="25"/>
        <v>2077436.28</v>
      </c>
      <c r="JG10" s="122">
        <f t="shared" si="25"/>
        <v>2077436.28</v>
      </c>
      <c r="JH10" s="122">
        <f t="shared" si="25"/>
        <v>2077436.28</v>
      </c>
      <c r="JI10" s="122">
        <f t="shared" si="25"/>
        <v>2077436.28</v>
      </c>
      <c r="JJ10" s="122">
        <f t="shared" si="25"/>
        <v>2077436.28</v>
      </c>
      <c r="JK10" s="122">
        <f t="shared" si="25"/>
        <v>2077436.28</v>
      </c>
      <c r="JL10" s="122">
        <f t="shared" si="25"/>
        <v>2077436.28</v>
      </c>
      <c r="JM10" s="122">
        <f t="shared" si="25"/>
        <v>2077436.28</v>
      </c>
      <c r="JN10" s="122">
        <f t="shared" si="25"/>
        <v>2077436.28</v>
      </c>
      <c r="JO10" s="122">
        <f t="shared" si="25"/>
        <v>2077436.28</v>
      </c>
      <c r="JP10" s="122">
        <f t="shared" si="25"/>
        <v>2077436.28</v>
      </c>
      <c r="JQ10" s="122">
        <f t="shared" si="25"/>
        <v>2077436.28</v>
      </c>
      <c r="JR10" s="122">
        <f t="shared" si="25"/>
        <v>2077436.28</v>
      </c>
      <c r="JS10" s="122">
        <f t="shared" si="25"/>
        <v>2077436.28</v>
      </c>
      <c r="JT10" s="122">
        <f t="shared" si="25"/>
        <v>2077436.28</v>
      </c>
      <c r="JU10" s="122">
        <f t="shared" si="25"/>
        <v>2077436.28</v>
      </c>
      <c r="JV10" s="122">
        <f t="shared" si="25"/>
        <v>2077436.28</v>
      </c>
      <c r="JW10" s="122">
        <f t="shared" si="25"/>
        <v>2077436.28</v>
      </c>
      <c r="JX10" s="122">
        <f t="shared" si="25"/>
        <v>2077436.28</v>
      </c>
      <c r="JY10" s="122">
        <f t="shared" si="25"/>
        <v>2077436.28</v>
      </c>
      <c r="JZ10" s="122">
        <f t="shared" si="25"/>
        <v>2077436.28</v>
      </c>
      <c r="KA10" s="122">
        <f t="shared" si="25"/>
        <v>2077436.28</v>
      </c>
      <c r="KB10" s="122">
        <f t="shared" si="25"/>
        <v>2077436.28</v>
      </c>
      <c r="KC10" s="122">
        <f t="shared" si="25"/>
        <v>2077436.28</v>
      </c>
      <c r="KD10" s="122">
        <f t="shared" si="25"/>
        <v>2077436.28</v>
      </c>
      <c r="KE10" s="122">
        <f t="shared" si="25"/>
        <v>2077436.28</v>
      </c>
      <c r="KF10" s="122">
        <f t="shared" si="25"/>
        <v>2077436.28</v>
      </c>
    </row>
    <row r="11" spans="1:770" s="114" customFormat="1">
      <c r="A11" s="749"/>
      <c r="B11" s="123" t="s">
        <v>418</v>
      </c>
      <c r="C11" s="124">
        <f>'Revenue Tracking'!F5</f>
        <v>1502144.1835</v>
      </c>
      <c r="D11" s="124">
        <f>SUM(F11:KF11)</f>
        <v>1446769.1035000002</v>
      </c>
      <c r="E11" s="108"/>
      <c r="F11" s="125">
        <f>SUMIFS('Expenditure Breakdown'!$Q$6:$Q$173, 'Expenditure Breakdown'!$W$6:$W$173, "&gt;="&amp;F1,'Expenditure Breakdown'!$W$6:$W$173, "&lt;"&amp;G1)</f>
        <v>0</v>
      </c>
      <c r="G11" s="125">
        <f>SUMIFS('Expenditure Breakdown'!$Q$6:$Q$173, 'Expenditure Breakdown'!$W$6:$W$173, "&gt;="&amp;G1,'Expenditure Breakdown'!$W$6:$W$173, "&lt;"&amp;H1)</f>
        <v>0</v>
      </c>
      <c r="H11" s="125">
        <f>SUMIFS('Expenditure Breakdown'!$Q$6:$Q$173, 'Expenditure Breakdown'!$W$6:$W$173, "&gt;="&amp;H1,'Expenditure Breakdown'!$W$6:$W$173, "&lt;"&amp;I1)</f>
        <v>0</v>
      </c>
      <c r="I11" s="125">
        <f>SUMIFS('Expenditure Breakdown'!$Q$6:$Q$173, 'Expenditure Breakdown'!$W$6:$W$173, "&gt;="&amp;I1,'Expenditure Breakdown'!$W$6:$W$173, "&lt;"&amp;J1)</f>
        <v>0</v>
      </c>
      <c r="J11" s="125">
        <f>SUMIFS('Expenditure Breakdown'!$Q$6:$Q$173, 'Expenditure Breakdown'!$W$6:$W$173, "&gt;="&amp;J1,'Expenditure Breakdown'!$W$6:$W$173, "&lt;"&amp;K1)</f>
        <v>0</v>
      </c>
      <c r="K11" s="125">
        <f>SUMIFS('Expenditure Breakdown'!$Q$6:$Q$173, 'Expenditure Breakdown'!$W$6:$W$173, "&gt;="&amp;K1,'Expenditure Breakdown'!$W$6:$W$173, "&lt;"&amp;L1)</f>
        <v>975</v>
      </c>
      <c r="L11" s="125">
        <f>SUMIFS('Expenditure Breakdown'!$Q$6:$Q$173, 'Expenditure Breakdown'!$W$6:$W$173, "&gt;="&amp;L1,'Expenditure Breakdown'!$W$6:$W$173, "&lt;"&amp;M1)</f>
        <v>0</v>
      </c>
      <c r="M11" s="125">
        <f>SUMIFS('Expenditure Breakdown'!$Q$6:$Q$173, 'Expenditure Breakdown'!$W$6:$W$173, "&gt;="&amp;M1,'Expenditure Breakdown'!$W$6:$W$173, "&lt;"&amp;N1)</f>
        <v>0</v>
      </c>
      <c r="N11" s="125">
        <f>SUMIFS('Expenditure Breakdown'!$Q$6:$Q$173, 'Expenditure Breakdown'!$W$6:$W$173, "&gt;="&amp;N1,'Expenditure Breakdown'!$W$6:$W$173, "&lt;"&amp;O1)</f>
        <v>0</v>
      </c>
      <c r="O11" s="125">
        <f>SUMIFS('Expenditure Breakdown'!$Q$6:$Q$173, 'Expenditure Breakdown'!$W$6:$W$173, "&gt;="&amp;O1,'Expenditure Breakdown'!$W$6:$W$173, "&lt;"&amp;P1)</f>
        <v>49768.729999999996</v>
      </c>
      <c r="P11" s="125">
        <f>SUMIFS('Expenditure Breakdown'!$Q$6:$Q$173, 'Expenditure Breakdown'!$W$6:$W$173, "&gt;="&amp;P1,'Expenditure Breakdown'!$W$6:$W$173, "&lt;"&amp;Q1)</f>
        <v>21.34</v>
      </c>
      <c r="Q11" s="125">
        <f>SUMIFS('Expenditure Breakdown'!$Q$6:$Q$173, 'Expenditure Breakdown'!$W$6:$W$173, "&gt;="&amp;Q1,'Expenditure Breakdown'!$W$6:$W$173, "&lt;"&amp;R1)</f>
        <v>12761.853999999999</v>
      </c>
      <c r="R11" s="125">
        <f>SUMIFS('Expenditure Breakdown'!$Q$6:$Q$173, 'Expenditure Breakdown'!$W$6:$W$173, "&gt;="&amp;R1,'Expenditure Breakdown'!$W$6:$W$173, "&lt;"&amp;S1)</f>
        <v>296450.34500000003</v>
      </c>
      <c r="S11" s="125">
        <f>SUMIFS('Expenditure Breakdown'!$Q$6:$Q$173, 'Expenditure Breakdown'!$W$6:$W$173, "&gt;="&amp;S1,'Expenditure Breakdown'!$W$6:$W$173, "&lt;"&amp;T1)</f>
        <v>16601.599999999999</v>
      </c>
      <c r="T11" s="125">
        <f>SUMIFS('Expenditure Breakdown'!$Q$6:$Q$173, 'Expenditure Breakdown'!$W$6:$W$173, "&gt;="&amp;T1,'Expenditure Breakdown'!$W$6:$W$173, "&lt;"&amp;U1)</f>
        <v>0</v>
      </c>
      <c r="U11" s="125">
        <f>SUMIFS('Expenditure Breakdown'!$Q$6:$Q$173, 'Expenditure Breakdown'!$W$6:$W$173, "&gt;="&amp;U1,'Expenditure Breakdown'!$W$6:$W$173, "&lt;"&amp;V1)</f>
        <v>13295.456</v>
      </c>
      <c r="V11" s="125">
        <f>SUMIFS('Expenditure Breakdown'!$Q$6:$Q$173, 'Expenditure Breakdown'!$W$6:$W$173, "&gt;="&amp;V1,'Expenditure Breakdown'!$W$6:$W$173, "&lt;"&amp;W1)</f>
        <v>0</v>
      </c>
      <c r="W11" s="125">
        <f>SUMIFS('Expenditure Breakdown'!$Q$6:$Q$173, 'Expenditure Breakdown'!$W$6:$W$173, "&gt;="&amp;W1,'Expenditure Breakdown'!$W$6:$W$173, "&lt;"&amp;X1)</f>
        <v>72764.639999999999</v>
      </c>
      <c r="X11" s="125">
        <f>SUMIFS('Expenditure Breakdown'!$Q$6:$Q$173, 'Expenditure Breakdown'!$W$6:$W$173, "&gt;="&amp;X1,'Expenditure Breakdown'!$W$6:$W$173, "&lt;"&amp;Y1)</f>
        <v>35818.619999999995</v>
      </c>
      <c r="Y11" s="125">
        <f>SUMIFS('Expenditure Breakdown'!$Q$6:$Q$173, 'Expenditure Breakdown'!$W$6:$W$173, "&gt;="&amp;Y1,'Expenditure Breakdown'!$W$6:$W$173, "&lt;"&amp;Z1)</f>
        <v>582300</v>
      </c>
      <c r="Z11" s="125">
        <f>SUMIFS('Expenditure Breakdown'!$Q$6:$Q$173, 'Expenditure Breakdown'!$W$6:$W$173, "&gt;="&amp;Z1,'Expenditure Breakdown'!$W$6:$W$173, "&lt;"&amp;AA1)</f>
        <v>5643.6</v>
      </c>
      <c r="AA11" s="125">
        <f>SUMIFS('Expenditure Breakdown'!$Q$6:$Q$173, 'Expenditure Breakdown'!$W$6:$W$173, "&gt;="&amp;AA1,'Expenditure Breakdown'!$W$6:$W$173, "&lt;"&amp;AB1)</f>
        <v>163718.78500000003</v>
      </c>
      <c r="AB11" s="125">
        <f>SUMIFS('Expenditure Breakdown'!$Q$6:$Q$173, 'Expenditure Breakdown'!$W$6:$W$173, "&gt;="&amp;AB1,'Expenditure Breakdown'!$W$6:$W$173, "&lt;"&amp;AC1)</f>
        <v>65143.729999999996</v>
      </c>
      <c r="AC11" s="125">
        <f>SUMIFS('Expenditure Breakdown'!$Q$6:$Q$173, 'Expenditure Breakdown'!$W$6:$W$173, "&gt;="&amp;AC1,'Expenditure Breakdown'!$W$6:$W$173, "&lt;"&amp;AD1)</f>
        <v>74653.095000000001</v>
      </c>
      <c r="AD11" s="125">
        <f>SUMIFS('Expenditure Breakdown'!$Q$6:$Q$173, 'Expenditure Breakdown'!$W$6:$W$173, "&gt;="&amp;AD1,'Expenditure Breakdown'!$W$6:$W$173, "&lt;"&amp;AE1)</f>
        <v>0</v>
      </c>
      <c r="AE11" s="125">
        <f>SUMIFS('Expenditure Breakdown'!$Q$6:$Q$173, 'Expenditure Breakdown'!$W$6:$W$173, "&gt;="&amp;AE1,'Expenditure Breakdown'!$W$6:$W$173, "&lt;"&amp;AF1)</f>
        <v>25967.953500000003</v>
      </c>
      <c r="AF11" s="125">
        <f>SUMIFS('Expenditure Breakdown'!$Q$6:$Q$173, 'Expenditure Breakdown'!$W$6:$W$173, "&gt;="&amp;AF1,'Expenditure Breakdown'!$W$6:$W$173, "&lt;"&amp;AG1)</f>
        <v>0</v>
      </c>
      <c r="AG11" s="125">
        <f>SUMIFS('Expenditure Breakdown'!$Q$6:$Q$173, 'Expenditure Breakdown'!$W$6:$W$173, "&gt;="&amp;AG1,'Expenditure Breakdown'!$W$6:$W$173, "&lt;"&amp;AH1)</f>
        <v>24884.355</v>
      </c>
      <c r="AH11" s="125">
        <f>SUMIFS('Expenditure Breakdown'!$Q$6:$Q$173, 'Expenditure Breakdown'!$W$6:$W$173, "&gt;="&amp;AH1,'Expenditure Breakdown'!$W$6:$W$173, "&lt;"&amp;AI1)</f>
        <v>0</v>
      </c>
      <c r="AI11" s="125">
        <f>SUMIFS('Expenditure Breakdown'!$Q$6:$Q$173, 'Expenditure Breakdown'!$W$6:$W$173, "&gt;="&amp;AI1,'Expenditure Breakdown'!$W$6:$W$173, "&lt;"&amp;AJ1)</f>
        <v>6000</v>
      </c>
      <c r="AJ11" s="125">
        <f>SUMIFS('Expenditure Breakdown'!$Q$6:$Q$173, 'Expenditure Breakdown'!$W$6:$W$173, "&gt;="&amp;AJ1,'Expenditure Breakdown'!$W$6:$W$173, "&lt;"&amp;AK1)</f>
        <v>0</v>
      </c>
      <c r="AK11" s="125">
        <f>SUMIFS('Expenditure Breakdown'!$Q$6:$Q$173, 'Expenditure Breakdown'!$W$6:$W$173, "&gt;="&amp;AK1,'Expenditure Breakdown'!$W$6:$W$173, "&lt;"&amp;AL1)</f>
        <v>0</v>
      </c>
      <c r="AL11" s="125">
        <f>SUMIFS('Expenditure Breakdown'!$Q$6:$Q$173, 'Expenditure Breakdown'!$W$6:$W$173, "&gt;="&amp;AL1,'Expenditure Breakdown'!$W$6:$W$173, "&lt;"&amp;AM1)</f>
        <v>0</v>
      </c>
      <c r="AM11" s="125">
        <f>SUMIFS('Expenditure Breakdown'!$Q$6:$Q$173, 'Expenditure Breakdown'!$W$6:$W$173, "&gt;="&amp;AM1,'Expenditure Breakdown'!$W$6:$W$173, "&lt;"&amp;AN1)</f>
        <v>0</v>
      </c>
      <c r="AN11" s="125">
        <f>SUMIFS('Expenditure Breakdown'!$Q$6:$Q$173, 'Expenditure Breakdown'!$W$6:$W$173, "&gt;="&amp;AN1,'Expenditure Breakdown'!$W$6:$W$173, "&lt;"&amp;AO1)</f>
        <v>0</v>
      </c>
      <c r="AO11" s="125">
        <f>SUMIFS('Expenditure Breakdown'!$Q$6:$Q$173, 'Expenditure Breakdown'!$W$6:$W$173, "&gt;="&amp;AO1,'Expenditure Breakdown'!$W$6:$W$173, "&lt;"&amp;AP1)</f>
        <v>0</v>
      </c>
      <c r="AP11" s="125">
        <f>SUMIFS('Expenditure Breakdown'!$Q$6:$Q$173, 'Expenditure Breakdown'!$W$6:$W$173, "&gt;="&amp;AP1,'Expenditure Breakdown'!$W$6:$W$173, "&lt;"&amp;AQ1)</f>
        <v>0</v>
      </c>
      <c r="AQ11" s="125">
        <f>SUMIFS('Expenditure Breakdown'!$Q$6:$Q$173, 'Expenditure Breakdown'!$W$6:$W$173, "&gt;="&amp;AQ1,'Expenditure Breakdown'!$W$6:$W$173, "&lt;"&amp;AR1)</f>
        <v>0</v>
      </c>
      <c r="AR11" s="125">
        <f>SUMIFS('Expenditure Breakdown'!$Q$6:$Q$173, 'Expenditure Breakdown'!$W$6:$W$173, "&gt;="&amp;AR1,'Expenditure Breakdown'!$W$6:$W$173, "&lt;"&amp;AS1)</f>
        <v>0</v>
      </c>
      <c r="AS11" s="125">
        <f>SUMIFS('Expenditure Breakdown'!$Q$6:$Q$173, 'Expenditure Breakdown'!$W$6:$W$173, "&gt;="&amp;AS1,'Expenditure Breakdown'!$W$6:$W$173, "&lt;"&amp;AT1)</f>
        <v>0</v>
      </c>
      <c r="AT11" s="125">
        <f>SUMIFS('Expenditure Breakdown'!$Q$6:$Q$173, 'Expenditure Breakdown'!$W$6:$W$173, "&gt;="&amp;AT1,'Expenditure Breakdown'!$W$6:$W$173, "&lt;"&amp;AU1)</f>
        <v>0</v>
      </c>
      <c r="AU11" s="125">
        <f>SUMIFS('Expenditure Breakdown'!$Q$6:$Q$173, 'Expenditure Breakdown'!$W$6:$W$173, "&gt;="&amp;AU1,'Expenditure Breakdown'!$W$6:$W$173, "&lt;"&amp;AV1)</f>
        <v>0</v>
      </c>
      <c r="AV11" s="125">
        <f>SUMIFS('Expenditure Breakdown'!$Q$6:$Q$173, 'Expenditure Breakdown'!$W$6:$W$173, "&gt;="&amp;AV1,'Expenditure Breakdown'!$W$6:$W$173, "&lt;"&amp;AW1)</f>
        <v>0</v>
      </c>
      <c r="AW11" s="125">
        <f>SUMIFS('Expenditure Breakdown'!$Q$6:$Q$173, 'Expenditure Breakdown'!$W$6:$W$173, "&gt;="&amp;AW1,'Expenditure Breakdown'!$W$6:$W$173, "&lt;"&amp;AX1)</f>
        <v>0</v>
      </c>
      <c r="AX11" s="125">
        <f>SUMIFS('Expenditure Breakdown'!$Q$6:$Q$173, 'Expenditure Breakdown'!$W$6:$W$173, "&gt;="&amp;AX1,'Expenditure Breakdown'!$W$6:$W$173, "&lt;"&amp;AY1)</f>
        <v>0</v>
      </c>
      <c r="AY11" s="125">
        <f>SUMIFS('Expenditure Breakdown'!$Q$6:$Q$173, 'Expenditure Breakdown'!$W$6:$W$173, "&gt;="&amp;AY1,'Expenditure Breakdown'!$W$6:$W$173, "&lt;"&amp;AZ1)</f>
        <v>0</v>
      </c>
      <c r="AZ11" s="125">
        <f>SUMIFS('Expenditure Breakdown'!$Q$6:$Q$173, 'Expenditure Breakdown'!$W$6:$W$173, "&gt;="&amp;AZ1,'Expenditure Breakdown'!$W$6:$W$173, "&lt;"&amp;BA1)</f>
        <v>0</v>
      </c>
      <c r="BA11" s="125">
        <f>SUMIFS('Expenditure Breakdown'!$Q$6:$Q$173, 'Expenditure Breakdown'!$W$6:$W$173, "&gt;="&amp;BA1,'Expenditure Breakdown'!$W$6:$W$173, "&lt;"&amp;BB1)</f>
        <v>0</v>
      </c>
      <c r="BB11" s="125">
        <f>SUMIFS('Expenditure Breakdown'!$Q$6:$Q$173, 'Expenditure Breakdown'!$W$6:$W$173, "&gt;="&amp;BB1,'Expenditure Breakdown'!$W$6:$W$173, "&lt;"&amp;BC1)</f>
        <v>0</v>
      </c>
      <c r="BC11" s="125">
        <f>SUMIFS('Expenditure Breakdown'!$Q$6:$Q$173, 'Expenditure Breakdown'!$W$6:$W$173, "&gt;="&amp;BC1,'Expenditure Breakdown'!$W$6:$W$173, "&lt;"&amp;BD1)</f>
        <v>0</v>
      </c>
      <c r="BD11" s="125">
        <f>SUMIFS('Expenditure Breakdown'!$Q$6:$Q$173, 'Expenditure Breakdown'!$W$6:$W$173, "&gt;="&amp;BD1,'Expenditure Breakdown'!$W$6:$W$173, "&lt;"&amp;BE1)</f>
        <v>0</v>
      </c>
      <c r="BE11" s="125">
        <f>SUMIFS('Expenditure Breakdown'!$Q$6:$Q$173, 'Expenditure Breakdown'!$W$6:$W$173, "&gt;="&amp;BE1,'Expenditure Breakdown'!$W$6:$W$173, "&lt;"&amp;BF1)</f>
        <v>0</v>
      </c>
      <c r="BF11" s="125">
        <f>SUMIFS('Expenditure Breakdown'!$Q$6:$Q$173, 'Expenditure Breakdown'!$W$6:$W$173, "&gt;="&amp;BF1,'Expenditure Breakdown'!$W$6:$W$173, "&lt;"&amp;BG1)</f>
        <v>0</v>
      </c>
      <c r="BG11" s="125">
        <f>SUMIFS('Expenditure Breakdown'!$Q$6:$Q$173, 'Expenditure Breakdown'!$W$6:$W$173, "&gt;="&amp;BG1,'Expenditure Breakdown'!$W$6:$W$173, "&lt;"&amp;BH1)</f>
        <v>0</v>
      </c>
      <c r="BH11" s="125">
        <f>SUMIFS('Expenditure Breakdown'!$Q$6:$Q$173, 'Expenditure Breakdown'!$W$6:$W$173, "&gt;="&amp;BH1,'Expenditure Breakdown'!$W$6:$W$173, "&lt;"&amp;BI1)</f>
        <v>0</v>
      </c>
      <c r="BI11" s="125">
        <f>SUMIFS('Expenditure Breakdown'!$Q$6:$Q$173, 'Expenditure Breakdown'!$W$6:$W$173, "&gt;="&amp;BI1,'Expenditure Breakdown'!$W$6:$W$173, "&lt;"&amp;BJ1)</f>
        <v>0</v>
      </c>
      <c r="BJ11" s="125">
        <f>SUMIFS('Expenditure Breakdown'!$Q$6:$Q$173, 'Expenditure Breakdown'!$W$6:$W$173, "&gt;="&amp;BJ1,'Expenditure Breakdown'!$W$6:$W$173, "&lt;"&amp;BK1)</f>
        <v>0</v>
      </c>
      <c r="BK11" s="125">
        <f>SUMIFS('Expenditure Breakdown'!$Q$6:$Q$173, 'Expenditure Breakdown'!$W$6:$W$173, "&gt;="&amp;BK1,'Expenditure Breakdown'!$W$6:$W$173, "&lt;"&amp;BL1)</f>
        <v>0</v>
      </c>
      <c r="BL11" s="125">
        <f>SUMIFS('Expenditure Breakdown'!$Q$6:$Q$173, 'Expenditure Breakdown'!$W$6:$W$173, "&gt;="&amp;BL1,'Expenditure Breakdown'!$W$6:$W$173, "&lt;"&amp;BM1)</f>
        <v>0</v>
      </c>
      <c r="BM11" s="125">
        <f>SUMIFS('Expenditure Breakdown'!$Q$6:$Q$173, 'Expenditure Breakdown'!$W$6:$W$173, "&gt;="&amp;BM1,'Expenditure Breakdown'!$W$6:$W$173, "&lt;"&amp;BN1)</f>
        <v>0</v>
      </c>
      <c r="BN11" s="125">
        <f>SUMIFS('Expenditure Breakdown'!$Q$6:$Q$173, 'Expenditure Breakdown'!$W$6:$W$173, "&gt;="&amp;BN1,'Expenditure Breakdown'!$W$6:$W$173, "&lt;"&amp;BO1)</f>
        <v>0</v>
      </c>
      <c r="BO11" s="125">
        <f>SUMIFS('Expenditure Breakdown'!$Q$6:$Q$173, 'Expenditure Breakdown'!$W$6:$W$173, "&gt;="&amp;BO1,'Expenditure Breakdown'!$W$6:$W$173, "&lt;"&amp;BP1)</f>
        <v>0</v>
      </c>
      <c r="BP11" s="125">
        <f>SUMIFS('Expenditure Breakdown'!$Q$6:$Q$173, 'Expenditure Breakdown'!$W$6:$W$173, "&gt;="&amp;BP1,'Expenditure Breakdown'!$W$6:$W$173, "&lt;"&amp;BQ1)</f>
        <v>0</v>
      </c>
      <c r="BQ11" s="125">
        <f>SUMIFS('Expenditure Breakdown'!$Q$6:$Q$173, 'Expenditure Breakdown'!$W$6:$W$173, "&gt;="&amp;BQ1,'Expenditure Breakdown'!$W$6:$W$173, "&lt;"&amp;BR1)</f>
        <v>0</v>
      </c>
      <c r="BR11" s="125">
        <f>SUMIFS('Expenditure Breakdown'!$Q$6:$Q$173, 'Expenditure Breakdown'!$W$6:$W$173, "&gt;="&amp;BR1,'Expenditure Breakdown'!$W$6:$W$173, "&lt;"&amp;BS1)</f>
        <v>0</v>
      </c>
      <c r="BS11" s="125">
        <f>SUMIFS('Expenditure Breakdown'!$Q$6:$Q$173, 'Expenditure Breakdown'!$W$6:$W$173, "&gt;="&amp;BS1,'Expenditure Breakdown'!$W$6:$W$173, "&lt;"&amp;BT1)</f>
        <v>0</v>
      </c>
      <c r="BT11" s="125">
        <f>SUMIFS('Expenditure Breakdown'!$Q$6:$Q$173, 'Expenditure Breakdown'!$W$6:$W$173, "&gt;="&amp;BT1,'Expenditure Breakdown'!$W$6:$W$173, "&lt;"&amp;BU1)</f>
        <v>0</v>
      </c>
      <c r="BU11" s="125">
        <f>SUMIFS('Expenditure Breakdown'!$Q$6:$Q$173, 'Expenditure Breakdown'!$W$6:$W$173, "&gt;="&amp;BU1,'Expenditure Breakdown'!$W$6:$W$173, "&lt;"&amp;BV1)</f>
        <v>0</v>
      </c>
      <c r="BV11" s="125">
        <f>SUMIFS('Expenditure Breakdown'!$Q$6:$Q$173, 'Expenditure Breakdown'!$W$6:$W$173, "&gt;="&amp;BV1,'Expenditure Breakdown'!$W$6:$W$173, "&lt;"&amp;BW1)</f>
        <v>0</v>
      </c>
      <c r="BW11" s="125">
        <f>SUMIFS('Expenditure Breakdown'!$Q$6:$Q$173, 'Expenditure Breakdown'!$W$6:$W$173, "&gt;="&amp;BW1,'Expenditure Breakdown'!$W$6:$W$173, "&lt;"&amp;BX1)</f>
        <v>0</v>
      </c>
      <c r="BX11" s="125">
        <f>SUMIFS('Expenditure Breakdown'!$Q$6:$Q$173, 'Expenditure Breakdown'!$W$6:$W$173, "&gt;="&amp;BX1,'Expenditure Breakdown'!$W$6:$W$173, "&lt;"&amp;BY1)</f>
        <v>0</v>
      </c>
      <c r="BY11" s="125">
        <f>SUMIFS('Expenditure Breakdown'!$Q$6:$Q$173, 'Expenditure Breakdown'!$W$6:$W$173, "&gt;="&amp;BY1,'Expenditure Breakdown'!$W$6:$W$173, "&lt;"&amp;BZ1)</f>
        <v>0</v>
      </c>
      <c r="BZ11" s="125">
        <f>SUMIFS('Expenditure Breakdown'!$Q$6:$Q$173, 'Expenditure Breakdown'!$W$6:$W$173, "&gt;="&amp;BZ1,'Expenditure Breakdown'!$W$6:$W$173, "&lt;"&amp;CA1)</f>
        <v>0</v>
      </c>
      <c r="CA11" s="125">
        <f>SUMIFS('Expenditure Breakdown'!$Q$6:$Q$173, 'Expenditure Breakdown'!$W$6:$W$173, "&gt;="&amp;CA1,'Expenditure Breakdown'!$W$6:$W$173, "&lt;"&amp;CB1)</f>
        <v>0</v>
      </c>
      <c r="CB11" s="125">
        <f>SUMIFS('Expenditure Breakdown'!$Q$6:$Q$173, 'Expenditure Breakdown'!$W$6:$W$173, "&gt;="&amp;CB1,'Expenditure Breakdown'!$W$6:$W$173, "&lt;"&amp;CC1)</f>
        <v>0</v>
      </c>
      <c r="CC11" s="125">
        <f>SUMIFS('Expenditure Breakdown'!$Q$6:$Q$173, 'Expenditure Breakdown'!$W$6:$W$173, "&gt;="&amp;CC1,'Expenditure Breakdown'!$W$6:$W$173, "&lt;"&amp;CD1)</f>
        <v>0</v>
      </c>
      <c r="CD11" s="125">
        <f>SUMIFS('Expenditure Breakdown'!$Q$6:$Q$173, 'Expenditure Breakdown'!$W$6:$W$173, "&gt;="&amp;CD1,'Expenditure Breakdown'!$W$6:$W$173, "&lt;"&amp;CE1)</f>
        <v>0</v>
      </c>
      <c r="CE11" s="125">
        <f>SUMIFS('Expenditure Breakdown'!$Q$6:$Q$173, 'Expenditure Breakdown'!$W$6:$W$173, "&gt;="&amp;CE1,'Expenditure Breakdown'!$W$6:$W$173, "&lt;"&amp;CF1)</f>
        <v>0</v>
      </c>
      <c r="CF11" s="125">
        <f>SUMIFS('Expenditure Breakdown'!$Q$6:$Q$173, 'Expenditure Breakdown'!$W$6:$W$173, "&gt;="&amp;CF1,'Expenditure Breakdown'!$W$6:$W$173, "&lt;"&amp;CG1)</f>
        <v>0</v>
      </c>
      <c r="CG11" s="125">
        <f>SUMIFS('Expenditure Breakdown'!$Q$6:$Q$173, 'Expenditure Breakdown'!$W$6:$W$173, "&gt;="&amp;CG1,'Expenditure Breakdown'!$W$6:$W$173, "&lt;"&amp;CH1)</f>
        <v>0</v>
      </c>
      <c r="CH11" s="125">
        <f>SUMIFS('Expenditure Breakdown'!$Q$6:$Q$173, 'Expenditure Breakdown'!$W$6:$W$173, "&gt;="&amp;CH1,'Expenditure Breakdown'!$W$6:$W$173, "&lt;"&amp;CI1)</f>
        <v>0</v>
      </c>
      <c r="CI11" s="125">
        <f>SUMIFS('Expenditure Breakdown'!$Q$6:$Q$173, 'Expenditure Breakdown'!$W$6:$W$173, "&gt;="&amp;CI1,'Expenditure Breakdown'!$W$6:$W$173, "&lt;"&amp;CJ1)</f>
        <v>0</v>
      </c>
      <c r="CJ11" s="125">
        <f>SUMIFS('Expenditure Breakdown'!$Q$6:$Q$173, 'Expenditure Breakdown'!$W$6:$W$173, "&gt;="&amp;CJ1,'Expenditure Breakdown'!$W$6:$W$173, "&lt;"&amp;CK1)</f>
        <v>0</v>
      </c>
      <c r="CK11" s="125">
        <f>SUMIFS('Expenditure Breakdown'!$Q$6:$Q$173, 'Expenditure Breakdown'!$W$6:$W$173, "&gt;="&amp;CK1,'Expenditure Breakdown'!$W$6:$W$173, "&lt;"&amp;CL1)</f>
        <v>0</v>
      </c>
      <c r="CL11" s="125">
        <f>SUMIFS('Expenditure Breakdown'!$Q$6:$Q$173, 'Expenditure Breakdown'!$W$6:$W$173, "&gt;="&amp;CL1,'Expenditure Breakdown'!$W$6:$W$173, "&lt;"&amp;CM1)</f>
        <v>0</v>
      </c>
      <c r="CM11" s="125">
        <f>SUMIFS('Expenditure Breakdown'!$Q$6:$Q$173, 'Expenditure Breakdown'!$W$6:$W$173, "&gt;="&amp;CM1,'Expenditure Breakdown'!$W$6:$W$173, "&lt;"&amp;CN1)</f>
        <v>0</v>
      </c>
      <c r="CN11" s="125">
        <f>SUMIFS('Expenditure Breakdown'!$Q$6:$Q$173, 'Expenditure Breakdown'!$W$6:$W$173, "&gt;="&amp;CN1,'Expenditure Breakdown'!$W$6:$W$173, "&lt;"&amp;CO1)</f>
        <v>0</v>
      </c>
      <c r="CO11" s="125">
        <f>SUMIFS('Expenditure Breakdown'!$Q$6:$Q$173, 'Expenditure Breakdown'!$W$6:$W$173, "&gt;="&amp;CO1,'Expenditure Breakdown'!$W$6:$W$173, "&lt;"&amp;CP1)</f>
        <v>0</v>
      </c>
      <c r="CP11" s="125">
        <f>SUMIFS('Expenditure Breakdown'!$Q$6:$Q$173, 'Expenditure Breakdown'!$W$6:$W$173, "&gt;="&amp;CP1,'Expenditure Breakdown'!$W$6:$W$173, "&lt;"&amp;CQ1)</f>
        <v>0</v>
      </c>
      <c r="CQ11" s="125">
        <f>SUMIFS('Expenditure Breakdown'!$Q$6:$Q$173, 'Expenditure Breakdown'!$W$6:$W$173, "&gt;="&amp;CQ1,'Expenditure Breakdown'!$W$6:$W$173, "&lt;"&amp;CR1)</f>
        <v>0</v>
      </c>
      <c r="CR11" s="125">
        <f>SUMIFS('Expenditure Breakdown'!$Q$6:$Q$173, 'Expenditure Breakdown'!$W$6:$W$173, "&gt;="&amp;CR1,'Expenditure Breakdown'!$W$6:$W$173, "&lt;"&amp;CS1)</f>
        <v>0</v>
      </c>
      <c r="CS11" s="125">
        <f>SUMIFS('Expenditure Breakdown'!$Q$6:$Q$173, 'Expenditure Breakdown'!$W$6:$W$173, "&gt;="&amp;CS1,'Expenditure Breakdown'!$W$6:$W$173, "&lt;"&amp;CT1)</f>
        <v>0</v>
      </c>
      <c r="CT11" s="125">
        <f>SUMIFS('Expenditure Breakdown'!$Q$6:$Q$173, 'Expenditure Breakdown'!$W$6:$W$173, "&gt;="&amp;CT1,'Expenditure Breakdown'!$W$6:$W$173, "&lt;"&amp;CU1)</f>
        <v>0</v>
      </c>
      <c r="CU11" s="125">
        <f>SUMIFS('Expenditure Breakdown'!$Q$6:$Q$173, 'Expenditure Breakdown'!$W$6:$W$173, "&gt;="&amp;CU1,'Expenditure Breakdown'!$W$6:$W$173, "&lt;"&amp;CV1)</f>
        <v>0</v>
      </c>
      <c r="CV11" s="125">
        <f>SUMIFS('Expenditure Breakdown'!$Q$6:$Q$173, 'Expenditure Breakdown'!$W$6:$W$173, "&gt;="&amp;CV1,'Expenditure Breakdown'!$W$6:$W$173, "&lt;"&amp;CW1)</f>
        <v>0</v>
      </c>
      <c r="CW11" s="125">
        <f>SUMIFS('Expenditure Breakdown'!$Q$6:$Q$173, 'Expenditure Breakdown'!$W$6:$W$173, "&gt;="&amp;CW1,'Expenditure Breakdown'!$W$6:$W$173, "&lt;"&amp;CX1)</f>
        <v>0</v>
      </c>
      <c r="CX11" s="125">
        <f>SUMIFS('Expenditure Breakdown'!$Q$6:$Q$173, 'Expenditure Breakdown'!$W$6:$W$173, "&gt;="&amp;CX1,'Expenditure Breakdown'!$W$6:$W$173, "&lt;"&amp;CY1)</f>
        <v>0</v>
      </c>
      <c r="CY11" s="125">
        <f>SUMIFS('Expenditure Breakdown'!$Q$6:$Q$173, 'Expenditure Breakdown'!$W$6:$W$173, "&gt;="&amp;CY1,'Expenditure Breakdown'!$W$6:$W$173, "&lt;"&amp;CZ1)</f>
        <v>0</v>
      </c>
      <c r="CZ11" s="125">
        <f>SUMIFS('Expenditure Breakdown'!$Q$6:$Q$173, 'Expenditure Breakdown'!$W$6:$W$173, "&gt;="&amp;CZ1,'Expenditure Breakdown'!$W$6:$W$173, "&lt;"&amp;DA1)</f>
        <v>0</v>
      </c>
      <c r="DA11" s="125">
        <f>SUMIFS('Expenditure Breakdown'!$Q$6:$Q$173, 'Expenditure Breakdown'!$W$6:$W$173, "&gt;="&amp;DA1,'Expenditure Breakdown'!$W$6:$W$173, "&lt;"&amp;DB1)</f>
        <v>0</v>
      </c>
      <c r="DB11" s="125">
        <f>SUMIFS('Expenditure Breakdown'!$Q$6:$Q$173, 'Expenditure Breakdown'!$W$6:$W$173, "&gt;="&amp;DB1,'Expenditure Breakdown'!$W$6:$W$173, "&lt;"&amp;DC1)</f>
        <v>0</v>
      </c>
      <c r="DC11" s="125">
        <f>SUMIFS('Expenditure Breakdown'!$Q$6:$Q$173, 'Expenditure Breakdown'!$W$6:$W$173, "&gt;="&amp;DC1,'Expenditure Breakdown'!$W$6:$W$173, "&lt;"&amp;DD1)</f>
        <v>0</v>
      </c>
      <c r="DD11" s="125">
        <f>SUMIFS('Expenditure Breakdown'!$Q$6:$Q$173, 'Expenditure Breakdown'!$W$6:$W$173, "&gt;="&amp;DD1,'Expenditure Breakdown'!$W$6:$W$173, "&lt;"&amp;DE1)</f>
        <v>0</v>
      </c>
      <c r="DE11" s="125">
        <f>SUMIFS('Expenditure Breakdown'!$Q$6:$Q$173, 'Expenditure Breakdown'!$W$6:$W$173, "&gt;="&amp;DE1,'Expenditure Breakdown'!$W$6:$W$173, "&lt;"&amp;DF1)</f>
        <v>0</v>
      </c>
      <c r="DF11" s="125">
        <f>SUMIFS('Expenditure Breakdown'!$Q$6:$Q$173, 'Expenditure Breakdown'!$W$6:$W$173, "&gt;="&amp;DF1,'Expenditure Breakdown'!$W$6:$W$173, "&lt;"&amp;DG1)</f>
        <v>0</v>
      </c>
      <c r="DG11" s="125">
        <f>SUMIFS('Expenditure Breakdown'!$Q$6:$Q$173, 'Expenditure Breakdown'!$W$6:$W$173, "&gt;="&amp;DG1,'Expenditure Breakdown'!$W$6:$W$173, "&lt;"&amp;DH1)</f>
        <v>0</v>
      </c>
      <c r="DH11" s="125">
        <f>SUMIFS('Expenditure Breakdown'!$Q$6:$Q$173, 'Expenditure Breakdown'!$W$6:$W$173, "&gt;="&amp;DH1,'Expenditure Breakdown'!$W$6:$W$173, "&lt;"&amp;DI1)</f>
        <v>0</v>
      </c>
      <c r="DI11" s="125">
        <f>SUMIFS('Expenditure Breakdown'!$Q$6:$Q$173, 'Expenditure Breakdown'!$W$6:$W$173, "&gt;="&amp;DI1,'Expenditure Breakdown'!$W$6:$W$173, "&lt;"&amp;DJ1)</f>
        <v>0</v>
      </c>
      <c r="DJ11" s="125">
        <f>SUMIFS('Expenditure Breakdown'!$Q$6:$Q$173, 'Expenditure Breakdown'!$W$6:$W$173, "&gt;="&amp;DJ1,'Expenditure Breakdown'!$W$6:$W$173, "&lt;"&amp;DK1)</f>
        <v>0</v>
      </c>
      <c r="DK11" s="125">
        <f>SUMIFS('Expenditure Breakdown'!$Q$6:$Q$173, 'Expenditure Breakdown'!$W$6:$W$173, "&gt;="&amp;DK1,'Expenditure Breakdown'!$W$6:$W$173, "&lt;"&amp;DL1)</f>
        <v>0</v>
      </c>
      <c r="DL11" s="125">
        <f>SUMIFS('Expenditure Breakdown'!$Q$6:$Q$173, 'Expenditure Breakdown'!$W$6:$W$173, "&gt;="&amp;DL1,'Expenditure Breakdown'!$W$6:$W$173, "&lt;"&amp;DM1)</f>
        <v>0</v>
      </c>
      <c r="DM11" s="125">
        <f>SUMIFS('Expenditure Breakdown'!$Q$6:$Q$173, 'Expenditure Breakdown'!$W$6:$W$173, "&gt;="&amp;DM1,'Expenditure Breakdown'!$W$6:$W$173, "&lt;"&amp;DN1)</f>
        <v>0</v>
      </c>
      <c r="DN11" s="125">
        <f>SUMIFS('Expenditure Breakdown'!$Q$6:$Q$173, 'Expenditure Breakdown'!$W$6:$W$173, "&gt;="&amp;DN1,'Expenditure Breakdown'!$W$6:$W$173, "&lt;"&amp;DO1)</f>
        <v>0</v>
      </c>
      <c r="DO11" s="125">
        <f>SUMIFS('Expenditure Breakdown'!$Q$6:$Q$173, 'Expenditure Breakdown'!$W$6:$W$173, "&gt;="&amp;DO1,'Expenditure Breakdown'!$W$6:$W$173, "&lt;"&amp;DP1)</f>
        <v>0</v>
      </c>
      <c r="DP11" s="125">
        <f>SUMIFS('Expenditure Breakdown'!$Q$6:$Q$173, 'Expenditure Breakdown'!$W$6:$W$173, "&gt;="&amp;DP1,'Expenditure Breakdown'!$W$6:$W$173, "&lt;"&amp;DQ1)</f>
        <v>0</v>
      </c>
      <c r="DQ11" s="125">
        <f>SUMIFS('Expenditure Breakdown'!$Q$6:$Q$173, 'Expenditure Breakdown'!$W$6:$W$173, "&gt;="&amp;DQ1,'Expenditure Breakdown'!$W$6:$W$173, "&lt;"&amp;DR1)</f>
        <v>0</v>
      </c>
      <c r="DR11" s="125">
        <f>SUMIFS('Expenditure Breakdown'!$Q$6:$Q$173, 'Expenditure Breakdown'!$W$6:$W$173, "&gt;="&amp;DR1,'Expenditure Breakdown'!$W$6:$W$173, "&lt;"&amp;DS1)</f>
        <v>0</v>
      </c>
      <c r="DS11" s="125">
        <f>SUMIFS('Expenditure Breakdown'!$Q$6:$Q$173, 'Expenditure Breakdown'!$W$6:$W$173, "&gt;="&amp;DS1,'Expenditure Breakdown'!$W$6:$W$173, "&lt;"&amp;DT1)</f>
        <v>0</v>
      </c>
      <c r="DT11" s="125">
        <f>SUMIFS('Expenditure Breakdown'!$Q$6:$Q$173, 'Expenditure Breakdown'!$W$6:$W$173, "&gt;="&amp;DT1,'Expenditure Breakdown'!$W$6:$W$173, "&lt;"&amp;DU1)</f>
        <v>0</v>
      </c>
      <c r="DU11" s="125">
        <f>SUMIFS('Expenditure Breakdown'!$Q$6:$Q$173, 'Expenditure Breakdown'!$W$6:$W$173, "&gt;="&amp;DU1,'Expenditure Breakdown'!$W$6:$W$173, "&lt;"&amp;DV1)</f>
        <v>0</v>
      </c>
      <c r="DV11" s="125">
        <f>SUMIFS('Expenditure Breakdown'!$Q$6:$Q$173, 'Expenditure Breakdown'!$W$6:$W$173, "&gt;="&amp;DV1,'Expenditure Breakdown'!$W$6:$W$173, "&lt;"&amp;DW1)</f>
        <v>0</v>
      </c>
      <c r="DW11" s="125">
        <f>SUMIFS('Expenditure Breakdown'!$Q$6:$Q$173, 'Expenditure Breakdown'!$W$6:$W$173, "&gt;="&amp;DW1,'Expenditure Breakdown'!$W$6:$W$173, "&lt;"&amp;DX1)</f>
        <v>0</v>
      </c>
      <c r="DX11" s="125">
        <f>SUMIFS('Expenditure Breakdown'!$Q$6:$Q$173, 'Expenditure Breakdown'!$W$6:$W$173, "&gt;="&amp;DX1,'Expenditure Breakdown'!$W$6:$W$173, "&lt;"&amp;DY1)</f>
        <v>0</v>
      </c>
      <c r="DY11" s="125">
        <f>SUMIFS('Expenditure Breakdown'!$Q$6:$Q$173, 'Expenditure Breakdown'!$W$6:$W$173, "&gt;="&amp;DY1,'Expenditure Breakdown'!$W$6:$W$173, "&lt;"&amp;DZ1)</f>
        <v>0</v>
      </c>
      <c r="DZ11" s="125">
        <f>SUMIFS('Expenditure Breakdown'!$Q$6:$Q$173, 'Expenditure Breakdown'!$W$6:$W$173, "&gt;="&amp;DZ1,'Expenditure Breakdown'!$W$6:$W$173, "&lt;"&amp;EA1)</f>
        <v>0</v>
      </c>
      <c r="EA11" s="125">
        <f>SUMIFS('Expenditure Breakdown'!$Q$6:$Q$173, 'Expenditure Breakdown'!$W$6:$W$173, "&gt;="&amp;EA1,'Expenditure Breakdown'!$W$6:$W$173, "&lt;"&amp;EB1)</f>
        <v>0</v>
      </c>
      <c r="EB11" s="125">
        <f>SUMIFS('Expenditure Breakdown'!$Q$6:$Q$173, 'Expenditure Breakdown'!$W$6:$W$173, "&gt;="&amp;EB1,'Expenditure Breakdown'!$W$6:$W$173, "&lt;"&amp;EC1)</f>
        <v>0</v>
      </c>
      <c r="EC11" s="125">
        <f>SUMIFS('Expenditure Breakdown'!$Q$6:$Q$173, 'Expenditure Breakdown'!$W$6:$W$173, "&gt;="&amp;EC1,'Expenditure Breakdown'!$W$6:$W$173, "&lt;"&amp;ED1)</f>
        <v>0</v>
      </c>
      <c r="ED11" s="125">
        <f>SUMIFS('Expenditure Breakdown'!$Q$6:$Q$173, 'Expenditure Breakdown'!$W$6:$W$173, "&gt;="&amp;ED1,'Expenditure Breakdown'!$W$6:$W$173, "&lt;"&amp;EE1)</f>
        <v>0</v>
      </c>
      <c r="EE11" s="125">
        <f>SUMIFS('Expenditure Breakdown'!$Q$6:$Q$173, 'Expenditure Breakdown'!$W$6:$W$173, "&gt;="&amp;EE1,'Expenditure Breakdown'!$W$6:$W$173, "&lt;"&amp;EF1)</f>
        <v>0</v>
      </c>
      <c r="EF11" s="125">
        <f>SUMIFS('Expenditure Breakdown'!$Q$6:$Q$173, 'Expenditure Breakdown'!$W$6:$W$173, "&gt;="&amp;EF1,'Expenditure Breakdown'!$W$6:$W$173, "&lt;"&amp;EG1)</f>
        <v>0</v>
      </c>
      <c r="EG11" s="125">
        <f>SUMIFS('Expenditure Breakdown'!$Q$6:$Q$173, 'Expenditure Breakdown'!$W$6:$W$173, "&gt;="&amp;EG1,'Expenditure Breakdown'!$W$6:$W$173, "&lt;"&amp;EH1)</f>
        <v>0</v>
      </c>
      <c r="EH11" s="125">
        <f>SUMIFS('Expenditure Breakdown'!$Q$6:$Q$173, 'Expenditure Breakdown'!$W$6:$W$173, "&gt;="&amp;EH1,'Expenditure Breakdown'!$W$6:$W$173, "&lt;"&amp;EI1)</f>
        <v>0</v>
      </c>
      <c r="EI11" s="125">
        <f>SUMIFS('Expenditure Breakdown'!$Q$6:$Q$173, 'Expenditure Breakdown'!$W$6:$W$173, "&gt;="&amp;EI1,'Expenditure Breakdown'!$W$6:$W$173, "&lt;"&amp;EJ1)</f>
        <v>0</v>
      </c>
      <c r="EJ11" s="125">
        <f>SUMIFS('Expenditure Breakdown'!$Q$6:$Q$173, 'Expenditure Breakdown'!$W$6:$W$173, "&gt;="&amp;EJ1,'Expenditure Breakdown'!$W$6:$W$173, "&lt;"&amp;EK1)</f>
        <v>0</v>
      </c>
      <c r="EK11" s="125">
        <f>SUMIFS('Expenditure Breakdown'!$Q$6:$Q$173, 'Expenditure Breakdown'!$W$6:$W$173, "&gt;="&amp;EK1,'Expenditure Breakdown'!$W$6:$W$173, "&lt;"&amp;EL1)</f>
        <v>0</v>
      </c>
      <c r="EL11" s="125">
        <f>SUMIFS('Expenditure Breakdown'!$Q$6:$Q$173, 'Expenditure Breakdown'!$W$6:$W$173, "&gt;="&amp;EL1,'Expenditure Breakdown'!$W$6:$W$173, "&lt;"&amp;EM1)</f>
        <v>0</v>
      </c>
      <c r="EM11" s="125">
        <f>SUMIFS('Expenditure Breakdown'!$Q$6:$Q$173, 'Expenditure Breakdown'!$W$6:$W$173, "&gt;="&amp;EM1,'Expenditure Breakdown'!$W$6:$W$173, "&lt;"&amp;EN1)</f>
        <v>0</v>
      </c>
      <c r="EN11" s="125">
        <f>SUMIFS('Expenditure Breakdown'!$Q$6:$Q$173, 'Expenditure Breakdown'!$W$6:$W$173, "&gt;="&amp;EN1,'Expenditure Breakdown'!$W$6:$W$173, "&lt;"&amp;EO1)</f>
        <v>0</v>
      </c>
      <c r="EO11" s="125">
        <f>SUMIFS('Expenditure Breakdown'!$Q$6:$Q$173, 'Expenditure Breakdown'!$W$6:$W$173, "&gt;="&amp;EO1,'Expenditure Breakdown'!$W$6:$W$173, "&lt;"&amp;EP1)</f>
        <v>0</v>
      </c>
      <c r="EP11" s="125">
        <f>SUMIFS('Expenditure Breakdown'!$Q$6:$Q$173, 'Expenditure Breakdown'!$W$6:$W$173, "&gt;="&amp;EP1,'Expenditure Breakdown'!$W$6:$W$173, "&lt;"&amp;EQ1)</f>
        <v>0</v>
      </c>
      <c r="EQ11" s="125">
        <f>SUMIFS('Expenditure Breakdown'!$Q$6:$Q$173, 'Expenditure Breakdown'!$W$6:$W$173, "&gt;="&amp;EQ1,'Expenditure Breakdown'!$W$6:$W$173, "&lt;"&amp;ER1)</f>
        <v>0</v>
      </c>
      <c r="ER11" s="125">
        <f>SUMIFS('Expenditure Breakdown'!$Q$6:$Q$173, 'Expenditure Breakdown'!$W$6:$W$173, "&gt;="&amp;ER1,'Expenditure Breakdown'!$W$6:$W$173, "&lt;"&amp;ES1)</f>
        <v>0</v>
      </c>
      <c r="ES11" s="125">
        <f>SUMIFS('Expenditure Breakdown'!$Q$6:$Q$173, 'Expenditure Breakdown'!$W$6:$W$173, "&gt;="&amp;ES1,'Expenditure Breakdown'!$W$6:$W$173, "&lt;"&amp;ET1)</f>
        <v>0</v>
      </c>
      <c r="ET11" s="125">
        <f>SUMIFS('Expenditure Breakdown'!$Q$6:$Q$173, 'Expenditure Breakdown'!$W$6:$W$173, "&gt;="&amp;ET1,'Expenditure Breakdown'!$W$6:$W$173, "&lt;"&amp;EU1)</f>
        <v>0</v>
      </c>
      <c r="EU11" s="125">
        <f>SUMIFS('Expenditure Breakdown'!$Q$6:$Q$173, 'Expenditure Breakdown'!$W$6:$W$173, "&gt;="&amp;EU1,'Expenditure Breakdown'!$W$6:$W$173, "&lt;"&amp;EV1)</f>
        <v>0</v>
      </c>
      <c r="EV11" s="125">
        <f>SUMIFS('Expenditure Breakdown'!$Q$6:$Q$173, 'Expenditure Breakdown'!$W$6:$W$173, "&gt;="&amp;EV1,'Expenditure Breakdown'!$W$6:$W$173, "&lt;"&amp;EW1)</f>
        <v>0</v>
      </c>
      <c r="EW11" s="125">
        <f>SUMIFS('Expenditure Breakdown'!$Q$6:$Q$173, 'Expenditure Breakdown'!$W$6:$W$173, "&gt;="&amp;EW1,'Expenditure Breakdown'!$W$6:$W$173, "&lt;"&amp;EX1)</f>
        <v>0</v>
      </c>
      <c r="EX11" s="125">
        <f>SUMIFS('Expenditure Breakdown'!$Q$6:$Q$173, 'Expenditure Breakdown'!$W$6:$W$173, "&gt;="&amp;EX1,'Expenditure Breakdown'!$W$6:$W$173, "&lt;"&amp;EY1)</f>
        <v>0</v>
      </c>
      <c r="EY11" s="125">
        <f>SUMIFS('Expenditure Breakdown'!$Q$6:$Q$173, 'Expenditure Breakdown'!$W$6:$W$173, "&gt;="&amp;EY1,'Expenditure Breakdown'!$W$6:$W$173, "&lt;"&amp;EZ1)</f>
        <v>0</v>
      </c>
      <c r="EZ11" s="125">
        <f>SUMIFS('Expenditure Breakdown'!$Q$6:$Q$173, 'Expenditure Breakdown'!$W$6:$W$173, "&gt;="&amp;EZ1,'Expenditure Breakdown'!$W$6:$W$173, "&lt;"&amp;FA1)</f>
        <v>0</v>
      </c>
      <c r="FA11" s="125">
        <f>SUMIFS('Expenditure Breakdown'!$Q$6:$Q$173, 'Expenditure Breakdown'!$W$6:$W$173, "&gt;="&amp;FA1,'Expenditure Breakdown'!$W$6:$W$173, "&lt;"&amp;FB1)</f>
        <v>0</v>
      </c>
      <c r="FB11" s="125">
        <f>SUMIFS('Expenditure Breakdown'!$Q$6:$Q$173, 'Expenditure Breakdown'!$W$6:$W$173, "&gt;="&amp;FB1,'Expenditure Breakdown'!$W$6:$W$173, "&lt;"&amp;FC1)</f>
        <v>0</v>
      </c>
      <c r="FC11" s="125">
        <f>SUMIFS('Expenditure Breakdown'!$Q$6:$Q$173, 'Expenditure Breakdown'!$W$6:$W$173, "&gt;="&amp;FC1,'Expenditure Breakdown'!$W$6:$W$173, "&lt;"&amp;FD1)</f>
        <v>0</v>
      </c>
      <c r="FD11" s="125">
        <f>SUMIFS('Expenditure Breakdown'!$Q$6:$Q$173, 'Expenditure Breakdown'!$W$6:$W$173, "&gt;="&amp;FD1,'Expenditure Breakdown'!$W$6:$W$173, "&lt;"&amp;FE1)</f>
        <v>0</v>
      </c>
      <c r="FE11" s="125">
        <f>SUMIFS('Expenditure Breakdown'!$Q$6:$Q$173, 'Expenditure Breakdown'!$W$6:$W$173, "&gt;="&amp;FE1,'Expenditure Breakdown'!$W$6:$W$173, "&lt;"&amp;FF1)</f>
        <v>0</v>
      </c>
      <c r="FF11" s="125">
        <f>SUMIFS('Expenditure Breakdown'!$Q$6:$Q$173, 'Expenditure Breakdown'!$W$6:$W$173, "&gt;="&amp;FF1,'Expenditure Breakdown'!$W$6:$W$173, "&lt;"&amp;FG1)</f>
        <v>0</v>
      </c>
      <c r="FG11" s="125">
        <f>SUMIFS('Expenditure Breakdown'!$Q$6:$Q$173, 'Expenditure Breakdown'!$W$6:$W$173, "&gt;="&amp;FG1,'Expenditure Breakdown'!$W$6:$W$173, "&lt;"&amp;FH1)</f>
        <v>0</v>
      </c>
      <c r="FH11" s="125">
        <f>SUMIFS('Expenditure Breakdown'!$Q$6:$Q$173, 'Expenditure Breakdown'!$W$6:$W$173, "&gt;="&amp;FH1,'Expenditure Breakdown'!$W$6:$W$173, "&lt;"&amp;FI1)</f>
        <v>0</v>
      </c>
      <c r="FI11" s="125">
        <f>SUMIFS('Expenditure Breakdown'!$Q$6:$Q$173, 'Expenditure Breakdown'!$W$6:$W$173, "&gt;="&amp;FI1,'Expenditure Breakdown'!$W$6:$W$173, "&lt;"&amp;FJ1)</f>
        <v>0</v>
      </c>
      <c r="FJ11" s="125">
        <f>SUMIFS('Expenditure Breakdown'!$Q$6:$Q$173, 'Expenditure Breakdown'!$W$6:$W$173, "&gt;="&amp;FJ1,'Expenditure Breakdown'!$W$6:$W$173, "&lt;"&amp;FK1)</f>
        <v>0</v>
      </c>
      <c r="FK11" s="125">
        <f>SUMIFS('Expenditure Breakdown'!$Q$6:$Q$173, 'Expenditure Breakdown'!$W$6:$W$173, "&gt;="&amp;FK1,'Expenditure Breakdown'!$W$6:$W$173, "&lt;"&amp;FL1)</f>
        <v>0</v>
      </c>
      <c r="FL11" s="125">
        <f>SUMIFS('Expenditure Breakdown'!$Q$6:$Q$173, 'Expenditure Breakdown'!$W$6:$W$173, "&gt;="&amp;FL1,'Expenditure Breakdown'!$W$6:$W$173, "&lt;"&amp;FM1)</f>
        <v>0</v>
      </c>
      <c r="FM11" s="125">
        <f>SUMIFS('Expenditure Breakdown'!$Q$6:$Q$173, 'Expenditure Breakdown'!$W$6:$W$173, "&gt;="&amp;FM1,'Expenditure Breakdown'!$W$6:$W$173, "&lt;"&amp;FN1)</f>
        <v>0</v>
      </c>
      <c r="FN11" s="125">
        <f>SUMIFS('Expenditure Breakdown'!$Q$6:$Q$173, 'Expenditure Breakdown'!$W$6:$W$173, "&gt;="&amp;FN1,'Expenditure Breakdown'!$W$6:$W$173, "&lt;"&amp;FO1)</f>
        <v>0</v>
      </c>
      <c r="FO11" s="125">
        <f>SUMIFS('Expenditure Breakdown'!$Q$6:$Q$173, 'Expenditure Breakdown'!$W$6:$W$173, "&gt;="&amp;FO1,'Expenditure Breakdown'!$W$6:$W$173, "&lt;"&amp;FP1)</f>
        <v>0</v>
      </c>
      <c r="FP11" s="125">
        <f>SUMIFS('Expenditure Breakdown'!$Q$6:$Q$173, 'Expenditure Breakdown'!$W$6:$W$173, "&gt;="&amp;FP1,'Expenditure Breakdown'!$W$6:$W$173, "&lt;"&amp;FQ1)</f>
        <v>0</v>
      </c>
      <c r="FQ11" s="125">
        <f>SUMIFS('Expenditure Breakdown'!$Q$6:$Q$173, 'Expenditure Breakdown'!$W$6:$W$173, "&gt;="&amp;FQ1,'Expenditure Breakdown'!$W$6:$W$173, "&lt;"&amp;FR1)</f>
        <v>0</v>
      </c>
      <c r="FR11" s="125">
        <f>SUMIFS('Expenditure Breakdown'!$Q$6:$Q$173, 'Expenditure Breakdown'!$W$6:$W$173, "&gt;="&amp;FR1,'Expenditure Breakdown'!$W$6:$W$173, "&lt;"&amp;FS1)</f>
        <v>0</v>
      </c>
      <c r="FS11" s="125">
        <f>SUMIFS('Expenditure Breakdown'!$Q$6:$Q$173, 'Expenditure Breakdown'!$W$6:$W$173, "&gt;="&amp;FS1,'Expenditure Breakdown'!$W$6:$W$173, "&lt;"&amp;FT1)</f>
        <v>0</v>
      </c>
      <c r="FT11" s="125">
        <f>SUMIFS('Expenditure Breakdown'!$Q$6:$Q$173, 'Expenditure Breakdown'!$W$6:$W$173, "&gt;="&amp;FT1,'Expenditure Breakdown'!$W$6:$W$173, "&lt;"&amp;FU1)</f>
        <v>0</v>
      </c>
      <c r="FU11" s="125">
        <f>SUMIFS('Expenditure Breakdown'!$Q$6:$Q$173, 'Expenditure Breakdown'!$W$6:$W$173, "&gt;="&amp;FU1,'Expenditure Breakdown'!$W$6:$W$173, "&lt;"&amp;FV1)</f>
        <v>0</v>
      </c>
      <c r="FV11" s="125">
        <f>SUMIFS('Expenditure Breakdown'!$Q$6:$Q$173, 'Expenditure Breakdown'!$W$6:$W$173, "&gt;="&amp;FV1,'Expenditure Breakdown'!$W$6:$W$173, "&lt;"&amp;FW1)</f>
        <v>0</v>
      </c>
      <c r="FW11" s="125">
        <f>SUMIFS('Expenditure Breakdown'!$Q$6:$Q$173, 'Expenditure Breakdown'!$W$6:$W$173, "&gt;="&amp;FW1,'Expenditure Breakdown'!$W$6:$W$173, "&lt;"&amp;FX1)</f>
        <v>0</v>
      </c>
      <c r="FX11" s="125">
        <f>SUMIFS('Expenditure Breakdown'!$Q$6:$Q$173, 'Expenditure Breakdown'!$W$6:$W$173, "&gt;="&amp;FX1,'Expenditure Breakdown'!$W$6:$W$173, "&lt;"&amp;FY1)</f>
        <v>0</v>
      </c>
      <c r="FY11" s="125">
        <f>SUMIFS('Expenditure Breakdown'!$Q$6:$Q$173, 'Expenditure Breakdown'!$W$6:$W$173, "&gt;="&amp;FY1,'Expenditure Breakdown'!$W$6:$W$173, "&lt;"&amp;FZ1)</f>
        <v>0</v>
      </c>
      <c r="FZ11" s="125">
        <f>SUMIFS('Expenditure Breakdown'!$Q$6:$Q$173, 'Expenditure Breakdown'!$W$6:$W$173, "&gt;="&amp;FZ1,'Expenditure Breakdown'!$W$6:$W$173, "&lt;"&amp;GA1)</f>
        <v>0</v>
      </c>
      <c r="GA11" s="125">
        <f>SUMIFS('Expenditure Breakdown'!$Q$6:$Q$173, 'Expenditure Breakdown'!$W$6:$W$173, "&gt;="&amp;GA1,'Expenditure Breakdown'!$W$6:$W$173, "&lt;"&amp;GB1)</f>
        <v>0</v>
      </c>
      <c r="GB11" s="125">
        <f>SUMIFS('Expenditure Breakdown'!$Q$6:$Q$173, 'Expenditure Breakdown'!$W$6:$W$173, "&gt;="&amp;GB1,'Expenditure Breakdown'!$W$6:$W$173, "&lt;"&amp;GC1)</f>
        <v>0</v>
      </c>
      <c r="GC11" s="125">
        <f>SUMIFS('Expenditure Breakdown'!$Q$6:$Q$173, 'Expenditure Breakdown'!$W$6:$W$173, "&gt;="&amp;GC1,'Expenditure Breakdown'!$W$6:$W$173, "&lt;"&amp;GD1)</f>
        <v>0</v>
      </c>
      <c r="GD11" s="125">
        <f>SUMIFS('Expenditure Breakdown'!$Q$6:$Q$173, 'Expenditure Breakdown'!$W$6:$W$173, "&gt;="&amp;GD1,'Expenditure Breakdown'!$W$6:$W$173, "&lt;"&amp;GE1)</f>
        <v>0</v>
      </c>
      <c r="GE11" s="125">
        <f>SUMIFS('Expenditure Breakdown'!$Q$6:$Q$173, 'Expenditure Breakdown'!$W$6:$W$173, "&gt;="&amp;GE1,'Expenditure Breakdown'!$W$6:$W$173, "&lt;"&amp;GF1)</f>
        <v>0</v>
      </c>
      <c r="GF11" s="125">
        <f>SUMIFS('Expenditure Breakdown'!$Q$6:$Q$173, 'Expenditure Breakdown'!$W$6:$W$173, "&gt;="&amp;GF1,'Expenditure Breakdown'!$W$6:$W$173, "&lt;"&amp;GG1)</f>
        <v>0</v>
      </c>
      <c r="GG11" s="125">
        <f>SUMIFS('Expenditure Breakdown'!$Q$6:$Q$173, 'Expenditure Breakdown'!$W$6:$W$173, "&gt;="&amp;GG1,'Expenditure Breakdown'!$W$6:$W$173, "&lt;"&amp;GH1)</f>
        <v>0</v>
      </c>
      <c r="GH11" s="125">
        <f>SUMIFS('Expenditure Breakdown'!$Q$6:$Q$173, 'Expenditure Breakdown'!$W$6:$W$173, "&gt;="&amp;GH1,'Expenditure Breakdown'!$W$6:$W$173, "&lt;"&amp;GI1)</f>
        <v>0</v>
      </c>
      <c r="GI11" s="125">
        <f>SUMIFS('Expenditure Breakdown'!$Q$6:$Q$173, 'Expenditure Breakdown'!$W$6:$W$173, "&gt;="&amp;GI1,'Expenditure Breakdown'!$W$6:$W$173, "&lt;"&amp;GJ1)</f>
        <v>0</v>
      </c>
      <c r="GJ11" s="125">
        <f>SUMIFS('Expenditure Breakdown'!$Q$6:$Q$173, 'Expenditure Breakdown'!$W$6:$W$173, "&gt;="&amp;GJ1,'Expenditure Breakdown'!$W$6:$W$173, "&lt;"&amp;GK1)</f>
        <v>0</v>
      </c>
      <c r="GK11" s="125">
        <f>SUMIFS('Expenditure Breakdown'!$Q$6:$Q$173, 'Expenditure Breakdown'!$W$6:$W$173, "&gt;="&amp;GK1,'Expenditure Breakdown'!$W$6:$W$173, "&lt;"&amp;GL1)</f>
        <v>0</v>
      </c>
      <c r="GL11" s="125">
        <f>SUMIFS('Expenditure Breakdown'!$Q$6:$Q$173, 'Expenditure Breakdown'!$W$6:$W$173, "&gt;="&amp;GL1,'Expenditure Breakdown'!$W$6:$W$173, "&lt;"&amp;GM1)</f>
        <v>0</v>
      </c>
      <c r="GM11" s="125">
        <f>SUMIFS('Expenditure Breakdown'!$Q$6:$Q$173, 'Expenditure Breakdown'!$W$6:$W$173, "&gt;="&amp;GM1,'Expenditure Breakdown'!$W$6:$W$173, "&lt;"&amp;GN1)</f>
        <v>0</v>
      </c>
      <c r="GN11" s="125">
        <f>SUMIFS('Expenditure Breakdown'!$Q$6:$Q$173, 'Expenditure Breakdown'!$W$6:$W$173, "&gt;="&amp;GN1,'Expenditure Breakdown'!$W$6:$W$173, "&lt;"&amp;GO1)</f>
        <v>0</v>
      </c>
      <c r="GO11" s="125">
        <f>SUMIFS('Expenditure Breakdown'!$Q$6:$Q$173, 'Expenditure Breakdown'!$W$6:$W$173, "&gt;="&amp;GO1,'Expenditure Breakdown'!$W$6:$W$173, "&lt;"&amp;GP1)</f>
        <v>0</v>
      </c>
      <c r="GP11" s="125">
        <f>SUMIFS('Expenditure Breakdown'!$Q$6:$Q$173, 'Expenditure Breakdown'!$W$6:$W$173, "&gt;="&amp;GP1,'Expenditure Breakdown'!$W$6:$W$173, "&lt;"&amp;GQ1)</f>
        <v>0</v>
      </c>
      <c r="GQ11" s="125">
        <f>SUMIFS('Expenditure Breakdown'!$Q$6:$Q$173, 'Expenditure Breakdown'!$W$6:$W$173, "&gt;="&amp;GQ1,'Expenditure Breakdown'!$W$6:$W$173, "&lt;"&amp;GR1)</f>
        <v>0</v>
      </c>
      <c r="GR11" s="125">
        <f>SUMIFS('Expenditure Breakdown'!$Q$6:$Q$173, 'Expenditure Breakdown'!$W$6:$W$173, "&gt;="&amp;GR1,'Expenditure Breakdown'!$W$6:$W$173, "&lt;"&amp;GS1)</f>
        <v>0</v>
      </c>
      <c r="GS11" s="125">
        <f>SUMIFS('Expenditure Breakdown'!$Q$6:$Q$173, 'Expenditure Breakdown'!$W$6:$W$173, "&gt;="&amp;GS1,'Expenditure Breakdown'!$W$6:$W$173, "&lt;"&amp;GT1)</f>
        <v>0</v>
      </c>
      <c r="GT11" s="125">
        <f>SUMIFS('Expenditure Breakdown'!$Q$6:$Q$173, 'Expenditure Breakdown'!$W$6:$W$173, "&gt;="&amp;GT1,'Expenditure Breakdown'!$W$6:$W$173, "&lt;"&amp;GU1)</f>
        <v>0</v>
      </c>
      <c r="GU11" s="125">
        <f>SUMIFS('Expenditure Breakdown'!$Q$6:$Q$173, 'Expenditure Breakdown'!$W$6:$W$173, "&gt;="&amp;GU1,'Expenditure Breakdown'!$W$6:$W$173, "&lt;"&amp;GV1)</f>
        <v>0</v>
      </c>
      <c r="GV11" s="125">
        <f>SUMIFS('Expenditure Breakdown'!$Q$6:$Q$173, 'Expenditure Breakdown'!$W$6:$W$173, "&gt;="&amp;GV1,'Expenditure Breakdown'!$W$6:$W$173, "&lt;"&amp;GW1)</f>
        <v>0</v>
      </c>
      <c r="GW11" s="125">
        <f>SUMIFS('Expenditure Breakdown'!$Q$6:$Q$173, 'Expenditure Breakdown'!$W$6:$W$173, "&gt;="&amp;GW1,'Expenditure Breakdown'!$W$6:$W$173, "&lt;"&amp;GX1)</f>
        <v>0</v>
      </c>
      <c r="GX11" s="125">
        <f>SUMIFS('Expenditure Breakdown'!$Q$6:$Q$173, 'Expenditure Breakdown'!$W$6:$W$173, "&gt;="&amp;GX1,'Expenditure Breakdown'!$W$6:$W$173, "&lt;"&amp;GY1)</f>
        <v>0</v>
      </c>
      <c r="GY11" s="125">
        <f>SUMIFS('Expenditure Breakdown'!$Q$6:$Q$173, 'Expenditure Breakdown'!$W$6:$W$173, "&gt;="&amp;GY1,'Expenditure Breakdown'!$W$6:$W$173, "&lt;"&amp;GZ1)</f>
        <v>0</v>
      </c>
      <c r="GZ11" s="125">
        <f>SUMIFS('Expenditure Breakdown'!$Q$6:$Q$173, 'Expenditure Breakdown'!$W$6:$W$173, "&gt;="&amp;GZ1,'Expenditure Breakdown'!$W$6:$W$173, "&lt;"&amp;HA1)</f>
        <v>0</v>
      </c>
      <c r="HA11" s="125">
        <f>SUMIFS('Expenditure Breakdown'!$Q$6:$Q$173, 'Expenditure Breakdown'!$W$6:$W$173, "&gt;="&amp;HA1,'Expenditure Breakdown'!$W$6:$W$173, "&lt;"&amp;HB1)</f>
        <v>0</v>
      </c>
      <c r="HB11" s="125">
        <f>SUMIFS('Expenditure Breakdown'!$Q$6:$Q$173, 'Expenditure Breakdown'!$W$6:$W$173, "&gt;="&amp;HB1,'Expenditure Breakdown'!$W$6:$W$173, "&lt;"&amp;HC1)</f>
        <v>0</v>
      </c>
      <c r="HC11" s="125">
        <f>SUMIFS('Expenditure Breakdown'!$Q$6:$Q$173, 'Expenditure Breakdown'!$W$6:$W$173, "&gt;="&amp;HC1,'Expenditure Breakdown'!$W$6:$W$173, "&lt;"&amp;HD1)</f>
        <v>0</v>
      </c>
      <c r="HD11" s="125">
        <f>SUMIFS('Expenditure Breakdown'!$Q$6:$Q$173, 'Expenditure Breakdown'!$W$6:$W$173, "&gt;="&amp;HD1,'Expenditure Breakdown'!$W$6:$W$173, "&lt;"&amp;HE1)</f>
        <v>0</v>
      </c>
      <c r="HE11" s="125">
        <f>SUMIFS('Expenditure Breakdown'!$Q$6:$Q$173, 'Expenditure Breakdown'!$W$6:$W$173, "&gt;="&amp;HE1,'Expenditure Breakdown'!$W$6:$W$173, "&lt;"&amp;HF1)</f>
        <v>0</v>
      </c>
      <c r="HF11" s="125">
        <f>SUMIFS('Expenditure Breakdown'!$Q$6:$Q$173, 'Expenditure Breakdown'!$W$6:$W$173, "&gt;="&amp;HF1,'Expenditure Breakdown'!$W$6:$W$173, "&lt;"&amp;HG1)</f>
        <v>0</v>
      </c>
      <c r="HG11" s="125">
        <f>SUMIFS('Expenditure Breakdown'!$Q$6:$Q$173, 'Expenditure Breakdown'!$W$6:$W$173, "&gt;="&amp;HG1,'Expenditure Breakdown'!$W$6:$W$173, "&lt;"&amp;HH1)</f>
        <v>0</v>
      </c>
      <c r="HH11" s="125">
        <f>SUMIFS('Expenditure Breakdown'!$Q$6:$Q$173, 'Expenditure Breakdown'!$W$6:$W$173, "&gt;="&amp;HH1,'Expenditure Breakdown'!$W$6:$W$173, "&lt;"&amp;HI1)</f>
        <v>0</v>
      </c>
      <c r="HI11" s="125">
        <f>SUMIFS('Expenditure Breakdown'!$Q$6:$Q$173, 'Expenditure Breakdown'!$W$6:$W$173, "&gt;="&amp;HI1,'Expenditure Breakdown'!$W$6:$W$173, "&lt;"&amp;HJ1)</f>
        <v>0</v>
      </c>
      <c r="HJ11" s="125">
        <f>SUMIFS('Expenditure Breakdown'!$Q$6:$Q$173, 'Expenditure Breakdown'!$W$6:$W$173, "&gt;="&amp;HJ1,'Expenditure Breakdown'!$W$6:$W$173, "&lt;"&amp;HK1)</f>
        <v>0</v>
      </c>
      <c r="HK11" s="125">
        <f>SUMIFS('Expenditure Breakdown'!$Q$6:$Q$173, 'Expenditure Breakdown'!$W$6:$W$173, "&gt;="&amp;HK1,'Expenditure Breakdown'!$W$6:$W$173, "&lt;"&amp;HL1)</f>
        <v>0</v>
      </c>
      <c r="HL11" s="125">
        <f>SUMIFS('Expenditure Breakdown'!$Q$6:$Q$173, 'Expenditure Breakdown'!$W$6:$W$173, "&gt;="&amp;HL1,'Expenditure Breakdown'!$W$6:$W$173, "&lt;"&amp;HM1)</f>
        <v>0</v>
      </c>
      <c r="HM11" s="125">
        <f>SUMIFS('Expenditure Breakdown'!$Q$6:$Q$173, 'Expenditure Breakdown'!$W$6:$W$173, "&gt;="&amp;HM1,'Expenditure Breakdown'!$W$6:$W$173, "&lt;"&amp;HN1)</f>
        <v>0</v>
      </c>
      <c r="HN11" s="125">
        <f>SUMIFS('Expenditure Breakdown'!$Q$6:$Q$173, 'Expenditure Breakdown'!$W$6:$W$173, "&gt;="&amp;HN1,'Expenditure Breakdown'!$W$6:$W$173, "&lt;"&amp;HO1)</f>
        <v>0</v>
      </c>
      <c r="HO11" s="125">
        <f>SUMIFS('Expenditure Breakdown'!$Q$6:$Q$173, 'Expenditure Breakdown'!$W$6:$W$173, "&gt;="&amp;HO1,'Expenditure Breakdown'!$W$6:$W$173, "&lt;"&amp;HP1)</f>
        <v>0</v>
      </c>
      <c r="HP11" s="125">
        <f>SUMIFS('Expenditure Breakdown'!$Q$6:$Q$173, 'Expenditure Breakdown'!$W$6:$W$173, "&gt;="&amp;HP1,'Expenditure Breakdown'!$W$6:$W$173, "&lt;"&amp;HQ1)</f>
        <v>0</v>
      </c>
      <c r="HQ11" s="125">
        <f>SUMIFS('Expenditure Breakdown'!$Q$6:$Q$173, 'Expenditure Breakdown'!$W$6:$W$173, "&gt;="&amp;HQ1,'Expenditure Breakdown'!$W$6:$W$173, "&lt;"&amp;HR1)</f>
        <v>0</v>
      </c>
      <c r="HR11" s="125">
        <f>SUMIFS('Expenditure Breakdown'!$Q$6:$Q$173, 'Expenditure Breakdown'!$W$6:$W$173, "&gt;="&amp;HR1,'Expenditure Breakdown'!$W$6:$W$173, "&lt;"&amp;HS1)</f>
        <v>0</v>
      </c>
      <c r="HS11" s="125">
        <f>SUMIFS('Expenditure Breakdown'!$Q$6:$Q$173, 'Expenditure Breakdown'!$W$6:$W$173, "&gt;="&amp;HS1,'Expenditure Breakdown'!$W$6:$W$173, "&lt;"&amp;HT1)</f>
        <v>0</v>
      </c>
      <c r="HT11" s="125">
        <f>SUMIFS('Expenditure Breakdown'!$Q$6:$Q$173, 'Expenditure Breakdown'!$W$6:$W$173, "&gt;="&amp;HT1,'Expenditure Breakdown'!$W$6:$W$173, "&lt;"&amp;HU1)</f>
        <v>0</v>
      </c>
      <c r="HU11" s="125">
        <f>SUMIFS('Expenditure Breakdown'!$Q$6:$Q$173, 'Expenditure Breakdown'!$W$6:$W$173, "&gt;="&amp;HU1,'Expenditure Breakdown'!$W$6:$W$173, "&lt;"&amp;HV1)</f>
        <v>0</v>
      </c>
      <c r="HV11" s="125">
        <f>SUMIFS('Expenditure Breakdown'!$Q$6:$Q$173, 'Expenditure Breakdown'!$W$6:$W$173, "&gt;="&amp;HV1,'Expenditure Breakdown'!$W$6:$W$173, "&lt;"&amp;HW1)</f>
        <v>0</v>
      </c>
      <c r="HW11" s="125">
        <f>SUMIFS('Expenditure Breakdown'!$Q$6:$Q$173, 'Expenditure Breakdown'!$W$6:$W$173, "&gt;="&amp;HW1,'Expenditure Breakdown'!$W$6:$W$173, "&lt;"&amp;HX1)</f>
        <v>0</v>
      </c>
      <c r="HX11" s="125">
        <f>SUMIFS('Expenditure Breakdown'!$Q$6:$Q$173, 'Expenditure Breakdown'!$W$6:$W$173, "&gt;="&amp;HX1,'Expenditure Breakdown'!$W$6:$W$173, "&lt;"&amp;HY1)</f>
        <v>0</v>
      </c>
      <c r="HY11" s="125">
        <f>SUMIFS('Expenditure Breakdown'!$Q$6:$Q$173, 'Expenditure Breakdown'!$W$6:$W$173, "&gt;="&amp;HY1,'Expenditure Breakdown'!$W$6:$W$173, "&lt;"&amp;HZ1)</f>
        <v>0</v>
      </c>
      <c r="HZ11" s="125">
        <f>SUMIFS('Expenditure Breakdown'!$Q$6:$Q$173, 'Expenditure Breakdown'!$W$6:$W$173, "&gt;="&amp;HZ1,'Expenditure Breakdown'!$W$6:$W$173, "&lt;"&amp;IA1)</f>
        <v>0</v>
      </c>
      <c r="IA11" s="125">
        <f>SUMIFS('Expenditure Breakdown'!$Q$6:$Q$173, 'Expenditure Breakdown'!$W$6:$W$173, "&gt;="&amp;IA1,'Expenditure Breakdown'!$W$6:$W$173, "&lt;"&amp;IB1)</f>
        <v>0</v>
      </c>
      <c r="IB11" s="125">
        <f>SUMIFS('Expenditure Breakdown'!$Q$6:$Q$173, 'Expenditure Breakdown'!$W$6:$W$173, "&gt;="&amp;IB1,'Expenditure Breakdown'!$W$6:$W$173, "&lt;"&amp;IC1)</f>
        <v>0</v>
      </c>
      <c r="IC11" s="125">
        <f>SUMIFS('Expenditure Breakdown'!$Q$6:$Q$173, 'Expenditure Breakdown'!$W$6:$W$173, "&gt;="&amp;IC1,'Expenditure Breakdown'!$W$6:$W$173, "&lt;"&amp;ID1)</f>
        <v>0</v>
      </c>
      <c r="ID11" s="125">
        <f>SUMIFS('Expenditure Breakdown'!$Q$6:$Q$173, 'Expenditure Breakdown'!$W$6:$W$173, "&gt;="&amp;ID1,'Expenditure Breakdown'!$W$6:$W$173, "&lt;"&amp;IE1)</f>
        <v>0</v>
      </c>
      <c r="IE11" s="125">
        <f>SUMIFS('Expenditure Breakdown'!$Q$6:$Q$173, 'Expenditure Breakdown'!$W$6:$W$173, "&gt;="&amp;IE1,'Expenditure Breakdown'!$W$6:$W$173, "&lt;"&amp;IF1)</f>
        <v>0</v>
      </c>
      <c r="IF11" s="125">
        <f>SUMIFS('Expenditure Breakdown'!$Q$6:$Q$173, 'Expenditure Breakdown'!$W$6:$W$173, "&gt;="&amp;IF1,'Expenditure Breakdown'!$W$6:$W$173, "&lt;"&amp;IG1)</f>
        <v>0</v>
      </c>
      <c r="IG11" s="125">
        <f>SUMIFS('Expenditure Breakdown'!$Q$6:$Q$173, 'Expenditure Breakdown'!$W$6:$W$173, "&gt;="&amp;IG1,'Expenditure Breakdown'!$W$6:$W$173, "&lt;"&amp;IH1)</f>
        <v>0</v>
      </c>
      <c r="IH11" s="125">
        <f>SUMIFS('Expenditure Breakdown'!$Q$6:$Q$173, 'Expenditure Breakdown'!$W$6:$W$173, "&gt;="&amp;IH1,'Expenditure Breakdown'!$W$6:$W$173, "&lt;"&amp;II1)</f>
        <v>0</v>
      </c>
      <c r="II11" s="125">
        <f>SUMIFS('Expenditure Breakdown'!$Q$6:$Q$173, 'Expenditure Breakdown'!$W$6:$W$173, "&gt;="&amp;II1,'Expenditure Breakdown'!$W$6:$W$173, "&lt;"&amp;IJ1)</f>
        <v>0</v>
      </c>
      <c r="IJ11" s="125">
        <f>SUMIFS('Expenditure Breakdown'!$Q$6:$Q$173, 'Expenditure Breakdown'!$W$6:$W$173, "&gt;="&amp;IJ1,'Expenditure Breakdown'!$W$6:$W$173, "&lt;"&amp;IK1)</f>
        <v>0</v>
      </c>
      <c r="IK11" s="125">
        <f>SUMIFS('Expenditure Breakdown'!$Q$6:$Q$173, 'Expenditure Breakdown'!$W$6:$W$173, "&gt;="&amp;IK1,'Expenditure Breakdown'!$W$6:$W$173, "&lt;"&amp;IL1)</f>
        <v>0</v>
      </c>
      <c r="IL11" s="125">
        <f>SUMIFS('Expenditure Breakdown'!$Q$6:$Q$173, 'Expenditure Breakdown'!$W$6:$W$173, "&gt;="&amp;IL1,'Expenditure Breakdown'!$W$6:$W$173, "&lt;"&amp;IM1)</f>
        <v>0</v>
      </c>
      <c r="IM11" s="125">
        <f>SUMIFS('Expenditure Breakdown'!$Q$6:$Q$173, 'Expenditure Breakdown'!$W$6:$W$173, "&gt;="&amp;IM1,'Expenditure Breakdown'!$W$6:$W$173, "&lt;"&amp;IN1)</f>
        <v>0</v>
      </c>
      <c r="IN11" s="125">
        <f>SUMIFS('Expenditure Breakdown'!$Q$6:$Q$173, 'Expenditure Breakdown'!$W$6:$W$173, "&gt;="&amp;IN1,'Expenditure Breakdown'!$W$6:$W$173, "&lt;"&amp;IO1)</f>
        <v>0</v>
      </c>
      <c r="IO11" s="125">
        <f>SUMIFS('Expenditure Breakdown'!$Q$6:$Q$173, 'Expenditure Breakdown'!$W$6:$W$173, "&gt;="&amp;IO1,'Expenditure Breakdown'!$W$6:$W$173, "&lt;"&amp;IP1)</f>
        <v>0</v>
      </c>
      <c r="IP11" s="125">
        <f>SUMIFS('Expenditure Breakdown'!$Q$6:$Q$173, 'Expenditure Breakdown'!$W$6:$W$173, "&gt;="&amp;IP1,'Expenditure Breakdown'!$W$6:$W$173, "&lt;"&amp;IQ1)</f>
        <v>0</v>
      </c>
      <c r="IQ11" s="125">
        <f>SUMIFS('Expenditure Breakdown'!$Q$6:$Q$173, 'Expenditure Breakdown'!$W$6:$W$173, "&gt;="&amp;IQ1,'Expenditure Breakdown'!$W$6:$W$173, "&lt;"&amp;IR1)</f>
        <v>0</v>
      </c>
      <c r="IR11" s="125">
        <f>SUMIFS('Expenditure Breakdown'!$Q$6:$Q$173, 'Expenditure Breakdown'!$W$6:$W$173, "&gt;="&amp;IR1,'Expenditure Breakdown'!$W$6:$W$173, "&lt;"&amp;IS1)</f>
        <v>0</v>
      </c>
      <c r="IS11" s="125">
        <f>SUMIFS('Expenditure Breakdown'!$Q$6:$Q$173, 'Expenditure Breakdown'!$W$6:$W$173, "&gt;="&amp;IS1,'Expenditure Breakdown'!$W$6:$W$173, "&lt;"&amp;IT1)</f>
        <v>0</v>
      </c>
      <c r="IT11" s="125">
        <f>SUMIFS('Expenditure Breakdown'!$Q$6:$Q$173, 'Expenditure Breakdown'!$W$6:$W$173, "&gt;="&amp;IT1,'Expenditure Breakdown'!$W$6:$W$173, "&lt;"&amp;IU1)</f>
        <v>0</v>
      </c>
      <c r="IU11" s="125">
        <f>SUMIFS('Expenditure Breakdown'!$Q$6:$Q$173, 'Expenditure Breakdown'!$W$6:$W$173, "&gt;="&amp;IU1,'Expenditure Breakdown'!$W$6:$W$173, "&lt;"&amp;IV1)</f>
        <v>0</v>
      </c>
      <c r="IV11" s="125">
        <f>SUMIFS('Expenditure Breakdown'!$Q$6:$Q$173, 'Expenditure Breakdown'!$W$6:$W$173, "&gt;="&amp;IV1,'Expenditure Breakdown'!$W$6:$W$173, "&lt;"&amp;IW1)</f>
        <v>0</v>
      </c>
      <c r="IW11" s="125">
        <f>SUMIFS('Expenditure Breakdown'!$Q$6:$Q$173, 'Expenditure Breakdown'!$W$6:$W$173, "&gt;="&amp;IW1,'Expenditure Breakdown'!$W$6:$W$173, "&lt;"&amp;IX1)</f>
        <v>0</v>
      </c>
      <c r="IX11" s="125">
        <f>SUMIFS('Expenditure Breakdown'!$Q$6:$Q$173, 'Expenditure Breakdown'!$W$6:$W$173, "&gt;="&amp;IX1,'Expenditure Breakdown'!$W$6:$W$173, "&lt;"&amp;IY1)</f>
        <v>0</v>
      </c>
      <c r="IY11" s="125">
        <f>SUMIFS('Expenditure Breakdown'!$Q$6:$Q$173, 'Expenditure Breakdown'!$W$6:$W$173, "&gt;="&amp;IY1,'Expenditure Breakdown'!$W$6:$W$173, "&lt;"&amp;IZ1)</f>
        <v>0</v>
      </c>
      <c r="IZ11" s="125">
        <f>SUMIFS('Expenditure Breakdown'!$Q$6:$Q$173, 'Expenditure Breakdown'!$W$6:$W$173, "&gt;="&amp;IZ1,'Expenditure Breakdown'!$W$6:$W$173, "&lt;"&amp;JA1)</f>
        <v>0</v>
      </c>
      <c r="JA11" s="125">
        <f>SUMIFS('Expenditure Breakdown'!$Q$6:$Q$173, 'Expenditure Breakdown'!$W$6:$W$173, "&gt;="&amp;JA1,'Expenditure Breakdown'!$W$6:$W$173, "&lt;"&amp;JB1)</f>
        <v>0</v>
      </c>
      <c r="JB11" s="125">
        <f>SUMIFS('Expenditure Breakdown'!$Q$6:$Q$173, 'Expenditure Breakdown'!$W$6:$W$173, "&gt;="&amp;JB1,'Expenditure Breakdown'!$W$6:$W$173, "&lt;"&amp;JC1)</f>
        <v>0</v>
      </c>
      <c r="JC11" s="125">
        <f>SUMIFS('Expenditure Breakdown'!$Q$6:$Q$173, 'Expenditure Breakdown'!$W$6:$W$173, "&gt;="&amp;JC1,'Expenditure Breakdown'!$W$6:$W$173, "&lt;"&amp;JD1)</f>
        <v>0</v>
      </c>
      <c r="JD11" s="125">
        <f>SUMIFS('Expenditure Breakdown'!$Q$6:$Q$173, 'Expenditure Breakdown'!$W$6:$W$173, "&gt;="&amp;JD1,'Expenditure Breakdown'!$W$6:$W$173, "&lt;"&amp;JE1)</f>
        <v>0</v>
      </c>
      <c r="JE11" s="125">
        <f>SUMIFS('Expenditure Breakdown'!$Q$6:$Q$173, 'Expenditure Breakdown'!$W$6:$W$173, "&gt;="&amp;JE1,'Expenditure Breakdown'!$W$6:$W$173, "&lt;"&amp;JF1)</f>
        <v>0</v>
      </c>
      <c r="JF11" s="125">
        <f>SUMIFS('Expenditure Breakdown'!$Q$6:$Q$173, 'Expenditure Breakdown'!$W$6:$W$173, "&gt;="&amp;JF1,'Expenditure Breakdown'!$W$6:$W$173, "&lt;"&amp;JG1)</f>
        <v>0</v>
      </c>
      <c r="JG11" s="125">
        <f>SUMIFS('Expenditure Breakdown'!$Q$6:$Q$173, 'Expenditure Breakdown'!$W$6:$W$173, "&gt;="&amp;JG1,'Expenditure Breakdown'!$W$6:$W$173, "&lt;"&amp;JH1)</f>
        <v>0</v>
      </c>
      <c r="JH11" s="125">
        <f>SUMIFS('Expenditure Breakdown'!$Q$6:$Q$173, 'Expenditure Breakdown'!$W$6:$W$173, "&gt;="&amp;JH1,'Expenditure Breakdown'!$W$6:$W$173, "&lt;"&amp;JI1)</f>
        <v>0</v>
      </c>
      <c r="JI11" s="125">
        <f>SUMIFS('Expenditure Breakdown'!$Q$6:$Q$173, 'Expenditure Breakdown'!$W$6:$W$173, "&gt;="&amp;JI1,'Expenditure Breakdown'!$W$6:$W$173, "&lt;"&amp;JJ1)</f>
        <v>0</v>
      </c>
      <c r="JJ11" s="125">
        <f>SUMIFS('Expenditure Breakdown'!$Q$6:$Q$173, 'Expenditure Breakdown'!$W$6:$W$173, "&gt;="&amp;JJ1,'Expenditure Breakdown'!$W$6:$W$173, "&lt;"&amp;JK1)</f>
        <v>0</v>
      </c>
      <c r="JK11" s="125">
        <f>SUMIFS('Expenditure Breakdown'!$Q$6:$Q$173, 'Expenditure Breakdown'!$W$6:$W$173, "&gt;="&amp;JK1,'Expenditure Breakdown'!$W$6:$W$173, "&lt;"&amp;JL1)</f>
        <v>0</v>
      </c>
      <c r="JL11" s="125">
        <f>SUMIFS('Expenditure Breakdown'!$Q$6:$Q$173, 'Expenditure Breakdown'!$W$6:$W$173, "&gt;="&amp;JL1,'Expenditure Breakdown'!$W$6:$W$173, "&lt;"&amp;JM1)</f>
        <v>0</v>
      </c>
      <c r="JM11" s="125">
        <f>SUMIFS('Expenditure Breakdown'!$Q$6:$Q$173, 'Expenditure Breakdown'!$W$6:$W$173, "&gt;="&amp;JM1,'Expenditure Breakdown'!$W$6:$W$173, "&lt;"&amp;JN1)</f>
        <v>0</v>
      </c>
      <c r="JN11" s="125">
        <f>SUMIFS('Expenditure Breakdown'!$Q$6:$Q$173, 'Expenditure Breakdown'!$W$6:$W$173, "&gt;="&amp;JN1,'Expenditure Breakdown'!$W$6:$W$173, "&lt;"&amp;JO1)</f>
        <v>0</v>
      </c>
      <c r="JO11" s="125">
        <f>SUMIFS('Expenditure Breakdown'!$Q$6:$Q$173, 'Expenditure Breakdown'!$W$6:$W$173, "&gt;="&amp;JO1,'Expenditure Breakdown'!$W$6:$W$173, "&lt;"&amp;JP1)</f>
        <v>0</v>
      </c>
      <c r="JP11" s="125">
        <f>SUMIFS('Expenditure Breakdown'!$Q$6:$Q$173, 'Expenditure Breakdown'!$W$6:$W$173, "&gt;="&amp;JP1,'Expenditure Breakdown'!$W$6:$W$173, "&lt;"&amp;JQ1)</f>
        <v>0</v>
      </c>
      <c r="JQ11" s="125">
        <f>SUMIFS('Expenditure Breakdown'!$Q$6:$Q$173, 'Expenditure Breakdown'!$W$6:$W$173, "&gt;="&amp;JQ1,'Expenditure Breakdown'!$W$6:$W$173, "&lt;"&amp;JR1)</f>
        <v>0</v>
      </c>
      <c r="JR11" s="125">
        <f>SUMIFS('Expenditure Breakdown'!$Q$6:$Q$173, 'Expenditure Breakdown'!$W$6:$W$173, "&gt;="&amp;JR1,'Expenditure Breakdown'!$W$6:$W$173, "&lt;"&amp;JS1)</f>
        <v>0</v>
      </c>
      <c r="JS11" s="125">
        <f>SUMIFS('Expenditure Breakdown'!$Q$6:$Q$173, 'Expenditure Breakdown'!$W$6:$W$173, "&gt;="&amp;JS1,'Expenditure Breakdown'!$W$6:$W$173, "&lt;"&amp;JT1)</f>
        <v>0</v>
      </c>
      <c r="JT11" s="125">
        <f>SUMIFS('Expenditure Breakdown'!$Q$6:$Q$173, 'Expenditure Breakdown'!$W$6:$W$173, "&gt;="&amp;JT1,'Expenditure Breakdown'!$W$6:$W$173, "&lt;"&amp;JU1)</f>
        <v>0</v>
      </c>
      <c r="JU11" s="125">
        <f>SUMIFS('Expenditure Breakdown'!$Q$6:$Q$173, 'Expenditure Breakdown'!$W$6:$W$173, "&gt;="&amp;JU1,'Expenditure Breakdown'!$W$6:$W$173, "&lt;"&amp;JV1)</f>
        <v>0</v>
      </c>
      <c r="JV11" s="125">
        <f>SUMIFS('Expenditure Breakdown'!$Q$6:$Q$173, 'Expenditure Breakdown'!$W$6:$W$173, "&gt;="&amp;JV1,'Expenditure Breakdown'!$W$6:$W$173, "&lt;"&amp;JW1)</f>
        <v>0</v>
      </c>
      <c r="JW11" s="125">
        <f>SUMIFS('Expenditure Breakdown'!$Q$6:$Q$173, 'Expenditure Breakdown'!$W$6:$W$173, "&gt;="&amp;JW1,'Expenditure Breakdown'!$W$6:$W$173, "&lt;"&amp;JX1)</f>
        <v>0</v>
      </c>
      <c r="JX11" s="125">
        <f>SUMIFS('Expenditure Breakdown'!$Q$6:$Q$173, 'Expenditure Breakdown'!$W$6:$W$173, "&gt;="&amp;JX1,'Expenditure Breakdown'!$W$6:$W$173, "&lt;"&amp;JY1)</f>
        <v>0</v>
      </c>
      <c r="JY11" s="125">
        <f>SUMIFS('Expenditure Breakdown'!$Q$6:$Q$173, 'Expenditure Breakdown'!$W$6:$W$173, "&gt;="&amp;JY1,'Expenditure Breakdown'!$W$6:$W$173, "&lt;"&amp;JZ1)</f>
        <v>0</v>
      </c>
      <c r="JZ11" s="125">
        <f>SUMIFS('Expenditure Breakdown'!$Q$6:$Q$173, 'Expenditure Breakdown'!$W$6:$W$173, "&gt;="&amp;JZ1,'Expenditure Breakdown'!$W$6:$W$173, "&lt;"&amp;KA1)</f>
        <v>0</v>
      </c>
      <c r="KA11" s="125">
        <f>SUMIFS('Expenditure Breakdown'!$Q$6:$Q$173, 'Expenditure Breakdown'!$W$6:$W$173, "&gt;="&amp;KA1,'Expenditure Breakdown'!$W$6:$W$173, "&lt;"&amp;KB1)</f>
        <v>0</v>
      </c>
      <c r="KB11" s="125">
        <f>SUMIFS('Expenditure Breakdown'!$Q$6:$Q$173, 'Expenditure Breakdown'!$W$6:$W$173, "&gt;="&amp;KB1,'Expenditure Breakdown'!$W$6:$W$173, "&lt;"&amp;KC1)</f>
        <v>0</v>
      </c>
      <c r="KC11" s="125">
        <f>SUMIFS('Expenditure Breakdown'!$Q$6:$Q$173, 'Expenditure Breakdown'!$W$6:$W$173, "&gt;="&amp;KC1,'Expenditure Breakdown'!$W$6:$W$173, "&lt;"&amp;KD1)</f>
        <v>0</v>
      </c>
      <c r="KD11" s="125">
        <f>SUMIFS('Expenditure Breakdown'!$Q$6:$Q$173, 'Expenditure Breakdown'!$W$6:$W$173, "&gt;="&amp;KD1,'Expenditure Breakdown'!$W$6:$W$173, "&lt;"&amp;KE1)</f>
        <v>0</v>
      </c>
      <c r="KE11" s="125">
        <f>SUMIFS('Expenditure Breakdown'!$Q$6:$Q$173, 'Expenditure Breakdown'!$W$6:$W$173, "&gt;="&amp;KE1,'Expenditure Breakdown'!$W$6:$W$173, "&lt;"&amp;KF1)</f>
        <v>0</v>
      </c>
      <c r="KF11" s="125">
        <f>SUMIFS('Expenditure Breakdown'!$Q$6:$Q$173, 'Expenditure Breakdown'!$W$6:$W$173, "&gt;="&amp;KF1,'Expenditure Breakdown'!$W$6:$W$173, "&lt;"&amp;#REF!)</f>
        <v>0</v>
      </c>
      <c r="KG11" s="102"/>
      <c r="KH11" s="113"/>
      <c r="KI11" s="113"/>
    </row>
    <row r="12" spans="1:770" s="114" customFormat="1">
      <c r="A12" s="749"/>
      <c r="B12" s="123" t="s">
        <v>419</v>
      </c>
      <c r="C12" s="124"/>
      <c r="D12" s="124"/>
      <c r="E12" s="108"/>
      <c r="F12" s="125">
        <f>F11</f>
        <v>0</v>
      </c>
      <c r="G12" s="125">
        <f>F12+G11</f>
        <v>0</v>
      </c>
      <c r="H12" s="125">
        <f>G12+H11</f>
        <v>0</v>
      </c>
      <c r="I12" s="125">
        <f t="shared" ref="I12:BT12" si="26">H12+I11</f>
        <v>0</v>
      </c>
      <c r="J12" s="125">
        <f t="shared" si="26"/>
        <v>0</v>
      </c>
      <c r="K12" s="125">
        <f t="shared" si="26"/>
        <v>975</v>
      </c>
      <c r="L12" s="125">
        <f t="shared" si="26"/>
        <v>975</v>
      </c>
      <c r="M12" s="125">
        <f t="shared" si="26"/>
        <v>975</v>
      </c>
      <c r="N12" s="125">
        <f t="shared" si="26"/>
        <v>975</v>
      </c>
      <c r="O12" s="125">
        <f t="shared" si="26"/>
        <v>50743.729999999996</v>
      </c>
      <c r="P12" s="125">
        <f t="shared" si="26"/>
        <v>50765.069999999992</v>
      </c>
      <c r="Q12" s="125">
        <f t="shared" si="26"/>
        <v>63526.923999999992</v>
      </c>
      <c r="R12" s="125">
        <f t="shared" si="26"/>
        <v>359977.26900000003</v>
      </c>
      <c r="S12" s="125">
        <f t="shared" si="26"/>
        <v>376578.86900000001</v>
      </c>
      <c r="T12" s="125">
        <f t="shared" si="26"/>
        <v>376578.86900000001</v>
      </c>
      <c r="U12" s="125">
        <f t="shared" si="26"/>
        <v>389874.32500000001</v>
      </c>
      <c r="V12" s="125">
        <f t="shared" si="26"/>
        <v>389874.32500000001</v>
      </c>
      <c r="W12" s="125">
        <f t="shared" si="26"/>
        <v>462638.96500000003</v>
      </c>
      <c r="X12" s="125">
        <f t="shared" si="26"/>
        <v>498457.58500000002</v>
      </c>
      <c r="Y12" s="125">
        <f t="shared" si="26"/>
        <v>1080757.585</v>
      </c>
      <c r="Z12" s="125">
        <f t="shared" si="26"/>
        <v>1086401.1850000001</v>
      </c>
      <c r="AA12" s="125">
        <f t="shared" si="26"/>
        <v>1250119.9700000002</v>
      </c>
      <c r="AB12" s="125">
        <f t="shared" si="26"/>
        <v>1315263.7000000002</v>
      </c>
      <c r="AC12" s="125">
        <f t="shared" si="26"/>
        <v>1389916.7950000002</v>
      </c>
      <c r="AD12" s="125">
        <f>AC12+AD11</f>
        <v>1389916.7950000002</v>
      </c>
      <c r="AE12" s="125">
        <f t="shared" si="26"/>
        <v>1415884.7485000002</v>
      </c>
      <c r="AF12" s="125">
        <f t="shared" si="26"/>
        <v>1415884.7485000002</v>
      </c>
      <c r="AG12" s="125">
        <f t="shared" si="26"/>
        <v>1440769.1035000002</v>
      </c>
      <c r="AH12" s="125">
        <f t="shared" si="26"/>
        <v>1440769.1035000002</v>
      </c>
      <c r="AI12" s="125">
        <f t="shared" si="26"/>
        <v>1446769.1035000002</v>
      </c>
      <c r="AJ12" s="125">
        <f t="shared" si="26"/>
        <v>1446769.1035000002</v>
      </c>
      <c r="AK12" s="125">
        <f t="shared" si="26"/>
        <v>1446769.1035000002</v>
      </c>
      <c r="AL12" s="125">
        <f t="shared" si="26"/>
        <v>1446769.1035000002</v>
      </c>
      <c r="AM12" s="125">
        <f t="shared" si="26"/>
        <v>1446769.1035000002</v>
      </c>
      <c r="AN12" s="125">
        <f t="shared" si="26"/>
        <v>1446769.1035000002</v>
      </c>
      <c r="AO12" s="125">
        <f t="shared" si="26"/>
        <v>1446769.1035000002</v>
      </c>
      <c r="AP12" s="125">
        <f t="shared" si="26"/>
        <v>1446769.1035000002</v>
      </c>
      <c r="AQ12" s="125">
        <f t="shared" si="26"/>
        <v>1446769.1035000002</v>
      </c>
      <c r="AR12" s="125">
        <f t="shared" si="26"/>
        <v>1446769.1035000002</v>
      </c>
      <c r="AS12" s="125">
        <f t="shared" si="26"/>
        <v>1446769.1035000002</v>
      </c>
      <c r="AT12" s="125">
        <f t="shared" si="26"/>
        <v>1446769.1035000002</v>
      </c>
      <c r="AU12" s="125">
        <f t="shared" si="26"/>
        <v>1446769.1035000002</v>
      </c>
      <c r="AV12" s="125">
        <f t="shared" si="26"/>
        <v>1446769.1035000002</v>
      </c>
      <c r="AW12" s="125">
        <f t="shared" si="26"/>
        <v>1446769.1035000002</v>
      </c>
      <c r="AX12" s="125">
        <f t="shared" si="26"/>
        <v>1446769.1035000002</v>
      </c>
      <c r="AY12" s="125">
        <f t="shared" si="26"/>
        <v>1446769.1035000002</v>
      </c>
      <c r="AZ12" s="125">
        <f t="shared" si="26"/>
        <v>1446769.1035000002</v>
      </c>
      <c r="BA12" s="125">
        <f t="shared" si="26"/>
        <v>1446769.1035000002</v>
      </c>
      <c r="BB12" s="125">
        <f t="shared" si="26"/>
        <v>1446769.1035000002</v>
      </c>
      <c r="BC12" s="125">
        <f t="shared" si="26"/>
        <v>1446769.1035000002</v>
      </c>
      <c r="BD12" s="125">
        <f t="shared" si="26"/>
        <v>1446769.1035000002</v>
      </c>
      <c r="BE12" s="125">
        <f t="shared" si="26"/>
        <v>1446769.1035000002</v>
      </c>
      <c r="BF12" s="125">
        <f t="shared" si="26"/>
        <v>1446769.1035000002</v>
      </c>
      <c r="BG12" s="125">
        <f t="shared" si="26"/>
        <v>1446769.1035000002</v>
      </c>
      <c r="BH12" s="125">
        <f t="shared" si="26"/>
        <v>1446769.1035000002</v>
      </c>
      <c r="BI12" s="125">
        <f t="shared" si="26"/>
        <v>1446769.1035000002</v>
      </c>
      <c r="BJ12" s="125">
        <f t="shared" si="26"/>
        <v>1446769.1035000002</v>
      </c>
      <c r="BK12" s="125">
        <f t="shared" si="26"/>
        <v>1446769.1035000002</v>
      </c>
      <c r="BL12" s="125">
        <f t="shared" si="26"/>
        <v>1446769.1035000002</v>
      </c>
      <c r="BM12" s="125">
        <f t="shared" si="26"/>
        <v>1446769.1035000002</v>
      </c>
      <c r="BN12" s="125">
        <f t="shared" si="26"/>
        <v>1446769.1035000002</v>
      </c>
      <c r="BO12" s="125">
        <f t="shared" si="26"/>
        <v>1446769.1035000002</v>
      </c>
      <c r="BP12" s="125">
        <f t="shared" si="26"/>
        <v>1446769.1035000002</v>
      </c>
      <c r="BQ12" s="125">
        <f t="shared" si="26"/>
        <v>1446769.1035000002</v>
      </c>
      <c r="BR12" s="125">
        <f t="shared" si="26"/>
        <v>1446769.1035000002</v>
      </c>
      <c r="BS12" s="125">
        <f t="shared" si="26"/>
        <v>1446769.1035000002</v>
      </c>
      <c r="BT12" s="125">
        <f t="shared" si="26"/>
        <v>1446769.1035000002</v>
      </c>
      <c r="BU12" s="125">
        <f t="shared" ref="BU12:EF12" si="27">BT12+BU11</f>
        <v>1446769.1035000002</v>
      </c>
      <c r="BV12" s="125">
        <f t="shared" si="27"/>
        <v>1446769.1035000002</v>
      </c>
      <c r="BW12" s="125">
        <f t="shared" si="27"/>
        <v>1446769.1035000002</v>
      </c>
      <c r="BX12" s="125">
        <f t="shared" si="27"/>
        <v>1446769.1035000002</v>
      </c>
      <c r="BY12" s="125">
        <f t="shared" si="27"/>
        <v>1446769.1035000002</v>
      </c>
      <c r="BZ12" s="125">
        <f t="shared" si="27"/>
        <v>1446769.1035000002</v>
      </c>
      <c r="CA12" s="125">
        <f t="shared" si="27"/>
        <v>1446769.1035000002</v>
      </c>
      <c r="CB12" s="125">
        <f t="shared" si="27"/>
        <v>1446769.1035000002</v>
      </c>
      <c r="CC12" s="125">
        <f t="shared" si="27"/>
        <v>1446769.1035000002</v>
      </c>
      <c r="CD12" s="125">
        <f t="shared" si="27"/>
        <v>1446769.1035000002</v>
      </c>
      <c r="CE12" s="125">
        <f t="shared" si="27"/>
        <v>1446769.1035000002</v>
      </c>
      <c r="CF12" s="125">
        <f t="shared" si="27"/>
        <v>1446769.1035000002</v>
      </c>
      <c r="CG12" s="125">
        <f t="shared" si="27"/>
        <v>1446769.1035000002</v>
      </c>
      <c r="CH12" s="125">
        <f t="shared" si="27"/>
        <v>1446769.1035000002</v>
      </c>
      <c r="CI12" s="125">
        <f t="shared" si="27"/>
        <v>1446769.1035000002</v>
      </c>
      <c r="CJ12" s="125">
        <f t="shared" si="27"/>
        <v>1446769.1035000002</v>
      </c>
      <c r="CK12" s="125">
        <f t="shared" si="27"/>
        <v>1446769.1035000002</v>
      </c>
      <c r="CL12" s="125">
        <f t="shared" si="27"/>
        <v>1446769.1035000002</v>
      </c>
      <c r="CM12" s="125">
        <f t="shared" si="27"/>
        <v>1446769.1035000002</v>
      </c>
      <c r="CN12" s="125">
        <f t="shared" si="27"/>
        <v>1446769.1035000002</v>
      </c>
      <c r="CO12" s="125">
        <f t="shared" si="27"/>
        <v>1446769.1035000002</v>
      </c>
      <c r="CP12" s="125">
        <f t="shared" si="27"/>
        <v>1446769.1035000002</v>
      </c>
      <c r="CQ12" s="125">
        <f t="shared" si="27"/>
        <v>1446769.1035000002</v>
      </c>
      <c r="CR12" s="125">
        <f t="shared" si="27"/>
        <v>1446769.1035000002</v>
      </c>
      <c r="CS12" s="125">
        <f t="shared" si="27"/>
        <v>1446769.1035000002</v>
      </c>
      <c r="CT12" s="125">
        <f t="shared" si="27"/>
        <v>1446769.1035000002</v>
      </c>
      <c r="CU12" s="125">
        <f t="shared" si="27"/>
        <v>1446769.1035000002</v>
      </c>
      <c r="CV12" s="125">
        <f t="shared" si="27"/>
        <v>1446769.1035000002</v>
      </c>
      <c r="CW12" s="125">
        <f t="shared" si="27"/>
        <v>1446769.1035000002</v>
      </c>
      <c r="CX12" s="125">
        <f t="shared" si="27"/>
        <v>1446769.1035000002</v>
      </c>
      <c r="CY12" s="125">
        <f t="shared" si="27"/>
        <v>1446769.1035000002</v>
      </c>
      <c r="CZ12" s="125">
        <f t="shared" si="27"/>
        <v>1446769.1035000002</v>
      </c>
      <c r="DA12" s="125">
        <f t="shared" si="27"/>
        <v>1446769.1035000002</v>
      </c>
      <c r="DB12" s="125">
        <f t="shared" si="27"/>
        <v>1446769.1035000002</v>
      </c>
      <c r="DC12" s="125">
        <f t="shared" si="27"/>
        <v>1446769.1035000002</v>
      </c>
      <c r="DD12" s="125">
        <f t="shared" si="27"/>
        <v>1446769.1035000002</v>
      </c>
      <c r="DE12" s="125">
        <f t="shared" si="27"/>
        <v>1446769.1035000002</v>
      </c>
      <c r="DF12" s="125">
        <f t="shared" si="27"/>
        <v>1446769.1035000002</v>
      </c>
      <c r="DG12" s="125">
        <f t="shared" si="27"/>
        <v>1446769.1035000002</v>
      </c>
      <c r="DH12" s="125">
        <f t="shared" si="27"/>
        <v>1446769.1035000002</v>
      </c>
      <c r="DI12" s="125">
        <f t="shared" si="27"/>
        <v>1446769.1035000002</v>
      </c>
      <c r="DJ12" s="125">
        <f t="shared" si="27"/>
        <v>1446769.1035000002</v>
      </c>
      <c r="DK12" s="125">
        <f t="shared" si="27"/>
        <v>1446769.1035000002</v>
      </c>
      <c r="DL12" s="125">
        <f t="shared" si="27"/>
        <v>1446769.1035000002</v>
      </c>
      <c r="DM12" s="125">
        <f t="shared" si="27"/>
        <v>1446769.1035000002</v>
      </c>
      <c r="DN12" s="125">
        <f t="shared" si="27"/>
        <v>1446769.1035000002</v>
      </c>
      <c r="DO12" s="125">
        <f t="shared" si="27"/>
        <v>1446769.1035000002</v>
      </c>
      <c r="DP12" s="125">
        <f t="shared" si="27"/>
        <v>1446769.1035000002</v>
      </c>
      <c r="DQ12" s="125">
        <f t="shared" si="27"/>
        <v>1446769.1035000002</v>
      </c>
      <c r="DR12" s="125">
        <f t="shared" si="27"/>
        <v>1446769.1035000002</v>
      </c>
      <c r="DS12" s="125">
        <f t="shared" si="27"/>
        <v>1446769.1035000002</v>
      </c>
      <c r="DT12" s="125">
        <f t="shared" si="27"/>
        <v>1446769.1035000002</v>
      </c>
      <c r="DU12" s="125">
        <f t="shared" si="27"/>
        <v>1446769.1035000002</v>
      </c>
      <c r="DV12" s="125">
        <f t="shared" si="27"/>
        <v>1446769.1035000002</v>
      </c>
      <c r="DW12" s="125">
        <f t="shared" si="27"/>
        <v>1446769.1035000002</v>
      </c>
      <c r="DX12" s="125">
        <f t="shared" si="27"/>
        <v>1446769.1035000002</v>
      </c>
      <c r="DY12" s="125">
        <f t="shared" si="27"/>
        <v>1446769.1035000002</v>
      </c>
      <c r="DZ12" s="125">
        <f t="shared" si="27"/>
        <v>1446769.1035000002</v>
      </c>
      <c r="EA12" s="125">
        <f t="shared" si="27"/>
        <v>1446769.1035000002</v>
      </c>
      <c r="EB12" s="125">
        <f t="shared" si="27"/>
        <v>1446769.1035000002</v>
      </c>
      <c r="EC12" s="125">
        <f t="shared" si="27"/>
        <v>1446769.1035000002</v>
      </c>
      <c r="ED12" s="125">
        <f t="shared" si="27"/>
        <v>1446769.1035000002</v>
      </c>
      <c r="EE12" s="125">
        <f t="shared" si="27"/>
        <v>1446769.1035000002</v>
      </c>
      <c r="EF12" s="125">
        <f t="shared" si="27"/>
        <v>1446769.1035000002</v>
      </c>
      <c r="EG12" s="125">
        <f t="shared" ref="EG12:GR12" si="28">EF12+EG11</f>
        <v>1446769.1035000002</v>
      </c>
      <c r="EH12" s="125">
        <f t="shared" si="28"/>
        <v>1446769.1035000002</v>
      </c>
      <c r="EI12" s="125">
        <f t="shared" si="28"/>
        <v>1446769.1035000002</v>
      </c>
      <c r="EJ12" s="125">
        <f t="shared" si="28"/>
        <v>1446769.1035000002</v>
      </c>
      <c r="EK12" s="125">
        <f t="shared" si="28"/>
        <v>1446769.1035000002</v>
      </c>
      <c r="EL12" s="125">
        <f t="shared" si="28"/>
        <v>1446769.1035000002</v>
      </c>
      <c r="EM12" s="125">
        <f t="shared" si="28"/>
        <v>1446769.1035000002</v>
      </c>
      <c r="EN12" s="125">
        <f t="shared" si="28"/>
        <v>1446769.1035000002</v>
      </c>
      <c r="EO12" s="125">
        <f t="shared" si="28"/>
        <v>1446769.1035000002</v>
      </c>
      <c r="EP12" s="125">
        <f t="shared" si="28"/>
        <v>1446769.1035000002</v>
      </c>
      <c r="EQ12" s="125">
        <f t="shared" si="28"/>
        <v>1446769.1035000002</v>
      </c>
      <c r="ER12" s="125">
        <f t="shared" si="28"/>
        <v>1446769.1035000002</v>
      </c>
      <c r="ES12" s="125">
        <f t="shared" si="28"/>
        <v>1446769.1035000002</v>
      </c>
      <c r="ET12" s="125">
        <f t="shared" si="28"/>
        <v>1446769.1035000002</v>
      </c>
      <c r="EU12" s="125">
        <f t="shared" si="28"/>
        <v>1446769.1035000002</v>
      </c>
      <c r="EV12" s="125">
        <f t="shared" si="28"/>
        <v>1446769.1035000002</v>
      </c>
      <c r="EW12" s="125">
        <f t="shared" si="28"/>
        <v>1446769.1035000002</v>
      </c>
      <c r="EX12" s="125">
        <f t="shared" si="28"/>
        <v>1446769.1035000002</v>
      </c>
      <c r="EY12" s="125">
        <f t="shared" si="28"/>
        <v>1446769.1035000002</v>
      </c>
      <c r="EZ12" s="125">
        <f t="shared" si="28"/>
        <v>1446769.1035000002</v>
      </c>
      <c r="FA12" s="125">
        <f t="shared" si="28"/>
        <v>1446769.1035000002</v>
      </c>
      <c r="FB12" s="125">
        <f t="shared" si="28"/>
        <v>1446769.1035000002</v>
      </c>
      <c r="FC12" s="125">
        <f t="shared" si="28"/>
        <v>1446769.1035000002</v>
      </c>
      <c r="FD12" s="125">
        <f t="shared" si="28"/>
        <v>1446769.1035000002</v>
      </c>
      <c r="FE12" s="125">
        <f t="shared" si="28"/>
        <v>1446769.1035000002</v>
      </c>
      <c r="FF12" s="125">
        <f t="shared" si="28"/>
        <v>1446769.1035000002</v>
      </c>
      <c r="FG12" s="125">
        <f t="shared" si="28"/>
        <v>1446769.1035000002</v>
      </c>
      <c r="FH12" s="125">
        <f t="shared" si="28"/>
        <v>1446769.1035000002</v>
      </c>
      <c r="FI12" s="125">
        <f t="shared" si="28"/>
        <v>1446769.1035000002</v>
      </c>
      <c r="FJ12" s="125">
        <f t="shared" si="28"/>
        <v>1446769.1035000002</v>
      </c>
      <c r="FK12" s="125">
        <f t="shared" si="28"/>
        <v>1446769.1035000002</v>
      </c>
      <c r="FL12" s="125">
        <f t="shared" si="28"/>
        <v>1446769.1035000002</v>
      </c>
      <c r="FM12" s="125">
        <f t="shared" si="28"/>
        <v>1446769.1035000002</v>
      </c>
      <c r="FN12" s="125">
        <f t="shared" si="28"/>
        <v>1446769.1035000002</v>
      </c>
      <c r="FO12" s="125">
        <f t="shared" si="28"/>
        <v>1446769.1035000002</v>
      </c>
      <c r="FP12" s="125">
        <f t="shared" si="28"/>
        <v>1446769.1035000002</v>
      </c>
      <c r="FQ12" s="125">
        <f t="shared" si="28"/>
        <v>1446769.1035000002</v>
      </c>
      <c r="FR12" s="125">
        <f t="shared" si="28"/>
        <v>1446769.1035000002</v>
      </c>
      <c r="FS12" s="125">
        <f t="shared" si="28"/>
        <v>1446769.1035000002</v>
      </c>
      <c r="FT12" s="125">
        <f t="shared" si="28"/>
        <v>1446769.1035000002</v>
      </c>
      <c r="FU12" s="125">
        <f t="shared" si="28"/>
        <v>1446769.1035000002</v>
      </c>
      <c r="FV12" s="125">
        <f t="shared" si="28"/>
        <v>1446769.1035000002</v>
      </c>
      <c r="FW12" s="125">
        <f t="shared" si="28"/>
        <v>1446769.1035000002</v>
      </c>
      <c r="FX12" s="125">
        <f t="shared" si="28"/>
        <v>1446769.1035000002</v>
      </c>
      <c r="FY12" s="125">
        <f t="shared" si="28"/>
        <v>1446769.1035000002</v>
      </c>
      <c r="FZ12" s="125">
        <f t="shared" si="28"/>
        <v>1446769.1035000002</v>
      </c>
      <c r="GA12" s="125">
        <f t="shared" si="28"/>
        <v>1446769.1035000002</v>
      </c>
      <c r="GB12" s="125">
        <f t="shared" si="28"/>
        <v>1446769.1035000002</v>
      </c>
      <c r="GC12" s="125">
        <f t="shared" si="28"/>
        <v>1446769.1035000002</v>
      </c>
      <c r="GD12" s="125">
        <f t="shared" si="28"/>
        <v>1446769.1035000002</v>
      </c>
      <c r="GE12" s="125">
        <f t="shared" si="28"/>
        <v>1446769.1035000002</v>
      </c>
      <c r="GF12" s="125">
        <f t="shared" si="28"/>
        <v>1446769.1035000002</v>
      </c>
      <c r="GG12" s="125">
        <f t="shared" si="28"/>
        <v>1446769.1035000002</v>
      </c>
      <c r="GH12" s="125">
        <f t="shared" si="28"/>
        <v>1446769.1035000002</v>
      </c>
      <c r="GI12" s="125">
        <f t="shared" si="28"/>
        <v>1446769.1035000002</v>
      </c>
      <c r="GJ12" s="125">
        <f t="shared" si="28"/>
        <v>1446769.1035000002</v>
      </c>
      <c r="GK12" s="125">
        <f t="shared" si="28"/>
        <v>1446769.1035000002</v>
      </c>
      <c r="GL12" s="125">
        <f t="shared" si="28"/>
        <v>1446769.1035000002</v>
      </c>
      <c r="GM12" s="125">
        <f t="shared" si="28"/>
        <v>1446769.1035000002</v>
      </c>
      <c r="GN12" s="125">
        <f t="shared" si="28"/>
        <v>1446769.1035000002</v>
      </c>
      <c r="GO12" s="125">
        <f t="shared" si="28"/>
        <v>1446769.1035000002</v>
      </c>
      <c r="GP12" s="125">
        <f t="shared" si="28"/>
        <v>1446769.1035000002</v>
      </c>
      <c r="GQ12" s="125">
        <f t="shared" si="28"/>
        <v>1446769.1035000002</v>
      </c>
      <c r="GR12" s="125">
        <f t="shared" si="28"/>
        <v>1446769.1035000002</v>
      </c>
      <c r="GS12" s="125">
        <f t="shared" ref="GS12:JD12" si="29">GR12+GS11</f>
        <v>1446769.1035000002</v>
      </c>
      <c r="GT12" s="125">
        <f t="shared" si="29"/>
        <v>1446769.1035000002</v>
      </c>
      <c r="GU12" s="125">
        <f t="shared" si="29"/>
        <v>1446769.1035000002</v>
      </c>
      <c r="GV12" s="125">
        <f t="shared" si="29"/>
        <v>1446769.1035000002</v>
      </c>
      <c r="GW12" s="125">
        <f t="shared" si="29"/>
        <v>1446769.1035000002</v>
      </c>
      <c r="GX12" s="125">
        <f t="shared" si="29"/>
        <v>1446769.1035000002</v>
      </c>
      <c r="GY12" s="125">
        <f t="shared" si="29"/>
        <v>1446769.1035000002</v>
      </c>
      <c r="GZ12" s="125">
        <f t="shared" si="29"/>
        <v>1446769.1035000002</v>
      </c>
      <c r="HA12" s="125">
        <f t="shared" si="29"/>
        <v>1446769.1035000002</v>
      </c>
      <c r="HB12" s="125">
        <f t="shared" si="29"/>
        <v>1446769.1035000002</v>
      </c>
      <c r="HC12" s="125">
        <f t="shared" si="29"/>
        <v>1446769.1035000002</v>
      </c>
      <c r="HD12" s="125">
        <f t="shared" si="29"/>
        <v>1446769.1035000002</v>
      </c>
      <c r="HE12" s="125">
        <f t="shared" si="29"/>
        <v>1446769.1035000002</v>
      </c>
      <c r="HF12" s="125">
        <f t="shared" si="29"/>
        <v>1446769.1035000002</v>
      </c>
      <c r="HG12" s="125">
        <f t="shared" si="29"/>
        <v>1446769.1035000002</v>
      </c>
      <c r="HH12" s="125">
        <f t="shared" si="29"/>
        <v>1446769.1035000002</v>
      </c>
      <c r="HI12" s="125">
        <f t="shared" si="29"/>
        <v>1446769.1035000002</v>
      </c>
      <c r="HJ12" s="125">
        <f t="shared" si="29"/>
        <v>1446769.1035000002</v>
      </c>
      <c r="HK12" s="125">
        <f t="shared" si="29"/>
        <v>1446769.1035000002</v>
      </c>
      <c r="HL12" s="125">
        <f t="shared" si="29"/>
        <v>1446769.1035000002</v>
      </c>
      <c r="HM12" s="125">
        <f t="shared" si="29"/>
        <v>1446769.1035000002</v>
      </c>
      <c r="HN12" s="125">
        <f t="shared" si="29"/>
        <v>1446769.1035000002</v>
      </c>
      <c r="HO12" s="125">
        <f t="shared" si="29"/>
        <v>1446769.1035000002</v>
      </c>
      <c r="HP12" s="125">
        <f t="shared" si="29"/>
        <v>1446769.1035000002</v>
      </c>
      <c r="HQ12" s="125">
        <f t="shared" si="29"/>
        <v>1446769.1035000002</v>
      </c>
      <c r="HR12" s="125">
        <f t="shared" si="29"/>
        <v>1446769.1035000002</v>
      </c>
      <c r="HS12" s="125">
        <f t="shared" si="29"/>
        <v>1446769.1035000002</v>
      </c>
      <c r="HT12" s="125">
        <f t="shared" si="29"/>
        <v>1446769.1035000002</v>
      </c>
      <c r="HU12" s="125">
        <f t="shared" si="29"/>
        <v>1446769.1035000002</v>
      </c>
      <c r="HV12" s="125">
        <f t="shared" si="29"/>
        <v>1446769.1035000002</v>
      </c>
      <c r="HW12" s="125">
        <f t="shared" si="29"/>
        <v>1446769.1035000002</v>
      </c>
      <c r="HX12" s="125">
        <f t="shared" si="29"/>
        <v>1446769.1035000002</v>
      </c>
      <c r="HY12" s="125">
        <f t="shared" si="29"/>
        <v>1446769.1035000002</v>
      </c>
      <c r="HZ12" s="125">
        <f t="shared" si="29"/>
        <v>1446769.1035000002</v>
      </c>
      <c r="IA12" s="125">
        <f t="shared" si="29"/>
        <v>1446769.1035000002</v>
      </c>
      <c r="IB12" s="125">
        <f t="shared" si="29"/>
        <v>1446769.1035000002</v>
      </c>
      <c r="IC12" s="125">
        <f t="shared" si="29"/>
        <v>1446769.1035000002</v>
      </c>
      <c r="ID12" s="125">
        <f t="shared" si="29"/>
        <v>1446769.1035000002</v>
      </c>
      <c r="IE12" s="125">
        <f t="shared" si="29"/>
        <v>1446769.1035000002</v>
      </c>
      <c r="IF12" s="125">
        <f t="shared" si="29"/>
        <v>1446769.1035000002</v>
      </c>
      <c r="IG12" s="125">
        <f t="shared" si="29"/>
        <v>1446769.1035000002</v>
      </c>
      <c r="IH12" s="125">
        <f t="shared" si="29"/>
        <v>1446769.1035000002</v>
      </c>
      <c r="II12" s="125">
        <f t="shared" si="29"/>
        <v>1446769.1035000002</v>
      </c>
      <c r="IJ12" s="125">
        <f t="shared" si="29"/>
        <v>1446769.1035000002</v>
      </c>
      <c r="IK12" s="125">
        <f t="shared" si="29"/>
        <v>1446769.1035000002</v>
      </c>
      <c r="IL12" s="125">
        <f t="shared" si="29"/>
        <v>1446769.1035000002</v>
      </c>
      <c r="IM12" s="125">
        <f t="shared" si="29"/>
        <v>1446769.1035000002</v>
      </c>
      <c r="IN12" s="125">
        <f t="shared" si="29"/>
        <v>1446769.1035000002</v>
      </c>
      <c r="IO12" s="125">
        <f t="shared" si="29"/>
        <v>1446769.1035000002</v>
      </c>
      <c r="IP12" s="125">
        <f t="shared" si="29"/>
        <v>1446769.1035000002</v>
      </c>
      <c r="IQ12" s="125">
        <f t="shared" si="29"/>
        <v>1446769.1035000002</v>
      </c>
      <c r="IR12" s="125">
        <f t="shared" si="29"/>
        <v>1446769.1035000002</v>
      </c>
      <c r="IS12" s="125">
        <f t="shared" si="29"/>
        <v>1446769.1035000002</v>
      </c>
      <c r="IT12" s="125">
        <f t="shared" si="29"/>
        <v>1446769.1035000002</v>
      </c>
      <c r="IU12" s="125">
        <f t="shared" si="29"/>
        <v>1446769.1035000002</v>
      </c>
      <c r="IV12" s="125">
        <f t="shared" si="29"/>
        <v>1446769.1035000002</v>
      </c>
      <c r="IW12" s="125">
        <f t="shared" si="29"/>
        <v>1446769.1035000002</v>
      </c>
      <c r="IX12" s="125">
        <f t="shared" si="29"/>
        <v>1446769.1035000002</v>
      </c>
      <c r="IY12" s="125">
        <f t="shared" si="29"/>
        <v>1446769.1035000002</v>
      </c>
      <c r="IZ12" s="125">
        <f t="shared" si="29"/>
        <v>1446769.1035000002</v>
      </c>
      <c r="JA12" s="125">
        <f t="shared" si="29"/>
        <v>1446769.1035000002</v>
      </c>
      <c r="JB12" s="125">
        <f t="shared" si="29"/>
        <v>1446769.1035000002</v>
      </c>
      <c r="JC12" s="125">
        <f t="shared" si="29"/>
        <v>1446769.1035000002</v>
      </c>
      <c r="JD12" s="125">
        <f t="shared" si="29"/>
        <v>1446769.1035000002</v>
      </c>
      <c r="JE12" s="125">
        <f t="shared" ref="JE12:KF12" si="30">JD12+JE11</f>
        <v>1446769.1035000002</v>
      </c>
      <c r="JF12" s="125">
        <f t="shared" si="30"/>
        <v>1446769.1035000002</v>
      </c>
      <c r="JG12" s="125">
        <f t="shared" si="30"/>
        <v>1446769.1035000002</v>
      </c>
      <c r="JH12" s="125">
        <f t="shared" si="30"/>
        <v>1446769.1035000002</v>
      </c>
      <c r="JI12" s="125">
        <f t="shared" si="30"/>
        <v>1446769.1035000002</v>
      </c>
      <c r="JJ12" s="125">
        <f t="shared" si="30"/>
        <v>1446769.1035000002</v>
      </c>
      <c r="JK12" s="125">
        <f t="shared" si="30"/>
        <v>1446769.1035000002</v>
      </c>
      <c r="JL12" s="125">
        <f t="shared" si="30"/>
        <v>1446769.1035000002</v>
      </c>
      <c r="JM12" s="125">
        <f t="shared" si="30"/>
        <v>1446769.1035000002</v>
      </c>
      <c r="JN12" s="125">
        <f t="shared" si="30"/>
        <v>1446769.1035000002</v>
      </c>
      <c r="JO12" s="125">
        <f t="shared" si="30"/>
        <v>1446769.1035000002</v>
      </c>
      <c r="JP12" s="125">
        <f t="shared" si="30"/>
        <v>1446769.1035000002</v>
      </c>
      <c r="JQ12" s="125">
        <f t="shared" si="30"/>
        <v>1446769.1035000002</v>
      </c>
      <c r="JR12" s="125">
        <f t="shared" si="30"/>
        <v>1446769.1035000002</v>
      </c>
      <c r="JS12" s="125">
        <f t="shared" si="30"/>
        <v>1446769.1035000002</v>
      </c>
      <c r="JT12" s="125">
        <f t="shared" si="30"/>
        <v>1446769.1035000002</v>
      </c>
      <c r="JU12" s="125">
        <f t="shared" si="30"/>
        <v>1446769.1035000002</v>
      </c>
      <c r="JV12" s="125">
        <f t="shared" si="30"/>
        <v>1446769.1035000002</v>
      </c>
      <c r="JW12" s="125">
        <f t="shared" si="30"/>
        <v>1446769.1035000002</v>
      </c>
      <c r="JX12" s="125">
        <f t="shared" si="30"/>
        <v>1446769.1035000002</v>
      </c>
      <c r="JY12" s="125">
        <f t="shared" si="30"/>
        <v>1446769.1035000002</v>
      </c>
      <c r="JZ12" s="125">
        <f t="shared" si="30"/>
        <v>1446769.1035000002</v>
      </c>
      <c r="KA12" s="125">
        <f t="shared" si="30"/>
        <v>1446769.1035000002</v>
      </c>
      <c r="KB12" s="125">
        <f t="shared" si="30"/>
        <v>1446769.1035000002</v>
      </c>
      <c r="KC12" s="125">
        <f t="shared" si="30"/>
        <v>1446769.1035000002</v>
      </c>
      <c r="KD12" s="125">
        <f t="shared" si="30"/>
        <v>1446769.1035000002</v>
      </c>
      <c r="KE12" s="125">
        <f t="shared" si="30"/>
        <v>1446769.1035000002</v>
      </c>
      <c r="KF12" s="125">
        <f t="shared" si="30"/>
        <v>1446769.1035000002</v>
      </c>
      <c r="KG12" s="102"/>
      <c r="KH12" s="113"/>
    </row>
    <row r="13" spans="1:770" s="102" customFormat="1">
      <c r="A13" s="749"/>
      <c r="E13" s="108"/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  <c r="AN13" s="119"/>
      <c r="AO13" s="119"/>
      <c r="AP13" s="119"/>
      <c r="AQ13" s="119"/>
      <c r="AR13" s="119"/>
      <c r="AS13" s="119"/>
      <c r="AT13" s="119"/>
      <c r="AU13" s="119"/>
      <c r="AV13" s="119"/>
      <c r="AW13" s="119"/>
      <c r="AX13" s="119"/>
      <c r="AY13" s="119"/>
      <c r="AZ13" s="119"/>
      <c r="BA13" s="119"/>
      <c r="BB13" s="119"/>
      <c r="BC13" s="119"/>
      <c r="BD13" s="119"/>
      <c r="BE13" s="119"/>
      <c r="BF13" s="119"/>
      <c r="BG13" s="119"/>
      <c r="BH13" s="119"/>
      <c r="BI13" s="119"/>
      <c r="BJ13" s="119"/>
      <c r="BK13" s="119"/>
      <c r="BL13" s="119"/>
      <c r="BM13" s="119"/>
      <c r="BN13" s="119"/>
      <c r="BO13" s="119"/>
      <c r="BP13" s="119"/>
      <c r="BQ13" s="119"/>
      <c r="BR13" s="119"/>
      <c r="BS13" s="119"/>
      <c r="BT13" s="119"/>
      <c r="BU13" s="119"/>
      <c r="BV13" s="119"/>
      <c r="BW13" s="119"/>
      <c r="BX13" s="119"/>
      <c r="BY13" s="119"/>
      <c r="BZ13" s="119"/>
      <c r="CA13" s="119"/>
      <c r="CB13" s="119"/>
      <c r="CC13" s="119"/>
      <c r="CD13" s="119"/>
      <c r="CE13" s="119"/>
      <c r="CF13" s="119"/>
      <c r="CG13" s="119"/>
      <c r="CH13" s="119"/>
      <c r="CI13" s="119"/>
      <c r="CJ13" s="119"/>
      <c r="CK13" s="119"/>
      <c r="CL13" s="119"/>
      <c r="CM13" s="119"/>
      <c r="CN13" s="119"/>
      <c r="CO13" s="119"/>
      <c r="CP13" s="119"/>
      <c r="CQ13" s="119"/>
      <c r="CR13" s="119"/>
      <c r="CS13" s="119"/>
      <c r="CT13" s="119"/>
      <c r="CU13" s="119"/>
      <c r="CV13" s="119"/>
      <c r="CW13" s="119"/>
      <c r="CX13" s="119"/>
      <c r="CY13" s="119"/>
      <c r="CZ13" s="119"/>
      <c r="DA13" s="119"/>
      <c r="DB13" s="119"/>
      <c r="DC13" s="119"/>
      <c r="DD13" s="119"/>
      <c r="DE13" s="119"/>
      <c r="DF13" s="119"/>
      <c r="DG13" s="119"/>
      <c r="DH13" s="119"/>
      <c r="DI13" s="119"/>
      <c r="DJ13" s="119"/>
      <c r="DK13" s="119"/>
      <c r="DL13" s="119"/>
      <c r="DM13" s="119"/>
      <c r="DN13" s="119"/>
      <c r="DO13" s="119"/>
      <c r="DP13" s="119"/>
      <c r="DQ13" s="119"/>
      <c r="DR13" s="119"/>
      <c r="DS13" s="119"/>
      <c r="DT13" s="119"/>
      <c r="DU13" s="119"/>
      <c r="DV13" s="119"/>
      <c r="DW13" s="119"/>
      <c r="DX13" s="119"/>
      <c r="DY13" s="119"/>
      <c r="DZ13" s="119"/>
      <c r="EA13" s="119"/>
      <c r="EB13" s="119"/>
      <c r="EC13" s="119"/>
      <c r="ED13" s="119"/>
      <c r="EE13" s="119"/>
      <c r="EF13" s="119"/>
      <c r="EG13" s="119"/>
      <c r="EH13" s="119"/>
      <c r="EI13" s="119"/>
      <c r="EJ13" s="119"/>
      <c r="EK13" s="119"/>
      <c r="EL13" s="119"/>
      <c r="EM13" s="119"/>
      <c r="EN13" s="119"/>
      <c r="EO13" s="119"/>
      <c r="EP13" s="119"/>
      <c r="EQ13" s="119"/>
      <c r="ER13" s="119"/>
      <c r="ES13" s="119"/>
      <c r="ET13" s="119"/>
      <c r="EU13" s="119"/>
      <c r="EV13" s="119"/>
      <c r="EW13" s="119"/>
      <c r="EX13" s="119"/>
      <c r="EY13" s="119"/>
      <c r="EZ13" s="119"/>
      <c r="FA13" s="119"/>
      <c r="FB13" s="119"/>
      <c r="FC13" s="119"/>
      <c r="FD13" s="119"/>
      <c r="FE13" s="119"/>
      <c r="FF13" s="119"/>
      <c r="FG13" s="119"/>
      <c r="FH13" s="119"/>
      <c r="FI13" s="119"/>
      <c r="FJ13" s="119"/>
      <c r="FK13" s="119"/>
      <c r="FL13" s="119"/>
      <c r="FM13" s="119"/>
      <c r="FN13" s="119"/>
      <c r="FO13" s="119"/>
      <c r="FP13" s="119"/>
      <c r="FQ13" s="119"/>
      <c r="FR13" s="119"/>
      <c r="FS13" s="119"/>
      <c r="FT13" s="119"/>
      <c r="FU13" s="119"/>
      <c r="FV13" s="119"/>
      <c r="FW13" s="119"/>
      <c r="FX13" s="119"/>
      <c r="FY13" s="119"/>
      <c r="FZ13" s="119"/>
      <c r="GA13" s="119"/>
      <c r="GB13" s="119"/>
      <c r="GC13" s="119"/>
      <c r="GD13" s="119"/>
      <c r="GE13" s="119"/>
      <c r="GF13" s="119"/>
      <c r="GG13" s="119"/>
      <c r="GH13" s="119"/>
      <c r="GI13" s="119"/>
      <c r="GJ13" s="119"/>
      <c r="GK13" s="119"/>
      <c r="GL13" s="119"/>
      <c r="GM13" s="119"/>
      <c r="GN13" s="119"/>
      <c r="GO13" s="119"/>
      <c r="GP13" s="119"/>
      <c r="GQ13" s="119"/>
      <c r="GR13" s="119"/>
      <c r="GS13" s="119"/>
      <c r="GT13" s="119"/>
      <c r="GU13" s="119"/>
      <c r="GV13" s="119"/>
      <c r="GW13" s="119"/>
      <c r="GX13" s="119"/>
      <c r="GY13" s="119"/>
      <c r="GZ13" s="119"/>
      <c r="HA13" s="119"/>
      <c r="HB13" s="119"/>
      <c r="HC13" s="119"/>
      <c r="HD13" s="119"/>
      <c r="HE13" s="119"/>
      <c r="HF13" s="119"/>
      <c r="HG13" s="119"/>
      <c r="HH13" s="119"/>
      <c r="HI13" s="119"/>
      <c r="HJ13" s="119"/>
      <c r="HK13" s="119"/>
      <c r="HL13" s="119"/>
      <c r="HM13" s="119"/>
      <c r="HN13" s="119"/>
      <c r="HO13" s="119"/>
      <c r="HP13" s="119"/>
      <c r="HQ13" s="119"/>
      <c r="HR13" s="119"/>
      <c r="HS13" s="119"/>
      <c r="HT13" s="119"/>
      <c r="HU13" s="119"/>
      <c r="HV13" s="119"/>
      <c r="HW13" s="119"/>
      <c r="HX13" s="119"/>
      <c r="HY13" s="119"/>
      <c r="HZ13" s="119"/>
      <c r="IA13" s="119"/>
      <c r="IB13" s="119"/>
      <c r="IC13" s="119"/>
      <c r="ID13" s="119"/>
      <c r="IE13" s="119"/>
      <c r="IF13" s="119"/>
      <c r="IG13" s="119"/>
      <c r="IH13" s="119"/>
      <c r="II13" s="119"/>
      <c r="IJ13" s="119"/>
      <c r="IK13" s="119"/>
      <c r="IL13" s="119"/>
      <c r="IM13" s="119"/>
      <c r="IN13" s="119"/>
      <c r="IO13" s="119"/>
      <c r="IP13" s="119"/>
      <c r="IQ13" s="119"/>
      <c r="IR13" s="119"/>
      <c r="IS13" s="119"/>
      <c r="IT13" s="119"/>
      <c r="IU13" s="119"/>
      <c r="IV13" s="119"/>
      <c r="IW13" s="119"/>
      <c r="IX13" s="119"/>
      <c r="IY13" s="119"/>
      <c r="IZ13" s="119"/>
      <c r="JA13" s="119"/>
      <c r="JB13" s="119"/>
      <c r="JC13" s="119"/>
      <c r="JD13" s="119"/>
      <c r="JE13" s="119"/>
      <c r="JF13" s="119"/>
      <c r="JG13" s="119"/>
      <c r="JH13" s="119"/>
      <c r="JI13" s="119"/>
      <c r="JJ13" s="119"/>
      <c r="JK13" s="119"/>
      <c r="JL13" s="119"/>
      <c r="JM13" s="119"/>
      <c r="JN13" s="119"/>
      <c r="JO13" s="119"/>
      <c r="JP13" s="119"/>
      <c r="JQ13" s="119"/>
      <c r="JR13" s="119"/>
      <c r="JS13" s="119"/>
      <c r="JT13" s="119"/>
      <c r="JU13" s="119"/>
      <c r="JV13" s="119"/>
      <c r="JW13" s="119"/>
      <c r="JX13" s="119"/>
      <c r="JY13" s="119"/>
      <c r="JZ13" s="119"/>
      <c r="KA13" s="119"/>
      <c r="KB13" s="119"/>
      <c r="KC13" s="119"/>
      <c r="KD13" s="119"/>
      <c r="KE13" s="119"/>
      <c r="KF13" s="119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</row>
    <row r="14" spans="1:770">
      <c r="A14" s="749"/>
      <c r="B14" s="115" t="s">
        <v>420</v>
      </c>
      <c r="C14" s="116"/>
      <c r="D14" s="116"/>
      <c r="E14" s="117"/>
      <c r="F14" s="118">
        <f t="shared" ref="F14:H14" si="31">F10-F12</f>
        <v>0</v>
      </c>
      <c r="G14" s="118">
        <f t="shared" si="31"/>
        <v>0</v>
      </c>
      <c r="H14" s="118">
        <f t="shared" si="31"/>
        <v>0</v>
      </c>
      <c r="I14" s="118">
        <f t="shared" ref="I14:BT14" si="32">I10-I12</f>
        <v>0</v>
      </c>
      <c r="J14" s="118">
        <f t="shared" si="32"/>
        <v>0</v>
      </c>
      <c r="K14" s="118">
        <f t="shared" si="32"/>
        <v>-975</v>
      </c>
      <c r="L14" s="118">
        <f t="shared" si="32"/>
        <v>-975</v>
      </c>
      <c r="M14" s="118">
        <f t="shared" si="32"/>
        <v>-975</v>
      </c>
      <c r="N14" s="118">
        <f t="shared" si="32"/>
        <v>-975</v>
      </c>
      <c r="O14" s="118">
        <f t="shared" si="32"/>
        <v>-50743.729999999996</v>
      </c>
      <c r="P14" s="118">
        <f t="shared" si="32"/>
        <v>1715055.7679999999</v>
      </c>
      <c r="Q14" s="118">
        <f t="shared" si="32"/>
        <v>1702293.9140000001</v>
      </c>
      <c r="R14" s="118">
        <f t="shared" si="32"/>
        <v>1405843.5689999999</v>
      </c>
      <c r="S14" s="118">
        <f t="shared" si="32"/>
        <v>1389241.969</v>
      </c>
      <c r="T14" s="118">
        <f t="shared" si="32"/>
        <v>1700857.4110000001</v>
      </c>
      <c r="U14" s="118">
        <f t="shared" si="32"/>
        <v>1687561.9550000001</v>
      </c>
      <c r="V14" s="118">
        <f t="shared" si="32"/>
        <v>1687561.9550000001</v>
      </c>
      <c r="W14" s="118">
        <f t="shared" si="32"/>
        <v>1614797.3149999999</v>
      </c>
      <c r="X14" s="118">
        <f t="shared" si="32"/>
        <v>1578978.6950000001</v>
      </c>
      <c r="Y14" s="118">
        <f t="shared" si="32"/>
        <v>996678.69500000007</v>
      </c>
      <c r="Z14" s="118">
        <f t="shared" si="32"/>
        <v>991035.09499999997</v>
      </c>
      <c r="AA14" s="118">
        <f t="shared" si="32"/>
        <v>827316.30999999982</v>
      </c>
      <c r="AB14" s="118">
        <f t="shared" si="32"/>
        <v>762172.57999999984</v>
      </c>
      <c r="AC14" s="118">
        <f t="shared" si="32"/>
        <v>687519.48499999987</v>
      </c>
      <c r="AD14" s="118">
        <f t="shared" si="32"/>
        <v>687519.48499999987</v>
      </c>
      <c r="AE14" s="118">
        <f t="shared" si="32"/>
        <v>661551.53149999981</v>
      </c>
      <c r="AF14" s="118">
        <f t="shared" si="32"/>
        <v>661551.53149999981</v>
      </c>
      <c r="AG14" s="118">
        <f t="shared" si="32"/>
        <v>636667.17649999983</v>
      </c>
      <c r="AH14" s="118">
        <f t="shared" si="32"/>
        <v>636667.17649999983</v>
      </c>
      <c r="AI14" s="118">
        <f t="shared" si="32"/>
        <v>630667.17649999983</v>
      </c>
      <c r="AJ14" s="118">
        <f t="shared" si="32"/>
        <v>630667.17649999983</v>
      </c>
      <c r="AK14" s="118">
        <f t="shared" si="32"/>
        <v>630667.17649999983</v>
      </c>
      <c r="AL14" s="118">
        <f t="shared" si="32"/>
        <v>630667.17649999983</v>
      </c>
      <c r="AM14" s="118">
        <f t="shared" si="32"/>
        <v>630667.17649999983</v>
      </c>
      <c r="AN14" s="118">
        <f t="shared" si="32"/>
        <v>630667.17649999983</v>
      </c>
      <c r="AO14" s="118">
        <f t="shared" si="32"/>
        <v>630667.17649999983</v>
      </c>
      <c r="AP14" s="118">
        <f t="shared" si="32"/>
        <v>630667.17649999983</v>
      </c>
      <c r="AQ14" s="118">
        <f t="shared" si="32"/>
        <v>630667.17649999983</v>
      </c>
      <c r="AR14" s="118">
        <f t="shared" si="32"/>
        <v>630667.17649999983</v>
      </c>
      <c r="AS14" s="118">
        <f t="shared" si="32"/>
        <v>630667.17649999983</v>
      </c>
      <c r="AT14" s="118">
        <f t="shared" si="32"/>
        <v>630667.17649999983</v>
      </c>
      <c r="AU14" s="118">
        <f t="shared" si="32"/>
        <v>630667.17649999983</v>
      </c>
      <c r="AV14" s="118">
        <f t="shared" si="32"/>
        <v>630667.17649999983</v>
      </c>
      <c r="AW14" s="118">
        <f t="shared" si="32"/>
        <v>630667.17649999983</v>
      </c>
      <c r="AX14" s="118">
        <f t="shared" si="32"/>
        <v>630667.17649999983</v>
      </c>
      <c r="AY14" s="118">
        <f t="shared" si="32"/>
        <v>630667.17649999983</v>
      </c>
      <c r="AZ14" s="118">
        <f t="shared" si="32"/>
        <v>630667.17649999983</v>
      </c>
      <c r="BA14" s="118">
        <f t="shared" si="32"/>
        <v>630667.17649999983</v>
      </c>
      <c r="BB14" s="118">
        <f t="shared" si="32"/>
        <v>630667.17649999983</v>
      </c>
      <c r="BC14" s="118">
        <f t="shared" si="32"/>
        <v>630667.17649999983</v>
      </c>
      <c r="BD14" s="118">
        <f t="shared" si="32"/>
        <v>630667.17649999983</v>
      </c>
      <c r="BE14" s="118">
        <f t="shared" si="32"/>
        <v>630667.17649999983</v>
      </c>
      <c r="BF14" s="118">
        <f t="shared" si="32"/>
        <v>630667.17649999983</v>
      </c>
      <c r="BG14" s="118">
        <f t="shared" si="32"/>
        <v>630667.17649999983</v>
      </c>
      <c r="BH14" s="118">
        <f t="shared" si="32"/>
        <v>630667.17649999983</v>
      </c>
      <c r="BI14" s="118">
        <f t="shared" si="32"/>
        <v>630667.17649999983</v>
      </c>
      <c r="BJ14" s="118">
        <f t="shared" si="32"/>
        <v>630667.17649999983</v>
      </c>
      <c r="BK14" s="118">
        <f t="shared" si="32"/>
        <v>630667.17649999983</v>
      </c>
      <c r="BL14" s="118">
        <f t="shared" si="32"/>
        <v>630667.17649999983</v>
      </c>
      <c r="BM14" s="118">
        <f t="shared" si="32"/>
        <v>630667.17649999983</v>
      </c>
      <c r="BN14" s="118">
        <f t="shared" si="32"/>
        <v>630667.17649999983</v>
      </c>
      <c r="BO14" s="118">
        <f t="shared" si="32"/>
        <v>630667.17649999983</v>
      </c>
      <c r="BP14" s="118">
        <f t="shared" si="32"/>
        <v>630667.17649999983</v>
      </c>
      <c r="BQ14" s="118">
        <f t="shared" si="32"/>
        <v>630667.17649999983</v>
      </c>
      <c r="BR14" s="118">
        <f t="shared" si="32"/>
        <v>630667.17649999983</v>
      </c>
      <c r="BS14" s="118">
        <f t="shared" si="32"/>
        <v>630667.17649999983</v>
      </c>
      <c r="BT14" s="118">
        <f t="shared" si="32"/>
        <v>630667.17649999983</v>
      </c>
      <c r="BU14" s="118">
        <f t="shared" ref="BU14:EF14" si="33">BU10-BU12</f>
        <v>630667.17649999983</v>
      </c>
      <c r="BV14" s="118">
        <f t="shared" si="33"/>
        <v>630667.17649999983</v>
      </c>
      <c r="BW14" s="118">
        <f t="shared" si="33"/>
        <v>630667.17649999983</v>
      </c>
      <c r="BX14" s="118">
        <f t="shared" si="33"/>
        <v>630667.17649999983</v>
      </c>
      <c r="BY14" s="118">
        <f t="shared" si="33"/>
        <v>630667.17649999983</v>
      </c>
      <c r="BZ14" s="118">
        <f t="shared" si="33"/>
        <v>630667.17649999983</v>
      </c>
      <c r="CA14" s="118">
        <f t="shared" si="33"/>
        <v>630667.17649999983</v>
      </c>
      <c r="CB14" s="118">
        <f t="shared" si="33"/>
        <v>630667.17649999983</v>
      </c>
      <c r="CC14" s="118">
        <f t="shared" si="33"/>
        <v>630667.17649999983</v>
      </c>
      <c r="CD14" s="118">
        <f t="shared" si="33"/>
        <v>630667.17649999983</v>
      </c>
      <c r="CE14" s="118">
        <f t="shared" si="33"/>
        <v>630667.17649999983</v>
      </c>
      <c r="CF14" s="118">
        <f t="shared" si="33"/>
        <v>630667.17649999983</v>
      </c>
      <c r="CG14" s="118">
        <f t="shared" si="33"/>
        <v>630667.17649999983</v>
      </c>
      <c r="CH14" s="118">
        <f t="shared" si="33"/>
        <v>630667.17649999983</v>
      </c>
      <c r="CI14" s="118">
        <f t="shared" si="33"/>
        <v>630667.17649999983</v>
      </c>
      <c r="CJ14" s="118">
        <f t="shared" si="33"/>
        <v>630667.17649999983</v>
      </c>
      <c r="CK14" s="118">
        <f t="shared" si="33"/>
        <v>630667.17649999983</v>
      </c>
      <c r="CL14" s="118">
        <f t="shared" si="33"/>
        <v>630667.17649999983</v>
      </c>
      <c r="CM14" s="118">
        <f t="shared" si="33"/>
        <v>630667.17649999983</v>
      </c>
      <c r="CN14" s="118">
        <f t="shared" si="33"/>
        <v>630667.17649999983</v>
      </c>
      <c r="CO14" s="118">
        <f t="shared" si="33"/>
        <v>630667.17649999983</v>
      </c>
      <c r="CP14" s="118">
        <f t="shared" si="33"/>
        <v>630667.17649999983</v>
      </c>
      <c r="CQ14" s="118">
        <f t="shared" si="33"/>
        <v>630667.17649999983</v>
      </c>
      <c r="CR14" s="118">
        <f t="shared" si="33"/>
        <v>630667.17649999983</v>
      </c>
      <c r="CS14" s="118">
        <f t="shared" si="33"/>
        <v>630667.17649999983</v>
      </c>
      <c r="CT14" s="118">
        <f t="shared" si="33"/>
        <v>630667.17649999983</v>
      </c>
      <c r="CU14" s="118">
        <f t="shared" si="33"/>
        <v>630667.17649999983</v>
      </c>
      <c r="CV14" s="118">
        <f t="shared" si="33"/>
        <v>630667.17649999983</v>
      </c>
      <c r="CW14" s="118">
        <f t="shared" si="33"/>
        <v>630667.17649999983</v>
      </c>
      <c r="CX14" s="118">
        <f t="shared" si="33"/>
        <v>630667.17649999983</v>
      </c>
      <c r="CY14" s="118">
        <f t="shared" si="33"/>
        <v>630667.17649999983</v>
      </c>
      <c r="CZ14" s="118">
        <f t="shared" si="33"/>
        <v>630667.17649999983</v>
      </c>
      <c r="DA14" s="118">
        <f t="shared" si="33"/>
        <v>630667.17649999983</v>
      </c>
      <c r="DB14" s="118">
        <f t="shared" si="33"/>
        <v>630667.17649999983</v>
      </c>
      <c r="DC14" s="118">
        <f t="shared" si="33"/>
        <v>630667.17649999983</v>
      </c>
      <c r="DD14" s="118">
        <f t="shared" si="33"/>
        <v>630667.17649999983</v>
      </c>
      <c r="DE14" s="118">
        <f t="shared" si="33"/>
        <v>630667.17649999983</v>
      </c>
      <c r="DF14" s="118">
        <f t="shared" si="33"/>
        <v>630667.17649999983</v>
      </c>
      <c r="DG14" s="118">
        <f t="shared" si="33"/>
        <v>630667.17649999983</v>
      </c>
      <c r="DH14" s="118">
        <f t="shared" si="33"/>
        <v>630667.17649999983</v>
      </c>
      <c r="DI14" s="118">
        <f t="shared" si="33"/>
        <v>630667.17649999983</v>
      </c>
      <c r="DJ14" s="118">
        <f t="shared" si="33"/>
        <v>630667.17649999983</v>
      </c>
      <c r="DK14" s="118">
        <f t="shared" si="33"/>
        <v>630667.17649999983</v>
      </c>
      <c r="DL14" s="118">
        <f t="shared" si="33"/>
        <v>630667.17649999983</v>
      </c>
      <c r="DM14" s="118">
        <f t="shared" si="33"/>
        <v>630667.17649999983</v>
      </c>
      <c r="DN14" s="118">
        <f t="shared" si="33"/>
        <v>630667.17649999983</v>
      </c>
      <c r="DO14" s="118">
        <f t="shared" si="33"/>
        <v>630667.17649999983</v>
      </c>
      <c r="DP14" s="118">
        <f t="shared" si="33"/>
        <v>630667.17649999983</v>
      </c>
      <c r="DQ14" s="118">
        <f t="shared" si="33"/>
        <v>630667.17649999983</v>
      </c>
      <c r="DR14" s="118">
        <f t="shared" si="33"/>
        <v>630667.17649999983</v>
      </c>
      <c r="DS14" s="118">
        <f t="shared" si="33"/>
        <v>630667.17649999983</v>
      </c>
      <c r="DT14" s="118">
        <f t="shared" si="33"/>
        <v>630667.17649999983</v>
      </c>
      <c r="DU14" s="118">
        <f t="shared" si="33"/>
        <v>630667.17649999983</v>
      </c>
      <c r="DV14" s="118">
        <f t="shared" si="33"/>
        <v>630667.17649999983</v>
      </c>
      <c r="DW14" s="118">
        <f t="shared" si="33"/>
        <v>630667.17649999983</v>
      </c>
      <c r="DX14" s="118">
        <f t="shared" si="33"/>
        <v>630667.17649999983</v>
      </c>
      <c r="DY14" s="118">
        <f t="shared" si="33"/>
        <v>630667.17649999983</v>
      </c>
      <c r="DZ14" s="118">
        <f t="shared" si="33"/>
        <v>630667.17649999983</v>
      </c>
      <c r="EA14" s="118">
        <f t="shared" si="33"/>
        <v>630667.17649999983</v>
      </c>
      <c r="EB14" s="118">
        <f t="shared" si="33"/>
        <v>630667.17649999983</v>
      </c>
      <c r="EC14" s="118">
        <f t="shared" si="33"/>
        <v>630667.17649999983</v>
      </c>
      <c r="ED14" s="118">
        <f t="shared" si="33"/>
        <v>630667.17649999983</v>
      </c>
      <c r="EE14" s="118">
        <f t="shared" si="33"/>
        <v>630667.17649999983</v>
      </c>
      <c r="EF14" s="118">
        <f t="shared" si="33"/>
        <v>630667.17649999983</v>
      </c>
      <c r="EG14" s="118">
        <f t="shared" ref="EG14:GR14" si="34">EG10-EG12</f>
        <v>630667.17649999983</v>
      </c>
      <c r="EH14" s="118">
        <f t="shared" si="34"/>
        <v>630667.17649999983</v>
      </c>
      <c r="EI14" s="118">
        <f t="shared" si="34"/>
        <v>630667.17649999983</v>
      </c>
      <c r="EJ14" s="118">
        <f t="shared" si="34"/>
        <v>630667.17649999983</v>
      </c>
      <c r="EK14" s="118">
        <f t="shared" si="34"/>
        <v>630667.17649999983</v>
      </c>
      <c r="EL14" s="118">
        <f t="shared" si="34"/>
        <v>630667.17649999983</v>
      </c>
      <c r="EM14" s="118">
        <f t="shared" si="34"/>
        <v>630667.17649999983</v>
      </c>
      <c r="EN14" s="118">
        <f t="shared" si="34"/>
        <v>630667.17649999983</v>
      </c>
      <c r="EO14" s="118">
        <f t="shared" si="34"/>
        <v>630667.17649999983</v>
      </c>
      <c r="EP14" s="118">
        <f t="shared" si="34"/>
        <v>630667.17649999983</v>
      </c>
      <c r="EQ14" s="118">
        <f t="shared" si="34"/>
        <v>630667.17649999983</v>
      </c>
      <c r="ER14" s="118">
        <f t="shared" si="34"/>
        <v>630667.17649999983</v>
      </c>
      <c r="ES14" s="118">
        <f t="shared" si="34"/>
        <v>630667.17649999983</v>
      </c>
      <c r="ET14" s="118">
        <f t="shared" si="34"/>
        <v>630667.17649999983</v>
      </c>
      <c r="EU14" s="118">
        <f t="shared" si="34"/>
        <v>630667.17649999983</v>
      </c>
      <c r="EV14" s="118">
        <f t="shared" si="34"/>
        <v>630667.17649999983</v>
      </c>
      <c r="EW14" s="118">
        <f t="shared" si="34"/>
        <v>630667.17649999983</v>
      </c>
      <c r="EX14" s="118">
        <f t="shared" si="34"/>
        <v>630667.17649999983</v>
      </c>
      <c r="EY14" s="118">
        <f t="shared" si="34"/>
        <v>630667.17649999983</v>
      </c>
      <c r="EZ14" s="118">
        <f t="shared" si="34"/>
        <v>630667.17649999983</v>
      </c>
      <c r="FA14" s="118">
        <f t="shared" si="34"/>
        <v>630667.17649999983</v>
      </c>
      <c r="FB14" s="118">
        <f t="shared" si="34"/>
        <v>630667.17649999983</v>
      </c>
      <c r="FC14" s="118">
        <f t="shared" si="34"/>
        <v>630667.17649999983</v>
      </c>
      <c r="FD14" s="118">
        <f t="shared" si="34"/>
        <v>630667.17649999983</v>
      </c>
      <c r="FE14" s="118">
        <f t="shared" si="34"/>
        <v>630667.17649999983</v>
      </c>
      <c r="FF14" s="118">
        <f t="shared" si="34"/>
        <v>630667.17649999983</v>
      </c>
      <c r="FG14" s="118">
        <f t="shared" si="34"/>
        <v>630667.17649999983</v>
      </c>
      <c r="FH14" s="118">
        <f t="shared" si="34"/>
        <v>630667.17649999983</v>
      </c>
      <c r="FI14" s="118">
        <f t="shared" si="34"/>
        <v>630667.17649999983</v>
      </c>
      <c r="FJ14" s="118">
        <f t="shared" si="34"/>
        <v>630667.17649999983</v>
      </c>
      <c r="FK14" s="118">
        <f t="shared" si="34"/>
        <v>630667.17649999983</v>
      </c>
      <c r="FL14" s="118">
        <f t="shared" si="34"/>
        <v>630667.17649999983</v>
      </c>
      <c r="FM14" s="118">
        <f t="shared" si="34"/>
        <v>630667.17649999983</v>
      </c>
      <c r="FN14" s="118">
        <f t="shared" si="34"/>
        <v>630667.17649999983</v>
      </c>
      <c r="FO14" s="118">
        <f t="shared" si="34"/>
        <v>630667.17649999983</v>
      </c>
      <c r="FP14" s="118">
        <f t="shared" si="34"/>
        <v>630667.17649999983</v>
      </c>
      <c r="FQ14" s="118">
        <f t="shared" si="34"/>
        <v>630667.17649999983</v>
      </c>
      <c r="FR14" s="118">
        <f t="shared" si="34"/>
        <v>630667.17649999983</v>
      </c>
      <c r="FS14" s="118">
        <f t="shared" si="34"/>
        <v>630667.17649999983</v>
      </c>
      <c r="FT14" s="118">
        <f t="shared" si="34"/>
        <v>630667.17649999983</v>
      </c>
      <c r="FU14" s="118">
        <f t="shared" si="34"/>
        <v>630667.17649999983</v>
      </c>
      <c r="FV14" s="118">
        <f t="shared" si="34"/>
        <v>630667.17649999983</v>
      </c>
      <c r="FW14" s="118">
        <f t="shared" si="34"/>
        <v>630667.17649999983</v>
      </c>
      <c r="FX14" s="118">
        <f t="shared" si="34"/>
        <v>630667.17649999983</v>
      </c>
      <c r="FY14" s="118">
        <f t="shared" si="34"/>
        <v>630667.17649999983</v>
      </c>
      <c r="FZ14" s="118">
        <f t="shared" si="34"/>
        <v>630667.17649999983</v>
      </c>
      <c r="GA14" s="118">
        <f t="shared" si="34"/>
        <v>630667.17649999983</v>
      </c>
      <c r="GB14" s="118">
        <f t="shared" si="34"/>
        <v>630667.17649999983</v>
      </c>
      <c r="GC14" s="118">
        <f t="shared" si="34"/>
        <v>630667.17649999983</v>
      </c>
      <c r="GD14" s="118">
        <f t="shared" si="34"/>
        <v>630667.17649999983</v>
      </c>
      <c r="GE14" s="118">
        <f t="shared" si="34"/>
        <v>630667.17649999983</v>
      </c>
      <c r="GF14" s="118">
        <f t="shared" si="34"/>
        <v>630667.17649999983</v>
      </c>
      <c r="GG14" s="118">
        <f t="shared" si="34"/>
        <v>630667.17649999983</v>
      </c>
      <c r="GH14" s="118">
        <f t="shared" si="34"/>
        <v>630667.17649999983</v>
      </c>
      <c r="GI14" s="118">
        <f t="shared" si="34"/>
        <v>630667.17649999983</v>
      </c>
      <c r="GJ14" s="118">
        <f t="shared" si="34"/>
        <v>630667.17649999983</v>
      </c>
      <c r="GK14" s="118">
        <f t="shared" si="34"/>
        <v>630667.17649999983</v>
      </c>
      <c r="GL14" s="118">
        <f t="shared" si="34"/>
        <v>630667.17649999983</v>
      </c>
      <c r="GM14" s="118">
        <f t="shared" si="34"/>
        <v>630667.17649999983</v>
      </c>
      <c r="GN14" s="118">
        <f t="shared" si="34"/>
        <v>630667.17649999983</v>
      </c>
      <c r="GO14" s="118">
        <f t="shared" si="34"/>
        <v>630667.17649999983</v>
      </c>
      <c r="GP14" s="118">
        <f t="shared" si="34"/>
        <v>630667.17649999983</v>
      </c>
      <c r="GQ14" s="118">
        <f t="shared" si="34"/>
        <v>630667.17649999983</v>
      </c>
      <c r="GR14" s="118">
        <f t="shared" si="34"/>
        <v>630667.17649999983</v>
      </c>
      <c r="GS14" s="118">
        <f t="shared" ref="GS14:JD14" si="35">GS10-GS12</f>
        <v>630667.17649999983</v>
      </c>
      <c r="GT14" s="118">
        <f t="shared" si="35"/>
        <v>630667.17649999983</v>
      </c>
      <c r="GU14" s="118">
        <f t="shared" si="35"/>
        <v>630667.17649999983</v>
      </c>
      <c r="GV14" s="118">
        <f t="shared" si="35"/>
        <v>630667.17649999983</v>
      </c>
      <c r="GW14" s="118">
        <f t="shared" si="35"/>
        <v>630667.17649999983</v>
      </c>
      <c r="GX14" s="118">
        <f t="shared" si="35"/>
        <v>630667.17649999983</v>
      </c>
      <c r="GY14" s="118">
        <f t="shared" si="35"/>
        <v>630667.17649999983</v>
      </c>
      <c r="GZ14" s="118">
        <f t="shared" si="35"/>
        <v>630667.17649999983</v>
      </c>
      <c r="HA14" s="118">
        <f t="shared" si="35"/>
        <v>630667.17649999983</v>
      </c>
      <c r="HB14" s="118">
        <f t="shared" si="35"/>
        <v>630667.17649999983</v>
      </c>
      <c r="HC14" s="118">
        <f t="shared" si="35"/>
        <v>630667.17649999983</v>
      </c>
      <c r="HD14" s="118">
        <f t="shared" si="35"/>
        <v>630667.17649999983</v>
      </c>
      <c r="HE14" s="118">
        <f t="shared" si="35"/>
        <v>630667.17649999983</v>
      </c>
      <c r="HF14" s="118">
        <f t="shared" si="35"/>
        <v>630667.17649999983</v>
      </c>
      <c r="HG14" s="118">
        <f t="shared" si="35"/>
        <v>630667.17649999983</v>
      </c>
      <c r="HH14" s="118">
        <f t="shared" si="35"/>
        <v>630667.17649999983</v>
      </c>
      <c r="HI14" s="118">
        <f t="shared" si="35"/>
        <v>630667.17649999983</v>
      </c>
      <c r="HJ14" s="118">
        <f t="shared" si="35"/>
        <v>630667.17649999983</v>
      </c>
      <c r="HK14" s="118">
        <f t="shared" si="35"/>
        <v>630667.17649999983</v>
      </c>
      <c r="HL14" s="118">
        <f t="shared" si="35"/>
        <v>630667.17649999983</v>
      </c>
      <c r="HM14" s="118">
        <f t="shared" si="35"/>
        <v>630667.17649999983</v>
      </c>
      <c r="HN14" s="118">
        <f t="shared" si="35"/>
        <v>630667.17649999983</v>
      </c>
      <c r="HO14" s="118">
        <f t="shared" si="35"/>
        <v>630667.17649999983</v>
      </c>
      <c r="HP14" s="118">
        <f t="shared" si="35"/>
        <v>630667.17649999983</v>
      </c>
      <c r="HQ14" s="118">
        <f t="shared" si="35"/>
        <v>630667.17649999983</v>
      </c>
      <c r="HR14" s="118">
        <f t="shared" si="35"/>
        <v>630667.17649999983</v>
      </c>
      <c r="HS14" s="118">
        <f t="shared" si="35"/>
        <v>630667.17649999983</v>
      </c>
      <c r="HT14" s="118">
        <f t="shared" si="35"/>
        <v>630667.17649999983</v>
      </c>
      <c r="HU14" s="118">
        <f t="shared" si="35"/>
        <v>630667.17649999983</v>
      </c>
      <c r="HV14" s="118">
        <f t="shared" si="35"/>
        <v>630667.17649999983</v>
      </c>
      <c r="HW14" s="118">
        <f t="shared" si="35"/>
        <v>630667.17649999983</v>
      </c>
      <c r="HX14" s="118">
        <f t="shared" si="35"/>
        <v>630667.17649999983</v>
      </c>
      <c r="HY14" s="118">
        <f t="shared" si="35"/>
        <v>630667.17649999983</v>
      </c>
      <c r="HZ14" s="118">
        <f t="shared" si="35"/>
        <v>630667.17649999983</v>
      </c>
      <c r="IA14" s="118">
        <f t="shared" si="35"/>
        <v>630667.17649999983</v>
      </c>
      <c r="IB14" s="118">
        <f t="shared" si="35"/>
        <v>630667.17649999983</v>
      </c>
      <c r="IC14" s="118">
        <f t="shared" si="35"/>
        <v>630667.17649999983</v>
      </c>
      <c r="ID14" s="118">
        <f t="shared" si="35"/>
        <v>630667.17649999983</v>
      </c>
      <c r="IE14" s="118">
        <f t="shared" si="35"/>
        <v>630667.17649999983</v>
      </c>
      <c r="IF14" s="118">
        <f t="shared" si="35"/>
        <v>630667.17649999983</v>
      </c>
      <c r="IG14" s="118">
        <f t="shared" si="35"/>
        <v>630667.17649999983</v>
      </c>
      <c r="IH14" s="118">
        <f t="shared" si="35"/>
        <v>630667.17649999983</v>
      </c>
      <c r="II14" s="118">
        <f t="shared" si="35"/>
        <v>630667.17649999983</v>
      </c>
      <c r="IJ14" s="118">
        <f t="shared" si="35"/>
        <v>630667.17649999983</v>
      </c>
      <c r="IK14" s="118">
        <f t="shared" si="35"/>
        <v>630667.17649999983</v>
      </c>
      <c r="IL14" s="118">
        <f t="shared" si="35"/>
        <v>630667.17649999983</v>
      </c>
      <c r="IM14" s="118">
        <f t="shared" si="35"/>
        <v>630667.17649999983</v>
      </c>
      <c r="IN14" s="118">
        <f t="shared" si="35"/>
        <v>630667.17649999983</v>
      </c>
      <c r="IO14" s="118">
        <f t="shared" si="35"/>
        <v>630667.17649999983</v>
      </c>
      <c r="IP14" s="118">
        <f t="shared" si="35"/>
        <v>630667.17649999983</v>
      </c>
      <c r="IQ14" s="118">
        <f t="shared" si="35"/>
        <v>630667.17649999983</v>
      </c>
      <c r="IR14" s="118">
        <f t="shared" si="35"/>
        <v>630667.17649999983</v>
      </c>
      <c r="IS14" s="118">
        <f t="shared" si="35"/>
        <v>630667.17649999983</v>
      </c>
      <c r="IT14" s="118">
        <f t="shared" si="35"/>
        <v>630667.17649999983</v>
      </c>
      <c r="IU14" s="118">
        <f t="shared" si="35"/>
        <v>630667.17649999983</v>
      </c>
      <c r="IV14" s="118">
        <f t="shared" si="35"/>
        <v>630667.17649999983</v>
      </c>
      <c r="IW14" s="118">
        <f t="shared" si="35"/>
        <v>630667.17649999983</v>
      </c>
      <c r="IX14" s="118">
        <f t="shared" si="35"/>
        <v>630667.17649999983</v>
      </c>
      <c r="IY14" s="118">
        <f t="shared" si="35"/>
        <v>630667.17649999983</v>
      </c>
      <c r="IZ14" s="118">
        <f t="shared" si="35"/>
        <v>630667.17649999983</v>
      </c>
      <c r="JA14" s="118">
        <f t="shared" si="35"/>
        <v>630667.17649999983</v>
      </c>
      <c r="JB14" s="118">
        <f t="shared" si="35"/>
        <v>630667.17649999983</v>
      </c>
      <c r="JC14" s="118">
        <f t="shared" si="35"/>
        <v>630667.17649999983</v>
      </c>
      <c r="JD14" s="118">
        <f t="shared" si="35"/>
        <v>630667.17649999983</v>
      </c>
      <c r="JE14" s="118">
        <f t="shared" ref="JE14:KF14" si="36">JE10-JE12</f>
        <v>630667.17649999983</v>
      </c>
      <c r="JF14" s="118">
        <f t="shared" si="36"/>
        <v>630667.17649999983</v>
      </c>
      <c r="JG14" s="118">
        <f t="shared" si="36"/>
        <v>630667.17649999983</v>
      </c>
      <c r="JH14" s="118">
        <f t="shared" si="36"/>
        <v>630667.17649999983</v>
      </c>
      <c r="JI14" s="118">
        <f t="shared" si="36"/>
        <v>630667.17649999983</v>
      </c>
      <c r="JJ14" s="118">
        <f t="shared" si="36"/>
        <v>630667.17649999983</v>
      </c>
      <c r="JK14" s="118">
        <f t="shared" si="36"/>
        <v>630667.17649999983</v>
      </c>
      <c r="JL14" s="118">
        <f t="shared" si="36"/>
        <v>630667.17649999983</v>
      </c>
      <c r="JM14" s="118">
        <f t="shared" si="36"/>
        <v>630667.17649999983</v>
      </c>
      <c r="JN14" s="118">
        <f t="shared" si="36"/>
        <v>630667.17649999983</v>
      </c>
      <c r="JO14" s="118">
        <f t="shared" si="36"/>
        <v>630667.17649999983</v>
      </c>
      <c r="JP14" s="118">
        <f t="shared" si="36"/>
        <v>630667.17649999983</v>
      </c>
      <c r="JQ14" s="118">
        <f t="shared" si="36"/>
        <v>630667.17649999983</v>
      </c>
      <c r="JR14" s="118">
        <f t="shared" si="36"/>
        <v>630667.17649999983</v>
      </c>
      <c r="JS14" s="118">
        <f t="shared" si="36"/>
        <v>630667.17649999983</v>
      </c>
      <c r="JT14" s="118">
        <f t="shared" si="36"/>
        <v>630667.17649999983</v>
      </c>
      <c r="JU14" s="118">
        <f t="shared" si="36"/>
        <v>630667.17649999983</v>
      </c>
      <c r="JV14" s="118">
        <f t="shared" si="36"/>
        <v>630667.17649999983</v>
      </c>
      <c r="JW14" s="118">
        <f t="shared" si="36"/>
        <v>630667.17649999983</v>
      </c>
      <c r="JX14" s="118">
        <f t="shared" si="36"/>
        <v>630667.17649999983</v>
      </c>
      <c r="JY14" s="118">
        <f t="shared" si="36"/>
        <v>630667.17649999983</v>
      </c>
      <c r="JZ14" s="118">
        <f t="shared" si="36"/>
        <v>630667.17649999983</v>
      </c>
      <c r="KA14" s="118">
        <f t="shared" si="36"/>
        <v>630667.17649999983</v>
      </c>
      <c r="KB14" s="118">
        <f t="shared" si="36"/>
        <v>630667.17649999983</v>
      </c>
      <c r="KC14" s="118">
        <f t="shared" si="36"/>
        <v>630667.17649999983</v>
      </c>
      <c r="KD14" s="118">
        <f t="shared" si="36"/>
        <v>630667.17649999983</v>
      </c>
      <c r="KE14" s="118">
        <f t="shared" si="36"/>
        <v>630667.17649999983</v>
      </c>
      <c r="KF14" s="118">
        <f t="shared" si="36"/>
        <v>630667.17649999983</v>
      </c>
    </row>
    <row r="15" spans="1:770" s="102" customFormat="1"/>
    <row r="16" spans="1:770" s="102" customFormat="1">
      <c r="C16" s="104" t="s">
        <v>258</v>
      </c>
      <c r="D16" s="104" t="s">
        <v>258</v>
      </c>
    </row>
    <row r="17" spans="1:292">
      <c r="A17" s="750"/>
      <c r="B17" s="106" t="s">
        <v>421</v>
      </c>
      <c r="C17" s="275">
        <f>C3-D17</f>
        <v>12784.583535948535</v>
      </c>
      <c r="D17" s="107">
        <f>SUM(F17:KF17)</f>
        <v>2064651.6964640515</v>
      </c>
      <c r="E17" s="117"/>
      <c r="F17" s="125">
        <f>SUMIFS('Expenditure Breakdown'!$U$6:$U$173, 'Expenditure Breakdown'!$T$6:$T$173, "&gt;="&amp;F1,'Expenditure Breakdown'!$T$6:$T$173, "&lt;"&amp;G1)</f>
        <v>0</v>
      </c>
      <c r="G17" s="125">
        <f>SUMIFS('Expenditure Breakdown'!$U$6:$U$173, 'Expenditure Breakdown'!$T$6:$T$173, "&gt;="&amp;G1,'Expenditure Breakdown'!$T$6:$T$173, "&lt;"&amp;H1)</f>
        <v>0</v>
      </c>
      <c r="H17" s="125">
        <f>SUMIFS('Expenditure Breakdown'!$U$6:$U$173, 'Expenditure Breakdown'!$T$6:$T$173, "&gt;="&amp;H1,'Expenditure Breakdown'!$T$6:$T$173, "&lt;"&amp;I1)</f>
        <v>0</v>
      </c>
      <c r="I17" s="125">
        <f>SUMIFS('Expenditure Breakdown'!$U$6:$U$173, 'Expenditure Breakdown'!$T$6:$T$173, "&gt;="&amp;I1,'Expenditure Breakdown'!$T$6:$T$173, "&lt;"&amp;J1)</f>
        <v>0</v>
      </c>
      <c r="J17" s="125">
        <f>SUMIFS('Expenditure Breakdown'!$U$6:$U$173, 'Expenditure Breakdown'!$T$6:$T$173, "&gt;="&amp;J1,'Expenditure Breakdown'!$T$6:$T$173, "&lt;"&amp;K1)</f>
        <v>0</v>
      </c>
      <c r="K17" s="125">
        <f>SUMIFS('Expenditure Breakdown'!$U$6:$U$173, 'Expenditure Breakdown'!$T$6:$T$173, "&gt;="&amp;K1,'Expenditure Breakdown'!$T$6:$T$173, "&lt;"&amp;L1)</f>
        <v>0</v>
      </c>
      <c r="L17" s="125">
        <f>SUMIFS('Expenditure Breakdown'!$U$6:$U$173, 'Expenditure Breakdown'!$T$6:$T$173, "&gt;="&amp;L1,'Expenditure Breakdown'!$T$6:$T$173, "&lt;"&amp;M1)</f>
        <v>0</v>
      </c>
      <c r="M17" s="125">
        <f>SUMIFS('Expenditure Breakdown'!$U$6:$U$173, 'Expenditure Breakdown'!$T$6:$T$173, "&gt;="&amp;M1,'Expenditure Breakdown'!$T$6:$T$173, "&lt;"&amp;N1)</f>
        <v>0</v>
      </c>
      <c r="N17" s="125">
        <f>SUMIFS('Expenditure Breakdown'!$U$6:$U$173, 'Expenditure Breakdown'!$T$6:$T$173, "&gt;="&amp;N1,'Expenditure Breakdown'!$T$6:$T$173, "&lt;"&amp;O1)</f>
        <v>100416.31076230678</v>
      </c>
      <c r="O17" s="125">
        <f>SUMIFS('Expenditure Breakdown'!$U$6:$U$173, 'Expenditure Breakdown'!$T$6:$T$173, "&gt;="&amp;O1,'Expenditure Breakdown'!$T$6:$T$173, "&lt;"&amp;P1)</f>
        <v>0</v>
      </c>
      <c r="P17" s="125">
        <f>SUMIFS('Expenditure Breakdown'!$U$6:$U$173, 'Expenditure Breakdown'!$T$6:$T$173, "&gt;="&amp;P1,'Expenditure Breakdown'!$T$6:$T$173, "&lt;"&amp;Q1)</f>
        <v>0</v>
      </c>
      <c r="Q17" s="125">
        <f>SUMIFS('Expenditure Breakdown'!$U$6:$U$173, 'Expenditure Breakdown'!$T$6:$T$173, "&gt;="&amp;Q1,'Expenditure Breakdown'!$T$6:$T$173, "&lt;"&amp;R1)</f>
        <v>0</v>
      </c>
      <c r="R17" s="125">
        <f>SUMIFS('Expenditure Breakdown'!$U$6:$U$173, 'Expenditure Breakdown'!$T$6:$T$173, "&gt;="&amp;R1,'Expenditure Breakdown'!$T$6:$T$173, "&lt;"&amp;S1)</f>
        <v>1656628.48876367</v>
      </c>
      <c r="S17" s="125">
        <f>SUMIFS('Expenditure Breakdown'!$U$6:$U$173, 'Expenditure Breakdown'!$T$6:$T$173, "&gt;="&amp;S1,'Expenditure Breakdown'!$T$6:$T$173, "&lt;"&amp;T1)</f>
        <v>0</v>
      </c>
      <c r="T17" s="125">
        <f>SUMIFS('Expenditure Breakdown'!$U$6:$U$173, 'Expenditure Breakdown'!$T$6:$T$173, "&gt;="&amp;T1,'Expenditure Breakdown'!$T$6:$T$173, "&lt;"&amp;U1)</f>
        <v>0</v>
      </c>
      <c r="U17" s="125">
        <f>SUMIFS('Expenditure Breakdown'!$U$6:$U$173, 'Expenditure Breakdown'!$T$6:$T$173, "&gt;="&amp;U1,'Expenditure Breakdown'!$T$6:$T$173, "&lt;"&amp;V1)</f>
        <v>0</v>
      </c>
      <c r="V17" s="125">
        <f>SUMIFS('Expenditure Breakdown'!$U$6:$U$173, 'Expenditure Breakdown'!$T$6:$T$173, "&gt;="&amp;V1,'Expenditure Breakdown'!$T$6:$T$173, "&lt;"&amp;W1)</f>
        <v>0</v>
      </c>
      <c r="W17" s="125">
        <f>SUMIFS('Expenditure Breakdown'!$U$6:$U$173, 'Expenditure Breakdown'!$T$6:$T$173, "&gt;="&amp;W1,'Expenditure Breakdown'!$T$6:$T$173, "&lt;"&amp;X1)</f>
        <v>5172.0997653484374</v>
      </c>
      <c r="X17" s="125">
        <f>SUMIFS('Expenditure Breakdown'!$U$6:$U$173, 'Expenditure Breakdown'!$T$6:$T$173, "&gt;="&amp;X1,'Expenditure Breakdown'!$T$6:$T$173, "&lt;"&amp;Y1)</f>
        <v>0</v>
      </c>
      <c r="Y17" s="125">
        <f>SUMIFS('Expenditure Breakdown'!$U$6:$U$173, 'Expenditure Breakdown'!$T$6:$T$173, "&gt;="&amp;Y1,'Expenditure Breakdown'!$T$6:$T$173, "&lt;"&amp;Z1)</f>
        <v>0</v>
      </c>
      <c r="Z17" s="125">
        <f>SUMIFS('Expenditure Breakdown'!$U$6:$U$173, 'Expenditure Breakdown'!$T$6:$T$173, "&gt;="&amp;Z1,'Expenditure Breakdown'!$T$6:$T$173, "&lt;"&amp;AA1)</f>
        <v>0</v>
      </c>
      <c r="AA17" s="125">
        <f>SUMIFS('Expenditure Breakdown'!$U$6:$U$173, 'Expenditure Breakdown'!$T$6:$T$173, "&gt;="&amp;AA1,'Expenditure Breakdown'!$T$6:$T$173, "&lt;"&amp;AB1)</f>
        <v>302434.79717272631</v>
      </c>
      <c r="AB17" s="125">
        <f>SUMIFS('Expenditure Breakdown'!$U$6:$U$173, 'Expenditure Breakdown'!$T$6:$T$173, "&gt;="&amp;AB1,'Expenditure Breakdown'!$T$6:$T$173, "&lt;"&amp;AC1)</f>
        <v>0</v>
      </c>
      <c r="AC17" s="125">
        <f>SUMIFS('Expenditure Breakdown'!$U$6:$U$173, 'Expenditure Breakdown'!$T$6:$T$173, "&gt;="&amp;AC1,'Expenditure Breakdown'!$T$6:$T$173, "&lt;"&amp;AD1)</f>
        <v>0</v>
      </c>
      <c r="AD17" s="125">
        <f>SUMIFS('Expenditure Breakdown'!$U$6:$U$173, 'Expenditure Breakdown'!$T$6:$T$173, "&gt;="&amp;AD1,'Expenditure Breakdown'!$T$6:$T$173, "&lt;"&amp;AE1)</f>
        <v>0</v>
      </c>
      <c r="AE17" s="125">
        <f>SUMIFS('Expenditure Breakdown'!$U$6:$U$173, 'Expenditure Breakdown'!$T$6:$T$173, "&gt;="&amp;AE1,'Expenditure Breakdown'!$T$6:$T$173, "&lt;"&amp;AF1)</f>
        <v>0</v>
      </c>
      <c r="AF17" s="125">
        <f>SUMIFS('Expenditure Breakdown'!$U$6:$U$173, 'Expenditure Breakdown'!$T$6:$T$173, "&gt;="&amp;AF1,'Expenditure Breakdown'!$T$6:$T$173, "&lt;"&amp;AG1)</f>
        <v>0</v>
      </c>
      <c r="AG17" s="125">
        <f>SUMIFS('Expenditure Breakdown'!$U$6:$U$173, 'Expenditure Breakdown'!$T$6:$T$173, "&gt;="&amp;AG1,'Expenditure Breakdown'!$T$6:$T$173, "&lt;"&amp;AH1)</f>
        <v>0</v>
      </c>
      <c r="AH17" s="125">
        <f>SUMIFS('Expenditure Breakdown'!$U$6:$U$173, 'Expenditure Breakdown'!$T$6:$T$173, "&gt;="&amp;AH1,'Expenditure Breakdown'!$T$6:$T$173, "&lt;"&amp;AI1)</f>
        <v>0</v>
      </c>
      <c r="AI17" s="125">
        <f>SUMIFS('Expenditure Breakdown'!$U$6:$U$173, 'Expenditure Breakdown'!$T$6:$T$173, "&gt;="&amp;AI1,'Expenditure Breakdown'!$T$6:$T$173, "&lt;"&amp;AJ1)</f>
        <v>0</v>
      </c>
      <c r="AJ17" s="125">
        <f>SUMIFS('Expenditure Breakdown'!$U$6:$U$173, 'Expenditure Breakdown'!$T$6:$T$173, "&gt;="&amp;AJ1,'Expenditure Breakdown'!$T$6:$T$173, "&lt;"&amp;AK1)</f>
        <v>0</v>
      </c>
      <c r="AK17" s="125">
        <f>SUMIFS('Expenditure Breakdown'!$U$6:$U$173, 'Expenditure Breakdown'!$T$6:$T$173, "&gt;="&amp;AK1,'Expenditure Breakdown'!$T$6:$T$173, "&lt;"&amp;AL1)</f>
        <v>0</v>
      </c>
      <c r="AL17" s="125">
        <f>SUMIFS('Expenditure Breakdown'!$U$6:$U$173, 'Expenditure Breakdown'!$T$6:$T$173, "&gt;="&amp;AL1,'Expenditure Breakdown'!$T$6:$T$173, "&lt;"&amp;AM1)</f>
        <v>0</v>
      </c>
      <c r="AM17" s="125">
        <f>SUMIFS('Expenditure Breakdown'!$U$6:$U$173, 'Expenditure Breakdown'!$T$6:$T$173, "&gt;="&amp;AM1,'Expenditure Breakdown'!$T$6:$T$173, "&lt;"&amp;AN1)</f>
        <v>0</v>
      </c>
      <c r="AN17" s="125">
        <f>SUMIFS('Expenditure Breakdown'!$U$6:$U$173, 'Expenditure Breakdown'!$T$6:$T$173, "&gt;="&amp;AN1,'Expenditure Breakdown'!$T$6:$T$173, "&lt;"&amp;AO1)</f>
        <v>0</v>
      </c>
      <c r="AO17" s="125">
        <f>SUMIFS('Expenditure Breakdown'!$U$6:$U$173, 'Expenditure Breakdown'!$T$6:$T$173, "&gt;="&amp;AO1,'Expenditure Breakdown'!$T$6:$T$173, "&lt;"&amp;AP1)</f>
        <v>0</v>
      </c>
      <c r="AP17" s="125">
        <f>SUMIFS('Expenditure Breakdown'!$U$6:$U$173, 'Expenditure Breakdown'!$T$6:$T$173, "&gt;="&amp;AP1,'Expenditure Breakdown'!$T$6:$T$173, "&lt;"&amp;AQ1)</f>
        <v>0</v>
      </c>
      <c r="AQ17" s="125">
        <f>SUMIFS('Expenditure Breakdown'!$U$6:$U$173, 'Expenditure Breakdown'!$T$6:$T$173, "&gt;="&amp;AQ1,'Expenditure Breakdown'!$T$6:$T$173, "&lt;"&amp;AR1)</f>
        <v>0</v>
      </c>
      <c r="AR17" s="125">
        <f>SUMIFS('Expenditure Breakdown'!$U$6:$U$173, 'Expenditure Breakdown'!$T$6:$T$173, "&gt;="&amp;AR1,'Expenditure Breakdown'!$T$6:$T$173, "&lt;"&amp;AS1)</f>
        <v>0</v>
      </c>
      <c r="AS17" s="125">
        <f>SUMIFS('Expenditure Breakdown'!$U$6:$U$173, 'Expenditure Breakdown'!$T$6:$T$173, "&gt;="&amp;AS1,'Expenditure Breakdown'!$T$6:$T$173, "&lt;"&amp;AT1)</f>
        <v>0</v>
      </c>
      <c r="AT17" s="125">
        <f>SUMIFS('Expenditure Breakdown'!$U$6:$U$173, 'Expenditure Breakdown'!$T$6:$T$173, "&gt;="&amp;AT1,'Expenditure Breakdown'!$T$6:$T$173, "&lt;"&amp;AU1)</f>
        <v>0</v>
      </c>
      <c r="AU17" s="125">
        <f>SUMIFS('Expenditure Breakdown'!$U$6:$U$173, 'Expenditure Breakdown'!$T$6:$T$173, "&gt;="&amp;AU1,'Expenditure Breakdown'!$T$6:$T$173, "&lt;"&amp;AV1)</f>
        <v>0</v>
      </c>
      <c r="AV17" s="125">
        <f>SUMIFS('Expenditure Breakdown'!$U$6:$U$173, 'Expenditure Breakdown'!$T$6:$T$173, "&gt;="&amp;AV1,'Expenditure Breakdown'!$T$6:$T$173, "&lt;"&amp;AW1)</f>
        <v>0</v>
      </c>
      <c r="AW17" s="125">
        <f>SUMIFS('Expenditure Breakdown'!$U$6:$U$173, 'Expenditure Breakdown'!$T$6:$T$173, "&gt;="&amp;AW1,'Expenditure Breakdown'!$T$6:$T$173, "&lt;"&amp;AX1)</f>
        <v>0</v>
      </c>
      <c r="AX17" s="125">
        <f>SUMIFS('Expenditure Breakdown'!$U$6:$U$173, 'Expenditure Breakdown'!$T$6:$T$173, "&gt;="&amp;AX1,'Expenditure Breakdown'!$T$6:$T$173, "&lt;"&amp;AY1)</f>
        <v>0</v>
      </c>
      <c r="AY17" s="125">
        <f>SUMIFS('Expenditure Breakdown'!$U$6:$U$173, 'Expenditure Breakdown'!$T$6:$T$173, "&gt;="&amp;AY1,'Expenditure Breakdown'!$T$6:$T$173, "&lt;"&amp;AZ1)</f>
        <v>0</v>
      </c>
      <c r="AZ17" s="125">
        <f>SUMIFS('Expenditure Breakdown'!$U$6:$U$173, 'Expenditure Breakdown'!$T$6:$T$173, "&gt;="&amp;AZ1,'Expenditure Breakdown'!$T$6:$T$173, "&lt;"&amp;BA1)</f>
        <v>0</v>
      </c>
      <c r="BA17" s="125">
        <f>SUMIFS('Expenditure Breakdown'!$U$6:$U$173, 'Expenditure Breakdown'!$T$6:$T$173, "&gt;="&amp;BA1,'Expenditure Breakdown'!$T$6:$T$173, "&lt;"&amp;BB1)</f>
        <v>0</v>
      </c>
      <c r="BB17" s="125">
        <f>SUMIFS('Expenditure Breakdown'!$U$6:$U$173, 'Expenditure Breakdown'!$T$6:$T$173, "&gt;="&amp;BB1,'Expenditure Breakdown'!$T$6:$T$173, "&lt;"&amp;BC1)</f>
        <v>0</v>
      </c>
      <c r="BC17" s="125">
        <f>SUMIFS('Expenditure Breakdown'!$U$6:$U$173, 'Expenditure Breakdown'!$T$6:$T$173, "&gt;="&amp;BC1,'Expenditure Breakdown'!$T$6:$T$173, "&lt;"&amp;BD1)</f>
        <v>0</v>
      </c>
      <c r="BD17" s="125">
        <f>SUMIFS('Expenditure Breakdown'!$U$6:$U$173, 'Expenditure Breakdown'!$T$6:$T$173, "&gt;="&amp;BD1,'Expenditure Breakdown'!$T$6:$T$173, "&lt;"&amp;BE1)</f>
        <v>0</v>
      </c>
      <c r="BE17" s="125">
        <f>SUMIFS('Expenditure Breakdown'!$U$6:$U$173, 'Expenditure Breakdown'!$T$6:$T$173, "&gt;="&amp;BE1,'Expenditure Breakdown'!$T$6:$T$173, "&lt;"&amp;BF1)</f>
        <v>0</v>
      </c>
      <c r="BF17" s="125">
        <f>SUMIFS('Expenditure Breakdown'!$U$6:$U$173, 'Expenditure Breakdown'!$T$6:$T$173, "&gt;="&amp;BF1,'Expenditure Breakdown'!$T$6:$T$173, "&lt;"&amp;BG1)</f>
        <v>0</v>
      </c>
      <c r="BG17" s="125">
        <f>SUMIFS('Expenditure Breakdown'!$U$6:$U$173, 'Expenditure Breakdown'!$T$6:$T$173, "&gt;="&amp;BG1,'Expenditure Breakdown'!$T$6:$T$173, "&lt;"&amp;BH1)</f>
        <v>0</v>
      </c>
      <c r="BH17" s="125">
        <f>SUMIFS('Expenditure Breakdown'!$U$6:$U$173, 'Expenditure Breakdown'!$T$6:$T$173, "&gt;="&amp;BH1,'Expenditure Breakdown'!$T$6:$T$173, "&lt;"&amp;BI1)</f>
        <v>0</v>
      </c>
      <c r="BI17" s="125">
        <f>SUMIFS('Expenditure Breakdown'!$U$6:$U$173, 'Expenditure Breakdown'!$T$6:$T$173, "&gt;="&amp;BI1,'Expenditure Breakdown'!$T$6:$T$173, "&lt;"&amp;BJ1)</f>
        <v>0</v>
      </c>
      <c r="BJ17" s="125">
        <f>SUMIFS('Expenditure Breakdown'!$U$6:$U$173, 'Expenditure Breakdown'!$T$6:$T$173, "&gt;="&amp;BJ1,'Expenditure Breakdown'!$T$6:$T$173, "&lt;"&amp;BK1)</f>
        <v>0</v>
      </c>
      <c r="BK17" s="125">
        <f>SUMIFS('Expenditure Breakdown'!$U$6:$U$173, 'Expenditure Breakdown'!$T$6:$T$173, "&gt;="&amp;BK1,'Expenditure Breakdown'!$T$6:$T$173, "&lt;"&amp;BL1)</f>
        <v>0</v>
      </c>
      <c r="BL17" s="125">
        <f>SUMIFS('Expenditure Breakdown'!$U$6:$U$173, 'Expenditure Breakdown'!$T$6:$T$173, "&gt;="&amp;BL1,'Expenditure Breakdown'!$T$6:$T$173, "&lt;"&amp;BM1)</f>
        <v>0</v>
      </c>
      <c r="BM17" s="125">
        <f>SUMIFS('Expenditure Breakdown'!$U$6:$U$173, 'Expenditure Breakdown'!$T$6:$T$173, "&gt;="&amp;BM1,'Expenditure Breakdown'!$T$6:$T$173, "&lt;"&amp;BN1)</f>
        <v>0</v>
      </c>
      <c r="BN17" s="125">
        <f>SUMIFS('Expenditure Breakdown'!$U$6:$U$173, 'Expenditure Breakdown'!$T$6:$T$173, "&gt;="&amp;BN1,'Expenditure Breakdown'!$T$6:$T$173, "&lt;"&amp;BO1)</f>
        <v>0</v>
      </c>
      <c r="BO17" s="125">
        <f>SUMIFS('Expenditure Breakdown'!$U$6:$U$173, 'Expenditure Breakdown'!$T$6:$T$173, "&gt;="&amp;BO1,'Expenditure Breakdown'!$T$6:$T$173, "&lt;"&amp;BP1)</f>
        <v>0</v>
      </c>
      <c r="BP17" s="125">
        <f>SUMIFS('Expenditure Breakdown'!$U$6:$U$173, 'Expenditure Breakdown'!$T$6:$T$173, "&gt;="&amp;BP1,'Expenditure Breakdown'!$T$6:$T$173, "&lt;"&amp;BQ1)</f>
        <v>0</v>
      </c>
      <c r="BQ17" s="125">
        <f>SUMIFS('Expenditure Breakdown'!$U$6:$U$173, 'Expenditure Breakdown'!$T$6:$T$173, "&gt;="&amp;BQ1,'Expenditure Breakdown'!$T$6:$T$173, "&lt;"&amp;BR1)</f>
        <v>0</v>
      </c>
      <c r="BR17" s="125">
        <f>SUMIFS('Expenditure Breakdown'!$U$6:$U$173, 'Expenditure Breakdown'!$T$6:$T$173, "&gt;="&amp;BR1,'Expenditure Breakdown'!$T$6:$T$173, "&lt;"&amp;BS1)</f>
        <v>0</v>
      </c>
      <c r="BS17" s="125">
        <f>SUMIFS('Expenditure Breakdown'!$U$6:$U$173, 'Expenditure Breakdown'!$T$6:$T$173, "&gt;="&amp;BS1,'Expenditure Breakdown'!$T$6:$T$173, "&lt;"&amp;BT1)</f>
        <v>0</v>
      </c>
      <c r="BT17" s="125">
        <f>SUMIFS('Expenditure Breakdown'!$U$6:$U$173, 'Expenditure Breakdown'!$T$6:$T$173, "&gt;="&amp;BT1,'Expenditure Breakdown'!$T$6:$T$173, "&lt;"&amp;BU1)</f>
        <v>0</v>
      </c>
      <c r="BU17" s="125">
        <f>SUMIFS('Expenditure Breakdown'!$U$6:$U$173, 'Expenditure Breakdown'!$T$6:$T$173, "&gt;="&amp;BU1,'Expenditure Breakdown'!$T$6:$T$173, "&lt;"&amp;BV1)</f>
        <v>0</v>
      </c>
      <c r="BV17" s="125">
        <f>SUMIFS('Expenditure Breakdown'!$U$6:$U$173, 'Expenditure Breakdown'!$T$6:$T$173, "&gt;="&amp;BV1,'Expenditure Breakdown'!$T$6:$T$173, "&lt;"&amp;BW1)</f>
        <v>0</v>
      </c>
      <c r="BW17" s="125">
        <f>SUMIFS('Expenditure Breakdown'!$U$6:$U$173, 'Expenditure Breakdown'!$T$6:$T$173, "&gt;="&amp;BW1,'Expenditure Breakdown'!$T$6:$T$173, "&lt;"&amp;BX1)</f>
        <v>0</v>
      </c>
      <c r="BX17" s="125">
        <f>SUMIFS('Expenditure Breakdown'!$U$6:$U$173, 'Expenditure Breakdown'!$T$6:$T$173, "&gt;="&amp;BX1,'Expenditure Breakdown'!$T$6:$T$173, "&lt;"&amp;BY1)</f>
        <v>0</v>
      </c>
      <c r="BY17" s="125">
        <f>SUMIFS('Expenditure Breakdown'!$U$6:$U$173, 'Expenditure Breakdown'!$T$6:$T$173, "&gt;="&amp;BY1,'Expenditure Breakdown'!$T$6:$T$173, "&lt;"&amp;BZ1)</f>
        <v>0</v>
      </c>
      <c r="BZ17" s="125">
        <f>SUMIFS('Expenditure Breakdown'!$U$6:$U$173, 'Expenditure Breakdown'!$T$6:$T$173, "&gt;="&amp;BZ1,'Expenditure Breakdown'!$T$6:$T$173, "&lt;"&amp;CA1)</f>
        <v>0</v>
      </c>
      <c r="CA17" s="125">
        <f>SUMIFS('Expenditure Breakdown'!$U$6:$U$173, 'Expenditure Breakdown'!$T$6:$T$173, "&gt;="&amp;CA1,'Expenditure Breakdown'!$T$6:$T$173, "&lt;"&amp;CB1)</f>
        <v>0</v>
      </c>
      <c r="CB17" s="125">
        <f>SUMIFS('Expenditure Breakdown'!$U$6:$U$173, 'Expenditure Breakdown'!$T$6:$T$173, "&gt;="&amp;CB1,'Expenditure Breakdown'!$T$6:$T$173, "&lt;"&amp;CC1)</f>
        <v>0</v>
      </c>
      <c r="CC17" s="125">
        <f>SUMIFS('Expenditure Breakdown'!$U$6:$U$173, 'Expenditure Breakdown'!$T$6:$T$173, "&gt;="&amp;CC1,'Expenditure Breakdown'!$T$6:$T$173, "&lt;"&amp;CD1)</f>
        <v>0</v>
      </c>
      <c r="CD17" s="125">
        <f>SUMIFS('Expenditure Breakdown'!$U$6:$U$173, 'Expenditure Breakdown'!$T$6:$T$173, "&gt;="&amp;CD1,'Expenditure Breakdown'!$T$6:$T$173, "&lt;"&amp;CE1)</f>
        <v>0</v>
      </c>
      <c r="CE17" s="125">
        <f>SUMIFS('Expenditure Breakdown'!$U$6:$U$173, 'Expenditure Breakdown'!$T$6:$T$173, "&gt;="&amp;CE1,'Expenditure Breakdown'!$T$6:$T$173, "&lt;"&amp;CF1)</f>
        <v>0</v>
      </c>
      <c r="CF17" s="125">
        <f>SUMIFS('Expenditure Breakdown'!$U$6:$U$173, 'Expenditure Breakdown'!$T$6:$T$173, "&gt;="&amp;CF1,'Expenditure Breakdown'!$T$6:$T$173, "&lt;"&amp;CG1)</f>
        <v>0</v>
      </c>
      <c r="CG17" s="125">
        <f>SUMIFS('Expenditure Breakdown'!$U$6:$U$173, 'Expenditure Breakdown'!$T$6:$T$173, "&gt;="&amp;CG1,'Expenditure Breakdown'!$T$6:$T$173, "&lt;"&amp;CH1)</f>
        <v>0</v>
      </c>
      <c r="CH17" s="125">
        <f>SUMIFS('Expenditure Breakdown'!$U$6:$U$173, 'Expenditure Breakdown'!$T$6:$T$173, "&gt;="&amp;CH1,'Expenditure Breakdown'!$T$6:$T$173, "&lt;"&amp;CI1)</f>
        <v>0</v>
      </c>
      <c r="CI17" s="125">
        <f>SUMIFS('Expenditure Breakdown'!$U$6:$U$173, 'Expenditure Breakdown'!$T$6:$T$173, "&gt;="&amp;CI1,'Expenditure Breakdown'!$T$6:$T$173, "&lt;"&amp;CJ1)</f>
        <v>0</v>
      </c>
      <c r="CJ17" s="125">
        <f>SUMIFS('Expenditure Breakdown'!$U$6:$U$173, 'Expenditure Breakdown'!$T$6:$T$173, "&gt;="&amp;CJ1,'Expenditure Breakdown'!$T$6:$T$173, "&lt;"&amp;CK1)</f>
        <v>0</v>
      </c>
      <c r="CK17" s="125">
        <f>SUMIFS('Expenditure Breakdown'!$U$6:$U$173, 'Expenditure Breakdown'!$T$6:$T$173, "&gt;="&amp;CK1,'Expenditure Breakdown'!$T$6:$T$173, "&lt;"&amp;CL1)</f>
        <v>0</v>
      </c>
      <c r="CL17" s="125">
        <f>SUMIFS('Expenditure Breakdown'!$U$6:$U$173, 'Expenditure Breakdown'!$T$6:$T$173, "&gt;="&amp;CL1,'Expenditure Breakdown'!$T$6:$T$173, "&lt;"&amp;CM1)</f>
        <v>0</v>
      </c>
      <c r="CM17" s="125">
        <f>SUMIFS('Expenditure Breakdown'!$U$6:$U$173, 'Expenditure Breakdown'!$T$6:$T$173, "&gt;="&amp;CM1,'Expenditure Breakdown'!$T$6:$T$173, "&lt;"&amp;CN1)</f>
        <v>0</v>
      </c>
      <c r="CN17" s="125">
        <f>SUMIFS('Expenditure Breakdown'!$U$6:$U$173, 'Expenditure Breakdown'!$T$6:$T$173, "&gt;="&amp;CN1,'Expenditure Breakdown'!$T$6:$T$173, "&lt;"&amp;CO1)</f>
        <v>0</v>
      </c>
      <c r="CO17" s="125">
        <f>SUMIFS('Expenditure Breakdown'!$U$6:$U$173, 'Expenditure Breakdown'!$T$6:$T$173, "&gt;="&amp;CO1,'Expenditure Breakdown'!$T$6:$T$173, "&lt;"&amp;CP1)</f>
        <v>0</v>
      </c>
      <c r="CP17" s="125">
        <f>SUMIFS('Expenditure Breakdown'!$U$6:$U$173, 'Expenditure Breakdown'!$T$6:$T$173, "&gt;="&amp;CP1,'Expenditure Breakdown'!$T$6:$T$173, "&lt;"&amp;CQ1)</f>
        <v>0</v>
      </c>
      <c r="CQ17" s="125">
        <f>SUMIFS('Expenditure Breakdown'!$U$6:$U$173, 'Expenditure Breakdown'!$T$6:$T$173, "&gt;="&amp;CQ1,'Expenditure Breakdown'!$T$6:$T$173, "&lt;"&amp;CR1)</f>
        <v>0</v>
      </c>
      <c r="CR17" s="125">
        <f>SUMIFS('Expenditure Breakdown'!$U$6:$U$173, 'Expenditure Breakdown'!$T$6:$T$173, "&gt;="&amp;CR1,'Expenditure Breakdown'!$T$6:$T$173, "&lt;"&amp;CS1)</f>
        <v>0</v>
      </c>
      <c r="CS17" s="125">
        <f>SUMIFS('Expenditure Breakdown'!$U$6:$U$173, 'Expenditure Breakdown'!$T$6:$T$173, "&gt;="&amp;CS1,'Expenditure Breakdown'!$T$6:$T$173, "&lt;"&amp;CT1)</f>
        <v>0</v>
      </c>
      <c r="CT17" s="125">
        <f>SUMIFS('Expenditure Breakdown'!$U$6:$U$173, 'Expenditure Breakdown'!$T$6:$T$173, "&gt;="&amp;CT1,'Expenditure Breakdown'!$T$6:$T$173, "&lt;"&amp;CU1)</f>
        <v>0</v>
      </c>
      <c r="CU17" s="125">
        <f>SUMIFS('Expenditure Breakdown'!$U$6:$U$173, 'Expenditure Breakdown'!$T$6:$T$173, "&gt;="&amp;CU1,'Expenditure Breakdown'!$T$6:$T$173, "&lt;"&amp;CV1)</f>
        <v>0</v>
      </c>
      <c r="CV17" s="125">
        <f>SUMIFS('Expenditure Breakdown'!$U$6:$U$173, 'Expenditure Breakdown'!$T$6:$T$173, "&gt;="&amp;CV1,'Expenditure Breakdown'!$T$6:$T$173, "&lt;"&amp;CW1)</f>
        <v>0</v>
      </c>
      <c r="CW17" s="125">
        <f>SUMIFS('Expenditure Breakdown'!$U$6:$U$173, 'Expenditure Breakdown'!$T$6:$T$173, "&gt;="&amp;CW1,'Expenditure Breakdown'!$T$6:$T$173, "&lt;"&amp;CX1)</f>
        <v>0</v>
      </c>
      <c r="CX17" s="125">
        <f>SUMIFS('Expenditure Breakdown'!$U$6:$U$173, 'Expenditure Breakdown'!$T$6:$T$173, "&gt;="&amp;CX1,'Expenditure Breakdown'!$T$6:$T$173, "&lt;"&amp;CY1)</f>
        <v>0</v>
      </c>
      <c r="CY17" s="125">
        <f>SUMIFS('Expenditure Breakdown'!$U$6:$U$173, 'Expenditure Breakdown'!$T$6:$T$173, "&gt;="&amp;CY1,'Expenditure Breakdown'!$T$6:$T$173, "&lt;"&amp;CZ1)</f>
        <v>0</v>
      </c>
      <c r="CZ17" s="125">
        <f>SUMIFS('Expenditure Breakdown'!$U$6:$U$173, 'Expenditure Breakdown'!$T$6:$T$173, "&gt;="&amp;CZ1,'Expenditure Breakdown'!$T$6:$T$173, "&lt;"&amp;DA1)</f>
        <v>0</v>
      </c>
      <c r="DA17" s="125">
        <f>SUMIFS('Expenditure Breakdown'!$U$6:$U$173, 'Expenditure Breakdown'!$T$6:$T$173, "&gt;="&amp;DA1,'Expenditure Breakdown'!$T$6:$T$173, "&lt;"&amp;DB1)</f>
        <v>0</v>
      </c>
      <c r="DB17" s="125">
        <f>SUMIFS('Expenditure Breakdown'!$U$6:$U$173, 'Expenditure Breakdown'!$T$6:$T$173, "&gt;="&amp;DB1,'Expenditure Breakdown'!$T$6:$T$173, "&lt;"&amp;DC1)</f>
        <v>0</v>
      </c>
      <c r="DC17" s="125">
        <f>SUMIFS('Expenditure Breakdown'!$U$6:$U$173, 'Expenditure Breakdown'!$T$6:$T$173, "&gt;="&amp;DC1,'Expenditure Breakdown'!$T$6:$T$173, "&lt;"&amp;DD1)</f>
        <v>0</v>
      </c>
      <c r="DD17" s="125">
        <f>SUMIFS('Expenditure Breakdown'!$U$6:$U$173, 'Expenditure Breakdown'!$T$6:$T$173, "&gt;="&amp;DD1,'Expenditure Breakdown'!$T$6:$T$173, "&lt;"&amp;DE1)</f>
        <v>0</v>
      </c>
      <c r="DE17" s="125">
        <f>SUMIFS('Expenditure Breakdown'!$U$6:$U$173, 'Expenditure Breakdown'!$T$6:$T$173, "&gt;="&amp;DE1,'Expenditure Breakdown'!$T$6:$T$173, "&lt;"&amp;DF1)</f>
        <v>0</v>
      </c>
      <c r="DF17" s="125">
        <f>SUMIFS('Expenditure Breakdown'!$U$6:$U$173, 'Expenditure Breakdown'!$T$6:$T$173, "&gt;="&amp;DF1,'Expenditure Breakdown'!$T$6:$T$173, "&lt;"&amp;DG1)</f>
        <v>0</v>
      </c>
      <c r="DG17" s="125">
        <f>SUMIFS('Expenditure Breakdown'!$U$6:$U$173, 'Expenditure Breakdown'!$T$6:$T$173, "&gt;="&amp;DG1,'Expenditure Breakdown'!$T$6:$T$173, "&lt;"&amp;DH1)</f>
        <v>0</v>
      </c>
      <c r="DH17" s="125">
        <f>SUMIFS('Expenditure Breakdown'!$U$6:$U$173, 'Expenditure Breakdown'!$T$6:$T$173, "&gt;="&amp;DH1,'Expenditure Breakdown'!$T$6:$T$173, "&lt;"&amp;DI1)</f>
        <v>0</v>
      </c>
      <c r="DI17" s="125">
        <f>SUMIFS('Expenditure Breakdown'!$U$6:$U$173, 'Expenditure Breakdown'!$T$6:$T$173, "&gt;="&amp;DI1,'Expenditure Breakdown'!$T$6:$T$173, "&lt;"&amp;DJ1)</f>
        <v>0</v>
      </c>
      <c r="DJ17" s="125">
        <f>SUMIFS('Expenditure Breakdown'!$U$6:$U$173, 'Expenditure Breakdown'!$T$6:$T$173, "&gt;="&amp;DJ1,'Expenditure Breakdown'!$T$6:$T$173, "&lt;"&amp;DK1)</f>
        <v>0</v>
      </c>
      <c r="DK17" s="125">
        <f>SUMIFS('Expenditure Breakdown'!$U$6:$U$173, 'Expenditure Breakdown'!$T$6:$T$173, "&gt;="&amp;DK1,'Expenditure Breakdown'!$T$6:$T$173, "&lt;"&amp;DL1)</f>
        <v>0</v>
      </c>
      <c r="DL17" s="125">
        <f>SUMIFS('Expenditure Breakdown'!$U$6:$U$173, 'Expenditure Breakdown'!$T$6:$T$173, "&gt;="&amp;DL1,'Expenditure Breakdown'!$T$6:$T$173, "&lt;"&amp;DM1)</f>
        <v>0</v>
      </c>
      <c r="DM17" s="125">
        <f>SUMIFS('Expenditure Breakdown'!$U$6:$U$173, 'Expenditure Breakdown'!$T$6:$T$173, "&gt;="&amp;DM1,'Expenditure Breakdown'!$T$6:$T$173, "&lt;"&amp;DN1)</f>
        <v>0</v>
      </c>
      <c r="DN17" s="125">
        <f>SUMIFS('Expenditure Breakdown'!$U$6:$U$173, 'Expenditure Breakdown'!$T$6:$T$173, "&gt;="&amp;DN1,'Expenditure Breakdown'!$T$6:$T$173, "&lt;"&amp;DO1)</f>
        <v>0</v>
      </c>
      <c r="DO17" s="125">
        <f>SUMIFS('Expenditure Breakdown'!$U$6:$U$173, 'Expenditure Breakdown'!$T$6:$T$173, "&gt;="&amp;DO1,'Expenditure Breakdown'!$T$6:$T$173, "&lt;"&amp;DP1)</f>
        <v>0</v>
      </c>
      <c r="DP17" s="125">
        <f>SUMIFS('Expenditure Breakdown'!$U$6:$U$173, 'Expenditure Breakdown'!$T$6:$T$173, "&gt;="&amp;DP1,'Expenditure Breakdown'!$T$6:$T$173, "&lt;"&amp;DQ1)</f>
        <v>0</v>
      </c>
      <c r="DQ17" s="125">
        <f>SUMIFS('Expenditure Breakdown'!$U$6:$U$173, 'Expenditure Breakdown'!$T$6:$T$173, "&gt;="&amp;DQ1,'Expenditure Breakdown'!$T$6:$T$173, "&lt;"&amp;DR1)</f>
        <v>0</v>
      </c>
      <c r="DR17" s="125">
        <f>SUMIFS('Expenditure Breakdown'!$U$6:$U$173, 'Expenditure Breakdown'!$T$6:$T$173, "&gt;="&amp;DR1,'Expenditure Breakdown'!$T$6:$T$173, "&lt;"&amp;DS1)</f>
        <v>0</v>
      </c>
      <c r="DS17" s="125">
        <f>SUMIFS('Expenditure Breakdown'!$U$6:$U$173, 'Expenditure Breakdown'!$T$6:$T$173, "&gt;="&amp;DS1,'Expenditure Breakdown'!$T$6:$T$173, "&lt;"&amp;DT1)</f>
        <v>0</v>
      </c>
      <c r="DT17" s="125">
        <f>SUMIFS('Expenditure Breakdown'!$U$6:$U$173, 'Expenditure Breakdown'!$T$6:$T$173, "&gt;="&amp;DT1,'Expenditure Breakdown'!$T$6:$T$173, "&lt;"&amp;DU1)</f>
        <v>0</v>
      </c>
      <c r="DU17" s="125">
        <f>SUMIFS('Expenditure Breakdown'!$U$6:$U$173, 'Expenditure Breakdown'!$T$6:$T$173, "&gt;="&amp;DU1,'Expenditure Breakdown'!$T$6:$T$173, "&lt;"&amp;DV1)</f>
        <v>0</v>
      </c>
      <c r="DV17" s="125">
        <f>SUMIFS('Expenditure Breakdown'!$U$6:$U$173, 'Expenditure Breakdown'!$T$6:$T$173, "&gt;="&amp;DV1,'Expenditure Breakdown'!$T$6:$T$173, "&lt;"&amp;DW1)</f>
        <v>0</v>
      </c>
      <c r="DW17" s="125">
        <f>SUMIFS('Expenditure Breakdown'!$U$6:$U$173, 'Expenditure Breakdown'!$T$6:$T$173, "&gt;="&amp;DW1,'Expenditure Breakdown'!$T$6:$T$173, "&lt;"&amp;DX1)</f>
        <v>0</v>
      </c>
      <c r="DX17" s="125">
        <f>SUMIFS('Expenditure Breakdown'!$U$6:$U$173, 'Expenditure Breakdown'!$T$6:$T$173, "&gt;="&amp;DX1,'Expenditure Breakdown'!$T$6:$T$173, "&lt;"&amp;DY1)</f>
        <v>0</v>
      </c>
      <c r="DY17" s="125">
        <f>SUMIFS('Expenditure Breakdown'!$U$6:$U$173, 'Expenditure Breakdown'!$T$6:$T$173, "&gt;="&amp;DY1,'Expenditure Breakdown'!$T$6:$T$173, "&lt;"&amp;DZ1)</f>
        <v>0</v>
      </c>
      <c r="DZ17" s="125">
        <f>SUMIFS('Expenditure Breakdown'!$U$6:$U$173, 'Expenditure Breakdown'!$T$6:$T$173, "&gt;="&amp;DZ1,'Expenditure Breakdown'!$T$6:$T$173, "&lt;"&amp;EA1)</f>
        <v>0</v>
      </c>
      <c r="EA17" s="125">
        <f>SUMIFS('Expenditure Breakdown'!$U$6:$U$173, 'Expenditure Breakdown'!$T$6:$T$173, "&gt;="&amp;EA1,'Expenditure Breakdown'!$T$6:$T$173, "&lt;"&amp;EB1)</f>
        <v>0</v>
      </c>
      <c r="EB17" s="125">
        <f>SUMIFS('Expenditure Breakdown'!$U$6:$U$173, 'Expenditure Breakdown'!$T$6:$T$173, "&gt;="&amp;EB1,'Expenditure Breakdown'!$T$6:$T$173, "&lt;"&amp;EC1)</f>
        <v>0</v>
      </c>
      <c r="EC17" s="125">
        <f>SUMIFS('Expenditure Breakdown'!$U$6:$U$173, 'Expenditure Breakdown'!$T$6:$T$173, "&gt;="&amp;EC1,'Expenditure Breakdown'!$T$6:$T$173, "&lt;"&amp;ED1)</f>
        <v>0</v>
      </c>
      <c r="ED17" s="125">
        <f>SUMIFS('Expenditure Breakdown'!$U$6:$U$173, 'Expenditure Breakdown'!$T$6:$T$173, "&gt;="&amp;ED1,'Expenditure Breakdown'!$T$6:$T$173, "&lt;"&amp;EE1)</f>
        <v>0</v>
      </c>
      <c r="EE17" s="125">
        <f>SUMIFS('Expenditure Breakdown'!$U$6:$U$173, 'Expenditure Breakdown'!$T$6:$T$173, "&gt;="&amp;EE1,'Expenditure Breakdown'!$T$6:$T$173, "&lt;"&amp;EF1)</f>
        <v>0</v>
      </c>
      <c r="EF17" s="125">
        <f>SUMIFS('Expenditure Breakdown'!$U$6:$U$173, 'Expenditure Breakdown'!$T$6:$T$173, "&gt;="&amp;EF1,'Expenditure Breakdown'!$T$6:$T$173, "&lt;"&amp;EG1)</f>
        <v>0</v>
      </c>
      <c r="EG17" s="125">
        <f>SUMIFS('Expenditure Breakdown'!$U$6:$U$173, 'Expenditure Breakdown'!$T$6:$T$173, "&gt;="&amp;EG1,'Expenditure Breakdown'!$T$6:$T$173, "&lt;"&amp;EH1)</f>
        <v>0</v>
      </c>
      <c r="EH17" s="125">
        <f>SUMIFS('Expenditure Breakdown'!$U$6:$U$173, 'Expenditure Breakdown'!$T$6:$T$173, "&gt;="&amp;EH1,'Expenditure Breakdown'!$T$6:$T$173, "&lt;"&amp;EI1)</f>
        <v>0</v>
      </c>
      <c r="EI17" s="125">
        <f>SUMIFS('Expenditure Breakdown'!$U$6:$U$173, 'Expenditure Breakdown'!$T$6:$T$173, "&gt;="&amp;EI1,'Expenditure Breakdown'!$T$6:$T$173, "&lt;"&amp;EJ1)</f>
        <v>0</v>
      </c>
      <c r="EJ17" s="125">
        <f>SUMIFS('Expenditure Breakdown'!$U$6:$U$173, 'Expenditure Breakdown'!$T$6:$T$173, "&gt;="&amp;EJ1,'Expenditure Breakdown'!$T$6:$T$173, "&lt;"&amp;EK1)</f>
        <v>0</v>
      </c>
      <c r="EK17" s="125">
        <f>SUMIFS('Expenditure Breakdown'!$U$6:$U$173, 'Expenditure Breakdown'!$T$6:$T$173, "&gt;="&amp;EK1,'Expenditure Breakdown'!$T$6:$T$173, "&lt;"&amp;EL1)</f>
        <v>0</v>
      </c>
      <c r="EL17" s="125">
        <f>SUMIFS('Expenditure Breakdown'!$U$6:$U$173, 'Expenditure Breakdown'!$T$6:$T$173, "&gt;="&amp;EL1,'Expenditure Breakdown'!$T$6:$T$173, "&lt;"&amp;EM1)</f>
        <v>0</v>
      </c>
      <c r="EM17" s="125">
        <f>SUMIFS('Expenditure Breakdown'!$U$6:$U$173, 'Expenditure Breakdown'!$T$6:$T$173, "&gt;="&amp;EM1,'Expenditure Breakdown'!$T$6:$T$173, "&lt;"&amp;EN1)</f>
        <v>0</v>
      </c>
      <c r="EN17" s="125">
        <f>SUMIFS('Expenditure Breakdown'!$U$6:$U$173, 'Expenditure Breakdown'!$T$6:$T$173, "&gt;="&amp;EN1,'Expenditure Breakdown'!$T$6:$T$173, "&lt;"&amp;EO1)</f>
        <v>0</v>
      </c>
      <c r="EO17" s="125">
        <f>SUMIFS('Expenditure Breakdown'!$U$6:$U$173, 'Expenditure Breakdown'!$T$6:$T$173, "&gt;="&amp;EO1,'Expenditure Breakdown'!$T$6:$T$173, "&lt;"&amp;EP1)</f>
        <v>0</v>
      </c>
      <c r="EP17" s="125">
        <f>SUMIFS('Expenditure Breakdown'!$U$6:$U$173, 'Expenditure Breakdown'!$T$6:$T$173, "&gt;="&amp;EP1,'Expenditure Breakdown'!$T$6:$T$173, "&lt;"&amp;EQ1)</f>
        <v>0</v>
      </c>
      <c r="EQ17" s="125">
        <f>SUMIFS('Expenditure Breakdown'!$U$6:$U$173, 'Expenditure Breakdown'!$T$6:$T$173, "&gt;="&amp;EQ1,'Expenditure Breakdown'!$T$6:$T$173, "&lt;"&amp;ER1)</f>
        <v>0</v>
      </c>
      <c r="ER17" s="125">
        <f>SUMIFS('Expenditure Breakdown'!$U$6:$U$173, 'Expenditure Breakdown'!$T$6:$T$173, "&gt;="&amp;ER1,'Expenditure Breakdown'!$T$6:$T$173, "&lt;"&amp;ES1)</f>
        <v>0</v>
      </c>
      <c r="ES17" s="125">
        <f>SUMIFS('Expenditure Breakdown'!$U$6:$U$173, 'Expenditure Breakdown'!$T$6:$T$173, "&gt;="&amp;ES1,'Expenditure Breakdown'!$T$6:$T$173, "&lt;"&amp;ET1)</f>
        <v>0</v>
      </c>
      <c r="ET17" s="125">
        <f>SUMIFS('Expenditure Breakdown'!$U$6:$U$173, 'Expenditure Breakdown'!$T$6:$T$173, "&gt;="&amp;ET1,'Expenditure Breakdown'!$T$6:$T$173, "&lt;"&amp;EU1)</f>
        <v>0</v>
      </c>
      <c r="EU17" s="125">
        <f>SUMIFS('Expenditure Breakdown'!$U$6:$U$173, 'Expenditure Breakdown'!$T$6:$T$173, "&gt;="&amp;EU1,'Expenditure Breakdown'!$T$6:$T$173, "&lt;"&amp;EV1)</f>
        <v>0</v>
      </c>
      <c r="EV17" s="125">
        <f>SUMIFS('Expenditure Breakdown'!$U$6:$U$173, 'Expenditure Breakdown'!$T$6:$T$173, "&gt;="&amp;EV1,'Expenditure Breakdown'!$T$6:$T$173, "&lt;"&amp;EW1)</f>
        <v>0</v>
      </c>
      <c r="EW17" s="125">
        <f>SUMIFS('Expenditure Breakdown'!$U$6:$U$173, 'Expenditure Breakdown'!$T$6:$T$173, "&gt;="&amp;EW1,'Expenditure Breakdown'!$T$6:$T$173, "&lt;"&amp;EX1)</f>
        <v>0</v>
      </c>
      <c r="EX17" s="125">
        <f>SUMIFS('Expenditure Breakdown'!$U$6:$U$173, 'Expenditure Breakdown'!$T$6:$T$173, "&gt;="&amp;EX1,'Expenditure Breakdown'!$T$6:$T$173, "&lt;"&amp;EY1)</f>
        <v>0</v>
      </c>
      <c r="EY17" s="125">
        <f>SUMIFS('Expenditure Breakdown'!$U$6:$U$173, 'Expenditure Breakdown'!$T$6:$T$173, "&gt;="&amp;EY1,'Expenditure Breakdown'!$T$6:$T$173, "&lt;"&amp;EZ1)</f>
        <v>0</v>
      </c>
      <c r="EZ17" s="125">
        <f>SUMIFS('Expenditure Breakdown'!$U$6:$U$173, 'Expenditure Breakdown'!$T$6:$T$173, "&gt;="&amp;EZ1,'Expenditure Breakdown'!$T$6:$T$173, "&lt;"&amp;FA1)</f>
        <v>0</v>
      </c>
      <c r="FA17" s="125">
        <f>SUMIFS('Expenditure Breakdown'!$U$6:$U$173, 'Expenditure Breakdown'!$T$6:$T$173, "&gt;="&amp;FA1,'Expenditure Breakdown'!$T$6:$T$173, "&lt;"&amp;FB1)</f>
        <v>0</v>
      </c>
      <c r="FB17" s="125">
        <f>SUMIFS('Expenditure Breakdown'!$U$6:$U$173, 'Expenditure Breakdown'!$T$6:$T$173, "&gt;="&amp;FB1,'Expenditure Breakdown'!$T$6:$T$173, "&lt;"&amp;FC1)</f>
        <v>0</v>
      </c>
      <c r="FC17" s="125">
        <f>SUMIFS('Expenditure Breakdown'!$U$6:$U$173, 'Expenditure Breakdown'!$T$6:$T$173, "&gt;="&amp;FC1,'Expenditure Breakdown'!$T$6:$T$173, "&lt;"&amp;FD1)</f>
        <v>0</v>
      </c>
      <c r="FD17" s="125">
        <f>SUMIFS('Expenditure Breakdown'!$U$6:$U$173, 'Expenditure Breakdown'!$T$6:$T$173, "&gt;="&amp;FD1,'Expenditure Breakdown'!$T$6:$T$173, "&lt;"&amp;FE1)</f>
        <v>0</v>
      </c>
      <c r="FE17" s="125">
        <f>SUMIFS('Expenditure Breakdown'!$U$6:$U$173, 'Expenditure Breakdown'!$T$6:$T$173, "&gt;="&amp;FE1,'Expenditure Breakdown'!$T$6:$T$173, "&lt;"&amp;FF1)</f>
        <v>0</v>
      </c>
      <c r="FF17" s="125">
        <f>SUMIFS('Expenditure Breakdown'!$U$6:$U$173, 'Expenditure Breakdown'!$T$6:$T$173, "&gt;="&amp;FF1,'Expenditure Breakdown'!$T$6:$T$173, "&lt;"&amp;FG1)</f>
        <v>0</v>
      </c>
      <c r="FG17" s="125">
        <f>SUMIFS('Expenditure Breakdown'!$U$6:$U$173, 'Expenditure Breakdown'!$T$6:$T$173, "&gt;="&amp;FG1,'Expenditure Breakdown'!$T$6:$T$173, "&lt;"&amp;FH1)</f>
        <v>0</v>
      </c>
      <c r="FH17" s="125">
        <f>SUMIFS('Expenditure Breakdown'!$U$6:$U$173, 'Expenditure Breakdown'!$T$6:$T$173, "&gt;="&amp;FH1,'Expenditure Breakdown'!$T$6:$T$173, "&lt;"&amp;FI1)</f>
        <v>0</v>
      </c>
      <c r="FI17" s="125">
        <f>SUMIFS('Expenditure Breakdown'!$U$6:$U$173, 'Expenditure Breakdown'!$T$6:$T$173, "&gt;="&amp;FI1,'Expenditure Breakdown'!$T$6:$T$173, "&lt;"&amp;FJ1)</f>
        <v>0</v>
      </c>
      <c r="FJ17" s="125">
        <f>SUMIFS('Expenditure Breakdown'!$U$6:$U$173, 'Expenditure Breakdown'!$T$6:$T$173, "&gt;="&amp;FJ1,'Expenditure Breakdown'!$T$6:$T$173, "&lt;"&amp;FK1)</f>
        <v>0</v>
      </c>
      <c r="FK17" s="125">
        <f>SUMIFS('Expenditure Breakdown'!$U$6:$U$173, 'Expenditure Breakdown'!$T$6:$T$173, "&gt;="&amp;FK1,'Expenditure Breakdown'!$T$6:$T$173, "&lt;"&amp;FL1)</f>
        <v>0</v>
      </c>
      <c r="FL17" s="125">
        <f>SUMIFS('Expenditure Breakdown'!$U$6:$U$173, 'Expenditure Breakdown'!$T$6:$T$173, "&gt;="&amp;FL1,'Expenditure Breakdown'!$T$6:$T$173, "&lt;"&amp;FM1)</f>
        <v>0</v>
      </c>
      <c r="FM17" s="125">
        <f>SUMIFS('Expenditure Breakdown'!$U$6:$U$173, 'Expenditure Breakdown'!$T$6:$T$173, "&gt;="&amp;FM1,'Expenditure Breakdown'!$T$6:$T$173, "&lt;"&amp;FN1)</f>
        <v>0</v>
      </c>
      <c r="FN17" s="125">
        <f>SUMIFS('Expenditure Breakdown'!$U$6:$U$173, 'Expenditure Breakdown'!$T$6:$T$173, "&gt;="&amp;FN1,'Expenditure Breakdown'!$T$6:$T$173, "&lt;"&amp;FO1)</f>
        <v>0</v>
      </c>
      <c r="FO17" s="125">
        <f>SUMIFS('Expenditure Breakdown'!$U$6:$U$173, 'Expenditure Breakdown'!$T$6:$T$173, "&gt;="&amp;FO1,'Expenditure Breakdown'!$T$6:$T$173, "&lt;"&amp;FP1)</f>
        <v>0</v>
      </c>
      <c r="FP17" s="125">
        <f>SUMIFS('Expenditure Breakdown'!$U$6:$U$173, 'Expenditure Breakdown'!$T$6:$T$173, "&gt;="&amp;FP1,'Expenditure Breakdown'!$T$6:$T$173, "&lt;"&amp;FQ1)</f>
        <v>0</v>
      </c>
      <c r="FQ17" s="125">
        <f>SUMIFS('Expenditure Breakdown'!$U$6:$U$173, 'Expenditure Breakdown'!$T$6:$T$173, "&gt;="&amp;FQ1,'Expenditure Breakdown'!$T$6:$T$173, "&lt;"&amp;FR1)</f>
        <v>0</v>
      </c>
      <c r="FR17" s="125">
        <f>SUMIFS('Expenditure Breakdown'!$U$6:$U$173, 'Expenditure Breakdown'!$T$6:$T$173, "&gt;="&amp;FR1,'Expenditure Breakdown'!$T$6:$T$173, "&lt;"&amp;FS1)</f>
        <v>0</v>
      </c>
      <c r="FS17" s="125">
        <f>SUMIFS('Expenditure Breakdown'!$U$6:$U$173, 'Expenditure Breakdown'!$T$6:$T$173, "&gt;="&amp;FS1,'Expenditure Breakdown'!$T$6:$T$173, "&lt;"&amp;FT1)</f>
        <v>0</v>
      </c>
      <c r="FT17" s="125">
        <f>SUMIFS('Expenditure Breakdown'!$U$6:$U$173, 'Expenditure Breakdown'!$T$6:$T$173, "&gt;="&amp;FT1,'Expenditure Breakdown'!$T$6:$T$173, "&lt;"&amp;FU1)</f>
        <v>0</v>
      </c>
      <c r="FU17" s="125">
        <f>SUMIFS('Expenditure Breakdown'!$U$6:$U$173, 'Expenditure Breakdown'!$T$6:$T$173, "&gt;="&amp;FU1,'Expenditure Breakdown'!$T$6:$T$173, "&lt;"&amp;FV1)</f>
        <v>0</v>
      </c>
      <c r="FV17" s="125">
        <f>SUMIFS('Expenditure Breakdown'!$U$6:$U$173, 'Expenditure Breakdown'!$T$6:$T$173, "&gt;="&amp;FV1,'Expenditure Breakdown'!$T$6:$T$173, "&lt;"&amp;FW1)</f>
        <v>0</v>
      </c>
      <c r="FW17" s="125">
        <f>SUMIFS('Expenditure Breakdown'!$U$6:$U$173, 'Expenditure Breakdown'!$T$6:$T$173, "&gt;="&amp;FW1,'Expenditure Breakdown'!$T$6:$T$173, "&lt;"&amp;FX1)</f>
        <v>0</v>
      </c>
      <c r="FX17" s="125">
        <f>SUMIFS('Expenditure Breakdown'!$U$6:$U$173, 'Expenditure Breakdown'!$T$6:$T$173, "&gt;="&amp;FX1,'Expenditure Breakdown'!$T$6:$T$173, "&lt;"&amp;FY1)</f>
        <v>0</v>
      </c>
      <c r="FY17" s="125">
        <f>SUMIFS('Expenditure Breakdown'!$U$6:$U$173, 'Expenditure Breakdown'!$T$6:$T$173, "&gt;="&amp;FY1,'Expenditure Breakdown'!$T$6:$T$173, "&lt;"&amp;FZ1)</f>
        <v>0</v>
      </c>
      <c r="FZ17" s="125">
        <f>SUMIFS('Expenditure Breakdown'!$U$6:$U$173, 'Expenditure Breakdown'!$T$6:$T$173, "&gt;="&amp;FZ1,'Expenditure Breakdown'!$T$6:$T$173, "&lt;"&amp;GA1)</f>
        <v>0</v>
      </c>
      <c r="GA17" s="125">
        <f>SUMIFS('Expenditure Breakdown'!$U$6:$U$173, 'Expenditure Breakdown'!$T$6:$T$173, "&gt;="&amp;GA1,'Expenditure Breakdown'!$T$6:$T$173, "&lt;"&amp;GB1)</f>
        <v>0</v>
      </c>
      <c r="GB17" s="125">
        <f>SUMIFS('Expenditure Breakdown'!$U$6:$U$173, 'Expenditure Breakdown'!$T$6:$T$173, "&gt;="&amp;GB1,'Expenditure Breakdown'!$T$6:$T$173, "&lt;"&amp;GC1)</f>
        <v>0</v>
      </c>
      <c r="GC17" s="125">
        <f>SUMIFS('Expenditure Breakdown'!$U$6:$U$173, 'Expenditure Breakdown'!$T$6:$T$173, "&gt;="&amp;GC1,'Expenditure Breakdown'!$T$6:$T$173, "&lt;"&amp;GD1)</f>
        <v>0</v>
      </c>
      <c r="GD17" s="125">
        <f>SUMIFS('Expenditure Breakdown'!$U$6:$U$173, 'Expenditure Breakdown'!$T$6:$T$173, "&gt;="&amp;GD1,'Expenditure Breakdown'!$T$6:$T$173, "&lt;"&amp;GE1)</f>
        <v>0</v>
      </c>
      <c r="GE17" s="125">
        <f>SUMIFS('Expenditure Breakdown'!$U$6:$U$173, 'Expenditure Breakdown'!$T$6:$T$173, "&gt;="&amp;GE1,'Expenditure Breakdown'!$T$6:$T$173, "&lt;"&amp;GF1)</f>
        <v>0</v>
      </c>
      <c r="GF17" s="125">
        <f>SUMIFS('Expenditure Breakdown'!$U$6:$U$173, 'Expenditure Breakdown'!$T$6:$T$173, "&gt;="&amp;GF1,'Expenditure Breakdown'!$T$6:$T$173, "&lt;"&amp;GG1)</f>
        <v>0</v>
      </c>
      <c r="GG17" s="125">
        <f>SUMIFS('Expenditure Breakdown'!$U$6:$U$173, 'Expenditure Breakdown'!$T$6:$T$173, "&gt;="&amp;GG1,'Expenditure Breakdown'!$T$6:$T$173, "&lt;"&amp;GH1)</f>
        <v>0</v>
      </c>
      <c r="GH17" s="125">
        <f>SUMIFS('Expenditure Breakdown'!$U$6:$U$173, 'Expenditure Breakdown'!$T$6:$T$173, "&gt;="&amp;GH1,'Expenditure Breakdown'!$T$6:$T$173, "&lt;"&amp;GI1)</f>
        <v>0</v>
      </c>
      <c r="GI17" s="125">
        <f>SUMIFS('Expenditure Breakdown'!$U$6:$U$173, 'Expenditure Breakdown'!$T$6:$T$173, "&gt;="&amp;GI1,'Expenditure Breakdown'!$T$6:$T$173, "&lt;"&amp;GJ1)</f>
        <v>0</v>
      </c>
      <c r="GJ17" s="125">
        <f>SUMIFS('Expenditure Breakdown'!$U$6:$U$173, 'Expenditure Breakdown'!$T$6:$T$173, "&gt;="&amp;GJ1,'Expenditure Breakdown'!$T$6:$T$173, "&lt;"&amp;GK1)</f>
        <v>0</v>
      </c>
      <c r="GK17" s="125">
        <f>SUMIFS('Expenditure Breakdown'!$U$6:$U$173, 'Expenditure Breakdown'!$T$6:$T$173, "&gt;="&amp;GK1,'Expenditure Breakdown'!$T$6:$T$173, "&lt;"&amp;GL1)</f>
        <v>0</v>
      </c>
      <c r="GL17" s="125">
        <f>SUMIFS('Expenditure Breakdown'!$U$6:$U$173, 'Expenditure Breakdown'!$T$6:$T$173, "&gt;="&amp;GL1,'Expenditure Breakdown'!$T$6:$T$173, "&lt;"&amp;GM1)</f>
        <v>0</v>
      </c>
      <c r="GM17" s="125">
        <f>SUMIFS('Expenditure Breakdown'!$U$6:$U$173, 'Expenditure Breakdown'!$T$6:$T$173, "&gt;="&amp;GM1,'Expenditure Breakdown'!$T$6:$T$173, "&lt;"&amp;GN1)</f>
        <v>0</v>
      </c>
      <c r="GN17" s="125">
        <f>SUMIFS('Expenditure Breakdown'!$U$6:$U$173, 'Expenditure Breakdown'!$T$6:$T$173, "&gt;="&amp;GN1,'Expenditure Breakdown'!$T$6:$T$173, "&lt;"&amp;GO1)</f>
        <v>0</v>
      </c>
      <c r="GO17" s="125">
        <f>SUMIFS('Expenditure Breakdown'!$U$6:$U$173, 'Expenditure Breakdown'!$T$6:$T$173, "&gt;="&amp;GO1,'Expenditure Breakdown'!$T$6:$T$173, "&lt;"&amp;GP1)</f>
        <v>0</v>
      </c>
      <c r="GP17" s="125">
        <f>SUMIFS('Expenditure Breakdown'!$U$6:$U$173, 'Expenditure Breakdown'!$T$6:$T$173, "&gt;="&amp;GP1,'Expenditure Breakdown'!$T$6:$T$173, "&lt;"&amp;GQ1)</f>
        <v>0</v>
      </c>
      <c r="GQ17" s="125">
        <f>SUMIFS('Expenditure Breakdown'!$U$6:$U$173, 'Expenditure Breakdown'!$T$6:$T$173, "&gt;="&amp;GQ1,'Expenditure Breakdown'!$T$6:$T$173, "&lt;"&amp;GR1)</f>
        <v>0</v>
      </c>
      <c r="GR17" s="125">
        <f>SUMIFS('Expenditure Breakdown'!$U$6:$U$173, 'Expenditure Breakdown'!$T$6:$T$173, "&gt;="&amp;GR1,'Expenditure Breakdown'!$T$6:$T$173, "&lt;"&amp;GS1)</f>
        <v>0</v>
      </c>
      <c r="GS17" s="125">
        <f>SUMIFS('Expenditure Breakdown'!$U$6:$U$173, 'Expenditure Breakdown'!$T$6:$T$173, "&gt;="&amp;GS1,'Expenditure Breakdown'!$T$6:$T$173, "&lt;"&amp;GT1)</f>
        <v>0</v>
      </c>
      <c r="GT17" s="125">
        <f>SUMIFS('Expenditure Breakdown'!$U$6:$U$173, 'Expenditure Breakdown'!$T$6:$T$173, "&gt;="&amp;GT1,'Expenditure Breakdown'!$T$6:$T$173, "&lt;"&amp;GU1)</f>
        <v>0</v>
      </c>
      <c r="GU17" s="125">
        <f>SUMIFS('Expenditure Breakdown'!$U$6:$U$173, 'Expenditure Breakdown'!$T$6:$T$173, "&gt;="&amp;GU1,'Expenditure Breakdown'!$T$6:$T$173, "&lt;"&amp;GV1)</f>
        <v>0</v>
      </c>
      <c r="GV17" s="125">
        <f>SUMIFS('Expenditure Breakdown'!$U$6:$U$173, 'Expenditure Breakdown'!$T$6:$T$173, "&gt;="&amp;GV1,'Expenditure Breakdown'!$T$6:$T$173, "&lt;"&amp;GW1)</f>
        <v>0</v>
      </c>
      <c r="GW17" s="125">
        <f>SUMIFS('Expenditure Breakdown'!$U$6:$U$173, 'Expenditure Breakdown'!$T$6:$T$173, "&gt;="&amp;GW1,'Expenditure Breakdown'!$T$6:$T$173, "&lt;"&amp;GX1)</f>
        <v>0</v>
      </c>
      <c r="GX17" s="125">
        <f>SUMIFS('Expenditure Breakdown'!$U$6:$U$173, 'Expenditure Breakdown'!$T$6:$T$173, "&gt;="&amp;GX1,'Expenditure Breakdown'!$T$6:$T$173, "&lt;"&amp;GY1)</f>
        <v>0</v>
      </c>
      <c r="GY17" s="125">
        <f>SUMIFS('Expenditure Breakdown'!$U$6:$U$173, 'Expenditure Breakdown'!$T$6:$T$173, "&gt;="&amp;GY1,'Expenditure Breakdown'!$T$6:$T$173, "&lt;"&amp;GZ1)</f>
        <v>0</v>
      </c>
      <c r="GZ17" s="125">
        <f>SUMIFS('Expenditure Breakdown'!$U$6:$U$173, 'Expenditure Breakdown'!$T$6:$T$173, "&gt;="&amp;GZ1,'Expenditure Breakdown'!$T$6:$T$173, "&lt;"&amp;HA1)</f>
        <v>0</v>
      </c>
      <c r="HA17" s="125">
        <f>SUMIFS('Expenditure Breakdown'!$U$6:$U$173, 'Expenditure Breakdown'!$T$6:$T$173, "&gt;="&amp;HA1,'Expenditure Breakdown'!$T$6:$T$173, "&lt;"&amp;HB1)</f>
        <v>0</v>
      </c>
      <c r="HB17" s="125">
        <f>SUMIFS('Expenditure Breakdown'!$U$6:$U$173, 'Expenditure Breakdown'!$T$6:$T$173, "&gt;="&amp;HB1,'Expenditure Breakdown'!$T$6:$T$173, "&lt;"&amp;HC1)</f>
        <v>0</v>
      </c>
      <c r="HC17" s="125">
        <f>SUMIFS('Expenditure Breakdown'!$U$6:$U$173, 'Expenditure Breakdown'!$T$6:$T$173, "&gt;="&amp;HC1,'Expenditure Breakdown'!$T$6:$T$173, "&lt;"&amp;HD1)</f>
        <v>0</v>
      </c>
      <c r="HD17" s="125">
        <f>SUMIFS('Expenditure Breakdown'!$U$6:$U$173, 'Expenditure Breakdown'!$T$6:$T$173, "&gt;="&amp;HD1,'Expenditure Breakdown'!$T$6:$T$173, "&lt;"&amp;HE1)</f>
        <v>0</v>
      </c>
      <c r="HE17" s="125">
        <f>SUMIFS('Expenditure Breakdown'!$U$6:$U$173, 'Expenditure Breakdown'!$T$6:$T$173, "&gt;="&amp;HE1,'Expenditure Breakdown'!$T$6:$T$173, "&lt;"&amp;HF1)</f>
        <v>0</v>
      </c>
      <c r="HF17" s="125">
        <f>SUMIFS('Expenditure Breakdown'!$U$6:$U$173, 'Expenditure Breakdown'!$T$6:$T$173, "&gt;="&amp;HF1,'Expenditure Breakdown'!$T$6:$T$173, "&lt;"&amp;HG1)</f>
        <v>0</v>
      </c>
      <c r="HG17" s="125">
        <f>SUMIFS('Expenditure Breakdown'!$U$6:$U$173, 'Expenditure Breakdown'!$T$6:$T$173, "&gt;="&amp;HG1,'Expenditure Breakdown'!$T$6:$T$173, "&lt;"&amp;HH1)</f>
        <v>0</v>
      </c>
      <c r="HH17" s="125">
        <f>SUMIFS('Expenditure Breakdown'!$U$6:$U$173, 'Expenditure Breakdown'!$T$6:$T$173, "&gt;="&amp;HH1,'Expenditure Breakdown'!$T$6:$T$173, "&lt;"&amp;HI1)</f>
        <v>0</v>
      </c>
      <c r="HI17" s="125">
        <f>SUMIFS('Expenditure Breakdown'!$U$6:$U$173, 'Expenditure Breakdown'!$T$6:$T$173, "&gt;="&amp;HI1,'Expenditure Breakdown'!$T$6:$T$173, "&lt;"&amp;HJ1)</f>
        <v>0</v>
      </c>
      <c r="HJ17" s="125">
        <f>SUMIFS('Expenditure Breakdown'!$U$6:$U$173, 'Expenditure Breakdown'!$T$6:$T$173, "&gt;="&amp;HJ1,'Expenditure Breakdown'!$T$6:$T$173, "&lt;"&amp;HK1)</f>
        <v>0</v>
      </c>
      <c r="HK17" s="125">
        <f>SUMIFS('Expenditure Breakdown'!$U$6:$U$173, 'Expenditure Breakdown'!$T$6:$T$173, "&gt;="&amp;HK1,'Expenditure Breakdown'!$T$6:$T$173, "&lt;"&amp;HL1)</f>
        <v>0</v>
      </c>
      <c r="HL17" s="125">
        <f>SUMIFS('Expenditure Breakdown'!$U$6:$U$173, 'Expenditure Breakdown'!$T$6:$T$173, "&gt;="&amp;HL1,'Expenditure Breakdown'!$T$6:$T$173, "&lt;"&amp;HM1)</f>
        <v>0</v>
      </c>
      <c r="HM17" s="125">
        <f>SUMIFS('Expenditure Breakdown'!$U$6:$U$173, 'Expenditure Breakdown'!$T$6:$T$173, "&gt;="&amp;HM1,'Expenditure Breakdown'!$T$6:$T$173, "&lt;"&amp;HN1)</f>
        <v>0</v>
      </c>
      <c r="HN17" s="125">
        <f>SUMIFS('Expenditure Breakdown'!$U$6:$U$173, 'Expenditure Breakdown'!$T$6:$T$173, "&gt;="&amp;HN1,'Expenditure Breakdown'!$T$6:$T$173, "&lt;"&amp;HO1)</f>
        <v>0</v>
      </c>
      <c r="HO17" s="125">
        <f>SUMIFS('Expenditure Breakdown'!$U$6:$U$173, 'Expenditure Breakdown'!$T$6:$T$173, "&gt;="&amp;HO1,'Expenditure Breakdown'!$T$6:$T$173, "&lt;"&amp;HP1)</f>
        <v>0</v>
      </c>
      <c r="HP17" s="125">
        <f>SUMIFS('Expenditure Breakdown'!$U$6:$U$173, 'Expenditure Breakdown'!$T$6:$T$173, "&gt;="&amp;HP1,'Expenditure Breakdown'!$T$6:$T$173, "&lt;"&amp;HQ1)</f>
        <v>0</v>
      </c>
      <c r="HQ17" s="125">
        <f>SUMIFS('Expenditure Breakdown'!$U$6:$U$173, 'Expenditure Breakdown'!$T$6:$T$173, "&gt;="&amp;HQ1,'Expenditure Breakdown'!$T$6:$T$173, "&lt;"&amp;HR1)</f>
        <v>0</v>
      </c>
      <c r="HR17" s="125">
        <f>SUMIFS('Expenditure Breakdown'!$U$6:$U$173, 'Expenditure Breakdown'!$T$6:$T$173, "&gt;="&amp;HR1,'Expenditure Breakdown'!$T$6:$T$173, "&lt;"&amp;HS1)</f>
        <v>0</v>
      </c>
      <c r="HS17" s="125">
        <f>SUMIFS('Expenditure Breakdown'!$U$6:$U$173, 'Expenditure Breakdown'!$T$6:$T$173, "&gt;="&amp;HS1,'Expenditure Breakdown'!$T$6:$T$173, "&lt;"&amp;HT1)</f>
        <v>0</v>
      </c>
      <c r="HT17" s="125">
        <f>SUMIFS('Expenditure Breakdown'!$U$6:$U$173, 'Expenditure Breakdown'!$T$6:$T$173, "&gt;="&amp;HT1,'Expenditure Breakdown'!$T$6:$T$173, "&lt;"&amp;HU1)</f>
        <v>0</v>
      </c>
      <c r="HU17" s="125">
        <f>SUMIFS('Expenditure Breakdown'!$U$6:$U$173, 'Expenditure Breakdown'!$T$6:$T$173, "&gt;="&amp;HU1,'Expenditure Breakdown'!$T$6:$T$173, "&lt;"&amp;HV1)</f>
        <v>0</v>
      </c>
      <c r="HV17" s="125">
        <f>SUMIFS('Expenditure Breakdown'!$U$6:$U$173, 'Expenditure Breakdown'!$T$6:$T$173, "&gt;="&amp;HV1,'Expenditure Breakdown'!$T$6:$T$173, "&lt;"&amp;HW1)</f>
        <v>0</v>
      </c>
      <c r="HW17" s="125">
        <f>SUMIFS('Expenditure Breakdown'!$U$6:$U$173, 'Expenditure Breakdown'!$T$6:$T$173, "&gt;="&amp;HW1,'Expenditure Breakdown'!$T$6:$T$173, "&lt;"&amp;HX1)</f>
        <v>0</v>
      </c>
      <c r="HX17" s="125">
        <f>SUMIFS('Expenditure Breakdown'!$U$6:$U$173, 'Expenditure Breakdown'!$T$6:$T$173, "&gt;="&amp;HX1,'Expenditure Breakdown'!$T$6:$T$173, "&lt;"&amp;HY1)</f>
        <v>0</v>
      </c>
      <c r="HY17" s="125">
        <f>SUMIFS('Expenditure Breakdown'!$U$6:$U$173, 'Expenditure Breakdown'!$T$6:$T$173, "&gt;="&amp;HY1,'Expenditure Breakdown'!$T$6:$T$173, "&lt;"&amp;HZ1)</f>
        <v>0</v>
      </c>
      <c r="HZ17" s="125">
        <f>SUMIFS('Expenditure Breakdown'!$U$6:$U$173, 'Expenditure Breakdown'!$T$6:$T$173, "&gt;="&amp;HZ1,'Expenditure Breakdown'!$T$6:$T$173, "&lt;"&amp;IA1)</f>
        <v>0</v>
      </c>
      <c r="IA17" s="125">
        <f>SUMIFS('Expenditure Breakdown'!$U$6:$U$173, 'Expenditure Breakdown'!$T$6:$T$173, "&gt;="&amp;IA1,'Expenditure Breakdown'!$T$6:$T$173, "&lt;"&amp;IB1)</f>
        <v>0</v>
      </c>
      <c r="IB17" s="125">
        <f>SUMIFS('Expenditure Breakdown'!$U$6:$U$173, 'Expenditure Breakdown'!$T$6:$T$173, "&gt;="&amp;IB1,'Expenditure Breakdown'!$T$6:$T$173, "&lt;"&amp;IC1)</f>
        <v>0</v>
      </c>
      <c r="IC17" s="125">
        <f>SUMIFS('Expenditure Breakdown'!$U$6:$U$173, 'Expenditure Breakdown'!$T$6:$T$173, "&gt;="&amp;IC1,'Expenditure Breakdown'!$T$6:$T$173, "&lt;"&amp;ID1)</f>
        <v>0</v>
      </c>
      <c r="ID17" s="125">
        <f>SUMIFS('Expenditure Breakdown'!$U$6:$U$173, 'Expenditure Breakdown'!$T$6:$T$173, "&gt;="&amp;ID1,'Expenditure Breakdown'!$T$6:$T$173, "&lt;"&amp;IE1)</f>
        <v>0</v>
      </c>
      <c r="IE17" s="125">
        <f>SUMIFS('Expenditure Breakdown'!$U$6:$U$173, 'Expenditure Breakdown'!$T$6:$T$173, "&gt;="&amp;IE1,'Expenditure Breakdown'!$T$6:$T$173, "&lt;"&amp;IF1)</f>
        <v>0</v>
      </c>
      <c r="IF17" s="125">
        <f>SUMIFS('Expenditure Breakdown'!$U$6:$U$173, 'Expenditure Breakdown'!$T$6:$T$173, "&gt;="&amp;IF1,'Expenditure Breakdown'!$T$6:$T$173, "&lt;"&amp;IG1)</f>
        <v>0</v>
      </c>
      <c r="IG17" s="125">
        <f>SUMIFS('Expenditure Breakdown'!$U$6:$U$173, 'Expenditure Breakdown'!$T$6:$T$173, "&gt;="&amp;IG1,'Expenditure Breakdown'!$T$6:$T$173, "&lt;"&amp;IH1)</f>
        <v>0</v>
      </c>
      <c r="IH17" s="125">
        <f>SUMIFS('Expenditure Breakdown'!$U$6:$U$173, 'Expenditure Breakdown'!$T$6:$T$173, "&gt;="&amp;IH1,'Expenditure Breakdown'!$T$6:$T$173, "&lt;"&amp;II1)</f>
        <v>0</v>
      </c>
      <c r="II17" s="125">
        <f>SUMIFS('Expenditure Breakdown'!$U$6:$U$173, 'Expenditure Breakdown'!$T$6:$T$173, "&gt;="&amp;II1,'Expenditure Breakdown'!$T$6:$T$173, "&lt;"&amp;IJ1)</f>
        <v>0</v>
      </c>
      <c r="IJ17" s="125">
        <f>SUMIFS('Expenditure Breakdown'!$U$6:$U$173, 'Expenditure Breakdown'!$T$6:$T$173, "&gt;="&amp;IJ1,'Expenditure Breakdown'!$T$6:$T$173, "&lt;"&amp;IK1)</f>
        <v>0</v>
      </c>
      <c r="IK17" s="125">
        <f>SUMIFS('Expenditure Breakdown'!$U$6:$U$173, 'Expenditure Breakdown'!$T$6:$T$173, "&gt;="&amp;IK1,'Expenditure Breakdown'!$T$6:$T$173, "&lt;"&amp;IL1)</f>
        <v>0</v>
      </c>
      <c r="IL17" s="125">
        <f>SUMIFS('Expenditure Breakdown'!$U$6:$U$173, 'Expenditure Breakdown'!$T$6:$T$173, "&gt;="&amp;IL1,'Expenditure Breakdown'!$T$6:$T$173, "&lt;"&amp;IM1)</f>
        <v>0</v>
      </c>
      <c r="IM17" s="125">
        <f>SUMIFS('Expenditure Breakdown'!$U$6:$U$173, 'Expenditure Breakdown'!$T$6:$T$173, "&gt;="&amp;IM1,'Expenditure Breakdown'!$T$6:$T$173, "&lt;"&amp;IN1)</f>
        <v>0</v>
      </c>
      <c r="IN17" s="125">
        <f>SUMIFS('Expenditure Breakdown'!$U$6:$U$173, 'Expenditure Breakdown'!$T$6:$T$173, "&gt;="&amp;IN1,'Expenditure Breakdown'!$T$6:$T$173, "&lt;"&amp;IO1)</f>
        <v>0</v>
      </c>
      <c r="IO17" s="125">
        <f>SUMIFS('Expenditure Breakdown'!$U$6:$U$173, 'Expenditure Breakdown'!$T$6:$T$173, "&gt;="&amp;IO1,'Expenditure Breakdown'!$T$6:$T$173, "&lt;"&amp;IP1)</f>
        <v>0</v>
      </c>
      <c r="IP17" s="125">
        <f>SUMIFS('Expenditure Breakdown'!$U$6:$U$173, 'Expenditure Breakdown'!$T$6:$T$173, "&gt;="&amp;IP1,'Expenditure Breakdown'!$T$6:$T$173, "&lt;"&amp;IQ1)</f>
        <v>0</v>
      </c>
      <c r="IQ17" s="125">
        <f>SUMIFS('Expenditure Breakdown'!$U$6:$U$173, 'Expenditure Breakdown'!$T$6:$T$173, "&gt;="&amp;IQ1,'Expenditure Breakdown'!$T$6:$T$173, "&lt;"&amp;IR1)</f>
        <v>0</v>
      </c>
      <c r="IR17" s="125">
        <f>SUMIFS('Expenditure Breakdown'!$U$6:$U$173, 'Expenditure Breakdown'!$T$6:$T$173, "&gt;="&amp;IR1,'Expenditure Breakdown'!$T$6:$T$173, "&lt;"&amp;IS1)</f>
        <v>0</v>
      </c>
      <c r="IS17" s="125">
        <f>SUMIFS('Expenditure Breakdown'!$U$6:$U$173, 'Expenditure Breakdown'!$T$6:$T$173, "&gt;="&amp;IS1,'Expenditure Breakdown'!$T$6:$T$173, "&lt;"&amp;IT1)</f>
        <v>0</v>
      </c>
      <c r="IT17" s="125">
        <f>SUMIFS('Expenditure Breakdown'!$U$6:$U$173, 'Expenditure Breakdown'!$T$6:$T$173, "&gt;="&amp;IT1,'Expenditure Breakdown'!$T$6:$T$173, "&lt;"&amp;IU1)</f>
        <v>0</v>
      </c>
      <c r="IU17" s="125">
        <f>SUMIFS('Expenditure Breakdown'!$U$6:$U$173, 'Expenditure Breakdown'!$T$6:$T$173, "&gt;="&amp;IU1,'Expenditure Breakdown'!$T$6:$T$173, "&lt;"&amp;IV1)</f>
        <v>0</v>
      </c>
      <c r="IV17" s="125">
        <f>SUMIFS('Expenditure Breakdown'!$U$6:$U$173, 'Expenditure Breakdown'!$T$6:$T$173, "&gt;="&amp;IV1,'Expenditure Breakdown'!$T$6:$T$173, "&lt;"&amp;IW1)</f>
        <v>0</v>
      </c>
      <c r="IW17" s="125">
        <f>SUMIFS('Expenditure Breakdown'!$U$6:$U$173, 'Expenditure Breakdown'!$T$6:$T$173, "&gt;="&amp;IW1,'Expenditure Breakdown'!$T$6:$T$173, "&lt;"&amp;IX1)</f>
        <v>0</v>
      </c>
      <c r="IX17" s="125">
        <f>SUMIFS('Expenditure Breakdown'!$U$6:$U$173, 'Expenditure Breakdown'!$T$6:$T$173, "&gt;="&amp;IX1,'Expenditure Breakdown'!$T$6:$T$173, "&lt;"&amp;IY1)</f>
        <v>0</v>
      </c>
      <c r="IY17" s="125">
        <f>SUMIFS('Expenditure Breakdown'!$U$6:$U$173, 'Expenditure Breakdown'!$T$6:$T$173, "&gt;="&amp;IY1,'Expenditure Breakdown'!$T$6:$T$173, "&lt;"&amp;IZ1)</f>
        <v>0</v>
      </c>
      <c r="IZ17" s="125">
        <f>SUMIFS('Expenditure Breakdown'!$U$6:$U$173, 'Expenditure Breakdown'!$T$6:$T$173, "&gt;="&amp;IZ1,'Expenditure Breakdown'!$T$6:$T$173, "&lt;"&amp;JA1)</f>
        <v>0</v>
      </c>
      <c r="JA17" s="125">
        <f>SUMIFS('Expenditure Breakdown'!$U$6:$U$173, 'Expenditure Breakdown'!$T$6:$T$173, "&gt;="&amp;JA1,'Expenditure Breakdown'!$T$6:$T$173, "&lt;"&amp;JB1)</f>
        <v>0</v>
      </c>
      <c r="JB17" s="125">
        <f>SUMIFS('Expenditure Breakdown'!$U$6:$U$173, 'Expenditure Breakdown'!$T$6:$T$173, "&gt;="&amp;JB1,'Expenditure Breakdown'!$T$6:$T$173, "&lt;"&amp;JC1)</f>
        <v>0</v>
      </c>
      <c r="JC17" s="125">
        <f>SUMIFS('Expenditure Breakdown'!$U$6:$U$173, 'Expenditure Breakdown'!$T$6:$T$173, "&gt;="&amp;JC1,'Expenditure Breakdown'!$T$6:$T$173, "&lt;"&amp;JD1)</f>
        <v>0</v>
      </c>
      <c r="JD17" s="125">
        <f>SUMIFS('Expenditure Breakdown'!$U$6:$U$173, 'Expenditure Breakdown'!$T$6:$T$173, "&gt;="&amp;JD1,'Expenditure Breakdown'!$T$6:$T$173, "&lt;"&amp;JE1)</f>
        <v>0</v>
      </c>
      <c r="JE17" s="125">
        <f>SUMIFS('Expenditure Breakdown'!$U$6:$U$173, 'Expenditure Breakdown'!$T$6:$T$173, "&gt;="&amp;JE1,'Expenditure Breakdown'!$T$6:$T$173, "&lt;"&amp;JF1)</f>
        <v>0</v>
      </c>
      <c r="JF17" s="125">
        <f>SUMIFS('Expenditure Breakdown'!$U$6:$U$173, 'Expenditure Breakdown'!$T$6:$T$173, "&gt;="&amp;JF1,'Expenditure Breakdown'!$T$6:$T$173, "&lt;"&amp;JG1)</f>
        <v>0</v>
      </c>
      <c r="JG17" s="125">
        <f>SUMIFS('Expenditure Breakdown'!$U$6:$U$173, 'Expenditure Breakdown'!$T$6:$T$173, "&gt;="&amp;JG1,'Expenditure Breakdown'!$T$6:$T$173, "&lt;"&amp;JH1)</f>
        <v>0</v>
      </c>
      <c r="JH17" s="125">
        <f>SUMIFS('Expenditure Breakdown'!$U$6:$U$173, 'Expenditure Breakdown'!$T$6:$T$173, "&gt;="&amp;JH1,'Expenditure Breakdown'!$T$6:$T$173, "&lt;"&amp;JI1)</f>
        <v>0</v>
      </c>
      <c r="JI17" s="125">
        <f>SUMIFS('Expenditure Breakdown'!$U$6:$U$173, 'Expenditure Breakdown'!$T$6:$T$173, "&gt;="&amp;JI1,'Expenditure Breakdown'!$T$6:$T$173, "&lt;"&amp;JJ1)</f>
        <v>0</v>
      </c>
      <c r="JJ17" s="125">
        <f>SUMIFS('Expenditure Breakdown'!$U$6:$U$173, 'Expenditure Breakdown'!$T$6:$T$173, "&gt;="&amp;JJ1,'Expenditure Breakdown'!$T$6:$T$173, "&lt;"&amp;JK1)</f>
        <v>0</v>
      </c>
      <c r="JK17" s="125">
        <f>SUMIFS('Expenditure Breakdown'!$U$6:$U$173, 'Expenditure Breakdown'!$T$6:$T$173, "&gt;="&amp;JK1,'Expenditure Breakdown'!$T$6:$T$173, "&lt;"&amp;JL1)</f>
        <v>0</v>
      </c>
      <c r="JL17" s="125">
        <f>SUMIFS('Expenditure Breakdown'!$U$6:$U$173, 'Expenditure Breakdown'!$T$6:$T$173, "&gt;="&amp;JL1,'Expenditure Breakdown'!$T$6:$T$173, "&lt;"&amp;JM1)</f>
        <v>0</v>
      </c>
      <c r="JM17" s="125">
        <f>SUMIFS('Expenditure Breakdown'!$U$6:$U$173, 'Expenditure Breakdown'!$T$6:$T$173, "&gt;="&amp;JM1,'Expenditure Breakdown'!$T$6:$T$173, "&lt;"&amp;JN1)</f>
        <v>0</v>
      </c>
      <c r="JN17" s="125">
        <f>SUMIFS('Expenditure Breakdown'!$U$6:$U$173, 'Expenditure Breakdown'!$T$6:$T$173, "&gt;="&amp;JN1,'Expenditure Breakdown'!$T$6:$T$173, "&lt;"&amp;JO1)</f>
        <v>0</v>
      </c>
      <c r="JO17" s="125">
        <f>SUMIFS('Expenditure Breakdown'!$U$6:$U$173, 'Expenditure Breakdown'!$T$6:$T$173, "&gt;="&amp;JO1,'Expenditure Breakdown'!$T$6:$T$173, "&lt;"&amp;JP1)</f>
        <v>0</v>
      </c>
      <c r="JP17" s="125">
        <f>SUMIFS('Expenditure Breakdown'!$U$6:$U$173, 'Expenditure Breakdown'!$T$6:$T$173, "&gt;="&amp;JP1,'Expenditure Breakdown'!$T$6:$T$173, "&lt;"&amp;JQ1)</f>
        <v>0</v>
      </c>
      <c r="JQ17" s="125">
        <f>SUMIFS('Expenditure Breakdown'!$U$6:$U$173, 'Expenditure Breakdown'!$T$6:$T$173, "&gt;="&amp;JQ1,'Expenditure Breakdown'!$T$6:$T$173, "&lt;"&amp;JR1)</f>
        <v>0</v>
      </c>
      <c r="JR17" s="125">
        <f>SUMIFS('Expenditure Breakdown'!$U$6:$U$173, 'Expenditure Breakdown'!$T$6:$T$173, "&gt;="&amp;JR1,'Expenditure Breakdown'!$T$6:$T$173, "&lt;"&amp;JS1)</f>
        <v>0</v>
      </c>
      <c r="JS17" s="125">
        <f>SUMIFS('Expenditure Breakdown'!$U$6:$U$173, 'Expenditure Breakdown'!$T$6:$T$173, "&gt;="&amp;JS1,'Expenditure Breakdown'!$T$6:$T$173, "&lt;"&amp;JT1)</f>
        <v>0</v>
      </c>
      <c r="JT17" s="125">
        <f>SUMIFS('Expenditure Breakdown'!$U$6:$U$173, 'Expenditure Breakdown'!$T$6:$T$173, "&gt;="&amp;JT1,'Expenditure Breakdown'!$T$6:$T$173, "&lt;"&amp;JU1)</f>
        <v>0</v>
      </c>
      <c r="JU17" s="125">
        <f>SUMIFS('Expenditure Breakdown'!$U$6:$U$173, 'Expenditure Breakdown'!$T$6:$T$173, "&gt;="&amp;JU1,'Expenditure Breakdown'!$T$6:$T$173, "&lt;"&amp;JV1)</f>
        <v>0</v>
      </c>
      <c r="JV17" s="125">
        <f>SUMIFS('Expenditure Breakdown'!$U$6:$U$173, 'Expenditure Breakdown'!$T$6:$T$173, "&gt;="&amp;JV1,'Expenditure Breakdown'!$T$6:$T$173, "&lt;"&amp;JW1)</f>
        <v>0</v>
      </c>
      <c r="JW17" s="125">
        <f>SUMIFS('Expenditure Breakdown'!$U$6:$U$173, 'Expenditure Breakdown'!$T$6:$T$173, "&gt;="&amp;JW1,'Expenditure Breakdown'!$T$6:$T$173, "&lt;"&amp;JX1)</f>
        <v>0</v>
      </c>
      <c r="JX17" s="125">
        <f>SUMIFS('Expenditure Breakdown'!$U$6:$U$173, 'Expenditure Breakdown'!$T$6:$T$173, "&gt;="&amp;JX1,'Expenditure Breakdown'!$T$6:$T$173, "&lt;"&amp;JY1)</f>
        <v>0</v>
      </c>
      <c r="JY17" s="125">
        <f>SUMIFS('Expenditure Breakdown'!$U$6:$U$173, 'Expenditure Breakdown'!$T$6:$T$173, "&gt;="&amp;JY1,'Expenditure Breakdown'!$T$6:$T$173, "&lt;"&amp;JZ1)</f>
        <v>0</v>
      </c>
      <c r="JZ17" s="125">
        <f>SUMIFS('Expenditure Breakdown'!$U$6:$U$173, 'Expenditure Breakdown'!$T$6:$T$173, "&gt;="&amp;JZ1,'Expenditure Breakdown'!$T$6:$T$173, "&lt;"&amp;KA1)</f>
        <v>0</v>
      </c>
      <c r="KA17" s="125">
        <f>SUMIFS('Expenditure Breakdown'!$U$6:$U$173, 'Expenditure Breakdown'!$T$6:$T$173, "&gt;="&amp;KA1,'Expenditure Breakdown'!$T$6:$T$173, "&lt;"&amp;KB1)</f>
        <v>0</v>
      </c>
      <c r="KB17" s="125">
        <f>SUMIFS('Expenditure Breakdown'!$U$6:$U$173, 'Expenditure Breakdown'!$T$6:$T$173, "&gt;="&amp;KB1,'Expenditure Breakdown'!$T$6:$T$173, "&lt;"&amp;KC1)</f>
        <v>0</v>
      </c>
      <c r="KC17" s="125">
        <f>SUMIFS('Expenditure Breakdown'!$U$6:$U$173, 'Expenditure Breakdown'!$T$6:$T$173, "&gt;="&amp;KC1,'Expenditure Breakdown'!$T$6:$T$173, "&lt;"&amp;KD1)</f>
        <v>0</v>
      </c>
      <c r="KD17" s="125">
        <f>SUMIFS('Expenditure Breakdown'!$U$6:$U$173, 'Expenditure Breakdown'!$T$6:$T$173, "&gt;="&amp;KD1,'Expenditure Breakdown'!$T$6:$T$173, "&lt;"&amp;KE1)</f>
        <v>0</v>
      </c>
      <c r="KE17" s="125">
        <f>SUMIFS('Expenditure Breakdown'!$U$6:$U$173, 'Expenditure Breakdown'!$T$6:$T$173, "&gt;="&amp;KE1,'Expenditure Breakdown'!$T$6:$T$173, "&lt;"&amp;KF1)</f>
        <v>0</v>
      </c>
      <c r="KF17" s="125">
        <f>SUMIFS('Expenditure Breakdown'!$U$6:$U$173, 'Expenditure Breakdown'!$T$6:$T$173, "&gt;="&amp;KF1,'Expenditure Breakdown'!$T$6:$T$173, "&lt;"&amp;#REF!)</f>
        <v>0</v>
      </c>
    </row>
    <row r="18" spans="1:292">
      <c r="A18" s="750"/>
      <c r="B18" s="106" t="s">
        <v>422</v>
      </c>
      <c r="C18" s="275">
        <f>D17-D18</f>
        <v>0</v>
      </c>
      <c r="D18" s="107">
        <f>MAX(F18:KF18)</f>
        <v>2064651.6964640515</v>
      </c>
      <c r="E18" s="117"/>
      <c r="F18" s="125">
        <f>F17</f>
        <v>0</v>
      </c>
      <c r="G18" s="125">
        <f>F18+G17</f>
        <v>0</v>
      </c>
      <c r="H18" s="125">
        <f>G18+H17</f>
        <v>0</v>
      </c>
      <c r="I18" s="125">
        <f t="shared" ref="I18:BT18" si="37">H18+I17</f>
        <v>0</v>
      </c>
      <c r="J18" s="125">
        <f t="shared" si="37"/>
        <v>0</v>
      </c>
      <c r="K18" s="125">
        <f t="shared" si="37"/>
        <v>0</v>
      </c>
      <c r="L18" s="125">
        <f t="shared" si="37"/>
        <v>0</v>
      </c>
      <c r="M18" s="125">
        <f t="shared" si="37"/>
        <v>0</v>
      </c>
      <c r="N18" s="125">
        <f t="shared" si="37"/>
        <v>100416.31076230678</v>
      </c>
      <c r="O18" s="125">
        <f t="shared" si="37"/>
        <v>100416.31076230678</v>
      </c>
      <c r="P18" s="125">
        <f t="shared" si="37"/>
        <v>100416.31076230678</v>
      </c>
      <c r="Q18" s="125">
        <f t="shared" si="37"/>
        <v>100416.31076230678</v>
      </c>
      <c r="R18" s="125">
        <f t="shared" si="37"/>
        <v>1757044.7995259766</v>
      </c>
      <c r="S18" s="125">
        <f t="shared" si="37"/>
        <v>1757044.7995259766</v>
      </c>
      <c r="T18" s="125">
        <f t="shared" si="37"/>
        <v>1757044.7995259766</v>
      </c>
      <c r="U18" s="125">
        <f t="shared" si="37"/>
        <v>1757044.7995259766</v>
      </c>
      <c r="V18" s="125">
        <f t="shared" si="37"/>
        <v>1757044.7995259766</v>
      </c>
      <c r="W18" s="125">
        <f t="shared" si="37"/>
        <v>1762216.8992913251</v>
      </c>
      <c r="X18" s="125">
        <f t="shared" si="37"/>
        <v>1762216.8992913251</v>
      </c>
      <c r="Y18" s="125">
        <f t="shared" si="37"/>
        <v>1762216.8992913251</v>
      </c>
      <c r="Z18" s="125">
        <f t="shared" si="37"/>
        <v>1762216.8992913251</v>
      </c>
      <c r="AA18" s="125">
        <f t="shared" si="37"/>
        <v>2064651.6964640515</v>
      </c>
      <c r="AB18" s="125">
        <f t="shared" si="37"/>
        <v>2064651.6964640515</v>
      </c>
      <c r="AC18" s="125">
        <f t="shared" si="37"/>
        <v>2064651.6964640515</v>
      </c>
      <c r="AD18" s="125">
        <f>AC18+AD17</f>
        <v>2064651.6964640515</v>
      </c>
      <c r="AE18" s="125">
        <f t="shared" si="37"/>
        <v>2064651.6964640515</v>
      </c>
      <c r="AF18" s="125">
        <f t="shared" si="37"/>
        <v>2064651.6964640515</v>
      </c>
      <c r="AG18" s="125">
        <f t="shared" si="37"/>
        <v>2064651.6964640515</v>
      </c>
      <c r="AH18" s="125">
        <f t="shared" si="37"/>
        <v>2064651.6964640515</v>
      </c>
      <c r="AI18" s="125">
        <f t="shared" si="37"/>
        <v>2064651.6964640515</v>
      </c>
      <c r="AJ18" s="125">
        <f t="shared" si="37"/>
        <v>2064651.6964640515</v>
      </c>
      <c r="AK18" s="125">
        <f t="shared" si="37"/>
        <v>2064651.6964640515</v>
      </c>
      <c r="AL18" s="125">
        <f t="shared" si="37"/>
        <v>2064651.6964640515</v>
      </c>
      <c r="AM18" s="125">
        <f t="shared" si="37"/>
        <v>2064651.6964640515</v>
      </c>
      <c r="AN18" s="125">
        <f t="shared" si="37"/>
        <v>2064651.6964640515</v>
      </c>
      <c r="AO18" s="125">
        <f t="shared" si="37"/>
        <v>2064651.6964640515</v>
      </c>
      <c r="AP18" s="125">
        <f t="shared" si="37"/>
        <v>2064651.6964640515</v>
      </c>
      <c r="AQ18" s="125">
        <f t="shared" si="37"/>
        <v>2064651.6964640515</v>
      </c>
      <c r="AR18" s="125">
        <f t="shared" si="37"/>
        <v>2064651.6964640515</v>
      </c>
      <c r="AS18" s="125">
        <f t="shared" si="37"/>
        <v>2064651.6964640515</v>
      </c>
      <c r="AT18" s="125">
        <f t="shared" si="37"/>
        <v>2064651.6964640515</v>
      </c>
      <c r="AU18" s="125">
        <f t="shared" si="37"/>
        <v>2064651.6964640515</v>
      </c>
      <c r="AV18" s="125">
        <f t="shared" si="37"/>
        <v>2064651.6964640515</v>
      </c>
      <c r="AW18" s="125">
        <f t="shared" si="37"/>
        <v>2064651.6964640515</v>
      </c>
      <c r="AX18" s="125">
        <f t="shared" si="37"/>
        <v>2064651.6964640515</v>
      </c>
      <c r="AY18" s="125">
        <f t="shared" si="37"/>
        <v>2064651.6964640515</v>
      </c>
      <c r="AZ18" s="125">
        <f t="shared" si="37"/>
        <v>2064651.6964640515</v>
      </c>
      <c r="BA18" s="125">
        <f t="shared" si="37"/>
        <v>2064651.6964640515</v>
      </c>
      <c r="BB18" s="125">
        <f t="shared" si="37"/>
        <v>2064651.6964640515</v>
      </c>
      <c r="BC18" s="125">
        <f t="shared" si="37"/>
        <v>2064651.6964640515</v>
      </c>
      <c r="BD18" s="125">
        <f t="shared" si="37"/>
        <v>2064651.6964640515</v>
      </c>
      <c r="BE18" s="125">
        <f t="shared" si="37"/>
        <v>2064651.6964640515</v>
      </c>
      <c r="BF18" s="125">
        <f t="shared" si="37"/>
        <v>2064651.6964640515</v>
      </c>
      <c r="BG18" s="125">
        <f t="shared" si="37"/>
        <v>2064651.6964640515</v>
      </c>
      <c r="BH18" s="125">
        <f t="shared" si="37"/>
        <v>2064651.6964640515</v>
      </c>
      <c r="BI18" s="125">
        <f t="shared" si="37"/>
        <v>2064651.6964640515</v>
      </c>
      <c r="BJ18" s="125">
        <f t="shared" si="37"/>
        <v>2064651.6964640515</v>
      </c>
      <c r="BK18" s="125">
        <f t="shared" si="37"/>
        <v>2064651.6964640515</v>
      </c>
      <c r="BL18" s="125">
        <f t="shared" si="37"/>
        <v>2064651.6964640515</v>
      </c>
      <c r="BM18" s="125">
        <f t="shared" si="37"/>
        <v>2064651.6964640515</v>
      </c>
      <c r="BN18" s="125">
        <f t="shared" si="37"/>
        <v>2064651.6964640515</v>
      </c>
      <c r="BO18" s="125">
        <f t="shared" si="37"/>
        <v>2064651.6964640515</v>
      </c>
      <c r="BP18" s="125">
        <f t="shared" si="37"/>
        <v>2064651.6964640515</v>
      </c>
      <c r="BQ18" s="125">
        <f t="shared" si="37"/>
        <v>2064651.6964640515</v>
      </c>
      <c r="BR18" s="125">
        <f t="shared" si="37"/>
        <v>2064651.6964640515</v>
      </c>
      <c r="BS18" s="125">
        <f t="shared" si="37"/>
        <v>2064651.6964640515</v>
      </c>
      <c r="BT18" s="125">
        <f t="shared" si="37"/>
        <v>2064651.6964640515</v>
      </c>
      <c r="BU18" s="125">
        <f t="shared" ref="BU18:EF18" si="38">BT18+BU17</f>
        <v>2064651.6964640515</v>
      </c>
      <c r="BV18" s="125">
        <f t="shared" si="38"/>
        <v>2064651.6964640515</v>
      </c>
      <c r="BW18" s="125">
        <f t="shared" si="38"/>
        <v>2064651.6964640515</v>
      </c>
      <c r="BX18" s="125">
        <f t="shared" si="38"/>
        <v>2064651.6964640515</v>
      </c>
      <c r="BY18" s="125">
        <f t="shared" si="38"/>
        <v>2064651.6964640515</v>
      </c>
      <c r="BZ18" s="125">
        <f t="shared" si="38"/>
        <v>2064651.6964640515</v>
      </c>
      <c r="CA18" s="125">
        <f t="shared" si="38"/>
        <v>2064651.6964640515</v>
      </c>
      <c r="CB18" s="125">
        <f t="shared" si="38"/>
        <v>2064651.6964640515</v>
      </c>
      <c r="CC18" s="125">
        <f t="shared" si="38"/>
        <v>2064651.6964640515</v>
      </c>
      <c r="CD18" s="125">
        <f t="shared" si="38"/>
        <v>2064651.6964640515</v>
      </c>
      <c r="CE18" s="125">
        <f t="shared" si="38"/>
        <v>2064651.6964640515</v>
      </c>
      <c r="CF18" s="125">
        <f t="shared" si="38"/>
        <v>2064651.6964640515</v>
      </c>
      <c r="CG18" s="125">
        <f t="shared" si="38"/>
        <v>2064651.6964640515</v>
      </c>
      <c r="CH18" s="125">
        <f t="shared" si="38"/>
        <v>2064651.6964640515</v>
      </c>
      <c r="CI18" s="125">
        <f t="shared" si="38"/>
        <v>2064651.6964640515</v>
      </c>
      <c r="CJ18" s="125">
        <f t="shared" si="38"/>
        <v>2064651.6964640515</v>
      </c>
      <c r="CK18" s="125">
        <f t="shared" si="38"/>
        <v>2064651.6964640515</v>
      </c>
      <c r="CL18" s="125">
        <f t="shared" si="38"/>
        <v>2064651.6964640515</v>
      </c>
      <c r="CM18" s="125">
        <f t="shared" si="38"/>
        <v>2064651.6964640515</v>
      </c>
      <c r="CN18" s="125">
        <f t="shared" si="38"/>
        <v>2064651.6964640515</v>
      </c>
      <c r="CO18" s="125">
        <f t="shared" si="38"/>
        <v>2064651.6964640515</v>
      </c>
      <c r="CP18" s="125">
        <f t="shared" si="38"/>
        <v>2064651.6964640515</v>
      </c>
      <c r="CQ18" s="125">
        <f t="shared" si="38"/>
        <v>2064651.6964640515</v>
      </c>
      <c r="CR18" s="125">
        <f t="shared" si="38"/>
        <v>2064651.6964640515</v>
      </c>
      <c r="CS18" s="125">
        <f t="shared" si="38"/>
        <v>2064651.6964640515</v>
      </c>
      <c r="CT18" s="125">
        <f t="shared" si="38"/>
        <v>2064651.6964640515</v>
      </c>
      <c r="CU18" s="125">
        <f t="shared" si="38"/>
        <v>2064651.6964640515</v>
      </c>
      <c r="CV18" s="125">
        <f t="shared" si="38"/>
        <v>2064651.6964640515</v>
      </c>
      <c r="CW18" s="125">
        <f t="shared" si="38"/>
        <v>2064651.6964640515</v>
      </c>
      <c r="CX18" s="125">
        <f t="shared" si="38"/>
        <v>2064651.6964640515</v>
      </c>
      <c r="CY18" s="125">
        <f t="shared" si="38"/>
        <v>2064651.6964640515</v>
      </c>
      <c r="CZ18" s="125">
        <f t="shared" si="38"/>
        <v>2064651.6964640515</v>
      </c>
      <c r="DA18" s="125">
        <f t="shared" si="38"/>
        <v>2064651.6964640515</v>
      </c>
      <c r="DB18" s="125">
        <f t="shared" si="38"/>
        <v>2064651.6964640515</v>
      </c>
      <c r="DC18" s="125">
        <f t="shared" si="38"/>
        <v>2064651.6964640515</v>
      </c>
      <c r="DD18" s="125">
        <f t="shared" si="38"/>
        <v>2064651.6964640515</v>
      </c>
      <c r="DE18" s="125">
        <f t="shared" si="38"/>
        <v>2064651.6964640515</v>
      </c>
      <c r="DF18" s="125">
        <f t="shared" si="38"/>
        <v>2064651.6964640515</v>
      </c>
      <c r="DG18" s="125">
        <f t="shared" si="38"/>
        <v>2064651.6964640515</v>
      </c>
      <c r="DH18" s="125">
        <f t="shared" si="38"/>
        <v>2064651.6964640515</v>
      </c>
      <c r="DI18" s="125">
        <f t="shared" si="38"/>
        <v>2064651.6964640515</v>
      </c>
      <c r="DJ18" s="125">
        <f t="shared" si="38"/>
        <v>2064651.6964640515</v>
      </c>
      <c r="DK18" s="125">
        <f t="shared" si="38"/>
        <v>2064651.6964640515</v>
      </c>
      <c r="DL18" s="125">
        <f t="shared" si="38"/>
        <v>2064651.6964640515</v>
      </c>
      <c r="DM18" s="125">
        <f t="shared" si="38"/>
        <v>2064651.6964640515</v>
      </c>
      <c r="DN18" s="125">
        <f t="shared" si="38"/>
        <v>2064651.6964640515</v>
      </c>
      <c r="DO18" s="125">
        <f t="shared" si="38"/>
        <v>2064651.6964640515</v>
      </c>
      <c r="DP18" s="125">
        <f t="shared" si="38"/>
        <v>2064651.6964640515</v>
      </c>
      <c r="DQ18" s="125">
        <f t="shared" si="38"/>
        <v>2064651.6964640515</v>
      </c>
      <c r="DR18" s="125">
        <f t="shared" si="38"/>
        <v>2064651.6964640515</v>
      </c>
      <c r="DS18" s="125">
        <f t="shared" si="38"/>
        <v>2064651.6964640515</v>
      </c>
      <c r="DT18" s="125">
        <f t="shared" si="38"/>
        <v>2064651.6964640515</v>
      </c>
      <c r="DU18" s="125">
        <f t="shared" si="38"/>
        <v>2064651.6964640515</v>
      </c>
      <c r="DV18" s="125">
        <f t="shared" si="38"/>
        <v>2064651.6964640515</v>
      </c>
      <c r="DW18" s="125">
        <f t="shared" si="38"/>
        <v>2064651.6964640515</v>
      </c>
      <c r="DX18" s="125">
        <f t="shared" si="38"/>
        <v>2064651.6964640515</v>
      </c>
      <c r="DY18" s="125">
        <f t="shared" si="38"/>
        <v>2064651.6964640515</v>
      </c>
      <c r="DZ18" s="125">
        <f t="shared" si="38"/>
        <v>2064651.6964640515</v>
      </c>
      <c r="EA18" s="125">
        <f t="shared" si="38"/>
        <v>2064651.6964640515</v>
      </c>
      <c r="EB18" s="125">
        <f t="shared" si="38"/>
        <v>2064651.6964640515</v>
      </c>
      <c r="EC18" s="125">
        <f t="shared" si="38"/>
        <v>2064651.6964640515</v>
      </c>
      <c r="ED18" s="125">
        <f t="shared" si="38"/>
        <v>2064651.6964640515</v>
      </c>
      <c r="EE18" s="125">
        <f t="shared" si="38"/>
        <v>2064651.6964640515</v>
      </c>
      <c r="EF18" s="125">
        <f t="shared" si="38"/>
        <v>2064651.6964640515</v>
      </c>
      <c r="EG18" s="125">
        <f t="shared" ref="EG18:GR18" si="39">EF18+EG17</f>
        <v>2064651.6964640515</v>
      </c>
      <c r="EH18" s="125">
        <f t="shared" si="39"/>
        <v>2064651.6964640515</v>
      </c>
      <c r="EI18" s="125">
        <f t="shared" si="39"/>
        <v>2064651.6964640515</v>
      </c>
      <c r="EJ18" s="125">
        <f t="shared" si="39"/>
        <v>2064651.6964640515</v>
      </c>
      <c r="EK18" s="125">
        <f t="shared" si="39"/>
        <v>2064651.6964640515</v>
      </c>
      <c r="EL18" s="125">
        <f t="shared" si="39"/>
        <v>2064651.6964640515</v>
      </c>
      <c r="EM18" s="125">
        <f t="shared" si="39"/>
        <v>2064651.6964640515</v>
      </c>
      <c r="EN18" s="125">
        <f t="shared" si="39"/>
        <v>2064651.6964640515</v>
      </c>
      <c r="EO18" s="125">
        <f t="shared" si="39"/>
        <v>2064651.6964640515</v>
      </c>
      <c r="EP18" s="125">
        <f t="shared" si="39"/>
        <v>2064651.6964640515</v>
      </c>
      <c r="EQ18" s="125">
        <f t="shared" si="39"/>
        <v>2064651.6964640515</v>
      </c>
      <c r="ER18" s="125">
        <f t="shared" si="39"/>
        <v>2064651.6964640515</v>
      </c>
      <c r="ES18" s="125">
        <f t="shared" si="39"/>
        <v>2064651.6964640515</v>
      </c>
      <c r="ET18" s="125">
        <f t="shared" si="39"/>
        <v>2064651.6964640515</v>
      </c>
      <c r="EU18" s="125">
        <f t="shared" si="39"/>
        <v>2064651.6964640515</v>
      </c>
      <c r="EV18" s="125">
        <f t="shared" si="39"/>
        <v>2064651.6964640515</v>
      </c>
      <c r="EW18" s="125">
        <f t="shared" si="39"/>
        <v>2064651.6964640515</v>
      </c>
      <c r="EX18" s="125">
        <f t="shared" si="39"/>
        <v>2064651.6964640515</v>
      </c>
      <c r="EY18" s="125">
        <f t="shared" si="39"/>
        <v>2064651.6964640515</v>
      </c>
      <c r="EZ18" s="125">
        <f t="shared" si="39"/>
        <v>2064651.6964640515</v>
      </c>
      <c r="FA18" s="125">
        <f t="shared" si="39"/>
        <v>2064651.6964640515</v>
      </c>
      <c r="FB18" s="125">
        <f t="shared" si="39"/>
        <v>2064651.6964640515</v>
      </c>
      <c r="FC18" s="125">
        <f t="shared" si="39"/>
        <v>2064651.6964640515</v>
      </c>
      <c r="FD18" s="125">
        <f t="shared" si="39"/>
        <v>2064651.6964640515</v>
      </c>
      <c r="FE18" s="125">
        <f t="shared" si="39"/>
        <v>2064651.6964640515</v>
      </c>
      <c r="FF18" s="125">
        <f t="shared" si="39"/>
        <v>2064651.6964640515</v>
      </c>
      <c r="FG18" s="125">
        <f t="shared" si="39"/>
        <v>2064651.6964640515</v>
      </c>
      <c r="FH18" s="125">
        <f t="shared" si="39"/>
        <v>2064651.6964640515</v>
      </c>
      <c r="FI18" s="125">
        <f t="shared" si="39"/>
        <v>2064651.6964640515</v>
      </c>
      <c r="FJ18" s="125">
        <f t="shared" si="39"/>
        <v>2064651.6964640515</v>
      </c>
      <c r="FK18" s="125">
        <f t="shared" si="39"/>
        <v>2064651.6964640515</v>
      </c>
      <c r="FL18" s="125">
        <f t="shared" si="39"/>
        <v>2064651.6964640515</v>
      </c>
      <c r="FM18" s="125">
        <f t="shared" si="39"/>
        <v>2064651.6964640515</v>
      </c>
      <c r="FN18" s="125">
        <f t="shared" si="39"/>
        <v>2064651.6964640515</v>
      </c>
      <c r="FO18" s="125">
        <f t="shared" si="39"/>
        <v>2064651.6964640515</v>
      </c>
      <c r="FP18" s="125">
        <f t="shared" si="39"/>
        <v>2064651.6964640515</v>
      </c>
      <c r="FQ18" s="125">
        <f t="shared" si="39"/>
        <v>2064651.6964640515</v>
      </c>
      <c r="FR18" s="125">
        <f t="shared" si="39"/>
        <v>2064651.6964640515</v>
      </c>
      <c r="FS18" s="125">
        <f t="shared" si="39"/>
        <v>2064651.6964640515</v>
      </c>
      <c r="FT18" s="125">
        <f t="shared" si="39"/>
        <v>2064651.6964640515</v>
      </c>
      <c r="FU18" s="125">
        <f t="shared" si="39"/>
        <v>2064651.6964640515</v>
      </c>
      <c r="FV18" s="125">
        <f t="shared" si="39"/>
        <v>2064651.6964640515</v>
      </c>
      <c r="FW18" s="125">
        <f t="shared" si="39"/>
        <v>2064651.6964640515</v>
      </c>
      <c r="FX18" s="125">
        <f t="shared" si="39"/>
        <v>2064651.6964640515</v>
      </c>
      <c r="FY18" s="125">
        <f t="shared" si="39"/>
        <v>2064651.6964640515</v>
      </c>
      <c r="FZ18" s="125">
        <f t="shared" si="39"/>
        <v>2064651.6964640515</v>
      </c>
      <c r="GA18" s="125">
        <f t="shared" si="39"/>
        <v>2064651.6964640515</v>
      </c>
      <c r="GB18" s="125">
        <f t="shared" si="39"/>
        <v>2064651.6964640515</v>
      </c>
      <c r="GC18" s="125">
        <f t="shared" si="39"/>
        <v>2064651.6964640515</v>
      </c>
      <c r="GD18" s="125">
        <f t="shared" si="39"/>
        <v>2064651.6964640515</v>
      </c>
      <c r="GE18" s="125">
        <f t="shared" si="39"/>
        <v>2064651.6964640515</v>
      </c>
      <c r="GF18" s="125">
        <f t="shared" si="39"/>
        <v>2064651.6964640515</v>
      </c>
      <c r="GG18" s="125">
        <f t="shared" si="39"/>
        <v>2064651.6964640515</v>
      </c>
      <c r="GH18" s="125">
        <f t="shared" si="39"/>
        <v>2064651.6964640515</v>
      </c>
      <c r="GI18" s="125">
        <f t="shared" si="39"/>
        <v>2064651.6964640515</v>
      </c>
      <c r="GJ18" s="125">
        <f t="shared" si="39"/>
        <v>2064651.6964640515</v>
      </c>
      <c r="GK18" s="125">
        <f t="shared" si="39"/>
        <v>2064651.6964640515</v>
      </c>
      <c r="GL18" s="125">
        <f t="shared" si="39"/>
        <v>2064651.6964640515</v>
      </c>
      <c r="GM18" s="125">
        <f t="shared" si="39"/>
        <v>2064651.6964640515</v>
      </c>
      <c r="GN18" s="125">
        <f t="shared" si="39"/>
        <v>2064651.6964640515</v>
      </c>
      <c r="GO18" s="125">
        <f t="shared" si="39"/>
        <v>2064651.6964640515</v>
      </c>
      <c r="GP18" s="125">
        <f t="shared" si="39"/>
        <v>2064651.6964640515</v>
      </c>
      <c r="GQ18" s="125">
        <f t="shared" si="39"/>
        <v>2064651.6964640515</v>
      </c>
      <c r="GR18" s="125">
        <f t="shared" si="39"/>
        <v>2064651.6964640515</v>
      </c>
      <c r="GS18" s="125">
        <f t="shared" ref="GS18:JD18" si="40">GR18+GS17</f>
        <v>2064651.6964640515</v>
      </c>
      <c r="GT18" s="125">
        <f t="shared" si="40"/>
        <v>2064651.6964640515</v>
      </c>
      <c r="GU18" s="125">
        <f t="shared" si="40"/>
        <v>2064651.6964640515</v>
      </c>
      <c r="GV18" s="125">
        <f t="shared" si="40"/>
        <v>2064651.6964640515</v>
      </c>
      <c r="GW18" s="125">
        <f t="shared" si="40"/>
        <v>2064651.6964640515</v>
      </c>
      <c r="GX18" s="125">
        <f t="shared" si="40"/>
        <v>2064651.6964640515</v>
      </c>
      <c r="GY18" s="125">
        <f t="shared" si="40"/>
        <v>2064651.6964640515</v>
      </c>
      <c r="GZ18" s="125">
        <f t="shared" si="40"/>
        <v>2064651.6964640515</v>
      </c>
      <c r="HA18" s="125">
        <f t="shared" si="40"/>
        <v>2064651.6964640515</v>
      </c>
      <c r="HB18" s="125">
        <f t="shared" si="40"/>
        <v>2064651.6964640515</v>
      </c>
      <c r="HC18" s="125">
        <f t="shared" si="40"/>
        <v>2064651.6964640515</v>
      </c>
      <c r="HD18" s="125">
        <f t="shared" si="40"/>
        <v>2064651.6964640515</v>
      </c>
      <c r="HE18" s="125">
        <f t="shared" si="40"/>
        <v>2064651.6964640515</v>
      </c>
      <c r="HF18" s="125">
        <f t="shared" si="40"/>
        <v>2064651.6964640515</v>
      </c>
      <c r="HG18" s="125">
        <f t="shared" si="40"/>
        <v>2064651.6964640515</v>
      </c>
      <c r="HH18" s="125">
        <f t="shared" si="40"/>
        <v>2064651.6964640515</v>
      </c>
      <c r="HI18" s="125">
        <f t="shared" si="40"/>
        <v>2064651.6964640515</v>
      </c>
      <c r="HJ18" s="125">
        <f t="shared" si="40"/>
        <v>2064651.6964640515</v>
      </c>
      <c r="HK18" s="125">
        <f t="shared" si="40"/>
        <v>2064651.6964640515</v>
      </c>
      <c r="HL18" s="125">
        <f t="shared" si="40"/>
        <v>2064651.6964640515</v>
      </c>
      <c r="HM18" s="125">
        <f t="shared" si="40"/>
        <v>2064651.6964640515</v>
      </c>
      <c r="HN18" s="125">
        <f t="shared" si="40"/>
        <v>2064651.6964640515</v>
      </c>
      <c r="HO18" s="125">
        <f t="shared" si="40"/>
        <v>2064651.6964640515</v>
      </c>
      <c r="HP18" s="125">
        <f t="shared" si="40"/>
        <v>2064651.6964640515</v>
      </c>
      <c r="HQ18" s="125">
        <f t="shared" si="40"/>
        <v>2064651.6964640515</v>
      </c>
      <c r="HR18" s="125">
        <f t="shared" si="40"/>
        <v>2064651.6964640515</v>
      </c>
      <c r="HS18" s="125">
        <f t="shared" si="40"/>
        <v>2064651.6964640515</v>
      </c>
      <c r="HT18" s="125">
        <f t="shared" si="40"/>
        <v>2064651.6964640515</v>
      </c>
      <c r="HU18" s="125">
        <f t="shared" si="40"/>
        <v>2064651.6964640515</v>
      </c>
      <c r="HV18" s="125">
        <f t="shared" si="40"/>
        <v>2064651.6964640515</v>
      </c>
      <c r="HW18" s="125">
        <f t="shared" si="40"/>
        <v>2064651.6964640515</v>
      </c>
      <c r="HX18" s="125">
        <f t="shared" si="40"/>
        <v>2064651.6964640515</v>
      </c>
      <c r="HY18" s="125">
        <f t="shared" si="40"/>
        <v>2064651.6964640515</v>
      </c>
      <c r="HZ18" s="125">
        <f t="shared" si="40"/>
        <v>2064651.6964640515</v>
      </c>
      <c r="IA18" s="125">
        <f t="shared" si="40"/>
        <v>2064651.6964640515</v>
      </c>
      <c r="IB18" s="125">
        <f t="shared" si="40"/>
        <v>2064651.6964640515</v>
      </c>
      <c r="IC18" s="125">
        <f t="shared" si="40"/>
        <v>2064651.6964640515</v>
      </c>
      <c r="ID18" s="125">
        <f t="shared" si="40"/>
        <v>2064651.6964640515</v>
      </c>
      <c r="IE18" s="125">
        <f t="shared" si="40"/>
        <v>2064651.6964640515</v>
      </c>
      <c r="IF18" s="125">
        <f t="shared" si="40"/>
        <v>2064651.6964640515</v>
      </c>
      <c r="IG18" s="125">
        <f t="shared" si="40"/>
        <v>2064651.6964640515</v>
      </c>
      <c r="IH18" s="125">
        <f t="shared" si="40"/>
        <v>2064651.6964640515</v>
      </c>
      <c r="II18" s="125">
        <f t="shared" si="40"/>
        <v>2064651.6964640515</v>
      </c>
      <c r="IJ18" s="125">
        <f t="shared" si="40"/>
        <v>2064651.6964640515</v>
      </c>
      <c r="IK18" s="125">
        <f t="shared" si="40"/>
        <v>2064651.6964640515</v>
      </c>
      <c r="IL18" s="125">
        <f t="shared" si="40"/>
        <v>2064651.6964640515</v>
      </c>
      <c r="IM18" s="125">
        <f t="shared" si="40"/>
        <v>2064651.6964640515</v>
      </c>
      <c r="IN18" s="125">
        <f t="shared" si="40"/>
        <v>2064651.6964640515</v>
      </c>
      <c r="IO18" s="125">
        <f t="shared" si="40"/>
        <v>2064651.6964640515</v>
      </c>
      <c r="IP18" s="125">
        <f t="shared" si="40"/>
        <v>2064651.6964640515</v>
      </c>
      <c r="IQ18" s="125">
        <f t="shared" si="40"/>
        <v>2064651.6964640515</v>
      </c>
      <c r="IR18" s="125">
        <f t="shared" si="40"/>
        <v>2064651.6964640515</v>
      </c>
      <c r="IS18" s="125">
        <f t="shared" si="40"/>
        <v>2064651.6964640515</v>
      </c>
      <c r="IT18" s="125">
        <f t="shared" si="40"/>
        <v>2064651.6964640515</v>
      </c>
      <c r="IU18" s="125">
        <f t="shared" si="40"/>
        <v>2064651.6964640515</v>
      </c>
      <c r="IV18" s="125">
        <f t="shared" si="40"/>
        <v>2064651.6964640515</v>
      </c>
      <c r="IW18" s="125">
        <f t="shared" si="40"/>
        <v>2064651.6964640515</v>
      </c>
      <c r="IX18" s="125">
        <f t="shared" si="40"/>
        <v>2064651.6964640515</v>
      </c>
      <c r="IY18" s="125">
        <f t="shared" si="40"/>
        <v>2064651.6964640515</v>
      </c>
      <c r="IZ18" s="125">
        <f t="shared" si="40"/>
        <v>2064651.6964640515</v>
      </c>
      <c r="JA18" s="125">
        <f t="shared" si="40"/>
        <v>2064651.6964640515</v>
      </c>
      <c r="JB18" s="125">
        <f t="shared" si="40"/>
        <v>2064651.6964640515</v>
      </c>
      <c r="JC18" s="125">
        <f t="shared" si="40"/>
        <v>2064651.6964640515</v>
      </c>
      <c r="JD18" s="125">
        <f t="shared" si="40"/>
        <v>2064651.6964640515</v>
      </c>
      <c r="JE18" s="125">
        <f t="shared" ref="JE18:KF18" si="41">JD18+JE17</f>
        <v>2064651.6964640515</v>
      </c>
      <c r="JF18" s="125">
        <f t="shared" si="41"/>
        <v>2064651.6964640515</v>
      </c>
      <c r="JG18" s="125">
        <f t="shared" si="41"/>
        <v>2064651.6964640515</v>
      </c>
      <c r="JH18" s="125">
        <f t="shared" si="41"/>
        <v>2064651.6964640515</v>
      </c>
      <c r="JI18" s="125">
        <f t="shared" si="41"/>
        <v>2064651.6964640515</v>
      </c>
      <c r="JJ18" s="125">
        <f t="shared" si="41"/>
        <v>2064651.6964640515</v>
      </c>
      <c r="JK18" s="125">
        <f t="shared" si="41"/>
        <v>2064651.6964640515</v>
      </c>
      <c r="JL18" s="125">
        <f t="shared" si="41"/>
        <v>2064651.6964640515</v>
      </c>
      <c r="JM18" s="125">
        <f t="shared" si="41"/>
        <v>2064651.6964640515</v>
      </c>
      <c r="JN18" s="125">
        <f t="shared" si="41"/>
        <v>2064651.6964640515</v>
      </c>
      <c r="JO18" s="125">
        <f t="shared" si="41"/>
        <v>2064651.6964640515</v>
      </c>
      <c r="JP18" s="125">
        <f t="shared" si="41"/>
        <v>2064651.6964640515</v>
      </c>
      <c r="JQ18" s="125">
        <f t="shared" si="41"/>
        <v>2064651.6964640515</v>
      </c>
      <c r="JR18" s="125">
        <f t="shared" si="41"/>
        <v>2064651.6964640515</v>
      </c>
      <c r="JS18" s="125">
        <f t="shared" si="41"/>
        <v>2064651.6964640515</v>
      </c>
      <c r="JT18" s="125">
        <f t="shared" si="41"/>
        <v>2064651.6964640515</v>
      </c>
      <c r="JU18" s="125">
        <f t="shared" si="41"/>
        <v>2064651.6964640515</v>
      </c>
      <c r="JV18" s="125">
        <f t="shared" si="41"/>
        <v>2064651.6964640515</v>
      </c>
      <c r="JW18" s="125">
        <f t="shared" si="41"/>
        <v>2064651.6964640515</v>
      </c>
      <c r="JX18" s="125">
        <f t="shared" si="41"/>
        <v>2064651.6964640515</v>
      </c>
      <c r="JY18" s="125">
        <f t="shared" si="41"/>
        <v>2064651.6964640515</v>
      </c>
      <c r="JZ18" s="125">
        <f t="shared" si="41"/>
        <v>2064651.6964640515</v>
      </c>
      <c r="KA18" s="125">
        <f t="shared" si="41"/>
        <v>2064651.6964640515</v>
      </c>
      <c r="KB18" s="125">
        <f t="shared" si="41"/>
        <v>2064651.6964640515</v>
      </c>
      <c r="KC18" s="125">
        <f t="shared" si="41"/>
        <v>2064651.6964640515</v>
      </c>
      <c r="KD18" s="125">
        <f t="shared" si="41"/>
        <v>2064651.6964640515</v>
      </c>
      <c r="KE18" s="125">
        <f t="shared" si="41"/>
        <v>2064651.6964640515</v>
      </c>
      <c r="KF18" s="125">
        <f t="shared" si="41"/>
        <v>2064651.6964640515</v>
      </c>
    </row>
    <row r="19" spans="1:292" s="102" customFormat="1"/>
  </sheetData>
  <mergeCells count="3">
    <mergeCell ref="A2:A7"/>
    <mergeCell ref="A8:A14"/>
    <mergeCell ref="A17:A18"/>
  </mergeCells>
  <conditionalFormatting sqref="C17">
    <cfRule type="cellIs" dxfId="4" priority="1" operator="greaterThan">
      <formula>0.1</formula>
    </cfRule>
  </conditionalFormatting>
  <conditionalFormatting sqref="D3">
    <cfRule type="cellIs" dxfId="3" priority="10" operator="notEqual">
      <formula>$C$3</formula>
    </cfRule>
  </conditionalFormatting>
  <conditionalFormatting sqref="D5">
    <cfRule type="cellIs" dxfId="2" priority="8" operator="notEqual">
      <formula>$C$5</formula>
    </cfRule>
  </conditionalFormatting>
  <conditionalFormatting sqref="D9">
    <cfRule type="cellIs" dxfId="1" priority="9" operator="notEqual">
      <formula>$C$9</formula>
    </cfRule>
  </conditionalFormatting>
  <conditionalFormatting sqref="D11">
    <cfRule type="cellIs" dxfId="0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E8" sqref="E8"/>
    </sheetView>
  </sheetViews>
  <sheetFormatPr defaultColWidth="12.5546875" defaultRowHeight="14.4"/>
  <cols>
    <col min="1" max="1" width="39.44140625" style="269" bestFit="1" customWidth="1"/>
    <col min="2" max="2" width="17.33203125" style="270" bestFit="1" customWidth="1"/>
    <col min="3" max="3" width="13.33203125" style="269" bestFit="1" customWidth="1"/>
    <col min="4" max="4" width="14.88671875" style="269" bestFit="1" customWidth="1"/>
    <col min="5" max="5" width="11.6640625" style="269" bestFit="1" customWidth="1"/>
    <col min="6" max="6" width="4.88671875" style="269" bestFit="1" customWidth="1"/>
    <col min="7" max="7" width="13.33203125" style="269" bestFit="1" customWidth="1"/>
    <col min="8" max="8" width="14.88671875" style="269" bestFit="1" customWidth="1"/>
    <col min="9" max="9" width="14.5546875" style="269" bestFit="1" customWidth="1"/>
    <col min="10" max="10" width="11.44140625" style="269" bestFit="1" customWidth="1"/>
    <col min="11" max="11" width="13.5546875" style="269" bestFit="1" customWidth="1"/>
    <col min="12" max="12" width="6.44140625" style="269" bestFit="1" customWidth="1"/>
    <col min="13" max="13" width="14.5546875" style="269" bestFit="1" customWidth="1"/>
    <col min="14" max="14" width="13.5546875" style="269" bestFit="1" customWidth="1"/>
    <col min="15" max="18" width="11.44140625" style="269" bestFit="1" customWidth="1"/>
    <col min="19" max="19" width="13.5546875" style="269" bestFit="1" customWidth="1"/>
    <col min="20" max="16384" width="12.5546875" style="269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541" t="s">
        <v>423</v>
      </c>
      <c r="B3" s="541" t="s">
        <v>424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541" t="s">
        <v>425</v>
      </c>
      <c r="B4" t="s">
        <v>426</v>
      </c>
      <c r="C4" s="346">
        <v>45961</v>
      </c>
      <c r="D4" s="346">
        <v>45991</v>
      </c>
      <c r="E4" s="346">
        <v>46022</v>
      </c>
      <c r="F4"/>
      <c r="G4" s="346">
        <v>46053</v>
      </c>
      <c r="H4" t="s">
        <v>427</v>
      </c>
      <c r="I4"/>
      <c r="J4"/>
      <c r="K4"/>
      <c r="L4"/>
      <c r="M4"/>
      <c r="N4"/>
      <c r="O4"/>
      <c r="P4"/>
      <c r="Q4"/>
      <c r="R4"/>
      <c r="S4"/>
      <c r="T4"/>
    </row>
    <row r="5" spans="1:20">
      <c r="A5" s="345" t="s">
        <v>426</v>
      </c>
      <c r="B5" s="272"/>
      <c r="C5" s="272"/>
      <c r="D5" s="272"/>
      <c r="E5" s="272"/>
      <c r="F5" s="272"/>
      <c r="G5" s="272"/>
      <c r="H5" s="272"/>
      <c r="I5"/>
      <c r="J5"/>
      <c r="K5"/>
      <c r="L5"/>
      <c r="M5"/>
      <c r="N5"/>
      <c r="O5"/>
      <c r="P5"/>
      <c r="Q5"/>
      <c r="R5"/>
      <c r="S5"/>
      <c r="T5"/>
    </row>
    <row r="6" spans="1:20">
      <c r="A6" s="345" t="s">
        <v>262</v>
      </c>
      <c r="B6" s="272"/>
      <c r="C6" s="272"/>
      <c r="D6" s="272">
        <v>696208.00000000012</v>
      </c>
      <c r="E6" s="272"/>
      <c r="F6" s="272">
        <v>0</v>
      </c>
      <c r="G6" s="272"/>
      <c r="H6" s="272">
        <v>696208.00000000012</v>
      </c>
      <c r="I6"/>
      <c r="J6"/>
      <c r="K6"/>
      <c r="L6"/>
      <c r="M6"/>
      <c r="N6"/>
      <c r="O6"/>
      <c r="P6"/>
      <c r="Q6"/>
      <c r="R6"/>
      <c r="S6"/>
      <c r="T6"/>
    </row>
    <row r="7" spans="1:20">
      <c r="A7" s="345" t="s">
        <v>275</v>
      </c>
      <c r="B7" s="272"/>
      <c r="C7" s="272"/>
      <c r="D7" s="272">
        <v>175000</v>
      </c>
      <c r="E7" s="272"/>
      <c r="F7" s="272">
        <v>0</v>
      </c>
      <c r="G7" s="272"/>
      <c r="H7" s="272">
        <v>175000</v>
      </c>
      <c r="I7"/>
      <c r="J7"/>
      <c r="K7"/>
      <c r="L7"/>
      <c r="M7"/>
      <c r="N7"/>
      <c r="O7"/>
      <c r="P7"/>
      <c r="Q7"/>
      <c r="R7"/>
      <c r="S7"/>
      <c r="T7"/>
    </row>
    <row r="8" spans="1:20">
      <c r="A8" s="345" t="s">
        <v>286</v>
      </c>
      <c r="B8" s="272">
        <v>0</v>
      </c>
      <c r="C8" s="272"/>
      <c r="D8" s="272">
        <v>128110.77692850587</v>
      </c>
      <c r="E8" s="272"/>
      <c r="F8" s="272">
        <v>0</v>
      </c>
      <c r="G8" s="272">
        <v>12784.221849911748</v>
      </c>
      <c r="H8" s="272">
        <v>140894.99877841762</v>
      </c>
      <c r="I8"/>
      <c r="J8"/>
      <c r="K8"/>
      <c r="L8"/>
      <c r="M8"/>
      <c r="N8"/>
      <c r="O8"/>
      <c r="P8"/>
      <c r="Q8"/>
      <c r="R8"/>
      <c r="S8"/>
      <c r="T8"/>
    </row>
    <row r="9" spans="1:20">
      <c r="A9" s="345" t="s">
        <v>300</v>
      </c>
      <c r="B9" s="272"/>
      <c r="C9" s="272">
        <v>8718.1164575988332</v>
      </c>
      <c r="D9" s="272">
        <v>208591.76658993939</v>
      </c>
      <c r="E9" s="272">
        <v>0</v>
      </c>
      <c r="F9" s="272">
        <v>0</v>
      </c>
      <c r="G9" s="272">
        <v>41482.114808582257</v>
      </c>
      <c r="H9" s="272">
        <v>258791.99785612049</v>
      </c>
      <c r="I9"/>
      <c r="J9"/>
      <c r="K9"/>
      <c r="L9"/>
      <c r="M9"/>
      <c r="N9"/>
      <c r="O9"/>
      <c r="P9"/>
      <c r="Q9"/>
      <c r="R9"/>
      <c r="S9"/>
      <c r="T9"/>
    </row>
    <row r="10" spans="1:20">
      <c r="A10" s="345" t="s">
        <v>324</v>
      </c>
      <c r="B10" s="272"/>
      <c r="C10" s="272">
        <v>52102.936231571432</v>
      </c>
      <c r="D10" s="272">
        <v>9147.0598230697615</v>
      </c>
      <c r="E10" s="272"/>
      <c r="F10" s="272">
        <v>0</v>
      </c>
      <c r="G10" s="272"/>
      <c r="H10" s="272">
        <v>61249.996054641189</v>
      </c>
      <c r="I10"/>
      <c r="J10"/>
      <c r="K10"/>
      <c r="L10"/>
      <c r="M10"/>
      <c r="N10"/>
      <c r="O10"/>
      <c r="P10"/>
      <c r="Q10"/>
      <c r="R10"/>
      <c r="S10"/>
      <c r="T10"/>
    </row>
    <row r="11" spans="1:20">
      <c r="A11" s="345" t="s">
        <v>342</v>
      </c>
      <c r="B11" s="272"/>
      <c r="C11" s="272">
        <v>11394.758073136501</v>
      </c>
      <c r="D11" s="272">
        <v>284437.58867088577</v>
      </c>
      <c r="E11" s="272"/>
      <c r="F11" s="272">
        <v>0</v>
      </c>
      <c r="G11" s="272">
        <v>39881.653255977755</v>
      </c>
      <c r="H11" s="272">
        <v>335714</v>
      </c>
      <c r="I11"/>
      <c r="J11"/>
      <c r="K11"/>
      <c r="L11"/>
      <c r="M11"/>
      <c r="N11"/>
      <c r="O11"/>
      <c r="P11"/>
      <c r="Q11"/>
      <c r="R11"/>
      <c r="S11"/>
      <c r="T11"/>
    </row>
    <row r="12" spans="1:20">
      <c r="A12" s="345" t="s">
        <v>349</v>
      </c>
      <c r="B12" s="272"/>
      <c r="C12" s="272"/>
      <c r="D12" s="272"/>
      <c r="E12" s="272"/>
      <c r="F12" s="272"/>
      <c r="G12" s="272"/>
      <c r="H12" s="272"/>
      <c r="I12"/>
      <c r="J12"/>
      <c r="K12"/>
      <c r="L12"/>
      <c r="M12"/>
      <c r="N12"/>
      <c r="O12"/>
      <c r="P12"/>
      <c r="Q12"/>
      <c r="R12"/>
      <c r="S12"/>
      <c r="T12"/>
    </row>
    <row r="13" spans="1:20">
      <c r="A13" s="345" t="s">
        <v>358</v>
      </c>
      <c r="B13" s="272">
        <v>0</v>
      </c>
      <c r="C13" s="272">
        <v>21883.400000000005</v>
      </c>
      <c r="D13" s="272">
        <v>120358.70000000004</v>
      </c>
      <c r="E13" s="272"/>
      <c r="F13" s="272">
        <v>0</v>
      </c>
      <c r="G13" s="272">
        <v>76591.900000000009</v>
      </c>
      <c r="H13" s="272">
        <v>218834.00000000006</v>
      </c>
      <c r="I13"/>
      <c r="J13"/>
      <c r="K13"/>
      <c r="L13"/>
      <c r="M13"/>
      <c r="N13"/>
      <c r="O13"/>
      <c r="P13"/>
      <c r="Q13"/>
      <c r="R13"/>
      <c r="S13"/>
      <c r="T13"/>
    </row>
    <row r="14" spans="1:20">
      <c r="A14" s="345" t="s">
        <v>361</v>
      </c>
      <c r="B14" s="272"/>
      <c r="C14" s="272">
        <v>6317.1</v>
      </c>
      <c r="D14" s="272">
        <v>32482.618398486124</v>
      </c>
      <c r="E14" s="272">
        <v>3700.52</v>
      </c>
      <c r="F14" s="272">
        <v>0</v>
      </c>
      <c r="G14" s="272">
        <v>20670.757162672988</v>
      </c>
      <c r="H14" s="272">
        <v>63170.995561159114</v>
      </c>
      <c r="I14"/>
      <c r="J14"/>
      <c r="K14"/>
      <c r="L14"/>
      <c r="M14"/>
      <c r="N14"/>
      <c r="O14"/>
      <c r="P14"/>
      <c r="Q14"/>
      <c r="R14"/>
      <c r="S14"/>
      <c r="T14"/>
    </row>
    <row r="15" spans="1:20">
      <c r="A15" s="345" t="s">
        <v>366</v>
      </c>
      <c r="B15" s="272">
        <v>0</v>
      </c>
      <c r="C15" s="272"/>
      <c r="D15" s="272"/>
      <c r="E15" s="272"/>
      <c r="F15" s="272">
        <v>0</v>
      </c>
      <c r="G15" s="272">
        <v>98889</v>
      </c>
      <c r="H15" s="272">
        <v>98889</v>
      </c>
      <c r="I15"/>
      <c r="J15"/>
      <c r="K15"/>
      <c r="L15"/>
      <c r="M15"/>
      <c r="N15"/>
      <c r="O15"/>
      <c r="P15"/>
      <c r="Q15"/>
      <c r="R15"/>
      <c r="S15"/>
      <c r="T15"/>
    </row>
    <row r="16" spans="1:20">
      <c r="A16" s="345" t="s">
        <v>377</v>
      </c>
      <c r="B16" s="272">
        <v>0</v>
      </c>
      <c r="C16" s="272"/>
      <c r="D16" s="272"/>
      <c r="E16" s="272"/>
      <c r="F16" s="272"/>
      <c r="G16" s="272">
        <v>23822</v>
      </c>
      <c r="H16" s="272">
        <v>23822</v>
      </c>
      <c r="I16"/>
      <c r="J16"/>
      <c r="K16"/>
      <c r="L16"/>
      <c r="M16"/>
      <c r="N16"/>
      <c r="O16"/>
      <c r="P16"/>
      <c r="Q16"/>
      <c r="R16"/>
      <c r="S16"/>
      <c r="T16"/>
    </row>
    <row r="17" spans="1:20">
      <c r="A17" s="345" t="s">
        <v>381</v>
      </c>
      <c r="B17" s="272"/>
      <c r="C17" s="272">
        <v>0</v>
      </c>
      <c r="D17" s="272">
        <v>2291.9783527820055</v>
      </c>
      <c r="E17" s="272">
        <v>1471.5797653484374</v>
      </c>
      <c r="F17" s="272">
        <v>0</v>
      </c>
      <c r="G17" s="272">
        <v>1097.4457801730987</v>
      </c>
      <c r="H17" s="272">
        <v>4861.0038983035411</v>
      </c>
      <c r="I17"/>
      <c r="J17"/>
      <c r="K17"/>
      <c r="L17"/>
      <c r="M17"/>
      <c r="N17"/>
      <c r="O17"/>
      <c r="P17"/>
      <c r="Q17"/>
      <c r="R17"/>
      <c r="S17"/>
      <c r="T17"/>
    </row>
    <row r="18" spans="1:20">
      <c r="A18" s="345" t="s">
        <v>385</v>
      </c>
      <c r="B18" s="272"/>
      <c r="C18" s="272"/>
      <c r="D18" s="272"/>
      <c r="E18" s="272"/>
      <c r="F18" s="272"/>
      <c r="G18" s="272"/>
      <c r="H18" s="272"/>
      <c r="I18"/>
      <c r="J18"/>
      <c r="K18"/>
      <c r="L18"/>
      <c r="M18"/>
      <c r="N18"/>
      <c r="O18"/>
      <c r="P18"/>
      <c r="Q18"/>
      <c r="R18"/>
      <c r="S18"/>
      <c r="T18"/>
    </row>
    <row r="19" spans="1:20">
      <c r="A19" s="345" t="s">
        <v>374</v>
      </c>
      <c r="B19" s="272"/>
      <c r="C19" s="272"/>
      <c r="D19" s="272"/>
      <c r="E19" s="272"/>
      <c r="F19" s="272"/>
      <c r="G19" s="272"/>
      <c r="H19" s="272"/>
      <c r="I19"/>
      <c r="J19"/>
      <c r="K19"/>
      <c r="L19"/>
      <c r="M19"/>
      <c r="N19"/>
      <c r="O19"/>
      <c r="P19"/>
      <c r="Q19"/>
      <c r="R19"/>
      <c r="S19"/>
      <c r="T19"/>
    </row>
    <row r="20" spans="1:20">
      <c r="A20" s="345" t="s">
        <v>347</v>
      </c>
      <c r="B20" s="272"/>
      <c r="C20" s="272"/>
      <c r="D20" s="272"/>
      <c r="E20" s="272"/>
      <c r="F20" s="272"/>
      <c r="G20" s="272"/>
      <c r="H20" s="272"/>
      <c r="I20"/>
      <c r="J20"/>
      <c r="K20"/>
      <c r="L20"/>
      <c r="M20"/>
      <c r="N20"/>
      <c r="O20"/>
      <c r="P20"/>
      <c r="Q20"/>
      <c r="R20"/>
      <c r="S20"/>
      <c r="T20"/>
    </row>
    <row r="21" spans="1:20">
      <c r="A21" s="345" t="s">
        <v>427</v>
      </c>
      <c r="B21" s="272">
        <v>0</v>
      </c>
      <c r="C21" s="272">
        <v>100416.31076230678</v>
      </c>
      <c r="D21" s="272">
        <v>1656628.488763669</v>
      </c>
      <c r="E21" s="272">
        <v>5172.0997653484374</v>
      </c>
      <c r="F21" s="272">
        <v>0</v>
      </c>
      <c r="G21" s="272">
        <v>315219.09285731788</v>
      </c>
      <c r="H21" s="272">
        <v>2077435.9921486422</v>
      </c>
      <c r="I21"/>
      <c r="J21"/>
      <c r="K21"/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I25"/>
  <sheetViews>
    <sheetView zoomScale="85" zoomScaleNormal="85" workbookViewId="0">
      <selection activeCell="E21" sqref="E21"/>
    </sheetView>
  </sheetViews>
  <sheetFormatPr defaultColWidth="8.44140625" defaultRowHeight="14.4"/>
  <cols>
    <col min="1" max="1" width="21.6640625" bestFit="1" customWidth="1"/>
    <col min="2" max="2" width="17.33203125" style="308" bestFit="1" customWidth="1"/>
    <col min="3" max="3" width="12" style="308" bestFit="1" customWidth="1"/>
    <col min="4" max="4" width="14.88671875" style="308" bestFit="1" customWidth="1"/>
    <col min="5" max="5" width="12.109375" style="308" bestFit="1" customWidth="1"/>
    <col min="6" max="6" width="12.5546875" style="308" bestFit="1" customWidth="1"/>
    <col min="7" max="7" width="13.33203125" style="308" bestFit="1" customWidth="1"/>
    <col min="8" max="8" width="14.88671875" style="308" bestFit="1" customWidth="1"/>
    <col min="9" max="9" width="14.5546875" style="308" bestFit="1" customWidth="1"/>
    <col min="10" max="10" width="11.44140625" bestFit="1" customWidth="1"/>
    <col min="11" max="11" width="13.5546875" bestFit="1" customWidth="1"/>
    <col min="12" max="12" width="10.33203125" bestFit="1" customWidth="1"/>
    <col min="13" max="13" width="14" bestFit="1" customWidth="1"/>
    <col min="14" max="14" width="13.5546875" bestFit="1" customWidth="1"/>
    <col min="15" max="15" width="11.5546875" bestFit="1" customWidth="1"/>
    <col min="16" max="16" width="10.33203125" bestFit="1" customWidth="1"/>
    <col min="17" max="18" width="11.5546875" bestFit="1" customWidth="1"/>
    <col min="19" max="19" width="13.44140625" bestFit="1" customWidth="1"/>
  </cols>
  <sheetData>
    <row r="3" spans="1:9">
      <c r="A3" s="541" t="s">
        <v>428</v>
      </c>
      <c r="B3" s="541" t="s">
        <v>424</v>
      </c>
      <c r="C3"/>
      <c r="D3"/>
      <c r="E3"/>
      <c r="F3"/>
      <c r="G3"/>
      <c r="H3"/>
      <c r="I3"/>
    </row>
    <row r="4" spans="1:9">
      <c r="A4" s="541" t="s">
        <v>425</v>
      </c>
      <c r="B4" t="s">
        <v>426</v>
      </c>
      <c r="C4" s="346">
        <v>45961</v>
      </c>
      <c r="D4" s="346">
        <v>45991</v>
      </c>
      <c r="E4" s="346">
        <v>46022</v>
      </c>
      <c r="F4"/>
      <c r="G4" s="346">
        <v>46053</v>
      </c>
      <c r="H4" t="s">
        <v>427</v>
      </c>
      <c r="I4"/>
    </row>
    <row r="5" spans="1:9">
      <c r="A5" s="345" t="s">
        <v>426</v>
      </c>
      <c r="B5" s="347"/>
      <c r="C5" s="347"/>
      <c r="D5" s="347"/>
      <c r="E5" s="347"/>
      <c r="F5" s="347"/>
      <c r="G5" s="347"/>
      <c r="H5" s="347"/>
      <c r="I5"/>
    </row>
    <row r="6" spans="1:9">
      <c r="A6" s="345" t="s">
        <v>262</v>
      </c>
      <c r="B6" s="347"/>
      <c r="C6" s="347"/>
      <c r="D6" s="347">
        <v>506043.6</v>
      </c>
      <c r="E6" s="347"/>
      <c r="F6" s="347"/>
      <c r="G6" s="347"/>
      <c r="H6" s="347">
        <v>506043.6</v>
      </c>
      <c r="I6"/>
    </row>
    <row r="7" spans="1:9">
      <c r="A7" s="345" t="s">
        <v>275</v>
      </c>
      <c r="B7" s="347"/>
      <c r="C7" s="347"/>
      <c r="D7" s="347">
        <v>137740.70000000001</v>
      </c>
      <c r="E7" s="347"/>
      <c r="F7" s="347"/>
      <c r="G7" s="347"/>
      <c r="H7" s="347">
        <v>137740.70000000001</v>
      </c>
      <c r="I7"/>
    </row>
    <row r="8" spans="1:9">
      <c r="A8" s="345" t="s">
        <v>286</v>
      </c>
      <c r="B8" s="347"/>
      <c r="C8" s="347"/>
      <c r="D8" s="347">
        <v>78119</v>
      </c>
      <c r="E8" s="347"/>
      <c r="F8" s="347"/>
      <c r="G8" s="347">
        <v>9696</v>
      </c>
      <c r="H8" s="347">
        <v>87815</v>
      </c>
      <c r="I8"/>
    </row>
    <row r="9" spans="1:9">
      <c r="A9" s="345" t="s">
        <v>300</v>
      </c>
      <c r="B9" s="347"/>
      <c r="C9" s="347">
        <v>4267.34</v>
      </c>
      <c r="D9" s="347">
        <v>105370.37</v>
      </c>
      <c r="E9" s="347">
        <v>-31395</v>
      </c>
      <c r="F9" s="347"/>
      <c r="G9" s="347">
        <v>14935.69</v>
      </c>
      <c r="H9" s="347">
        <v>93178.4</v>
      </c>
      <c r="I9"/>
    </row>
    <row r="10" spans="1:9">
      <c r="A10" s="345" t="s">
        <v>324</v>
      </c>
      <c r="B10" s="347"/>
      <c r="C10" s="347">
        <v>48977.33</v>
      </c>
      <c r="D10" s="347">
        <v>8760.68</v>
      </c>
      <c r="E10" s="347">
        <v>1300</v>
      </c>
      <c r="F10" s="347"/>
      <c r="G10" s="347"/>
      <c r="H10" s="347">
        <v>59038.01</v>
      </c>
      <c r="I10"/>
    </row>
    <row r="11" spans="1:9">
      <c r="A11" s="345" t="s">
        <v>342</v>
      </c>
      <c r="B11" s="347"/>
      <c r="C11" s="347">
        <v>4116.4900000000007</v>
      </c>
      <c r="D11" s="347">
        <v>102756.41499999999</v>
      </c>
      <c r="E11" s="347"/>
      <c r="F11" s="347"/>
      <c r="G11" s="347">
        <v>14407.715000000004</v>
      </c>
      <c r="H11" s="347">
        <v>121280.62</v>
      </c>
      <c r="I11"/>
    </row>
    <row r="12" spans="1:9">
      <c r="A12" s="345" t="s">
        <v>349</v>
      </c>
      <c r="B12" s="347"/>
      <c r="C12" s="347"/>
      <c r="D12" s="347">
        <v>18231.22</v>
      </c>
      <c r="E12" s="347">
        <v>7826.09</v>
      </c>
      <c r="F12" s="347"/>
      <c r="G12" s="347"/>
      <c r="H12" s="347">
        <v>26057.31</v>
      </c>
      <c r="I12"/>
    </row>
    <row r="13" spans="1:9">
      <c r="A13" s="345" t="s">
        <v>358</v>
      </c>
      <c r="B13" s="347"/>
      <c r="C13" s="347">
        <v>31114.825000000001</v>
      </c>
      <c r="D13" s="347">
        <v>171131.53750000001</v>
      </c>
      <c r="E13" s="347"/>
      <c r="F13" s="347"/>
      <c r="G13" s="347">
        <v>108901.88750000001</v>
      </c>
      <c r="H13" s="347">
        <v>311148.25</v>
      </c>
      <c r="I13"/>
    </row>
    <row r="14" spans="1:9">
      <c r="A14" s="345" t="s">
        <v>361</v>
      </c>
      <c r="B14" s="347"/>
      <c r="C14" s="347">
        <v>10270.075000000001</v>
      </c>
      <c r="D14" s="347">
        <v>56485.412499999999</v>
      </c>
      <c r="E14" s="347">
        <v>7150</v>
      </c>
      <c r="F14" s="347"/>
      <c r="G14" s="347">
        <v>35945.262499999997</v>
      </c>
      <c r="H14" s="347">
        <v>109850.75</v>
      </c>
      <c r="I14"/>
    </row>
    <row r="15" spans="1:9">
      <c r="A15" s="345" t="s">
        <v>366</v>
      </c>
      <c r="B15" s="347">
        <v>0</v>
      </c>
      <c r="C15" s="347"/>
      <c r="D15" s="347"/>
      <c r="E15" s="347"/>
      <c r="F15" s="347"/>
      <c r="G15" s="347">
        <v>21375</v>
      </c>
      <c r="H15" s="347">
        <v>21375</v>
      </c>
      <c r="I15"/>
    </row>
    <row r="16" spans="1:9">
      <c r="A16" s="345" t="s">
        <v>377</v>
      </c>
      <c r="B16" s="347"/>
      <c r="C16" s="347"/>
      <c r="D16" s="347"/>
      <c r="E16" s="347"/>
      <c r="F16" s="347"/>
      <c r="G16" s="347">
        <v>25967.953500000003</v>
      </c>
      <c r="H16" s="347">
        <v>25967.953500000003</v>
      </c>
      <c r="I16"/>
    </row>
    <row r="17" spans="1:9">
      <c r="A17" s="345" t="s">
        <v>381</v>
      </c>
      <c r="B17" s="347"/>
      <c r="C17" s="347">
        <v>0</v>
      </c>
      <c r="D17" s="347">
        <v>1951.6</v>
      </c>
      <c r="E17" s="347">
        <v>1799.28</v>
      </c>
      <c r="F17" s="347"/>
      <c r="G17" s="347">
        <v>1093.75</v>
      </c>
      <c r="H17" s="347">
        <v>4844.63</v>
      </c>
      <c r="I17"/>
    </row>
    <row r="18" spans="1:9">
      <c r="A18" s="345" t="s">
        <v>385</v>
      </c>
      <c r="B18" s="347"/>
      <c r="C18" s="347"/>
      <c r="D18" s="347"/>
      <c r="E18" s="347">
        <v>7500</v>
      </c>
      <c r="F18" s="347"/>
      <c r="G18" s="347"/>
      <c r="H18" s="347">
        <v>7500</v>
      </c>
      <c r="I18"/>
    </row>
    <row r="19" spans="1:9">
      <c r="A19" s="345" t="s">
        <v>374</v>
      </c>
      <c r="B19" s="347"/>
      <c r="C19" s="347"/>
      <c r="D19" s="347">
        <v>0</v>
      </c>
      <c r="E19" s="347"/>
      <c r="F19" s="347"/>
      <c r="G19" s="347"/>
      <c r="H19" s="347">
        <v>0</v>
      </c>
      <c r="I19"/>
    </row>
    <row r="20" spans="1:9">
      <c r="A20" s="345" t="s">
        <v>347</v>
      </c>
      <c r="B20" s="347"/>
      <c r="C20" s="347"/>
      <c r="D20" s="347"/>
      <c r="E20" s="347"/>
      <c r="F20" s="347"/>
      <c r="G20" s="347"/>
      <c r="H20" s="347"/>
      <c r="I20"/>
    </row>
    <row r="21" spans="1:9">
      <c r="A21" s="345" t="s">
        <v>427</v>
      </c>
      <c r="B21" s="347">
        <v>0</v>
      </c>
      <c r="C21" s="347">
        <v>98746.06</v>
      </c>
      <c r="D21" s="347">
        <v>1186590.5350000004</v>
      </c>
      <c r="E21" s="347">
        <v>-5819.6299999999992</v>
      </c>
      <c r="F21" s="347"/>
      <c r="G21" s="347">
        <v>232323.2585</v>
      </c>
      <c r="H21" s="347">
        <v>1511840.2235000001</v>
      </c>
      <c r="I21"/>
    </row>
    <row r="22" spans="1:9">
      <c r="B22"/>
      <c r="C22"/>
      <c r="D22"/>
      <c r="E22"/>
      <c r="F22"/>
      <c r="G22"/>
      <c r="H22"/>
      <c r="I22"/>
    </row>
    <row r="23" spans="1:9">
      <c r="B23"/>
      <c r="C23"/>
      <c r="D23"/>
      <c r="E23"/>
      <c r="F23"/>
      <c r="G23"/>
      <c r="H23"/>
      <c r="I23"/>
    </row>
    <row r="24" spans="1:9">
      <c r="B24"/>
      <c r="C24"/>
      <c r="D24"/>
      <c r="E24"/>
      <c r="F24"/>
      <c r="G24"/>
      <c r="H24"/>
      <c r="I24"/>
    </row>
    <row r="25" spans="1:9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60"/>
  <sheetViews>
    <sheetView showGridLines="0" workbookViewId="0">
      <selection activeCell="I58" sqref="I58"/>
    </sheetView>
  </sheetViews>
  <sheetFormatPr defaultColWidth="9.44140625" defaultRowHeight="13.2"/>
  <cols>
    <col min="1" max="2" width="9.44140625" style="9"/>
    <col min="3" max="3" width="13.44140625" style="9" bestFit="1" customWidth="1"/>
    <col min="4" max="5" width="9.44140625" style="9"/>
    <col min="6" max="6" width="12.5546875" style="9" bestFit="1" customWidth="1"/>
    <col min="7" max="7" width="1.44140625" style="9" customWidth="1"/>
    <col min="8" max="8" width="11.44140625" style="9" bestFit="1" customWidth="1"/>
    <col min="9" max="16384" width="9.44140625" style="9"/>
  </cols>
  <sheetData>
    <row r="1" spans="3:8" ht="13.8" thickBot="1"/>
    <row r="2" spans="3:8" ht="13.8" thickBot="1">
      <c r="C2" s="19" t="s">
        <v>429</v>
      </c>
      <c r="F2" s="19" t="s">
        <v>430</v>
      </c>
    </row>
    <row r="3" spans="3:8">
      <c r="C3" s="15">
        <v>45658</v>
      </c>
      <c r="D3" s="9" t="s">
        <v>431</v>
      </c>
      <c r="F3" s="17" t="s">
        <v>432</v>
      </c>
    </row>
    <row r="4" spans="3:8">
      <c r="C4" s="15">
        <v>45737</v>
      </c>
      <c r="D4" s="9" t="s">
        <v>433</v>
      </c>
      <c r="F4" s="17" t="s">
        <v>434</v>
      </c>
    </row>
    <row r="5" spans="3:8">
      <c r="C5" s="15">
        <v>45765</v>
      </c>
      <c r="D5" s="9" t="s">
        <v>435</v>
      </c>
      <c r="F5" s="17" t="s">
        <v>436</v>
      </c>
    </row>
    <row r="6" spans="3:8" ht="13.8" thickBot="1">
      <c r="C6" s="15">
        <v>45768</v>
      </c>
      <c r="D6" s="9" t="s">
        <v>437</v>
      </c>
      <c r="F6" s="18" t="s">
        <v>438</v>
      </c>
    </row>
    <row r="7" spans="3:8">
      <c r="C7" s="15">
        <v>45774</v>
      </c>
      <c r="D7" s="9" t="s">
        <v>439</v>
      </c>
    </row>
    <row r="8" spans="3:8">
      <c r="C8" s="15">
        <v>45765</v>
      </c>
      <c r="D8" s="9" t="s">
        <v>440</v>
      </c>
    </row>
    <row r="9" spans="3:8">
      <c r="C9" s="15">
        <v>45778</v>
      </c>
      <c r="D9" s="9" t="s">
        <v>441</v>
      </c>
    </row>
    <row r="10" spans="3:8">
      <c r="C10" s="15">
        <v>45824</v>
      </c>
      <c r="D10" s="9" t="s">
        <v>442</v>
      </c>
    </row>
    <row r="11" spans="3:8">
      <c r="C11" s="15">
        <v>45878</v>
      </c>
      <c r="D11" s="9" t="s">
        <v>443</v>
      </c>
    </row>
    <row r="12" spans="3:8">
      <c r="C12" s="15">
        <v>45924</v>
      </c>
      <c r="D12" s="9" t="s">
        <v>444</v>
      </c>
    </row>
    <row r="13" spans="3:8">
      <c r="C13" s="15">
        <v>46007</v>
      </c>
      <c r="D13" s="9" t="s">
        <v>445</v>
      </c>
      <c r="F13" s="20"/>
      <c r="H13" s="9" t="s">
        <v>446</v>
      </c>
    </row>
    <row r="14" spans="3:8">
      <c r="C14" s="15">
        <v>46016</v>
      </c>
      <c r="D14" s="9" t="s">
        <v>447</v>
      </c>
    </row>
    <row r="15" spans="3:8">
      <c r="C15" s="15">
        <v>46017</v>
      </c>
      <c r="D15" s="9" t="s">
        <v>448</v>
      </c>
    </row>
    <row r="16" spans="3:8">
      <c r="C16" s="15">
        <v>46006</v>
      </c>
      <c r="D16" s="9" t="s">
        <v>449</v>
      </c>
    </row>
    <row r="17" spans="3:4">
      <c r="C17" s="15">
        <v>46007</v>
      </c>
      <c r="D17" s="9" t="s">
        <v>449</v>
      </c>
    </row>
    <row r="18" spans="3:4">
      <c r="C18" s="15">
        <v>46008</v>
      </c>
      <c r="D18" s="9" t="s">
        <v>449</v>
      </c>
    </row>
    <row r="19" spans="3:4">
      <c r="C19" s="15">
        <v>46009</v>
      </c>
      <c r="D19" s="9" t="s">
        <v>449</v>
      </c>
    </row>
    <row r="20" spans="3:4">
      <c r="C20" s="15">
        <v>46010</v>
      </c>
      <c r="D20" s="9" t="s">
        <v>449</v>
      </c>
    </row>
    <row r="21" spans="3:4">
      <c r="C21" s="15">
        <v>46011</v>
      </c>
      <c r="D21" s="9" t="s">
        <v>449</v>
      </c>
    </row>
    <row r="22" spans="3:4">
      <c r="C22" s="15">
        <v>46012</v>
      </c>
      <c r="D22" s="9" t="s">
        <v>449</v>
      </c>
    </row>
    <row r="23" spans="3:4">
      <c r="C23" s="15">
        <v>46013</v>
      </c>
      <c r="D23" s="9" t="s">
        <v>449</v>
      </c>
    </row>
    <row r="24" spans="3:4">
      <c r="C24" s="15">
        <v>46014</v>
      </c>
      <c r="D24" s="9" t="s">
        <v>449</v>
      </c>
    </row>
    <row r="25" spans="3:4">
      <c r="C25" s="15">
        <v>46015</v>
      </c>
      <c r="D25" s="9" t="s">
        <v>449</v>
      </c>
    </row>
    <row r="26" spans="3:4">
      <c r="C26" s="15">
        <v>46016</v>
      </c>
      <c r="D26" s="9" t="s">
        <v>449</v>
      </c>
    </row>
    <row r="27" spans="3:4">
      <c r="C27" s="15">
        <v>46017</v>
      </c>
      <c r="D27" s="9" t="s">
        <v>449</v>
      </c>
    </row>
    <row r="28" spans="3:4">
      <c r="C28" s="15">
        <v>46018</v>
      </c>
      <c r="D28" s="9" t="s">
        <v>449</v>
      </c>
    </row>
    <row r="29" spans="3:4">
      <c r="C29" s="15">
        <v>46019</v>
      </c>
      <c r="D29" s="9" t="s">
        <v>449</v>
      </c>
    </row>
    <row r="30" spans="3:4">
      <c r="C30" s="15">
        <v>46020</v>
      </c>
      <c r="D30" s="9" t="s">
        <v>449</v>
      </c>
    </row>
    <row r="31" spans="3:4">
      <c r="C31" s="15">
        <v>46021</v>
      </c>
      <c r="D31" s="9" t="s">
        <v>449</v>
      </c>
    </row>
    <row r="32" spans="3:4">
      <c r="C32" s="15">
        <v>46022</v>
      </c>
      <c r="D32" s="9" t="s">
        <v>449</v>
      </c>
    </row>
    <row r="33" spans="3:4">
      <c r="C33" s="15">
        <v>46023</v>
      </c>
      <c r="D33" s="9" t="s">
        <v>449</v>
      </c>
    </row>
    <row r="34" spans="3:4">
      <c r="C34" s="15">
        <v>46024</v>
      </c>
      <c r="D34" s="9" t="s">
        <v>449</v>
      </c>
    </row>
    <row r="35" spans="3:4">
      <c r="C35" s="15">
        <v>46025</v>
      </c>
      <c r="D35" s="9" t="s">
        <v>449</v>
      </c>
    </row>
    <row r="36" spans="3:4">
      <c r="C36" s="15">
        <v>46026</v>
      </c>
      <c r="D36" s="9" t="s">
        <v>449</v>
      </c>
    </row>
    <row r="37" spans="3:4">
      <c r="C37" s="15">
        <v>46027</v>
      </c>
      <c r="D37" s="9" t="s">
        <v>449</v>
      </c>
    </row>
    <row r="38" spans="3:4">
      <c r="C38" s="15">
        <v>46028</v>
      </c>
      <c r="D38" s="9" t="s">
        <v>449</v>
      </c>
    </row>
    <row r="39" spans="3:4">
      <c r="C39" s="15">
        <v>46029</v>
      </c>
      <c r="D39" s="9" t="s">
        <v>449</v>
      </c>
    </row>
    <row r="40" spans="3:4">
      <c r="C40" s="15">
        <v>46030</v>
      </c>
      <c r="D40" s="9" t="s">
        <v>449</v>
      </c>
    </row>
    <row r="41" spans="3:4">
      <c r="C41" s="15">
        <v>46031</v>
      </c>
      <c r="D41" s="9" t="s">
        <v>449</v>
      </c>
    </row>
    <row r="42" spans="3:4">
      <c r="C42" s="15">
        <v>46032</v>
      </c>
      <c r="D42" s="9" t="s">
        <v>449</v>
      </c>
    </row>
    <row r="43" spans="3:4">
      <c r="C43" s="15">
        <v>46033</v>
      </c>
      <c r="D43" s="9" t="s">
        <v>449</v>
      </c>
    </row>
    <row r="44" spans="3:4">
      <c r="C44" s="15">
        <v>46034</v>
      </c>
      <c r="D44" s="9" t="s">
        <v>449</v>
      </c>
    </row>
    <row r="45" spans="3:4">
      <c r="C45" s="15">
        <v>46035</v>
      </c>
      <c r="D45" s="9" t="s">
        <v>449</v>
      </c>
    </row>
    <row r="46" spans="3:4">
      <c r="C46" s="15">
        <v>46036</v>
      </c>
      <c r="D46" s="9" t="s">
        <v>449</v>
      </c>
    </row>
    <row r="47" spans="3:4">
      <c r="C47" s="15">
        <v>46037</v>
      </c>
      <c r="D47" s="9" t="s">
        <v>449</v>
      </c>
    </row>
    <row r="48" spans="3:4">
      <c r="C48" s="15">
        <v>46038</v>
      </c>
      <c r="D48" s="9" t="s">
        <v>449</v>
      </c>
    </row>
    <row r="49" spans="3:4">
      <c r="C49" s="15">
        <v>46102</v>
      </c>
      <c r="D49" s="9" t="s">
        <v>433</v>
      </c>
    </row>
    <row r="50" spans="3:4">
      <c r="C50" s="15">
        <v>46115</v>
      </c>
      <c r="D50" s="9" t="s">
        <v>435</v>
      </c>
    </row>
    <row r="51" spans="3:4">
      <c r="C51" s="15">
        <v>46118</v>
      </c>
      <c r="D51" s="9" t="s">
        <v>437</v>
      </c>
    </row>
    <row r="52" spans="3:4">
      <c r="C52" s="15">
        <v>46139</v>
      </c>
      <c r="D52" s="9" t="s">
        <v>439</v>
      </c>
    </row>
    <row r="53" spans="3:4">
      <c r="C53" s="15">
        <v>46143</v>
      </c>
      <c r="D53" s="9" t="s">
        <v>441</v>
      </c>
    </row>
    <row r="54" spans="3:4">
      <c r="C54" s="15">
        <v>46189</v>
      </c>
      <c r="D54" s="9" t="s">
        <v>442</v>
      </c>
    </row>
    <row r="55" spans="3:4">
      <c r="C55" s="15">
        <v>46243</v>
      </c>
      <c r="D55" s="9" t="s">
        <v>443</v>
      </c>
    </row>
    <row r="56" spans="3:4">
      <c r="C56" s="15">
        <v>46244</v>
      </c>
      <c r="D56" s="9" t="s">
        <v>450</v>
      </c>
    </row>
    <row r="57" spans="3:4">
      <c r="C57" s="15">
        <v>46289</v>
      </c>
      <c r="D57" s="9" t="s">
        <v>444</v>
      </c>
    </row>
    <row r="58" spans="3:4">
      <c r="C58" s="15">
        <v>46372</v>
      </c>
      <c r="D58" s="9" t="s">
        <v>445</v>
      </c>
    </row>
    <row r="59" spans="3:4">
      <c r="C59" s="15">
        <v>46381</v>
      </c>
      <c r="D59" s="9" t="s">
        <v>447</v>
      </c>
    </row>
    <row r="60" spans="3:4" ht="13.8" thickBot="1">
      <c r="C60" s="16">
        <v>46382</v>
      </c>
      <c r="D60" s="9" t="s">
        <v>448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Props1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061E421-C5D4-48B7-8607-E5C7FCDFFAF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13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7" baseType="lpstr">
      <vt:lpstr>Certificate - Financial Close</vt:lpstr>
      <vt:lpstr>Certificate - Planning</vt:lpstr>
      <vt:lpstr>Change Register</vt:lpstr>
      <vt:lpstr>BOQ</vt:lpstr>
      <vt:lpstr>Compliance</vt:lpstr>
      <vt:lpstr>Project Plan</vt:lpstr>
      <vt:lpstr>Revenue Tracking</vt:lpstr>
      <vt:lpstr>Expenditure Tracking</vt:lpstr>
      <vt:lpstr>Expenditure Breakdown</vt:lpstr>
      <vt:lpstr>Cashflow</vt:lpstr>
      <vt:lpstr>Finance - Revenue</vt:lpstr>
      <vt:lpstr>Finance - COS</vt:lpstr>
      <vt:lpstr>Data</vt:lpstr>
      <vt:lpstr>Chart2</vt:lpstr>
      <vt:lpstr>'Certificate - Financial Close'!Print_Area</vt:lpstr>
      <vt:lpstr>'Certificate - Planning'!Print_Area</vt:lpstr>
      <vt:lpstr>'Project Plan'!Print_Area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Mizelda Isaacs</cp:lastModifiedBy>
  <cp:revision/>
  <dcterms:created xsi:type="dcterms:W3CDTF">2020-08-09T08:25:30Z</dcterms:created>
  <dcterms:modified xsi:type="dcterms:W3CDTF">2026-02-09T14:41:23Z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