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3" documentId="6_{E157CBFA-00D7-4F4F-B939-4A387270890B}" xr6:coauthVersionLast="47" xr6:coauthVersionMax="47" xr10:uidLastSave="{DFB18A22-20FA-4E92-A658-73168FAE3B35}"/>
  <bookViews>
    <workbookView xWindow="28680" yWindow="-120" windowWidth="29040" windowHeight="15720" tabRatio="878" firstSheet="7" activeTab="7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34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JQ11" i="6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<sst xmlns="http://schemas.openxmlformats.org/spreadsheetml/2006/main" count="871" uniqueCount="500">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</sst>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1600475.845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436630.15500000003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3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3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4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20" t="s">
        <v>73</v>
      </c>
      <c r="C2" s="720"/>
      <c r="D2" s="720"/>
      <c r="E2" s="720"/>
      <c r="H2" s="721" t="s">
        <v>74</v>
      </c>
      <c r="I2" s="722"/>
      <c r="J2" s="722"/>
      <c r="K2" s="722"/>
      <c r="L2" s="722"/>
      <c r="M2" s="722"/>
      <c r="N2" s="722"/>
      <c r="O2" s="723"/>
    </row>
    <row r="3" spans="2:15">
      <c r="B3" s="679"/>
      <c r="H3" s="724"/>
      <c r="I3" s="725"/>
      <c r="J3" s="725"/>
      <c r="K3" s="725"/>
      <c r="L3" s="725"/>
      <c r="M3" s="725"/>
      <c r="N3" s="725"/>
      <c r="O3" s="726"/>
    </row>
    <row r="4" spans="2:15">
      <c r="B4" s="680" t="s">
        <v>75</v>
      </c>
      <c r="C4" s="681" t="str">
        <f>'Project Plan'!E2</f>
        <v>Marikana Old Church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0" t="s">
        <v>76</v>
      </c>
      <c r="C5" s="681" t="s">
        <v>77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0" t="s">
        <v>78</v>
      </c>
      <c r="C6" s="681" t="s">
        <v>79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0" t="s">
        <v>80</v>
      </c>
      <c r="C7" s="681" t="s">
        <v>81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79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82</v>
      </c>
      <c r="C9" s="730"/>
      <c r="D9" s="730"/>
      <c r="E9" s="73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83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2" t="s">
        <v>84</v>
      </c>
      <c r="C11" s="719" t="s">
        <v>85</v>
      </c>
      <c r="D11" s="719"/>
      <c r="E11" s="719"/>
    </row>
    <row r="12" spans="2:15">
      <c r="B12" s="682" t="s">
        <v>86</v>
      </c>
      <c r="C12" s="719" t="s">
        <v>85</v>
      </c>
      <c r="D12" s="719"/>
      <c r="E12" s="719"/>
    </row>
    <row r="13" spans="2:15">
      <c r="B13" s="682" t="s">
        <v>87</v>
      </c>
      <c r="C13" s="719" t="s">
        <v>85</v>
      </c>
      <c r="D13" s="719"/>
      <c r="E13" s="719"/>
    </row>
    <row r="14" spans="2:15">
      <c r="B14" s="682" t="s">
        <v>88</v>
      </c>
      <c r="C14" s="719" t="s">
        <v>89</v>
      </c>
      <c r="D14" s="719"/>
      <c r="E14" s="719"/>
    </row>
    <row r="15" spans="2:15">
      <c r="B15" s="682" t="s">
        <v>90</v>
      </c>
      <c r="C15" s="719" t="s">
        <v>91</v>
      </c>
      <c r="D15" s="719"/>
      <c r="E15" s="719"/>
    </row>
    <row r="16" spans="2:15" ht="15" customHeight="1">
      <c r="B16" s="682" t="s">
        <v>92</v>
      </c>
      <c r="C16" s="719" t="s">
        <v>93</v>
      </c>
      <c r="D16" s="719"/>
      <c r="E16" s="719"/>
    </row>
    <row r="17" spans="2:5">
      <c r="B17" s="679"/>
    </row>
    <row r="18" spans="2:5">
      <c r="B18" s="731" t="s">
        <v>94</v>
      </c>
      <c r="C18" s="731"/>
      <c r="D18" s="731"/>
      <c r="E18" s="731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28515625" style="93" customWidth="1"/>
    <col min="2" max="2" width="5.28515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7109375" style="129" bestFit="1" customWidth="1"/>
    <col min="8" max="8" width="15.42578125" style="129" customWidth="1"/>
    <col min="9" max="9" width="1.7109375" style="129" customWidth="1"/>
    <col min="10" max="10" width="3.7109375" style="93" customWidth="1"/>
    <col min="11" max="11" width="1.7109375" style="175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8.28515625" style="129" bestFit="1" customWidth="1"/>
    <col min="17" max="17" width="14.7109375" style="129" bestFit="1" customWidth="1"/>
    <col min="18" max="18" width="19" style="129" customWidth="1"/>
    <col min="19" max="19" width="15.5703125" style="93" bestFit="1" customWidth="1"/>
    <col min="20" max="20" width="18.28515625" style="129" bestFit="1" customWidth="1"/>
    <col min="21" max="21" width="14.7109375" style="93" bestFit="1" customWidth="1"/>
    <col min="22" max="23" width="8.42578125" style="93"/>
    <col min="24" max="24" width="5.28515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.15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3.15">
      <c r="B13" s="352">
        <v>1</v>
      </c>
      <c r="C13" s="734" t="s">
        <v>130</v>
      </c>
      <c r="D13" s="735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34" t="s">
        <v>132</v>
      </c>
      <c r="D14" s="735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3.15">
      <c r="B15" s="352">
        <v>3</v>
      </c>
      <c r="C15" s="734" t="s">
        <v>133</v>
      </c>
      <c r="D15" s="735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3.15">
      <c r="B16" s="352">
        <v>4</v>
      </c>
      <c r="C16" s="732" t="s">
        <v>134</v>
      </c>
      <c r="D16" s="733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3.15">
      <c r="B17" s="352">
        <v>5</v>
      </c>
      <c r="C17" s="732" t="s">
        <v>135</v>
      </c>
      <c r="D17" s="733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3.15">
      <c r="B18" s="352">
        <v>6</v>
      </c>
      <c r="C18" s="732" t="s">
        <v>54</v>
      </c>
      <c r="D18" s="733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3.15">
      <c r="B19" s="352">
        <v>7</v>
      </c>
      <c r="C19" s="734" t="s">
        <v>136</v>
      </c>
      <c r="D19" s="73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3.15">
      <c r="C24" s="147" t="s">
        <v>139</v>
      </c>
      <c r="D24" s="148"/>
      <c r="F24" s="149"/>
    </row>
    <row r="25" spans="2:18" s="93" customFormat="1" ht="13.15">
      <c r="C25" s="147" t="s">
        <v>140</v>
      </c>
      <c r="D25" s="148"/>
    </row>
    <row r="26" spans="2:18" s="93" customFormat="1" ht="13.15">
      <c r="C26" s="150" t="s">
        <v>141</v>
      </c>
      <c r="D26" s="151"/>
    </row>
    <row r="27" spans="2:18" s="93" customFormat="1" ht="13.15">
      <c r="C27" s="152" t="s">
        <v>142</v>
      </c>
      <c r="D27" s="148"/>
    </row>
    <row r="28" spans="2:18" s="93" customFormat="1" ht="13.15">
      <c r="B28" s="117"/>
      <c r="C28" s="152" t="s">
        <v>143</v>
      </c>
      <c r="D28" s="148"/>
    </row>
    <row r="29" spans="2:18" s="93" customFormat="1" ht="13.15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3.15">
      <c r="B31" s="117"/>
      <c r="F31" s="146"/>
    </row>
    <row r="32" spans="2:18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5" zoomScale="72" zoomScaleNormal="100" workbookViewId="0">
      <selection activeCell="H49" sqref="H49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28515625" style="112" customWidth="1"/>
    <col min="14" max="14" width="10.710937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46087</v>
      </c>
      <c r="O1" s="405">
        <f ca="1">TODAY()</f>
        <v>46087</v>
      </c>
      <c r="Q1" s="3"/>
    </row>
    <row r="2" spans="2:28">
      <c r="B2" s="176"/>
      <c r="C2" s="177" t="s">
        <v>0</v>
      </c>
      <c r="D2" s="178"/>
      <c r="E2" s="739" t="s">
        <v>149</v>
      </c>
      <c r="F2" s="740"/>
      <c r="G2" s="740"/>
      <c r="H2" s="741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42" t="s">
        <v>81</v>
      </c>
      <c r="F4" s="743"/>
      <c r="G4" s="743"/>
      <c r="H4" s="744"/>
      <c r="J4" s="113"/>
      <c r="Q4" s="3"/>
    </row>
    <row r="5" spans="2:28" s="112" customFormat="1">
      <c r="B5" s="179"/>
      <c r="C5" s="180" t="s">
        <v>152</v>
      </c>
      <c r="D5" s="178"/>
      <c r="E5" s="742" t="s">
        <v>153</v>
      </c>
      <c r="F5" s="743"/>
      <c r="G5" s="743"/>
      <c r="H5" s="744"/>
      <c r="J5" s="113"/>
      <c r="Q5" s="3"/>
    </row>
    <row r="6" spans="2:28">
      <c r="B6" s="184"/>
      <c r="C6" s="185" t="s">
        <v>154</v>
      </c>
      <c r="D6" s="178"/>
      <c r="E6" s="745">
        <v>2037106</v>
      </c>
      <c r="F6" s="746"/>
      <c r="G6" s="746"/>
      <c r="H6" s="747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36" t="s">
        <v>121</v>
      </c>
      <c r="C8" s="737" t="s">
        <v>156</v>
      </c>
      <c r="D8" s="215"/>
      <c r="E8" s="738" t="s">
        <v>157</v>
      </c>
      <c r="F8" s="237" t="s">
        <v>158</v>
      </c>
      <c r="G8" s="738" t="s">
        <v>159</v>
      </c>
      <c r="H8" s="238"/>
      <c r="I8" s="738" t="s">
        <v>160</v>
      </c>
      <c r="J8" s="237" t="s">
        <v>158</v>
      </c>
      <c r="K8" s="738" t="s">
        <v>161</v>
      </c>
      <c r="M8" s="412" t="s">
        <v>60</v>
      </c>
      <c r="N8" s="674" t="s">
        <v>162</v>
      </c>
      <c r="O8" s="748" t="s">
        <v>163</v>
      </c>
      <c r="Z8" s="112"/>
      <c r="AA8" s="112"/>
      <c r="AB8" s="112"/>
    </row>
    <row r="9" spans="2:28">
      <c r="B9" s="736"/>
      <c r="C9" s="737"/>
      <c r="D9" s="215"/>
      <c r="E9" s="738"/>
      <c r="F9" s="126">
        <f>G41-E19</f>
        <v>33</v>
      </c>
      <c r="G9" s="738"/>
      <c r="H9" s="238"/>
      <c r="I9" s="738"/>
      <c r="J9" s="127">
        <f>K41-I19</f>
        <v>77</v>
      </c>
      <c r="K9" s="738"/>
      <c r="M9" s="362">
        <f>AVERAGE(M11,M18,M21,M28,M35,M39,M46,M43)</f>
        <v>1</v>
      </c>
      <c r="N9" s="362">
        <f ca="1">AVERAGE(N11,N18,N21,N28,N35,N39,N46,N43)</f>
        <v>1</v>
      </c>
      <c r="O9" s="74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3.9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3.9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H7" sqref="H7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710937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0"/>
      <c r="C4" s="750"/>
      <c r="D4" s="750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45" thickBot="1">
      <c r="A5" s="215"/>
      <c r="B5" s="751" t="s">
        <v>239</v>
      </c>
      <c r="C5" s="751"/>
      <c r="D5" s="751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85" zoomScaleNormal="85" workbookViewId="0">
      <pane ySplit="4" topLeftCell="J136" activePane="bottomLeft" state="frozen"/>
      <selection pane="bottomLeft" activeCell="S158" sqref="S158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5703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7109375" style="112" customWidth="1"/>
    <col min="17" max="17" width="17.42578125" style="112" customWidth="1"/>
    <col min="18" max="18" width="49.7109375" style="112" bestFit="1" customWidth="1"/>
    <col min="19" max="19" width="38" style="112" bestFit="1" customWidth="1"/>
    <col min="20" max="23" width="17.42578125" style="112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710937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5" t="s">
        <v>246</v>
      </c>
      <c r="C2" s="786"/>
      <c r="D2" s="786"/>
      <c r="E2" s="786"/>
      <c r="F2" s="786"/>
      <c r="G2" s="786"/>
      <c r="H2" s="673"/>
      <c r="I2" s="258">
        <f>SUM(I6:I166)</f>
        <v>1814310.4740773505</v>
      </c>
      <c r="J2" s="258">
        <f>SUM(J6:J166)</f>
        <v>2037105.6725337615</v>
      </c>
      <c r="L2" s="787" t="s">
        <v>247</v>
      </c>
      <c r="M2" s="788"/>
      <c r="N2" s="788"/>
      <c r="O2" s="788"/>
      <c r="P2" s="788"/>
      <c r="Q2" s="788"/>
      <c r="R2" s="789" t="s">
        <v>248</v>
      </c>
      <c r="S2" s="790"/>
      <c r="T2" s="790"/>
      <c r="U2" s="790"/>
      <c r="V2" s="790"/>
      <c r="W2" s="791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67">
        <f>SUM(G6:G11)</f>
        <v>388725.5</v>
      </c>
      <c r="J6" s="767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79">
        <f>J6-SUM(U6:U11)</f>
        <v>0</v>
      </c>
      <c r="W6" s="534">
        <v>45867</v>
      </c>
      <c r="X6" s="792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68"/>
      <c r="J7" s="768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80"/>
      <c r="W7" s="572"/>
      <c r="X7" s="79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68"/>
      <c r="J8" s="768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80"/>
      <c r="W8" s="572"/>
      <c r="X8" s="79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68"/>
      <c r="J9" s="768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80"/>
      <c r="W9" s="573"/>
      <c r="X9" s="79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68"/>
      <c r="J10" s="768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80"/>
      <c r="W10" s="573"/>
      <c r="X10" s="79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69"/>
      <c r="J11" s="769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81"/>
      <c r="W11" s="574"/>
      <c r="X11" s="794"/>
      <c r="Y11" s="604" t="s">
        <v>269</v>
      </c>
      <c r="Z11" s="605" t="s">
        <v>270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52">
        <f>SUM(G13:G19)</f>
        <v>160000</v>
      </c>
      <c r="J13" s="752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804">
        <f>J13-SUM(U13:U19)</f>
        <v>0</v>
      </c>
      <c r="W13" s="537">
        <v>45867</v>
      </c>
      <c r="X13" s="755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53"/>
      <c r="J14" s="753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805"/>
      <c r="W14" s="577"/>
      <c r="X14" s="756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53"/>
      <c r="J15" s="753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805"/>
      <c r="W15" s="577"/>
      <c r="X15" s="756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53"/>
      <c r="J16" s="753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805"/>
      <c r="W16" s="577"/>
      <c r="X16" s="756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53"/>
      <c r="J17" s="753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805"/>
      <c r="W17" s="577"/>
      <c r="X17" s="756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53"/>
      <c r="J18" s="753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805"/>
      <c r="W18" s="577"/>
      <c r="X18" s="756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54"/>
      <c r="J19" s="754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806"/>
      <c r="W19" s="578"/>
      <c r="X19" s="757"/>
      <c r="Y19" s="606" t="s">
        <v>282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67">
        <f>SUM(G21:G26)</f>
        <v>142681.5</v>
      </c>
      <c r="J21" s="767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79">
        <f>J21-SUM(U21:U26)</f>
        <v>-2.078571415040642E-3</v>
      </c>
      <c r="W21" s="539">
        <v>45867</v>
      </c>
      <c r="X21" s="792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68"/>
      <c r="J22" s="768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80"/>
      <c r="W22" s="572"/>
      <c r="X22" s="793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68"/>
      <c r="J23" s="768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80"/>
      <c r="W23" s="572"/>
      <c r="X23" s="793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68"/>
      <c r="J24" s="768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80"/>
      <c r="W24" s="573"/>
      <c r="X24" s="793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68"/>
      <c r="J25" s="768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80"/>
      <c r="W25" s="573"/>
      <c r="X25" s="793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69"/>
      <c r="J26" s="769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81"/>
      <c r="W26" s="574"/>
      <c r="X26" s="794"/>
      <c r="Y26" s="612" t="s">
        <v>103</v>
      </c>
      <c r="Z26" s="613" t="s">
        <v>292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52">
        <f>SUM(G28:G42)</f>
        <v>145542.5</v>
      </c>
      <c r="J28" s="752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804">
        <f>J28-SUM(U28:U42)</f>
        <v>0</v>
      </c>
      <c r="W28" s="537">
        <v>45867</v>
      </c>
      <c r="X28" s="75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53"/>
      <c r="J29" s="753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805"/>
      <c r="W29" s="577"/>
      <c r="X29" s="75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53"/>
      <c r="J30" s="753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805"/>
      <c r="W30" s="577"/>
      <c r="X30" s="75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53"/>
      <c r="J31" s="753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805"/>
      <c r="W31" s="577"/>
      <c r="X31" s="756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53"/>
      <c r="J32" s="753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95" t="s">
        <v>299</v>
      </c>
      <c r="S32" s="628" t="s">
        <v>300</v>
      </c>
      <c r="T32" s="653">
        <v>45808</v>
      </c>
      <c r="U32" s="657">
        <v>7235.668940379328</v>
      </c>
      <c r="V32" s="805"/>
      <c r="W32" s="538">
        <f>W91</f>
        <v>45813</v>
      </c>
      <c r="X32" s="756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53"/>
      <c r="J33" s="753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96"/>
      <c r="S33" s="628" t="s">
        <v>302</v>
      </c>
      <c r="T33" s="653">
        <v>45838</v>
      </c>
      <c r="U33" s="657">
        <v>10853.50341056899</v>
      </c>
      <c r="V33" s="805"/>
      <c r="W33" s="538">
        <f t="shared" ref="W33:W39" si="4">W92</f>
        <v>45869</v>
      </c>
      <c r="X33" s="756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53"/>
      <c r="J34" s="753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96"/>
      <c r="S34" s="628" t="s">
        <v>305</v>
      </c>
      <c r="T34" s="653">
        <v>45869</v>
      </c>
      <c r="U34" s="657">
        <v>14471.337880758656</v>
      </c>
      <c r="V34" s="805"/>
      <c r="W34" s="538">
        <f t="shared" si="4"/>
        <v>45954</v>
      </c>
      <c r="X34" s="75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53"/>
      <c r="J35" s="753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96"/>
      <c r="S35" s="628" t="s">
        <v>305</v>
      </c>
      <c r="T35" s="653">
        <v>45869</v>
      </c>
      <c r="U35" s="657">
        <v>18089.17235094832</v>
      </c>
      <c r="V35" s="805"/>
      <c r="W35" s="538">
        <f t="shared" si="4"/>
        <v>45954</v>
      </c>
      <c r="X35" s="75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53"/>
      <c r="J36" s="753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96"/>
      <c r="S36" s="628" t="s">
        <v>305</v>
      </c>
      <c r="T36" s="653">
        <v>45869</v>
      </c>
      <c r="U36" s="657">
        <v>7235.668940379328</v>
      </c>
      <c r="V36" s="805"/>
      <c r="W36" s="689">
        <f t="shared" si="4"/>
        <v>45960</v>
      </c>
      <c r="X36" s="756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53"/>
      <c r="J37" s="753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96"/>
      <c r="S37" s="628" t="s">
        <v>305</v>
      </c>
      <c r="T37" s="653">
        <v>45869</v>
      </c>
      <c r="U37" s="657">
        <v>7235.668940379328</v>
      </c>
      <c r="V37" s="805"/>
      <c r="W37" s="538">
        <v>46051</v>
      </c>
      <c r="X37" s="756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53"/>
      <c r="J38" s="753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96"/>
      <c r="S38" s="628" t="s">
        <v>305</v>
      </c>
      <c r="T38" s="653">
        <v>45869</v>
      </c>
      <c r="U38" s="657">
        <v>3617.834470189664</v>
      </c>
      <c r="V38" s="805"/>
      <c r="W38" s="538">
        <f t="shared" si="4"/>
        <v>46058</v>
      </c>
      <c r="X38" s="756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53"/>
      <c r="J39" s="753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97"/>
      <c r="S39" s="628" t="s">
        <v>305</v>
      </c>
      <c r="T39" s="653">
        <v>45869</v>
      </c>
      <c r="U39" s="657">
        <v>3617.834470189664</v>
      </c>
      <c r="V39" s="805"/>
      <c r="W39" s="689">
        <v>46086</v>
      </c>
      <c r="X39" s="756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53"/>
      <c r="J40" s="753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805"/>
      <c r="W40" s="577"/>
      <c r="X40" s="75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53"/>
      <c r="J41" s="753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805"/>
      <c r="W41" s="577"/>
      <c r="X41" s="75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54"/>
      <c r="J42" s="754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806"/>
      <c r="W42" s="578"/>
      <c r="X42" s="757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67">
        <f>SUM(G44:G51)</f>
        <v>49000</v>
      </c>
      <c r="J44" s="767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79">
        <f>J44-SUM(U44:U51)</f>
        <v>-5.4447088768938556E-4</v>
      </c>
      <c r="W44" s="539">
        <v>45855</v>
      </c>
      <c r="X44" s="792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68"/>
      <c r="J45" s="768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80"/>
      <c r="W45" s="535">
        <v>45806</v>
      </c>
      <c r="X45" s="793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68"/>
      <c r="J46" s="768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80"/>
      <c r="W46" s="669">
        <v>45867</v>
      </c>
      <c r="X46" s="793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68"/>
      <c r="J47" s="768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80"/>
      <c r="W47" s="535">
        <f>T47</f>
        <v>45838</v>
      </c>
      <c r="X47" s="793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68"/>
      <c r="J48" s="768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80"/>
      <c r="W48" s="535">
        <v>45799</v>
      </c>
      <c r="X48" s="793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68"/>
      <c r="J49" s="768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80"/>
      <c r="W49" s="573"/>
      <c r="X49" s="79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68"/>
      <c r="J50" s="768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80"/>
      <c r="W50" s="573"/>
      <c r="X50" s="793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69"/>
      <c r="J51" s="769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81"/>
      <c r="W51" s="574"/>
      <c r="X51" s="794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52">
        <f>SUM(G53:G69)</f>
        <v>282181.81739130436</v>
      </c>
      <c r="J53" s="752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804">
        <f>J53-SUM(U53:U69)</f>
        <v>-2.4396576918661594E-4</v>
      </c>
      <c r="W53" s="576"/>
      <c r="X53" s="75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53"/>
      <c r="J54" s="753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805"/>
      <c r="W54" s="538">
        <v>45899</v>
      </c>
      <c r="X54" s="75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53"/>
      <c r="J55" s="753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805"/>
      <c r="W55" s="577"/>
      <c r="X55" s="75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53"/>
      <c r="J56" s="753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805"/>
      <c r="W56" s="577"/>
      <c r="X56" s="75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53"/>
      <c r="J57" s="753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805"/>
      <c r="W57" s="577"/>
      <c r="X57" s="75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53"/>
      <c r="J58" s="753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805"/>
      <c r="W58" s="577"/>
      <c r="X58" s="75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53"/>
      <c r="J59" s="753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95" t="s">
        <v>299</v>
      </c>
      <c r="S59" s="628" t="s">
        <v>300</v>
      </c>
      <c r="T59" s="653">
        <v>45808</v>
      </c>
      <c r="U59" s="657">
        <v>21761.295102978322</v>
      </c>
      <c r="V59" s="805"/>
      <c r="W59" s="538">
        <f>W91</f>
        <v>45813</v>
      </c>
      <c r="X59" s="75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53"/>
      <c r="J60" s="753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96"/>
      <c r="S60" s="628" t="s">
        <v>302</v>
      </c>
      <c r="T60" s="653">
        <v>45838</v>
      </c>
      <c r="U60" s="657">
        <v>32641.942654467482</v>
      </c>
      <c r="V60" s="805"/>
      <c r="W60" s="538">
        <f t="shared" ref="W60:W66" si="8">W92</f>
        <v>45869</v>
      </c>
      <c r="X60" s="75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53"/>
      <c r="J61" s="753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96"/>
      <c r="S61" s="628" t="s">
        <v>305</v>
      </c>
      <c r="T61" s="653">
        <v>45869</v>
      </c>
      <c r="U61" s="657">
        <v>43133.054010784013</v>
      </c>
      <c r="V61" s="805"/>
      <c r="W61" s="538">
        <f t="shared" si="8"/>
        <v>45954</v>
      </c>
      <c r="X61" s="75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53"/>
      <c r="J62" s="753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96"/>
      <c r="S62" s="628" t="s">
        <v>305</v>
      </c>
      <c r="T62" s="653">
        <v>45869</v>
      </c>
      <c r="U62" s="657">
        <v>53916.317513480011</v>
      </c>
      <c r="V62" s="805"/>
      <c r="W62" s="538">
        <f t="shared" si="8"/>
        <v>45954</v>
      </c>
      <c r="X62" s="75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53"/>
      <c r="J63" s="753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96"/>
      <c r="S63" s="628" t="s">
        <v>305</v>
      </c>
      <c r="T63" s="653">
        <v>45869</v>
      </c>
      <c r="U63" s="657">
        <v>21566.527005392007</v>
      </c>
      <c r="V63" s="805"/>
      <c r="W63" s="689">
        <f t="shared" si="8"/>
        <v>45960</v>
      </c>
      <c r="X63" s="75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53"/>
      <c r="J64" s="753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96"/>
      <c r="S64" s="632" t="s">
        <v>305</v>
      </c>
      <c r="T64" s="653">
        <v>45869</v>
      </c>
      <c r="U64" s="670">
        <v>21566.527005392007</v>
      </c>
      <c r="V64" s="805"/>
      <c r="W64" s="538">
        <v>46051</v>
      </c>
      <c r="X64" s="75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53"/>
      <c r="J65" s="753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96"/>
      <c r="S65" s="632" t="s">
        <v>305</v>
      </c>
      <c r="T65" s="653">
        <v>45869</v>
      </c>
      <c r="U65" s="670">
        <v>10783.263502696003</v>
      </c>
      <c r="V65" s="805"/>
      <c r="W65" s="538">
        <f t="shared" si="8"/>
        <v>46058</v>
      </c>
      <c r="X65" s="75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53"/>
      <c r="J66" s="753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97"/>
      <c r="S66" s="632" t="s">
        <v>305</v>
      </c>
      <c r="T66" s="653">
        <v>45869</v>
      </c>
      <c r="U66" s="670">
        <v>10783.263502696003</v>
      </c>
      <c r="V66" s="805"/>
      <c r="W66" s="689">
        <v>46086</v>
      </c>
      <c r="X66" s="75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53"/>
      <c r="J67" s="753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805"/>
      <c r="W67" s="580"/>
      <c r="X67" s="75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53"/>
      <c r="J68" s="753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805"/>
      <c r="W68" s="580"/>
      <c r="X68" s="75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54"/>
      <c r="J69" s="754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806"/>
      <c r="W69" s="578"/>
      <c r="X69" s="757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67">
        <f>SUM(G71:G78)</f>
        <v>0</v>
      </c>
      <c r="J71" s="767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801">
        <f>J71-SUM(U71:U78)</f>
        <v>0</v>
      </c>
      <c r="W71" s="582"/>
      <c r="X71" s="792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68"/>
      <c r="J72" s="768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802"/>
      <c r="W72" s="573"/>
      <c r="X72" s="793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68"/>
      <c r="J73" s="768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802"/>
      <c r="W73" s="573"/>
      <c r="X73" s="793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68"/>
      <c r="J74" s="768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802"/>
      <c r="W74" s="573"/>
      <c r="X74" s="793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68"/>
      <c r="J75" s="768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802"/>
      <c r="W75" s="573"/>
      <c r="X75" s="793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68"/>
      <c r="J76" s="768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802"/>
      <c r="W76" s="573"/>
      <c r="X76" s="793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68"/>
      <c r="J77" s="768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802"/>
      <c r="W77" s="573"/>
      <c r="X77" s="793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69"/>
      <c r="J78" s="769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803"/>
      <c r="W78" s="574"/>
      <c r="X78" s="794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52">
        <f>D174</f>
        <v>0</v>
      </c>
      <c r="J80" s="752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776">
        <f>J80-SUM(U80:U88)</f>
        <v>0</v>
      </c>
      <c r="W80" s="690">
        <f>T80</f>
        <v>45961</v>
      </c>
      <c r="X80" s="75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53"/>
      <c r="J81" s="753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777"/>
      <c r="W81" s="577"/>
      <c r="X81" s="75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53"/>
      <c r="J82" s="753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777"/>
      <c r="W82" s="538">
        <v>45869</v>
      </c>
      <c r="X82" s="75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53"/>
      <c r="J83" s="753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777"/>
      <c r="W83" s="577"/>
      <c r="X83" s="75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53"/>
      <c r="J84" s="753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95" t="s">
        <v>341</v>
      </c>
      <c r="S84" s="628" t="s">
        <v>342</v>
      </c>
      <c r="T84" s="653">
        <v>45930</v>
      </c>
      <c r="U84" s="508"/>
      <c r="V84" s="777"/>
      <c r="W84" s="538">
        <v>45932</v>
      </c>
      <c r="X84" s="75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53"/>
      <c r="J85" s="753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97"/>
      <c r="S85" s="628" t="s">
        <v>343</v>
      </c>
      <c r="T85" s="686">
        <v>45961</v>
      </c>
      <c r="U85" s="508"/>
      <c r="V85" s="777"/>
      <c r="W85" s="689">
        <v>45961</v>
      </c>
      <c r="X85" s="75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53"/>
      <c r="J86" s="753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777"/>
      <c r="W86" s="689">
        <v>45943</v>
      </c>
      <c r="X86" s="75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53"/>
      <c r="J87" s="753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777"/>
      <c r="W87" s="692">
        <f>T87</f>
        <v>45961</v>
      </c>
      <c r="X87" s="75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54"/>
      <c r="J88" s="754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778"/>
      <c r="W88" s="711">
        <v>46079</v>
      </c>
      <c r="X88" s="75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64">
        <f>SUM(G90:G101)</f>
        <v>138375</v>
      </c>
      <c r="J90" s="767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79">
        <f>J90-SUM(U90:U101)</f>
        <v>0</v>
      </c>
      <c r="W90" s="579"/>
      <c r="X90" s="770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65"/>
      <c r="J91" s="768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82" t="s">
        <v>299</v>
      </c>
      <c r="S91" s="623" t="s">
        <v>300</v>
      </c>
      <c r="T91" s="641">
        <v>45808</v>
      </c>
      <c r="U91" s="659">
        <v>16279.411764705883</v>
      </c>
      <c r="V91" s="780"/>
      <c r="W91" s="535">
        <v>45813</v>
      </c>
      <c r="X91" s="771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65"/>
      <c r="J92" s="768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783"/>
      <c r="S92" s="624" t="s">
        <v>302</v>
      </c>
      <c r="T92" s="656">
        <v>45838</v>
      </c>
      <c r="U92" s="665">
        <v>24419.117647058822</v>
      </c>
      <c r="V92" s="780"/>
      <c r="W92" s="536">
        <v>45869</v>
      </c>
      <c r="X92" s="771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65"/>
      <c r="J93" s="768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783"/>
      <c r="S93" s="624" t="s">
        <v>305</v>
      </c>
      <c r="T93" s="656">
        <v>45900</v>
      </c>
      <c r="U93" s="665">
        <v>32558.823529411766</v>
      </c>
      <c r="V93" s="780"/>
      <c r="W93" s="536">
        <v>45954</v>
      </c>
      <c r="X93" s="771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65"/>
      <c r="J94" s="768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783"/>
      <c r="S94" s="624" t="s">
        <v>305</v>
      </c>
      <c r="T94" s="693">
        <v>45961</v>
      </c>
      <c r="U94" s="694">
        <v>40698.529411764706</v>
      </c>
      <c r="V94" s="780"/>
      <c r="W94" s="536">
        <v>45954</v>
      </c>
      <c r="X94" s="771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65"/>
      <c r="J95" s="768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783"/>
      <c r="S95" s="624" t="s">
        <v>305</v>
      </c>
      <c r="T95" s="693">
        <v>45961</v>
      </c>
      <c r="U95" s="694">
        <v>16279.411764705883</v>
      </c>
      <c r="V95" s="780"/>
      <c r="W95" s="688">
        <v>45960</v>
      </c>
      <c r="X95" s="771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65"/>
      <c r="J96" s="768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783"/>
      <c r="S96" s="624" t="s">
        <v>305</v>
      </c>
      <c r="T96" s="693">
        <v>45961</v>
      </c>
      <c r="U96" s="694">
        <v>16279.411764705883</v>
      </c>
      <c r="V96" s="780"/>
      <c r="W96" s="536">
        <v>46051</v>
      </c>
      <c r="X96" s="771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65"/>
      <c r="J97" s="768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783"/>
      <c r="S97" s="624" t="s">
        <v>305</v>
      </c>
      <c r="T97" s="693">
        <v>45961</v>
      </c>
      <c r="U97" s="694">
        <v>8139.7058823529414</v>
      </c>
      <c r="V97" s="780"/>
      <c r="W97" s="536">
        <f>W96+7</f>
        <v>46058</v>
      </c>
      <c r="X97" s="771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65"/>
      <c r="J98" s="768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84"/>
      <c r="S98" s="624" t="s">
        <v>305</v>
      </c>
      <c r="T98" s="693">
        <v>45961</v>
      </c>
      <c r="U98" s="694">
        <v>8139.7058823529414</v>
      </c>
      <c r="V98" s="780"/>
      <c r="W98" s="688">
        <v>46086</v>
      </c>
      <c r="X98" s="771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65"/>
      <c r="J99" s="768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80"/>
      <c r="W99" s="573"/>
      <c r="X99" s="771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65"/>
      <c r="J100" s="768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80"/>
      <c r="W100" s="573"/>
      <c r="X100" s="771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766"/>
      <c r="J101" s="769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81"/>
      <c r="W101" s="574"/>
      <c r="X101" s="772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8">
        <f>SUM(G103:G123)</f>
        <v>45648.600000000006</v>
      </c>
      <c r="J103" s="758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73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59"/>
      <c r="J104" s="759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74"/>
      <c r="W104" s="583"/>
      <c r="X104" s="762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59"/>
      <c r="J105" s="759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74"/>
      <c r="W105" s="583"/>
      <c r="X105" s="762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59"/>
      <c r="J106" s="759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74"/>
      <c r="W106" s="583"/>
      <c r="X106" s="762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59"/>
      <c r="J107" s="759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74"/>
      <c r="W107" s="541">
        <v>45932</v>
      </c>
      <c r="X107" s="762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59"/>
      <c r="J108" s="759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74"/>
      <c r="W108" s="699">
        <v>45967</v>
      </c>
      <c r="X108" s="762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59"/>
      <c r="J109" s="759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74"/>
      <c r="W109" s="699">
        <v>45989</v>
      </c>
      <c r="X109" s="762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59"/>
      <c r="J110" s="759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74"/>
      <c r="W110" s="704">
        <v>46031</v>
      </c>
      <c r="X110" s="762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59"/>
      <c r="J111" s="759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74"/>
      <c r="W111" s="542">
        <v>46051</v>
      </c>
      <c r="X111" s="762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59"/>
      <c r="J112" s="759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74"/>
      <c r="W112" s="584"/>
      <c r="X112" s="762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59"/>
      <c r="J113" s="759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98" t="s">
        <v>299</v>
      </c>
      <c r="S113" s="637" t="s">
        <v>300</v>
      </c>
      <c r="T113" s="654">
        <v>45808</v>
      </c>
      <c r="U113" s="660">
        <v>1610.0536441471907</v>
      </c>
      <c r="V113" s="774"/>
      <c r="W113" s="542">
        <f t="shared" ref="W113:W120" si="14">W91</f>
        <v>45813</v>
      </c>
      <c r="X113" s="762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59"/>
      <c r="J114" s="759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99"/>
      <c r="S114" s="637" t="s">
        <v>302</v>
      </c>
      <c r="T114" s="654">
        <v>45838</v>
      </c>
      <c r="U114" s="660">
        <v>5938.9575196664427</v>
      </c>
      <c r="V114" s="774"/>
      <c r="W114" s="542">
        <f t="shared" si="14"/>
        <v>45869</v>
      </c>
      <c r="X114" s="762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59"/>
      <c r="J115" s="759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99"/>
      <c r="S115" s="637" t="s">
        <v>305</v>
      </c>
      <c r="T115" s="653">
        <v>45869</v>
      </c>
      <c r="U115" s="660">
        <v>6039.2100262219237</v>
      </c>
      <c r="V115" s="774"/>
      <c r="W115" s="542">
        <f t="shared" si="14"/>
        <v>45954</v>
      </c>
      <c r="X115" s="762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59"/>
      <c r="J116" s="759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99"/>
      <c r="S116" s="637" t="s">
        <v>305</v>
      </c>
      <c r="T116" s="653">
        <v>45869</v>
      </c>
      <c r="U116" s="660">
        <v>7549.012532777404</v>
      </c>
      <c r="V116" s="774"/>
      <c r="W116" s="542">
        <f t="shared" si="14"/>
        <v>45954</v>
      </c>
      <c r="X116" s="762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59"/>
      <c r="J117" s="759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99"/>
      <c r="S117" s="637" t="s">
        <v>305</v>
      </c>
      <c r="T117" s="653">
        <v>45869</v>
      </c>
      <c r="U117" s="660">
        <v>3019.6050131109619</v>
      </c>
      <c r="V117" s="774"/>
      <c r="W117" s="647">
        <f t="shared" si="14"/>
        <v>45960</v>
      </c>
      <c r="X117" s="762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59"/>
      <c r="J118" s="759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99"/>
      <c r="S118" s="637" t="s">
        <v>305</v>
      </c>
      <c r="T118" s="653">
        <v>45869</v>
      </c>
      <c r="U118" s="660">
        <v>3019.6050131109619</v>
      </c>
      <c r="V118" s="774"/>
      <c r="W118" s="542">
        <f t="shared" si="14"/>
        <v>46051</v>
      </c>
      <c r="X118" s="762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59"/>
      <c r="J119" s="759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99"/>
      <c r="S119" s="637" t="s">
        <v>305</v>
      </c>
      <c r="T119" s="653">
        <v>45869</v>
      </c>
      <c r="U119" s="660">
        <v>1509.8025065554809</v>
      </c>
      <c r="V119" s="774"/>
      <c r="W119" s="542">
        <f t="shared" si="14"/>
        <v>46058</v>
      </c>
      <c r="X119" s="762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59"/>
      <c r="J120" s="759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800"/>
      <c r="S120" s="637" t="s">
        <v>305</v>
      </c>
      <c r="T120" s="653">
        <v>45869</v>
      </c>
      <c r="U120" s="660">
        <v>1509.8025065554809</v>
      </c>
      <c r="V120" s="774"/>
      <c r="W120" s="647">
        <f t="shared" si="14"/>
        <v>46086</v>
      </c>
      <c r="X120" s="762"/>
      <c r="Y120" s="483"/>
    </row>
    <row r="121" spans="1:25" ht="14.1" customHeight="1">
      <c r="B121" s="340">
        <v>10</v>
      </c>
      <c r="C121" s="341"/>
      <c r="D121" s="341"/>
      <c r="E121" s="342"/>
      <c r="F121" s="472"/>
      <c r="G121" s="343"/>
      <c r="H121" s="584"/>
      <c r="I121" s="759"/>
      <c r="J121" s="759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74"/>
      <c r="W121" s="584"/>
      <c r="X121" s="762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59"/>
      <c r="J122" s="759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74"/>
      <c r="W122" s="584"/>
      <c r="X122" s="762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60"/>
      <c r="J123" s="760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5"/>
      <c r="W123" s="585"/>
      <c r="X123" s="763"/>
      <c r="Y123" s="483"/>
    </row>
    <row r="124" spans="1:25" ht="14.4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67">
        <f>SUM(G125:G129)</f>
        <v>29000</v>
      </c>
      <c r="J125" s="767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79">
        <f>J125-SUM(U125:U129)</f>
        <v>-4.3605987593764439E-3</v>
      </c>
      <c r="W125" s="539">
        <v>45991</v>
      </c>
      <c r="X125" s="792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68"/>
      <c r="J126" s="768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80"/>
      <c r="W126" s="649">
        <v>45757</v>
      </c>
      <c r="X126" s="793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68"/>
      <c r="J127" s="768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80"/>
      <c r="W127" s="649">
        <v>45989</v>
      </c>
      <c r="X127" s="793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68"/>
      <c r="J128" s="768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80"/>
      <c r="W128" s="573"/>
      <c r="X128" s="793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69"/>
      <c r="J129" s="769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81"/>
      <c r="W129" s="574"/>
      <c r="X129" s="794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8">
        <f>SUM(G131:G132)</f>
        <v>48906.263075797542</v>
      </c>
      <c r="J131" s="758">
        <v>0</v>
      </c>
      <c r="K131" s="807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60"/>
      <c r="J132" s="760"/>
      <c r="K132" s="808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3"/>
      <c r="Y132" s="483"/>
    </row>
    <row r="133" spans="1:25" ht="14.4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67">
        <f>SUM(G134:G138)</f>
        <v>81274.293610248453</v>
      </c>
      <c r="J134" s="767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79">
        <f>J134-SUM(U134:U139)</f>
        <v>0</v>
      </c>
      <c r="W134" s="705">
        <v>45989</v>
      </c>
      <c r="X134" s="792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68"/>
      <c r="J135" s="768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80"/>
      <c r="W135" s="572"/>
      <c r="X135" s="793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68"/>
      <c r="J136" s="768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80"/>
      <c r="W136" s="572"/>
      <c r="X136" s="793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68"/>
      <c r="J137" s="768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80"/>
      <c r="W137" s="572"/>
      <c r="X137" s="793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68"/>
      <c r="J138" s="768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80"/>
      <c r="W138" s="572"/>
      <c r="X138" s="793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69"/>
      <c r="J139" s="769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81"/>
      <c r="W139" s="574"/>
      <c r="X139" s="794"/>
      <c r="Y139" s="483"/>
    </row>
    <row r="140" spans="1:25" ht="14.4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8">
        <f>SUM(G141:G152)</f>
        <v>2975</v>
      </c>
      <c r="J141" s="758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73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59"/>
      <c r="J142" s="759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74"/>
      <c r="W142" s="647">
        <v>45777</v>
      </c>
      <c r="X142" s="762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59"/>
      <c r="J143" s="759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74"/>
      <c r="W143" s="542">
        <v>45808</v>
      </c>
      <c r="X143" s="762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59"/>
      <c r="J144" s="759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74"/>
      <c r="W144" s="542">
        <v>45842</v>
      </c>
      <c r="X144" s="762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59"/>
      <c r="J145" s="759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74"/>
      <c r="W145" s="542">
        <v>45869</v>
      </c>
      <c r="X145" s="762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59"/>
      <c r="J146" s="759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74"/>
      <c r="W146" s="542">
        <v>45905</v>
      </c>
      <c r="X146" s="762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59"/>
      <c r="J147" s="759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74"/>
      <c r="W147" s="647">
        <v>45930</v>
      </c>
      <c r="X147" s="762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59"/>
      <c r="J148" s="759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74"/>
      <c r="W148" s="647">
        <v>45961</v>
      </c>
      <c r="X148" s="762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59"/>
      <c r="J149" s="759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74"/>
      <c r="W149" s="647">
        <v>45996</v>
      </c>
      <c r="X149" s="762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59"/>
      <c r="J150" s="759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74"/>
      <c r="W150" s="584"/>
      <c r="X150" s="762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59"/>
      <c r="J151" s="759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74"/>
      <c r="W151" s="584"/>
      <c r="X151" s="762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60"/>
      <c r="J152" s="760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5"/>
      <c r="W152" s="585"/>
      <c r="X152" s="763"/>
      <c r="Y152" s="483"/>
    </row>
    <row r="153" spans="1:25" ht="14.4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67">
        <f>SUM(G154:G165)</f>
        <v>300000</v>
      </c>
      <c r="J154" s="767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79">
        <f>J154-SUM(U154:U165)</f>
        <v>0</v>
      </c>
      <c r="W154" s="579"/>
      <c r="X154" s="792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68"/>
      <c r="J155" s="768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80"/>
      <c r="W155" s="572"/>
      <c r="X155" s="793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68"/>
      <c r="J156" s="768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80"/>
      <c r="W156" s="572"/>
      <c r="X156" s="793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68"/>
      <c r="J157" s="768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80"/>
      <c r="W157" s="572"/>
      <c r="X157" s="793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68"/>
      <c r="J158" s="768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80"/>
      <c r="W158" s="572"/>
      <c r="X158" s="793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68"/>
      <c r="J159" s="768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80"/>
      <c r="W159" s="572"/>
      <c r="X159" s="793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68"/>
      <c r="J160" s="768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80"/>
      <c r="W160" s="572"/>
      <c r="X160" s="793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68"/>
      <c r="J161" s="768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80"/>
      <c r="W161" s="572"/>
      <c r="X161" s="793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68"/>
      <c r="J162" s="768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82" t="s">
        <v>405</v>
      </c>
      <c r="S162" s="623" t="s">
        <v>406</v>
      </c>
      <c r="T162" s="641">
        <v>45961</v>
      </c>
      <c r="U162" s="503"/>
      <c r="V162" s="780"/>
      <c r="W162" s="535">
        <v>45967</v>
      </c>
      <c r="X162" s="793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68"/>
      <c r="J163" s="768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84"/>
      <c r="S163" s="623" t="s">
        <v>406</v>
      </c>
      <c r="T163" s="641">
        <v>45961</v>
      </c>
      <c r="U163" s="503"/>
      <c r="V163" s="780"/>
      <c r="W163" s="572">
        <v>46093</v>
      </c>
      <c r="X163" s="793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68"/>
      <c r="J164" s="768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80"/>
      <c r="W164" s="572"/>
      <c r="X164" s="793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69"/>
      <c r="J165" s="769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81"/>
      <c r="W165" s="574"/>
      <c r="X165" s="794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X6:X11"/>
    <mergeCell ref="V6:V11"/>
    <mergeCell ref="V13:V19"/>
    <mergeCell ref="V21:V26"/>
    <mergeCell ref="V28:V42"/>
    <mergeCell ref="X21:X26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bottomRight" activeCell="AX35" sqref="AX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10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10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10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9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10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23487.972500000003</v>
      </c>
      <c r="BM11" s="214">
        <f>SUMIFS('Expenditure Breakdown'!$Q$6:$Q$173, 'Expenditure Breakdown'!$W$6:$W$173, "&gt;="&amp;BM1,'Expenditure Breakdown'!$W$6:$W$173, "&lt;"&amp;BN1)</f>
        <v>12449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10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1600475.845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436630.15500000003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1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1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8515625" defaultRowHeight="14.45"/>
  <cols>
    <col min="1" max="1" width="39.42578125" style="366" bestFit="1" customWidth="1"/>
    <col min="2" max="2" width="17.28515625" style="367" bestFit="1" customWidth="1"/>
    <col min="3" max="4" width="12" style="366" bestFit="1" customWidth="1"/>
    <col min="5" max="5" width="14.7109375" style="366" bestFit="1" customWidth="1"/>
    <col min="6" max="7" width="13.28515625" style="366" bestFit="1" customWidth="1"/>
    <col min="8" max="8" width="12" style="366" bestFit="1" customWidth="1"/>
    <col min="9" max="9" width="13.28515625" style="366" bestFit="1" customWidth="1"/>
    <col min="10" max="11" width="11.7109375" style="366" bestFit="1" customWidth="1"/>
    <col min="12" max="12" width="4.7109375" style="366" bestFit="1" customWidth="1"/>
    <col min="13" max="13" width="10.5703125" style="366" bestFit="1" customWidth="1"/>
    <col min="14" max="15" width="14.7109375" style="366" bestFit="1" customWidth="1"/>
    <col min="16" max="18" width="11.42578125" style="366" bestFit="1" customWidth="1"/>
    <col min="19" max="19" width="13.5703125" style="366" bestFit="1" customWidth="1"/>
    <col min="20" max="16384" width="12.2851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4" width="12" style="408" bestFit="1" customWidth="1"/>
    <col min="5" max="6" width="13.28515625" style="408" bestFit="1" customWidth="1"/>
    <col min="7" max="8" width="12" style="408" bestFit="1" customWidth="1"/>
    <col min="9" max="9" width="13.28515625" style="408" bestFit="1" customWidth="1"/>
    <col min="10" max="11" width="12" bestFit="1" customWidth="1"/>
    <col min="12" max="12" width="10.7109375" bestFit="1" customWidth="1"/>
    <col min="13" max="13" width="12" bestFit="1" customWidth="1"/>
    <col min="14" max="15" width="14.7109375" bestFit="1" customWidth="1"/>
    <col min="16" max="16" width="10.710937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446</v>
      </c>
    </row>
    <row r="2" spans="1:4">
      <c r="A2" s="813"/>
      <c r="B2" s="813"/>
      <c r="C2" s="813"/>
      <c r="D2" s="71"/>
    </row>
    <row r="3" spans="1:4">
      <c r="A3" s="812" t="s">
        <v>447</v>
      </c>
      <c r="B3" s="812"/>
      <c r="C3" s="812"/>
      <c r="D3" s="111">
        <v>0.32</v>
      </c>
    </row>
    <row r="4" spans="1:4">
      <c r="A4" s="812" t="s">
        <v>415</v>
      </c>
      <c r="B4" s="812"/>
      <c r="C4" s="812"/>
      <c r="D4" s="111">
        <v>0.5</v>
      </c>
    </row>
    <row r="5" spans="1:4">
      <c r="A5" s="812" t="s">
        <v>426</v>
      </c>
      <c r="B5" s="812"/>
      <c r="C5" s="812"/>
      <c r="D5" s="111">
        <v>0.15</v>
      </c>
    </row>
    <row r="6" spans="1:4">
      <c r="A6" s="812" t="s">
        <v>448</v>
      </c>
      <c r="B6" s="812"/>
      <c r="C6" s="81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4" t="s">
        <v>449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</row>
    <row r="4" spans="2:14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4" t="s">
        <v>471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</row>
    <row r="4" spans="2:15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482</v>
      </c>
      <c r="C32" s="103"/>
      <c r="D32" s="103"/>
    </row>
    <row r="33" spans="2:4" ht="13.9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28515625" bestFit="1" customWidth="1"/>
  </cols>
  <sheetData>
    <row r="1" spans="2:14">
      <c r="B1" s="816" t="str">
        <f>D15</f>
        <v>Marikana Old Church</v>
      </c>
      <c r="C1" s="816"/>
      <c r="D1" s="816"/>
      <c r="E1" s="815" t="s">
        <v>484</v>
      </c>
      <c r="F1" s="815"/>
      <c r="G1" s="815"/>
      <c r="H1" s="815"/>
      <c r="I1" s="815"/>
      <c r="J1" s="815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9F1D31-CCCC-4408-A6B1-D31C49C31AD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