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28" documentId="6_{75E6EAB9-0DA5-4053-AB0C-6D7CCF22EEDA}" xr6:coauthVersionLast="47" xr6:coauthVersionMax="47" xr10:uidLastSave="{3B6A215D-813B-4CF6-87A8-D3C191162A5B}"/>
  <bookViews>
    <workbookView xWindow="28680" yWindow="-120" windowWidth="29040" windowHeight="15720" tabRatio="766" firstSheet="10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15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W107" i="18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M28" i="2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I7" i="6"/>
  <c r="J6" i="6"/>
  <c r="X58" i="18"/>
  <c r="X30" i="18"/>
  <c r="V146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V30" i="18"/>
  <c r="U97" i="18"/>
  <c r="U109" i="18"/>
  <c r="U110" i="18"/>
  <c r="U108" i="18"/>
  <c r="H17" i="3"/>
  <c r="J17" i="3" s="1"/>
  <c r="HZ11" i="6"/>
  <c r="T43" i="18"/>
  <c r="DM17" i="6" s="1"/>
  <c r="T72" i="18"/>
  <c r="EF17" i="6" s="1"/>
  <c r="T124" i="18"/>
  <c r="T71" i="18"/>
  <c r="H21" i="3"/>
  <c r="J21" i="3" s="1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Q117" i="18"/>
  <c r="Q121" i="18"/>
  <c r="Q122" i="18"/>
  <c r="Q125" i="18"/>
  <c r="M9" i="2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X4" i="5"/>
  <c r="U126" i="18"/>
  <c r="X2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<sst xmlns="http://schemas.openxmlformats.org/spreadsheetml/2006/main" count="969" uniqueCount="556">
  <si>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</si>
  <si>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</si>
  <si>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</si>
  <si>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</si>
  <si>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</si>
  <si>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</si>
  <si>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</si>
  <si>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</si>
  <si>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</si>
  <si>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</si>
  <si>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</si>
  <si>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</si>
  <si>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</si>
  <si>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</si>
  <si>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</si>
  <si>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</si>
  <si>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</si>
  <si>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</si>
  <si>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</si>
  <si>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</si>
  <si>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</si>
  <si>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</si>
  <si>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</si>
  <si>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</si>
  <si>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</si>
  <si>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</si>
  <si>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</si>
  <si>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</si>
  <si>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</si>
  <si>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</si>
  <si>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</si>
  <si>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</si>
  <si>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</si>
  <si>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</si>
  <si>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</si>
  <si>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</si>
  <si>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</si>
  <si>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</si>
  <si>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</si>
  <si>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</si>
  <si>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</si>
  <si>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</si>
  <si>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</si>
  <si>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</si>
  <si>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</si>
  <si>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</si>
  <si>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</si>
  <si>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</si>
  <si>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</si>
  <si>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</si>
  <si>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</si>
  <si>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</si>
  <si>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</si>
  <si>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</si>
  <si>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</si>
  <si>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</si>
  <si>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</si>
  <si>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</si>
  <si>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</si>
  <si>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</si>
  <si>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</si>
  <si>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</si>
  <si>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</si>
  <si>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</si>
  <si>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</si>
  <si>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</si>
  <si>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</si>
  <si>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</si>
  <si>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</si>
  <si>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</si>
  <si>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</si>
  <si>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</si>
  <si>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</si>
  <si>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</si>
  <si>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</si>
  <si>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</si>
  <si>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</si>
  <si>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</si>
  <si>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</si>
  <si>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</si>
  <si>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</si>
  <si>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</si>
  <si>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</si>
  <si>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</si>
  <si>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</si>
  <si>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</si>
  <si>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</si>
  <si>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</si>
  <si>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</si>
  <si>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</si>
  <si>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</si>
  <si>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</si>
  <si>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</si>
  <si>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</si>
  <si>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</si>
  <si>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</si>
  <si>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</si>
  <si>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</si>
  <si>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</si>
  <si>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</si>
  <si>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</si>
  <si>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</si>
  <si>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</si>
  <si>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</si>
  <si>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</si>
  <si>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</si>
  <si>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</si>
  <si>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</si>
  <si>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</si>
  <si>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</si>
  <si>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</si>
  <si>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</si>
  <si>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</si>
  <si>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</si>
  <si>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</si>
  <si>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</si>
  <si>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</si>
  <si>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</si>
  <si>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</si>
  <si>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</si>
  <si>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</si>
  <si>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</si>
  <si>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</si>
  <si>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</si>
  <si>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</si>
  <si>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</si>
  <si>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</si>
  <si>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</si>
  <si>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</si>
  <si>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</si>
  <si>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</si>
  <si>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</si>
  <si>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</si>
  <si>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</si>
  <si>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</si>
  <si>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</si>
  <si>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</si>
  <si>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</si>
  <si>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</si>
  <si>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</si>
  <si>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</si>
  <si>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</si>
  <si>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</si>
  <si>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</si>
  <si>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</si>
  <si>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</si>
  <si>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</si>
  <si>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</si>
  <si>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</si>
  <si>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</si>
  <si>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</si>
  <si>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</si>
  <si>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</si>
  <si>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</si>
  <si>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</si>
  <si>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</si>
  <si>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</si>
  <si>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</si>
  <si>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</si>
  <si>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</si>
  <si>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</si>
  <si>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</si>
  <si>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</si>
  <si>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</si>
  <si>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</si>
  <si>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</si>
  <si>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</si>
  <si>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</si>
  <si>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</si>
  <si>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</si>
  <si>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</si>
  <si>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</si>
  <si>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</si>
  <si>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</si>
  <si>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</si>
  <si>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</si>
  <si>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</si>
  <si>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</si>
  <si>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</si>
  <si>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</si>
  <si>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</si>
  <si>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</si>
  <si>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</si>
  <si>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</si>
  <si>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</si>
  <si>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</si>
  <si>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</si>
  <si>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</si>
  <si>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</si>
  <si>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</si>
  <si>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</si>
  <si>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</si>
  <si>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</si>
  <si>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</si>
  <si>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</si>
  <si>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</si>
  <si>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</si>
  <si>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</si>
  <si>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</si>
  <si>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</si>
  <si>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</si>
  <si>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</si>
  <si>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</si>
  <si>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</si>
  <si>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</si>
  <si>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</si>
  <si>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</si>
  <si>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</si>
  <si>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</si>
  <si>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</si>
  <si>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</si>
  <si>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</si>
  <si>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</si>
  <si>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</si>
  <si>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</si>
  <si>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</si>
  <si>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</si>
  <si>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</si>
  <si>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</si>
  <si>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</si>
  <si>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</si>
  <si>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</si>
  <si>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</si>
  <si>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</si>
  <si>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</si>
  <si>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</si>
  <si>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</si>
  <si>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</si>
  <si>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</si>
  <si>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</si>
  <si>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</si>
  <si>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</si>
  <si>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</si>
  <si>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</si>
  <si>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</si>
  <si>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</si>
  <si>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</si>
  <si>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</si>
  <si>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</si>
  <si>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</si>
  <si>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</si>
  <si>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</si>
  <si>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</si>
  <si>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</si>
  <si>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</si>
  <si>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</si>
  <si>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</si>
  <si>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</si>
  <si>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</si>
  <si>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</si>
  <si>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</si>
  <si>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</si>
  <si>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</si>
  <si>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</si>
  <si>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</si>
  <si>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</si>
  <si>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</si>
  <si>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</si>
  <si>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</si>
  <si>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</si>
  <si>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</si>
  <si>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</si>
  <si>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</si>
  <si>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</si>
  <si>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</si>
  <si>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</si>
  <si>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</si>
  <si>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</si>
  <si>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</si>
  <si>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</si>
  <si>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</si>
  <si>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</si>
  <si>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</si>
  <si>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</si>
  <si>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</si>
  <si>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</si>
  <si>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</si>
  <si>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</si>
  <si>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</si>
  <si>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</si>
  <si>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</si>
  <si>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</si>
  <si>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</si>
  <si>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</si>
  <si>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</si>
  <si>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</si>
  <si>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</si>
  <si>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</si>
  <si>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</si>
  <si>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</si>
  <si>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</si>
  <si>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</si>
  <si>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</si>
  <si>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</si>
  <si>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</si>
  <si>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</si>
  <si>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</si>
  <si>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</si>
  <si>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</si>
  <si>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</si>
  <si>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</si>
  <si>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</si>
  <si>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</si>
  <si>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</si>
  <si>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</si>
  <si>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</si>
  <si>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</si>
  <si>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</si>
  <si>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</si>
  <si>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</si>
  <si>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</si>
  <si>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</si>
  <si>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</si>
  <si>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</si>
  <si>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</si>
  <si>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</si>
  <si>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</si>
  <si>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</si>
  <si>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</si>
  <si>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</si>
  <si>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</si>
  <si>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</si>
  <si>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</si>
  <si>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</si>
  <si>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</si>
  <si>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</si>
  <si>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</si>
  <si>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</si>
  <si>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</si>
  <si>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</si>
  <si>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</si>
  <si>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</si>
  <si>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</si>
  <si>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</si>
  <si>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</si>
  <si>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</si>
  <si>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</si>
  <si>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</si>
  <si>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</si>
  <si>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</si>
  <si>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</si>
  <si>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</si>
  <si>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</si>
  <si>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</si>
  <si>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</si>
  <si>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</si>
  <si>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</si>
  <si>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</si>
  <si>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</si>
  <si>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</si>
  <si>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</si>
  <si>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</si>
  <si>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</si>
  <si>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</si>
  <si>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</si>
  <si>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</si>
  <si>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</si>
  <si>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</si>
  <si>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</si>
  <si>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</si>
  <si>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</si>
  <si>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</si>
  <si>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</si>
  <si>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</si>
  <si>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</si>
  <si>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</si>
  <si>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</si>
  <si>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</si>
  <si>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</si>
  <si>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</si>
  <si>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</si>
  <si>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</si>
  <si>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</si>
  <si>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</si>
  <si>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</si>
  <si>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</si>
  <si>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</si>
  <si>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</si>
  <si>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</si>
  <si>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</si>
  <si>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</si>
  <si>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</si>
  <si>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</si>
  <si>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</si>
  <si>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</si>
  <si>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</si>
  <si>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</si>
  <si>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</si>
  <si>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</si>
  <si>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</si>
  <si>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</si>
  <si>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</si>
  <si>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</si>
  <si>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</si>
  <si>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</si>
  <si>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</si>
  <si>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</si>
  <si>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</si>
  <si>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</si>
  <si>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</si>
  <si>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</si>
  <si>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</si>
  <si>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</si>
  <si>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</si>
  <si>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</si>
  <si>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</si>
  <si>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</si>
  <si>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</si>
  <si>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</si>
  <si>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</si>
  <si>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</si>
  <si>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</si>
  <si>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</si>
  <si>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</si>
  <si>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</si>
  <si>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</si>
  <si>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</si>
  <si>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</si>
  <si>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</si>
  <si>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</si>
  <si>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</si>
  <si>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</si>
  <si>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</si>
  <si>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</si>
  <si>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</si>
  <si>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</si>
  <si>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</si>
  <si>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</si>
  <si>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</si>
  <si>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</si>
  <si>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</si>
  <si>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</si>
  <si>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</si>
  <si>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</si>
  <si>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</si>
  <si>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</si>
  <si>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</si>
  <si>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</si>
  <si>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</si>
  <si>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</si>
  <si>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</si>
  <si>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JA Electrical INV 1154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</si>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</sst>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7" fontId="7" fillId="0" borderId="16" xfId="0" applyNumberFormat="1" applyFont="1" applyBorder="1" applyAlignment="1" applyProtection="1">
      <alignment horizontal="center" vertical="center"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6" fontId="6" fillId="7" borderId="2" xfId="3" applyFont="1" applyFill="1" applyBorder="1" applyProtection="1">
      <protection locked="0"/>
    </xf>
    <xf numFmtId="166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6" fontId="6" fillId="6" borderId="2" xfId="3" applyFont="1" applyFill="1" applyBorder="1" applyProtection="1">
      <protection locked="0"/>
    </xf>
    <xf numFmtId="166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9" fontId="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67" fontId="52" fillId="13" borderId="55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1331109.7560000001</c:v>
                </c:pt>
                <c:pt idx="31">
                  <c:v>1331109.7560000001</c:v>
                </c:pt>
                <c:pt idx="32">
                  <c:v>1331109.7560000001</c:v>
                </c:pt>
                <c:pt idx="33">
                  <c:v>1356168.986</c:v>
                </c:pt>
                <c:pt idx="34">
                  <c:v>1378410.1240000001</c:v>
                </c:pt>
                <c:pt idx="35">
                  <c:v>1378410.1240000001</c:v>
                </c:pt>
                <c:pt idx="36">
                  <c:v>1378410.1240000001</c:v>
                </c:pt>
                <c:pt idx="37">
                  <c:v>1378410.1240000001</c:v>
                </c:pt>
                <c:pt idx="38">
                  <c:v>1378410.1240000001</c:v>
                </c:pt>
                <c:pt idx="39">
                  <c:v>1378410.1240000001</c:v>
                </c:pt>
                <c:pt idx="40">
                  <c:v>1378410.1240000001</c:v>
                </c:pt>
                <c:pt idx="41">
                  <c:v>1378410.1240000001</c:v>
                </c:pt>
                <c:pt idx="42">
                  <c:v>1378410.1240000001</c:v>
                </c:pt>
                <c:pt idx="43">
                  <c:v>1378410.1240000001</c:v>
                </c:pt>
                <c:pt idx="44">
                  <c:v>1378410.1240000001</c:v>
                </c:pt>
                <c:pt idx="45">
                  <c:v>1378410.1240000001</c:v>
                </c:pt>
                <c:pt idx="46">
                  <c:v>1378410.1240000001</c:v>
                </c:pt>
                <c:pt idx="47">
                  <c:v>1378410.1240000001</c:v>
                </c:pt>
                <c:pt idx="48">
                  <c:v>1378410.1240000001</c:v>
                </c:pt>
                <c:pt idx="49">
                  <c:v>1378410.1240000001</c:v>
                </c:pt>
                <c:pt idx="50">
                  <c:v>1378410.1240000001</c:v>
                </c:pt>
                <c:pt idx="51">
                  <c:v>1378410.1240000001</c:v>
                </c:pt>
                <c:pt idx="52">
                  <c:v>1378410.1240000001</c:v>
                </c:pt>
                <c:pt idx="53">
                  <c:v>1378410.1240000001</c:v>
                </c:pt>
                <c:pt idx="54">
                  <c:v>1378410.1240000001</c:v>
                </c:pt>
                <c:pt idx="55">
                  <c:v>1378410.1240000001</c:v>
                </c:pt>
                <c:pt idx="56">
                  <c:v>1378410.1240000001</c:v>
                </c:pt>
                <c:pt idx="57">
                  <c:v>1378410.1240000001</c:v>
                </c:pt>
                <c:pt idx="58">
                  <c:v>1378410.1240000001</c:v>
                </c:pt>
                <c:pt idx="59">
                  <c:v>1378410.1240000001</c:v>
                </c:pt>
                <c:pt idx="60">
                  <c:v>1378410.1240000001</c:v>
                </c:pt>
                <c:pt idx="61">
                  <c:v>1378410.1240000001</c:v>
                </c:pt>
                <c:pt idx="62">
                  <c:v>1378410.1240000001</c:v>
                </c:pt>
                <c:pt idx="63">
                  <c:v>1378410.1240000001</c:v>
                </c:pt>
                <c:pt idx="64">
                  <c:v>1378410.1240000001</c:v>
                </c:pt>
                <c:pt idx="65">
                  <c:v>1378410.1240000001</c:v>
                </c:pt>
                <c:pt idx="66">
                  <c:v>1378410.1240000001</c:v>
                </c:pt>
                <c:pt idx="67">
                  <c:v>1378410.1240000001</c:v>
                </c:pt>
                <c:pt idx="68">
                  <c:v>1378410.1240000001</c:v>
                </c:pt>
                <c:pt idx="69">
                  <c:v>1378410.1240000001</c:v>
                </c:pt>
                <c:pt idx="70">
                  <c:v>1378410.1240000001</c:v>
                </c:pt>
                <c:pt idx="71">
                  <c:v>1378410.1240000001</c:v>
                </c:pt>
                <c:pt idx="72">
                  <c:v>1378410.1240000001</c:v>
                </c:pt>
                <c:pt idx="73">
                  <c:v>1378410.1240000001</c:v>
                </c:pt>
                <c:pt idx="74">
                  <c:v>1378410.1240000001</c:v>
                </c:pt>
                <c:pt idx="75">
                  <c:v>1378410.1240000001</c:v>
                </c:pt>
                <c:pt idx="76">
                  <c:v>1378410.1240000001</c:v>
                </c:pt>
                <c:pt idx="77">
                  <c:v>1378410.1240000001</c:v>
                </c:pt>
                <c:pt idx="78">
                  <c:v>1378410.1240000001</c:v>
                </c:pt>
                <c:pt idx="79">
                  <c:v>1378410.1240000001</c:v>
                </c:pt>
                <c:pt idx="80">
                  <c:v>1378410.1240000001</c:v>
                </c:pt>
                <c:pt idx="81">
                  <c:v>1378410.1240000001</c:v>
                </c:pt>
                <c:pt idx="82">
                  <c:v>1378410.1240000001</c:v>
                </c:pt>
                <c:pt idx="83">
                  <c:v>1378410.1240000001</c:v>
                </c:pt>
                <c:pt idx="84">
                  <c:v>1378410.1240000001</c:v>
                </c:pt>
                <c:pt idx="85">
                  <c:v>1378410.1240000001</c:v>
                </c:pt>
                <c:pt idx="86">
                  <c:v>1378410.1240000001</c:v>
                </c:pt>
                <c:pt idx="87">
                  <c:v>1378410.1240000001</c:v>
                </c:pt>
                <c:pt idx="88">
                  <c:v>1378410.1240000001</c:v>
                </c:pt>
                <c:pt idx="89">
                  <c:v>1378410.1240000001</c:v>
                </c:pt>
                <c:pt idx="90">
                  <c:v>1378410.1240000001</c:v>
                </c:pt>
                <c:pt idx="91">
                  <c:v>1378410.1240000001</c:v>
                </c:pt>
                <c:pt idx="92">
                  <c:v>1378410.1240000001</c:v>
                </c:pt>
                <c:pt idx="93">
                  <c:v>1378410.1240000001</c:v>
                </c:pt>
                <c:pt idx="94">
                  <c:v>1378410.1240000001</c:v>
                </c:pt>
                <c:pt idx="95">
                  <c:v>1378410.1240000001</c:v>
                </c:pt>
                <c:pt idx="96">
                  <c:v>1378410.1240000001</c:v>
                </c:pt>
                <c:pt idx="97">
                  <c:v>1378410.1240000001</c:v>
                </c:pt>
                <c:pt idx="98">
                  <c:v>1378410.1240000001</c:v>
                </c:pt>
                <c:pt idx="99">
                  <c:v>1378410.1240000001</c:v>
                </c:pt>
                <c:pt idx="100">
                  <c:v>1378410.1240000001</c:v>
                </c:pt>
                <c:pt idx="101">
                  <c:v>1378410.1240000001</c:v>
                </c:pt>
                <c:pt idx="102">
                  <c:v>1378410.1240000001</c:v>
                </c:pt>
                <c:pt idx="103">
                  <c:v>1378410.1240000001</c:v>
                </c:pt>
                <c:pt idx="104">
                  <c:v>1378410.1240000001</c:v>
                </c:pt>
                <c:pt idx="105">
                  <c:v>1378410.1240000001</c:v>
                </c:pt>
                <c:pt idx="106">
                  <c:v>1378410.1240000001</c:v>
                </c:pt>
                <c:pt idx="107">
                  <c:v>1378410.1240000001</c:v>
                </c:pt>
                <c:pt idx="108">
                  <c:v>1378410.1240000001</c:v>
                </c:pt>
                <c:pt idx="109">
                  <c:v>1378410.1240000001</c:v>
                </c:pt>
                <c:pt idx="110">
                  <c:v>1378410.1240000001</c:v>
                </c:pt>
                <c:pt idx="111">
                  <c:v>1378410.1240000001</c:v>
                </c:pt>
                <c:pt idx="112">
                  <c:v>1378410.1240000001</c:v>
                </c:pt>
                <c:pt idx="113">
                  <c:v>1378410.1240000001</c:v>
                </c:pt>
                <c:pt idx="114">
                  <c:v>1378410.1240000001</c:v>
                </c:pt>
                <c:pt idx="115">
                  <c:v>1378410.1240000001</c:v>
                </c:pt>
                <c:pt idx="116">
                  <c:v>1378410.1240000001</c:v>
                </c:pt>
                <c:pt idx="117">
                  <c:v>1378410.1240000001</c:v>
                </c:pt>
                <c:pt idx="118">
                  <c:v>1378410.1240000001</c:v>
                </c:pt>
                <c:pt idx="119">
                  <c:v>1378410.1240000001</c:v>
                </c:pt>
                <c:pt idx="120">
                  <c:v>1378410.1240000001</c:v>
                </c:pt>
                <c:pt idx="121">
                  <c:v>1378410.1240000001</c:v>
                </c:pt>
                <c:pt idx="122">
                  <c:v>1378410.1240000001</c:v>
                </c:pt>
                <c:pt idx="123">
                  <c:v>1378410.1240000001</c:v>
                </c:pt>
                <c:pt idx="124">
                  <c:v>1378410.1240000001</c:v>
                </c:pt>
                <c:pt idx="125">
                  <c:v>1378410.1240000001</c:v>
                </c:pt>
                <c:pt idx="126">
                  <c:v>1378410.1240000001</c:v>
                </c:pt>
                <c:pt idx="127">
                  <c:v>1378410.1240000001</c:v>
                </c:pt>
                <c:pt idx="128">
                  <c:v>1378410.1240000001</c:v>
                </c:pt>
                <c:pt idx="129">
                  <c:v>1378410.1240000001</c:v>
                </c:pt>
                <c:pt idx="130">
                  <c:v>1378410.1240000001</c:v>
                </c:pt>
                <c:pt idx="131">
                  <c:v>1378410.1240000001</c:v>
                </c:pt>
                <c:pt idx="132">
                  <c:v>1378410.1240000001</c:v>
                </c:pt>
                <c:pt idx="133">
                  <c:v>1378410.1240000001</c:v>
                </c:pt>
                <c:pt idx="134">
                  <c:v>1378410.1240000001</c:v>
                </c:pt>
                <c:pt idx="135">
                  <c:v>1378410.1240000001</c:v>
                </c:pt>
                <c:pt idx="136">
                  <c:v>1378410.1240000001</c:v>
                </c:pt>
                <c:pt idx="137">
                  <c:v>1378410.1240000001</c:v>
                </c:pt>
                <c:pt idx="138">
                  <c:v>1378410.1240000001</c:v>
                </c:pt>
                <c:pt idx="139">
                  <c:v>1378410.1240000001</c:v>
                </c:pt>
                <c:pt idx="140">
                  <c:v>1378410.1240000001</c:v>
                </c:pt>
                <c:pt idx="141">
                  <c:v>1378410.1240000001</c:v>
                </c:pt>
                <c:pt idx="142">
                  <c:v>1378410.1240000001</c:v>
                </c:pt>
                <c:pt idx="143">
                  <c:v>1378410.1240000001</c:v>
                </c:pt>
                <c:pt idx="144">
                  <c:v>1378410.1240000001</c:v>
                </c:pt>
                <c:pt idx="145">
                  <c:v>1378410.1240000001</c:v>
                </c:pt>
                <c:pt idx="146">
                  <c:v>1378410.1240000001</c:v>
                </c:pt>
                <c:pt idx="147">
                  <c:v>1378410.1240000001</c:v>
                </c:pt>
                <c:pt idx="148">
                  <c:v>1378410.1240000001</c:v>
                </c:pt>
                <c:pt idx="149">
                  <c:v>1378410.1240000001</c:v>
                </c:pt>
                <c:pt idx="150">
                  <c:v>1378410.1240000001</c:v>
                </c:pt>
                <c:pt idx="151">
                  <c:v>1378410.1240000001</c:v>
                </c:pt>
                <c:pt idx="152">
                  <c:v>1378410.1240000001</c:v>
                </c:pt>
                <c:pt idx="153">
                  <c:v>1378410.1240000001</c:v>
                </c:pt>
                <c:pt idx="154">
                  <c:v>1378410.1240000001</c:v>
                </c:pt>
                <c:pt idx="155">
                  <c:v>1378410.1240000001</c:v>
                </c:pt>
                <c:pt idx="156">
                  <c:v>1378410.1240000001</c:v>
                </c:pt>
                <c:pt idx="157">
                  <c:v>1378410.1240000001</c:v>
                </c:pt>
                <c:pt idx="158">
                  <c:v>1378410.1240000001</c:v>
                </c:pt>
                <c:pt idx="159">
                  <c:v>1378410.1240000001</c:v>
                </c:pt>
                <c:pt idx="160">
                  <c:v>1378410.1240000001</c:v>
                </c:pt>
                <c:pt idx="161">
                  <c:v>1378410.1240000001</c:v>
                </c:pt>
                <c:pt idx="162">
                  <c:v>1378410.1240000001</c:v>
                </c:pt>
                <c:pt idx="163">
                  <c:v>1378410.1240000001</c:v>
                </c:pt>
                <c:pt idx="164">
                  <c:v>1378410.1240000001</c:v>
                </c:pt>
                <c:pt idx="165">
                  <c:v>1378410.1240000001</c:v>
                </c:pt>
                <c:pt idx="166">
                  <c:v>1378410.1240000001</c:v>
                </c:pt>
                <c:pt idx="167">
                  <c:v>1378410.1240000001</c:v>
                </c:pt>
                <c:pt idx="168">
                  <c:v>1378410.1240000001</c:v>
                </c:pt>
                <c:pt idx="169">
                  <c:v>1378410.1240000001</c:v>
                </c:pt>
                <c:pt idx="170">
                  <c:v>1378410.1240000001</c:v>
                </c:pt>
                <c:pt idx="171">
                  <c:v>1378410.1240000001</c:v>
                </c:pt>
                <c:pt idx="172">
                  <c:v>1378410.1240000001</c:v>
                </c:pt>
                <c:pt idx="173">
                  <c:v>1378410.1240000001</c:v>
                </c:pt>
                <c:pt idx="174">
                  <c:v>1378410.1240000001</c:v>
                </c:pt>
                <c:pt idx="175">
                  <c:v>1378410.1240000001</c:v>
                </c:pt>
                <c:pt idx="176">
                  <c:v>1378410.1240000001</c:v>
                </c:pt>
                <c:pt idx="177">
                  <c:v>1378410.1240000001</c:v>
                </c:pt>
                <c:pt idx="178">
                  <c:v>1378410.1240000001</c:v>
                </c:pt>
                <c:pt idx="179">
                  <c:v>1378410.1240000001</c:v>
                </c:pt>
                <c:pt idx="180">
                  <c:v>1378410.1240000001</c:v>
                </c:pt>
                <c:pt idx="181">
                  <c:v>1378410.1240000001</c:v>
                </c:pt>
                <c:pt idx="182">
                  <c:v>1378410.1240000001</c:v>
                </c:pt>
                <c:pt idx="183">
                  <c:v>1378410.1240000001</c:v>
                </c:pt>
                <c:pt idx="184">
                  <c:v>1378410.1240000001</c:v>
                </c:pt>
                <c:pt idx="185">
                  <c:v>1378410.1240000001</c:v>
                </c:pt>
                <c:pt idx="186">
                  <c:v>1378410.1240000001</c:v>
                </c:pt>
                <c:pt idx="187">
                  <c:v>1378410.1240000001</c:v>
                </c:pt>
                <c:pt idx="188">
                  <c:v>1378410.1240000001</c:v>
                </c:pt>
                <c:pt idx="189">
                  <c:v>1378410.1240000001</c:v>
                </c:pt>
                <c:pt idx="190">
                  <c:v>1378410.1240000001</c:v>
                </c:pt>
                <c:pt idx="191">
                  <c:v>1378410.1240000001</c:v>
                </c:pt>
                <c:pt idx="192">
                  <c:v>1378410.1240000001</c:v>
                </c:pt>
                <c:pt idx="193">
                  <c:v>1378410.1240000001</c:v>
                </c:pt>
                <c:pt idx="194">
                  <c:v>1378410.1240000001</c:v>
                </c:pt>
                <c:pt idx="195">
                  <c:v>1378410.1240000001</c:v>
                </c:pt>
                <c:pt idx="196">
                  <c:v>1378410.1240000001</c:v>
                </c:pt>
                <c:pt idx="197">
                  <c:v>1378410.1240000001</c:v>
                </c:pt>
                <c:pt idx="198">
                  <c:v>1378410.1240000001</c:v>
                </c:pt>
                <c:pt idx="199">
                  <c:v>1378410.1240000001</c:v>
                </c:pt>
                <c:pt idx="200">
                  <c:v>1378410.1240000001</c:v>
                </c:pt>
                <c:pt idx="201">
                  <c:v>1378410.1240000001</c:v>
                </c:pt>
                <c:pt idx="202">
                  <c:v>1378410.1240000001</c:v>
                </c:pt>
                <c:pt idx="203">
                  <c:v>1378410.1240000001</c:v>
                </c:pt>
                <c:pt idx="204">
                  <c:v>1378410.1240000001</c:v>
                </c:pt>
                <c:pt idx="205">
                  <c:v>1378410.1240000001</c:v>
                </c:pt>
                <c:pt idx="206">
                  <c:v>1378410.1240000001</c:v>
                </c:pt>
                <c:pt idx="207">
                  <c:v>1378410.1240000001</c:v>
                </c:pt>
                <c:pt idx="208">
                  <c:v>1378410.1240000001</c:v>
                </c:pt>
                <c:pt idx="209">
                  <c:v>1378410.1240000001</c:v>
                </c:pt>
                <c:pt idx="210">
                  <c:v>1378410.1240000001</c:v>
                </c:pt>
                <c:pt idx="211">
                  <c:v>1378410.1240000001</c:v>
                </c:pt>
                <c:pt idx="212">
                  <c:v>1378410.1240000001</c:v>
                </c:pt>
                <c:pt idx="213">
                  <c:v>1378410.1240000001</c:v>
                </c:pt>
                <c:pt idx="214">
                  <c:v>1378410.1240000001</c:v>
                </c:pt>
                <c:pt idx="215">
                  <c:v>1378410.1240000001</c:v>
                </c:pt>
                <c:pt idx="216">
                  <c:v>1378410.1240000001</c:v>
                </c:pt>
                <c:pt idx="217">
                  <c:v>1378410.1240000001</c:v>
                </c:pt>
                <c:pt idx="218">
                  <c:v>1378410.1240000001</c:v>
                </c:pt>
                <c:pt idx="219">
                  <c:v>1378410.1240000001</c:v>
                </c:pt>
                <c:pt idx="220">
                  <c:v>1378410.1240000001</c:v>
                </c:pt>
                <c:pt idx="221">
                  <c:v>1378410.1240000001</c:v>
                </c:pt>
                <c:pt idx="222">
                  <c:v>1378410.1240000001</c:v>
                </c:pt>
                <c:pt idx="223">
                  <c:v>1378410.1240000001</c:v>
                </c:pt>
                <c:pt idx="224">
                  <c:v>1378410.1240000001</c:v>
                </c:pt>
                <c:pt idx="225">
                  <c:v>1378410.1240000001</c:v>
                </c:pt>
                <c:pt idx="226">
                  <c:v>1378410.1240000001</c:v>
                </c:pt>
                <c:pt idx="227">
                  <c:v>1378410.1240000001</c:v>
                </c:pt>
                <c:pt idx="228">
                  <c:v>1378410.1240000001</c:v>
                </c:pt>
                <c:pt idx="229">
                  <c:v>1378410.1240000001</c:v>
                </c:pt>
                <c:pt idx="230">
                  <c:v>1378410.1240000001</c:v>
                </c:pt>
                <c:pt idx="231">
                  <c:v>1378410.1240000001</c:v>
                </c:pt>
                <c:pt idx="232">
                  <c:v>1378410.1240000001</c:v>
                </c:pt>
                <c:pt idx="233">
                  <c:v>1378410.1240000001</c:v>
                </c:pt>
                <c:pt idx="234">
                  <c:v>1378410.1240000001</c:v>
                </c:pt>
                <c:pt idx="235">
                  <c:v>1378410.1240000001</c:v>
                </c:pt>
                <c:pt idx="236">
                  <c:v>1378410.1240000001</c:v>
                </c:pt>
                <c:pt idx="237">
                  <c:v>1378410.1240000001</c:v>
                </c:pt>
                <c:pt idx="238">
                  <c:v>1378410.1240000001</c:v>
                </c:pt>
                <c:pt idx="239">
                  <c:v>1378410.1240000001</c:v>
                </c:pt>
                <c:pt idx="240">
                  <c:v>1378410.1240000001</c:v>
                </c:pt>
                <c:pt idx="241">
                  <c:v>1378410.1240000001</c:v>
                </c:pt>
                <c:pt idx="242">
                  <c:v>1378410.1240000001</c:v>
                </c:pt>
                <c:pt idx="243">
                  <c:v>1378410.1240000001</c:v>
                </c:pt>
                <c:pt idx="244">
                  <c:v>1378410.1240000001</c:v>
                </c:pt>
                <c:pt idx="245">
                  <c:v>1378410.1240000001</c:v>
                </c:pt>
                <c:pt idx="246">
                  <c:v>1378410.1240000001</c:v>
                </c:pt>
                <c:pt idx="247">
                  <c:v>1378410.1240000001</c:v>
                </c:pt>
                <c:pt idx="248">
                  <c:v>1378410.1240000001</c:v>
                </c:pt>
                <c:pt idx="249">
                  <c:v>1378410.1240000001</c:v>
                </c:pt>
                <c:pt idx="250">
                  <c:v>1378410.1240000001</c:v>
                </c:pt>
                <c:pt idx="251">
                  <c:v>1378410.1240000001</c:v>
                </c:pt>
                <c:pt idx="252">
                  <c:v>1378410.1240000001</c:v>
                </c:pt>
                <c:pt idx="253">
                  <c:v>1378410.1240000001</c:v>
                </c:pt>
                <c:pt idx="254">
                  <c:v>1378410.1240000001</c:v>
                </c:pt>
                <c:pt idx="255">
                  <c:v>1378410.1240000001</c:v>
                </c:pt>
                <c:pt idx="256">
                  <c:v>1378410.1240000001</c:v>
                </c:pt>
                <c:pt idx="257">
                  <c:v>1378410.1240000001</c:v>
                </c:pt>
                <c:pt idx="258">
                  <c:v>1378410.1240000001</c:v>
                </c:pt>
                <c:pt idx="259">
                  <c:v>1378410.1240000001</c:v>
                </c:pt>
                <c:pt idx="260">
                  <c:v>1378410.1240000001</c:v>
                </c:pt>
                <c:pt idx="261">
                  <c:v>1378410.1240000001</c:v>
                </c:pt>
                <c:pt idx="262">
                  <c:v>1378410.1240000001</c:v>
                </c:pt>
                <c:pt idx="263">
                  <c:v>1378410.1240000001</c:v>
                </c:pt>
                <c:pt idx="264">
                  <c:v>1378410.1240000001</c:v>
                </c:pt>
                <c:pt idx="265">
                  <c:v>1378410.1240000001</c:v>
                </c:pt>
                <c:pt idx="266">
                  <c:v>1378410.1240000001</c:v>
                </c:pt>
                <c:pt idx="267">
                  <c:v>1378410.1240000001</c:v>
                </c:pt>
                <c:pt idx="268">
                  <c:v>1378410.1240000001</c:v>
                </c:pt>
                <c:pt idx="269">
                  <c:v>1378410.1240000001</c:v>
                </c:pt>
                <c:pt idx="270">
                  <c:v>1378410.1240000001</c:v>
                </c:pt>
                <c:pt idx="271">
                  <c:v>1378410.1240000001</c:v>
                </c:pt>
                <c:pt idx="272">
                  <c:v>1378410.1240000001</c:v>
                </c:pt>
                <c:pt idx="273">
                  <c:v>1378410.1240000001</c:v>
                </c:pt>
                <c:pt idx="274">
                  <c:v>1378410.1240000001</c:v>
                </c:pt>
                <c:pt idx="275">
                  <c:v>1378410.1240000001</c:v>
                </c:pt>
                <c:pt idx="276">
                  <c:v>1378410.1240000001</c:v>
                </c:pt>
                <c:pt idx="277">
                  <c:v>1378410.1240000001</c:v>
                </c:pt>
                <c:pt idx="278">
                  <c:v>1378410.1240000001</c:v>
                </c:pt>
                <c:pt idx="279">
                  <c:v>1378410.1240000001</c:v>
                </c:pt>
                <c:pt idx="280">
                  <c:v>1378410.1240000001</c:v>
                </c:pt>
                <c:pt idx="281">
                  <c:v>1378410.1240000001</c:v>
                </c:pt>
                <c:pt idx="282">
                  <c:v>1378410.1240000001</c:v>
                </c:pt>
                <c:pt idx="283">
                  <c:v>1378410.1240000001</c:v>
                </c:pt>
                <c:pt idx="284">
                  <c:v>1378410.1240000001</c:v>
                </c:pt>
                <c:pt idx="285">
                  <c:v>1378410.1240000001</c:v>
                </c:pt>
                <c:pt idx="286">
                  <c:v>1378410.1240000001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673628.81943159015</c:v>
                </c:pt>
                <c:pt idx="31">
                  <c:v>673628.81943159015</c:v>
                </c:pt>
                <c:pt idx="32">
                  <c:v>673628.81943159015</c:v>
                </c:pt>
                <c:pt idx="33">
                  <c:v>648569.58943159017</c:v>
                </c:pt>
                <c:pt idx="34">
                  <c:v>626328.45143159013</c:v>
                </c:pt>
                <c:pt idx="35">
                  <c:v>626328.45143159013</c:v>
                </c:pt>
                <c:pt idx="36">
                  <c:v>626328.45143159013</c:v>
                </c:pt>
                <c:pt idx="37">
                  <c:v>626328.45143159013</c:v>
                </c:pt>
                <c:pt idx="38">
                  <c:v>626328.45143159013</c:v>
                </c:pt>
                <c:pt idx="39">
                  <c:v>626328.45143159013</c:v>
                </c:pt>
                <c:pt idx="40">
                  <c:v>626328.45143159013</c:v>
                </c:pt>
                <c:pt idx="41">
                  <c:v>626328.45143159013</c:v>
                </c:pt>
                <c:pt idx="42">
                  <c:v>626328.45143159013</c:v>
                </c:pt>
                <c:pt idx="43">
                  <c:v>626328.45143159013</c:v>
                </c:pt>
                <c:pt idx="44">
                  <c:v>626328.45143159013</c:v>
                </c:pt>
                <c:pt idx="45">
                  <c:v>626328.45143159013</c:v>
                </c:pt>
                <c:pt idx="46">
                  <c:v>626328.45143159013</c:v>
                </c:pt>
                <c:pt idx="47">
                  <c:v>626328.45143159013</c:v>
                </c:pt>
                <c:pt idx="48">
                  <c:v>626328.45143159013</c:v>
                </c:pt>
                <c:pt idx="49">
                  <c:v>626328.45143159013</c:v>
                </c:pt>
                <c:pt idx="50">
                  <c:v>626328.45143159013</c:v>
                </c:pt>
                <c:pt idx="51">
                  <c:v>626328.45143159013</c:v>
                </c:pt>
                <c:pt idx="52">
                  <c:v>626328.45143159013</c:v>
                </c:pt>
                <c:pt idx="53">
                  <c:v>626328.45143159013</c:v>
                </c:pt>
                <c:pt idx="54">
                  <c:v>626328.45143159013</c:v>
                </c:pt>
                <c:pt idx="55">
                  <c:v>626328.45143159013</c:v>
                </c:pt>
                <c:pt idx="56">
                  <c:v>626328.45143159013</c:v>
                </c:pt>
                <c:pt idx="57">
                  <c:v>626328.45143159013</c:v>
                </c:pt>
                <c:pt idx="58">
                  <c:v>626328.45143159013</c:v>
                </c:pt>
                <c:pt idx="59">
                  <c:v>626328.45143159013</c:v>
                </c:pt>
                <c:pt idx="60">
                  <c:v>626328.45143159013</c:v>
                </c:pt>
                <c:pt idx="61">
                  <c:v>626328.45143159013</c:v>
                </c:pt>
                <c:pt idx="62">
                  <c:v>626328.45143159013</c:v>
                </c:pt>
                <c:pt idx="63">
                  <c:v>626328.45143159013</c:v>
                </c:pt>
                <c:pt idx="64">
                  <c:v>626328.45143159013</c:v>
                </c:pt>
                <c:pt idx="65">
                  <c:v>626328.45143159013</c:v>
                </c:pt>
                <c:pt idx="66">
                  <c:v>626328.45143159013</c:v>
                </c:pt>
                <c:pt idx="67">
                  <c:v>626328.45143159013</c:v>
                </c:pt>
                <c:pt idx="68">
                  <c:v>626328.45143159013</c:v>
                </c:pt>
                <c:pt idx="69">
                  <c:v>626328.45143159013</c:v>
                </c:pt>
                <c:pt idx="70">
                  <c:v>626328.45143159013</c:v>
                </c:pt>
                <c:pt idx="71">
                  <c:v>626328.45143159013</c:v>
                </c:pt>
                <c:pt idx="72">
                  <c:v>626328.45143159013</c:v>
                </c:pt>
                <c:pt idx="73">
                  <c:v>626328.45143159013</c:v>
                </c:pt>
                <c:pt idx="74">
                  <c:v>626328.45143159013</c:v>
                </c:pt>
                <c:pt idx="75">
                  <c:v>626328.45143159013</c:v>
                </c:pt>
                <c:pt idx="76">
                  <c:v>626328.45143159013</c:v>
                </c:pt>
                <c:pt idx="77">
                  <c:v>626328.45143159013</c:v>
                </c:pt>
                <c:pt idx="78">
                  <c:v>626328.45143159013</c:v>
                </c:pt>
                <c:pt idx="79">
                  <c:v>626328.45143159013</c:v>
                </c:pt>
                <c:pt idx="80">
                  <c:v>626328.45143159013</c:v>
                </c:pt>
                <c:pt idx="81">
                  <c:v>626328.45143159013</c:v>
                </c:pt>
                <c:pt idx="82">
                  <c:v>626328.45143159013</c:v>
                </c:pt>
                <c:pt idx="83">
                  <c:v>626328.45143159013</c:v>
                </c:pt>
                <c:pt idx="84">
                  <c:v>626328.45143159013</c:v>
                </c:pt>
                <c:pt idx="85">
                  <c:v>626328.45143159013</c:v>
                </c:pt>
                <c:pt idx="86">
                  <c:v>626328.45143159013</c:v>
                </c:pt>
                <c:pt idx="87">
                  <c:v>626328.45143159013</c:v>
                </c:pt>
                <c:pt idx="88">
                  <c:v>626328.45143159013</c:v>
                </c:pt>
                <c:pt idx="89">
                  <c:v>626328.45143159013</c:v>
                </c:pt>
                <c:pt idx="90">
                  <c:v>626328.45143159013</c:v>
                </c:pt>
                <c:pt idx="91">
                  <c:v>626328.45143159013</c:v>
                </c:pt>
                <c:pt idx="92">
                  <c:v>626328.45143159013</c:v>
                </c:pt>
                <c:pt idx="93">
                  <c:v>626328.45143159013</c:v>
                </c:pt>
                <c:pt idx="94">
                  <c:v>626328.45143159013</c:v>
                </c:pt>
                <c:pt idx="95">
                  <c:v>626328.45143159013</c:v>
                </c:pt>
                <c:pt idx="96">
                  <c:v>626328.45143159013</c:v>
                </c:pt>
                <c:pt idx="97">
                  <c:v>626328.45143159013</c:v>
                </c:pt>
                <c:pt idx="98">
                  <c:v>626328.45143159013</c:v>
                </c:pt>
                <c:pt idx="99">
                  <c:v>626328.45143159013</c:v>
                </c:pt>
                <c:pt idx="100">
                  <c:v>626328.45143159013</c:v>
                </c:pt>
                <c:pt idx="101">
                  <c:v>626328.45143159013</c:v>
                </c:pt>
                <c:pt idx="102">
                  <c:v>626328.45143159013</c:v>
                </c:pt>
                <c:pt idx="103">
                  <c:v>626328.45143159013</c:v>
                </c:pt>
                <c:pt idx="104">
                  <c:v>626328.45143159013</c:v>
                </c:pt>
                <c:pt idx="105">
                  <c:v>626328.45143159013</c:v>
                </c:pt>
                <c:pt idx="106">
                  <c:v>626328.45143159013</c:v>
                </c:pt>
                <c:pt idx="107">
                  <c:v>626328.45143159013</c:v>
                </c:pt>
                <c:pt idx="108">
                  <c:v>626328.45143159013</c:v>
                </c:pt>
                <c:pt idx="109">
                  <c:v>626328.45143159013</c:v>
                </c:pt>
                <c:pt idx="110">
                  <c:v>626328.45143159013</c:v>
                </c:pt>
                <c:pt idx="111">
                  <c:v>626328.45143159013</c:v>
                </c:pt>
                <c:pt idx="112">
                  <c:v>626328.45143159013</c:v>
                </c:pt>
                <c:pt idx="113">
                  <c:v>626328.45143159013</c:v>
                </c:pt>
                <c:pt idx="114">
                  <c:v>626328.45143159013</c:v>
                </c:pt>
                <c:pt idx="115">
                  <c:v>626328.45143159013</c:v>
                </c:pt>
                <c:pt idx="116">
                  <c:v>626328.45143159013</c:v>
                </c:pt>
                <c:pt idx="117">
                  <c:v>626328.45143159013</c:v>
                </c:pt>
                <c:pt idx="118">
                  <c:v>626328.45143159013</c:v>
                </c:pt>
                <c:pt idx="119">
                  <c:v>626328.45143159013</c:v>
                </c:pt>
                <c:pt idx="120">
                  <c:v>626328.45143159013</c:v>
                </c:pt>
                <c:pt idx="121">
                  <c:v>626328.45143159013</c:v>
                </c:pt>
                <c:pt idx="122">
                  <c:v>626328.45143159013</c:v>
                </c:pt>
                <c:pt idx="123">
                  <c:v>626328.45143159013</c:v>
                </c:pt>
                <c:pt idx="124">
                  <c:v>626328.45143159013</c:v>
                </c:pt>
                <c:pt idx="125">
                  <c:v>626328.45143159013</c:v>
                </c:pt>
                <c:pt idx="126">
                  <c:v>626328.45143159013</c:v>
                </c:pt>
                <c:pt idx="127">
                  <c:v>626328.45143159013</c:v>
                </c:pt>
                <c:pt idx="128">
                  <c:v>626328.45143159013</c:v>
                </c:pt>
                <c:pt idx="129">
                  <c:v>626328.45143159013</c:v>
                </c:pt>
                <c:pt idx="130">
                  <c:v>626328.45143159013</c:v>
                </c:pt>
                <c:pt idx="131">
                  <c:v>626328.45143159013</c:v>
                </c:pt>
                <c:pt idx="132">
                  <c:v>626328.45143159013</c:v>
                </c:pt>
                <c:pt idx="133">
                  <c:v>626328.45143159013</c:v>
                </c:pt>
                <c:pt idx="134">
                  <c:v>626328.45143159013</c:v>
                </c:pt>
                <c:pt idx="135">
                  <c:v>626328.45143159013</c:v>
                </c:pt>
                <c:pt idx="136">
                  <c:v>626328.45143159013</c:v>
                </c:pt>
                <c:pt idx="137">
                  <c:v>626328.45143159013</c:v>
                </c:pt>
                <c:pt idx="138">
                  <c:v>626328.45143159013</c:v>
                </c:pt>
                <c:pt idx="139">
                  <c:v>626328.45143159013</c:v>
                </c:pt>
                <c:pt idx="140">
                  <c:v>626328.45143159013</c:v>
                </c:pt>
                <c:pt idx="141">
                  <c:v>626328.45143159013</c:v>
                </c:pt>
                <c:pt idx="142">
                  <c:v>626328.45143159013</c:v>
                </c:pt>
                <c:pt idx="143">
                  <c:v>626328.45143159013</c:v>
                </c:pt>
                <c:pt idx="144">
                  <c:v>626328.45143159013</c:v>
                </c:pt>
                <c:pt idx="145">
                  <c:v>626328.45143159013</c:v>
                </c:pt>
                <c:pt idx="146">
                  <c:v>626328.45143159013</c:v>
                </c:pt>
                <c:pt idx="147">
                  <c:v>626328.45143159013</c:v>
                </c:pt>
                <c:pt idx="148">
                  <c:v>626328.45143159013</c:v>
                </c:pt>
                <c:pt idx="149">
                  <c:v>626328.45143159013</c:v>
                </c:pt>
                <c:pt idx="150">
                  <c:v>626328.45143159013</c:v>
                </c:pt>
                <c:pt idx="151">
                  <c:v>626328.45143159013</c:v>
                </c:pt>
                <c:pt idx="152">
                  <c:v>626328.45143159013</c:v>
                </c:pt>
                <c:pt idx="153">
                  <c:v>626328.45143159013</c:v>
                </c:pt>
                <c:pt idx="154">
                  <c:v>626328.45143159013</c:v>
                </c:pt>
                <c:pt idx="155">
                  <c:v>626328.45143159013</c:v>
                </c:pt>
                <c:pt idx="156">
                  <c:v>626328.45143159013</c:v>
                </c:pt>
                <c:pt idx="157">
                  <c:v>626328.45143159013</c:v>
                </c:pt>
                <c:pt idx="158">
                  <c:v>626328.45143159013</c:v>
                </c:pt>
                <c:pt idx="159">
                  <c:v>626328.45143159013</c:v>
                </c:pt>
                <c:pt idx="160">
                  <c:v>626328.45143159013</c:v>
                </c:pt>
                <c:pt idx="161">
                  <c:v>626328.45143159013</c:v>
                </c:pt>
                <c:pt idx="162">
                  <c:v>626328.45143159013</c:v>
                </c:pt>
                <c:pt idx="163">
                  <c:v>626328.45143159013</c:v>
                </c:pt>
                <c:pt idx="164">
                  <c:v>626328.45143159013</c:v>
                </c:pt>
                <c:pt idx="165">
                  <c:v>626328.45143159013</c:v>
                </c:pt>
                <c:pt idx="166">
                  <c:v>626328.45143159013</c:v>
                </c:pt>
                <c:pt idx="167">
                  <c:v>626328.45143159013</c:v>
                </c:pt>
                <c:pt idx="168">
                  <c:v>626328.45143159013</c:v>
                </c:pt>
                <c:pt idx="169">
                  <c:v>626328.45143159013</c:v>
                </c:pt>
                <c:pt idx="170">
                  <c:v>626328.45143159013</c:v>
                </c:pt>
                <c:pt idx="171">
                  <c:v>626328.45143159013</c:v>
                </c:pt>
                <c:pt idx="172">
                  <c:v>626328.45143159013</c:v>
                </c:pt>
                <c:pt idx="173">
                  <c:v>626328.45143159013</c:v>
                </c:pt>
                <c:pt idx="174">
                  <c:v>626328.45143159013</c:v>
                </c:pt>
                <c:pt idx="175">
                  <c:v>626328.45143159013</c:v>
                </c:pt>
                <c:pt idx="176">
                  <c:v>626328.45143159013</c:v>
                </c:pt>
                <c:pt idx="177">
                  <c:v>626328.45143159013</c:v>
                </c:pt>
                <c:pt idx="178">
                  <c:v>626328.45143159013</c:v>
                </c:pt>
                <c:pt idx="179">
                  <c:v>626328.45143159013</c:v>
                </c:pt>
                <c:pt idx="180">
                  <c:v>626328.45143159013</c:v>
                </c:pt>
                <c:pt idx="181">
                  <c:v>626328.45143159013</c:v>
                </c:pt>
                <c:pt idx="182">
                  <c:v>626328.45143159013</c:v>
                </c:pt>
                <c:pt idx="183">
                  <c:v>626328.45143159013</c:v>
                </c:pt>
                <c:pt idx="184">
                  <c:v>626328.45143159013</c:v>
                </c:pt>
                <c:pt idx="185">
                  <c:v>626328.45143159013</c:v>
                </c:pt>
                <c:pt idx="186">
                  <c:v>626328.45143159013</c:v>
                </c:pt>
                <c:pt idx="187">
                  <c:v>626328.45143159013</c:v>
                </c:pt>
                <c:pt idx="188">
                  <c:v>626328.45143159013</c:v>
                </c:pt>
                <c:pt idx="189">
                  <c:v>626328.45143159013</c:v>
                </c:pt>
                <c:pt idx="190">
                  <c:v>626328.45143159013</c:v>
                </c:pt>
                <c:pt idx="191">
                  <c:v>626328.45143159013</c:v>
                </c:pt>
                <c:pt idx="192">
                  <c:v>626328.45143159013</c:v>
                </c:pt>
                <c:pt idx="193">
                  <c:v>626328.45143159013</c:v>
                </c:pt>
                <c:pt idx="194">
                  <c:v>626328.45143159013</c:v>
                </c:pt>
                <c:pt idx="195">
                  <c:v>626328.45143159013</c:v>
                </c:pt>
                <c:pt idx="196">
                  <c:v>626328.45143159013</c:v>
                </c:pt>
                <c:pt idx="197">
                  <c:v>626328.45143159013</c:v>
                </c:pt>
                <c:pt idx="198">
                  <c:v>626328.45143159013</c:v>
                </c:pt>
                <c:pt idx="199">
                  <c:v>626328.45143159013</c:v>
                </c:pt>
                <c:pt idx="200">
                  <c:v>626328.45143159013</c:v>
                </c:pt>
                <c:pt idx="201">
                  <c:v>626328.45143159013</c:v>
                </c:pt>
                <c:pt idx="202">
                  <c:v>626328.45143159013</c:v>
                </c:pt>
                <c:pt idx="203">
                  <c:v>626328.45143159013</c:v>
                </c:pt>
                <c:pt idx="204">
                  <c:v>626328.45143159013</c:v>
                </c:pt>
                <c:pt idx="205">
                  <c:v>626328.45143159013</c:v>
                </c:pt>
                <c:pt idx="206">
                  <c:v>626328.45143159013</c:v>
                </c:pt>
                <c:pt idx="207">
                  <c:v>626328.45143159013</c:v>
                </c:pt>
                <c:pt idx="208">
                  <c:v>626328.45143159013</c:v>
                </c:pt>
                <c:pt idx="209">
                  <c:v>626328.45143159013</c:v>
                </c:pt>
                <c:pt idx="210">
                  <c:v>626328.45143159013</c:v>
                </c:pt>
                <c:pt idx="211">
                  <c:v>626328.45143159013</c:v>
                </c:pt>
                <c:pt idx="212">
                  <c:v>626328.45143159013</c:v>
                </c:pt>
                <c:pt idx="213">
                  <c:v>626328.45143159013</c:v>
                </c:pt>
                <c:pt idx="214">
                  <c:v>626328.45143159013</c:v>
                </c:pt>
                <c:pt idx="215">
                  <c:v>626328.45143159013</c:v>
                </c:pt>
                <c:pt idx="216">
                  <c:v>626328.45143159013</c:v>
                </c:pt>
                <c:pt idx="217">
                  <c:v>626328.45143159013</c:v>
                </c:pt>
                <c:pt idx="218">
                  <c:v>626328.45143159013</c:v>
                </c:pt>
                <c:pt idx="219">
                  <c:v>626328.45143159013</c:v>
                </c:pt>
                <c:pt idx="220">
                  <c:v>626328.45143159013</c:v>
                </c:pt>
                <c:pt idx="221">
                  <c:v>626328.45143159013</c:v>
                </c:pt>
                <c:pt idx="222">
                  <c:v>626328.45143159013</c:v>
                </c:pt>
                <c:pt idx="223">
                  <c:v>626328.45143159013</c:v>
                </c:pt>
                <c:pt idx="224">
                  <c:v>626328.45143159013</c:v>
                </c:pt>
                <c:pt idx="225">
                  <c:v>626328.45143159013</c:v>
                </c:pt>
                <c:pt idx="226">
                  <c:v>626328.45143159013</c:v>
                </c:pt>
                <c:pt idx="227">
                  <c:v>626328.45143159013</c:v>
                </c:pt>
                <c:pt idx="228">
                  <c:v>626328.45143159013</c:v>
                </c:pt>
                <c:pt idx="229">
                  <c:v>626328.45143159013</c:v>
                </c:pt>
                <c:pt idx="230">
                  <c:v>626328.45143159013</c:v>
                </c:pt>
                <c:pt idx="231">
                  <c:v>626328.45143159013</c:v>
                </c:pt>
                <c:pt idx="232">
                  <c:v>626328.45143159013</c:v>
                </c:pt>
                <c:pt idx="233">
                  <c:v>626328.45143159013</c:v>
                </c:pt>
                <c:pt idx="234">
                  <c:v>626328.45143159013</c:v>
                </c:pt>
                <c:pt idx="235">
                  <c:v>626328.45143159013</c:v>
                </c:pt>
                <c:pt idx="236">
                  <c:v>626328.45143159013</c:v>
                </c:pt>
                <c:pt idx="237">
                  <c:v>626328.45143159013</c:v>
                </c:pt>
                <c:pt idx="238">
                  <c:v>626328.45143159013</c:v>
                </c:pt>
                <c:pt idx="239">
                  <c:v>626328.45143159013</c:v>
                </c:pt>
                <c:pt idx="240">
                  <c:v>626328.45143159013</c:v>
                </c:pt>
                <c:pt idx="241">
                  <c:v>626328.45143159013</c:v>
                </c:pt>
                <c:pt idx="242">
                  <c:v>626328.45143159013</c:v>
                </c:pt>
                <c:pt idx="243">
                  <c:v>626328.45143159013</c:v>
                </c:pt>
                <c:pt idx="244">
                  <c:v>626328.45143159013</c:v>
                </c:pt>
                <c:pt idx="245">
                  <c:v>626328.45143159013</c:v>
                </c:pt>
                <c:pt idx="246">
                  <c:v>626328.45143159013</c:v>
                </c:pt>
                <c:pt idx="247">
                  <c:v>626328.45143159013</c:v>
                </c:pt>
                <c:pt idx="248">
                  <c:v>626328.45143159013</c:v>
                </c:pt>
                <c:pt idx="249">
                  <c:v>626328.45143159013</c:v>
                </c:pt>
                <c:pt idx="250">
                  <c:v>626328.45143159013</c:v>
                </c:pt>
                <c:pt idx="251">
                  <c:v>626328.45143159013</c:v>
                </c:pt>
                <c:pt idx="252">
                  <c:v>626328.45143159013</c:v>
                </c:pt>
                <c:pt idx="253">
                  <c:v>626328.45143159013</c:v>
                </c:pt>
                <c:pt idx="254">
                  <c:v>626328.45143159013</c:v>
                </c:pt>
                <c:pt idx="255">
                  <c:v>626328.45143159013</c:v>
                </c:pt>
                <c:pt idx="256">
                  <c:v>626328.45143159013</c:v>
                </c:pt>
                <c:pt idx="257">
                  <c:v>626328.45143159013</c:v>
                </c:pt>
                <c:pt idx="258">
                  <c:v>626328.45143159013</c:v>
                </c:pt>
                <c:pt idx="259">
                  <c:v>626328.45143159013</c:v>
                </c:pt>
                <c:pt idx="260">
                  <c:v>626328.45143159013</c:v>
                </c:pt>
                <c:pt idx="261">
                  <c:v>626328.45143159013</c:v>
                </c:pt>
                <c:pt idx="262">
                  <c:v>626328.45143159013</c:v>
                </c:pt>
                <c:pt idx="263">
                  <c:v>626328.45143159013</c:v>
                </c:pt>
                <c:pt idx="264">
                  <c:v>626328.45143159013</c:v>
                </c:pt>
                <c:pt idx="265">
                  <c:v>626328.45143159013</c:v>
                </c:pt>
                <c:pt idx="266">
                  <c:v>626328.45143159013</c:v>
                </c:pt>
                <c:pt idx="267">
                  <c:v>626328.45143159013</c:v>
                </c:pt>
                <c:pt idx="268">
                  <c:v>626328.45143159013</c:v>
                </c:pt>
                <c:pt idx="269">
                  <c:v>626328.45143159013</c:v>
                </c:pt>
                <c:pt idx="270">
                  <c:v>626328.45143159013</c:v>
                </c:pt>
                <c:pt idx="271">
                  <c:v>626328.45143159013</c:v>
                </c:pt>
                <c:pt idx="272">
                  <c:v>626328.45143159013</c:v>
                </c:pt>
                <c:pt idx="273">
                  <c:v>626328.45143159013</c:v>
                </c:pt>
                <c:pt idx="274">
                  <c:v>626328.45143159013</c:v>
                </c:pt>
                <c:pt idx="275">
                  <c:v>626328.45143159013</c:v>
                </c:pt>
                <c:pt idx="276">
                  <c:v>626328.45143159013</c:v>
                </c:pt>
                <c:pt idx="277">
                  <c:v>626328.45143159013</c:v>
                </c:pt>
                <c:pt idx="278">
                  <c:v>626328.45143159013</c:v>
                </c:pt>
                <c:pt idx="279">
                  <c:v>626328.45143159013</c:v>
                </c:pt>
                <c:pt idx="280">
                  <c:v>626328.45143159013</c:v>
                </c:pt>
                <c:pt idx="281">
                  <c:v>626328.45143159013</c:v>
                </c:pt>
                <c:pt idx="282">
                  <c:v>626328.45143159013</c:v>
                </c:pt>
                <c:pt idx="283">
                  <c:v>626328.45143159013</c:v>
                </c:pt>
                <c:pt idx="284">
                  <c:v>626328.45143159013</c:v>
                </c:pt>
                <c:pt idx="285">
                  <c:v>626328.45143159013</c:v>
                </c:pt>
                <c:pt idx="286">
                  <c:v>626328.45143159013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2004738.5744320876</c:v>
                </c:pt>
                <c:pt idx="30">
                  <c:v>2004738.5744320876</c:v>
                </c:pt>
                <c:pt idx="31">
                  <c:v>2004738.5744320876</c:v>
                </c:pt>
                <c:pt idx="32">
                  <c:v>2004738.5744320876</c:v>
                </c:pt>
                <c:pt idx="33">
                  <c:v>2004738.5744320876</c:v>
                </c:pt>
                <c:pt idx="34">
                  <c:v>2004738.5744320876</c:v>
                </c:pt>
                <c:pt idx="35">
                  <c:v>2004738.5744320876</c:v>
                </c:pt>
                <c:pt idx="36">
                  <c:v>2004738.5744320876</c:v>
                </c:pt>
                <c:pt idx="37">
                  <c:v>2004738.5744320876</c:v>
                </c:pt>
                <c:pt idx="38">
                  <c:v>2004738.5744320876</c:v>
                </c:pt>
                <c:pt idx="39">
                  <c:v>2004738.5744320876</c:v>
                </c:pt>
                <c:pt idx="40">
                  <c:v>2004738.5744320876</c:v>
                </c:pt>
                <c:pt idx="41">
                  <c:v>2004738.5744320876</c:v>
                </c:pt>
                <c:pt idx="42">
                  <c:v>2004738.5744320876</c:v>
                </c:pt>
                <c:pt idx="43">
                  <c:v>2004738.5744320876</c:v>
                </c:pt>
                <c:pt idx="44">
                  <c:v>2004738.5744320876</c:v>
                </c:pt>
                <c:pt idx="45">
                  <c:v>2004738.5744320876</c:v>
                </c:pt>
                <c:pt idx="46">
                  <c:v>2004738.5744320876</c:v>
                </c:pt>
                <c:pt idx="47">
                  <c:v>2004738.5744320876</c:v>
                </c:pt>
                <c:pt idx="48">
                  <c:v>2004738.5744320876</c:v>
                </c:pt>
                <c:pt idx="49">
                  <c:v>2004738.5744320876</c:v>
                </c:pt>
                <c:pt idx="50">
                  <c:v>2004738.5744320876</c:v>
                </c:pt>
                <c:pt idx="51">
                  <c:v>2004738.5744320876</c:v>
                </c:pt>
                <c:pt idx="52">
                  <c:v>2004738.5744320876</c:v>
                </c:pt>
                <c:pt idx="53">
                  <c:v>2004738.5744320876</c:v>
                </c:pt>
                <c:pt idx="54">
                  <c:v>2004738.5744320876</c:v>
                </c:pt>
                <c:pt idx="55">
                  <c:v>2004738.5744320876</c:v>
                </c:pt>
                <c:pt idx="56">
                  <c:v>2004738.5744320876</c:v>
                </c:pt>
                <c:pt idx="57">
                  <c:v>2004738.5744320876</c:v>
                </c:pt>
                <c:pt idx="58">
                  <c:v>2004738.5744320876</c:v>
                </c:pt>
                <c:pt idx="59">
                  <c:v>2004738.5744320876</c:v>
                </c:pt>
                <c:pt idx="60">
                  <c:v>2004738.5744320876</c:v>
                </c:pt>
                <c:pt idx="61">
                  <c:v>2004738.5744320876</c:v>
                </c:pt>
                <c:pt idx="62">
                  <c:v>2004738.5744320876</c:v>
                </c:pt>
                <c:pt idx="63">
                  <c:v>2004738.5744320876</c:v>
                </c:pt>
                <c:pt idx="64">
                  <c:v>2004738.5744320876</c:v>
                </c:pt>
                <c:pt idx="65">
                  <c:v>2004738.5744320876</c:v>
                </c:pt>
                <c:pt idx="66">
                  <c:v>2004738.5744320876</c:v>
                </c:pt>
                <c:pt idx="67">
                  <c:v>2004738.5744320876</c:v>
                </c:pt>
                <c:pt idx="68">
                  <c:v>2004738.5744320876</c:v>
                </c:pt>
                <c:pt idx="69">
                  <c:v>2004738.5744320876</c:v>
                </c:pt>
                <c:pt idx="70">
                  <c:v>2004738.5744320876</c:v>
                </c:pt>
                <c:pt idx="71">
                  <c:v>2004738.5744320876</c:v>
                </c:pt>
                <c:pt idx="72">
                  <c:v>2004738.5744320876</c:v>
                </c:pt>
                <c:pt idx="73">
                  <c:v>2004738.5744320876</c:v>
                </c:pt>
                <c:pt idx="74">
                  <c:v>2004738.5744320876</c:v>
                </c:pt>
                <c:pt idx="75">
                  <c:v>2004738.5744320876</c:v>
                </c:pt>
                <c:pt idx="76">
                  <c:v>2004738.5744320876</c:v>
                </c:pt>
                <c:pt idx="77">
                  <c:v>2004738.5744320876</c:v>
                </c:pt>
                <c:pt idx="78">
                  <c:v>2004738.5744320876</c:v>
                </c:pt>
                <c:pt idx="79">
                  <c:v>2004738.5744320876</c:v>
                </c:pt>
                <c:pt idx="80">
                  <c:v>2004738.5744320876</c:v>
                </c:pt>
                <c:pt idx="81">
                  <c:v>2004738.5744320876</c:v>
                </c:pt>
                <c:pt idx="82">
                  <c:v>2004738.5744320876</c:v>
                </c:pt>
                <c:pt idx="83">
                  <c:v>2004738.5744320876</c:v>
                </c:pt>
                <c:pt idx="84">
                  <c:v>2004738.5744320876</c:v>
                </c:pt>
                <c:pt idx="85">
                  <c:v>2004738.5744320876</c:v>
                </c:pt>
                <c:pt idx="86">
                  <c:v>2004738.5744320876</c:v>
                </c:pt>
                <c:pt idx="87">
                  <c:v>2004738.5744320876</c:v>
                </c:pt>
                <c:pt idx="88">
                  <c:v>2004738.5744320876</c:v>
                </c:pt>
                <c:pt idx="89">
                  <c:v>2004738.5744320876</c:v>
                </c:pt>
                <c:pt idx="90">
                  <c:v>2004738.5744320876</c:v>
                </c:pt>
                <c:pt idx="91">
                  <c:v>2004738.5744320876</c:v>
                </c:pt>
                <c:pt idx="92">
                  <c:v>2004738.5744320876</c:v>
                </c:pt>
                <c:pt idx="93">
                  <c:v>2004738.5744320876</c:v>
                </c:pt>
                <c:pt idx="94">
                  <c:v>2004738.5744320876</c:v>
                </c:pt>
                <c:pt idx="95">
                  <c:v>2004738.5744320876</c:v>
                </c:pt>
                <c:pt idx="96">
                  <c:v>2004738.5744320876</c:v>
                </c:pt>
                <c:pt idx="97">
                  <c:v>2004738.5744320876</c:v>
                </c:pt>
                <c:pt idx="98">
                  <c:v>2004738.5744320876</c:v>
                </c:pt>
                <c:pt idx="99">
                  <c:v>2004738.5744320876</c:v>
                </c:pt>
                <c:pt idx="100">
                  <c:v>2004738.5744320876</c:v>
                </c:pt>
                <c:pt idx="101">
                  <c:v>2004738.5744320876</c:v>
                </c:pt>
                <c:pt idx="102">
                  <c:v>2004738.5744320876</c:v>
                </c:pt>
                <c:pt idx="103">
                  <c:v>2004738.5744320876</c:v>
                </c:pt>
                <c:pt idx="104">
                  <c:v>2004738.5744320876</c:v>
                </c:pt>
                <c:pt idx="105">
                  <c:v>2004738.5744320876</c:v>
                </c:pt>
                <c:pt idx="106">
                  <c:v>2004738.5744320876</c:v>
                </c:pt>
                <c:pt idx="107">
                  <c:v>2004738.5744320876</c:v>
                </c:pt>
                <c:pt idx="108">
                  <c:v>2004738.5744320876</c:v>
                </c:pt>
                <c:pt idx="109">
                  <c:v>2004738.5744320876</c:v>
                </c:pt>
                <c:pt idx="110">
                  <c:v>2004738.5744320876</c:v>
                </c:pt>
                <c:pt idx="111">
                  <c:v>2004738.5744320876</c:v>
                </c:pt>
                <c:pt idx="112">
                  <c:v>2004738.5744320876</c:v>
                </c:pt>
                <c:pt idx="113">
                  <c:v>2004738.5744320876</c:v>
                </c:pt>
                <c:pt idx="114">
                  <c:v>2004738.5744320876</c:v>
                </c:pt>
                <c:pt idx="115">
                  <c:v>2004738.5744320876</c:v>
                </c:pt>
                <c:pt idx="116">
                  <c:v>2004738.5744320876</c:v>
                </c:pt>
                <c:pt idx="117">
                  <c:v>2004738.5744320876</c:v>
                </c:pt>
                <c:pt idx="118">
                  <c:v>2004738.5744320876</c:v>
                </c:pt>
                <c:pt idx="119">
                  <c:v>2004738.5744320876</c:v>
                </c:pt>
                <c:pt idx="120">
                  <c:v>2004738.5744320876</c:v>
                </c:pt>
                <c:pt idx="121">
                  <c:v>2004738.5744320876</c:v>
                </c:pt>
                <c:pt idx="122">
                  <c:v>2004738.5744320876</c:v>
                </c:pt>
                <c:pt idx="123">
                  <c:v>2004738.5744320876</c:v>
                </c:pt>
                <c:pt idx="124">
                  <c:v>2004738.5744320876</c:v>
                </c:pt>
                <c:pt idx="125">
                  <c:v>2004738.5744320876</c:v>
                </c:pt>
                <c:pt idx="126">
                  <c:v>2004738.5744320876</c:v>
                </c:pt>
                <c:pt idx="127">
                  <c:v>2004738.5744320876</c:v>
                </c:pt>
                <c:pt idx="128">
                  <c:v>2004738.5744320876</c:v>
                </c:pt>
                <c:pt idx="129">
                  <c:v>2004738.5744320876</c:v>
                </c:pt>
                <c:pt idx="130">
                  <c:v>2004738.5744320876</c:v>
                </c:pt>
                <c:pt idx="131">
                  <c:v>2004738.5744320876</c:v>
                </c:pt>
                <c:pt idx="132">
                  <c:v>2004738.5744320876</c:v>
                </c:pt>
                <c:pt idx="133">
                  <c:v>2004738.5744320876</c:v>
                </c:pt>
                <c:pt idx="134">
                  <c:v>2004738.5744320876</c:v>
                </c:pt>
                <c:pt idx="135">
                  <c:v>2004738.5744320876</c:v>
                </c:pt>
                <c:pt idx="136">
                  <c:v>2004738.5744320876</c:v>
                </c:pt>
                <c:pt idx="137">
                  <c:v>2004738.5744320876</c:v>
                </c:pt>
                <c:pt idx="138">
                  <c:v>2004738.5744320876</c:v>
                </c:pt>
                <c:pt idx="139">
                  <c:v>2004738.5744320876</c:v>
                </c:pt>
                <c:pt idx="140">
                  <c:v>2004738.5744320876</c:v>
                </c:pt>
                <c:pt idx="141">
                  <c:v>2004738.5744320876</c:v>
                </c:pt>
                <c:pt idx="142">
                  <c:v>2004738.5744320876</c:v>
                </c:pt>
                <c:pt idx="143">
                  <c:v>2004738.5744320876</c:v>
                </c:pt>
                <c:pt idx="144">
                  <c:v>2004738.5744320876</c:v>
                </c:pt>
                <c:pt idx="145">
                  <c:v>2004738.5744320876</c:v>
                </c:pt>
                <c:pt idx="146">
                  <c:v>2004738.5744320876</c:v>
                </c:pt>
                <c:pt idx="147">
                  <c:v>2004738.5744320876</c:v>
                </c:pt>
                <c:pt idx="148">
                  <c:v>2004738.5744320876</c:v>
                </c:pt>
                <c:pt idx="149">
                  <c:v>2004738.5744320876</c:v>
                </c:pt>
                <c:pt idx="150">
                  <c:v>2004738.5744320876</c:v>
                </c:pt>
                <c:pt idx="151">
                  <c:v>2004738.5744320876</c:v>
                </c:pt>
                <c:pt idx="152">
                  <c:v>2004738.5744320876</c:v>
                </c:pt>
                <c:pt idx="153">
                  <c:v>2004738.5744320876</c:v>
                </c:pt>
                <c:pt idx="154">
                  <c:v>2004738.5744320876</c:v>
                </c:pt>
                <c:pt idx="155">
                  <c:v>2004738.5744320876</c:v>
                </c:pt>
                <c:pt idx="156">
                  <c:v>2004738.5744320876</c:v>
                </c:pt>
                <c:pt idx="157">
                  <c:v>2004738.5744320876</c:v>
                </c:pt>
                <c:pt idx="158">
                  <c:v>2004738.5744320876</c:v>
                </c:pt>
                <c:pt idx="159">
                  <c:v>2004738.5744320876</c:v>
                </c:pt>
                <c:pt idx="160">
                  <c:v>2004738.5744320876</c:v>
                </c:pt>
                <c:pt idx="161">
                  <c:v>2004738.5744320876</c:v>
                </c:pt>
                <c:pt idx="162">
                  <c:v>2004738.5744320876</c:v>
                </c:pt>
                <c:pt idx="163">
                  <c:v>2004738.5744320876</c:v>
                </c:pt>
                <c:pt idx="164">
                  <c:v>2004738.5744320876</c:v>
                </c:pt>
                <c:pt idx="165">
                  <c:v>2004738.5744320876</c:v>
                </c:pt>
                <c:pt idx="166">
                  <c:v>2004738.5744320876</c:v>
                </c:pt>
                <c:pt idx="167">
                  <c:v>2004738.5744320876</c:v>
                </c:pt>
                <c:pt idx="168">
                  <c:v>2004738.5744320876</c:v>
                </c:pt>
                <c:pt idx="169">
                  <c:v>2004738.5744320876</c:v>
                </c:pt>
                <c:pt idx="170">
                  <c:v>2004738.5744320876</c:v>
                </c:pt>
                <c:pt idx="171">
                  <c:v>2004738.5744320876</c:v>
                </c:pt>
                <c:pt idx="172">
                  <c:v>2004738.5744320876</c:v>
                </c:pt>
                <c:pt idx="173">
                  <c:v>2004738.5744320876</c:v>
                </c:pt>
                <c:pt idx="174">
                  <c:v>2004738.5744320876</c:v>
                </c:pt>
                <c:pt idx="175">
                  <c:v>2004738.5744320876</c:v>
                </c:pt>
                <c:pt idx="176">
                  <c:v>2004738.5744320876</c:v>
                </c:pt>
                <c:pt idx="177">
                  <c:v>2004738.5744320876</c:v>
                </c:pt>
                <c:pt idx="178">
                  <c:v>2004738.5744320876</c:v>
                </c:pt>
                <c:pt idx="179">
                  <c:v>2004738.5744320876</c:v>
                </c:pt>
                <c:pt idx="180">
                  <c:v>2004738.5744320876</c:v>
                </c:pt>
                <c:pt idx="181">
                  <c:v>2004738.5744320876</c:v>
                </c:pt>
                <c:pt idx="182">
                  <c:v>2004738.5744320876</c:v>
                </c:pt>
                <c:pt idx="183">
                  <c:v>2004738.5744320876</c:v>
                </c:pt>
                <c:pt idx="184">
                  <c:v>2004738.5744320876</c:v>
                </c:pt>
                <c:pt idx="185">
                  <c:v>2004738.5744320876</c:v>
                </c:pt>
                <c:pt idx="186">
                  <c:v>2004738.5744320876</c:v>
                </c:pt>
                <c:pt idx="187">
                  <c:v>2004738.5744320876</c:v>
                </c:pt>
                <c:pt idx="188">
                  <c:v>2004738.5744320876</c:v>
                </c:pt>
                <c:pt idx="189">
                  <c:v>2004738.5744320876</c:v>
                </c:pt>
                <c:pt idx="190">
                  <c:v>2004738.5744320876</c:v>
                </c:pt>
                <c:pt idx="191">
                  <c:v>2004738.5744320876</c:v>
                </c:pt>
                <c:pt idx="192">
                  <c:v>2004738.5744320876</c:v>
                </c:pt>
                <c:pt idx="193">
                  <c:v>2004738.5744320876</c:v>
                </c:pt>
                <c:pt idx="194">
                  <c:v>2004738.5744320876</c:v>
                </c:pt>
                <c:pt idx="195">
                  <c:v>2004738.5744320876</c:v>
                </c:pt>
                <c:pt idx="196">
                  <c:v>2004738.5744320876</c:v>
                </c:pt>
                <c:pt idx="197">
                  <c:v>2004738.5744320876</c:v>
                </c:pt>
                <c:pt idx="198">
                  <c:v>2004738.5744320876</c:v>
                </c:pt>
                <c:pt idx="199">
                  <c:v>2004738.5744320876</c:v>
                </c:pt>
                <c:pt idx="200">
                  <c:v>2004738.5744320876</c:v>
                </c:pt>
                <c:pt idx="201">
                  <c:v>2004738.5744320876</c:v>
                </c:pt>
                <c:pt idx="202">
                  <c:v>2004738.5744320876</c:v>
                </c:pt>
                <c:pt idx="203">
                  <c:v>2004738.5744320876</c:v>
                </c:pt>
                <c:pt idx="204">
                  <c:v>2004738.5744320876</c:v>
                </c:pt>
                <c:pt idx="205">
                  <c:v>2004738.5744320876</c:v>
                </c:pt>
                <c:pt idx="206">
                  <c:v>2004738.5744320876</c:v>
                </c:pt>
                <c:pt idx="207">
                  <c:v>2004738.5744320876</c:v>
                </c:pt>
                <c:pt idx="208">
                  <c:v>2004738.5744320876</c:v>
                </c:pt>
                <c:pt idx="209">
                  <c:v>2004738.5744320876</c:v>
                </c:pt>
                <c:pt idx="210">
                  <c:v>2004738.5744320876</c:v>
                </c:pt>
                <c:pt idx="211">
                  <c:v>2004738.5744320876</c:v>
                </c:pt>
                <c:pt idx="212">
                  <c:v>2004738.5744320876</c:v>
                </c:pt>
                <c:pt idx="213">
                  <c:v>2004738.5744320876</c:v>
                </c:pt>
                <c:pt idx="214">
                  <c:v>2004738.5744320876</c:v>
                </c:pt>
                <c:pt idx="215">
                  <c:v>2004738.5744320876</c:v>
                </c:pt>
                <c:pt idx="216">
                  <c:v>2004738.5744320876</c:v>
                </c:pt>
                <c:pt idx="217">
                  <c:v>2004738.5744320876</c:v>
                </c:pt>
                <c:pt idx="218">
                  <c:v>2004738.5744320876</c:v>
                </c:pt>
                <c:pt idx="219">
                  <c:v>2004738.5744320876</c:v>
                </c:pt>
                <c:pt idx="220">
                  <c:v>2004738.5744320876</c:v>
                </c:pt>
                <c:pt idx="221">
                  <c:v>2004738.5744320876</c:v>
                </c:pt>
                <c:pt idx="222">
                  <c:v>2004738.5744320876</c:v>
                </c:pt>
                <c:pt idx="223">
                  <c:v>2004738.5744320876</c:v>
                </c:pt>
                <c:pt idx="224">
                  <c:v>2004738.5744320876</c:v>
                </c:pt>
                <c:pt idx="225">
                  <c:v>2004738.5744320876</c:v>
                </c:pt>
                <c:pt idx="226">
                  <c:v>2004738.5744320876</c:v>
                </c:pt>
                <c:pt idx="227">
                  <c:v>2004738.5744320876</c:v>
                </c:pt>
                <c:pt idx="228">
                  <c:v>2004738.5744320876</c:v>
                </c:pt>
                <c:pt idx="229">
                  <c:v>2004738.5744320876</c:v>
                </c:pt>
                <c:pt idx="230">
                  <c:v>2004738.5744320876</c:v>
                </c:pt>
                <c:pt idx="231">
                  <c:v>2004738.5744320876</c:v>
                </c:pt>
                <c:pt idx="232">
                  <c:v>2004738.5744320876</c:v>
                </c:pt>
                <c:pt idx="233">
                  <c:v>2004738.5744320876</c:v>
                </c:pt>
                <c:pt idx="234">
                  <c:v>2004738.5744320876</c:v>
                </c:pt>
                <c:pt idx="235">
                  <c:v>2004738.5744320876</c:v>
                </c:pt>
                <c:pt idx="236">
                  <c:v>2004738.5744320876</c:v>
                </c:pt>
                <c:pt idx="237">
                  <c:v>2004738.5744320876</c:v>
                </c:pt>
                <c:pt idx="238">
                  <c:v>2004738.5744320876</c:v>
                </c:pt>
                <c:pt idx="239">
                  <c:v>2004738.5744320876</c:v>
                </c:pt>
                <c:pt idx="240">
                  <c:v>2004738.5744320876</c:v>
                </c:pt>
                <c:pt idx="241">
                  <c:v>2004738.5744320876</c:v>
                </c:pt>
                <c:pt idx="242">
                  <c:v>2004738.5744320876</c:v>
                </c:pt>
                <c:pt idx="243">
                  <c:v>2004738.5744320876</c:v>
                </c:pt>
                <c:pt idx="244">
                  <c:v>2004738.5744320876</c:v>
                </c:pt>
                <c:pt idx="245">
                  <c:v>2004738.5744320876</c:v>
                </c:pt>
                <c:pt idx="246">
                  <c:v>2004738.5744320876</c:v>
                </c:pt>
                <c:pt idx="247">
                  <c:v>2004738.5744320876</c:v>
                </c:pt>
                <c:pt idx="248">
                  <c:v>2004738.5744320876</c:v>
                </c:pt>
                <c:pt idx="249">
                  <c:v>2004738.5744320876</c:v>
                </c:pt>
                <c:pt idx="250">
                  <c:v>2004738.5744320876</c:v>
                </c:pt>
                <c:pt idx="251">
                  <c:v>2004738.5744320876</c:v>
                </c:pt>
                <c:pt idx="252">
                  <c:v>2004738.5744320876</c:v>
                </c:pt>
                <c:pt idx="253">
                  <c:v>2004738.5744320876</c:v>
                </c:pt>
                <c:pt idx="254">
                  <c:v>2004738.5744320876</c:v>
                </c:pt>
                <c:pt idx="255">
                  <c:v>2004738.5744320876</c:v>
                </c:pt>
                <c:pt idx="256">
                  <c:v>2004738.5744320876</c:v>
                </c:pt>
                <c:pt idx="257">
                  <c:v>2004738.5744320876</c:v>
                </c:pt>
                <c:pt idx="258">
                  <c:v>2004738.5744320876</c:v>
                </c:pt>
                <c:pt idx="259">
                  <c:v>2004738.5744320876</c:v>
                </c:pt>
                <c:pt idx="260">
                  <c:v>2004738.5744320876</c:v>
                </c:pt>
                <c:pt idx="261">
                  <c:v>2004738.5744320876</c:v>
                </c:pt>
                <c:pt idx="262">
                  <c:v>2004738.5744320876</c:v>
                </c:pt>
                <c:pt idx="263">
                  <c:v>2004738.5744320876</c:v>
                </c:pt>
                <c:pt idx="264">
                  <c:v>2004738.5744320876</c:v>
                </c:pt>
                <c:pt idx="265">
                  <c:v>2004738.5744320876</c:v>
                </c:pt>
                <c:pt idx="266">
                  <c:v>2004738.5744320876</c:v>
                </c:pt>
                <c:pt idx="267">
                  <c:v>2004738.5744320876</c:v>
                </c:pt>
                <c:pt idx="268">
                  <c:v>2004738.5744320876</c:v>
                </c:pt>
                <c:pt idx="269">
                  <c:v>2004738.5744320876</c:v>
                </c:pt>
                <c:pt idx="270">
                  <c:v>2004738.5744320876</c:v>
                </c:pt>
                <c:pt idx="271">
                  <c:v>2004738.5744320876</c:v>
                </c:pt>
                <c:pt idx="272">
                  <c:v>2004738.5744320876</c:v>
                </c:pt>
                <c:pt idx="273">
                  <c:v>2004738.5744320876</c:v>
                </c:pt>
                <c:pt idx="274">
                  <c:v>2004738.5744320876</c:v>
                </c:pt>
                <c:pt idx="275">
                  <c:v>2004738.5744320876</c:v>
                </c:pt>
                <c:pt idx="276">
                  <c:v>2004738.5744320876</c:v>
                </c:pt>
                <c:pt idx="277">
                  <c:v>2004738.5744320876</c:v>
                </c:pt>
                <c:pt idx="278">
                  <c:v>2004738.5744320876</c:v>
                </c:pt>
                <c:pt idx="279">
                  <c:v>2004738.5744320876</c:v>
                </c:pt>
                <c:pt idx="280">
                  <c:v>2004738.5744320876</c:v>
                </c:pt>
                <c:pt idx="281">
                  <c:v>2004738.5744320876</c:v>
                </c:pt>
                <c:pt idx="282">
                  <c:v>2004738.5744320876</c:v>
                </c:pt>
                <c:pt idx="283">
                  <c:v>2004738.5744320876</c:v>
                </c:pt>
                <c:pt idx="284">
                  <c:v>2004738.5744320876</c:v>
                </c:pt>
                <c:pt idx="285">
                  <c:v>2004738.5744320876</c:v>
                </c:pt>
                <c:pt idx="286">
                  <c:v>2004738.5744320876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9">
          <cell r="Z39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1">
          <cell r="Z41">
            <v>0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1289120372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 u="1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3-0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3.2408590486738831E-3"/>
    <d v="2025-10-31T00:00:00"/>
    <n v="87564.99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s v="JA Electrical INV 1151"/>
    <x v="5"/>
    <n v="9426.8691001654879"/>
    <m/>
    <d v="2026-01-29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s v="JA Electrical INV 1151"/>
    <x v="5"/>
    <n v="4713.4245500827437"/>
    <m/>
    <d v="2026-01-29T00:00:00"/>
    <m/>
  </r>
  <r>
    <n v="4"/>
    <x v="4"/>
    <s v="Commissioning Complete"/>
    <m/>
    <n v="0.1"/>
    <n v="3356.5"/>
    <m/>
    <s v="JA Electrical INV 1151"/>
    <x v="5"/>
    <n v="9426.8491001654875"/>
    <m/>
    <d v="2026-01-29T00:00:00"/>
    <m/>
  </r>
  <r>
    <n v="4"/>
    <x v="4"/>
    <s v="Site De-establisment"/>
    <m/>
    <n v="0.1"/>
    <n v="3356.5"/>
    <m/>
    <s v="JA Electrical INV 1154"/>
    <x v="5"/>
    <n v="9426.8491001654875"/>
    <m/>
    <d v="2026-02-05T00:00:00"/>
    <m/>
  </r>
  <r>
    <n v="4"/>
    <x v="4"/>
    <s v="Handover Document Complete"/>
    <m/>
    <n v="0.05"/>
    <n v="1678.25"/>
    <m/>
    <s v="JA Electrical INV 1154"/>
    <x v="5"/>
    <n v="4713.4245500827437"/>
    <m/>
    <d v="2026-02-05T00:00:00"/>
    <m/>
  </r>
  <r>
    <n v="4"/>
    <x v="4"/>
    <s v="End of Defects Period"/>
    <m/>
    <n v="0.05"/>
    <n v="1678.24"/>
    <m/>
    <s v="JA Electrical INV 1154"/>
    <x v="5"/>
    <n v="4713.3964647286539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s v="JA Electrical INV 1151"/>
    <x v="5"/>
    <n v="14044.922053233266"/>
    <m/>
    <d v="2026-01-29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s v="JA Electrical INV 1151"/>
    <x v="5"/>
    <n v="7022.4610266166328"/>
    <m/>
    <d v="2026-01-29T00:00:00"/>
    <m/>
  </r>
  <r>
    <n v="6"/>
    <x v="6"/>
    <s v="Commissioning Complete"/>
    <m/>
    <n v="0.1"/>
    <n v="6438.55"/>
    <m/>
    <s v="JA Electrical INV 1151"/>
    <x v="5"/>
    <n v="14044.922053233266"/>
    <m/>
    <d v="2026-01-29T00:00:00"/>
    <m/>
  </r>
  <r>
    <n v="6"/>
    <x v="6"/>
    <s v="Site De-establisment"/>
    <m/>
    <n v="0.1"/>
    <n v="6438.55"/>
    <m/>
    <s v="JA Electrical INV 1154"/>
    <x v="5"/>
    <n v="14044.922053233266"/>
    <m/>
    <d v="2026-02-05T00:00:00"/>
    <m/>
  </r>
  <r>
    <n v="6"/>
    <x v="6"/>
    <s v="Handover Document Complete"/>
    <m/>
    <n v="0.05"/>
    <n v="3219.2750000000001"/>
    <m/>
    <s v="JA Electrical INV 1154"/>
    <x v="5"/>
    <n v="7022.4610266166328"/>
    <m/>
    <d v="2026-02-05T00:00:00"/>
    <m/>
  </r>
  <r>
    <n v="6"/>
    <x v="6"/>
    <s v="End of Defects Period"/>
    <m/>
    <n v="0.05"/>
    <n v="3219.2750000000001"/>
    <m/>
    <s v="JA Electrical INV 1154"/>
    <x v="5"/>
    <n v="7022.4610266166328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1.7869654693640769E-3"/>
    <m/>
    <n v="272012.96399999998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s v="JA Electrical INV 1151"/>
    <x v="5"/>
    <n v="22094.444119541629"/>
    <m/>
    <d v="2026-01-29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s v="JA Electrical INV 1151"/>
    <x v="5"/>
    <n v="11047.222059770815"/>
    <m/>
    <d v="2026-01-29T00:00:00"/>
    <m/>
  </r>
  <r>
    <n v="9"/>
    <x v="9"/>
    <s v="Commissioning Complete"/>
    <m/>
    <n v="0.1"/>
    <n v="27201.295999999998"/>
    <m/>
    <s v="JA Electrical INV 1151"/>
    <x v="5"/>
    <n v="22094.444119541629"/>
    <m/>
    <d v="2026-01-29T00:00:00"/>
    <m/>
  </r>
  <r>
    <n v="9"/>
    <x v="9"/>
    <s v="Site De-establisment"/>
    <m/>
    <n v="0.1"/>
    <n v="27201.3"/>
    <m/>
    <s v="JA Electrical INV 1154"/>
    <x v="5"/>
    <n v="22094.447368569781"/>
    <m/>
    <d v="2026-02-05T00:00:00"/>
    <m/>
  </r>
  <r>
    <n v="9"/>
    <x v="9"/>
    <s v="Handover Document Complete"/>
    <m/>
    <n v="0.05"/>
    <n v="13600.647999999999"/>
    <m/>
    <s v="JA Electrical INV 1154"/>
    <x v="5"/>
    <n v="11047.222059770815"/>
    <m/>
    <d v="2026-02-05T00:00:00"/>
    <m/>
  </r>
  <r>
    <n v="9"/>
    <x v="9"/>
    <s v="End of Defects Period"/>
    <m/>
    <n v="0.05"/>
    <n v="13600.647999999999"/>
    <m/>
    <s v="JA Electrical INV 1154"/>
    <x v="5"/>
    <n v="11047.222059770815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s v="JA Electrical INV 1151"/>
    <x v="5"/>
    <n v="6108.6600717132733"/>
    <m/>
    <d v="2026-01-29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s v="JA Electrical INV 1151"/>
    <x v="5"/>
    <n v="3054.3300358566366"/>
    <m/>
    <d v="2026-01-29T00:00:00"/>
    <m/>
  </r>
  <r>
    <n v="10"/>
    <x v="10"/>
    <s v="Commissioning Complete"/>
    <m/>
    <n v="0.1"/>
    <n v="7485.9500000000007"/>
    <m/>
    <s v="JA Electrical INV 1151"/>
    <x v="5"/>
    <n v="6108.6600717132733"/>
    <m/>
    <d v="2026-01-29T00:00:00"/>
    <m/>
  </r>
  <r>
    <n v="10"/>
    <x v="10"/>
    <s v="Site De-establisment"/>
    <m/>
    <n v="0.1"/>
    <n v="7485.9500000000007"/>
    <m/>
    <s v="JA Electrical INV 1154"/>
    <x v="5"/>
    <n v="6108.6600717132733"/>
    <m/>
    <d v="2026-02-05T00:00:00"/>
    <m/>
  </r>
  <r>
    <n v="10"/>
    <x v="10"/>
    <s v="Handover Document Complete"/>
    <m/>
    <n v="0.05"/>
    <n v="3742.9750000000004"/>
    <m/>
    <s v="JA Electrical INV 1154"/>
    <x v="5"/>
    <n v="3054.3300358566366"/>
    <m/>
    <d v="2026-02-05T00:00:00"/>
    <m/>
  </r>
  <r>
    <n v="10"/>
    <x v="10"/>
    <s v="End of Defects Period"/>
    <m/>
    <n v="0.05"/>
    <n v="3742.9750000000004"/>
    <m/>
    <s v="JA Electrical INV 1154"/>
    <x v="5"/>
    <n v="3054.33003585663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3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059.23"/>
    <m/>
    <s v="Matriarch - INV-6234"/>
    <x v="5"/>
    <n v="22597.742926891198"/>
    <n v="0"/>
    <d v="2026-02-27T00:00:00"/>
    <n v="25059.2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2023.1599999999999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n v="136.46"/>
    <m/>
    <s v="Expense Claim"/>
    <x v="5"/>
    <n v="0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5703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3" t="s">
        <v>57</v>
      </c>
      <c r="E47" s="733"/>
      <c r="F47" s="734"/>
      <c r="G47" s="67"/>
      <c r="I47" s="68"/>
      <c r="J47" s="68"/>
    </row>
    <row r="48" spans="1:49" ht="14.45" thickBot="1">
      <c r="C48" s="69">
        <v>44014</v>
      </c>
      <c r="D48" s="735"/>
      <c r="E48" s="735"/>
      <c r="F48" s="73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45"/>
  <cols>
    <col min="1" max="1" width="6.42578125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39" t="s">
        <v>58</v>
      </c>
      <c r="C2" s="739"/>
      <c r="D2" s="739"/>
      <c r="E2" s="739"/>
      <c r="H2" s="740" t="s">
        <v>59</v>
      </c>
      <c r="I2" s="741"/>
      <c r="J2" s="741"/>
      <c r="K2" s="741"/>
      <c r="L2" s="741"/>
      <c r="M2" s="741"/>
      <c r="N2" s="741"/>
      <c r="O2" s="742"/>
    </row>
    <row r="3" spans="2:15">
      <c r="B3" s="663"/>
      <c r="H3" s="743"/>
      <c r="I3" s="744"/>
      <c r="J3" s="744"/>
      <c r="K3" s="744"/>
      <c r="L3" s="744"/>
      <c r="M3" s="744"/>
      <c r="N3" s="744"/>
      <c r="O3" s="745"/>
    </row>
    <row r="4" spans="2:15">
      <c r="B4" s="664" t="s">
        <v>60</v>
      </c>
      <c r="C4" s="665" t="str">
        <f>'Project Plan'!E2</f>
        <v>Shoprite Mini_Citrusdal</v>
      </c>
      <c r="H4" s="743"/>
      <c r="I4" s="744"/>
      <c r="J4" s="744"/>
      <c r="K4" s="744"/>
      <c r="L4" s="744"/>
      <c r="M4" s="744"/>
      <c r="N4" s="744"/>
      <c r="O4" s="745"/>
    </row>
    <row r="5" spans="2:15">
      <c r="B5" s="664" t="s">
        <v>61</v>
      </c>
      <c r="C5" s="665" t="s">
        <v>62</v>
      </c>
      <c r="H5" s="743"/>
      <c r="I5" s="744"/>
      <c r="J5" s="744"/>
      <c r="K5" s="744"/>
      <c r="L5" s="744"/>
      <c r="M5" s="744"/>
      <c r="N5" s="744"/>
      <c r="O5" s="745"/>
    </row>
    <row r="6" spans="2:15">
      <c r="B6" s="664" t="s">
        <v>63</v>
      </c>
      <c r="C6" s="665" t="s">
        <v>64</v>
      </c>
      <c r="H6" s="743"/>
      <c r="I6" s="744"/>
      <c r="J6" s="744"/>
      <c r="K6" s="744"/>
      <c r="L6" s="744"/>
      <c r="M6" s="744"/>
      <c r="N6" s="744"/>
      <c r="O6" s="745"/>
    </row>
    <row r="7" spans="2:15">
      <c r="B7" s="664" t="s">
        <v>65</v>
      </c>
      <c r="C7" s="665" t="s">
        <v>66</v>
      </c>
      <c r="H7" s="743"/>
      <c r="I7" s="744"/>
      <c r="J7" s="744"/>
      <c r="K7" s="744"/>
      <c r="L7" s="744"/>
      <c r="M7" s="744"/>
      <c r="N7" s="744"/>
      <c r="O7" s="745"/>
    </row>
    <row r="8" spans="2:15">
      <c r="B8" s="663"/>
      <c r="H8" s="743"/>
      <c r="I8" s="744"/>
      <c r="J8" s="744"/>
      <c r="K8" s="744"/>
      <c r="L8" s="744"/>
      <c r="M8" s="744"/>
      <c r="N8" s="744"/>
      <c r="O8" s="745"/>
    </row>
    <row r="9" spans="2:15">
      <c r="B9" s="749" t="s">
        <v>67</v>
      </c>
      <c r="C9" s="749"/>
      <c r="D9" s="749"/>
      <c r="E9" s="74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43"/>
      <c r="I9" s="744"/>
      <c r="J9" s="744"/>
      <c r="K9" s="744"/>
      <c r="L9" s="744"/>
      <c r="M9" s="744"/>
      <c r="N9" s="744"/>
      <c r="O9" s="745"/>
    </row>
    <row r="10" spans="2:15" ht="15" thickBot="1">
      <c r="B10" s="749" t="s">
        <v>68</v>
      </c>
      <c r="C10" s="749"/>
      <c r="D10" s="749"/>
      <c r="E10" s="749"/>
      <c r="H10" s="746"/>
      <c r="I10" s="747"/>
      <c r="J10" s="747"/>
      <c r="K10" s="747"/>
      <c r="L10" s="747"/>
      <c r="M10" s="747"/>
      <c r="N10" s="747"/>
      <c r="O10" s="748"/>
    </row>
    <row r="11" spans="2:15">
      <c r="B11" s="666" t="s">
        <v>69</v>
      </c>
      <c r="C11" s="737"/>
      <c r="D11" s="737"/>
      <c r="E11" s="737"/>
    </row>
    <row r="12" spans="2:15">
      <c r="B12" s="666" t="s">
        <v>70</v>
      </c>
      <c r="C12" s="737"/>
      <c r="D12" s="737"/>
      <c r="E12" s="737"/>
    </row>
    <row r="13" spans="2:15">
      <c r="B13" s="666" t="s">
        <v>71</v>
      </c>
      <c r="C13" s="737"/>
      <c r="D13" s="737"/>
      <c r="E13" s="737"/>
    </row>
    <row r="14" spans="2:15">
      <c r="B14" s="666" t="s">
        <v>72</v>
      </c>
      <c r="C14" s="737"/>
      <c r="D14" s="737"/>
      <c r="E14" s="737"/>
    </row>
    <row r="15" spans="2:15">
      <c r="B15" s="666" t="s">
        <v>73</v>
      </c>
      <c r="C15" s="737"/>
      <c r="D15" s="737"/>
      <c r="E15" s="737"/>
    </row>
    <row r="16" spans="2:15" ht="15" customHeight="1">
      <c r="B16" s="666" t="s">
        <v>74</v>
      </c>
      <c r="C16" s="737"/>
      <c r="D16" s="737"/>
      <c r="E16" s="737"/>
    </row>
    <row r="17" spans="2:5">
      <c r="B17" s="663"/>
    </row>
    <row r="18" spans="2:5">
      <c r="B18" s="738" t="s">
        <v>75</v>
      </c>
      <c r="C18" s="738"/>
      <c r="D18" s="738"/>
      <c r="E18" s="738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45"/>
  <cols>
    <col min="1" max="1" width="6.42578125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39" t="s">
        <v>80</v>
      </c>
      <c r="C2" s="739"/>
      <c r="D2" s="739"/>
      <c r="E2" s="739"/>
      <c r="H2" s="740" t="s">
        <v>81</v>
      </c>
      <c r="I2" s="741"/>
      <c r="J2" s="741"/>
      <c r="K2" s="741"/>
      <c r="L2" s="741"/>
      <c r="M2" s="741"/>
      <c r="N2" s="741"/>
      <c r="O2" s="742"/>
    </row>
    <row r="3" spans="2:15">
      <c r="B3" s="663"/>
      <c r="H3" s="743"/>
      <c r="I3" s="744"/>
      <c r="J3" s="744"/>
      <c r="K3" s="744"/>
      <c r="L3" s="744"/>
      <c r="M3" s="744"/>
      <c r="N3" s="744"/>
      <c r="O3" s="745"/>
    </row>
    <row r="4" spans="2:15">
      <c r="B4" s="664" t="s">
        <v>60</v>
      </c>
      <c r="C4" s="665" t="str">
        <f>'Project Plan'!E2</f>
        <v>Shoprite Mini_Citrusdal</v>
      </c>
      <c r="H4" s="743"/>
      <c r="I4" s="744"/>
      <c r="J4" s="744"/>
      <c r="K4" s="744"/>
      <c r="L4" s="744"/>
      <c r="M4" s="744"/>
      <c r="N4" s="744"/>
      <c r="O4" s="745"/>
    </row>
    <row r="5" spans="2:15">
      <c r="B5" s="664" t="s">
        <v>82</v>
      </c>
      <c r="C5" s="665"/>
      <c r="H5" s="743"/>
      <c r="I5" s="744"/>
      <c r="J5" s="744"/>
      <c r="K5" s="744"/>
      <c r="L5" s="744"/>
      <c r="M5" s="744"/>
      <c r="N5" s="744"/>
      <c r="O5" s="745"/>
    </row>
    <row r="6" spans="2:15">
      <c r="B6" s="664" t="s">
        <v>63</v>
      </c>
      <c r="C6" s="665" t="s">
        <v>64</v>
      </c>
      <c r="H6" s="743"/>
      <c r="I6" s="744"/>
      <c r="J6" s="744"/>
      <c r="K6" s="744"/>
      <c r="L6" s="744"/>
      <c r="M6" s="744"/>
      <c r="N6" s="744"/>
      <c r="O6" s="745"/>
    </row>
    <row r="7" spans="2:15">
      <c r="B7" s="664" t="s">
        <v>83</v>
      </c>
      <c r="C7" s="665" t="str">
        <f>'Project Plan'!E5</f>
        <v>Peet Verreynne</v>
      </c>
      <c r="H7" s="743"/>
      <c r="I7" s="744"/>
      <c r="J7" s="744"/>
      <c r="K7" s="744"/>
      <c r="L7" s="744"/>
      <c r="M7" s="744"/>
      <c r="N7" s="744"/>
      <c r="O7" s="745"/>
    </row>
    <row r="8" spans="2:15">
      <c r="B8" s="664" t="s">
        <v>84</v>
      </c>
      <c r="C8" s="665"/>
      <c r="H8" s="743"/>
      <c r="I8" s="744"/>
      <c r="J8" s="744"/>
      <c r="K8" s="744"/>
      <c r="L8" s="744"/>
      <c r="M8" s="744"/>
      <c r="N8" s="744"/>
      <c r="O8" s="745"/>
    </row>
    <row r="9" spans="2:15">
      <c r="B9" s="663"/>
      <c r="H9" s="743"/>
      <c r="I9" s="744"/>
      <c r="J9" s="744"/>
      <c r="K9" s="744"/>
      <c r="L9" s="744"/>
      <c r="M9" s="744"/>
      <c r="N9" s="744"/>
      <c r="O9" s="745"/>
    </row>
    <row r="10" spans="2:15">
      <c r="B10" s="749" t="s">
        <v>67</v>
      </c>
      <c r="C10" s="749"/>
      <c r="D10" s="749"/>
      <c r="E10" s="749"/>
      <c r="H10" s="743"/>
      <c r="I10" s="744"/>
      <c r="J10" s="744"/>
      <c r="K10" s="744"/>
      <c r="L10" s="744"/>
      <c r="M10" s="744"/>
      <c r="N10" s="744"/>
      <c r="O10" s="745"/>
    </row>
    <row r="11" spans="2:15" ht="15" thickBot="1">
      <c r="B11" s="749" t="s">
        <v>68</v>
      </c>
      <c r="C11" s="749"/>
      <c r="D11" s="749"/>
      <c r="E11" s="749"/>
      <c r="H11" s="746"/>
      <c r="I11" s="747"/>
      <c r="J11" s="747"/>
      <c r="K11" s="747"/>
      <c r="L11" s="747"/>
      <c r="M11" s="747"/>
      <c r="N11" s="747"/>
      <c r="O11" s="748"/>
    </row>
    <row r="12" spans="2:15" ht="26.45">
      <c r="B12" s="666" t="s">
        <v>85</v>
      </c>
      <c r="C12" s="737"/>
      <c r="D12" s="737"/>
      <c r="E12" s="737"/>
    </row>
    <row r="13" spans="2:15">
      <c r="B13" s="666" t="s">
        <v>86</v>
      </c>
      <c r="C13" s="737"/>
      <c r="D13" s="737"/>
      <c r="E13" s="737"/>
    </row>
    <row r="14" spans="2:15">
      <c r="B14" s="666" t="s">
        <v>87</v>
      </c>
      <c r="C14" s="737"/>
      <c r="D14" s="737"/>
      <c r="E14" s="737"/>
    </row>
    <row r="15" spans="2:15">
      <c r="B15" s="666" t="s">
        <v>88</v>
      </c>
      <c r="C15" s="737"/>
      <c r="D15" s="737"/>
      <c r="E15" s="737"/>
    </row>
    <row r="16" spans="2:15" ht="26.45">
      <c r="B16" s="666" t="s">
        <v>89</v>
      </c>
      <c r="C16" s="737"/>
      <c r="D16" s="737"/>
      <c r="E16" s="737"/>
    </row>
    <row r="17" spans="2:5">
      <c r="B17" s="666" t="s">
        <v>90</v>
      </c>
      <c r="C17" s="737"/>
      <c r="D17" s="737"/>
      <c r="E17" s="737"/>
    </row>
    <row r="18" spans="2:5">
      <c r="B18" s="666" t="s">
        <v>91</v>
      </c>
      <c r="C18" s="737"/>
      <c r="D18" s="737"/>
      <c r="E18" s="737"/>
    </row>
    <row r="19" spans="2:5">
      <c r="B19" s="666" t="s">
        <v>92</v>
      </c>
      <c r="C19" s="737"/>
      <c r="D19" s="737"/>
      <c r="E19" s="737"/>
    </row>
    <row r="20" spans="2:5">
      <c r="B20" s="666" t="s">
        <v>93</v>
      </c>
      <c r="C20" s="737"/>
      <c r="D20" s="737"/>
      <c r="E20" s="737"/>
    </row>
    <row r="21" spans="2:5">
      <c r="B21" s="666" t="s">
        <v>94</v>
      </c>
      <c r="C21" s="737"/>
      <c r="D21" s="737"/>
      <c r="E21" s="737"/>
    </row>
    <row r="22" spans="2:5" ht="15" customHeight="1">
      <c r="B22" s="666" t="s">
        <v>74</v>
      </c>
      <c r="C22" s="737"/>
      <c r="D22" s="737"/>
      <c r="E22" s="737"/>
    </row>
    <row r="23" spans="2:5">
      <c r="B23" s="663"/>
    </row>
    <row r="24" spans="2:5">
      <c r="B24" s="738" t="s">
        <v>75</v>
      </c>
      <c r="C24" s="738"/>
      <c r="D24" s="738"/>
      <c r="E24" s="738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5703125" customWidth="1"/>
    <col min="11" max="11" width="77.42578125" customWidth="1"/>
  </cols>
  <sheetData>
    <row r="1" spans="2:15">
      <c r="B1" s="750"/>
      <c r="C1" s="751"/>
      <c r="D1" s="751"/>
      <c r="E1" s="751"/>
      <c r="F1" s="752" t="s">
        <v>95</v>
      </c>
      <c r="G1" s="752"/>
      <c r="H1" s="752"/>
      <c r="I1" s="752"/>
      <c r="J1" s="752"/>
      <c r="K1" s="753"/>
      <c r="L1" s="77"/>
      <c r="M1" s="77"/>
      <c r="N1" s="77"/>
      <c r="O1" s="77"/>
    </row>
    <row r="2" spans="2:15" ht="6.75" customHeight="1"/>
    <row r="3" spans="2:15" s="668" customFormat="1" ht="28.9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754" t="s">
        <v>136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143</v>
      </c>
      <c r="C16" s="755"/>
      <c r="D16" s="755"/>
      <c r="E16" s="755"/>
      <c r="F16" s="756"/>
    </row>
    <row r="17" spans="2:6" ht="1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5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F7" sqref="F7"/>
    </sheetView>
  </sheetViews>
  <sheetFormatPr defaultColWidth="8.42578125" defaultRowHeight="13.9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4.2851562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4257812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18" width="8.42578125" style="112"/>
    <col min="19" max="19" width="17.42578125" style="112" bestFit="1" customWidth="1"/>
    <col min="20" max="22" width="12.5703125" style="112" customWidth="1"/>
    <col min="23" max="23" width="8.42578125" style="112"/>
    <col min="24" max="25" width="10.42578125" style="112" bestFit="1" customWidth="1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46064</v>
      </c>
      <c r="O1" s="403">
        <f ca="1">TODAY()</f>
        <v>46064</v>
      </c>
      <c r="Q1" s="3"/>
    </row>
    <row r="2" spans="2:28">
      <c r="B2" s="177"/>
      <c r="C2" s="178" t="s">
        <v>0</v>
      </c>
      <c r="D2" s="179"/>
      <c r="E2" s="760" t="s">
        <v>169</v>
      </c>
      <c r="F2" s="761"/>
      <c r="G2" s="761"/>
      <c r="H2" s="762"/>
      <c r="N2" s="404">
        <v>0</v>
      </c>
      <c r="O2" s="404">
        <v>1</v>
      </c>
    </row>
    <row r="3" spans="2:28" s="112" customFormat="1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>
      <c r="B4" s="180"/>
      <c r="C4" s="181" t="s">
        <v>172</v>
      </c>
      <c r="D4" s="179"/>
      <c r="E4" s="763" t="s">
        <v>173</v>
      </c>
      <c r="F4" s="764"/>
      <c r="G4" s="764"/>
      <c r="H4" s="765"/>
      <c r="J4" s="634"/>
      <c r="K4" s="635"/>
      <c r="N4" s="121">
        <f>N3/5</f>
        <v>5.4</v>
      </c>
      <c r="O4" s="121" t="s">
        <v>174</v>
      </c>
      <c r="Q4" s="3"/>
    </row>
    <row r="5" spans="2:28" s="112" customFormat="1">
      <c r="B5" s="180"/>
      <c r="C5" s="181" t="s">
        <v>175</v>
      </c>
      <c r="D5" s="179"/>
      <c r="E5" s="763" t="s">
        <v>173</v>
      </c>
      <c r="F5" s="764"/>
      <c r="G5" s="764"/>
      <c r="H5" s="765"/>
      <c r="J5" s="113"/>
      <c r="N5" s="650">
        <f>E3/N4</f>
        <v>46.296296296296291</v>
      </c>
      <c r="O5" s="118" t="s">
        <v>176</v>
      </c>
      <c r="Q5" s="3"/>
    </row>
    <row r="6" spans="2:28">
      <c r="B6" s="185"/>
      <c r="C6" s="186" t="s">
        <v>177</v>
      </c>
      <c r="D6" s="179"/>
      <c r="E6" s="766">
        <v>2034295.7254315901</v>
      </c>
      <c r="F6" s="767"/>
      <c r="G6" s="767"/>
      <c r="H6" s="768"/>
      <c r="I6" s="732"/>
    </row>
    <row r="7" spans="2:28" s="112" customFormat="1">
      <c r="B7" s="168"/>
      <c r="C7" s="727" t="s">
        <v>178</v>
      </c>
      <c r="D7" s="726"/>
      <c r="E7" s="725" t="s">
        <v>179</v>
      </c>
      <c r="F7" s="169"/>
      <c r="G7" s="187"/>
      <c r="J7" s="113"/>
      <c r="Q7" s="3"/>
    </row>
    <row r="8" spans="2:28" ht="30" customHeight="1">
      <c r="B8" s="757" t="s">
        <v>180</v>
      </c>
      <c r="C8" s="758" t="s">
        <v>181</v>
      </c>
      <c r="D8" s="216"/>
      <c r="E8" s="759" t="s">
        <v>182</v>
      </c>
      <c r="F8" s="238" t="s">
        <v>183</v>
      </c>
      <c r="G8" s="759" t="s">
        <v>184</v>
      </c>
      <c r="H8" s="239"/>
      <c r="I8" s="759" t="s">
        <v>185</v>
      </c>
      <c r="J8" s="238" t="s">
        <v>183</v>
      </c>
      <c r="K8" s="759" t="s">
        <v>186</v>
      </c>
      <c r="M8" s="410" t="s">
        <v>102</v>
      </c>
      <c r="N8" s="410" t="s">
        <v>102</v>
      </c>
      <c r="O8" s="769" t="s">
        <v>187</v>
      </c>
      <c r="Z8" s="112"/>
      <c r="AA8" s="112"/>
      <c r="AB8" s="112"/>
    </row>
    <row r="9" spans="2:28">
      <c r="B9" s="757"/>
      <c r="C9" s="758"/>
      <c r="D9" s="216"/>
      <c r="E9" s="759"/>
      <c r="F9" s="126">
        <f>G41-E19</f>
        <v>34</v>
      </c>
      <c r="G9" s="759"/>
      <c r="H9" s="239"/>
      <c r="I9" s="759"/>
      <c r="J9" s="127">
        <f>K41-I19</f>
        <v>36</v>
      </c>
      <c r="K9" s="759"/>
      <c r="M9" s="363">
        <f>AVERAGE(M11,M18,M21,M28,M35,M39,M46,M43)</f>
        <v>0.9910714285714286</v>
      </c>
      <c r="N9" s="363">
        <f ca="1">AVERAGE(N11,N18,N21,N28,N35,N39,N46,N43)</f>
        <v>1</v>
      </c>
      <c r="O9" s="77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188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189</v>
      </c>
      <c r="C12" s="250" t="s">
        <v>190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191</v>
      </c>
      <c r="T12" s="652" t="s">
        <v>192</v>
      </c>
      <c r="U12" s="652" t="s">
        <v>193</v>
      </c>
      <c r="V12" s="652" t="s">
        <v>194</v>
      </c>
      <c r="X12" s="655">
        <f ca="1">TODAY()</f>
        <v>46064</v>
      </c>
      <c r="Y12" s="655">
        <f ca="1">TODAY()</f>
        <v>46064</v>
      </c>
    </row>
    <row r="13" spans="2:28" s="112" customFormat="1">
      <c r="B13" s="249" t="s">
        <v>195</v>
      </c>
      <c r="C13" s="250" t="s">
        <v>196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197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>
      <c r="B14" s="249" t="s">
        <v>198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>
      <c r="B18" s="245">
        <v>2</v>
      </c>
      <c r="C18" s="246" t="s">
        <v>203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>
      <c r="B19" s="249" t="s">
        <v>204</v>
      </c>
      <c r="C19" s="250" t="s">
        <v>205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>
      <c r="B21" s="245">
        <v>3</v>
      </c>
      <c r="C21" s="246" t="s">
        <v>206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9" t="s">
        <v>207</v>
      </c>
      <c r="C22" s="250" t="s">
        <v>208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209</v>
      </c>
      <c r="C23" s="250" t="s">
        <v>210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211</v>
      </c>
      <c r="C24" s="250" t="s">
        <v>212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213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214</v>
      </c>
      <c r="C26" s="250" t="s">
        <v>215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216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(J30*M30+J31*M31+J33*M33)/SUM(J30:J33)</f>
        <v>0.9285714285714286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217</v>
      </c>
      <c r="C30" s="250" t="s">
        <v>218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219</v>
      </c>
      <c r="C31" s="250" t="s">
        <v>220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221</v>
      </c>
      <c r="C32" s="250" t="s">
        <v>222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9" t="s">
        <v>223</v>
      </c>
      <c r="C33" s="244" t="s">
        <v>224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225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226</v>
      </c>
      <c r="C36" s="250" t="s">
        <v>227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228</v>
      </c>
      <c r="C37" s="250" t="s">
        <v>229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230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231</v>
      </c>
      <c r="C40" s="244" t="s">
        <v>230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232</v>
      </c>
      <c r="C41" s="244" t="s">
        <v>233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234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235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236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237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238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244" t="s">
        <v>239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>
      <c r="B49" s="249">
        <v>8.3000000000000007</v>
      </c>
      <c r="C49" s="244" t="s">
        <v>240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>
      <c r="B50" s="249">
        <v>8.4</v>
      </c>
      <c r="C50" s="244" t="s">
        <v>241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>
      <c r="B51" s="249">
        <v>8.5</v>
      </c>
      <c r="C51" s="244" t="s">
        <v>242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>
      <c r="B52" s="249">
        <v>8.6</v>
      </c>
      <c r="C52" s="244" t="s">
        <v>243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C8" zoomScale="90" zoomScaleNormal="90" workbookViewId="0">
      <selection activeCell="H24" sqref="H24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6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5.5703125" style="129" customWidth="1"/>
    <col min="18" max="18" width="112.42578125" style="129" bestFit="1" customWidth="1"/>
    <col min="19" max="19" width="4.42578125" style="129" customWidth="1"/>
    <col min="20" max="20" width="19.5703125" style="129" bestFit="1" customWidth="1"/>
    <col min="21" max="21" width="15.42578125" style="93" bestFit="1" customWidth="1"/>
    <col min="22" max="22" width="20.42578125" style="93" bestFit="1" customWidth="1"/>
    <col min="23" max="23" width="16.42578125" style="93" bestFit="1" customWidth="1"/>
    <col min="24" max="24" width="19.5703125" style="93" bestFit="1" customWidth="1"/>
    <col min="25" max="25" width="15.42578125" style="93" bestFit="1" customWidth="1"/>
    <col min="26" max="26" width="8.42578125" style="93"/>
    <col min="27" max="27" width="14.5703125" style="93" bestFit="1" customWidth="1"/>
    <col min="28" max="28" width="8.42578125" style="129"/>
    <col min="29" max="29" width="12.57031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15">
      <c r="B3" s="117"/>
      <c r="D3" s="125" t="s">
        <v>245</v>
      </c>
      <c r="F3" s="125" t="s">
        <v>246</v>
      </c>
      <c r="J3" s="142"/>
      <c r="L3" s="408" t="s">
        <v>247</v>
      </c>
      <c r="N3" s="408" t="s">
        <v>248</v>
      </c>
      <c r="S3" s="142"/>
      <c r="T3" s="678" t="s">
        <v>249</v>
      </c>
      <c r="U3" s="678" t="s">
        <v>250</v>
      </c>
      <c r="V3" s="678" t="s">
        <v>251</v>
      </c>
      <c r="W3" s="678" t="s">
        <v>252</v>
      </c>
      <c r="X3" s="678" t="s">
        <v>253</v>
      </c>
      <c r="Y3" s="678" t="s">
        <v>254</v>
      </c>
    </row>
    <row r="4" spans="1:41" s="93" customFormat="1" ht="13.15">
      <c r="B4" s="353">
        <v>1</v>
      </c>
      <c r="C4" s="354" t="s">
        <v>255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192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2004738.5744320878</v>
      </c>
      <c r="W4" s="679">
        <f>SUMIFS('Expenditure Breakdown'!$Q:$Q,
        'Expenditure Breakdown'!$T:$T, "&gt;"&amp;DATE(2025,8,31),
        'Expenditure Breakdown'!$T:$T, "&lt;="&amp;DATE(2026,8,31))</f>
        <v>1378410.1240000005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2034295.724432088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1378410.1240000005</v>
      </c>
    </row>
    <row r="5" spans="1:41" s="93" customFormat="1" ht="15" customHeight="1">
      <c r="B5" s="353">
        <v>2</v>
      </c>
      <c r="C5" s="354" t="s">
        <v>256</v>
      </c>
      <c r="D5" s="355">
        <f>+'Expenditure Tracking'!F5</f>
        <v>1676320.9560688739</v>
      </c>
      <c r="E5" s="356"/>
      <c r="F5" s="355">
        <f>+'Expenditure Tracking'!H5</f>
        <v>1378410.1240000001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257</v>
      </c>
      <c r="D6" s="355">
        <f>+D4-D5</f>
        <v>357974.76936271624</v>
      </c>
      <c r="E6" s="356"/>
      <c r="F6" s="355">
        <f>+F4-F5</f>
        <v>626328.45143159037</v>
      </c>
      <c r="H6" s="116"/>
      <c r="J6" s="142"/>
      <c r="L6" s="375"/>
      <c r="N6" s="375" t="s">
        <v>258</v>
      </c>
      <c r="S6" s="142"/>
    </row>
    <row r="7" spans="1:41" s="93" customFormat="1" ht="15" customHeight="1" thickBot="1">
      <c r="B7" s="353">
        <v>4</v>
      </c>
      <c r="C7" s="354" t="s">
        <v>259</v>
      </c>
      <c r="D7" s="357">
        <f>+D6/D4</f>
        <v>0.17596987738189804</v>
      </c>
      <c r="E7" s="356"/>
      <c r="F7" s="357">
        <f>+F6/F4</f>
        <v>0.31242400336250881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15">
      <c r="B10" s="128" t="s">
        <v>260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5">
      <c r="B12" s="132" t="s">
        <v>180</v>
      </c>
      <c r="C12" s="133" t="s">
        <v>261</v>
      </c>
      <c r="D12" s="134"/>
      <c r="E12" s="132" t="s">
        <v>262</v>
      </c>
      <c r="F12" s="132" t="s">
        <v>263</v>
      </c>
      <c r="H12" s="358" t="s">
        <v>264</v>
      </c>
      <c r="J12" s="142"/>
      <c r="L12" s="167" t="s">
        <v>265</v>
      </c>
      <c r="M12" s="135"/>
      <c r="N12" s="167" t="s">
        <v>266</v>
      </c>
      <c r="O12" s="129"/>
      <c r="P12" s="167" t="s">
        <v>267</v>
      </c>
      <c r="R12" s="378" t="s">
        <v>268</v>
      </c>
      <c r="S12" s="142"/>
    </row>
    <row r="13" spans="1:41" s="93" customFormat="1" ht="13.15">
      <c r="B13" s="353">
        <v>1</v>
      </c>
      <c r="C13" s="773" t="s">
        <v>269</v>
      </c>
      <c r="D13" s="774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270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3.15">
      <c r="B14" s="155">
        <v>2</v>
      </c>
      <c r="C14" s="773" t="s">
        <v>271</v>
      </c>
      <c r="D14" s="774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270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3.15">
      <c r="B15" s="353">
        <v>3</v>
      </c>
      <c r="C15" s="773" t="s">
        <v>272</v>
      </c>
      <c r="D15" s="774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270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3.15">
      <c r="B16" s="353">
        <v>4</v>
      </c>
      <c r="C16" s="771" t="s">
        <v>233</v>
      </c>
      <c r="D16" s="772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270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3.15">
      <c r="B17" s="353">
        <v>5</v>
      </c>
      <c r="C17" s="771" t="s">
        <v>54</v>
      </c>
      <c r="D17" s="772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270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3.15">
      <c r="B18" s="353">
        <v>6</v>
      </c>
      <c r="C18" s="771" t="s">
        <v>273</v>
      </c>
      <c r="D18" s="772"/>
      <c r="E18" s="136">
        <v>0</v>
      </c>
      <c r="F18" s="137">
        <v>-29557.15</v>
      </c>
      <c r="G18" s="356"/>
      <c r="H18" s="139"/>
      <c r="J18" s="142"/>
      <c r="L18" s="370" t="s">
        <v>274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3.15">
      <c r="B19" s="353">
        <v>7</v>
      </c>
      <c r="C19" s="773" t="s">
        <v>275</v>
      </c>
      <c r="D19" s="774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15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276</v>
      </c>
      <c r="C23" s="146" t="s">
        <v>277</v>
      </c>
      <c r="D23" s="146"/>
      <c r="F23" s="147"/>
      <c r="H23" s="116"/>
    </row>
    <row r="24" spans="2:19" s="93" customFormat="1" ht="13.15">
      <c r="C24" s="148" t="s">
        <v>278</v>
      </c>
      <c r="D24" s="149"/>
      <c r="F24" s="150"/>
      <c r="H24" s="845"/>
    </row>
    <row r="25" spans="2:19" s="93" customFormat="1" ht="13.15">
      <c r="C25" s="148" t="s">
        <v>279</v>
      </c>
      <c r="D25" s="149"/>
    </row>
    <row r="26" spans="2:19" s="93" customFormat="1" ht="13.15">
      <c r="C26" s="151" t="s">
        <v>280</v>
      </c>
      <c r="D26" s="152"/>
    </row>
    <row r="27" spans="2:19" s="93" customFormat="1" ht="13.15">
      <c r="C27" s="153" t="s">
        <v>281</v>
      </c>
      <c r="D27" s="149"/>
    </row>
    <row r="28" spans="2:19" s="93" customFormat="1" ht="13.15">
      <c r="B28" s="117"/>
      <c r="C28" s="153" t="s">
        <v>282</v>
      </c>
      <c r="D28" s="149"/>
    </row>
    <row r="29" spans="2:19" s="93" customFormat="1" ht="13.15">
      <c r="B29" s="117"/>
      <c r="C29" s="93" t="s">
        <v>283</v>
      </c>
    </row>
    <row r="30" spans="2:19" s="93" customFormat="1" ht="27.75" customHeight="1">
      <c r="B30" s="117"/>
      <c r="C30" s="154" t="s">
        <v>284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  <c r="L32" s="717"/>
    </row>
    <row r="33" spans="2:12" s="93" customFormat="1" ht="13.15">
      <c r="B33" s="117"/>
      <c r="F33" s="147"/>
      <c r="L33" s="717"/>
    </row>
    <row r="34" spans="2:12" s="93" customFormat="1" ht="13.15">
      <c r="B34" s="117"/>
      <c r="F34" s="147"/>
    </row>
    <row r="35" spans="2:12" s="93" customFormat="1" ht="13.15">
      <c r="B35" s="117"/>
    </row>
    <row r="36" spans="2:12" s="93" customFormat="1" ht="13.15">
      <c r="B36" s="117"/>
    </row>
    <row r="37" spans="2:12" s="93" customFormat="1" ht="13.15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180</v>
      </c>
      <c r="C40" s="133" t="s">
        <v>261</v>
      </c>
      <c r="D40" s="134"/>
      <c r="E40" s="132" t="s">
        <v>262</v>
      </c>
      <c r="F40" s="132" t="s">
        <v>263</v>
      </c>
    </row>
    <row r="41" spans="2:12" s="93" customFormat="1" ht="12.75" hidden="1" customHeight="1">
      <c r="B41" s="155">
        <v>1</v>
      </c>
      <c r="C41" s="156" t="s">
        <v>285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271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272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286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287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288</v>
      </c>
      <c r="F2" s="83" t="s">
        <v>289</v>
      </c>
    </row>
    <row r="3" spans="3:8">
      <c r="C3" s="79">
        <v>45658</v>
      </c>
      <c r="D3" s="73" t="s">
        <v>290</v>
      </c>
      <c r="F3" s="81" t="s">
        <v>291</v>
      </c>
    </row>
    <row r="4" spans="3:8">
      <c r="C4" s="79">
        <v>45737</v>
      </c>
      <c r="D4" s="73" t="s">
        <v>292</v>
      </c>
      <c r="F4" s="81" t="s">
        <v>293</v>
      </c>
    </row>
    <row r="5" spans="3:8">
      <c r="C5" s="79">
        <v>45765</v>
      </c>
      <c r="D5" s="73" t="s">
        <v>294</v>
      </c>
      <c r="F5" s="81" t="s">
        <v>295</v>
      </c>
    </row>
    <row r="6" spans="3:8" ht="13.9" thickBot="1">
      <c r="C6" s="79">
        <v>45768</v>
      </c>
      <c r="D6" s="73" t="s">
        <v>296</v>
      </c>
      <c r="F6" s="82" t="s">
        <v>297</v>
      </c>
    </row>
    <row r="7" spans="3:8">
      <c r="C7" s="79">
        <v>45774</v>
      </c>
      <c r="D7" s="73" t="s">
        <v>298</v>
      </c>
    </row>
    <row r="8" spans="3:8">
      <c r="C8" s="79">
        <v>45765</v>
      </c>
      <c r="D8" s="73" t="s">
        <v>299</v>
      </c>
    </row>
    <row r="9" spans="3:8">
      <c r="C9" s="79">
        <v>45778</v>
      </c>
      <c r="D9" s="73" t="s">
        <v>300</v>
      </c>
    </row>
    <row r="10" spans="3:8">
      <c r="C10" s="79">
        <v>45824</v>
      </c>
      <c r="D10" s="73" t="s">
        <v>301</v>
      </c>
    </row>
    <row r="11" spans="3:8">
      <c r="C11" s="79">
        <v>45878</v>
      </c>
      <c r="D11" s="73" t="s">
        <v>302</v>
      </c>
    </row>
    <row r="12" spans="3:8">
      <c r="C12" s="79">
        <v>45924</v>
      </c>
      <c r="D12" s="73" t="s">
        <v>303</v>
      </c>
    </row>
    <row r="13" spans="3:8">
      <c r="C13" s="79">
        <v>46007</v>
      </c>
      <c r="D13" s="73" t="s">
        <v>304</v>
      </c>
      <c r="F13" s="85"/>
      <c r="H13" s="73" t="s">
        <v>305</v>
      </c>
    </row>
    <row r="14" spans="3:8">
      <c r="C14" s="79">
        <v>46016</v>
      </c>
      <c r="D14" s="73" t="s">
        <v>306</v>
      </c>
    </row>
    <row r="15" spans="3:8" ht="13.9" thickBot="1">
      <c r="C15" s="80">
        <v>46017</v>
      </c>
      <c r="D15" s="73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pane="bottomLeft" activeCell="B17" sqref="B17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5703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75"/>
      <c r="C4" s="775"/>
      <c r="D4" s="775"/>
      <c r="E4" s="412"/>
      <c r="F4" s="221" t="s">
        <v>245</v>
      </c>
      <c r="G4" s="216"/>
      <c r="H4" s="221" t="s">
        <v>246</v>
      </c>
      <c r="I4" s="216"/>
      <c r="J4" s="222" t="s">
        <v>309</v>
      </c>
      <c r="K4" s="112"/>
      <c r="L4" s="112"/>
    </row>
    <row r="5" spans="1:12" ht="14.45" thickBot="1">
      <c r="A5" s="216"/>
      <c r="B5" s="776" t="s">
        <v>310</v>
      </c>
      <c r="C5" s="776"/>
      <c r="D5" s="776"/>
      <c r="E5" s="412"/>
      <c r="F5" s="223">
        <f>SUM(F9:F23)</f>
        <v>1676320.9560688739</v>
      </c>
      <c r="G5" s="218"/>
      <c r="H5" s="223">
        <f>SUM(H9:H23)</f>
        <v>1378410.1240000001</v>
      </c>
      <c r="I5" s="216"/>
      <c r="J5" s="224">
        <f>SUM(J9:J23)</f>
        <v>297910.83206887409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180</v>
      </c>
      <c r="C7" s="227"/>
      <c r="D7" s="226" t="s">
        <v>146</v>
      </c>
      <c r="E7" s="227"/>
      <c r="F7" s="228" t="s">
        <v>311</v>
      </c>
      <c r="G7" s="229"/>
      <c r="H7" s="228" t="s">
        <v>312</v>
      </c>
      <c r="I7" s="229"/>
      <c r="J7" s="228" t="s">
        <v>313</v>
      </c>
      <c r="K7" s="173"/>
      <c r="L7" s="115" t="s">
        <v>314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2023.1599999999999</v>
      </c>
      <c r="I22" s="89"/>
      <c r="J22" s="233">
        <f t="shared" si="0"/>
        <v>2351.84</v>
      </c>
      <c r="K22" s="174"/>
      <c r="L22" s="256"/>
    </row>
    <row r="23" spans="1:12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abSelected="1" topLeftCell="M1" zoomScale="85" zoomScaleNormal="85" workbookViewId="0">
      <pane ySplit="4" topLeftCell="N33" activePane="bottomLeft" state="frozen"/>
      <selection pane="bottomLeft" activeCell="R34" sqref="R34:R43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2" hidden="1" customWidth="1"/>
    <col min="7" max="8" width="17.42578125" style="24" hidden="1" customWidth="1"/>
    <col min="9" max="9" width="22.42578125" style="351" hidden="1" customWidth="1"/>
    <col min="10" max="10" width="22.42578125" style="35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5.42578125" style="112" customWidth="1"/>
    <col min="16" max="17" width="17.42578125" style="112" customWidth="1"/>
    <col min="18" max="18" width="39.42578125" style="112" bestFit="1" customWidth="1"/>
    <col min="19" max="19" width="25.42578125" style="112" customWidth="1"/>
    <col min="20" max="21" width="17.42578125" style="536" customWidth="1"/>
    <col min="22" max="22" width="17.42578125" style="112" customWidth="1"/>
    <col min="23" max="23" width="17.42578125" style="536" customWidth="1"/>
    <col min="24" max="24" width="21.5703125" style="112" customWidth="1"/>
    <col min="25" max="25" width="35.5703125" style="112" customWidth="1"/>
    <col min="26" max="26" width="18" style="112" bestFit="1" customWidth="1"/>
    <col min="27" max="27" width="23.5703125" style="112" customWidth="1"/>
    <col min="28" max="28" width="24.42578125" style="112" hidden="1" customWidth="1"/>
    <col min="29" max="29" width="29.5703125" style="112" hidden="1" customWidth="1"/>
    <col min="30" max="30" width="17.42578125" style="112" hidden="1" customWidth="1"/>
    <col min="31" max="31" width="12.5703125" style="112" customWidth="1"/>
    <col min="32" max="32" width="23.5703125" style="112" customWidth="1"/>
    <col min="33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777" t="s">
        <v>316</v>
      </c>
      <c r="C2" s="778"/>
      <c r="D2" s="778"/>
      <c r="E2" s="778"/>
      <c r="F2" s="778"/>
      <c r="G2" s="778"/>
      <c r="H2" s="501"/>
      <c r="I2" s="259">
        <f>SUM(I6:I171)</f>
        <v>1676320.9560688739</v>
      </c>
      <c r="J2" s="259">
        <f>SUM(J6:J171)</f>
        <v>2034295.725431588</v>
      </c>
      <c r="L2" s="779" t="s">
        <v>317</v>
      </c>
      <c r="M2" s="780"/>
      <c r="N2" s="780"/>
      <c r="O2" s="780"/>
      <c r="P2" s="780"/>
      <c r="Q2" s="780"/>
      <c r="R2" s="784" t="s">
        <v>318</v>
      </c>
      <c r="S2" s="785"/>
      <c r="T2" s="785"/>
      <c r="U2" s="785"/>
      <c r="V2" s="785"/>
      <c r="W2" s="786"/>
      <c r="X2" s="476">
        <f>SUM(X6:X171)</f>
        <v>1378410.1240000001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" thickBot="1">
      <c r="A4" s="166"/>
      <c r="B4" s="260" t="s">
        <v>319</v>
      </c>
      <c r="C4" s="261" t="s">
        <v>320</v>
      </c>
      <c r="D4" s="261" t="s">
        <v>321</v>
      </c>
      <c r="E4" s="261" t="s">
        <v>322</v>
      </c>
      <c r="F4" s="463" t="s">
        <v>323</v>
      </c>
      <c r="G4" s="262" t="s">
        <v>324</v>
      </c>
      <c r="H4" s="658" t="s">
        <v>325</v>
      </c>
      <c r="I4" s="263" t="s">
        <v>326</v>
      </c>
      <c r="J4" s="263" t="str">
        <f>IF(J2-'Revenue Tracking'!D4&gt;=0, "Total Revenue", "ERROR on REV" )</f>
        <v>ERROR on REV</v>
      </c>
      <c r="K4" s="166"/>
      <c r="L4" s="260" t="s">
        <v>319</v>
      </c>
      <c r="M4" s="261" t="s">
        <v>327</v>
      </c>
      <c r="N4" s="261" t="s">
        <v>321</v>
      </c>
      <c r="O4" s="261" t="s">
        <v>322</v>
      </c>
      <c r="P4" s="463" t="s">
        <v>323</v>
      </c>
      <c r="Q4" s="373" t="s">
        <v>328</v>
      </c>
      <c r="R4" s="607" t="s">
        <v>329</v>
      </c>
      <c r="S4" s="608" t="s">
        <v>265</v>
      </c>
      <c r="T4" s="632" t="s">
        <v>266</v>
      </c>
      <c r="U4" s="633" t="s">
        <v>330</v>
      </c>
      <c r="V4" s="373" t="s">
        <v>331</v>
      </c>
      <c r="W4" s="632" t="s">
        <v>332</v>
      </c>
      <c r="X4" s="478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333</v>
      </c>
      <c r="D6" s="283" t="s">
        <v>334</v>
      </c>
      <c r="E6" s="284"/>
      <c r="F6" s="436"/>
      <c r="G6" s="390">
        <f>D172</f>
        <v>568406.77500000002</v>
      </c>
      <c r="H6" s="557">
        <v>46010</v>
      </c>
      <c r="I6" s="781">
        <f>SUM(G6:G12)</f>
        <v>568406.77500000002</v>
      </c>
      <c r="J6" s="781">
        <f>F172</f>
        <v>710508.46875</v>
      </c>
      <c r="K6" s="388"/>
      <c r="L6" s="282">
        <v>1</v>
      </c>
      <c r="M6" s="416" t="s">
        <v>335</v>
      </c>
      <c r="N6" s="283" t="s">
        <v>336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337</v>
      </c>
      <c r="T6" s="684">
        <v>45961</v>
      </c>
      <c r="U6" s="695">
        <v>695754.35911778454</v>
      </c>
      <c r="V6" s="787">
        <f>J6-SUM(U6:U12)</f>
        <v>29557.150000000023</v>
      </c>
      <c r="W6" s="721">
        <v>46009</v>
      </c>
      <c r="X6" s="799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82"/>
      <c r="J7" s="782"/>
      <c r="K7" s="289"/>
      <c r="L7" s="312">
        <v>1</v>
      </c>
      <c r="M7" s="314" t="s">
        <v>335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88"/>
      <c r="W7" s="558"/>
      <c r="X7" s="800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82"/>
      <c r="J8" s="782"/>
      <c r="K8" s="289"/>
      <c r="L8" s="312">
        <v>1</v>
      </c>
      <c r="M8" s="314" t="s">
        <v>335</v>
      </c>
      <c r="N8" s="484" t="s">
        <v>338</v>
      </c>
      <c r="O8" s="539"/>
      <c r="P8" s="443"/>
      <c r="Q8" s="316">
        <v>9811.66</v>
      </c>
      <c r="R8" s="574"/>
      <c r="S8" s="611" t="s">
        <v>337</v>
      </c>
      <c r="T8" s="684">
        <v>45961</v>
      </c>
      <c r="U8" s="695">
        <v>14754.109632215444</v>
      </c>
      <c r="V8" s="788"/>
      <c r="W8" s="722">
        <f>W6</f>
        <v>46009</v>
      </c>
      <c r="X8" s="800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82"/>
      <c r="J9" s="782"/>
      <c r="K9" s="289"/>
      <c r="L9" s="312">
        <v>1</v>
      </c>
      <c r="M9" s="314" t="s">
        <v>335</v>
      </c>
      <c r="N9" s="484" t="s">
        <v>339</v>
      </c>
      <c r="O9" s="539">
        <v>-20</v>
      </c>
      <c r="P9" s="443">
        <v>1128.95</v>
      </c>
      <c r="Q9" s="386">
        <f>O9*P9</f>
        <v>-22579</v>
      </c>
      <c r="R9" s="575"/>
      <c r="S9" s="718" t="s">
        <v>340</v>
      </c>
      <c r="T9" s="715">
        <v>45991</v>
      </c>
      <c r="U9" s="695">
        <v>0</v>
      </c>
      <c r="V9" s="788"/>
      <c r="W9" s="719">
        <v>45991</v>
      </c>
      <c r="X9" s="800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82"/>
      <c r="J10" s="782"/>
      <c r="K10" s="289"/>
      <c r="L10" s="312">
        <v>1</v>
      </c>
      <c r="M10" s="314" t="s">
        <v>335</v>
      </c>
      <c r="N10" s="484" t="s">
        <v>341</v>
      </c>
      <c r="O10" s="714"/>
      <c r="P10" s="443"/>
      <c r="Q10" s="386">
        <v>10463.879999999999</v>
      </c>
      <c r="R10" s="575"/>
      <c r="S10" s="612" t="s">
        <v>342</v>
      </c>
      <c r="T10" s="715">
        <v>45991</v>
      </c>
      <c r="U10" s="695">
        <v>0</v>
      </c>
      <c r="V10" s="788"/>
      <c r="W10" s="719">
        <v>46009</v>
      </c>
      <c r="X10" s="800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82"/>
      <c r="J11" s="782"/>
      <c r="K11" s="289"/>
      <c r="L11" s="312">
        <v>1</v>
      </c>
      <c r="M11" s="314" t="s">
        <v>335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88"/>
      <c r="W11" s="719"/>
      <c r="X11" s="800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83"/>
      <c r="J12" s="783"/>
      <c r="K12" s="290"/>
      <c r="L12" s="317">
        <v>1</v>
      </c>
      <c r="M12" s="418" t="s">
        <v>335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89"/>
      <c r="W12" s="560"/>
      <c r="X12" s="801"/>
      <c r="Y12" s="591" t="s">
        <v>343</v>
      </c>
      <c r="Z12" s="592" t="s">
        <v>344</v>
      </c>
    </row>
    <row r="13" spans="1:76" ht="14.45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345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346</v>
      </c>
      <c r="E14" s="366"/>
      <c r="F14" s="455"/>
      <c r="G14" s="297">
        <f>D173</f>
        <v>140000</v>
      </c>
      <c r="H14" s="562">
        <v>46011</v>
      </c>
      <c r="I14" s="790">
        <f>SUM(G14:G20)</f>
        <v>140000</v>
      </c>
      <c r="J14" s="790">
        <f>F173</f>
        <v>175000</v>
      </c>
      <c r="K14" s="298"/>
      <c r="L14" s="294">
        <v>2</v>
      </c>
      <c r="M14" s="419" t="s">
        <v>347</v>
      </c>
      <c r="N14" s="320" t="s">
        <v>348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337</v>
      </c>
      <c r="T14" s="685">
        <v>45961</v>
      </c>
      <c r="U14" s="696">
        <v>175000</v>
      </c>
      <c r="V14" s="796">
        <f>J14-SUM(U14:U20)</f>
        <v>0</v>
      </c>
      <c r="W14" s="699">
        <f>W6</f>
        <v>46009</v>
      </c>
      <c r="X14" s="793">
        <f>SUM(Q14:Q20)</f>
        <v>130492</v>
      </c>
      <c r="Y14" s="593" t="s">
        <v>349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791"/>
      <c r="J15" s="791"/>
      <c r="K15" s="302"/>
      <c r="L15" s="299">
        <v>2</v>
      </c>
      <c r="M15" s="425" t="s">
        <v>347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797"/>
      <c r="W15" s="639"/>
      <c r="X15" s="794"/>
      <c r="Y15" s="593" t="s">
        <v>350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791"/>
      <c r="J16" s="791"/>
      <c r="K16" s="302"/>
      <c r="L16" s="299">
        <v>2</v>
      </c>
      <c r="M16" s="425" t="s">
        <v>347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797"/>
      <c r="W16" s="563"/>
      <c r="X16" s="794"/>
      <c r="Y16" s="593" t="s">
        <v>351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791"/>
      <c r="J17" s="791"/>
      <c r="K17" s="302"/>
      <c r="L17" s="299">
        <v>2</v>
      </c>
      <c r="M17" s="425" t="s">
        <v>347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797"/>
      <c r="W17" s="563"/>
      <c r="X17" s="794"/>
      <c r="Y17" s="593" t="s">
        <v>352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791"/>
      <c r="J18" s="791"/>
      <c r="K18" s="302"/>
      <c r="L18" s="299">
        <v>2</v>
      </c>
      <c r="M18" s="425" t="s">
        <v>347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797"/>
      <c r="W18" s="563"/>
      <c r="X18" s="794"/>
      <c r="Y18" s="593" t="s">
        <v>353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791"/>
      <c r="J19" s="791"/>
      <c r="K19" s="302"/>
      <c r="L19" s="299">
        <v>2</v>
      </c>
      <c r="M19" s="425" t="s">
        <v>347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797"/>
      <c r="W19" s="563"/>
      <c r="X19" s="794"/>
      <c r="Y19" s="593" t="s">
        <v>354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792"/>
      <c r="J20" s="792"/>
      <c r="K20" s="307"/>
      <c r="L20" s="394">
        <v>2</v>
      </c>
      <c r="M20" s="420" t="s">
        <v>347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798"/>
      <c r="W20" s="564"/>
      <c r="X20" s="795"/>
      <c r="Y20" s="593" t="s">
        <v>355</v>
      </c>
      <c r="Z20" s="594">
        <v>0</v>
      </c>
      <c r="AA20" s="640"/>
    </row>
    <row r="21" spans="1:30" ht="14.45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356</v>
      </c>
      <c r="D22" s="328" t="s">
        <v>357</v>
      </c>
      <c r="E22" s="284"/>
      <c r="F22" s="436"/>
      <c r="G22" s="285">
        <f>D174</f>
        <v>100040</v>
      </c>
      <c r="H22" s="565">
        <v>45980</v>
      </c>
      <c r="I22" s="781">
        <f>SUM(G22:G28)</f>
        <v>100040</v>
      </c>
      <c r="J22" s="781">
        <f>F174</f>
        <v>125050</v>
      </c>
      <c r="K22" s="286"/>
      <c r="L22" s="282">
        <v>3</v>
      </c>
      <c r="M22" s="421" t="s">
        <v>358</v>
      </c>
      <c r="N22" s="328" t="s">
        <v>359</v>
      </c>
      <c r="O22" s="537"/>
      <c r="P22" s="436"/>
      <c r="Q22" s="285">
        <v>47705</v>
      </c>
      <c r="R22" s="581" t="s">
        <v>360</v>
      </c>
      <c r="S22" s="618" t="s">
        <v>361</v>
      </c>
      <c r="T22" s="686">
        <v>45991</v>
      </c>
      <c r="U22" s="695">
        <v>101943.16705970812</v>
      </c>
      <c r="V22" s="787">
        <f>J22-SUM(U22:U28)</f>
        <v>0</v>
      </c>
      <c r="W22" s="723">
        <f>T22+30</f>
        <v>46021</v>
      </c>
      <c r="X22" s="799">
        <f>SUM(Q22:Q28)</f>
        <v>58518</v>
      </c>
      <c r="Y22" s="593" t="s">
        <v>362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82"/>
      <c r="J23" s="782"/>
      <c r="K23" s="289"/>
      <c r="L23" s="312">
        <v>3</v>
      </c>
      <c r="M23" s="422" t="s">
        <v>358</v>
      </c>
      <c r="N23" s="329" t="s">
        <v>363</v>
      </c>
      <c r="O23" s="538"/>
      <c r="P23" s="457"/>
      <c r="Q23" s="316">
        <f>8654+2159</f>
        <v>10813</v>
      </c>
      <c r="R23" s="574" t="s">
        <v>364</v>
      </c>
      <c r="S23" s="611" t="s">
        <v>365</v>
      </c>
      <c r="T23" s="684">
        <v>45991</v>
      </c>
      <c r="U23" s="695">
        <v>23106.832940291875</v>
      </c>
      <c r="V23" s="788"/>
      <c r="W23" s="722">
        <f>T23+30</f>
        <v>46021</v>
      </c>
      <c r="X23" s="800"/>
      <c r="Y23" s="593" t="s">
        <v>287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82"/>
      <c r="J24" s="782"/>
      <c r="K24" s="289"/>
      <c r="L24" s="312">
        <v>3</v>
      </c>
      <c r="M24" s="422" t="s">
        <v>358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88"/>
      <c r="W24" s="558"/>
      <c r="X24" s="800"/>
      <c r="Y24" s="593" t="s">
        <v>366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82"/>
      <c r="J25" s="782"/>
      <c r="K25" s="289"/>
      <c r="L25" s="312">
        <v>3</v>
      </c>
      <c r="M25" s="422" t="s">
        <v>358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88"/>
      <c r="W25" s="559"/>
      <c r="X25" s="800"/>
      <c r="Y25" s="598" t="s">
        <v>367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82"/>
      <c r="J26" s="782"/>
      <c r="K26" s="289"/>
      <c r="L26" s="312">
        <v>3</v>
      </c>
      <c r="M26" s="422" t="s">
        <v>358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88"/>
      <c r="W26" s="559"/>
      <c r="X26" s="800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82"/>
      <c r="J27" s="782"/>
      <c r="K27" s="289"/>
      <c r="L27" s="312">
        <v>3</v>
      </c>
      <c r="M27" s="422" t="s">
        <v>358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88"/>
      <c r="W27" s="559"/>
      <c r="X27" s="800"/>
      <c r="Y27" s="114" t="s">
        <v>368</v>
      </c>
      <c r="AB27" s="114" t="s">
        <v>369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83"/>
      <c r="J28" s="783"/>
      <c r="K28" s="290"/>
      <c r="L28" s="317">
        <v>3</v>
      </c>
      <c r="M28" s="423" t="s">
        <v>358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89"/>
      <c r="W28" s="560"/>
      <c r="X28" s="801"/>
      <c r="Y28" s="599" t="s">
        <v>246</v>
      </c>
      <c r="Z28" s="600" t="s">
        <v>370</v>
      </c>
      <c r="AB28" s="599" t="s">
        <v>246</v>
      </c>
      <c r="AC28" s="600" t="s">
        <v>370</v>
      </c>
    </row>
    <row r="29" spans="1:30" ht="14.45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345</v>
      </c>
      <c r="AC29" s="602">
        <v>57950</v>
      </c>
    </row>
    <row r="30" spans="1:30" ht="14.25" customHeight="1">
      <c r="B30" s="294">
        <v>4</v>
      </c>
      <c r="C30" s="295" t="s">
        <v>349</v>
      </c>
      <c r="D30" s="295" t="s">
        <v>371</v>
      </c>
      <c r="E30" s="366">
        <f>G30/14*1.15</f>
        <v>6008.7499999999991</v>
      </c>
      <c r="F30" s="455"/>
      <c r="G30" s="297">
        <v>73150</v>
      </c>
      <c r="H30" s="562">
        <v>46011</v>
      </c>
      <c r="I30" s="790">
        <f>SUM(G30:G46)</f>
        <v>196743.5</v>
      </c>
      <c r="J30" s="790">
        <f>F175</f>
        <v>245929.375</v>
      </c>
      <c r="K30" s="298"/>
      <c r="L30" s="294">
        <v>4</v>
      </c>
      <c r="M30" s="424" t="s">
        <v>372</v>
      </c>
      <c r="N30" s="698" t="s">
        <v>373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374</v>
      </c>
      <c r="T30" s="691">
        <v>45961</v>
      </c>
      <c r="U30" s="696">
        <v>75830.447381944847</v>
      </c>
      <c r="V30" s="796">
        <f>J30-SUM(U30:U46)</f>
        <v>3.2408590486738831E-3</v>
      </c>
      <c r="W30" s="699">
        <v>45961</v>
      </c>
      <c r="X30" s="793">
        <f>SUM(Q30:Q46)</f>
        <v>87564.99</v>
      </c>
      <c r="Y30" s="601" t="str">
        <f>Y14</f>
        <v>DC Equipment</v>
      </c>
      <c r="Z30" s="602">
        <v>33565</v>
      </c>
      <c r="AB30" s="601" t="s">
        <v>349</v>
      </c>
      <c r="AC30" s="602">
        <v>78834.25</v>
      </c>
    </row>
    <row r="31" spans="1:30" ht="14.25" customHeight="1">
      <c r="B31" s="321">
        <v>4</v>
      </c>
      <c r="C31" s="407"/>
      <c r="D31" s="407" t="s">
        <v>375</v>
      </c>
      <c r="E31" s="393"/>
      <c r="F31" s="451"/>
      <c r="G31" s="627">
        <f>D175-G30</f>
        <v>123593.5</v>
      </c>
      <c r="H31" s="563">
        <f>H30</f>
        <v>46011</v>
      </c>
      <c r="I31" s="791"/>
      <c r="J31" s="791"/>
      <c r="K31" s="302"/>
      <c r="L31" s="299">
        <v>4</v>
      </c>
      <c r="M31" s="425" t="s">
        <v>372</v>
      </c>
      <c r="N31" s="407" t="s">
        <v>376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374</v>
      </c>
      <c r="T31" s="677">
        <v>45961</v>
      </c>
      <c r="U31" s="696">
        <v>75830.447381944847</v>
      </c>
      <c r="V31" s="797"/>
      <c r="W31" s="700">
        <v>45961</v>
      </c>
      <c r="X31" s="794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350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791"/>
      <c r="J32" s="791"/>
      <c r="K32" s="302"/>
      <c r="L32" s="299">
        <v>4</v>
      </c>
      <c r="M32" s="425" t="s">
        <v>372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797"/>
      <c r="W32" s="563"/>
      <c r="X32" s="794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351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791"/>
      <c r="J33" s="791"/>
      <c r="K33" s="302"/>
      <c r="L33" s="299">
        <v>4</v>
      </c>
      <c r="M33" s="425" t="s">
        <v>372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797"/>
      <c r="W33" s="563"/>
      <c r="X33" s="794"/>
      <c r="Y33" s="601" t="s">
        <v>352</v>
      </c>
      <c r="Z33" s="602">
        <v>11410</v>
      </c>
      <c r="AB33" s="601" t="s">
        <v>377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791"/>
      <c r="J34" s="791"/>
      <c r="K34" s="302"/>
      <c r="L34" s="299">
        <v>4</v>
      </c>
      <c r="M34" s="425" t="s">
        <v>372</v>
      </c>
      <c r="N34" s="407" t="s">
        <v>378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802" t="s">
        <v>379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797"/>
      <c r="W34" s="705">
        <f>W98</f>
        <v>45967</v>
      </c>
      <c r="X34" s="794"/>
      <c r="Y34" s="601" t="s">
        <v>380</v>
      </c>
      <c r="Z34" s="602">
        <v>23643</v>
      </c>
      <c r="AB34" s="601" t="s">
        <v>380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791"/>
      <c r="J35" s="791"/>
      <c r="K35" s="302"/>
      <c r="L35" s="299">
        <v>4</v>
      </c>
      <c r="M35" s="425" t="s">
        <v>372</v>
      </c>
      <c r="N35" s="407" t="s">
        <v>203</v>
      </c>
      <c r="O35" s="542"/>
      <c r="P35" s="552">
        <v>0.15</v>
      </c>
      <c r="Q35" s="301">
        <f t="shared" si="5"/>
        <v>5034.75</v>
      </c>
      <c r="R35" s="803"/>
      <c r="S35" s="616" t="s">
        <v>381</v>
      </c>
      <c r="T35" s="707">
        <f t="shared" ref="T35:T36" si="6">T99</f>
        <v>45991</v>
      </c>
      <c r="U35" s="696">
        <v>14140.272035416547</v>
      </c>
      <c r="V35" s="797"/>
      <c r="W35" s="705">
        <f t="shared" ref="W35:W36" si="7">W99</f>
        <v>45989</v>
      </c>
      <c r="X35" s="794"/>
      <c r="Y35" s="601" t="s">
        <v>354</v>
      </c>
      <c r="Z35" s="602">
        <v>17963.5</v>
      </c>
      <c r="AB35" s="601" t="s">
        <v>382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791"/>
      <c r="J36" s="791"/>
      <c r="K36" s="302"/>
      <c r="L36" s="299">
        <v>4</v>
      </c>
      <c r="M36" s="425" t="s">
        <v>372</v>
      </c>
      <c r="N36" s="407" t="s">
        <v>383</v>
      </c>
      <c r="O36" s="542"/>
      <c r="P36" s="552">
        <v>0.1</v>
      </c>
      <c r="Q36" s="301">
        <f t="shared" si="5"/>
        <v>3356.5</v>
      </c>
      <c r="R36" s="803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797"/>
      <c r="W36" s="705">
        <f t="shared" si="7"/>
        <v>45989</v>
      </c>
      <c r="X36" s="794"/>
      <c r="Y36" s="601" t="s">
        <v>384</v>
      </c>
      <c r="Z36" s="602">
        <v>0</v>
      </c>
      <c r="AB36" s="601" t="s">
        <v>385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791"/>
      <c r="J37" s="791"/>
      <c r="K37" s="302"/>
      <c r="L37" s="299">
        <v>4</v>
      </c>
      <c r="M37" s="425" t="s">
        <v>372</v>
      </c>
      <c r="N37" s="407" t="s">
        <v>383</v>
      </c>
      <c r="O37" s="542"/>
      <c r="P37" s="552">
        <v>0.1</v>
      </c>
      <c r="Q37" s="301">
        <f t="shared" si="5"/>
        <v>3356.5</v>
      </c>
      <c r="R37" s="803"/>
      <c r="S37" s="616" t="s">
        <v>386</v>
      </c>
      <c r="T37" s="707">
        <f t="shared" ref="T37:T43" si="8">T101</f>
        <v>46053</v>
      </c>
      <c r="U37" s="696">
        <v>9426.8691001654879</v>
      </c>
      <c r="V37" s="797"/>
      <c r="W37" s="705">
        <v>46051</v>
      </c>
      <c r="X37" s="794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791"/>
      <c r="J38" s="791"/>
      <c r="K38" s="302"/>
      <c r="L38" s="299">
        <v>4</v>
      </c>
      <c r="M38" s="425" t="s">
        <v>372</v>
      </c>
      <c r="N38" s="407" t="s">
        <v>387</v>
      </c>
      <c r="O38" s="542"/>
      <c r="P38" s="552">
        <v>0.2</v>
      </c>
      <c r="Q38" s="301">
        <f t="shared" si="5"/>
        <v>6713</v>
      </c>
      <c r="R38" s="803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797"/>
      <c r="W38" s="700">
        <v>45989</v>
      </c>
      <c r="X38" s="794"/>
      <c r="Y38" s="601" t="s">
        <v>388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791"/>
      <c r="J39" s="791"/>
      <c r="K39" s="302"/>
      <c r="L39" s="299">
        <v>4</v>
      </c>
      <c r="M39" s="425" t="s">
        <v>372</v>
      </c>
      <c r="N39" s="407" t="s">
        <v>387</v>
      </c>
      <c r="O39" s="542"/>
      <c r="P39" s="552">
        <v>0.05</v>
      </c>
      <c r="Q39" s="301">
        <f t="shared" si="5"/>
        <v>1678.25</v>
      </c>
      <c r="R39" s="803"/>
      <c r="S39" s="616" t="s">
        <v>386</v>
      </c>
      <c r="T39" s="707">
        <f t="shared" si="8"/>
        <v>46053</v>
      </c>
      <c r="U39" s="696">
        <v>4713.4245500827437</v>
      </c>
      <c r="V39" s="797"/>
      <c r="W39" s="705">
        <v>46051</v>
      </c>
      <c r="X39" s="794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791"/>
      <c r="J40" s="791"/>
      <c r="K40" s="302"/>
      <c r="L40" s="299">
        <v>4</v>
      </c>
      <c r="M40" s="425" t="s">
        <v>372</v>
      </c>
      <c r="N40" s="407" t="s">
        <v>389</v>
      </c>
      <c r="O40" s="542"/>
      <c r="P40" s="552">
        <v>0.1</v>
      </c>
      <c r="Q40" s="301">
        <f t="shared" si="5"/>
        <v>3356.5</v>
      </c>
      <c r="R40" s="803"/>
      <c r="S40" s="616" t="s">
        <v>386</v>
      </c>
      <c r="T40" s="707">
        <f t="shared" si="8"/>
        <v>46053</v>
      </c>
      <c r="U40" s="696">
        <v>9426.8491001654875</v>
      </c>
      <c r="V40" s="797"/>
      <c r="W40" s="705">
        <v>46051</v>
      </c>
      <c r="X40" s="794"/>
      <c r="Y40" s="601" t="s">
        <v>390</v>
      </c>
      <c r="Z40" s="602">
        <v>12929.5</v>
      </c>
      <c r="AB40" s="601" t="s">
        <v>362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791"/>
      <c r="J41" s="791"/>
      <c r="K41" s="302"/>
      <c r="L41" s="299">
        <v>4</v>
      </c>
      <c r="M41" s="425" t="s">
        <v>372</v>
      </c>
      <c r="N41" s="407" t="s">
        <v>391</v>
      </c>
      <c r="O41" s="542"/>
      <c r="P41" s="552">
        <v>0.1</v>
      </c>
      <c r="Q41" s="301">
        <f t="shared" si="5"/>
        <v>3356.5</v>
      </c>
      <c r="R41" s="803"/>
      <c r="S41" s="616" t="str">
        <f>S105</f>
        <v>JA Electrical INV 1154</v>
      </c>
      <c r="T41" s="707">
        <f t="shared" si="8"/>
        <v>46053</v>
      </c>
      <c r="U41" s="696">
        <v>9426.8491001654875</v>
      </c>
      <c r="V41" s="797"/>
      <c r="W41" s="705">
        <f>W105</f>
        <v>46058</v>
      </c>
      <c r="X41" s="794"/>
      <c r="Y41" s="601" t="s">
        <v>362</v>
      </c>
      <c r="Z41" s="603">
        <v>0</v>
      </c>
      <c r="AB41" s="601" t="s">
        <v>362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791"/>
      <c r="J42" s="791"/>
      <c r="K42" s="302"/>
      <c r="L42" s="299">
        <v>4</v>
      </c>
      <c r="M42" s="425" t="s">
        <v>372</v>
      </c>
      <c r="N42" s="407" t="s">
        <v>392</v>
      </c>
      <c r="O42" s="542"/>
      <c r="P42" s="552">
        <v>0.05</v>
      </c>
      <c r="Q42" s="301">
        <f t="shared" si="5"/>
        <v>1678.25</v>
      </c>
      <c r="R42" s="803"/>
      <c r="S42" s="616" t="str">
        <f>S106</f>
        <v>JA Electrical INV 1154</v>
      </c>
      <c r="T42" s="707">
        <f t="shared" si="8"/>
        <v>46053</v>
      </c>
      <c r="U42" s="696">
        <v>4713.4245500827437</v>
      </c>
      <c r="V42" s="797"/>
      <c r="W42" s="705">
        <f>W106</f>
        <v>46058</v>
      </c>
      <c r="X42" s="794"/>
      <c r="Y42" s="601" t="s">
        <v>287</v>
      </c>
      <c r="Z42" s="602">
        <f>SUM(Z29:Z41)</f>
        <v>444822.95999999996</v>
      </c>
      <c r="AB42" s="601" t="s">
        <v>287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791"/>
      <c r="J43" s="791"/>
      <c r="K43" s="302"/>
      <c r="L43" s="299">
        <v>4</v>
      </c>
      <c r="M43" s="425" t="s">
        <v>372</v>
      </c>
      <c r="N43" s="407" t="s">
        <v>393</v>
      </c>
      <c r="O43" s="542"/>
      <c r="P43" s="552">
        <v>0.05</v>
      </c>
      <c r="Q43" s="301">
        <v>1678.24</v>
      </c>
      <c r="R43" s="804"/>
      <c r="S43" s="616" t="str">
        <f>S107</f>
        <v>JA Electrical INV 1154</v>
      </c>
      <c r="T43" s="707">
        <f t="shared" si="8"/>
        <v>46053</v>
      </c>
      <c r="U43" s="696">
        <v>4713.3964647286539</v>
      </c>
      <c r="V43" s="797"/>
      <c r="W43" s="563">
        <f t="shared" ref="W43" si="9">W107</f>
        <v>46088</v>
      </c>
      <c r="X43" s="794"/>
      <c r="Y43" s="604" t="s">
        <v>367</v>
      </c>
      <c r="Z43" s="603">
        <f>Z42/'Project Plan'!$E$3/1000</f>
        <v>1.77929184</v>
      </c>
      <c r="AB43" s="604" t="s">
        <v>367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791"/>
      <c r="J44" s="791"/>
      <c r="K44" s="302"/>
      <c r="L44" s="299">
        <v>4</v>
      </c>
      <c r="M44" s="425" t="s">
        <v>372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797"/>
      <c r="W44" s="563"/>
      <c r="X44" s="794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791"/>
      <c r="J45" s="791"/>
      <c r="K45" s="302"/>
      <c r="L45" s="299">
        <v>4</v>
      </c>
      <c r="M45" s="425" t="s">
        <v>372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797"/>
      <c r="W45" s="563"/>
      <c r="X45" s="794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792"/>
      <c r="J46" s="792"/>
      <c r="K46" s="307"/>
      <c r="L46" s="303">
        <v>4</v>
      </c>
      <c r="M46" s="426" t="s">
        <v>372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798"/>
      <c r="W46" s="564"/>
      <c r="X46" s="795"/>
      <c r="Y46" s="480"/>
    </row>
    <row r="47" spans="1:29" ht="14.45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394</v>
      </c>
    </row>
    <row r="48" spans="1:29" ht="14.25" customHeight="1">
      <c r="B48" s="282">
        <v>5</v>
      </c>
      <c r="C48" s="310" t="s">
        <v>395</v>
      </c>
      <c r="D48" s="328" t="s">
        <v>396</v>
      </c>
      <c r="E48" s="284"/>
      <c r="F48" s="436"/>
      <c r="G48" s="285">
        <f>D177-G49</f>
        <v>34000</v>
      </c>
      <c r="H48" s="565">
        <v>46011</v>
      </c>
      <c r="I48" s="781">
        <f>SUM(G48:G56)</f>
        <v>49000</v>
      </c>
      <c r="J48" s="781">
        <f>F177</f>
        <v>61250</v>
      </c>
      <c r="K48" s="286"/>
      <c r="L48" s="282">
        <v>5</v>
      </c>
      <c r="M48" s="421" t="s">
        <v>397</v>
      </c>
      <c r="N48" s="328" t="s">
        <v>398</v>
      </c>
      <c r="O48" s="537"/>
      <c r="P48" s="436"/>
      <c r="Q48" s="285">
        <f>8598.34+100</f>
        <v>8698.34</v>
      </c>
      <c r="R48" s="581"/>
      <c r="S48" s="618" t="s">
        <v>399</v>
      </c>
      <c r="T48" s="686">
        <v>45991</v>
      </c>
      <c r="U48" s="701">
        <v>9080.9395091620772</v>
      </c>
      <c r="V48" s="787">
        <f>J48-SUM(U48:U56)</f>
        <v>2.9440148282446899E-3</v>
      </c>
      <c r="W48" s="723">
        <v>46031</v>
      </c>
      <c r="X48" s="799">
        <f>SUM(Q48:Q56)</f>
        <v>59282.42</v>
      </c>
      <c r="Y48" s="651"/>
      <c r="Z48" s="680" t="s">
        <v>400</v>
      </c>
      <c r="AA48" s="651"/>
    </row>
    <row r="49" spans="1:27" ht="14.25" customHeight="1">
      <c r="B49" s="287">
        <v>5</v>
      </c>
      <c r="C49" s="311"/>
      <c r="D49" s="314" t="s">
        <v>401</v>
      </c>
      <c r="E49" s="449"/>
      <c r="F49" s="450"/>
      <c r="G49" s="316">
        <v>15000</v>
      </c>
      <c r="H49" s="558">
        <v>45991</v>
      </c>
      <c r="I49" s="782"/>
      <c r="J49" s="782"/>
      <c r="K49" s="289"/>
      <c r="L49" s="287">
        <v>5</v>
      </c>
      <c r="M49" s="427" t="s">
        <v>397</v>
      </c>
      <c r="N49" s="288" t="s">
        <v>402</v>
      </c>
      <c r="O49" s="544"/>
      <c r="P49" s="450"/>
      <c r="Q49" s="316">
        <v>25321</v>
      </c>
      <c r="R49" s="628" t="s">
        <v>403</v>
      </c>
      <c r="S49" s="611" t="s">
        <v>404</v>
      </c>
      <c r="T49" s="657">
        <v>45961</v>
      </c>
      <c r="U49" s="701">
        <v>26936.920577737092</v>
      </c>
      <c r="V49" s="788"/>
      <c r="W49" s="722">
        <v>45989</v>
      </c>
      <c r="X49" s="800"/>
      <c r="Y49" s="651" t="s">
        <v>405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82"/>
      <c r="J50" s="782"/>
      <c r="K50" s="289"/>
      <c r="L50" s="287">
        <v>5</v>
      </c>
      <c r="M50" s="427" t="s">
        <v>397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406</v>
      </c>
      <c r="T50" s="684">
        <v>45961</v>
      </c>
      <c r="U50" s="701">
        <v>23763.553250878369</v>
      </c>
      <c r="V50" s="788"/>
      <c r="W50" s="722">
        <v>45989</v>
      </c>
      <c r="X50" s="800"/>
      <c r="Y50" s="651" t="s">
        <v>407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82"/>
      <c r="J51" s="782"/>
      <c r="K51" s="289"/>
      <c r="L51" s="287">
        <v>5</v>
      </c>
      <c r="M51" s="427" t="s">
        <v>397</v>
      </c>
      <c r="N51" s="314" t="s">
        <v>408</v>
      </c>
      <c r="O51" s="538"/>
      <c r="P51" s="457"/>
      <c r="Q51" s="316">
        <v>343.33</v>
      </c>
      <c r="R51" s="574"/>
      <c r="S51" s="611" t="s">
        <v>409</v>
      </c>
      <c r="T51" s="684">
        <v>45961</v>
      </c>
      <c r="U51" s="701">
        <v>365.24043054991802</v>
      </c>
      <c r="V51" s="788"/>
      <c r="W51" s="722">
        <v>45989</v>
      </c>
      <c r="X51" s="800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82"/>
      <c r="J52" s="782"/>
      <c r="K52" s="289"/>
      <c r="L52" s="312">
        <v>5</v>
      </c>
      <c r="M52" s="427" t="s">
        <v>397</v>
      </c>
      <c r="N52" s="314" t="s">
        <v>410</v>
      </c>
      <c r="O52" s="538"/>
      <c r="P52" s="457"/>
      <c r="Q52" s="316">
        <v>975</v>
      </c>
      <c r="R52" s="574"/>
      <c r="S52" s="611" t="s">
        <v>411</v>
      </c>
      <c r="T52" s="657">
        <v>45961</v>
      </c>
      <c r="U52" s="701">
        <v>1037.2219724060528</v>
      </c>
      <c r="V52" s="788"/>
      <c r="W52" s="722">
        <v>45939</v>
      </c>
      <c r="X52" s="800"/>
      <c r="Y52" s="651" t="s">
        <v>412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82"/>
      <c r="J53" s="782"/>
      <c r="K53" s="289"/>
      <c r="L53" s="312">
        <v>5</v>
      </c>
      <c r="M53" s="427" t="s">
        <v>397</v>
      </c>
      <c r="N53" s="387" t="s">
        <v>413</v>
      </c>
      <c r="O53" s="539"/>
      <c r="P53" s="443"/>
      <c r="Q53" s="386">
        <v>21.33</v>
      </c>
      <c r="R53" s="575"/>
      <c r="S53" s="612" t="s">
        <v>414</v>
      </c>
      <c r="T53" s="715">
        <v>45991</v>
      </c>
      <c r="U53" s="701">
        <v>22.627429076171669</v>
      </c>
      <c r="V53" s="788"/>
      <c r="W53" s="719">
        <v>45973</v>
      </c>
      <c r="X53" s="800"/>
      <c r="Y53" s="482" t="s">
        <v>415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82"/>
      <c r="J54" s="782"/>
      <c r="K54" s="289"/>
      <c r="L54" s="312">
        <v>5</v>
      </c>
      <c r="M54" s="427" t="s">
        <v>397</v>
      </c>
      <c r="N54" s="387" t="s">
        <v>413</v>
      </c>
      <c r="O54" s="539"/>
      <c r="P54" s="443"/>
      <c r="Q54" s="386">
        <v>41</v>
      </c>
      <c r="R54" s="575"/>
      <c r="S54" s="612" t="s">
        <v>414</v>
      </c>
      <c r="T54" s="715">
        <v>45991</v>
      </c>
      <c r="U54" s="695">
        <v>43.493886175482352</v>
      </c>
      <c r="V54" s="788"/>
      <c r="W54" s="719">
        <v>45990</v>
      </c>
      <c r="X54" s="800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82"/>
      <c r="J55" s="782"/>
      <c r="K55" s="289"/>
      <c r="L55" s="312">
        <v>5</v>
      </c>
      <c r="M55" s="427" t="s">
        <v>397</v>
      </c>
      <c r="N55" s="387" t="s">
        <v>416</v>
      </c>
      <c r="O55" s="539"/>
      <c r="P55" s="443"/>
      <c r="Q55" s="386">
        <v>1300</v>
      </c>
      <c r="R55" s="575"/>
      <c r="S55" s="612" t="s">
        <v>374</v>
      </c>
      <c r="T55" s="715">
        <v>46022</v>
      </c>
      <c r="U55" s="695">
        <v>0</v>
      </c>
      <c r="V55" s="788"/>
      <c r="W55" s="719">
        <v>46022</v>
      </c>
      <c r="X55" s="800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83"/>
      <c r="J56" s="783"/>
      <c r="K56" s="290"/>
      <c r="L56" s="317">
        <v>5</v>
      </c>
      <c r="M56" s="423" t="s">
        <v>397</v>
      </c>
      <c r="N56" s="318" t="s">
        <v>417</v>
      </c>
      <c r="O56" s="540"/>
      <c r="P56" s="458"/>
      <c r="Q56" s="331">
        <v>244.42</v>
      </c>
      <c r="R56" s="576"/>
      <c r="S56" s="613" t="s">
        <v>418</v>
      </c>
      <c r="T56" s="729">
        <v>46022</v>
      </c>
      <c r="U56" s="504">
        <v>0</v>
      </c>
      <c r="V56" s="789"/>
      <c r="W56" s="842">
        <v>46051</v>
      </c>
      <c r="X56" s="801"/>
      <c r="Y56" s="480"/>
    </row>
    <row r="57" spans="1:27" ht="14.45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345</v>
      </c>
      <c r="D58" s="296" t="s">
        <v>419</v>
      </c>
      <c r="E58" s="473"/>
      <c r="F58" s="455"/>
      <c r="G58" s="297">
        <f>D176</f>
        <v>251986.38260869565</v>
      </c>
      <c r="H58" s="562">
        <v>45991</v>
      </c>
      <c r="I58" s="790">
        <f>SUM(G58:G76)</f>
        <v>251986.38260869565</v>
      </c>
      <c r="J58" s="790">
        <f>F176</f>
        <v>314982.97826086957</v>
      </c>
      <c r="K58" s="298"/>
      <c r="L58" s="294">
        <v>6</v>
      </c>
      <c r="M58" s="430" t="s">
        <v>420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796">
        <f>J58-SUM(U58:U76)</f>
        <v>0</v>
      </c>
      <c r="W58" s="562"/>
      <c r="X58" s="793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791"/>
      <c r="J59" s="791"/>
      <c r="K59" s="302"/>
      <c r="L59" s="299">
        <v>6</v>
      </c>
      <c r="M59" s="428" t="s">
        <v>420</v>
      </c>
      <c r="N59" s="442" t="s">
        <v>160</v>
      </c>
      <c r="O59" s="542"/>
      <c r="P59" s="451"/>
      <c r="Q59" s="322">
        <v>80010.720000000001</v>
      </c>
      <c r="R59" s="579" t="s">
        <v>421</v>
      </c>
      <c r="S59" s="616" t="s">
        <v>422</v>
      </c>
      <c r="T59" s="707">
        <v>45991</v>
      </c>
      <c r="U59" s="696">
        <v>174533.75772853699</v>
      </c>
      <c r="V59" s="797"/>
      <c r="W59" s="700">
        <v>46020</v>
      </c>
      <c r="X59" s="794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791"/>
      <c r="J60" s="791"/>
      <c r="K60" s="302"/>
      <c r="L60" s="299">
        <v>6</v>
      </c>
      <c r="M60" s="428" t="s">
        <v>420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797"/>
      <c r="W60" s="563"/>
      <c r="X60" s="794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791"/>
      <c r="J61" s="791"/>
      <c r="K61" s="302"/>
      <c r="L61" s="299">
        <v>6</v>
      </c>
      <c r="M61" s="428" t="s">
        <v>420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797"/>
      <c r="W61" s="563"/>
      <c r="X61" s="794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791"/>
      <c r="J62" s="791"/>
      <c r="K62" s="302"/>
      <c r="L62" s="299">
        <v>6</v>
      </c>
      <c r="M62" s="428" t="s">
        <v>420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797"/>
      <c r="W62" s="563"/>
      <c r="X62" s="794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791"/>
      <c r="J63" s="791"/>
      <c r="K63" s="302"/>
      <c r="L63" s="299">
        <v>6</v>
      </c>
      <c r="M63" s="428" t="s">
        <v>420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797"/>
      <c r="W63" s="563"/>
      <c r="X63" s="794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791"/>
      <c r="J64" s="791"/>
      <c r="K64" s="302"/>
      <c r="L64" s="299">
        <v>6</v>
      </c>
      <c r="M64" s="428" t="s">
        <v>420</v>
      </c>
      <c r="N64" s="407" t="s">
        <v>378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802" t="s">
        <v>379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797"/>
      <c r="W64" s="705">
        <f>W98</f>
        <v>45967</v>
      </c>
      <c r="X64" s="794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791"/>
      <c r="J65" s="791"/>
      <c r="K65" s="302"/>
      <c r="L65" s="299">
        <v>6</v>
      </c>
      <c r="M65" s="429" t="s">
        <v>420</v>
      </c>
      <c r="N65" s="407" t="s">
        <v>203</v>
      </c>
      <c r="O65" s="542"/>
      <c r="P65" s="552">
        <v>0.15</v>
      </c>
      <c r="Q65" s="301">
        <f t="shared" si="11"/>
        <v>9657.8249999999989</v>
      </c>
      <c r="R65" s="803"/>
      <c r="S65" s="616" t="s">
        <v>381</v>
      </c>
      <c r="T65" s="712">
        <f t="shared" ref="T65:T66" si="12">T99</f>
        <v>45991</v>
      </c>
      <c r="U65" s="696">
        <v>21067.383079849893</v>
      </c>
      <c r="V65" s="797"/>
      <c r="W65" s="705">
        <f t="shared" ref="W65:W66" si="13">W99</f>
        <v>45989</v>
      </c>
      <c r="X65" s="794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791"/>
      <c r="J66" s="791"/>
      <c r="K66" s="302"/>
      <c r="L66" s="299">
        <v>6</v>
      </c>
      <c r="M66" s="429" t="s">
        <v>420</v>
      </c>
      <c r="N66" s="407" t="s">
        <v>383</v>
      </c>
      <c r="O66" s="542"/>
      <c r="P66" s="552">
        <v>0.1</v>
      </c>
      <c r="Q66" s="301">
        <f t="shared" si="11"/>
        <v>6438.55</v>
      </c>
      <c r="R66" s="803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797"/>
      <c r="W66" s="705">
        <f t="shared" si="13"/>
        <v>45989</v>
      </c>
      <c r="X66" s="794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791"/>
      <c r="J67" s="791"/>
      <c r="K67" s="302"/>
      <c r="L67" s="299">
        <v>6</v>
      </c>
      <c r="M67" s="429" t="s">
        <v>420</v>
      </c>
      <c r="N67" s="407" t="s">
        <v>383</v>
      </c>
      <c r="O67" s="542"/>
      <c r="P67" s="552">
        <v>0.1</v>
      </c>
      <c r="Q67" s="301">
        <f t="shared" si="11"/>
        <v>6438.55</v>
      </c>
      <c r="R67" s="803"/>
      <c r="S67" s="616" t="s">
        <v>386</v>
      </c>
      <c r="T67" s="712">
        <f t="shared" ref="T67:T73" si="14">T101</f>
        <v>46053</v>
      </c>
      <c r="U67" s="696">
        <v>14044.922053233266</v>
      </c>
      <c r="V67" s="797"/>
      <c r="W67" s="705">
        <v>46051</v>
      </c>
      <c r="X67" s="794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791"/>
      <c r="J68" s="791"/>
      <c r="K68" s="302"/>
      <c r="L68" s="299">
        <v>6</v>
      </c>
      <c r="M68" s="429" t="s">
        <v>420</v>
      </c>
      <c r="N68" s="407" t="s">
        <v>387</v>
      </c>
      <c r="O68" s="542"/>
      <c r="P68" s="552">
        <v>0.2</v>
      </c>
      <c r="Q68" s="301">
        <f t="shared" si="11"/>
        <v>12877.1</v>
      </c>
      <c r="R68" s="803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797"/>
      <c r="W68" s="700">
        <v>45989</v>
      </c>
      <c r="X68" s="794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791"/>
      <c r="J69" s="791"/>
      <c r="K69" s="302"/>
      <c r="L69" s="299">
        <v>6</v>
      </c>
      <c r="M69" s="429" t="s">
        <v>420</v>
      </c>
      <c r="N69" s="407" t="s">
        <v>387</v>
      </c>
      <c r="O69" s="542"/>
      <c r="P69" s="552">
        <v>0.05</v>
      </c>
      <c r="Q69" s="301">
        <f t="shared" si="11"/>
        <v>3219.2750000000001</v>
      </c>
      <c r="R69" s="803"/>
      <c r="S69" s="616" t="s">
        <v>386</v>
      </c>
      <c r="T69" s="712">
        <f t="shared" si="14"/>
        <v>46053</v>
      </c>
      <c r="U69" s="696">
        <v>7022.4610266166328</v>
      </c>
      <c r="V69" s="797"/>
      <c r="W69" s="705">
        <v>46051</v>
      </c>
      <c r="X69" s="794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791"/>
      <c r="J70" s="791"/>
      <c r="K70" s="302"/>
      <c r="L70" s="299">
        <v>6</v>
      </c>
      <c r="M70" s="429" t="s">
        <v>420</v>
      </c>
      <c r="N70" s="407" t="s">
        <v>389</v>
      </c>
      <c r="O70" s="542"/>
      <c r="P70" s="552">
        <v>0.1</v>
      </c>
      <c r="Q70" s="301">
        <f t="shared" si="11"/>
        <v>6438.55</v>
      </c>
      <c r="R70" s="803"/>
      <c r="S70" s="616" t="s">
        <v>386</v>
      </c>
      <c r="T70" s="712">
        <f t="shared" si="14"/>
        <v>46053</v>
      </c>
      <c r="U70" s="696">
        <v>14044.922053233266</v>
      </c>
      <c r="V70" s="797"/>
      <c r="W70" s="705">
        <v>46051</v>
      </c>
      <c r="X70" s="794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791"/>
      <c r="J71" s="791"/>
      <c r="K71" s="302"/>
      <c r="L71" s="299">
        <v>6</v>
      </c>
      <c r="M71" s="429" t="s">
        <v>420</v>
      </c>
      <c r="N71" s="407" t="s">
        <v>391</v>
      </c>
      <c r="O71" s="542"/>
      <c r="P71" s="552">
        <v>0.1</v>
      </c>
      <c r="Q71" s="301">
        <f t="shared" si="11"/>
        <v>6438.55</v>
      </c>
      <c r="R71" s="803"/>
      <c r="S71" s="620" t="str">
        <f>S105</f>
        <v>JA Electrical INV 1154</v>
      </c>
      <c r="T71" s="712">
        <f t="shared" si="14"/>
        <v>46053</v>
      </c>
      <c r="U71" s="843">
        <v>14044.922053233266</v>
      </c>
      <c r="V71" s="797"/>
      <c r="W71" s="705">
        <f>W105</f>
        <v>46058</v>
      </c>
      <c r="X71" s="794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791"/>
      <c r="J72" s="791"/>
      <c r="K72" s="302"/>
      <c r="L72" s="299">
        <v>6</v>
      </c>
      <c r="M72" s="429" t="s">
        <v>420</v>
      </c>
      <c r="N72" s="407" t="s">
        <v>392</v>
      </c>
      <c r="O72" s="542"/>
      <c r="P72" s="552">
        <v>0.05</v>
      </c>
      <c r="Q72" s="301">
        <f t="shared" si="11"/>
        <v>3219.2750000000001</v>
      </c>
      <c r="R72" s="803"/>
      <c r="S72" s="620" t="str">
        <f>S106</f>
        <v>JA Electrical INV 1154</v>
      </c>
      <c r="T72" s="712">
        <f t="shared" si="14"/>
        <v>46053</v>
      </c>
      <c r="U72" s="843">
        <v>7022.4610266166328</v>
      </c>
      <c r="V72" s="797"/>
      <c r="W72" s="705">
        <f>W106</f>
        <v>46058</v>
      </c>
      <c r="X72" s="794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791"/>
      <c r="J73" s="791"/>
      <c r="K73" s="302"/>
      <c r="L73" s="299">
        <v>6</v>
      </c>
      <c r="M73" s="429" t="s">
        <v>420</v>
      </c>
      <c r="N73" s="407" t="s">
        <v>393</v>
      </c>
      <c r="O73" s="542"/>
      <c r="P73" s="552">
        <v>0.05</v>
      </c>
      <c r="Q73" s="301">
        <f t="shared" si="11"/>
        <v>3219.2750000000001</v>
      </c>
      <c r="R73" s="804"/>
      <c r="S73" s="620" t="str">
        <f>S107</f>
        <v>JA Electrical INV 1154</v>
      </c>
      <c r="T73" s="712">
        <f t="shared" si="14"/>
        <v>46053</v>
      </c>
      <c r="U73" s="843">
        <v>7022.4610266166328</v>
      </c>
      <c r="V73" s="797"/>
      <c r="W73" s="563">
        <f t="shared" ref="W73" si="15">W107</f>
        <v>46088</v>
      </c>
      <c r="X73" s="794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791"/>
      <c r="J74" s="791"/>
      <c r="K74" s="302"/>
      <c r="L74" s="299">
        <v>6</v>
      </c>
      <c r="M74" s="429" t="s">
        <v>420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797"/>
      <c r="W74" s="566"/>
      <c r="X74" s="794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791"/>
      <c r="J75" s="791"/>
      <c r="K75" s="302"/>
      <c r="L75" s="299">
        <v>6</v>
      </c>
      <c r="M75" s="429" t="s">
        <v>420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797"/>
      <c r="W75" s="566"/>
      <c r="X75" s="794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792"/>
      <c r="J76" s="792"/>
      <c r="K76" s="307"/>
      <c r="L76" s="303">
        <v>6</v>
      </c>
      <c r="M76" s="431" t="s">
        <v>420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798"/>
      <c r="W76" s="564"/>
      <c r="X76" s="795"/>
      <c r="Y76" s="480"/>
    </row>
    <row r="77" spans="1:25" ht="14.45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423</v>
      </c>
      <c r="D78" s="381"/>
      <c r="E78" s="460"/>
      <c r="F78" s="466"/>
      <c r="G78" s="382"/>
      <c r="H78" s="568"/>
      <c r="I78" s="781">
        <f>SUM(G78:G85)</f>
        <v>0</v>
      </c>
      <c r="J78" s="781">
        <f>F181</f>
        <v>0</v>
      </c>
      <c r="K78" s="286"/>
      <c r="L78" s="380">
        <v>7</v>
      </c>
      <c r="M78" s="310" t="s">
        <v>424</v>
      </c>
      <c r="N78" s="381"/>
      <c r="O78" s="460"/>
      <c r="P78" s="466"/>
      <c r="Q78" s="382"/>
      <c r="R78" s="585"/>
      <c r="S78" s="622"/>
      <c r="T78" s="527"/>
      <c r="U78" s="637"/>
      <c r="V78" s="823">
        <f>J78-SUM(U78:U85)</f>
        <v>0</v>
      </c>
      <c r="W78" s="568"/>
      <c r="X78" s="799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82"/>
      <c r="J79" s="782"/>
      <c r="K79" s="289"/>
      <c r="L79" s="383">
        <v>7</v>
      </c>
      <c r="M79" s="384" t="s">
        <v>424</v>
      </c>
      <c r="N79" s="385"/>
      <c r="O79" s="405"/>
      <c r="P79" s="443"/>
      <c r="Q79" s="386"/>
      <c r="R79" s="575"/>
      <c r="S79" s="612"/>
      <c r="T79" s="518"/>
      <c r="U79" s="503"/>
      <c r="V79" s="824"/>
      <c r="W79" s="559"/>
      <c r="X79" s="800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82"/>
      <c r="J80" s="782"/>
      <c r="K80" s="289"/>
      <c r="L80" s="383">
        <v>7</v>
      </c>
      <c r="M80" s="384" t="s">
        <v>424</v>
      </c>
      <c r="N80" s="385"/>
      <c r="O80" s="405"/>
      <c r="P80" s="443"/>
      <c r="Q80" s="386"/>
      <c r="R80" s="575"/>
      <c r="S80" s="612"/>
      <c r="T80" s="518"/>
      <c r="U80" s="503"/>
      <c r="V80" s="824"/>
      <c r="W80" s="559"/>
      <c r="X80" s="800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82"/>
      <c r="J81" s="782"/>
      <c r="K81" s="289"/>
      <c r="L81" s="383">
        <v>7</v>
      </c>
      <c r="M81" s="384" t="s">
        <v>424</v>
      </c>
      <c r="N81" s="385"/>
      <c r="O81" s="405"/>
      <c r="P81" s="443"/>
      <c r="Q81" s="386"/>
      <c r="R81" s="575"/>
      <c r="S81" s="612"/>
      <c r="T81" s="518"/>
      <c r="U81" s="503"/>
      <c r="V81" s="824"/>
      <c r="W81" s="559"/>
      <c r="X81" s="800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82"/>
      <c r="J82" s="782"/>
      <c r="K82" s="289"/>
      <c r="L82" s="383">
        <v>7</v>
      </c>
      <c r="M82" s="384" t="s">
        <v>424</v>
      </c>
      <c r="N82" s="385"/>
      <c r="O82" s="405"/>
      <c r="P82" s="443"/>
      <c r="Q82" s="386"/>
      <c r="R82" s="575"/>
      <c r="S82" s="612"/>
      <c r="T82" s="518"/>
      <c r="U82" s="503"/>
      <c r="V82" s="824"/>
      <c r="W82" s="559"/>
      <c r="X82" s="800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82"/>
      <c r="J83" s="782"/>
      <c r="K83" s="289"/>
      <c r="L83" s="383">
        <v>7</v>
      </c>
      <c r="M83" s="384" t="s">
        <v>424</v>
      </c>
      <c r="N83" s="385"/>
      <c r="O83" s="539"/>
      <c r="P83" s="443"/>
      <c r="Q83" s="386"/>
      <c r="R83" s="575"/>
      <c r="S83" s="612"/>
      <c r="T83" s="518"/>
      <c r="U83" s="503"/>
      <c r="V83" s="824"/>
      <c r="W83" s="559"/>
      <c r="X83" s="800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82"/>
      <c r="J84" s="782"/>
      <c r="K84" s="289"/>
      <c r="L84" s="383">
        <v>7</v>
      </c>
      <c r="M84" s="384" t="s">
        <v>424</v>
      </c>
      <c r="N84" s="385"/>
      <c r="O84" s="539"/>
      <c r="P84" s="443"/>
      <c r="Q84" s="386"/>
      <c r="R84" s="575"/>
      <c r="S84" s="612"/>
      <c r="T84" s="518"/>
      <c r="U84" s="503"/>
      <c r="V84" s="824"/>
      <c r="W84" s="559"/>
      <c r="X84" s="800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83"/>
      <c r="J85" s="783"/>
      <c r="K85" s="290"/>
      <c r="L85" s="317">
        <v>7</v>
      </c>
      <c r="M85" s="338" t="s">
        <v>424</v>
      </c>
      <c r="N85" s="330"/>
      <c r="O85" s="540"/>
      <c r="P85" s="458"/>
      <c r="Q85" s="331"/>
      <c r="R85" s="576"/>
      <c r="S85" s="613"/>
      <c r="T85" s="519"/>
      <c r="U85" s="504"/>
      <c r="V85" s="825"/>
      <c r="W85" s="560"/>
      <c r="X85" s="801"/>
      <c r="Y85" s="480"/>
    </row>
    <row r="86" spans="1:25" ht="14.45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425</v>
      </c>
      <c r="D87" s="334"/>
      <c r="E87" s="461"/>
      <c r="F87" s="415"/>
      <c r="G87" s="335"/>
      <c r="H87" s="562"/>
      <c r="I87" s="790">
        <f>SUM(G87:G95)</f>
        <v>52000</v>
      </c>
      <c r="J87" s="790">
        <f>F178+F180</f>
        <v>57777.777777777781</v>
      </c>
      <c r="K87" s="298"/>
      <c r="L87" s="333">
        <v>8</v>
      </c>
      <c r="M87" s="424" t="s">
        <v>426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820">
        <f>J87-SUM(U87:U95)</f>
        <v>0</v>
      </c>
      <c r="W87" s="562"/>
      <c r="X87" s="793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427</v>
      </c>
      <c r="E88" s="414"/>
      <c r="F88" s="459"/>
      <c r="G88" s="325">
        <v>40000</v>
      </c>
      <c r="H88" s="563">
        <v>45946</v>
      </c>
      <c r="I88" s="791"/>
      <c r="J88" s="791"/>
      <c r="K88" s="302"/>
      <c r="L88" s="323">
        <v>8</v>
      </c>
      <c r="M88" s="432" t="s">
        <v>426</v>
      </c>
      <c r="N88" s="336" t="s">
        <v>427</v>
      </c>
      <c r="O88" s="660">
        <v>15800</v>
      </c>
      <c r="P88" s="647">
        <v>0.7</v>
      </c>
      <c r="Q88" s="325">
        <f>O88*P88</f>
        <v>11060</v>
      </c>
      <c r="R88" s="802" t="s">
        <v>428</v>
      </c>
      <c r="S88" s="616" t="s">
        <v>429</v>
      </c>
      <c r="T88" s="677">
        <v>45961</v>
      </c>
      <c r="U88" s="696">
        <v>26737.331473733149</v>
      </c>
      <c r="V88" s="821"/>
      <c r="W88" s="700">
        <v>45954</v>
      </c>
      <c r="X88" s="794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791"/>
      <c r="J89" s="791"/>
      <c r="K89" s="302"/>
      <c r="L89" s="323">
        <v>8</v>
      </c>
      <c r="M89" s="432" t="s">
        <v>426</v>
      </c>
      <c r="N89" s="336"/>
      <c r="O89" s="414"/>
      <c r="P89" s="647">
        <v>0.3</v>
      </c>
      <c r="Q89" s="325">
        <f>O88*P89</f>
        <v>4740</v>
      </c>
      <c r="R89" s="804"/>
      <c r="S89" s="616" t="s">
        <v>429</v>
      </c>
      <c r="T89" s="677">
        <v>45961</v>
      </c>
      <c r="U89" s="696">
        <v>11458.856345885635</v>
      </c>
      <c r="V89" s="821"/>
      <c r="W89" s="700">
        <v>45995</v>
      </c>
      <c r="X89" s="794"/>
      <c r="Y89" s="480"/>
    </row>
    <row r="90" spans="1:25" ht="14.25" customHeight="1">
      <c r="B90" s="323">
        <v>8</v>
      </c>
      <c r="C90" s="324"/>
      <c r="D90" s="336" t="s">
        <v>430</v>
      </c>
      <c r="E90" s="414"/>
      <c r="F90" s="459"/>
      <c r="G90" s="325">
        <v>12000</v>
      </c>
      <c r="H90" s="563">
        <v>45961</v>
      </c>
      <c r="I90" s="791"/>
      <c r="J90" s="791"/>
      <c r="K90" s="302"/>
      <c r="L90" s="323">
        <v>8</v>
      </c>
      <c r="M90" s="432" t="s">
        <v>426</v>
      </c>
      <c r="N90" s="336" t="s">
        <v>431</v>
      </c>
      <c r="O90" s="414"/>
      <c r="P90" s="459"/>
      <c r="Q90" s="325">
        <f>8100-Q91</f>
        <v>2430</v>
      </c>
      <c r="R90" s="579" t="s">
        <v>432</v>
      </c>
      <c r="S90" s="616" t="s">
        <v>433</v>
      </c>
      <c r="T90" s="707">
        <v>45991</v>
      </c>
      <c r="U90" s="696">
        <v>5874.4769874476997</v>
      </c>
      <c r="V90" s="821"/>
      <c r="W90" s="700">
        <v>45974</v>
      </c>
      <c r="X90" s="794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791"/>
      <c r="J91" s="791"/>
      <c r="K91" s="302"/>
      <c r="L91" s="323">
        <v>8</v>
      </c>
      <c r="M91" s="432" t="s">
        <v>426</v>
      </c>
      <c r="N91" s="336"/>
      <c r="O91" s="414"/>
      <c r="P91" s="459"/>
      <c r="Q91" s="325">
        <v>5670</v>
      </c>
      <c r="R91" s="579"/>
      <c r="S91" s="616" t="s">
        <v>433</v>
      </c>
      <c r="T91" s="707">
        <v>45991</v>
      </c>
      <c r="U91" s="696">
        <v>13707.112970711298</v>
      </c>
      <c r="V91" s="821"/>
      <c r="W91" s="705">
        <v>45995</v>
      </c>
      <c r="X91" s="794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791"/>
      <c r="J92" s="791"/>
      <c r="K92" s="302"/>
      <c r="L92" s="323">
        <v>8</v>
      </c>
      <c r="M92" s="432" t="s">
        <v>426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821"/>
      <c r="W92" s="563"/>
      <c r="X92" s="794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791"/>
      <c r="J93" s="791"/>
      <c r="K93" s="302"/>
      <c r="L93" s="323">
        <v>8</v>
      </c>
      <c r="M93" s="432" t="s">
        <v>426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821"/>
      <c r="W93" s="563"/>
      <c r="X93" s="794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791"/>
      <c r="J94" s="791"/>
      <c r="K94" s="302"/>
      <c r="L94" s="323">
        <v>8</v>
      </c>
      <c r="M94" s="432" t="s">
        <v>426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821"/>
      <c r="W94" s="566"/>
      <c r="X94" s="794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792"/>
      <c r="J95" s="792"/>
      <c r="K95" s="307"/>
      <c r="L95" s="303">
        <v>8</v>
      </c>
      <c r="M95" s="431" t="s">
        <v>426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822"/>
      <c r="W95" s="564"/>
      <c r="X95" s="795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434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435</v>
      </c>
      <c r="D97" s="328" t="s">
        <v>436</v>
      </c>
      <c r="E97" s="315"/>
      <c r="F97" s="436"/>
      <c r="G97" s="606">
        <f>D185</f>
        <v>62525</v>
      </c>
      <c r="H97" s="565">
        <f>H98</f>
        <v>45950</v>
      </c>
      <c r="I97" s="811">
        <f>SUM(G97:G110)</f>
        <v>198850</v>
      </c>
      <c r="J97" s="781">
        <f>F185+F186</f>
        <v>220944.44444444444</v>
      </c>
      <c r="K97" s="289"/>
      <c r="L97" s="312">
        <v>9</v>
      </c>
      <c r="M97" s="422" t="s">
        <v>437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87">
        <f>J97-SUM(U97:U110)</f>
        <v>-1.7869654693640769E-3</v>
      </c>
      <c r="W97" s="565"/>
      <c r="X97" s="814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438</v>
      </c>
      <c r="E98" s="315"/>
      <c r="F98" s="457"/>
      <c r="G98" s="606">
        <f>D186</f>
        <v>136325</v>
      </c>
      <c r="H98" s="558">
        <v>45950</v>
      </c>
      <c r="I98" s="812"/>
      <c r="J98" s="782"/>
      <c r="K98" s="289"/>
      <c r="L98" s="312">
        <v>9</v>
      </c>
      <c r="M98" s="422" t="s">
        <v>437</v>
      </c>
      <c r="N98" s="329" t="s">
        <v>378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829" t="s">
        <v>379</v>
      </c>
      <c r="S98" s="611" t="s">
        <v>439</v>
      </c>
      <c r="T98" s="687">
        <v>45961</v>
      </c>
      <c r="U98" s="695">
        <v>22094.444444444445</v>
      </c>
      <c r="V98" s="788"/>
      <c r="W98" s="703">
        <v>45967</v>
      </c>
      <c r="X98" s="815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812"/>
      <c r="J99" s="782"/>
      <c r="K99" s="289"/>
      <c r="L99" s="383">
        <v>9</v>
      </c>
      <c r="M99" s="500" t="s">
        <v>437</v>
      </c>
      <c r="N99" s="385" t="s">
        <v>203</v>
      </c>
      <c r="O99" s="539"/>
      <c r="P99" s="553">
        <v>0.15</v>
      </c>
      <c r="Q99" s="316">
        <f t="shared" si="19"/>
        <v>40801.943999999996</v>
      </c>
      <c r="R99" s="830"/>
      <c r="S99" s="612" t="s">
        <v>381</v>
      </c>
      <c r="T99" s="711">
        <f t="shared" si="17"/>
        <v>45991</v>
      </c>
      <c r="U99" s="695">
        <v>33141.666666666664</v>
      </c>
      <c r="V99" s="788"/>
      <c r="W99" s="713">
        <v>45989</v>
      </c>
      <c r="X99" s="815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812"/>
      <c r="J100" s="782"/>
      <c r="K100" s="289"/>
      <c r="L100" s="383">
        <v>9</v>
      </c>
      <c r="M100" s="500" t="s">
        <v>437</v>
      </c>
      <c r="N100" s="385" t="s">
        <v>383</v>
      </c>
      <c r="O100" s="539"/>
      <c r="P100" s="553">
        <v>0.1</v>
      </c>
      <c r="Q100" s="316">
        <f t="shared" si="19"/>
        <v>27201.295999999998</v>
      </c>
      <c r="R100" s="830"/>
      <c r="S100" s="612" t="s">
        <v>440</v>
      </c>
      <c r="T100" s="711">
        <v>45991</v>
      </c>
      <c r="U100" s="695">
        <v>22094.444444444445</v>
      </c>
      <c r="V100" s="788"/>
      <c r="W100" s="713">
        <v>45989</v>
      </c>
      <c r="X100" s="815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812"/>
      <c r="J101" s="782"/>
      <c r="K101" s="289"/>
      <c r="L101" s="383">
        <v>9</v>
      </c>
      <c r="M101" s="500" t="s">
        <v>437</v>
      </c>
      <c r="N101" s="385" t="s">
        <v>383</v>
      </c>
      <c r="O101" s="539"/>
      <c r="P101" s="553">
        <v>0.1</v>
      </c>
      <c r="Q101" s="316">
        <f t="shared" si="19"/>
        <v>27201.295999999998</v>
      </c>
      <c r="R101" s="830"/>
      <c r="S101" s="612" t="s">
        <v>386</v>
      </c>
      <c r="T101" s="711">
        <v>46053</v>
      </c>
      <c r="U101" s="695">
        <v>22094.444119541629</v>
      </c>
      <c r="V101" s="788"/>
      <c r="W101" s="713">
        <v>46051</v>
      </c>
      <c r="X101" s="815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812"/>
      <c r="J102" s="782"/>
      <c r="K102" s="289"/>
      <c r="L102" s="383">
        <v>9</v>
      </c>
      <c r="M102" s="500" t="s">
        <v>437</v>
      </c>
      <c r="N102" s="385" t="s">
        <v>387</v>
      </c>
      <c r="O102" s="539"/>
      <c r="P102" s="553">
        <v>0.2</v>
      </c>
      <c r="Q102" s="316">
        <f t="shared" si="19"/>
        <v>54402.591999999997</v>
      </c>
      <c r="R102" s="830"/>
      <c r="S102" s="612" t="s">
        <v>440</v>
      </c>
      <c r="T102" s="711">
        <v>45991</v>
      </c>
      <c r="U102" s="695">
        <v>44188.888888888891</v>
      </c>
      <c r="V102" s="788"/>
      <c r="W102" s="713">
        <v>45989</v>
      </c>
      <c r="X102" s="815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812"/>
      <c r="J103" s="782"/>
      <c r="K103" s="289"/>
      <c r="L103" s="383">
        <v>9</v>
      </c>
      <c r="M103" s="500" t="s">
        <v>437</v>
      </c>
      <c r="N103" s="385" t="s">
        <v>387</v>
      </c>
      <c r="O103" s="539"/>
      <c r="P103" s="553">
        <v>0.05</v>
      </c>
      <c r="Q103" s="316">
        <f t="shared" si="19"/>
        <v>13600.647999999999</v>
      </c>
      <c r="R103" s="830"/>
      <c r="S103" s="612" t="s">
        <v>386</v>
      </c>
      <c r="T103" s="711">
        <v>46053</v>
      </c>
      <c r="U103" s="695">
        <v>11047.222059770815</v>
      </c>
      <c r="V103" s="788"/>
      <c r="W103" s="713">
        <v>46051</v>
      </c>
      <c r="X103" s="815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812"/>
      <c r="J104" s="782"/>
      <c r="K104" s="289"/>
      <c r="L104" s="383">
        <v>9</v>
      </c>
      <c r="M104" s="500" t="s">
        <v>437</v>
      </c>
      <c r="N104" s="385" t="s">
        <v>389</v>
      </c>
      <c r="O104" s="539"/>
      <c r="P104" s="553">
        <v>0.1</v>
      </c>
      <c r="Q104" s="316">
        <f t="shared" si="19"/>
        <v>27201.295999999998</v>
      </c>
      <c r="R104" s="830"/>
      <c r="S104" s="612" t="s">
        <v>386</v>
      </c>
      <c r="T104" s="711">
        <f t="shared" si="17"/>
        <v>46053</v>
      </c>
      <c r="U104" s="695">
        <v>22094.444119541629</v>
      </c>
      <c r="V104" s="788"/>
      <c r="W104" s="713">
        <v>46051</v>
      </c>
      <c r="X104" s="815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812"/>
      <c r="J105" s="782"/>
      <c r="K105" s="289"/>
      <c r="L105" s="383">
        <v>9</v>
      </c>
      <c r="M105" s="500" t="s">
        <v>437</v>
      </c>
      <c r="N105" s="385" t="s">
        <v>391</v>
      </c>
      <c r="O105" s="539"/>
      <c r="P105" s="553">
        <v>0.1</v>
      </c>
      <c r="Q105" s="316">
        <v>27201.3</v>
      </c>
      <c r="R105" s="830"/>
      <c r="S105" s="612" t="s">
        <v>441</v>
      </c>
      <c r="T105" s="711">
        <v>46053</v>
      </c>
      <c r="U105" s="695">
        <v>22094.447368569781</v>
      </c>
      <c r="V105" s="788"/>
      <c r="W105" s="713">
        <v>46058</v>
      </c>
      <c r="X105" s="815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812"/>
      <c r="J106" s="782"/>
      <c r="K106" s="289"/>
      <c r="L106" s="383">
        <v>9</v>
      </c>
      <c r="M106" s="500" t="s">
        <v>437</v>
      </c>
      <c r="N106" s="385" t="s">
        <v>392</v>
      </c>
      <c r="O106" s="539"/>
      <c r="P106" s="553">
        <v>0.05</v>
      </c>
      <c r="Q106" s="316">
        <f t="shared" si="19"/>
        <v>13600.647999999999</v>
      </c>
      <c r="R106" s="830"/>
      <c r="S106" s="612" t="s">
        <v>441</v>
      </c>
      <c r="T106" s="711">
        <v>46053</v>
      </c>
      <c r="U106" s="695">
        <v>11047.222059770815</v>
      </c>
      <c r="V106" s="788"/>
      <c r="W106" s="713">
        <v>46058</v>
      </c>
      <c r="X106" s="815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812"/>
      <c r="J107" s="782"/>
      <c r="K107" s="289"/>
      <c r="L107" s="383">
        <v>9</v>
      </c>
      <c r="M107" s="500" t="s">
        <v>437</v>
      </c>
      <c r="N107" s="385" t="s">
        <v>393</v>
      </c>
      <c r="O107" s="539"/>
      <c r="P107" s="553">
        <v>0.05</v>
      </c>
      <c r="Q107" s="316">
        <f t="shared" si="19"/>
        <v>13600.647999999999</v>
      </c>
      <c r="R107" s="831"/>
      <c r="S107" s="612" t="s">
        <v>441</v>
      </c>
      <c r="T107" s="711">
        <v>46053</v>
      </c>
      <c r="U107" s="695">
        <v>11047.222059770815</v>
      </c>
      <c r="V107" s="788"/>
      <c r="W107" s="559">
        <f>W106+30</f>
        <v>46088</v>
      </c>
      <c r="X107" s="815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812"/>
      <c r="J108" s="782"/>
      <c r="K108" s="289"/>
      <c r="L108" s="383">
        <v>9</v>
      </c>
      <c r="M108" s="500" t="s">
        <v>437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88"/>
      <c r="W108" s="559"/>
      <c r="X108" s="815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812"/>
      <c r="J109" s="782"/>
      <c r="K109" s="289"/>
      <c r="L109" s="383">
        <v>9</v>
      </c>
      <c r="M109" s="500" t="s">
        <v>437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88"/>
      <c r="W109" s="559"/>
      <c r="X109" s="815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813"/>
      <c r="J110" s="783"/>
      <c r="K110" s="365"/>
      <c r="L110" s="317">
        <v>9</v>
      </c>
      <c r="M110" s="440" t="s">
        <v>437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89"/>
      <c r="W110" s="560"/>
      <c r="X110" s="816"/>
      <c r="Y110" s="480"/>
    </row>
    <row r="111" spans="1:25" ht="14.45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442</v>
      </c>
      <c r="D112" s="271" t="s">
        <v>352</v>
      </c>
      <c r="E112" s="272"/>
      <c r="F112" s="468"/>
      <c r="G112" s="339">
        <f>D189</f>
        <v>8500</v>
      </c>
      <c r="H112" s="569">
        <v>45986</v>
      </c>
      <c r="I112" s="805">
        <f>SUM(G112:G128)</f>
        <v>56854.444444444445</v>
      </c>
      <c r="J112" s="805">
        <f>F189+F192+F193+F191+F190</f>
        <v>63171.604938271608</v>
      </c>
      <c r="K112" s="340"/>
      <c r="L112" s="270">
        <v>10</v>
      </c>
      <c r="M112" s="433" t="s">
        <v>443</v>
      </c>
      <c r="N112" s="271" t="s">
        <v>444</v>
      </c>
      <c r="O112" s="548"/>
      <c r="P112" s="468"/>
      <c r="Q112" s="339">
        <v>2555.1</v>
      </c>
      <c r="R112" s="587" t="s">
        <v>445</v>
      </c>
      <c r="S112" s="623" t="s">
        <v>446</v>
      </c>
      <c r="T112" s="692">
        <v>45991</v>
      </c>
      <c r="U112" s="693">
        <v>1876.5042211388777</v>
      </c>
      <c r="V112" s="817">
        <f>J112-SUM(U112:U128)</f>
        <v>-4.2211388790747151E-4</v>
      </c>
      <c r="W112" s="709">
        <v>45974</v>
      </c>
      <c r="X112" s="808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353</v>
      </c>
      <c r="E113" s="343"/>
      <c r="F113" s="469"/>
      <c r="G113" s="344">
        <f>D193</f>
        <v>17326.666666666664</v>
      </c>
      <c r="H113" s="570">
        <v>45988</v>
      </c>
      <c r="I113" s="806"/>
      <c r="J113" s="806"/>
      <c r="K113" s="273"/>
      <c r="L113" s="341">
        <v>10</v>
      </c>
      <c r="M113" s="434" t="s">
        <v>443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818"/>
      <c r="W113" s="570"/>
      <c r="X113" s="809"/>
      <c r="Y113" s="480"/>
    </row>
    <row r="114" spans="2:25" ht="14.25" customHeight="1">
      <c r="B114" s="341">
        <v>10</v>
      </c>
      <c r="C114" s="342"/>
      <c r="D114" s="342" t="s">
        <v>444</v>
      </c>
      <c r="E114" s="343"/>
      <c r="F114" s="469"/>
      <c r="G114" s="344">
        <f>D192</f>
        <v>30000</v>
      </c>
      <c r="H114" s="570">
        <v>45996</v>
      </c>
      <c r="I114" s="806"/>
      <c r="J114" s="806"/>
      <c r="K114" s="273"/>
      <c r="L114" s="341">
        <v>10</v>
      </c>
      <c r="M114" s="434" t="s">
        <v>443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818"/>
      <c r="W114" s="570"/>
      <c r="X114" s="809"/>
      <c r="Y114" s="480"/>
    </row>
    <row r="115" spans="2:25" ht="14.25" customHeight="1">
      <c r="B115" s="341">
        <v>10</v>
      </c>
      <c r="C115" s="342"/>
      <c r="D115" s="342" t="s">
        <v>354</v>
      </c>
      <c r="E115" s="343"/>
      <c r="F115" s="469"/>
      <c r="G115" s="344">
        <f>D191</f>
        <v>1027.7777777777778</v>
      </c>
      <c r="H115" s="570">
        <f>H114</f>
        <v>45996</v>
      </c>
      <c r="I115" s="806"/>
      <c r="J115" s="806"/>
      <c r="K115" s="273"/>
      <c r="L115" s="341">
        <v>10</v>
      </c>
      <c r="M115" s="434" t="s">
        <v>443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818"/>
      <c r="W115" s="570"/>
      <c r="X115" s="809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806"/>
      <c r="J116" s="806"/>
      <c r="K116" s="273"/>
      <c r="L116" s="341">
        <v>10</v>
      </c>
      <c r="M116" s="434" t="s">
        <v>443</v>
      </c>
      <c r="N116" s="342" t="s">
        <v>378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826" t="s">
        <v>379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818"/>
      <c r="W116" s="704">
        <f t="shared" ref="W116:W125" si="22">W98</f>
        <v>45967</v>
      </c>
      <c r="X116" s="809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806"/>
      <c r="J117" s="806"/>
      <c r="K117" s="273"/>
      <c r="L117" s="341">
        <v>10</v>
      </c>
      <c r="M117" s="434" t="s">
        <v>443</v>
      </c>
      <c r="N117" s="342" t="s">
        <v>203</v>
      </c>
      <c r="O117" s="549"/>
      <c r="P117" s="556">
        <v>0.15</v>
      </c>
      <c r="Q117" s="344">
        <f t="shared" si="21"/>
        <v>11228.924999999999</v>
      </c>
      <c r="R117" s="827"/>
      <c r="S117" s="630" t="s">
        <v>381</v>
      </c>
      <c r="T117" s="710">
        <f t="shared" ref="T117:T125" si="23">T99</f>
        <v>45991</v>
      </c>
      <c r="U117" s="702">
        <v>9162.990107569909</v>
      </c>
      <c r="V117" s="818"/>
      <c r="W117" s="704">
        <f t="shared" si="22"/>
        <v>45989</v>
      </c>
      <c r="X117" s="809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806"/>
      <c r="J118" s="806"/>
      <c r="K118" s="273"/>
      <c r="L118" s="341">
        <v>10</v>
      </c>
      <c r="M118" s="434" t="s">
        <v>443</v>
      </c>
      <c r="N118" s="342" t="s">
        <v>383</v>
      </c>
      <c r="O118" s="549"/>
      <c r="P118" s="556">
        <v>0.1</v>
      </c>
      <c r="Q118" s="344">
        <f t="shared" si="21"/>
        <v>7485.9500000000007</v>
      </c>
      <c r="R118" s="827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818"/>
      <c r="W118" s="704">
        <f t="shared" si="22"/>
        <v>45989</v>
      </c>
      <c r="X118" s="809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806"/>
      <c r="J119" s="806"/>
      <c r="K119" s="273"/>
      <c r="L119" s="341">
        <v>10</v>
      </c>
      <c r="M119" s="434" t="s">
        <v>443</v>
      </c>
      <c r="N119" s="342" t="s">
        <v>383</v>
      </c>
      <c r="O119" s="549"/>
      <c r="P119" s="556">
        <v>0.1</v>
      </c>
      <c r="Q119" s="344">
        <f t="shared" si="21"/>
        <v>7485.9500000000007</v>
      </c>
      <c r="R119" s="827"/>
      <c r="S119" s="625" t="s">
        <v>386</v>
      </c>
      <c r="T119" s="710">
        <f t="shared" si="23"/>
        <v>46053</v>
      </c>
      <c r="U119" s="702">
        <v>6108.6600717132733</v>
      </c>
      <c r="V119" s="818"/>
      <c r="W119" s="704">
        <f t="shared" si="22"/>
        <v>46051</v>
      </c>
      <c r="X119" s="809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806"/>
      <c r="J120" s="806"/>
      <c r="K120" s="273"/>
      <c r="L120" s="341">
        <v>10</v>
      </c>
      <c r="M120" s="434" t="s">
        <v>443</v>
      </c>
      <c r="N120" s="342" t="s">
        <v>387</v>
      </c>
      <c r="O120" s="549"/>
      <c r="P120" s="556">
        <v>0.2</v>
      </c>
      <c r="Q120" s="344">
        <f t="shared" si="21"/>
        <v>14971.900000000001</v>
      </c>
      <c r="R120" s="827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818"/>
      <c r="W120" s="694">
        <f t="shared" si="22"/>
        <v>45989</v>
      </c>
      <c r="X120" s="809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806"/>
      <c r="J121" s="806"/>
      <c r="K121" s="273"/>
      <c r="L121" s="341">
        <v>10</v>
      </c>
      <c r="M121" s="434" t="s">
        <v>443</v>
      </c>
      <c r="N121" s="342" t="s">
        <v>387</v>
      </c>
      <c r="O121" s="549"/>
      <c r="P121" s="556">
        <v>0.05</v>
      </c>
      <c r="Q121" s="344">
        <f t="shared" si="21"/>
        <v>3742.9750000000004</v>
      </c>
      <c r="R121" s="827"/>
      <c r="S121" s="625" t="s">
        <v>386</v>
      </c>
      <c r="T121" s="710">
        <f t="shared" si="23"/>
        <v>46053</v>
      </c>
      <c r="U121" s="702">
        <v>3054.3300358566366</v>
      </c>
      <c r="V121" s="818"/>
      <c r="W121" s="704">
        <f t="shared" si="22"/>
        <v>46051</v>
      </c>
      <c r="X121" s="809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806"/>
      <c r="J122" s="806"/>
      <c r="K122" s="273"/>
      <c r="L122" s="341">
        <v>10</v>
      </c>
      <c r="M122" s="434" t="s">
        <v>443</v>
      </c>
      <c r="N122" s="342" t="s">
        <v>389</v>
      </c>
      <c r="O122" s="549"/>
      <c r="P122" s="556">
        <v>0.1</v>
      </c>
      <c r="Q122" s="344">
        <f t="shared" si="21"/>
        <v>7485.9500000000007</v>
      </c>
      <c r="R122" s="827"/>
      <c r="S122" s="625" t="s">
        <v>386</v>
      </c>
      <c r="T122" s="710">
        <f t="shared" si="23"/>
        <v>46053</v>
      </c>
      <c r="U122" s="702">
        <v>6108.6600717132733</v>
      </c>
      <c r="V122" s="818"/>
      <c r="W122" s="704">
        <f t="shared" si="22"/>
        <v>46051</v>
      </c>
      <c r="X122" s="809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806"/>
      <c r="J123" s="806"/>
      <c r="K123" s="273"/>
      <c r="L123" s="341">
        <v>10</v>
      </c>
      <c r="M123" s="434" t="s">
        <v>443</v>
      </c>
      <c r="N123" s="342" t="s">
        <v>391</v>
      </c>
      <c r="O123" s="549"/>
      <c r="P123" s="556">
        <v>0.1</v>
      </c>
      <c r="Q123" s="344">
        <f t="shared" si="21"/>
        <v>7485.9500000000007</v>
      </c>
      <c r="R123" s="827"/>
      <c r="S123" s="625" t="str">
        <f>S105</f>
        <v>JA Electrical INV 1154</v>
      </c>
      <c r="T123" s="710">
        <f t="shared" si="23"/>
        <v>46053</v>
      </c>
      <c r="U123" s="702">
        <v>6108.6600717132733</v>
      </c>
      <c r="V123" s="818"/>
      <c r="W123" s="704">
        <f t="shared" si="22"/>
        <v>46058</v>
      </c>
      <c r="X123" s="809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806"/>
      <c r="J124" s="806"/>
      <c r="K124" s="273"/>
      <c r="L124" s="341">
        <v>10</v>
      </c>
      <c r="M124" s="434" t="s">
        <v>443</v>
      </c>
      <c r="N124" s="342" t="s">
        <v>392</v>
      </c>
      <c r="O124" s="549"/>
      <c r="P124" s="556">
        <v>0.05</v>
      </c>
      <c r="Q124" s="344">
        <f t="shared" si="21"/>
        <v>3742.9750000000004</v>
      </c>
      <c r="R124" s="827"/>
      <c r="S124" s="625" t="str">
        <f>S106</f>
        <v>JA Electrical INV 1154</v>
      </c>
      <c r="T124" s="710">
        <f t="shared" si="23"/>
        <v>46053</v>
      </c>
      <c r="U124" s="702">
        <v>3054.3300358566366</v>
      </c>
      <c r="V124" s="818"/>
      <c r="W124" s="704">
        <f t="shared" si="22"/>
        <v>46058</v>
      </c>
      <c r="X124" s="809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806"/>
      <c r="J125" s="806"/>
      <c r="K125" s="273"/>
      <c r="L125" s="341">
        <v>10</v>
      </c>
      <c r="M125" s="434" t="s">
        <v>443</v>
      </c>
      <c r="N125" s="342" t="s">
        <v>393</v>
      </c>
      <c r="O125" s="549"/>
      <c r="P125" s="556">
        <v>0.05</v>
      </c>
      <c r="Q125" s="344">
        <f t="shared" si="21"/>
        <v>3742.9750000000004</v>
      </c>
      <c r="R125" s="828"/>
      <c r="S125" s="625" t="str">
        <f>S107</f>
        <v>JA Electrical INV 1154</v>
      </c>
      <c r="T125" s="710">
        <f t="shared" si="23"/>
        <v>46053</v>
      </c>
      <c r="U125" s="702">
        <v>3054.3300358566366</v>
      </c>
      <c r="V125" s="818"/>
      <c r="W125" s="571">
        <f t="shared" si="22"/>
        <v>46088</v>
      </c>
      <c r="X125" s="809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806"/>
      <c r="J126" s="806"/>
      <c r="K126" s="273"/>
      <c r="L126" s="341">
        <v>10</v>
      </c>
      <c r="M126" s="434" t="s">
        <v>443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818"/>
      <c r="W126" s="571"/>
      <c r="X126" s="809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806"/>
      <c r="J127" s="806"/>
      <c r="K127" s="273"/>
      <c r="L127" s="341">
        <v>10</v>
      </c>
      <c r="M127" s="434" t="s">
        <v>443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818"/>
      <c r="W127" s="571"/>
      <c r="X127" s="809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807"/>
      <c r="J128" s="807"/>
      <c r="K128" s="276"/>
      <c r="L128" s="274">
        <v>10</v>
      </c>
      <c r="M128" s="435" t="s">
        <v>443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819"/>
      <c r="W128" s="572"/>
      <c r="X128" s="810"/>
      <c r="Y128" s="480"/>
    </row>
    <row r="129" spans="1:25" ht="14.45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447</v>
      </c>
      <c r="D130" s="352" t="s">
        <v>448</v>
      </c>
      <c r="E130" s="284"/>
      <c r="F130" s="436"/>
      <c r="G130" s="285">
        <v>11000</v>
      </c>
      <c r="H130" s="565">
        <v>45998</v>
      </c>
      <c r="I130" s="781">
        <f>SUM(G130:G134)</f>
        <v>29000</v>
      </c>
      <c r="J130" s="781">
        <f>F188</f>
        <v>32222.222222222223</v>
      </c>
      <c r="K130" s="286"/>
      <c r="L130" s="282">
        <v>11</v>
      </c>
      <c r="M130" s="352" t="s">
        <v>449</v>
      </c>
      <c r="N130" s="352" t="s">
        <v>448</v>
      </c>
      <c r="O130" s="284"/>
      <c r="P130" s="436"/>
      <c r="Q130" s="285">
        <v>9565</v>
      </c>
      <c r="R130" s="649"/>
      <c r="S130" s="618" t="s">
        <v>450</v>
      </c>
      <c r="T130" s="728">
        <v>46022</v>
      </c>
      <c r="U130" s="695">
        <v>19801.192133347609</v>
      </c>
      <c r="V130" s="787">
        <f>J130-SUM(U130:U134)</f>
        <v>0</v>
      </c>
      <c r="W130" s="731">
        <v>46045</v>
      </c>
      <c r="X130" s="799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451</v>
      </c>
      <c r="E131" s="315"/>
      <c r="F131" s="457"/>
      <c r="G131" s="316">
        <v>18000</v>
      </c>
      <c r="H131" s="558">
        <v>45991</v>
      </c>
      <c r="I131" s="782"/>
      <c r="J131" s="782"/>
      <c r="K131" s="289"/>
      <c r="L131" s="312">
        <v>11</v>
      </c>
      <c r="M131" s="389" t="s">
        <v>449</v>
      </c>
      <c r="N131" s="314" t="s">
        <v>452</v>
      </c>
      <c r="O131" s="315"/>
      <c r="P131" s="457"/>
      <c r="Q131" s="316"/>
      <c r="R131" s="628"/>
      <c r="S131" s="611"/>
      <c r="T131" s="517"/>
      <c r="U131" s="695">
        <v>0</v>
      </c>
      <c r="V131" s="788"/>
      <c r="W131" s="558"/>
      <c r="X131" s="800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82"/>
      <c r="J132" s="782"/>
      <c r="K132" s="289"/>
      <c r="L132" s="312">
        <v>11</v>
      </c>
      <c r="M132" s="389" t="s">
        <v>449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88"/>
      <c r="W132" s="558"/>
      <c r="X132" s="800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82"/>
      <c r="J133" s="782"/>
      <c r="K133" s="289"/>
      <c r="L133" s="312">
        <v>11</v>
      </c>
      <c r="M133" s="389" t="s">
        <v>449</v>
      </c>
      <c r="N133" s="387" t="s">
        <v>453</v>
      </c>
      <c r="O133" s="539"/>
      <c r="P133" s="443"/>
      <c r="Q133" s="386">
        <v>6000</v>
      </c>
      <c r="R133" s="575"/>
      <c r="S133" s="612" t="s">
        <v>454</v>
      </c>
      <c r="T133" s="684">
        <v>46022</v>
      </c>
      <c r="U133" s="695">
        <v>12421.030088874611</v>
      </c>
      <c r="V133" s="788"/>
      <c r="W133" s="713">
        <f>T133+30</f>
        <v>46052</v>
      </c>
      <c r="X133" s="800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83"/>
      <c r="J134" s="783"/>
      <c r="K134" s="290"/>
      <c r="L134" s="317">
        <v>11</v>
      </c>
      <c r="M134" s="418" t="s">
        <v>449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89"/>
      <c r="W134" s="560"/>
      <c r="X134" s="801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455</v>
      </c>
      <c r="D136" s="271" t="s">
        <v>456</v>
      </c>
      <c r="E136" s="272"/>
      <c r="F136" s="468"/>
      <c r="G136" s="339">
        <v>9178.8402400695904</v>
      </c>
      <c r="H136" s="569">
        <v>45991</v>
      </c>
      <c r="I136" s="805">
        <f>SUM(G136:G137)</f>
        <v>9178.8402400695904</v>
      </c>
      <c r="J136" s="805">
        <v>0</v>
      </c>
      <c r="K136" s="832"/>
      <c r="L136" s="270">
        <v>12</v>
      </c>
      <c r="M136" s="271" t="s">
        <v>457</v>
      </c>
      <c r="N136" s="271" t="s">
        <v>456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808">
        <f>SUM(Q136:Q137)</f>
        <v>0</v>
      </c>
      <c r="Y136" s="480"/>
    </row>
    <row r="137" spans="1:25" ht="15" customHeight="1" thickBot="1">
      <c r="B137" s="274">
        <v>12</v>
      </c>
      <c r="C137" s="345" t="s">
        <v>455</v>
      </c>
      <c r="D137" s="345"/>
      <c r="E137" s="346"/>
      <c r="F137" s="470"/>
      <c r="G137" s="275"/>
      <c r="H137" s="572"/>
      <c r="I137" s="807"/>
      <c r="J137" s="807"/>
      <c r="K137" s="833"/>
      <c r="L137" s="274">
        <v>12</v>
      </c>
      <c r="M137" s="345" t="s">
        <v>457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810"/>
      <c r="Y137" s="480"/>
    </row>
    <row r="138" spans="1:25" ht="14.45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458</v>
      </c>
      <c r="D139" s="352" t="s">
        <v>459</v>
      </c>
      <c r="E139" s="284"/>
      <c r="F139" s="436"/>
      <c r="G139" s="285">
        <f>D187</f>
        <v>19886.013775664254</v>
      </c>
      <c r="H139" s="565">
        <v>45991</v>
      </c>
      <c r="I139" s="781">
        <f>SUM(G139:G143)</f>
        <v>19886.013775664254</v>
      </c>
      <c r="J139" s="781">
        <f>F187</f>
        <v>22597.742926891198</v>
      </c>
      <c r="K139" s="286"/>
      <c r="L139" s="282">
        <v>13</v>
      </c>
      <c r="M139" s="352" t="s">
        <v>460</v>
      </c>
      <c r="N139" s="352" t="s">
        <v>461</v>
      </c>
      <c r="O139" s="537"/>
      <c r="P139" s="436"/>
      <c r="Q139" s="285">
        <v>25059.23</v>
      </c>
      <c r="R139" s="581"/>
      <c r="S139" s="618" t="s">
        <v>462</v>
      </c>
      <c r="T139" s="686">
        <v>46053</v>
      </c>
      <c r="U139" s="844">
        <v>22597.742926891198</v>
      </c>
      <c r="V139" s="787">
        <f>J139-SUM(U139:U144)</f>
        <v>0</v>
      </c>
      <c r="W139" s="565">
        <v>46080</v>
      </c>
      <c r="X139" s="799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82"/>
      <c r="J140" s="782"/>
      <c r="K140" s="289"/>
      <c r="L140" s="312">
        <v>13</v>
      </c>
      <c r="M140" s="389" t="s">
        <v>460</v>
      </c>
      <c r="N140" s="314" t="s">
        <v>463</v>
      </c>
      <c r="O140" s="538"/>
      <c r="P140" s="457"/>
      <c r="Q140" s="316">
        <v>0</v>
      </c>
      <c r="R140" s="574"/>
      <c r="S140" s="611"/>
      <c r="T140" s="517"/>
      <c r="U140" s="701">
        <v>0</v>
      </c>
      <c r="V140" s="788"/>
      <c r="W140" s="558"/>
      <c r="X140" s="800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82"/>
      <c r="J141" s="782"/>
      <c r="K141" s="289"/>
      <c r="L141" s="312">
        <v>13</v>
      </c>
      <c r="M141" s="389" t="s">
        <v>460</v>
      </c>
      <c r="N141" s="314" t="s">
        <v>464</v>
      </c>
      <c r="O141" s="538"/>
      <c r="P141" s="457"/>
      <c r="Q141" s="316">
        <f>G141</f>
        <v>0</v>
      </c>
      <c r="R141" s="574"/>
      <c r="S141" s="611"/>
      <c r="T141" s="517"/>
      <c r="U141" s="701">
        <v>0</v>
      </c>
      <c r="V141" s="788"/>
      <c r="W141" s="558"/>
      <c r="X141" s="800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82"/>
      <c r="J142" s="782"/>
      <c r="K142" s="289"/>
      <c r="L142" s="312">
        <v>13</v>
      </c>
      <c r="M142" s="389" t="s">
        <v>460</v>
      </c>
      <c r="N142" s="314" t="s">
        <v>465</v>
      </c>
      <c r="O142" s="538"/>
      <c r="P142" s="457"/>
      <c r="Q142" s="316">
        <f>G142</f>
        <v>0</v>
      </c>
      <c r="R142" s="574"/>
      <c r="S142" s="611"/>
      <c r="T142" s="517"/>
      <c r="U142" s="701">
        <v>0</v>
      </c>
      <c r="V142" s="788"/>
      <c r="W142" s="558"/>
      <c r="X142" s="800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82"/>
      <c r="J143" s="782"/>
      <c r="K143" s="289"/>
      <c r="L143" s="312">
        <v>13</v>
      </c>
      <c r="M143" s="389" t="s">
        <v>460</v>
      </c>
      <c r="N143" s="314" t="s">
        <v>466</v>
      </c>
      <c r="O143" s="538"/>
      <c r="P143" s="457"/>
      <c r="Q143" s="316">
        <f>G143</f>
        <v>0</v>
      </c>
      <c r="R143" s="574"/>
      <c r="S143" s="611"/>
      <c r="T143" s="517"/>
      <c r="U143" s="701">
        <v>0</v>
      </c>
      <c r="V143" s="788"/>
      <c r="W143" s="558"/>
      <c r="X143" s="800"/>
      <c r="Y143" s="480"/>
    </row>
    <row r="144" spans="1:25" ht="15.75" customHeight="1">
      <c r="B144" s="317">
        <v>13</v>
      </c>
      <c r="C144" s="318"/>
      <c r="D144" s="318"/>
      <c r="E144" s="319"/>
      <c r="F144" s="458"/>
      <c r="G144" s="331"/>
      <c r="H144" s="560"/>
      <c r="I144" s="783"/>
      <c r="J144" s="783"/>
      <c r="K144" s="365"/>
      <c r="L144" s="317">
        <v>13</v>
      </c>
      <c r="M144" s="418" t="s">
        <v>460</v>
      </c>
      <c r="N144" s="318"/>
      <c r="O144" s="540"/>
      <c r="P144" s="458"/>
      <c r="Q144" s="331"/>
      <c r="R144" s="576"/>
      <c r="S144" s="613"/>
      <c r="T144" s="519"/>
      <c r="U144" s="730">
        <v>0</v>
      </c>
      <c r="V144" s="789"/>
      <c r="W144" s="560"/>
      <c r="X144" s="801"/>
      <c r="Y144" s="480"/>
    </row>
    <row r="145" spans="1:25" ht="14.45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467</v>
      </c>
      <c r="D146" s="271" t="s">
        <v>468</v>
      </c>
      <c r="E146" s="272"/>
      <c r="F146" s="468"/>
      <c r="G146" s="339">
        <f>D198</f>
        <v>4375</v>
      </c>
      <c r="H146" s="571">
        <v>45930</v>
      </c>
      <c r="I146" s="805">
        <f>SUM(G146:G157)</f>
        <v>4375</v>
      </c>
      <c r="J146" s="805">
        <f>F198</f>
        <v>4861.1111111111113</v>
      </c>
      <c r="K146" s="340"/>
      <c r="L146" s="270">
        <v>14</v>
      </c>
      <c r="M146" s="433" t="s">
        <v>469</v>
      </c>
      <c r="N146" s="271" t="s">
        <v>470</v>
      </c>
      <c r="O146" s="548"/>
      <c r="P146" s="641"/>
      <c r="Q146" s="646">
        <v>0</v>
      </c>
      <c r="R146" s="643"/>
      <c r="S146" s="629" t="s">
        <v>471</v>
      </c>
      <c r="T146" s="692">
        <f t="shared" si="17"/>
        <v>45961</v>
      </c>
      <c r="U146" s="693">
        <v>0</v>
      </c>
      <c r="V146" s="817">
        <f>J146-SUM(U146:U157)</f>
        <v>-2.9762939448119141E-3</v>
      </c>
      <c r="W146" s="694">
        <v>45961</v>
      </c>
      <c r="X146" s="808">
        <f>SUM(Q146:Q157)</f>
        <v>2023.1599999999999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806"/>
      <c r="J147" s="806"/>
      <c r="K147" s="273"/>
      <c r="L147" s="341">
        <v>14</v>
      </c>
      <c r="M147" s="434" t="s">
        <v>469</v>
      </c>
      <c r="N147" s="342" t="s">
        <v>470</v>
      </c>
      <c r="O147" s="549"/>
      <c r="P147" s="642"/>
      <c r="Q147" s="645">
        <v>863.3</v>
      </c>
      <c r="R147" s="644"/>
      <c r="S147" s="629" t="s">
        <v>471</v>
      </c>
      <c r="T147" s="720">
        <v>45991</v>
      </c>
      <c r="U147" s="702">
        <v>2144.3484950421412</v>
      </c>
      <c r="V147" s="818"/>
      <c r="W147" s="694">
        <v>45996</v>
      </c>
      <c r="X147" s="809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806"/>
      <c r="J148" s="806"/>
      <c r="K148" s="273"/>
      <c r="L148" s="341">
        <v>14</v>
      </c>
      <c r="M148" s="434" t="s">
        <v>469</v>
      </c>
      <c r="N148" s="342" t="s">
        <v>470</v>
      </c>
      <c r="O148" s="549"/>
      <c r="P148" s="469"/>
      <c r="Q148" s="344">
        <v>1023.4</v>
      </c>
      <c r="R148" s="589"/>
      <c r="S148" s="629" t="s">
        <v>471</v>
      </c>
      <c r="T148" s="720">
        <v>46022</v>
      </c>
      <c r="U148" s="702">
        <v>2716.7655923629154</v>
      </c>
      <c r="V148" s="818"/>
      <c r="W148" s="694">
        <v>46030</v>
      </c>
      <c r="X148" s="809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806"/>
      <c r="J149" s="806"/>
      <c r="K149" s="273"/>
      <c r="L149" s="341">
        <v>14</v>
      </c>
      <c r="M149" s="434" t="s">
        <v>469</v>
      </c>
      <c r="N149" s="342" t="s">
        <v>470</v>
      </c>
      <c r="O149" s="549"/>
      <c r="P149" s="469"/>
      <c r="Q149" s="344">
        <v>136.46</v>
      </c>
      <c r="R149" s="589"/>
      <c r="S149" s="629" t="s">
        <v>471</v>
      </c>
      <c r="T149" s="720">
        <v>46053</v>
      </c>
      <c r="U149" s="702">
        <v>0</v>
      </c>
      <c r="V149" s="818"/>
      <c r="W149" s="694">
        <v>46058</v>
      </c>
      <c r="X149" s="809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806"/>
      <c r="J150" s="806"/>
      <c r="K150" s="273"/>
      <c r="L150" s="341">
        <v>14</v>
      </c>
      <c r="M150" s="434" t="s">
        <v>469</v>
      </c>
      <c r="N150" s="342" t="s">
        <v>470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ref="U149:U157" si="24">(Q150/$X$146*$J$146)</f>
        <v>0</v>
      </c>
      <c r="V150" s="818"/>
      <c r="W150" s="571"/>
      <c r="X150" s="809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806"/>
      <c r="J151" s="806"/>
      <c r="K151" s="273"/>
      <c r="L151" s="341">
        <v>14</v>
      </c>
      <c r="M151" s="434" t="s">
        <v>469</v>
      </c>
      <c r="N151" s="342" t="s">
        <v>470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4"/>
        <v>0</v>
      </c>
      <c r="V151" s="818"/>
      <c r="W151" s="571"/>
      <c r="X151" s="809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806"/>
      <c r="J152" s="806"/>
      <c r="K152" s="273"/>
      <c r="L152" s="341">
        <v>14</v>
      </c>
      <c r="M152" s="434" t="s">
        <v>469</v>
      </c>
      <c r="N152" s="342" t="s">
        <v>470</v>
      </c>
      <c r="O152" s="549"/>
      <c r="P152" s="469"/>
      <c r="Q152" s="344"/>
      <c r="R152" s="589"/>
      <c r="S152" s="623"/>
      <c r="T152" s="530" t="str">
        <f t="shared" ref="T152:T170" si="25">IF(W152&gt;1,EOMONTH(W152,0),"")</f>
        <v/>
      </c>
      <c r="U152" s="515">
        <f t="shared" si="24"/>
        <v>0</v>
      </c>
      <c r="V152" s="818"/>
      <c r="W152" s="571"/>
      <c r="X152" s="809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806"/>
      <c r="J153" s="806"/>
      <c r="K153" s="273"/>
      <c r="L153" s="341">
        <v>14</v>
      </c>
      <c r="M153" s="434" t="s">
        <v>469</v>
      </c>
      <c r="N153" s="342" t="s">
        <v>470</v>
      </c>
      <c r="O153" s="549"/>
      <c r="P153" s="469"/>
      <c r="Q153" s="344"/>
      <c r="R153" s="589"/>
      <c r="S153" s="623"/>
      <c r="T153" s="530" t="str">
        <f t="shared" si="25"/>
        <v/>
      </c>
      <c r="U153" s="515">
        <f t="shared" si="24"/>
        <v>0</v>
      </c>
      <c r="V153" s="818"/>
      <c r="W153" s="571"/>
      <c r="X153" s="809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806"/>
      <c r="J154" s="806"/>
      <c r="K154" s="273"/>
      <c r="L154" s="341">
        <v>14</v>
      </c>
      <c r="M154" s="434" t="s">
        <v>469</v>
      </c>
      <c r="N154" s="342" t="s">
        <v>470</v>
      </c>
      <c r="O154" s="549"/>
      <c r="P154" s="469"/>
      <c r="Q154" s="344"/>
      <c r="R154" s="589"/>
      <c r="S154" s="623"/>
      <c r="T154" s="530" t="str">
        <f t="shared" si="25"/>
        <v/>
      </c>
      <c r="U154" s="515">
        <f t="shared" si="24"/>
        <v>0</v>
      </c>
      <c r="V154" s="818"/>
      <c r="W154" s="571"/>
      <c r="X154" s="809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806"/>
      <c r="J155" s="806"/>
      <c r="K155" s="273"/>
      <c r="L155" s="341">
        <v>14</v>
      </c>
      <c r="M155" s="434" t="s">
        <v>469</v>
      </c>
      <c r="N155" s="342" t="s">
        <v>470</v>
      </c>
      <c r="O155" s="549"/>
      <c r="P155" s="469"/>
      <c r="Q155" s="344"/>
      <c r="R155" s="589"/>
      <c r="S155" s="623"/>
      <c r="T155" s="530" t="str">
        <f t="shared" si="25"/>
        <v/>
      </c>
      <c r="U155" s="515">
        <f t="shared" si="24"/>
        <v>0</v>
      </c>
      <c r="V155" s="818"/>
      <c r="W155" s="571"/>
      <c r="X155" s="809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806"/>
      <c r="J156" s="806"/>
      <c r="K156" s="273"/>
      <c r="L156" s="341">
        <v>14</v>
      </c>
      <c r="M156" s="434" t="s">
        <v>469</v>
      </c>
      <c r="N156" s="342"/>
      <c r="O156" s="549"/>
      <c r="P156" s="469"/>
      <c r="Q156" s="344"/>
      <c r="R156" s="589"/>
      <c r="S156" s="625"/>
      <c r="T156" s="530" t="str">
        <f t="shared" si="25"/>
        <v/>
      </c>
      <c r="U156" s="515">
        <f t="shared" si="24"/>
        <v>0</v>
      </c>
      <c r="V156" s="818"/>
      <c r="W156" s="571"/>
      <c r="X156" s="809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807"/>
      <c r="J157" s="807"/>
      <c r="K157" s="276"/>
      <c r="L157" s="274">
        <v>14</v>
      </c>
      <c r="M157" s="435" t="s">
        <v>469</v>
      </c>
      <c r="N157" s="345"/>
      <c r="O157" s="550"/>
      <c r="P157" s="470"/>
      <c r="Q157" s="275"/>
      <c r="R157" s="590"/>
      <c r="S157" s="626"/>
      <c r="T157" s="531" t="str">
        <f t="shared" si="25"/>
        <v/>
      </c>
      <c r="U157" s="516">
        <f t="shared" si="24"/>
        <v>0</v>
      </c>
      <c r="V157" s="819"/>
      <c r="W157" s="572"/>
      <c r="X157" s="810"/>
      <c r="Y157" s="480"/>
    </row>
    <row r="158" spans="1:25" ht="14.45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5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472</v>
      </c>
      <c r="D159" s="283"/>
      <c r="E159" s="284"/>
      <c r="F159" s="436"/>
      <c r="G159" s="285"/>
      <c r="H159" s="565"/>
      <c r="I159" s="781">
        <f>SUM(G159:G170)</f>
        <v>0</v>
      </c>
      <c r="J159" s="781">
        <f>F195</f>
        <v>0</v>
      </c>
      <c r="K159" s="286"/>
      <c r="L159" s="282">
        <v>15</v>
      </c>
      <c r="M159" s="352" t="s">
        <v>473</v>
      </c>
      <c r="N159" s="283"/>
      <c r="O159" s="284"/>
      <c r="P159" s="436"/>
      <c r="Q159" s="285"/>
      <c r="R159" s="581"/>
      <c r="S159" s="618"/>
      <c r="T159" s="524" t="str">
        <f t="shared" si="25"/>
        <v/>
      </c>
      <c r="U159" s="510"/>
      <c r="V159" s="787">
        <v>0</v>
      </c>
      <c r="W159" s="565"/>
      <c r="X159" s="799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82"/>
      <c r="J160" s="782"/>
      <c r="K160" s="289"/>
      <c r="L160" s="312">
        <v>15</v>
      </c>
      <c r="M160" s="389" t="s">
        <v>473</v>
      </c>
      <c r="N160" s="314" t="s">
        <v>474</v>
      </c>
      <c r="O160" s="538"/>
      <c r="P160" s="457"/>
      <c r="Q160" s="316">
        <v>7000</v>
      </c>
      <c r="R160" s="574" t="s">
        <v>475</v>
      </c>
      <c r="S160" s="611" t="s">
        <v>476</v>
      </c>
      <c r="T160" s="657">
        <v>45991</v>
      </c>
      <c r="U160" s="502"/>
      <c r="V160" s="788"/>
      <c r="W160" s="703">
        <v>45967</v>
      </c>
      <c r="X160" s="800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82"/>
      <c r="J161" s="782"/>
      <c r="K161" s="289"/>
      <c r="L161" s="312">
        <v>15</v>
      </c>
      <c r="M161" s="389" t="s">
        <v>473</v>
      </c>
      <c r="N161" s="314" t="s">
        <v>477</v>
      </c>
      <c r="O161" s="538"/>
      <c r="P161" s="457"/>
      <c r="Q161" s="316">
        <v>14800</v>
      </c>
      <c r="R161" s="574" t="s">
        <v>478</v>
      </c>
      <c r="S161" s="611" t="s">
        <v>479</v>
      </c>
      <c r="T161" s="657">
        <v>46022</v>
      </c>
      <c r="U161" s="502"/>
      <c r="V161" s="788"/>
      <c r="W161" s="722">
        <v>45995</v>
      </c>
      <c r="X161" s="800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82"/>
      <c r="J162" s="782"/>
      <c r="K162" s="289"/>
      <c r="L162" s="312">
        <v>15</v>
      </c>
      <c r="M162" s="389" t="s">
        <v>473</v>
      </c>
      <c r="N162" s="314"/>
      <c r="O162" s="538"/>
      <c r="P162" s="457"/>
      <c r="Q162" s="316"/>
      <c r="R162" s="574"/>
      <c r="S162" s="611"/>
      <c r="T162" s="517" t="str">
        <f t="shared" si="25"/>
        <v/>
      </c>
      <c r="U162" s="502"/>
      <c r="V162" s="788"/>
      <c r="W162" s="558"/>
      <c r="X162" s="800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82"/>
      <c r="J163" s="782"/>
      <c r="K163" s="289"/>
      <c r="L163" s="312">
        <v>15</v>
      </c>
      <c r="M163" s="389" t="s">
        <v>473</v>
      </c>
      <c r="N163" s="314"/>
      <c r="O163" s="538"/>
      <c r="P163" s="457"/>
      <c r="Q163" s="316"/>
      <c r="R163" s="574"/>
      <c r="S163" s="611"/>
      <c r="T163" s="517" t="str">
        <f t="shared" si="25"/>
        <v/>
      </c>
      <c r="U163" s="502"/>
      <c r="V163" s="788"/>
      <c r="W163" s="558"/>
      <c r="X163" s="800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82"/>
      <c r="J164" s="782"/>
      <c r="K164" s="289"/>
      <c r="L164" s="312">
        <v>15</v>
      </c>
      <c r="M164" s="389" t="s">
        <v>473</v>
      </c>
      <c r="N164" s="314"/>
      <c r="O164" s="538"/>
      <c r="P164" s="457"/>
      <c r="Q164" s="316"/>
      <c r="R164" s="574"/>
      <c r="S164" s="611"/>
      <c r="T164" s="517" t="str">
        <f t="shared" si="25"/>
        <v/>
      </c>
      <c r="U164" s="502"/>
      <c r="V164" s="788"/>
      <c r="W164" s="558"/>
      <c r="X164" s="800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82"/>
      <c r="J165" s="782"/>
      <c r="K165" s="289"/>
      <c r="L165" s="312">
        <v>15</v>
      </c>
      <c r="M165" s="389" t="s">
        <v>473</v>
      </c>
      <c r="N165" s="314"/>
      <c r="O165" s="538"/>
      <c r="P165" s="457"/>
      <c r="Q165" s="316"/>
      <c r="R165" s="574"/>
      <c r="S165" s="611"/>
      <c r="T165" s="517" t="str">
        <f t="shared" si="25"/>
        <v/>
      </c>
      <c r="U165" s="502"/>
      <c r="V165" s="788"/>
      <c r="W165" s="558"/>
      <c r="X165" s="800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82"/>
      <c r="J166" s="782"/>
      <c r="K166" s="289"/>
      <c r="L166" s="312">
        <v>15</v>
      </c>
      <c r="M166" s="389" t="s">
        <v>473</v>
      </c>
      <c r="N166" s="314"/>
      <c r="O166" s="538"/>
      <c r="P166" s="457"/>
      <c r="Q166" s="316"/>
      <c r="R166" s="574"/>
      <c r="S166" s="611"/>
      <c r="T166" s="517" t="str">
        <f t="shared" si="25"/>
        <v/>
      </c>
      <c r="U166" s="502"/>
      <c r="V166" s="788"/>
      <c r="W166" s="558"/>
      <c r="X166" s="800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82"/>
      <c r="J167" s="782"/>
      <c r="K167" s="289"/>
      <c r="L167" s="312">
        <v>15</v>
      </c>
      <c r="M167" s="389" t="s">
        <v>473</v>
      </c>
      <c r="N167" s="314"/>
      <c r="O167" s="538"/>
      <c r="P167" s="457"/>
      <c r="Q167" s="316"/>
      <c r="R167" s="574"/>
      <c r="S167" s="611"/>
      <c r="T167" s="517" t="str">
        <f t="shared" si="25"/>
        <v/>
      </c>
      <c r="U167" s="502"/>
      <c r="V167" s="788"/>
      <c r="W167" s="558"/>
      <c r="X167" s="800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82"/>
      <c r="J168" s="782"/>
      <c r="K168" s="289"/>
      <c r="L168" s="312">
        <v>15</v>
      </c>
      <c r="M168" s="389" t="s">
        <v>473</v>
      </c>
      <c r="N168" s="314"/>
      <c r="O168" s="538"/>
      <c r="P168" s="457"/>
      <c r="Q168" s="316"/>
      <c r="R168" s="574"/>
      <c r="S168" s="611"/>
      <c r="T168" s="517" t="str">
        <f t="shared" si="25"/>
        <v/>
      </c>
      <c r="U168" s="502"/>
      <c r="V168" s="788"/>
      <c r="W168" s="558"/>
      <c r="X168" s="800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82"/>
      <c r="J169" s="782"/>
      <c r="K169" s="289"/>
      <c r="L169" s="312">
        <v>15</v>
      </c>
      <c r="M169" s="389" t="s">
        <v>473</v>
      </c>
      <c r="N169" s="314"/>
      <c r="O169" s="538"/>
      <c r="P169" s="457"/>
      <c r="Q169" s="316"/>
      <c r="R169" s="574"/>
      <c r="S169" s="611"/>
      <c r="T169" s="517" t="str">
        <f t="shared" si="25"/>
        <v/>
      </c>
      <c r="U169" s="502"/>
      <c r="V169" s="788"/>
      <c r="W169" s="558"/>
      <c r="X169" s="800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83"/>
      <c r="J170" s="783"/>
      <c r="K170" s="290"/>
      <c r="L170" s="317">
        <v>15</v>
      </c>
      <c r="M170" s="418" t="s">
        <v>473</v>
      </c>
      <c r="N170" s="318"/>
      <c r="O170" s="540"/>
      <c r="P170" s="458"/>
      <c r="Q170" s="331"/>
      <c r="R170" s="576"/>
      <c r="S170" s="613"/>
      <c r="T170" s="519" t="str">
        <f t="shared" si="25"/>
        <v/>
      </c>
      <c r="U170" s="504"/>
      <c r="V170" s="789"/>
      <c r="W170" s="560"/>
      <c r="X170" s="801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480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481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482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375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419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396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483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484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485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486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487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488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489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490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491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492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493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494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495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496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497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498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485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499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500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  <mergeCell ref="X136:X137"/>
    <mergeCell ref="V130:V134"/>
    <mergeCell ref="I130:I134"/>
    <mergeCell ref="R116:R125"/>
    <mergeCell ref="R98:R107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I48:I56"/>
    <mergeCell ref="J48:J56"/>
    <mergeCell ref="I30:I46"/>
    <mergeCell ref="J30:J46"/>
    <mergeCell ref="X30:X46"/>
    <mergeCell ref="V30:V46"/>
    <mergeCell ref="R34:R43"/>
    <mergeCell ref="I14:I20"/>
    <mergeCell ref="J14:J20"/>
    <mergeCell ref="X14:X20"/>
    <mergeCell ref="I22:I28"/>
    <mergeCell ref="J22:J28"/>
    <mergeCell ref="V14:V20"/>
    <mergeCell ref="V22:V28"/>
    <mergeCell ref="X22:X28"/>
    <mergeCell ref="B2:G2"/>
    <mergeCell ref="L2:Q2"/>
    <mergeCell ref="I6:I12"/>
    <mergeCell ref="J6:J12"/>
    <mergeCell ref="R2:W2"/>
    <mergeCell ref="V6:V1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bottomRight" activeCell="S10" sqref="S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5703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92"/>
  </cols>
  <sheetData>
    <row r="1" spans="1:770">
      <c r="D1" s="188" t="s">
        <v>501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4" t="s">
        <v>502</v>
      </c>
      <c r="B2" s="193"/>
      <c r="C2" s="194" t="s">
        <v>331</v>
      </c>
      <c r="D2" s="194" t="s">
        <v>331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5"/>
      <c r="B3" s="196" t="s">
        <v>255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5"/>
      <c r="B4" s="196" t="s">
        <v>503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5"/>
      <c r="B5" s="200" t="s">
        <v>256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5"/>
      <c r="B6" s="200" t="s">
        <v>504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5"/>
      <c r="B7" s="205" t="s">
        <v>505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4" t="s">
        <v>246</v>
      </c>
      <c r="B8" s="193"/>
      <c r="C8" s="194" t="s">
        <v>331</v>
      </c>
      <c r="D8" s="194" t="s">
        <v>331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5"/>
      <c r="B9" s="210" t="s">
        <v>506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5"/>
      <c r="B10" s="210" t="s">
        <v>507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5"/>
      <c r="B11" s="213" t="s">
        <v>508</v>
      </c>
      <c r="C11" s="214">
        <f>'Revenue Tracking'!F5</f>
        <v>1378410.1240000001</v>
      </c>
      <c r="D11" s="214">
        <f>SUM(F11:KF11)</f>
        <v>1378410.1240000001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66859.90800000001</v>
      </c>
      <c r="AK11" s="215">
        <f>SUMIFS('Expenditure Breakdown'!$Q$6:$Q$178, 'Expenditure Breakdown'!$W$6:$W$178, "&gt;="&amp;AK1,'Expenditure Breakdown'!$W$6:$W$178, "&lt;"&amp;AL1)</f>
        <v>0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22241.137999999999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5"/>
      <c r="B12" s="213" t="s">
        <v>509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1331109.7560000001</v>
      </c>
      <c r="AK12" s="215">
        <f t="shared" si="26"/>
        <v>1331109.7560000001</v>
      </c>
      <c r="AL12" s="215">
        <f t="shared" si="26"/>
        <v>1331109.7560000001</v>
      </c>
      <c r="AM12" s="215">
        <f t="shared" si="26"/>
        <v>1356168.986</v>
      </c>
      <c r="AN12" s="215">
        <f t="shared" si="26"/>
        <v>1378410.1240000001</v>
      </c>
      <c r="AO12" s="215">
        <f t="shared" si="26"/>
        <v>1378410.1240000001</v>
      </c>
      <c r="AP12" s="215">
        <f t="shared" si="26"/>
        <v>1378410.1240000001</v>
      </c>
      <c r="AQ12" s="215">
        <f t="shared" si="26"/>
        <v>1378410.1240000001</v>
      </c>
      <c r="AR12" s="215">
        <f t="shared" si="26"/>
        <v>1378410.1240000001</v>
      </c>
      <c r="AS12" s="215">
        <f t="shared" si="26"/>
        <v>1378410.1240000001</v>
      </c>
      <c r="AT12" s="215">
        <f t="shared" si="26"/>
        <v>1378410.1240000001</v>
      </c>
      <c r="AU12" s="215">
        <f t="shared" si="26"/>
        <v>1378410.1240000001</v>
      </c>
      <c r="AV12" s="215">
        <f t="shared" si="26"/>
        <v>1378410.1240000001</v>
      </c>
      <c r="AW12" s="215">
        <f t="shared" si="26"/>
        <v>1378410.1240000001</v>
      </c>
      <c r="AX12" s="215">
        <f t="shared" si="26"/>
        <v>1378410.1240000001</v>
      </c>
      <c r="AY12" s="215">
        <f t="shared" si="26"/>
        <v>1378410.1240000001</v>
      </c>
      <c r="AZ12" s="215">
        <f t="shared" si="26"/>
        <v>1378410.1240000001</v>
      </c>
      <c r="BA12" s="215">
        <f t="shared" si="26"/>
        <v>1378410.1240000001</v>
      </c>
      <c r="BB12" s="215">
        <f t="shared" si="26"/>
        <v>1378410.1240000001</v>
      </c>
      <c r="BC12" s="215">
        <f t="shared" si="26"/>
        <v>1378410.1240000001</v>
      </c>
      <c r="BD12" s="215">
        <f t="shared" si="26"/>
        <v>1378410.1240000001</v>
      </c>
      <c r="BE12" s="215">
        <f t="shared" si="26"/>
        <v>1378410.1240000001</v>
      </c>
      <c r="BF12" s="215">
        <f t="shared" si="26"/>
        <v>1378410.1240000001</v>
      </c>
      <c r="BG12" s="215">
        <f t="shared" si="26"/>
        <v>1378410.1240000001</v>
      </c>
      <c r="BH12" s="215">
        <f t="shared" si="26"/>
        <v>1378410.1240000001</v>
      </c>
      <c r="BI12" s="215">
        <f t="shared" si="26"/>
        <v>1378410.1240000001</v>
      </c>
      <c r="BJ12" s="215">
        <f t="shared" si="26"/>
        <v>1378410.1240000001</v>
      </c>
      <c r="BK12" s="215">
        <f t="shared" si="26"/>
        <v>1378410.1240000001</v>
      </c>
      <c r="BL12" s="215">
        <f t="shared" si="26"/>
        <v>1378410.1240000001</v>
      </c>
      <c r="BM12" s="215">
        <f t="shared" si="26"/>
        <v>1378410.1240000001</v>
      </c>
      <c r="BN12" s="215">
        <f t="shared" si="26"/>
        <v>1378410.1240000001</v>
      </c>
      <c r="BO12" s="215">
        <f t="shared" si="26"/>
        <v>1378410.1240000001</v>
      </c>
      <c r="BP12" s="215">
        <f t="shared" si="26"/>
        <v>1378410.1240000001</v>
      </c>
      <c r="BQ12" s="215">
        <f t="shared" si="26"/>
        <v>1378410.1240000001</v>
      </c>
      <c r="BR12" s="215">
        <f t="shared" si="26"/>
        <v>1378410.1240000001</v>
      </c>
      <c r="BS12" s="215">
        <f t="shared" si="26"/>
        <v>1378410.1240000001</v>
      </c>
      <c r="BT12" s="215">
        <f t="shared" si="26"/>
        <v>1378410.1240000001</v>
      </c>
      <c r="BU12" s="215">
        <f t="shared" ref="BU12:EF12" si="27">BT12+BU11</f>
        <v>1378410.1240000001</v>
      </c>
      <c r="BV12" s="215">
        <f t="shared" si="27"/>
        <v>1378410.1240000001</v>
      </c>
      <c r="BW12" s="215">
        <f t="shared" si="27"/>
        <v>1378410.1240000001</v>
      </c>
      <c r="BX12" s="215">
        <f t="shared" si="27"/>
        <v>1378410.1240000001</v>
      </c>
      <c r="BY12" s="215">
        <f t="shared" si="27"/>
        <v>1378410.1240000001</v>
      </c>
      <c r="BZ12" s="215">
        <f t="shared" si="27"/>
        <v>1378410.1240000001</v>
      </c>
      <c r="CA12" s="215">
        <f t="shared" si="27"/>
        <v>1378410.1240000001</v>
      </c>
      <c r="CB12" s="215">
        <f t="shared" si="27"/>
        <v>1378410.1240000001</v>
      </c>
      <c r="CC12" s="215">
        <f t="shared" si="27"/>
        <v>1378410.1240000001</v>
      </c>
      <c r="CD12" s="215">
        <f t="shared" si="27"/>
        <v>1378410.1240000001</v>
      </c>
      <c r="CE12" s="215">
        <f t="shared" si="27"/>
        <v>1378410.1240000001</v>
      </c>
      <c r="CF12" s="215">
        <f t="shared" si="27"/>
        <v>1378410.1240000001</v>
      </c>
      <c r="CG12" s="215">
        <f t="shared" si="27"/>
        <v>1378410.1240000001</v>
      </c>
      <c r="CH12" s="215">
        <f t="shared" si="27"/>
        <v>1378410.1240000001</v>
      </c>
      <c r="CI12" s="215">
        <f t="shared" si="27"/>
        <v>1378410.1240000001</v>
      </c>
      <c r="CJ12" s="215">
        <f t="shared" si="27"/>
        <v>1378410.1240000001</v>
      </c>
      <c r="CK12" s="215">
        <f t="shared" si="27"/>
        <v>1378410.1240000001</v>
      </c>
      <c r="CL12" s="215">
        <f t="shared" si="27"/>
        <v>1378410.1240000001</v>
      </c>
      <c r="CM12" s="215">
        <f t="shared" si="27"/>
        <v>1378410.1240000001</v>
      </c>
      <c r="CN12" s="215">
        <f t="shared" si="27"/>
        <v>1378410.1240000001</v>
      </c>
      <c r="CO12" s="215">
        <f t="shared" si="27"/>
        <v>1378410.1240000001</v>
      </c>
      <c r="CP12" s="215">
        <f t="shared" si="27"/>
        <v>1378410.1240000001</v>
      </c>
      <c r="CQ12" s="215">
        <f t="shared" si="27"/>
        <v>1378410.1240000001</v>
      </c>
      <c r="CR12" s="215">
        <f t="shared" si="27"/>
        <v>1378410.1240000001</v>
      </c>
      <c r="CS12" s="215">
        <f t="shared" si="27"/>
        <v>1378410.1240000001</v>
      </c>
      <c r="CT12" s="215">
        <f t="shared" si="27"/>
        <v>1378410.1240000001</v>
      </c>
      <c r="CU12" s="215">
        <f t="shared" si="27"/>
        <v>1378410.1240000001</v>
      </c>
      <c r="CV12" s="215">
        <f t="shared" si="27"/>
        <v>1378410.1240000001</v>
      </c>
      <c r="CW12" s="215">
        <f t="shared" si="27"/>
        <v>1378410.1240000001</v>
      </c>
      <c r="CX12" s="215">
        <f t="shared" si="27"/>
        <v>1378410.1240000001</v>
      </c>
      <c r="CY12" s="215">
        <f t="shared" si="27"/>
        <v>1378410.1240000001</v>
      </c>
      <c r="CZ12" s="215">
        <f t="shared" si="27"/>
        <v>1378410.1240000001</v>
      </c>
      <c r="DA12" s="215">
        <f t="shared" si="27"/>
        <v>1378410.1240000001</v>
      </c>
      <c r="DB12" s="215">
        <f t="shared" si="27"/>
        <v>1378410.1240000001</v>
      </c>
      <c r="DC12" s="215">
        <f t="shared" si="27"/>
        <v>1378410.1240000001</v>
      </c>
      <c r="DD12" s="215">
        <f t="shared" si="27"/>
        <v>1378410.1240000001</v>
      </c>
      <c r="DE12" s="215">
        <f t="shared" si="27"/>
        <v>1378410.1240000001</v>
      </c>
      <c r="DF12" s="215">
        <f t="shared" si="27"/>
        <v>1378410.1240000001</v>
      </c>
      <c r="DG12" s="215">
        <f t="shared" si="27"/>
        <v>1378410.1240000001</v>
      </c>
      <c r="DH12" s="215">
        <f t="shared" si="27"/>
        <v>1378410.1240000001</v>
      </c>
      <c r="DI12" s="215">
        <f t="shared" si="27"/>
        <v>1378410.1240000001</v>
      </c>
      <c r="DJ12" s="215">
        <f t="shared" si="27"/>
        <v>1378410.1240000001</v>
      </c>
      <c r="DK12" s="215">
        <f t="shared" si="27"/>
        <v>1378410.1240000001</v>
      </c>
      <c r="DL12" s="215">
        <f t="shared" si="27"/>
        <v>1378410.1240000001</v>
      </c>
      <c r="DM12" s="215">
        <f t="shared" si="27"/>
        <v>1378410.1240000001</v>
      </c>
      <c r="DN12" s="215">
        <f t="shared" si="27"/>
        <v>1378410.1240000001</v>
      </c>
      <c r="DO12" s="215">
        <f t="shared" si="27"/>
        <v>1378410.1240000001</v>
      </c>
      <c r="DP12" s="215">
        <f t="shared" si="27"/>
        <v>1378410.1240000001</v>
      </c>
      <c r="DQ12" s="215">
        <f t="shared" si="27"/>
        <v>1378410.1240000001</v>
      </c>
      <c r="DR12" s="215">
        <f t="shared" si="27"/>
        <v>1378410.1240000001</v>
      </c>
      <c r="DS12" s="215">
        <f t="shared" si="27"/>
        <v>1378410.1240000001</v>
      </c>
      <c r="DT12" s="215">
        <f t="shared" si="27"/>
        <v>1378410.1240000001</v>
      </c>
      <c r="DU12" s="215">
        <f t="shared" si="27"/>
        <v>1378410.1240000001</v>
      </c>
      <c r="DV12" s="215">
        <f t="shared" si="27"/>
        <v>1378410.1240000001</v>
      </c>
      <c r="DW12" s="215">
        <f t="shared" si="27"/>
        <v>1378410.1240000001</v>
      </c>
      <c r="DX12" s="215">
        <f t="shared" si="27"/>
        <v>1378410.1240000001</v>
      </c>
      <c r="DY12" s="215">
        <f t="shared" si="27"/>
        <v>1378410.1240000001</v>
      </c>
      <c r="DZ12" s="215">
        <f t="shared" si="27"/>
        <v>1378410.1240000001</v>
      </c>
      <c r="EA12" s="215">
        <f t="shared" si="27"/>
        <v>1378410.1240000001</v>
      </c>
      <c r="EB12" s="215">
        <f t="shared" si="27"/>
        <v>1378410.1240000001</v>
      </c>
      <c r="EC12" s="215">
        <f t="shared" si="27"/>
        <v>1378410.1240000001</v>
      </c>
      <c r="ED12" s="215">
        <f t="shared" si="27"/>
        <v>1378410.1240000001</v>
      </c>
      <c r="EE12" s="215">
        <f t="shared" si="27"/>
        <v>1378410.1240000001</v>
      </c>
      <c r="EF12" s="215">
        <f t="shared" si="27"/>
        <v>1378410.1240000001</v>
      </c>
      <c r="EG12" s="215">
        <f t="shared" ref="EG12:GR12" si="28">EF12+EG11</f>
        <v>1378410.1240000001</v>
      </c>
      <c r="EH12" s="215">
        <f t="shared" si="28"/>
        <v>1378410.1240000001</v>
      </c>
      <c r="EI12" s="215">
        <f t="shared" si="28"/>
        <v>1378410.1240000001</v>
      </c>
      <c r="EJ12" s="215">
        <f t="shared" si="28"/>
        <v>1378410.1240000001</v>
      </c>
      <c r="EK12" s="215">
        <f t="shared" si="28"/>
        <v>1378410.1240000001</v>
      </c>
      <c r="EL12" s="215">
        <f t="shared" si="28"/>
        <v>1378410.1240000001</v>
      </c>
      <c r="EM12" s="215">
        <f t="shared" si="28"/>
        <v>1378410.1240000001</v>
      </c>
      <c r="EN12" s="215">
        <f t="shared" si="28"/>
        <v>1378410.1240000001</v>
      </c>
      <c r="EO12" s="215">
        <f t="shared" si="28"/>
        <v>1378410.1240000001</v>
      </c>
      <c r="EP12" s="215">
        <f t="shared" si="28"/>
        <v>1378410.1240000001</v>
      </c>
      <c r="EQ12" s="215">
        <f t="shared" si="28"/>
        <v>1378410.1240000001</v>
      </c>
      <c r="ER12" s="215">
        <f t="shared" si="28"/>
        <v>1378410.1240000001</v>
      </c>
      <c r="ES12" s="215">
        <f t="shared" si="28"/>
        <v>1378410.1240000001</v>
      </c>
      <c r="ET12" s="215">
        <f t="shared" si="28"/>
        <v>1378410.1240000001</v>
      </c>
      <c r="EU12" s="215">
        <f t="shared" si="28"/>
        <v>1378410.1240000001</v>
      </c>
      <c r="EV12" s="215">
        <f t="shared" si="28"/>
        <v>1378410.1240000001</v>
      </c>
      <c r="EW12" s="215">
        <f t="shared" si="28"/>
        <v>1378410.1240000001</v>
      </c>
      <c r="EX12" s="215">
        <f t="shared" si="28"/>
        <v>1378410.1240000001</v>
      </c>
      <c r="EY12" s="215">
        <f t="shared" si="28"/>
        <v>1378410.1240000001</v>
      </c>
      <c r="EZ12" s="215">
        <f t="shared" si="28"/>
        <v>1378410.1240000001</v>
      </c>
      <c r="FA12" s="215">
        <f t="shared" si="28"/>
        <v>1378410.1240000001</v>
      </c>
      <c r="FB12" s="215">
        <f t="shared" si="28"/>
        <v>1378410.1240000001</v>
      </c>
      <c r="FC12" s="215">
        <f t="shared" si="28"/>
        <v>1378410.1240000001</v>
      </c>
      <c r="FD12" s="215">
        <f t="shared" si="28"/>
        <v>1378410.1240000001</v>
      </c>
      <c r="FE12" s="215">
        <f t="shared" si="28"/>
        <v>1378410.1240000001</v>
      </c>
      <c r="FF12" s="215">
        <f t="shared" si="28"/>
        <v>1378410.1240000001</v>
      </c>
      <c r="FG12" s="215">
        <f t="shared" si="28"/>
        <v>1378410.1240000001</v>
      </c>
      <c r="FH12" s="215">
        <f t="shared" si="28"/>
        <v>1378410.1240000001</v>
      </c>
      <c r="FI12" s="215">
        <f t="shared" si="28"/>
        <v>1378410.1240000001</v>
      </c>
      <c r="FJ12" s="215">
        <f t="shared" si="28"/>
        <v>1378410.1240000001</v>
      </c>
      <c r="FK12" s="215">
        <f t="shared" si="28"/>
        <v>1378410.1240000001</v>
      </c>
      <c r="FL12" s="215">
        <f t="shared" si="28"/>
        <v>1378410.1240000001</v>
      </c>
      <c r="FM12" s="215">
        <f t="shared" si="28"/>
        <v>1378410.1240000001</v>
      </c>
      <c r="FN12" s="215">
        <f t="shared" si="28"/>
        <v>1378410.1240000001</v>
      </c>
      <c r="FO12" s="215">
        <f t="shared" si="28"/>
        <v>1378410.1240000001</v>
      </c>
      <c r="FP12" s="215">
        <f t="shared" si="28"/>
        <v>1378410.1240000001</v>
      </c>
      <c r="FQ12" s="215">
        <f t="shared" si="28"/>
        <v>1378410.1240000001</v>
      </c>
      <c r="FR12" s="215">
        <f t="shared" si="28"/>
        <v>1378410.1240000001</v>
      </c>
      <c r="FS12" s="215">
        <f t="shared" si="28"/>
        <v>1378410.1240000001</v>
      </c>
      <c r="FT12" s="215">
        <f t="shared" si="28"/>
        <v>1378410.1240000001</v>
      </c>
      <c r="FU12" s="215">
        <f t="shared" si="28"/>
        <v>1378410.1240000001</v>
      </c>
      <c r="FV12" s="215">
        <f t="shared" si="28"/>
        <v>1378410.1240000001</v>
      </c>
      <c r="FW12" s="215">
        <f t="shared" si="28"/>
        <v>1378410.1240000001</v>
      </c>
      <c r="FX12" s="215">
        <f t="shared" si="28"/>
        <v>1378410.1240000001</v>
      </c>
      <c r="FY12" s="215">
        <f t="shared" si="28"/>
        <v>1378410.1240000001</v>
      </c>
      <c r="FZ12" s="215">
        <f t="shared" si="28"/>
        <v>1378410.1240000001</v>
      </c>
      <c r="GA12" s="215">
        <f t="shared" si="28"/>
        <v>1378410.1240000001</v>
      </c>
      <c r="GB12" s="215">
        <f t="shared" si="28"/>
        <v>1378410.1240000001</v>
      </c>
      <c r="GC12" s="215">
        <f t="shared" si="28"/>
        <v>1378410.1240000001</v>
      </c>
      <c r="GD12" s="215">
        <f t="shared" si="28"/>
        <v>1378410.1240000001</v>
      </c>
      <c r="GE12" s="215">
        <f t="shared" si="28"/>
        <v>1378410.1240000001</v>
      </c>
      <c r="GF12" s="215">
        <f t="shared" si="28"/>
        <v>1378410.1240000001</v>
      </c>
      <c r="GG12" s="215">
        <f t="shared" si="28"/>
        <v>1378410.1240000001</v>
      </c>
      <c r="GH12" s="215">
        <f t="shared" si="28"/>
        <v>1378410.1240000001</v>
      </c>
      <c r="GI12" s="215">
        <f t="shared" si="28"/>
        <v>1378410.1240000001</v>
      </c>
      <c r="GJ12" s="215">
        <f t="shared" si="28"/>
        <v>1378410.1240000001</v>
      </c>
      <c r="GK12" s="215">
        <f t="shared" si="28"/>
        <v>1378410.1240000001</v>
      </c>
      <c r="GL12" s="215">
        <f t="shared" si="28"/>
        <v>1378410.1240000001</v>
      </c>
      <c r="GM12" s="215">
        <f t="shared" si="28"/>
        <v>1378410.1240000001</v>
      </c>
      <c r="GN12" s="215">
        <f t="shared" si="28"/>
        <v>1378410.1240000001</v>
      </c>
      <c r="GO12" s="215">
        <f t="shared" si="28"/>
        <v>1378410.1240000001</v>
      </c>
      <c r="GP12" s="215">
        <f t="shared" si="28"/>
        <v>1378410.1240000001</v>
      </c>
      <c r="GQ12" s="215">
        <f t="shared" si="28"/>
        <v>1378410.1240000001</v>
      </c>
      <c r="GR12" s="215">
        <f t="shared" si="28"/>
        <v>1378410.1240000001</v>
      </c>
      <c r="GS12" s="215">
        <f t="shared" ref="GS12:JD12" si="29">GR12+GS11</f>
        <v>1378410.1240000001</v>
      </c>
      <c r="GT12" s="215">
        <f t="shared" si="29"/>
        <v>1378410.1240000001</v>
      </c>
      <c r="GU12" s="215">
        <f t="shared" si="29"/>
        <v>1378410.1240000001</v>
      </c>
      <c r="GV12" s="215">
        <f t="shared" si="29"/>
        <v>1378410.1240000001</v>
      </c>
      <c r="GW12" s="215">
        <f t="shared" si="29"/>
        <v>1378410.1240000001</v>
      </c>
      <c r="GX12" s="215">
        <f t="shared" si="29"/>
        <v>1378410.1240000001</v>
      </c>
      <c r="GY12" s="215">
        <f t="shared" si="29"/>
        <v>1378410.1240000001</v>
      </c>
      <c r="GZ12" s="215">
        <f t="shared" si="29"/>
        <v>1378410.1240000001</v>
      </c>
      <c r="HA12" s="215">
        <f t="shared" si="29"/>
        <v>1378410.1240000001</v>
      </c>
      <c r="HB12" s="215">
        <f t="shared" si="29"/>
        <v>1378410.1240000001</v>
      </c>
      <c r="HC12" s="215">
        <f t="shared" si="29"/>
        <v>1378410.1240000001</v>
      </c>
      <c r="HD12" s="215">
        <f t="shared" si="29"/>
        <v>1378410.1240000001</v>
      </c>
      <c r="HE12" s="215">
        <f t="shared" si="29"/>
        <v>1378410.1240000001</v>
      </c>
      <c r="HF12" s="215">
        <f t="shared" si="29"/>
        <v>1378410.1240000001</v>
      </c>
      <c r="HG12" s="215">
        <f t="shared" si="29"/>
        <v>1378410.1240000001</v>
      </c>
      <c r="HH12" s="215">
        <f t="shared" si="29"/>
        <v>1378410.1240000001</v>
      </c>
      <c r="HI12" s="215">
        <f t="shared" si="29"/>
        <v>1378410.1240000001</v>
      </c>
      <c r="HJ12" s="215">
        <f t="shared" si="29"/>
        <v>1378410.1240000001</v>
      </c>
      <c r="HK12" s="215">
        <f t="shared" si="29"/>
        <v>1378410.1240000001</v>
      </c>
      <c r="HL12" s="215">
        <f t="shared" si="29"/>
        <v>1378410.1240000001</v>
      </c>
      <c r="HM12" s="215">
        <f t="shared" si="29"/>
        <v>1378410.1240000001</v>
      </c>
      <c r="HN12" s="215">
        <f t="shared" si="29"/>
        <v>1378410.1240000001</v>
      </c>
      <c r="HO12" s="215">
        <f t="shared" si="29"/>
        <v>1378410.1240000001</v>
      </c>
      <c r="HP12" s="215">
        <f t="shared" si="29"/>
        <v>1378410.1240000001</v>
      </c>
      <c r="HQ12" s="215">
        <f t="shared" si="29"/>
        <v>1378410.1240000001</v>
      </c>
      <c r="HR12" s="215">
        <f t="shared" si="29"/>
        <v>1378410.1240000001</v>
      </c>
      <c r="HS12" s="215">
        <f t="shared" si="29"/>
        <v>1378410.1240000001</v>
      </c>
      <c r="HT12" s="215">
        <f t="shared" si="29"/>
        <v>1378410.1240000001</v>
      </c>
      <c r="HU12" s="215">
        <f t="shared" si="29"/>
        <v>1378410.1240000001</v>
      </c>
      <c r="HV12" s="215">
        <f t="shared" si="29"/>
        <v>1378410.1240000001</v>
      </c>
      <c r="HW12" s="215">
        <f t="shared" si="29"/>
        <v>1378410.1240000001</v>
      </c>
      <c r="HX12" s="215">
        <f t="shared" si="29"/>
        <v>1378410.1240000001</v>
      </c>
      <c r="HY12" s="215">
        <f t="shared" si="29"/>
        <v>1378410.1240000001</v>
      </c>
      <c r="HZ12" s="215">
        <f t="shared" si="29"/>
        <v>1378410.1240000001</v>
      </c>
      <c r="IA12" s="215">
        <f t="shared" si="29"/>
        <v>1378410.1240000001</v>
      </c>
      <c r="IB12" s="215">
        <f t="shared" si="29"/>
        <v>1378410.1240000001</v>
      </c>
      <c r="IC12" s="215">
        <f t="shared" si="29"/>
        <v>1378410.1240000001</v>
      </c>
      <c r="ID12" s="215">
        <f t="shared" si="29"/>
        <v>1378410.1240000001</v>
      </c>
      <c r="IE12" s="215">
        <f t="shared" si="29"/>
        <v>1378410.1240000001</v>
      </c>
      <c r="IF12" s="215">
        <f t="shared" si="29"/>
        <v>1378410.1240000001</v>
      </c>
      <c r="IG12" s="215">
        <f t="shared" si="29"/>
        <v>1378410.1240000001</v>
      </c>
      <c r="IH12" s="215">
        <f t="shared" si="29"/>
        <v>1378410.1240000001</v>
      </c>
      <c r="II12" s="215">
        <f t="shared" si="29"/>
        <v>1378410.1240000001</v>
      </c>
      <c r="IJ12" s="215">
        <f t="shared" si="29"/>
        <v>1378410.1240000001</v>
      </c>
      <c r="IK12" s="215">
        <f t="shared" si="29"/>
        <v>1378410.1240000001</v>
      </c>
      <c r="IL12" s="215">
        <f t="shared" si="29"/>
        <v>1378410.1240000001</v>
      </c>
      <c r="IM12" s="215">
        <f t="shared" si="29"/>
        <v>1378410.1240000001</v>
      </c>
      <c r="IN12" s="215">
        <f t="shared" si="29"/>
        <v>1378410.1240000001</v>
      </c>
      <c r="IO12" s="215">
        <f t="shared" si="29"/>
        <v>1378410.1240000001</v>
      </c>
      <c r="IP12" s="215">
        <f t="shared" si="29"/>
        <v>1378410.1240000001</v>
      </c>
      <c r="IQ12" s="215">
        <f t="shared" si="29"/>
        <v>1378410.1240000001</v>
      </c>
      <c r="IR12" s="215">
        <f t="shared" si="29"/>
        <v>1378410.1240000001</v>
      </c>
      <c r="IS12" s="215">
        <f t="shared" si="29"/>
        <v>1378410.1240000001</v>
      </c>
      <c r="IT12" s="215">
        <f t="shared" si="29"/>
        <v>1378410.1240000001</v>
      </c>
      <c r="IU12" s="215">
        <f t="shared" si="29"/>
        <v>1378410.1240000001</v>
      </c>
      <c r="IV12" s="215">
        <f t="shared" si="29"/>
        <v>1378410.1240000001</v>
      </c>
      <c r="IW12" s="215">
        <f t="shared" si="29"/>
        <v>1378410.1240000001</v>
      </c>
      <c r="IX12" s="215">
        <f t="shared" si="29"/>
        <v>1378410.1240000001</v>
      </c>
      <c r="IY12" s="215">
        <f t="shared" si="29"/>
        <v>1378410.1240000001</v>
      </c>
      <c r="IZ12" s="215">
        <f t="shared" si="29"/>
        <v>1378410.1240000001</v>
      </c>
      <c r="JA12" s="215">
        <f t="shared" si="29"/>
        <v>1378410.1240000001</v>
      </c>
      <c r="JB12" s="215">
        <f t="shared" si="29"/>
        <v>1378410.1240000001</v>
      </c>
      <c r="JC12" s="215">
        <f t="shared" si="29"/>
        <v>1378410.1240000001</v>
      </c>
      <c r="JD12" s="215">
        <f t="shared" si="29"/>
        <v>1378410.1240000001</v>
      </c>
      <c r="JE12" s="215">
        <f t="shared" ref="JE12:KF12" si="30">JD12+JE11</f>
        <v>1378410.1240000001</v>
      </c>
      <c r="JF12" s="215">
        <f t="shared" si="30"/>
        <v>1378410.1240000001</v>
      </c>
      <c r="JG12" s="215">
        <f t="shared" si="30"/>
        <v>1378410.1240000001</v>
      </c>
      <c r="JH12" s="215">
        <f t="shared" si="30"/>
        <v>1378410.1240000001</v>
      </c>
      <c r="JI12" s="215">
        <f t="shared" si="30"/>
        <v>1378410.1240000001</v>
      </c>
      <c r="JJ12" s="215">
        <f t="shared" si="30"/>
        <v>1378410.1240000001</v>
      </c>
      <c r="JK12" s="215">
        <f t="shared" si="30"/>
        <v>1378410.1240000001</v>
      </c>
      <c r="JL12" s="215">
        <f t="shared" si="30"/>
        <v>1378410.1240000001</v>
      </c>
      <c r="JM12" s="215">
        <f t="shared" si="30"/>
        <v>1378410.1240000001</v>
      </c>
      <c r="JN12" s="215">
        <f t="shared" si="30"/>
        <v>1378410.1240000001</v>
      </c>
      <c r="JO12" s="215">
        <f t="shared" si="30"/>
        <v>1378410.1240000001</v>
      </c>
      <c r="JP12" s="215">
        <f t="shared" si="30"/>
        <v>1378410.1240000001</v>
      </c>
      <c r="JQ12" s="215">
        <f t="shared" si="30"/>
        <v>1378410.1240000001</v>
      </c>
      <c r="JR12" s="215">
        <f t="shared" si="30"/>
        <v>1378410.1240000001</v>
      </c>
      <c r="JS12" s="215">
        <f t="shared" si="30"/>
        <v>1378410.1240000001</v>
      </c>
      <c r="JT12" s="215">
        <f t="shared" si="30"/>
        <v>1378410.1240000001</v>
      </c>
      <c r="JU12" s="215">
        <f t="shared" si="30"/>
        <v>1378410.1240000001</v>
      </c>
      <c r="JV12" s="215">
        <f t="shared" si="30"/>
        <v>1378410.1240000001</v>
      </c>
      <c r="JW12" s="215">
        <f t="shared" si="30"/>
        <v>1378410.1240000001</v>
      </c>
      <c r="JX12" s="215">
        <f t="shared" si="30"/>
        <v>1378410.1240000001</v>
      </c>
      <c r="JY12" s="215">
        <f t="shared" si="30"/>
        <v>1378410.1240000001</v>
      </c>
      <c r="JZ12" s="215">
        <f t="shared" si="30"/>
        <v>1378410.1240000001</v>
      </c>
      <c r="KA12" s="215">
        <f t="shared" si="30"/>
        <v>1378410.1240000001</v>
      </c>
      <c r="KB12" s="215">
        <f t="shared" si="30"/>
        <v>1378410.1240000001</v>
      </c>
      <c r="KC12" s="215">
        <f t="shared" si="30"/>
        <v>1378410.1240000001</v>
      </c>
      <c r="KD12" s="215">
        <f t="shared" si="30"/>
        <v>1378410.1240000001</v>
      </c>
      <c r="KE12" s="215">
        <f t="shared" si="30"/>
        <v>1378410.1240000001</v>
      </c>
      <c r="KF12" s="215">
        <f t="shared" si="30"/>
        <v>1378410.1240000001</v>
      </c>
      <c r="KG12" s="192"/>
      <c r="KH12" s="203"/>
    </row>
    <row r="13" spans="1:770" s="192" customFormat="1">
      <c r="A13" s="835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5"/>
      <c r="B14" s="205" t="s">
        <v>510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673628.81943159015</v>
      </c>
      <c r="AK14" s="208">
        <f t="shared" si="32"/>
        <v>673628.81943159015</v>
      </c>
      <c r="AL14" s="208">
        <f t="shared" si="32"/>
        <v>673628.81943159015</v>
      </c>
      <c r="AM14" s="208">
        <f t="shared" si="32"/>
        <v>648569.58943159017</v>
      </c>
      <c r="AN14" s="208">
        <f t="shared" si="32"/>
        <v>626328.45143159013</v>
      </c>
      <c r="AO14" s="208">
        <f t="shared" si="32"/>
        <v>626328.45143159013</v>
      </c>
      <c r="AP14" s="208">
        <f t="shared" si="32"/>
        <v>626328.45143159013</v>
      </c>
      <c r="AQ14" s="208">
        <f t="shared" si="32"/>
        <v>626328.45143159013</v>
      </c>
      <c r="AR14" s="208">
        <f t="shared" si="32"/>
        <v>626328.45143159013</v>
      </c>
      <c r="AS14" s="208">
        <f t="shared" si="32"/>
        <v>626328.45143159013</v>
      </c>
      <c r="AT14" s="208">
        <f t="shared" si="32"/>
        <v>626328.45143159013</v>
      </c>
      <c r="AU14" s="208">
        <f t="shared" si="32"/>
        <v>626328.45143159013</v>
      </c>
      <c r="AV14" s="208">
        <f t="shared" si="32"/>
        <v>626328.45143159013</v>
      </c>
      <c r="AW14" s="208">
        <f t="shared" si="32"/>
        <v>626328.45143159013</v>
      </c>
      <c r="AX14" s="208">
        <f t="shared" si="32"/>
        <v>626328.45143159013</v>
      </c>
      <c r="AY14" s="208">
        <f t="shared" si="32"/>
        <v>626328.45143159013</v>
      </c>
      <c r="AZ14" s="208">
        <f t="shared" si="32"/>
        <v>626328.45143159013</v>
      </c>
      <c r="BA14" s="208">
        <f t="shared" si="32"/>
        <v>626328.45143159013</v>
      </c>
      <c r="BB14" s="208">
        <f t="shared" si="32"/>
        <v>626328.45143159013</v>
      </c>
      <c r="BC14" s="208">
        <f t="shared" si="32"/>
        <v>626328.45143159013</v>
      </c>
      <c r="BD14" s="208">
        <f t="shared" si="32"/>
        <v>626328.45143159013</v>
      </c>
      <c r="BE14" s="208">
        <f t="shared" si="32"/>
        <v>626328.45143159013</v>
      </c>
      <c r="BF14" s="208">
        <f t="shared" si="32"/>
        <v>626328.45143159013</v>
      </c>
      <c r="BG14" s="208">
        <f t="shared" si="32"/>
        <v>626328.45143159013</v>
      </c>
      <c r="BH14" s="208">
        <f t="shared" si="32"/>
        <v>626328.45143159013</v>
      </c>
      <c r="BI14" s="208">
        <f t="shared" si="32"/>
        <v>626328.45143159013</v>
      </c>
      <c r="BJ14" s="208">
        <f t="shared" si="32"/>
        <v>626328.45143159013</v>
      </c>
      <c r="BK14" s="208">
        <f t="shared" si="32"/>
        <v>626328.45143159013</v>
      </c>
      <c r="BL14" s="208">
        <f t="shared" si="32"/>
        <v>626328.45143159013</v>
      </c>
      <c r="BM14" s="208">
        <f t="shared" si="32"/>
        <v>626328.45143159013</v>
      </c>
      <c r="BN14" s="208">
        <f t="shared" si="32"/>
        <v>626328.45143159013</v>
      </c>
      <c r="BO14" s="208">
        <f t="shared" si="32"/>
        <v>626328.45143159013</v>
      </c>
      <c r="BP14" s="208">
        <f t="shared" si="32"/>
        <v>626328.45143159013</v>
      </c>
      <c r="BQ14" s="208">
        <f t="shared" si="32"/>
        <v>626328.45143159013</v>
      </c>
      <c r="BR14" s="208">
        <f t="shared" si="32"/>
        <v>626328.45143159013</v>
      </c>
      <c r="BS14" s="208">
        <f t="shared" si="32"/>
        <v>626328.45143159013</v>
      </c>
      <c r="BT14" s="208">
        <f t="shared" si="32"/>
        <v>626328.45143159013</v>
      </c>
      <c r="BU14" s="208">
        <f t="shared" ref="BU14:EF14" si="33">BU10-BU12</f>
        <v>626328.45143159013</v>
      </c>
      <c r="BV14" s="208">
        <f t="shared" si="33"/>
        <v>626328.45143159013</v>
      </c>
      <c r="BW14" s="208">
        <f t="shared" si="33"/>
        <v>626328.45143159013</v>
      </c>
      <c r="BX14" s="208">
        <f t="shared" si="33"/>
        <v>626328.45143159013</v>
      </c>
      <c r="BY14" s="208">
        <f t="shared" si="33"/>
        <v>626328.45143159013</v>
      </c>
      <c r="BZ14" s="208">
        <f t="shared" si="33"/>
        <v>626328.45143159013</v>
      </c>
      <c r="CA14" s="208">
        <f t="shared" si="33"/>
        <v>626328.45143159013</v>
      </c>
      <c r="CB14" s="208">
        <f t="shared" si="33"/>
        <v>626328.45143159013</v>
      </c>
      <c r="CC14" s="208">
        <f t="shared" si="33"/>
        <v>626328.45143159013</v>
      </c>
      <c r="CD14" s="208">
        <f t="shared" si="33"/>
        <v>626328.45143159013</v>
      </c>
      <c r="CE14" s="208">
        <f t="shared" si="33"/>
        <v>626328.45143159013</v>
      </c>
      <c r="CF14" s="208">
        <f t="shared" si="33"/>
        <v>626328.45143159013</v>
      </c>
      <c r="CG14" s="208">
        <f t="shared" si="33"/>
        <v>626328.45143159013</v>
      </c>
      <c r="CH14" s="208">
        <f t="shared" si="33"/>
        <v>626328.45143159013</v>
      </c>
      <c r="CI14" s="208">
        <f t="shared" si="33"/>
        <v>626328.45143159013</v>
      </c>
      <c r="CJ14" s="208">
        <f t="shared" si="33"/>
        <v>626328.45143159013</v>
      </c>
      <c r="CK14" s="208">
        <f t="shared" si="33"/>
        <v>626328.45143159013</v>
      </c>
      <c r="CL14" s="208">
        <f t="shared" si="33"/>
        <v>626328.45143159013</v>
      </c>
      <c r="CM14" s="208">
        <f t="shared" si="33"/>
        <v>626328.45143159013</v>
      </c>
      <c r="CN14" s="208">
        <f t="shared" si="33"/>
        <v>626328.45143159013</v>
      </c>
      <c r="CO14" s="208">
        <f t="shared" si="33"/>
        <v>626328.45143159013</v>
      </c>
      <c r="CP14" s="208">
        <f t="shared" si="33"/>
        <v>626328.45143159013</v>
      </c>
      <c r="CQ14" s="208">
        <f t="shared" si="33"/>
        <v>626328.45143159013</v>
      </c>
      <c r="CR14" s="208">
        <f t="shared" si="33"/>
        <v>626328.45143159013</v>
      </c>
      <c r="CS14" s="208">
        <f t="shared" si="33"/>
        <v>626328.45143159013</v>
      </c>
      <c r="CT14" s="208">
        <f t="shared" si="33"/>
        <v>626328.45143159013</v>
      </c>
      <c r="CU14" s="208">
        <f t="shared" si="33"/>
        <v>626328.45143159013</v>
      </c>
      <c r="CV14" s="208">
        <f t="shared" si="33"/>
        <v>626328.45143159013</v>
      </c>
      <c r="CW14" s="208">
        <f t="shared" si="33"/>
        <v>626328.45143159013</v>
      </c>
      <c r="CX14" s="208">
        <f t="shared" si="33"/>
        <v>626328.45143159013</v>
      </c>
      <c r="CY14" s="208">
        <f t="shared" si="33"/>
        <v>626328.45143159013</v>
      </c>
      <c r="CZ14" s="208">
        <f t="shared" si="33"/>
        <v>626328.45143159013</v>
      </c>
      <c r="DA14" s="208">
        <f t="shared" si="33"/>
        <v>626328.45143159013</v>
      </c>
      <c r="DB14" s="208">
        <f t="shared" si="33"/>
        <v>626328.45143159013</v>
      </c>
      <c r="DC14" s="208">
        <f t="shared" si="33"/>
        <v>626328.45143159013</v>
      </c>
      <c r="DD14" s="208">
        <f t="shared" si="33"/>
        <v>626328.45143159013</v>
      </c>
      <c r="DE14" s="208">
        <f t="shared" si="33"/>
        <v>626328.45143159013</v>
      </c>
      <c r="DF14" s="208">
        <f t="shared" si="33"/>
        <v>626328.45143159013</v>
      </c>
      <c r="DG14" s="208">
        <f t="shared" si="33"/>
        <v>626328.45143159013</v>
      </c>
      <c r="DH14" s="208">
        <f t="shared" si="33"/>
        <v>626328.45143159013</v>
      </c>
      <c r="DI14" s="208">
        <f t="shared" si="33"/>
        <v>626328.45143159013</v>
      </c>
      <c r="DJ14" s="208">
        <f t="shared" si="33"/>
        <v>626328.45143159013</v>
      </c>
      <c r="DK14" s="208">
        <f t="shared" si="33"/>
        <v>626328.45143159013</v>
      </c>
      <c r="DL14" s="208">
        <f t="shared" si="33"/>
        <v>626328.45143159013</v>
      </c>
      <c r="DM14" s="208">
        <f t="shared" si="33"/>
        <v>626328.45143159013</v>
      </c>
      <c r="DN14" s="208">
        <f t="shared" si="33"/>
        <v>626328.45143159013</v>
      </c>
      <c r="DO14" s="208">
        <f t="shared" si="33"/>
        <v>626328.45143159013</v>
      </c>
      <c r="DP14" s="208">
        <f t="shared" si="33"/>
        <v>626328.45143159013</v>
      </c>
      <c r="DQ14" s="208">
        <f t="shared" si="33"/>
        <v>626328.45143159013</v>
      </c>
      <c r="DR14" s="208">
        <f t="shared" si="33"/>
        <v>626328.45143159013</v>
      </c>
      <c r="DS14" s="208">
        <f t="shared" si="33"/>
        <v>626328.45143159013</v>
      </c>
      <c r="DT14" s="208">
        <f t="shared" si="33"/>
        <v>626328.45143159013</v>
      </c>
      <c r="DU14" s="208">
        <f t="shared" si="33"/>
        <v>626328.45143159013</v>
      </c>
      <c r="DV14" s="208">
        <f t="shared" si="33"/>
        <v>626328.45143159013</v>
      </c>
      <c r="DW14" s="208">
        <f t="shared" si="33"/>
        <v>626328.45143159013</v>
      </c>
      <c r="DX14" s="208">
        <f t="shared" si="33"/>
        <v>626328.45143159013</v>
      </c>
      <c r="DY14" s="208">
        <f t="shared" si="33"/>
        <v>626328.45143159013</v>
      </c>
      <c r="DZ14" s="208">
        <f t="shared" si="33"/>
        <v>626328.45143159013</v>
      </c>
      <c r="EA14" s="208">
        <f t="shared" si="33"/>
        <v>626328.45143159013</v>
      </c>
      <c r="EB14" s="208">
        <f t="shared" si="33"/>
        <v>626328.45143159013</v>
      </c>
      <c r="EC14" s="208">
        <f t="shared" si="33"/>
        <v>626328.45143159013</v>
      </c>
      <c r="ED14" s="208">
        <f t="shared" si="33"/>
        <v>626328.45143159013</v>
      </c>
      <c r="EE14" s="208">
        <f t="shared" si="33"/>
        <v>626328.45143159013</v>
      </c>
      <c r="EF14" s="208">
        <f t="shared" si="33"/>
        <v>626328.45143159013</v>
      </c>
      <c r="EG14" s="208">
        <f t="shared" ref="EG14:GR14" si="34">EG10-EG12</f>
        <v>626328.45143159013</v>
      </c>
      <c r="EH14" s="208">
        <f t="shared" si="34"/>
        <v>626328.45143159013</v>
      </c>
      <c r="EI14" s="208">
        <f t="shared" si="34"/>
        <v>626328.45143159013</v>
      </c>
      <c r="EJ14" s="208">
        <f t="shared" si="34"/>
        <v>626328.45143159013</v>
      </c>
      <c r="EK14" s="208">
        <f t="shared" si="34"/>
        <v>626328.45143159013</v>
      </c>
      <c r="EL14" s="208">
        <f t="shared" si="34"/>
        <v>626328.45143159013</v>
      </c>
      <c r="EM14" s="208">
        <f t="shared" si="34"/>
        <v>626328.45143159013</v>
      </c>
      <c r="EN14" s="208">
        <f t="shared" si="34"/>
        <v>626328.45143159013</v>
      </c>
      <c r="EO14" s="208">
        <f t="shared" si="34"/>
        <v>626328.45143159013</v>
      </c>
      <c r="EP14" s="208">
        <f t="shared" si="34"/>
        <v>626328.45143159013</v>
      </c>
      <c r="EQ14" s="208">
        <f t="shared" si="34"/>
        <v>626328.45143159013</v>
      </c>
      <c r="ER14" s="208">
        <f t="shared" si="34"/>
        <v>626328.45143159013</v>
      </c>
      <c r="ES14" s="208">
        <f t="shared" si="34"/>
        <v>626328.45143159013</v>
      </c>
      <c r="ET14" s="208">
        <f t="shared" si="34"/>
        <v>626328.45143159013</v>
      </c>
      <c r="EU14" s="208">
        <f t="shared" si="34"/>
        <v>626328.45143159013</v>
      </c>
      <c r="EV14" s="208">
        <f t="shared" si="34"/>
        <v>626328.45143159013</v>
      </c>
      <c r="EW14" s="208">
        <f t="shared" si="34"/>
        <v>626328.45143159013</v>
      </c>
      <c r="EX14" s="208">
        <f t="shared" si="34"/>
        <v>626328.45143159013</v>
      </c>
      <c r="EY14" s="208">
        <f t="shared" si="34"/>
        <v>626328.45143159013</v>
      </c>
      <c r="EZ14" s="208">
        <f t="shared" si="34"/>
        <v>626328.45143159013</v>
      </c>
      <c r="FA14" s="208">
        <f t="shared" si="34"/>
        <v>626328.45143159013</v>
      </c>
      <c r="FB14" s="208">
        <f t="shared" si="34"/>
        <v>626328.45143159013</v>
      </c>
      <c r="FC14" s="208">
        <f t="shared" si="34"/>
        <v>626328.45143159013</v>
      </c>
      <c r="FD14" s="208">
        <f t="shared" si="34"/>
        <v>626328.45143159013</v>
      </c>
      <c r="FE14" s="208">
        <f t="shared" si="34"/>
        <v>626328.45143159013</v>
      </c>
      <c r="FF14" s="208">
        <f t="shared" si="34"/>
        <v>626328.45143159013</v>
      </c>
      <c r="FG14" s="208">
        <f t="shared" si="34"/>
        <v>626328.45143159013</v>
      </c>
      <c r="FH14" s="208">
        <f t="shared" si="34"/>
        <v>626328.45143159013</v>
      </c>
      <c r="FI14" s="208">
        <f t="shared" si="34"/>
        <v>626328.45143159013</v>
      </c>
      <c r="FJ14" s="208">
        <f t="shared" si="34"/>
        <v>626328.45143159013</v>
      </c>
      <c r="FK14" s="208">
        <f t="shared" si="34"/>
        <v>626328.45143159013</v>
      </c>
      <c r="FL14" s="208">
        <f t="shared" si="34"/>
        <v>626328.45143159013</v>
      </c>
      <c r="FM14" s="208">
        <f t="shared" si="34"/>
        <v>626328.45143159013</v>
      </c>
      <c r="FN14" s="208">
        <f t="shared" si="34"/>
        <v>626328.45143159013</v>
      </c>
      <c r="FO14" s="208">
        <f t="shared" si="34"/>
        <v>626328.45143159013</v>
      </c>
      <c r="FP14" s="208">
        <f t="shared" si="34"/>
        <v>626328.45143159013</v>
      </c>
      <c r="FQ14" s="208">
        <f t="shared" si="34"/>
        <v>626328.45143159013</v>
      </c>
      <c r="FR14" s="208">
        <f t="shared" si="34"/>
        <v>626328.45143159013</v>
      </c>
      <c r="FS14" s="208">
        <f t="shared" si="34"/>
        <v>626328.45143159013</v>
      </c>
      <c r="FT14" s="208">
        <f t="shared" si="34"/>
        <v>626328.45143159013</v>
      </c>
      <c r="FU14" s="208">
        <f t="shared" si="34"/>
        <v>626328.45143159013</v>
      </c>
      <c r="FV14" s="208">
        <f t="shared" si="34"/>
        <v>626328.45143159013</v>
      </c>
      <c r="FW14" s="208">
        <f t="shared" si="34"/>
        <v>626328.45143159013</v>
      </c>
      <c r="FX14" s="208">
        <f t="shared" si="34"/>
        <v>626328.45143159013</v>
      </c>
      <c r="FY14" s="208">
        <f t="shared" si="34"/>
        <v>626328.45143159013</v>
      </c>
      <c r="FZ14" s="208">
        <f t="shared" si="34"/>
        <v>626328.45143159013</v>
      </c>
      <c r="GA14" s="208">
        <f t="shared" si="34"/>
        <v>626328.45143159013</v>
      </c>
      <c r="GB14" s="208">
        <f t="shared" si="34"/>
        <v>626328.45143159013</v>
      </c>
      <c r="GC14" s="208">
        <f t="shared" si="34"/>
        <v>626328.45143159013</v>
      </c>
      <c r="GD14" s="208">
        <f t="shared" si="34"/>
        <v>626328.45143159013</v>
      </c>
      <c r="GE14" s="208">
        <f t="shared" si="34"/>
        <v>626328.45143159013</v>
      </c>
      <c r="GF14" s="208">
        <f t="shared" si="34"/>
        <v>626328.45143159013</v>
      </c>
      <c r="GG14" s="208">
        <f t="shared" si="34"/>
        <v>626328.45143159013</v>
      </c>
      <c r="GH14" s="208">
        <f t="shared" si="34"/>
        <v>626328.45143159013</v>
      </c>
      <c r="GI14" s="208">
        <f t="shared" si="34"/>
        <v>626328.45143159013</v>
      </c>
      <c r="GJ14" s="208">
        <f t="shared" si="34"/>
        <v>626328.45143159013</v>
      </c>
      <c r="GK14" s="208">
        <f t="shared" si="34"/>
        <v>626328.45143159013</v>
      </c>
      <c r="GL14" s="208">
        <f t="shared" si="34"/>
        <v>626328.45143159013</v>
      </c>
      <c r="GM14" s="208">
        <f t="shared" si="34"/>
        <v>626328.45143159013</v>
      </c>
      <c r="GN14" s="208">
        <f t="shared" si="34"/>
        <v>626328.45143159013</v>
      </c>
      <c r="GO14" s="208">
        <f t="shared" si="34"/>
        <v>626328.45143159013</v>
      </c>
      <c r="GP14" s="208">
        <f t="shared" si="34"/>
        <v>626328.45143159013</v>
      </c>
      <c r="GQ14" s="208">
        <f t="shared" si="34"/>
        <v>626328.45143159013</v>
      </c>
      <c r="GR14" s="208">
        <f t="shared" si="34"/>
        <v>626328.45143159013</v>
      </c>
      <c r="GS14" s="208">
        <f t="shared" ref="GS14:JD14" si="35">GS10-GS12</f>
        <v>626328.45143159013</v>
      </c>
      <c r="GT14" s="208">
        <f t="shared" si="35"/>
        <v>626328.45143159013</v>
      </c>
      <c r="GU14" s="208">
        <f t="shared" si="35"/>
        <v>626328.45143159013</v>
      </c>
      <c r="GV14" s="208">
        <f t="shared" si="35"/>
        <v>626328.45143159013</v>
      </c>
      <c r="GW14" s="208">
        <f t="shared" si="35"/>
        <v>626328.45143159013</v>
      </c>
      <c r="GX14" s="208">
        <f t="shared" si="35"/>
        <v>626328.45143159013</v>
      </c>
      <c r="GY14" s="208">
        <f t="shared" si="35"/>
        <v>626328.45143159013</v>
      </c>
      <c r="GZ14" s="208">
        <f t="shared" si="35"/>
        <v>626328.45143159013</v>
      </c>
      <c r="HA14" s="208">
        <f t="shared" si="35"/>
        <v>626328.45143159013</v>
      </c>
      <c r="HB14" s="208">
        <f t="shared" si="35"/>
        <v>626328.45143159013</v>
      </c>
      <c r="HC14" s="208">
        <f t="shared" si="35"/>
        <v>626328.45143159013</v>
      </c>
      <c r="HD14" s="208">
        <f t="shared" si="35"/>
        <v>626328.45143159013</v>
      </c>
      <c r="HE14" s="208">
        <f t="shared" si="35"/>
        <v>626328.45143159013</v>
      </c>
      <c r="HF14" s="208">
        <f t="shared" si="35"/>
        <v>626328.45143159013</v>
      </c>
      <c r="HG14" s="208">
        <f t="shared" si="35"/>
        <v>626328.45143159013</v>
      </c>
      <c r="HH14" s="208">
        <f t="shared" si="35"/>
        <v>626328.45143159013</v>
      </c>
      <c r="HI14" s="208">
        <f t="shared" si="35"/>
        <v>626328.45143159013</v>
      </c>
      <c r="HJ14" s="208">
        <f t="shared" si="35"/>
        <v>626328.45143159013</v>
      </c>
      <c r="HK14" s="208">
        <f t="shared" si="35"/>
        <v>626328.45143159013</v>
      </c>
      <c r="HL14" s="208">
        <f t="shared" si="35"/>
        <v>626328.45143159013</v>
      </c>
      <c r="HM14" s="208">
        <f t="shared" si="35"/>
        <v>626328.45143159013</v>
      </c>
      <c r="HN14" s="208">
        <f t="shared" si="35"/>
        <v>626328.45143159013</v>
      </c>
      <c r="HO14" s="208">
        <f t="shared" si="35"/>
        <v>626328.45143159013</v>
      </c>
      <c r="HP14" s="208">
        <f t="shared" si="35"/>
        <v>626328.45143159013</v>
      </c>
      <c r="HQ14" s="208">
        <f t="shared" si="35"/>
        <v>626328.45143159013</v>
      </c>
      <c r="HR14" s="208">
        <f t="shared" si="35"/>
        <v>626328.45143159013</v>
      </c>
      <c r="HS14" s="208">
        <f t="shared" si="35"/>
        <v>626328.45143159013</v>
      </c>
      <c r="HT14" s="208">
        <f t="shared" si="35"/>
        <v>626328.45143159013</v>
      </c>
      <c r="HU14" s="208">
        <f t="shared" si="35"/>
        <v>626328.45143159013</v>
      </c>
      <c r="HV14" s="208">
        <f t="shared" si="35"/>
        <v>626328.45143159013</v>
      </c>
      <c r="HW14" s="208">
        <f t="shared" si="35"/>
        <v>626328.45143159013</v>
      </c>
      <c r="HX14" s="208">
        <f t="shared" si="35"/>
        <v>626328.45143159013</v>
      </c>
      <c r="HY14" s="208">
        <f t="shared" si="35"/>
        <v>626328.45143159013</v>
      </c>
      <c r="HZ14" s="208">
        <f t="shared" si="35"/>
        <v>626328.45143159013</v>
      </c>
      <c r="IA14" s="208">
        <f t="shared" si="35"/>
        <v>626328.45143159013</v>
      </c>
      <c r="IB14" s="208">
        <f t="shared" si="35"/>
        <v>626328.45143159013</v>
      </c>
      <c r="IC14" s="208">
        <f t="shared" si="35"/>
        <v>626328.45143159013</v>
      </c>
      <c r="ID14" s="208">
        <f t="shared" si="35"/>
        <v>626328.45143159013</v>
      </c>
      <c r="IE14" s="208">
        <f t="shared" si="35"/>
        <v>626328.45143159013</v>
      </c>
      <c r="IF14" s="208">
        <f t="shared" si="35"/>
        <v>626328.45143159013</v>
      </c>
      <c r="IG14" s="208">
        <f t="shared" si="35"/>
        <v>626328.45143159013</v>
      </c>
      <c r="IH14" s="208">
        <f t="shared" si="35"/>
        <v>626328.45143159013</v>
      </c>
      <c r="II14" s="208">
        <f t="shared" si="35"/>
        <v>626328.45143159013</v>
      </c>
      <c r="IJ14" s="208">
        <f t="shared" si="35"/>
        <v>626328.45143159013</v>
      </c>
      <c r="IK14" s="208">
        <f t="shared" si="35"/>
        <v>626328.45143159013</v>
      </c>
      <c r="IL14" s="208">
        <f t="shared" si="35"/>
        <v>626328.45143159013</v>
      </c>
      <c r="IM14" s="208">
        <f t="shared" si="35"/>
        <v>626328.45143159013</v>
      </c>
      <c r="IN14" s="208">
        <f t="shared" si="35"/>
        <v>626328.45143159013</v>
      </c>
      <c r="IO14" s="208">
        <f t="shared" si="35"/>
        <v>626328.45143159013</v>
      </c>
      <c r="IP14" s="208">
        <f t="shared" si="35"/>
        <v>626328.45143159013</v>
      </c>
      <c r="IQ14" s="208">
        <f t="shared" si="35"/>
        <v>626328.45143159013</v>
      </c>
      <c r="IR14" s="208">
        <f t="shared" si="35"/>
        <v>626328.45143159013</v>
      </c>
      <c r="IS14" s="208">
        <f t="shared" si="35"/>
        <v>626328.45143159013</v>
      </c>
      <c r="IT14" s="208">
        <f t="shared" si="35"/>
        <v>626328.45143159013</v>
      </c>
      <c r="IU14" s="208">
        <f t="shared" si="35"/>
        <v>626328.45143159013</v>
      </c>
      <c r="IV14" s="208">
        <f t="shared" si="35"/>
        <v>626328.45143159013</v>
      </c>
      <c r="IW14" s="208">
        <f t="shared" si="35"/>
        <v>626328.45143159013</v>
      </c>
      <c r="IX14" s="208">
        <f t="shared" si="35"/>
        <v>626328.45143159013</v>
      </c>
      <c r="IY14" s="208">
        <f t="shared" si="35"/>
        <v>626328.45143159013</v>
      </c>
      <c r="IZ14" s="208">
        <f t="shared" si="35"/>
        <v>626328.45143159013</v>
      </c>
      <c r="JA14" s="208">
        <f t="shared" si="35"/>
        <v>626328.45143159013</v>
      </c>
      <c r="JB14" s="208">
        <f t="shared" si="35"/>
        <v>626328.45143159013</v>
      </c>
      <c r="JC14" s="208">
        <f t="shared" si="35"/>
        <v>626328.45143159013</v>
      </c>
      <c r="JD14" s="208">
        <f t="shared" si="35"/>
        <v>626328.45143159013</v>
      </c>
      <c r="JE14" s="208">
        <f t="shared" ref="JE14:KF14" si="36">JE10-JE12</f>
        <v>626328.45143159013</v>
      </c>
      <c r="JF14" s="208">
        <f t="shared" si="36"/>
        <v>626328.45143159013</v>
      </c>
      <c r="JG14" s="208">
        <f t="shared" si="36"/>
        <v>626328.45143159013</v>
      </c>
      <c r="JH14" s="208">
        <f t="shared" si="36"/>
        <v>626328.45143159013</v>
      </c>
      <c r="JI14" s="208">
        <f t="shared" si="36"/>
        <v>626328.45143159013</v>
      </c>
      <c r="JJ14" s="208">
        <f t="shared" si="36"/>
        <v>626328.45143159013</v>
      </c>
      <c r="JK14" s="208">
        <f t="shared" si="36"/>
        <v>626328.45143159013</v>
      </c>
      <c r="JL14" s="208">
        <f t="shared" si="36"/>
        <v>626328.45143159013</v>
      </c>
      <c r="JM14" s="208">
        <f t="shared" si="36"/>
        <v>626328.45143159013</v>
      </c>
      <c r="JN14" s="208">
        <f t="shared" si="36"/>
        <v>626328.45143159013</v>
      </c>
      <c r="JO14" s="208">
        <f t="shared" si="36"/>
        <v>626328.45143159013</v>
      </c>
      <c r="JP14" s="208">
        <f t="shared" si="36"/>
        <v>626328.45143159013</v>
      </c>
      <c r="JQ14" s="208">
        <f t="shared" si="36"/>
        <v>626328.45143159013</v>
      </c>
      <c r="JR14" s="208">
        <f t="shared" si="36"/>
        <v>626328.45143159013</v>
      </c>
      <c r="JS14" s="208">
        <f t="shared" si="36"/>
        <v>626328.45143159013</v>
      </c>
      <c r="JT14" s="208">
        <f t="shared" si="36"/>
        <v>626328.45143159013</v>
      </c>
      <c r="JU14" s="208">
        <f t="shared" si="36"/>
        <v>626328.45143159013</v>
      </c>
      <c r="JV14" s="208">
        <f t="shared" si="36"/>
        <v>626328.45143159013</v>
      </c>
      <c r="JW14" s="208">
        <f t="shared" si="36"/>
        <v>626328.45143159013</v>
      </c>
      <c r="JX14" s="208">
        <f t="shared" si="36"/>
        <v>626328.45143159013</v>
      </c>
      <c r="JY14" s="208">
        <f t="shared" si="36"/>
        <v>626328.45143159013</v>
      </c>
      <c r="JZ14" s="208">
        <f t="shared" si="36"/>
        <v>626328.45143159013</v>
      </c>
      <c r="KA14" s="208">
        <f t="shared" si="36"/>
        <v>626328.45143159013</v>
      </c>
      <c r="KB14" s="208">
        <f t="shared" si="36"/>
        <v>626328.45143159013</v>
      </c>
      <c r="KC14" s="208">
        <f t="shared" si="36"/>
        <v>626328.45143159013</v>
      </c>
      <c r="KD14" s="208">
        <f t="shared" si="36"/>
        <v>626328.45143159013</v>
      </c>
      <c r="KE14" s="208">
        <f t="shared" si="36"/>
        <v>626328.45143159013</v>
      </c>
      <c r="KF14" s="208">
        <f t="shared" si="36"/>
        <v>626328.45143159013</v>
      </c>
    </row>
    <row r="15" spans="1:770" s="192" customFormat="1"/>
    <row r="16" spans="1:770" s="192" customFormat="1">
      <c r="C16" s="194" t="s">
        <v>331</v>
      </c>
      <c r="D16" s="194" t="s">
        <v>331</v>
      </c>
    </row>
    <row r="17" spans="1:292">
      <c r="A17" s="836"/>
      <c r="B17" s="196" t="s">
        <v>511</v>
      </c>
      <c r="C17" s="374">
        <f>C3-D17</f>
        <v>29557.150999502512</v>
      </c>
      <c r="D17" s="197">
        <f>SUM(F17:KF17)</f>
        <v>2004738.5744320876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255134.67714150669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36"/>
      <c r="B18" s="196" t="s">
        <v>512</v>
      </c>
      <c r="C18" s="374">
        <f>D17-D18</f>
        <v>0</v>
      </c>
      <c r="D18" s="197">
        <f>MAX(F18:KF18)</f>
        <v>2004738.5744320876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2004738.5744320876</v>
      </c>
      <c r="AJ18" s="215">
        <f t="shared" si="37"/>
        <v>2004738.5744320876</v>
      </c>
      <c r="AK18" s="215">
        <f t="shared" si="37"/>
        <v>2004738.5744320876</v>
      </c>
      <c r="AL18" s="215">
        <f t="shared" si="37"/>
        <v>2004738.5744320876</v>
      </c>
      <c r="AM18" s="215">
        <f t="shared" si="37"/>
        <v>2004738.5744320876</v>
      </c>
      <c r="AN18" s="215">
        <f t="shared" si="37"/>
        <v>2004738.5744320876</v>
      </c>
      <c r="AO18" s="215">
        <f t="shared" si="37"/>
        <v>2004738.5744320876</v>
      </c>
      <c r="AP18" s="215">
        <f t="shared" si="37"/>
        <v>2004738.5744320876</v>
      </c>
      <c r="AQ18" s="215">
        <f t="shared" si="37"/>
        <v>2004738.5744320876</v>
      </c>
      <c r="AR18" s="215">
        <f t="shared" si="37"/>
        <v>2004738.5744320876</v>
      </c>
      <c r="AS18" s="215">
        <f t="shared" si="37"/>
        <v>2004738.5744320876</v>
      </c>
      <c r="AT18" s="215">
        <f t="shared" si="37"/>
        <v>2004738.5744320876</v>
      </c>
      <c r="AU18" s="215">
        <f t="shared" si="37"/>
        <v>2004738.5744320876</v>
      </c>
      <c r="AV18" s="215">
        <f t="shared" si="37"/>
        <v>2004738.5744320876</v>
      </c>
      <c r="AW18" s="215">
        <f t="shared" si="37"/>
        <v>2004738.5744320876</v>
      </c>
      <c r="AX18" s="215">
        <f t="shared" si="37"/>
        <v>2004738.5744320876</v>
      </c>
      <c r="AY18" s="215">
        <f t="shared" si="37"/>
        <v>2004738.5744320876</v>
      </c>
      <c r="AZ18" s="215">
        <f t="shared" si="37"/>
        <v>2004738.5744320876</v>
      </c>
      <c r="BA18" s="215">
        <f t="shared" si="37"/>
        <v>2004738.5744320876</v>
      </c>
      <c r="BB18" s="215">
        <f t="shared" si="37"/>
        <v>2004738.5744320876</v>
      </c>
      <c r="BC18" s="215">
        <f t="shared" si="37"/>
        <v>2004738.5744320876</v>
      </c>
      <c r="BD18" s="215">
        <f t="shared" si="37"/>
        <v>2004738.5744320876</v>
      </c>
      <c r="BE18" s="215">
        <f t="shared" si="37"/>
        <v>2004738.5744320876</v>
      </c>
      <c r="BF18" s="215">
        <f t="shared" si="37"/>
        <v>2004738.5744320876</v>
      </c>
      <c r="BG18" s="215">
        <f t="shared" si="37"/>
        <v>2004738.5744320876</v>
      </c>
      <c r="BH18" s="215">
        <f t="shared" si="37"/>
        <v>2004738.5744320876</v>
      </c>
      <c r="BI18" s="215">
        <f t="shared" si="37"/>
        <v>2004738.5744320876</v>
      </c>
      <c r="BJ18" s="215">
        <f t="shared" si="37"/>
        <v>2004738.5744320876</v>
      </c>
      <c r="BK18" s="215">
        <f t="shared" si="37"/>
        <v>2004738.5744320876</v>
      </c>
      <c r="BL18" s="215">
        <f t="shared" si="37"/>
        <v>2004738.5744320876</v>
      </c>
      <c r="BM18" s="215">
        <f t="shared" si="37"/>
        <v>2004738.5744320876</v>
      </c>
      <c r="BN18" s="215">
        <f t="shared" si="37"/>
        <v>2004738.5744320876</v>
      </c>
      <c r="BO18" s="215">
        <f t="shared" si="37"/>
        <v>2004738.5744320876</v>
      </c>
      <c r="BP18" s="215">
        <f t="shared" si="37"/>
        <v>2004738.5744320876</v>
      </c>
      <c r="BQ18" s="215">
        <f t="shared" si="37"/>
        <v>2004738.5744320876</v>
      </c>
      <c r="BR18" s="215">
        <f t="shared" si="37"/>
        <v>2004738.5744320876</v>
      </c>
      <c r="BS18" s="215">
        <f t="shared" si="37"/>
        <v>2004738.5744320876</v>
      </c>
      <c r="BT18" s="215">
        <f t="shared" si="37"/>
        <v>2004738.5744320876</v>
      </c>
      <c r="BU18" s="215">
        <f t="shared" ref="BU18:EF18" si="38">BT18+BU17</f>
        <v>2004738.5744320876</v>
      </c>
      <c r="BV18" s="215">
        <f t="shared" si="38"/>
        <v>2004738.5744320876</v>
      </c>
      <c r="BW18" s="215">
        <f t="shared" si="38"/>
        <v>2004738.5744320876</v>
      </c>
      <c r="BX18" s="215">
        <f t="shared" si="38"/>
        <v>2004738.5744320876</v>
      </c>
      <c r="BY18" s="215">
        <f t="shared" si="38"/>
        <v>2004738.5744320876</v>
      </c>
      <c r="BZ18" s="215">
        <f t="shared" si="38"/>
        <v>2004738.5744320876</v>
      </c>
      <c r="CA18" s="215">
        <f t="shared" si="38"/>
        <v>2004738.5744320876</v>
      </c>
      <c r="CB18" s="215">
        <f t="shared" si="38"/>
        <v>2004738.5744320876</v>
      </c>
      <c r="CC18" s="215">
        <f t="shared" si="38"/>
        <v>2004738.5744320876</v>
      </c>
      <c r="CD18" s="215">
        <f t="shared" si="38"/>
        <v>2004738.5744320876</v>
      </c>
      <c r="CE18" s="215">
        <f t="shared" si="38"/>
        <v>2004738.5744320876</v>
      </c>
      <c r="CF18" s="215">
        <f t="shared" si="38"/>
        <v>2004738.5744320876</v>
      </c>
      <c r="CG18" s="215">
        <f t="shared" si="38"/>
        <v>2004738.5744320876</v>
      </c>
      <c r="CH18" s="215">
        <f t="shared" si="38"/>
        <v>2004738.5744320876</v>
      </c>
      <c r="CI18" s="215">
        <f t="shared" si="38"/>
        <v>2004738.5744320876</v>
      </c>
      <c r="CJ18" s="215">
        <f t="shared" si="38"/>
        <v>2004738.5744320876</v>
      </c>
      <c r="CK18" s="215">
        <f t="shared" si="38"/>
        <v>2004738.5744320876</v>
      </c>
      <c r="CL18" s="215">
        <f t="shared" si="38"/>
        <v>2004738.5744320876</v>
      </c>
      <c r="CM18" s="215">
        <f t="shared" si="38"/>
        <v>2004738.5744320876</v>
      </c>
      <c r="CN18" s="215">
        <f t="shared" si="38"/>
        <v>2004738.5744320876</v>
      </c>
      <c r="CO18" s="215">
        <f t="shared" si="38"/>
        <v>2004738.5744320876</v>
      </c>
      <c r="CP18" s="215">
        <f t="shared" si="38"/>
        <v>2004738.5744320876</v>
      </c>
      <c r="CQ18" s="215">
        <f t="shared" si="38"/>
        <v>2004738.5744320876</v>
      </c>
      <c r="CR18" s="215">
        <f t="shared" si="38"/>
        <v>2004738.5744320876</v>
      </c>
      <c r="CS18" s="215">
        <f t="shared" si="38"/>
        <v>2004738.5744320876</v>
      </c>
      <c r="CT18" s="215">
        <f t="shared" si="38"/>
        <v>2004738.5744320876</v>
      </c>
      <c r="CU18" s="215">
        <f t="shared" si="38"/>
        <v>2004738.5744320876</v>
      </c>
      <c r="CV18" s="215">
        <f t="shared" si="38"/>
        <v>2004738.5744320876</v>
      </c>
      <c r="CW18" s="215">
        <f t="shared" si="38"/>
        <v>2004738.5744320876</v>
      </c>
      <c r="CX18" s="215">
        <f t="shared" si="38"/>
        <v>2004738.5744320876</v>
      </c>
      <c r="CY18" s="215">
        <f t="shared" si="38"/>
        <v>2004738.5744320876</v>
      </c>
      <c r="CZ18" s="215">
        <f t="shared" si="38"/>
        <v>2004738.5744320876</v>
      </c>
      <c r="DA18" s="215">
        <f t="shared" si="38"/>
        <v>2004738.5744320876</v>
      </c>
      <c r="DB18" s="215">
        <f t="shared" si="38"/>
        <v>2004738.5744320876</v>
      </c>
      <c r="DC18" s="215">
        <f t="shared" si="38"/>
        <v>2004738.5744320876</v>
      </c>
      <c r="DD18" s="215">
        <f t="shared" si="38"/>
        <v>2004738.5744320876</v>
      </c>
      <c r="DE18" s="215">
        <f t="shared" si="38"/>
        <v>2004738.5744320876</v>
      </c>
      <c r="DF18" s="215">
        <f t="shared" si="38"/>
        <v>2004738.5744320876</v>
      </c>
      <c r="DG18" s="215">
        <f t="shared" si="38"/>
        <v>2004738.5744320876</v>
      </c>
      <c r="DH18" s="215">
        <f t="shared" si="38"/>
        <v>2004738.5744320876</v>
      </c>
      <c r="DI18" s="215">
        <f t="shared" si="38"/>
        <v>2004738.5744320876</v>
      </c>
      <c r="DJ18" s="215">
        <f t="shared" si="38"/>
        <v>2004738.5744320876</v>
      </c>
      <c r="DK18" s="215">
        <f t="shared" si="38"/>
        <v>2004738.5744320876</v>
      </c>
      <c r="DL18" s="215">
        <f t="shared" si="38"/>
        <v>2004738.5744320876</v>
      </c>
      <c r="DM18" s="215">
        <f t="shared" si="38"/>
        <v>2004738.5744320876</v>
      </c>
      <c r="DN18" s="215">
        <f t="shared" si="38"/>
        <v>2004738.5744320876</v>
      </c>
      <c r="DO18" s="215">
        <f t="shared" si="38"/>
        <v>2004738.5744320876</v>
      </c>
      <c r="DP18" s="215">
        <f t="shared" si="38"/>
        <v>2004738.5744320876</v>
      </c>
      <c r="DQ18" s="215">
        <f t="shared" si="38"/>
        <v>2004738.5744320876</v>
      </c>
      <c r="DR18" s="215">
        <f t="shared" si="38"/>
        <v>2004738.5744320876</v>
      </c>
      <c r="DS18" s="215">
        <f t="shared" si="38"/>
        <v>2004738.5744320876</v>
      </c>
      <c r="DT18" s="215">
        <f t="shared" si="38"/>
        <v>2004738.5744320876</v>
      </c>
      <c r="DU18" s="215">
        <f t="shared" si="38"/>
        <v>2004738.5744320876</v>
      </c>
      <c r="DV18" s="215">
        <f t="shared" si="38"/>
        <v>2004738.5744320876</v>
      </c>
      <c r="DW18" s="215">
        <f t="shared" si="38"/>
        <v>2004738.5744320876</v>
      </c>
      <c r="DX18" s="215">
        <f t="shared" si="38"/>
        <v>2004738.5744320876</v>
      </c>
      <c r="DY18" s="215">
        <f t="shared" si="38"/>
        <v>2004738.5744320876</v>
      </c>
      <c r="DZ18" s="215">
        <f t="shared" si="38"/>
        <v>2004738.5744320876</v>
      </c>
      <c r="EA18" s="215">
        <f t="shared" si="38"/>
        <v>2004738.5744320876</v>
      </c>
      <c r="EB18" s="215">
        <f t="shared" si="38"/>
        <v>2004738.5744320876</v>
      </c>
      <c r="EC18" s="215">
        <f t="shared" si="38"/>
        <v>2004738.5744320876</v>
      </c>
      <c r="ED18" s="215">
        <f t="shared" si="38"/>
        <v>2004738.5744320876</v>
      </c>
      <c r="EE18" s="215">
        <f t="shared" si="38"/>
        <v>2004738.5744320876</v>
      </c>
      <c r="EF18" s="215">
        <f t="shared" si="38"/>
        <v>2004738.5744320876</v>
      </c>
      <c r="EG18" s="215">
        <f t="shared" ref="EG18:GR18" si="39">EF18+EG17</f>
        <v>2004738.5744320876</v>
      </c>
      <c r="EH18" s="215">
        <f t="shared" si="39"/>
        <v>2004738.5744320876</v>
      </c>
      <c r="EI18" s="215">
        <f t="shared" si="39"/>
        <v>2004738.5744320876</v>
      </c>
      <c r="EJ18" s="215">
        <f t="shared" si="39"/>
        <v>2004738.5744320876</v>
      </c>
      <c r="EK18" s="215">
        <f t="shared" si="39"/>
        <v>2004738.5744320876</v>
      </c>
      <c r="EL18" s="215">
        <f t="shared" si="39"/>
        <v>2004738.5744320876</v>
      </c>
      <c r="EM18" s="215">
        <f t="shared" si="39"/>
        <v>2004738.5744320876</v>
      </c>
      <c r="EN18" s="215">
        <f t="shared" si="39"/>
        <v>2004738.5744320876</v>
      </c>
      <c r="EO18" s="215">
        <f t="shared" si="39"/>
        <v>2004738.5744320876</v>
      </c>
      <c r="EP18" s="215">
        <f t="shared" si="39"/>
        <v>2004738.5744320876</v>
      </c>
      <c r="EQ18" s="215">
        <f t="shared" si="39"/>
        <v>2004738.5744320876</v>
      </c>
      <c r="ER18" s="215">
        <f t="shared" si="39"/>
        <v>2004738.5744320876</v>
      </c>
      <c r="ES18" s="215">
        <f t="shared" si="39"/>
        <v>2004738.5744320876</v>
      </c>
      <c r="ET18" s="215">
        <f t="shared" si="39"/>
        <v>2004738.5744320876</v>
      </c>
      <c r="EU18" s="215">
        <f t="shared" si="39"/>
        <v>2004738.5744320876</v>
      </c>
      <c r="EV18" s="215">
        <f t="shared" si="39"/>
        <v>2004738.5744320876</v>
      </c>
      <c r="EW18" s="215">
        <f t="shared" si="39"/>
        <v>2004738.5744320876</v>
      </c>
      <c r="EX18" s="215">
        <f t="shared" si="39"/>
        <v>2004738.5744320876</v>
      </c>
      <c r="EY18" s="215">
        <f t="shared" si="39"/>
        <v>2004738.5744320876</v>
      </c>
      <c r="EZ18" s="215">
        <f t="shared" si="39"/>
        <v>2004738.5744320876</v>
      </c>
      <c r="FA18" s="215">
        <f t="shared" si="39"/>
        <v>2004738.5744320876</v>
      </c>
      <c r="FB18" s="215">
        <f t="shared" si="39"/>
        <v>2004738.5744320876</v>
      </c>
      <c r="FC18" s="215">
        <f t="shared" si="39"/>
        <v>2004738.5744320876</v>
      </c>
      <c r="FD18" s="215">
        <f t="shared" si="39"/>
        <v>2004738.5744320876</v>
      </c>
      <c r="FE18" s="215">
        <f t="shared" si="39"/>
        <v>2004738.5744320876</v>
      </c>
      <c r="FF18" s="215">
        <f t="shared" si="39"/>
        <v>2004738.5744320876</v>
      </c>
      <c r="FG18" s="215">
        <f t="shared" si="39"/>
        <v>2004738.5744320876</v>
      </c>
      <c r="FH18" s="215">
        <f t="shared" si="39"/>
        <v>2004738.5744320876</v>
      </c>
      <c r="FI18" s="215">
        <f t="shared" si="39"/>
        <v>2004738.5744320876</v>
      </c>
      <c r="FJ18" s="215">
        <f t="shared" si="39"/>
        <v>2004738.5744320876</v>
      </c>
      <c r="FK18" s="215">
        <f t="shared" si="39"/>
        <v>2004738.5744320876</v>
      </c>
      <c r="FL18" s="215">
        <f t="shared" si="39"/>
        <v>2004738.5744320876</v>
      </c>
      <c r="FM18" s="215">
        <f t="shared" si="39"/>
        <v>2004738.5744320876</v>
      </c>
      <c r="FN18" s="215">
        <f t="shared" si="39"/>
        <v>2004738.5744320876</v>
      </c>
      <c r="FO18" s="215">
        <f t="shared" si="39"/>
        <v>2004738.5744320876</v>
      </c>
      <c r="FP18" s="215">
        <f t="shared" si="39"/>
        <v>2004738.5744320876</v>
      </c>
      <c r="FQ18" s="215">
        <f t="shared" si="39"/>
        <v>2004738.5744320876</v>
      </c>
      <c r="FR18" s="215">
        <f t="shared" si="39"/>
        <v>2004738.5744320876</v>
      </c>
      <c r="FS18" s="215">
        <f t="shared" si="39"/>
        <v>2004738.5744320876</v>
      </c>
      <c r="FT18" s="215">
        <f t="shared" si="39"/>
        <v>2004738.5744320876</v>
      </c>
      <c r="FU18" s="215">
        <f t="shared" si="39"/>
        <v>2004738.5744320876</v>
      </c>
      <c r="FV18" s="215">
        <f t="shared" si="39"/>
        <v>2004738.5744320876</v>
      </c>
      <c r="FW18" s="215">
        <f t="shared" si="39"/>
        <v>2004738.5744320876</v>
      </c>
      <c r="FX18" s="215">
        <f t="shared" si="39"/>
        <v>2004738.5744320876</v>
      </c>
      <c r="FY18" s="215">
        <f t="shared" si="39"/>
        <v>2004738.5744320876</v>
      </c>
      <c r="FZ18" s="215">
        <f t="shared" si="39"/>
        <v>2004738.5744320876</v>
      </c>
      <c r="GA18" s="215">
        <f t="shared" si="39"/>
        <v>2004738.5744320876</v>
      </c>
      <c r="GB18" s="215">
        <f t="shared" si="39"/>
        <v>2004738.5744320876</v>
      </c>
      <c r="GC18" s="215">
        <f t="shared" si="39"/>
        <v>2004738.5744320876</v>
      </c>
      <c r="GD18" s="215">
        <f t="shared" si="39"/>
        <v>2004738.5744320876</v>
      </c>
      <c r="GE18" s="215">
        <f t="shared" si="39"/>
        <v>2004738.5744320876</v>
      </c>
      <c r="GF18" s="215">
        <f t="shared" si="39"/>
        <v>2004738.5744320876</v>
      </c>
      <c r="GG18" s="215">
        <f t="shared" si="39"/>
        <v>2004738.5744320876</v>
      </c>
      <c r="GH18" s="215">
        <f t="shared" si="39"/>
        <v>2004738.5744320876</v>
      </c>
      <c r="GI18" s="215">
        <f t="shared" si="39"/>
        <v>2004738.5744320876</v>
      </c>
      <c r="GJ18" s="215">
        <f t="shared" si="39"/>
        <v>2004738.5744320876</v>
      </c>
      <c r="GK18" s="215">
        <f t="shared" si="39"/>
        <v>2004738.5744320876</v>
      </c>
      <c r="GL18" s="215">
        <f t="shared" si="39"/>
        <v>2004738.5744320876</v>
      </c>
      <c r="GM18" s="215">
        <f t="shared" si="39"/>
        <v>2004738.5744320876</v>
      </c>
      <c r="GN18" s="215">
        <f t="shared" si="39"/>
        <v>2004738.5744320876</v>
      </c>
      <c r="GO18" s="215">
        <f t="shared" si="39"/>
        <v>2004738.5744320876</v>
      </c>
      <c r="GP18" s="215">
        <f t="shared" si="39"/>
        <v>2004738.5744320876</v>
      </c>
      <c r="GQ18" s="215">
        <f t="shared" si="39"/>
        <v>2004738.5744320876</v>
      </c>
      <c r="GR18" s="215">
        <f t="shared" si="39"/>
        <v>2004738.5744320876</v>
      </c>
      <c r="GS18" s="215">
        <f t="shared" ref="GS18:JD18" si="40">GR18+GS17</f>
        <v>2004738.5744320876</v>
      </c>
      <c r="GT18" s="215">
        <f t="shared" si="40"/>
        <v>2004738.5744320876</v>
      </c>
      <c r="GU18" s="215">
        <f t="shared" si="40"/>
        <v>2004738.5744320876</v>
      </c>
      <c r="GV18" s="215">
        <f t="shared" si="40"/>
        <v>2004738.5744320876</v>
      </c>
      <c r="GW18" s="215">
        <f t="shared" si="40"/>
        <v>2004738.5744320876</v>
      </c>
      <c r="GX18" s="215">
        <f t="shared" si="40"/>
        <v>2004738.5744320876</v>
      </c>
      <c r="GY18" s="215">
        <f t="shared" si="40"/>
        <v>2004738.5744320876</v>
      </c>
      <c r="GZ18" s="215">
        <f t="shared" si="40"/>
        <v>2004738.5744320876</v>
      </c>
      <c r="HA18" s="215">
        <f t="shared" si="40"/>
        <v>2004738.5744320876</v>
      </c>
      <c r="HB18" s="215">
        <f t="shared" si="40"/>
        <v>2004738.5744320876</v>
      </c>
      <c r="HC18" s="215">
        <f t="shared" si="40"/>
        <v>2004738.5744320876</v>
      </c>
      <c r="HD18" s="215">
        <f t="shared" si="40"/>
        <v>2004738.5744320876</v>
      </c>
      <c r="HE18" s="215">
        <f t="shared" si="40"/>
        <v>2004738.5744320876</v>
      </c>
      <c r="HF18" s="215">
        <f t="shared" si="40"/>
        <v>2004738.5744320876</v>
      </c>
      <c r="HG18" s="215">
        <f t="shared" si="40"/>
        <v>2004738.5744320876</v>
      </c>
      <c r="HH18" s="215">
        <f t="shared" si="40"/>
        <v>2004738.5744320876</v>
      </c>
      <c r="HI18" s="215">
        <f t="shared" si="40"/>
        <v>2004738.5744320876</v>
      </c>
      <c r="HJ18" s="215">
        <f t="shared" si="40"/>
        <v>2004738.5744320876</v>
      </c>
      <c r="HK18" s="215">
        <f t="shared" si="40"/>
        <v>2004738.5744320876</v>
      </c>
      <c r="HL18" s="215">
        <f t="shared" si="40"/>
        <v>2004738.5744320876</v>
      </c>
      <c r="HM18" s="215">
        <f t="shared" si="40"/>
        <v>2004738.5744320876</v>
      </c>
      <c r="HN18" s="215">
        <f t="shared" si="40"/>
        <v>2004738.5744320876</v>
      </c>
      <c r="HO18" s="215">
        <f t="shared" si="40"/>
        <v>2004738.5744320876</v>
      </c>
      <c r="HP18" s="215">
        <f t="shared" si="40"/>
        <v>2004738.5744320876</v>
      </c>
      <c r="HQ18" s="215">
        <f t="shared" si="40"/>
        <v>2004738.5744320876</v>
      </c>
      <c r="HR18" s="215">
        <f t="shared" si="40"/>
        <v>2004738.5744320876</v>
      </c>
      <c r="HS18" s="215">
        <f t="shared" si="40"/>
        <v>2004738.5744320876</v>
      </c>
      <c r="HT18" s="215">
        <f t="shared" si="40"/>
        <v>2004738.5744320876</v>
      </c>
      <c r="HU18" s="215">
        <f t="shared" si="40"/>
        <v>2004738.5744320876</v>
      </c>
      <c r="HV18" s="215">
        <f t="shared" si="40"/>
        <v>2004738.5744320876</v>
      </c>
      <c r="HW18" s="215">
        <f t="shared" si="40"/>
        <v>2004738.5744320876</v>
      </c>
      <c r="HX18" s="215">
        <f t="shared" si="40"/>
        <v>2004738.5744320876</v>
      </c>
      <c r="HY18" s="215">
        <f t="shared" si="40"/>
        <v>2004738.5744320876</v>
      </c>
      <c r="HZ18" s="215">
        <f t="shared" si="40"/>
        <v>2004738.5744320876</v>
      </c>
      <c r="IA18" s="215">
        <f t="shared" si="40"/>
        <v>2004738.5744320876</v>
      </c>
      <c r="IB18" s="215">
        <f t="shared" si="40"/>
        <v>2004738.5744320876</v>
      </c>
      <c r="IC18" s="215">
        <f t="shared" si="40"/>
        <v>2004738.5744320876</v>
      </c>
      <c r="ID18" s="215">
        <f t="shared" si="40"/>
        <v>2004738.5744320876</v>
      </c>
      <c r="IE18" s="215">
        <f t="shared" si="40"/>
        <v>2004738.5744320876</v>
      </c>
      <c r="IF18" s="215">
        <f t="shared" si="40"/>
        <v>2004738.5744320876</v>
      </c>
      <c r="IG18" s="215">
        <f t="shared" si="40"/>
        <v>2004738.5744320876</v>
      </c>
      <c r="IH18" s="215">
        <f t="shared" si="40"/>
        <v>2004738.5744320876</v>
      </c>
      <c r="II18" s="215">
        <f t="shared" si="40"/>
        <v>2004738.5744320876</v>
      </c>
      <c r="IJ18" s="215">
        <f t="shared" si="40"/>
        <v>2004738.5744320876</v>
      </c>
      <c r="IK18" s="215">
        <f t="shared" si="40"/>
        <v>2004738.5744320876</v>
      </c>
      <c r="IL18" s="215">
        <f t="shared" si="40"/>
        <v>2004738.5744320876</v>
      </c>
      <c r="IM18" s="215">
        <f t="shared" si="40"/>
        <v>2004738.5744320876</v>
      </c>
      <c r="IN18" s="215">
        <f t="shared" si="40"/>
        <v>2004738.5744320876</v>
      </c>
      <c r="IO18" s="215">
        <f t="shared" si="40"/>
        <v>2004738.5744320876</v>
      </c>
      <c r="IP18" s="215">
        <f t="shared" si="40"/>
        <v>2004738.5744320876</v>
      </c>
      <c r="IQ18" s="215">
        <f t="shared" si="40"/>
        <v>2004738.5744320876</v>
      </c>
      <c r="IR18" s="215">
        <f t="shared" si="40"/>
        <v>2004738.5744320876</v>
      </c>
      <c r="IS18" s="215">
        <f t="shared" si="40"/>
        <v>2004738.5744320876</v>
      </c>
      <c r="IT18" s="215">
        <f t="shared" si="40"/>
        <v>2004738.5744320876</v>
      </c>
      <c r="IU18" s="215">
        <f t="shared" si="40"/>
        <v>2004738.5744320876</v>
      </c>
      <c r="IV18" s="215">
        <f t="shared" si="40"/>
        <v>2004738.5744320876</v>
      </c>
      <c r="IW18" s="215">
        <f t="shared" si="40"/>
        <v>2004738.5744320876</v>
      </c>
      <c r="IX18" s="215">
        <f t="shared" si="40"/>
        <v>2004738.5744320876</v>
      </c>
      <c r="IY18" s="215">
        <f t="shared" si="40"/>
        <v>2004738.5744320876</v>
      </c>
      <c r="IZ18" s="215">
        <f t="shared" si="40"/>
        <v>2004738.5744320876</v>
      </c>
      <c r="JA18" s="215">
        <f t="shared" si="40"/>
        <v>2004738.5744320876</v>
      </c>
      <c r="JB18" s="215">
        <f t="shared" si="40"/>
        <v>2004738.5744320876</v>
      </c>
      <c r="JC18" s="215">
        <f t="shared" si="40"/>
        <v>2004738.5744320876</v>
      </c>
      <c r="JD18" s="215">
        <f t="shared" si="40"/>
        <v>2004738.5744320876</v>
      </c>
      <c r="JE18" s="215">
        <f t="shared" ref="JE18:KF18" si="41">JD18+JE17</f>
        <v>2004738.5744320876</v>
      </c>
      <c r="JF18" s="215">
        <f t="shared" si="41"/>
        <v>2004738.5744320876</v>
      </c>
      <c r="JG18" s="215">
        <f t="shared" si="41"/>
        <v>2004738.5744320876</v>
      </c>
      <c r="JH18" s="215">
        <f t="shared" si="41"/>
        <v>2004738.5744320876</v>
      </c>
      <c r="JI18" s="215">
        <f t="shared" si="41"/>
        <v>2004738.5744320876</v>
      </c>
      <c r="JJ18" s="215">
        <f t="shared" si="41"/>
        <v>2004738.5744320876</v>
      </c>
      <c r="JK18" s="215">
        <f t="shared" si="41"/>
        <v>2004738.5744320876</v>
      </c>
      <c r="JL18" s="215">
        <f t="shared" si="41"/>
        <v>2004738.5744320876</v>
      </c>
      <c r="JM18" s="215">
        <f t="shared" si="41"/>
        <v>2004738.5744320876</v>
      </c>
      <c r="JN18" s="215">
        <f t="shared" si="41"/>
        <v>2004738.5744320876</v>
      </c>
      <c r="JO18" s="215">
        <f t="shared" si="41"/>
        <v>2004738.5744320876</v>
      </c>
      <c r="JP18" s="215">
        <f t="shared" si="41"/>
        <v>2004738.5744320876</v>
      </c>
      <c r="JQ18" s="215">
        <f t="shared" si="41"/>
        <v>2004738.5744320876</v>
      </c>
      <c r="JR18" s="215">
        <f t="shared" si="41"/>
        <v>2004738.5744320876</v>
      </c>
      <c r="JS18" s="215">
        <f t="shared" si="41"/>
        <v>2004738.5744320876</v>
      </c>
      <c r="JT18" s="215">
        <f t="shared" si="41"/>
        <v>2004738.5744320876</v>
      </c>
      <c r="JU18" s="215">
        <f t="shared" si="41"/>
        <v>2004738.5744320876</v>
      </c>
      <c r="JV18" s="215">
        <f t="shared" si="41"/>
        <v>2004738.5744320876</v>
      </c>
      <c r="JW18" s="215">
        <f t="shared" si="41"/>
        <v>2004738.5744320876</v>
      </c>
      <c r="JX18" s="215">
        <f t="shared" si="41"/>
        <v>2004738.5744320876</v>
      </c>
      <c r="JY18" s="215">
        <f t="shared" si="41"/>
        <v>2004738.5744320876</v>
      </c>
      <c r="JZ18" s="215">
        <f t="shared" si="41"/>
        <v>2004738.5744320876</v>
      </c>
      <c r="KA18" s="215">
        <f t="shared" si="41"/>
        <v>2004738.5744320876</v>
      </c>
      <c r="KB18" s="215">
        <f t="shared" si="41"/>
        <v>2004738.5744320876</v>
      </c>
      <c r="KC18" s="215">
        <f t="shared" si="41"/>
        <v>2004738.5744320876</v>
      </c>
      <c r="KD18" s="215">
        <f t="shared" si="41"/>
        <v>2004738.5744320876</v>
      </c>
      <c r="KE18" s="215">
        <f t="shared" si="41"/>
        <v>2004738.5744320876</v>
      </c>
      <c r="KF18" s="215">
        <f t="shared" si="41"/>
        <v>2004738.5744320876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703125" defaultRowHeight="14.45"/>
  <cols>
    <col min="1" max="1" width="39.42578125" style="367" bestFit="1" customWidth="1"/>
    <col min="2" max="2" width="17.28515625" style="368" bestFit="1" customWidth="1"/>
    <col min="3" max="3" width="14.85546875" style="367" bestFit="1" customWidth="1"/>
    <col min="4" max="4" width="13.28515625" style="367" bestFit="1" customWidth="1"/>
    <col min="5" max="5" width="12.7109375" style="367" bestFit="1" customWidth="1"/>
    <col min="6" max="6" width="4.85546875" style="367" bestFit="1" customWidth="1"/>
    <col min="7" max="7" width="13.28515625" style="367" bestFit="1" customWidth="1"/>
    <col min="8" max="9" width="14.85546875" style="367" bestFit="1" customWidth="1"/>
    <col min="10" max="10" width="14.5703125" style="367" bestFit="1" customWidth="1"/>
    <col min="11" max="11" width="11.42578125" style="367" bestFit="1" customWidth="1"/>
    <col min="12" max="12" width="6.42578125" style="367" bestFit="1" customWidth="1"/>
    <col min="13" max="13" width="14.57031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57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513</v>
      </c>
      <c r="B3" s="656" t="s">
        <v>514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516</v>
      </c>
      <c r="B5" s="372"/>
      <c r="C5" s="372"/>
      <c r="D5" s="372"/>
      <c r="E5" s="372"/>
      <c r="F5" s="372"/>
      <c r="G5" s="372"/>
      <c r="H5" s="3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335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>
        <v>680951.31874999998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347</v>
      </c>
      <c r="B7" s="372"/>
      <c r="C7" s="372">
        <v>175000</v>
      </c>
      <c r="D7" s="372"/>
      <c r="E7" s="372"/>
      <c r="F7" s="372">
        <v>0</v>
      </c>
      <c r="G7" s="372"/>
      <c r="H7" s="3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358</v>
      </c>
      <c r="B8" s="372"/>
      <c r="C8" s="372"/>
      <c r="D8" s="372">
        <v>125050</v>
      </c>
      <c r="E8" s="372"/>
      <c r="F8" s="372">
        <v>0</v>
      </c>
      <c r="G8" s="372"/>
      <c r="H8" s="372">
        <v>125050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372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42420.812865390602</v>
      </c>
      <c r="H9" s="372">
        <v>245929.37175914098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397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>
        <v>61249.997055985164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420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63202.149239549704</v>
      </c>
      <c r="H11" s="372">
        <v>314982.97826086963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426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>
        <v>57777.777777777781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437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99425.001786965469</v>
      </c>
      <c r="H13" s="372">
        <v>220944.44623140991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443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27488.970322709731</v>
      </c>
      <c r="H14" s="372">
        <v>63171.605360385496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449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460</v>
      </c>
      <c r="B16" s="372">
        <v>0</v>
      </c>
      <c r="C16" s="372"/>
      <c r="D16" s="372"/>
      <c r="E16" s="372"/>
      <c r="F16" s="372"/>
      <c r="G16" s="372">
        <v>22597.742926891198</v>
      </c>
      <c r="H16" s="372">
        <v>22597.742926891198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469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>
        <v>0</v>
      </c>
      <c r="H17" s="372">
        <v>4861.1140874050561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473</v>
      </c>
      <c r="B18" s="372"/>
      <c r="C18" s="372"/>
      <c r="D18" s="372"/>
      <c r="E18" s="372"/>
      <c r="F18" s="372"/>
      <c r="G18" s="372"/>
      <c r="H18" s="3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457</v>
      </c>
      <c r="B19" s="372"/>
      <c r="C19" s="372"/>
      <c r="D19" s="372"/>
      <c r="E19" s="372"/>
      <c r="F19" s="372"/>
      <c r="G19" s="372"/>
      <c r="H19" s="3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424</v>
      </c>
      <c r="B20" s="372"/>
      <c r="C20" s="372"/>
      <c r="D20" s="372"/>
      <c r="E20" s="372"/>
      <c r="F20" s="372"/>
      <c r="G20" s="372"/>
      <c r="H20" s="3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517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255134.67714150672</v>
      </c>
      <c r="H21" s="372">
        <v>2004738.5744320876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opLeftCell="A15" zoomScale="85" zoomScaleNormal="85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406" bestFit="1" customWidth="1"/>
    <col min="3" max="4" width="13.28515625" style="406" bestFit="1" customWidth="1"/>
    <col min="5" max="5" width="12" style="406" bestFit="1" customWidth="1"/>
    <col min="6" max="6" width="11.5703125" style="406" bestFit="1" customWidth="1"/>
    <col min="7" max="7" width="13.28515625" style="406" bestFit="1" customWidth="1"/>
    <col min="8" max="9" width="14.85546875" style="406" bestFit="1" customWidth="1"/>
    <col min="10" max="10" width="12.5703125" bestFit="1" customWidth="1"/>
    <col min="11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656" t="s">
        <v>518</v>
      </c>
      <c r="B3" s="656" t="s">
        <v>514</v>
      </c>
      <c r="C3"/>
      <c r="D3"/>
      <c r="E3"/>
      <c r="F3"/>
      <c r="G3"/>
      <c r="H3"/>
      <c r="I3"/>
    </row>
    <row r="4" spans="1:9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</row>
    <row r="5" spans="1:9">
      <c r="A5" s="445" t="s">
        <v>516</v>
      </c>
      <c r="B5" s="447"/>
      <c r="C5" s="447"/>
      <c r="D5" s="447"/>
      <c r="E5" s="447"/>
      <c r="F5" s="447"/>
      <c r="G5" s="447"/>
      <c r="H5" s="447"/>
      <c r="I5"/>
    </row>
    <row r="6" spans="1:9">
      <c r="A6" s="445" t="s">
        <v>335</v>
      </c>
      <c r="B6" s="447"/>
      <c r="C6" s="447">
        <v>472496.66</v>
      </c>
      <c r="D6" s="447">
        <v>-12115.12</v>
      </c>
      <c r="E6" s="447"/>
      <c r="F6" s="447"/>
      <c r="G6" s="447"/>
      <c r="H6" s="447">
        <v>460381.54</v>
      </c>
      <c r="I6"/>
    </row>
    <row r="7" spans="1:9">
      <c r="A7" s="445" t="s">
        <v>347</v>
      </c>
      <c r="B7" s="447"/>
      <c r="C7" s="447">
        <v>130492</v>
      </c>
      <c r="D7" s="447"/>
      <c r="E7" s="447"/>
      <c r="F7" s="447"/>
      <c r="G7" s="447"/>
      <c r="H7" s="447">
        <v>130492</v>
      </c>
      <c r="I7"/>
    </row>
    <row r="8" spans="1:9">
      <c r="A8" s="445" t="s">
        <v>358</v>
      </c>
      <c r="B8" s="447"/>
      <c r="C8" s="447"/>
      <c r="D8" s="447">
        <v>58518</v>
      </c>
      <c r="E8" s="447"/>
      <c r="F8" s="447"/>
      <c r="G8" s="447"/>
      <c r="H8" s="447">
        <v>58518</v>
      </c>
      <c r="I8"/>
    </row>
    <row r="9" spans="1:9">
      <c r="A9" s="445" t="s">
        <v>372</v>
      </c>
      <c r="B9" s="447"/>
      <c r="C9" s="447">
        <v>57356.5</v>
      </c>
      <c r="D9" s="447">
        <v>15104.25</v>
      </c>
      <c r="E9" s="447"/>
      <c r="F9" s="447"/>
      <c r="G9" s="447">
        <v>15104.24</v>
      </c>
      <c r="H9" s="447">
        <v>87564.99</v>
      </c>
      <c r="I9"/>
    </row>
    <row r="10" spans="1:9">
      <c r="A10" s="445" t="s">
        <v>397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>
        <v>59282.42</v>
      </c>
      <c r="I10"/>
    </row>
    <row r="11" spans="1:9">
      <c r="A11" s="445" t="s">
        <v>420</v>
      </c>
      <c r="B11" s="447"/>
      <c r="C11" s="447">
        <v>6438.55</v>
      </c>
      <c r="D11" s="447">
        <v>108984.19500000001</v>
      </c>
      <c r="E11" s="447"/>
      <c r="F11" s="447"/>
      <c r="G11" s="447">
        <v>28973.475000000002</v>
      </c>
      <c r="H11" s="447">
        <v>144396.22</v>
      </c>
      <c r="I11"/>
    </row>
    <row r="12" spans="1:9">
      <c r="A12" s="445" t="s">
        <v>426</v>
      </c>
      <c r="B12" s="447"/>
      <c r="C12" s="447">
        <v>15800</v>
      </c>
      <c r="D12" s="447">
        <v>8100</v>
      </c>
      <c r="E12" s="447"/>
      <c r="F12" s="447"/>
      <c r="G12" s="447"/>
      <c r="H12" s="447">
        <v>23900</v>
      </c>
      <c r="I12"/>
    </row>
    <row r="13" spans="1:9">
      <c r="A13" s="445" t="s">
        <v>437</v>
      </c>
      <c r="B13" s="447"/>
      <c r="C13" s="447">
        <v>27201.295999999998</v>
      </c>
      <c r="D13" s="447">
        <v>122405.83199999999</v>
      </c>
      <c r="E13" s="447"/>
      <c r="F13" s="447"/>
      <c r="G13" s="447">
        <v>122405.836</v>
      </c>
      <c r="H13" s="447">
        <v>272012.96399999998</v>
      </c>
      <c r="I13"/>
    </row>
    <row r="14" spans="1:9">
      <c r="A14" s="445" t="s">
        <v>443</v>
      </c>
      <c r="B14" s="447"/>
      <c r="C14" s="447">
        <v>7485.9500000000007</v>
      </c>
      <c r="D14" s="447">
        <v>36241.875</v>
      </c>
      <c r="E14" s="447"/>
      <c r="F14" s="447"/>
      <c r="G14" s="447">
        <v>33686.775000000001</v>
      </c>
      <c r="H14" s="447">
        <v>77414.600000000006</v>
      </c>
      <c r="I14"/>
    </row>
    <row r="15" spans="1:9">
      <c r="A15" s="445" t="s">
        <v>449</v>
      </c>
      <c r="B15" s="447"/>
      <c r="C15" s="447"/>
      <c r="D15" s="447"/>
      <c r="E15" s="447">
        <v>15565</v>
      </c>
      <c r="F15" s="447"/>
      <c r="G15" s="447"/>
      <c r="H15" s="447">
        <v>15565</v>
      </c>
      <c r="I15"/>
    </row>
    <row r="16" spans="1:9">
      <c r="A16" s="445" t="s">
        <v>460</v>
      </c>
      <c r="B16" s="447">
        <v>0</v>
      </c>
      <c r="C16" s="447"/>
      <c r="D16" s="447"/>
      <c r="E16" s="447"/>
      <c r="F16" s="447"/>
      <c r="G16" s="447">
        <v>25059.23</v>
      </c>
      <c r="H16" s="447">
        <v>25059.23</v>
      </c>
      <c r="I16"/>
    </row>
    <row r="17" spans="1:9">
      <c r="A17" s="445" t="s">
        <v>469</v>
      </c>
      <c r="B17" s="447"/>
      <c r="C17" s="447">
        <v>0</v>
      </c>
      <c r="D17" s="447">
        <v>863.3</v>
      </c>
      <c r="E17" s="447">
        <v>1023.4</v>
      </c>
      <c r="F17" s="447"/>
      <c r="G17" s="447">
        <v>136.46</v>
      </c>
      <c r="H17" s="447">
        <v>2023.1599999999999</v>
      </c>
      <c r="I17"/>
    </row>
    <row r="18" spans="1:9">
      <c r="A18" s="445" t="s">
        <v>473</v>
      </c>
      <c r="B18" s="447"/>
      <c r="C18" s="447"/>
      <c r="D18" s="447">
        <v>7000</v>
      </c>
      <c r="E18" s="447">
        <v>14800</v>
      </c>
      <c r="F18" s="447"/>
      <c r="G18" s="447"/>
      <c r="H18" s="447">
        <v>21800</v>
      </c>
      <c r="I18"/>
    </row>
    <row r="19" spans="1:9">
      <c r="A19" s="445" t="s">
        <v>457</v>
      </c>
      <c r="B19" s="447"/>
      <c r="C19" s="447"/>
      <c r="D19" s="447"/>
      <c r="E19" s="447"/>
      <c r="F19" s="447"/>
      <c r="G19" s="447"/>
      <c r="H19" s="447"/>
      <c r="I19"/>
    </row>
    <row r="20" spans="1:9">
      <c r="A20" s="445" t="s">
        <v>424</v>
      </c>
      <c r="B20" s="447"/>
      <c r="C20" s="447"/>
      <c r="D20" s="447"/>
      <c r="E20" s="447"/>
      <c r="F20" s="447"/>
      <c r="G20" s="447"/>
      <c r="H20" s="447"/>
      <c r="I20"/>
    </row>
    <row r="21" spans="1:9">
      <c r="A21" s="445" t="s">
        <v>517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225366.016</v>
      </c>
      <c r="H21" s="447">
        <v>1378410.1240000001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519</v>
      </c>
    </row>
    <row r="2" spans="1:4">
      <c r="A2" s="838"/>
      <c r="B2" s="838"/>
      <c r="C2" s="838"/>
      <c r="D2" s="71"/>
    </row>
    <row r="3" spans="1:4">
      <c r="A3" s="837" t="s">
        <v>520</v>
      </c>
      <c r="B3" s="837"/>
      <c r="C3" s="837"/>
      <c r="D3" s="111">
        <v>0.32</v>
      </c>
    </row>
    <row r="4" spans="1:4">
      <c r="A4" s="837" t="s">
        <v>488</v>
      </c>
      <c r="B4" s="837"/>
      <c r="C4" s="837"/>
      <c r="D4" s="111">
        <v>0.5</v>
      </c>
    </row>
    <row r="5" spans="1:4">
      <c r="A5" s="837" t="s">
        <v>499</v>
      </c>
      <c r="B5" s="837"/>
      <c r="C5" s="837"/>
      <c r="D5" s="111">
        <v>0.15</v>
      </c>
    </row>
    <row r="6" spans="1:4">
      <c r="A6" s="837" t="s">
        <v>521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5703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5703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39" t="s">
        <v>522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97</v>
      </c>
      <c r="C4" s="86"/>
      <c r="D4" s="90" t="s">
        <v>523</v>
      </c>
      <c r="E4" s="95"/>
      <c r="F4" s="90" t="s">
        <v>524</v>
      </c>
      <c r="H4" s="90" t="s">
        <v>525</v>
      </c>
      <c r="I4" s="95"/>
      <c r="J4" s="90" t="s">
        <v>526</v>
      </c>
      <c r="L4" s="90" t="s">
        <v>525</v>
      </c>
      <c r="M4" s="90"/>
      <c r="N4" s="90" t="s">
        <v>527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528</v>
      </c>
      <c r="H7" s="99"/>
      <c r="I7" s="95"/>
      <c r="J7" s="107" t="s">
        <v>528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528</v>
      </c>
      <c r="H15" s="99"/>
      <c r="I15" s="95"/>
      <c r="J15" s="107" t="s">
        <v>528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528</v>
      </c>
      <c r="H21" s="99"/>
      <c r="I21" s="95"/>
      <c r="J21" s="107" t="s">
        <v>528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528</v>
      </c>
      <c r="H27" s="99"/>
      <c r="I27" s="95"/>
      <c r="J27" s="107" t="s">
        <v>528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528</v>
      </c>
      <c r="H34" s="99"/>
      <c r="I34" s="95"/>
      <c r="J34" s="107" t="s">
        <v>528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539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540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5703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5703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5703125" style="88" bestFit="1" customWidth="1"/>
    <col min="16" max="16384" width="9.42578125" style="88"/>
  </cols>
  <sheetData>
    <row r="2" spans="2:15" s="94" customFormat="1" ht="17.45">
      <c r="B2" s="839" t="s">
        <v>541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97</v>
      </c>
      <c r="C4" s="86"/>
      <c r="D4" s="90" t="s">
        <v>523</v>
      </c>
      <c r="E4" s="95"/>
      <c r="F4" s="95"/>
      <c r="G4" s="90" t="s">
        <v>369</v>
      </c>
      <c r="H4" s="96"/>
      <c r="J4" s="90" t="s">
        <v>525</v>
      </c>
      <c r="L4" s="90" t="s">
        <v>542</v>
      </c>
      <c r="M4" s="96"/>
      <c r="O4" s="90" t="s">
        <v>525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539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523</v>
      </c>
      <c r="E18" s="95"/>
      <c r="F18" s="95"/>
      <c r="G18" s="90" t="s">
        <v>544</v>
      </c>
      <c r="H18" s="96"/>
      <c r="J18" s="90" t="s">
        <v>525</v>
      </c>
      <c r="L18" s="90" t="s">
        <v>545</v>
      </c>
      <c r="M18" s="96"/>
      <c r="O18" s="90" t="s">
        <v>525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546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547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548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549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550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539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551</v>
      </c>
      <c r="C32" s="103"/>
      <c r="D32" s="103"/>
    </row>
    <row r="33" spans="2:4" ht="13.9" thickTop="1"/>
    <row r="34" spans="2:4">
      <c r="B34" s="88" t="s">
        <v>523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552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41" t="str">
        <f>D15</f>
        <v>Shoprite Mini_Citrusdal</v>
      </c>
      <c r="C1" s="841"/>
      <c r="D1" s="841"/>
      <c r="E1" s="840" t="s">
        <v>553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554</v>
      </c>
      <c r="D3" s="72" t="s">
        <v>555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774C925F-F946-480B-896C-ADF08F81666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2026-02-11T09:07:40Z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