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78" documentId="13_ncr:1_{C8A13B6E-D381-4ABA-939D-24E73EE90B2A}" xr6:coauthVersionLast="47" xr6:coauthVersionMax="47" xr10:uidLastSave="{B0355760-68FD-42B4-B2F7-CB87578AF5AD}"/>
  <bookViews>
    <workbookView xWindow="6705" yWindow="-16320" windowWidth="29040" windowHeight="15720" tabRatio="621" firstSheet="3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24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T152" i="18"/>
  <c r="T153" i="18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61" i="18" s="1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J22" i="3" s="1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M9" i="2" s="1"/>
  <c r="W32" i="18"/>
  <c r="T32" i="18"/>
  <c r="W59" i="18"/>
  <c r="T59" i="18"/>
  <c r="T95" i="18"/>
  <c r="W116" i="18"/>
  <c r="T116" i="18"/>
  <c r="T13" i="18"/>
  <c r="T44" i="18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U165" i="18"/>
  <c r="H19" i="3"/>
  <c r="J19" i="3"/>
  <c r="H21" i="3"/>
  <c r="T28" i="18"/>
  <c r="U147" i="18"/>
  <c r="P4" i="5"/>
  <c r="H9" i="3"/>
  <c r="J9" i="3"/>
  <c r="F12" i="3"/>
  <c r="J12" i="3" s="1"/>
  <c r="Q38" i="18"/>
  <c r="H11" i="3"/>
  <c r="J11" i="3" s="1"/>
  <c r="H23" i="3"/>
  <c r="J23" i="3" s="1"/>
  <c r="U132" i="18"/>
  <c r="F17" i="5"/>
  <c r="F18" i="5"/>
  <c r="F19" i="5"/>
  <c r="F13" i="5"/>
  <c r="C3" i="6"/>
  <c r="F20" i="5"/>
  <c r="H22" i="3"/>
  <c r="U155" i="18"/>
  <c r="U168" i="18"/>
  <c r="U166" i="18"/>
  <c r="U164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K41" i="2" l="1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N35" i="2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2" i="2"/>
  <c r="I50" i="2"/>
  <c r="K48" i="2"/>
  <c r="I49" i="2" s="1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I51" i="2" s="1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<sst xmlns="http://schemas.openxmlformats.org/spreadsheetml/2006/main" count="912" uniqueCount="517">
  <si>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</si>
  <si>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</si>
  <si>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</si>
  <si>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</si>
  <si>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</si>
  <si>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</si>
  <si>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</si>
  <si>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</si>
  <si>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</si>
  <si>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</si>
  <si>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</si>
  <si>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</si>
  <si>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</si>
  <si>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</si>
  <si>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</si>
  <si>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</si>
  <si>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</si>
  <si>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</si>
  <si>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</si>
  <si>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</si>
  <si>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</si>
  <si>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</si>
  <si>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</si>
  <si>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</si>
  <si>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</si>
  <si>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</si>
  <si>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</si>
  <si>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</si>
  <si>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</si>
  <si>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</si>
  <si>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</si>
  <si>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</si>
  <si>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</si>
  <si>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</si>
  <si>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</si>
  <si>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</si>
  <si>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</si>
  <si>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</si>
  <si>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</si>
  <si>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</si>
  <si>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</si>
  <si>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</si>
  <si>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</si>
  <si>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</si>
  <si>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</si>
  <si>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</si>
  <si>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</si>
  <si>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</si>
  <si>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</si>
  <si>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</si>
  <si>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</si>
  <si>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</si>
  <si>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</si>
  <si>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</si>
  <si>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</si>
  <si>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</si>
  <si>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</si>
  <si>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</si>
  <si>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</si>
  <si>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</si>
  <si>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</si>
  <si>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</si>
  <si>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</si>
  <si>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</si>
  <si>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</si>
  <si>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</si>
  <si>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</si>
  <si>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</si>
  <si>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</si>
  <si>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</si>
  <si>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</si>
  <si>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</si>
  <si>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</si>
  <si>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</si>
  <si>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</si>
  <si>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</si>
  <si>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</si>
  <si>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</si>
  <si>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</si>
  <si>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</si>
  <si>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</si>
  <si>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</si>
  <si>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</si>
  <si>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</si>
  <si>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</si>
  <si>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</si>
  <si>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</si>
  <si>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</si>
  <si>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</si>
  <si>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</si>
  <si>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</si>
  <si>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</si>
  <si>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</si>
  <si>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</si>
  <si>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</si>
  <si>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</si>
  <si>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</si>
  <si>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</si>
  <si>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</si>
  <si>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</si>
  <si>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</si>
  <si>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</si>
  <si>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</si>
  <si>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</si>
  <si>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</si>
  <si>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</si>
  <si>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</si>
  <si>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</si>
  <si>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</si>
  <si>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</si>
  <si>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</si>
  <si>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</si>
  <si>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</si>
  <si>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</si>
  <si>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</si>
  <si>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</si>
  <si>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</si>
  <si>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</si>
  <si>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</si>
  <si>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</si>
  <si>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</si>
  <si>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</si>
  <si>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</si>
  <si>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</si>
  <si>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</si>
  <si>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</si>
  <si>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</si>
  <si>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</si>
  <si>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</si>
  <si>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</si>
  <si>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</si>
  <si>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</si>
  <si>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</si>
  <si>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</si>
  <si>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</si>
  <si>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</si>
  <si>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</si>
  <si>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</si>
  <si>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</si>
  <si>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</si>
  <si>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</si>
  <si>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</si>
  <si>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</si>
  <si>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</si>
  <si>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</si>
  <si>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</si>
  <si>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</si>
  <si>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</si>
  <si>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</si>
  <si>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</si>
  <si>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</si>
  <si>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</si>
  <si>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</si>
  <si>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</si>
  <si>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</si>
  <si>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</si>
  <si>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</si>
  <si>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</si>
  <si>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</si>
  <si>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</si>
  <si>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</si>
  <si>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</si>
  <si>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</si>
  <si>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</si>
  <si>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Anderson Colsulting booked for 11 Feb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</si>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</sst>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3406460.0325000002</c:v>
                </c:pt>
                <c:pt idx="51">
                  <c:v>3406460.0325000002</c:v>
                </c:pt>
                <c:pt idx="52">
                  <c:v>3406460.0325000002</c:v>
                </c:pt>
                <c:pt idx="53">
                  <c:v>3406460.0325000002</c:v>
                </c:pt>
                <c:pt idx="54">
                  <c:v>3406460.0325000002</c:v>
                </c:pt>
                <c:pt idx="55">
                  <c:v>3617170.1375000002</c:v>
                </c:pt>
                <c:pt idx="56">
                  <c:v>4050610.2425000002</c:v>
                </c:pt>
                <c:pt idx="57">
                  <c:v>4124456.2949999999</c:v>
                </c:pt>
                <c:pt idx="58">
                  <c:v>4125956.2949999999</c:v>
                </c:pt>
                <c:pt idx="59">
                  <c:v>4125956.2949999999</c:v>
                </c:pt>
                <c:pt idx="60">
                  <c:v>4125956.2949999999</c:v>
                </c:pt>
                <c:pt idx="61">
                  <c:v>4125956.2949999999</c:v>
                </c:pt>
                <c:pt idx="62">
                  <c:v>4167926.3475000001</c:v>
                </c:pt>
                <c:pt idx="63">
                  <c:v>4167926.3475000001</c:v>
                </c:pt>
                <c:pt idx="64">
                  <c:v>4167926.3475000001</c:v>
                </c:pt>
                <c:pt idx="65">
                  <c:v>4167926.3475000001</c:v>
                </c:pt>
                <c:pt idx="66">
                  <c:v>4167926.3475000001</c:v>
                </c:pt>
                <c:pt idx="67">
                  <c:v>4167926.3475000001</c:v>
                </c:pt>
                <c:pt idx="68">
                  <c:v>4167926.3475000001</c:v>
                </c:pt>
                <c:pt idx="69">
                  <c:v>4167926.3475000001</c:v>
                </c:pt>
                <c:pt idx="70">
                  <c:v>4167926.3475000001</c:v>
                </c:pt>
                <c:pt idx="71">
                  <c:v>4167926.3475000001</c:v>
                </c:pt>
                <c:pt idx="72">
                  <c:v>4167926.3475000001</c:v>
                </c:pt>
                <c:pt idx="73">
                  <c:v>4167926.3475000001</c:v>
                </c:pt>
                <c:pt idx="74">
                  <c:v>4167926.3475000001</c:v>
                </c:pt>
                <c:pt idx="75">
                  <c:v>4167926.3475000001</c:v>
                </c:pt>
                <c:pt idx="76">
                  <c:v>4167926.3475000001</c:v>
                </c:pt>
                <c:pt idx="77">
                  <c:v>4167926.3475000001</c:v>
                </c:pt>
                <c:pt idx="78">
                  <c:v>4167926.3475000001</c:v>
                </c:pt>
                <c:pt idx="79">
                  <c:v>4167926.3475000001</c:v>
                </c:pt>
                <c:pt idx="80">
                  <c:v>4167926.3475000001</c:v>
                </c:pt>
                <c:pt idx="81">
                  <c:v>4167926.3475000001</c:v>
                </c:pt>
                <c:pt idx="82">
                  <c:v>4167926.3475000001</c:v>
                </c:pt>
                <c:pt idx="83">
                  <c:v>4167926.3475000001</c:v>
                </c:pt>
                <c:pt idx="84">
                  <c:v>4167926.3475000001</c:v>
                </c:pt>
                <c:pt idx="85">
                  <c:v>4167926.3475000001</c:v>
                </c:pt>
                <c:pt idx="86">
                  <c:v>4167926.3475000001</c:v>
                </c:pt>
                <c:pt idx="87">
                  <c:v>4167926.3475000001</c:v>
                </c:pt>
                <c:pt idx="88">
                  <c:v>4167926.3475000001</c:v>
                </c:pt>
                <c:pt idx="89">
                  <c:v>4167926.3475000001</c:v>
                </c:pt>
                <c:pt idx="90">
                  <c:v>4167926.3475000001</c:v>
                </c:pt>
                <c:pt idx="91">
                  <c:v>4167926.3475000001</c:v>
                </c:pt>
                <c:pt idx="92">
                  <c:v>4167926.3475000001</c:v>
                </c:pt>
                <c:pt idx="93">
                  <c:v>4167926.3475000001</c:v>
                </c:pt>
                <c:pt idx="94">
                  <c:v>4167926.3475000001</c:v>
                </c:pt>
                <c:pt idx="95">
                  <c:v>4167926.3475000001</c:v>
                </c:pt>
                <c:pt idx="96">
                  <c:v>4167926.3475000001</c:v>
                </c:pt>
                <c:pt idx="97">
                  <c:v>4167926.3475000001</c:v>
                </c:pt>
                <c:pt idx="98">
                  <c:v>4167926.3475000001</c:v>
                </c:pt>
                <c:pt idx="99">
                  <c:v>4167926.3475000001</c:v>
                </c:pt>
                <c:pt idx="100">
                  <c:v>4167926.3475000001</c:v>
                </c:pt>
                <c:pt idx="101">
                  <c:v>4167926.3475000001</c:v>
                </c:pt>
                <c:pt idx="102">
                  <c:v>4167926.3475000001</c:v>
                </c:pt>
                <c:pt idx="103">
                  <c:v>4167926.3475000001</c:v>
                </c:pt>
                <c:pt idx="104">
                  <c:v>4167926.3475000001</c:v>
                </c:pt>
                <c:pt idx="105">
                  <c:v>4167926.3475000001</c:v>
                </c:pt>
                <c:pt idx="106">
                  <c:v>4167926.3475000001</c:v>
                </c:pt>
                <c:pt idx="107">
                  <c:v>4167926.3475000001</c:v>
                </c:pt>
                <c:pt idx="108">
                  <c:v>4167926.3475000001</c:v>
                </c:pt>
                <c:pt idx="109">
                  <c:v>4167926.3475000001</c:v>
                </c:pt>
                <c:pt idx="110">
                  <c:v>4167926.3475000001</c:v>
                </c:pt>
                <c:pt idx="111">
                  <c:v>4167926.3475000001</c:v>
                </c:pt>
                <c:pt idx="112">
                  <c:v>4167926.3475000001</c:v>
                </c:pt>
                <c:pt idx="113">
                  <c:v>4167926.3475000001</c:v>
                </c:pt>
                <c:pt idx="114">
                  <c:v>4167926.3475000001</c:v>
                </c:pt>
                <c:pt idx="115">
                  <c:v>4167926.3475000001</c:v>
                </c:pt>
                <c:pt idx="116">
                  <c:v>4167926.3475000001</c:v>
                </c:pt>
                <c:pt idx="117">
                  <c:v>4167926.3475000001</c:v>
                </c:pt>
                <c:pt idx="118">
                  <c:v>4167926.3475000001</c:v>
                </c:pt>
                <c:pt idx="119">
                  <c:v>4167926.3475000001</c:v>
                </c:pt>
                <c:pt idx="120">
                  <c:v>4167926.3475000001</c:v>
                </c:pt>
                <c:pt idx="121">
                  <c:v>4167926.3475000001</c:v>
                </c:pt>
                <c:pt idx="122">
                  <c:v>4167926.3475000001</c:v>
                </c:pt>
                <c:pt idx="123">
                  <c:v>4167926.3475000001</c:v>
                </c:pt>
                <c:pt idx="124">
                  <c:v>4167926.3475000001</c:v>
                </c:pt>
                <c:pt idx="125">
                  <c:v>4167926.3475000001</c:v>
                </c:pt>
                <c:pt idx="126">
                  <c:v>4167926.3475000001</c:v>
                </c:pt>
                <c:pt idx="127">
                  <c:v>4167926.3475000001</c:v>
                </c:pt>
                <c:pt idx="128">
                  <c:v>4167926.3475000001</c:v>
                </c:pt>
                <c:pt idx="129">
                  <c:v>4167926.3475000001</c:v>
                </c:pt>
                <c:pt idx="130">
                  <c:v>4167926.3475000001</c:v>
                </c:pt>
                <c:pt idx="131">
                  <c:v>4167926.3475000001</c:v>
                </c:pt>
                <c:pt idx="132">
                  <c:v>4167926.3475000001</c:v>
                </c:pt>
                <c:pt idx="133">
                  <c:v>4167926.3475000001</c:v>
                </c:pt>
                <c:pt idx="134">
                  <c:v>4167926.3475000001</c:v>
                </c:pt>
                <c:pt idx="135">
                  <c:v>4167926.3475000001</c:v>
                </c:pt>
                <c:pt idx="136">
                  <c:v>4167926.3475000001</c:v>
                </c:pt>
                <c:pt idx="137">
                  <c:v>4167926.3475000001</c:v>
                </c:pt>
                <c:pt idx="138">
                  <c:v>4167926.3475000001</c:v>
                </c:pt>
                <c:pt idx="139">
                  <c:v>4167926.3475000001</c:v>
                </c:pt>
                <c:pt idx="140">
                  <c:v>4167926.3475000001</c:v>
                </c:pt>
                <c:pt idx="141">
                  <c:v>4167926.3475000001</c:v>
                </c:pt>
                <c:pt idx="142">
                  <c:v>4167926.3475000001</c:v>
                </c:pt>
                <c:pt idx="143">
                  <c:v>4167926.3475000001</c:v>
                </c:pt>
                <c:pt idx="144">
                  <c:v>4167926.3475000001</c:v>
                </c:pt>
                <c:pt idx="145">
                  <c:v>4167926.3475000001</c:v>
                </c:pt>
                <c:pt idx="146">
                  <c:v>4167926.3475000001</c:v>
                </c:pt>
                <c:pt idx="147">
                  <c:v>4167926.3475000001</c:v>
                </c:pt>
                <c:pt idx="148">
                  <c:v>4167926.3475000001</c:v>
                </c:pt>
                <c:pt idx="149">
                  <c:v>4167926.3475000001</c:v>
                </c:pt>
                <c:pt idx="150">
                  <c:v>4167926.3475000001</c:v>
                </c:pt>
                <c:pt idx="151">
                  <c:v>4167926.3475000001</c:v>
                </c:pt>
                <c:pt idx="152">
                  <c:v>4167926.3475000001</c:v>
                </c:pt>
                <c:pt idx="153">
                  <c:v>4167926.3475000001</c:v>
                </c:pt>
                <c:pt idx="154">
                  <c:v>4167926.3475000001</c:v>
                </c:pt>
                <c:pt idx="155">
                  <c:v>4167926.3475000001</c:v>
                </c:pt>
                <c:pt idx="156">
                  <c:v>4167926.3475000001</c:v>
                </c:pt>
                <c:pt idx="157">
                  <c:v>4167926.3475000001</c:v>
                </c:pt>
                <c:pt idx="158">
                  <c:v>4167926.3475000001</c:v>
                </c:pt>
                <c:pt idx="159">
                  <c:v>4167926.3475000001</c:v>
                </c:pt>
                <c:pt idx="160">
                  <c:v>4167926.3475000001</c:v>
                </c:pt>
                <c:pt idx="161">
                  <c:v>4167926.3475000001</c:v>
                </c:pt>
                <c:pt idx="162">
                  <c:v>4167926.3475000001</c:v>
                </c:pt>
                <c:pt idx="163">
                  <c:v>4167926.3475000001</c:v>
                </c:pt>
                <c:pt idx="164">
                  <c:v>4167926.3475000001</c:v>
                </c:pt>
                <c:pt idx="165">
                  <c:v>4167926.3475000001</c:v>
                </c:pt>
                <c:pt idx="166">
                  <c:v>4167926.3475000001</c:v>
                </c:pt>
                <c:pt idx="167">
                  <c:v>4167926.3475000001</c:v>
                </c:pt>
                <c:pt idx="168">
                  <c:v>4167926.3475000001</c:v>
                </c:pt>
                <c:pt idx="169">
                  <c:v>4167926.3475000001</c:v>
                </c:pt>
                <c:pt idx="170">
                  <c:v>4167926.3475000001</c:v>
                </c:pt>
                <c:pt idx="171">
                  <c:v>4167926.3475000001</c:v>
                </c:pt>
                <c:pt idx="172">
                  <c:v>4167926.3475000001</c:v>
                </c:pt>
                <c:pt idx="173">
                  <c:v>4167926.3475000001</c:v>
                </c:pt>
                <c:pt idx="174">
                  <c:v>4167926.3475000001</c:v>
                </c:pt>
                <c:pt idx="175">
                  <c:v>4167926.3475000001</c:v>
                </c:pt>
                <c:pt idx="176">
                  <c:v>4167926.3475000001</c:v>
                </c:pt>
                <c:pt idx="177">
                  <c:v>4167926.3475000001</c:v>
                </c:pt>
                <c:pt idx="178">
                  <c:v>4167926.3475000001</c:v>
                </c:pt>
                <c:pt idx="179">
                  <c:v>4167926.3475000001</c:v>
                </c:pt>
                <c:pt idx="180">
                  <c:v>4167926.3475000001</c:v>
                </c:pt>
                <c:pt idx="181">
                  <c:v>4167926.3475000001</c:v>
                </c:pt>
                <c:pt idx="182">
                  <c:v>4167926.3475000001</c:v>
                </c:pt>
                <c:pt idx="183">
                  <c:v>4167926.3475000001</c:v>
                </c:pt>
                <c:pt idx="184">
                  <c:v>4167926.3475000001</c:v>
                </c:pt>
                <c:pt idx="185">
                  <c:v>4167926.3475000001</c:v>
                </c:pt>
                <c:pt idx="186">
                  <c:v>4167926.3475000001</c:v>
                </c:pt>
                <c:pt idx="187">
                  <c:v>4167926.3475000001</c:v>
                </c:pt>
                <c:pt idx="188">
                  <c:v>4167926.3475000001</c:v>
                </c:pt>
                <c:pt idx="189">
                  <c:v>4167926.3475000001</c:v>
                </c:pt>
                <c:pt idx="190">
                  <c:v>4167926.3475000001</c:v>
                </c:pt>
                <c:pt idx="191">
                  <c:v>4167926.3475000001</c:v>
                </c:pt>
                <c:pt idx="192">
                  <c:v>4167926.3475000001</c:v>
                </c:pt>
                <c:pt idx="193">
                  <c:v>4167926.3475000001</c:v>
                </c:pt>
                <c:pt idx="194">
                  <c:v>4167926.3475000001</c:v>
                </c:pt>
                <c:pt idx="195">
                  <c:v>4167926.3475000001</c:v>
                </c:pt>
                <c:pt idx="196">
                  <c:v>4167926.3475000001</c:v>
                </c:pt>
                <c:pt idx="197">
                  <c:v>4167926.3475000001</c:v>
                </c:pt>
                <c:pt idx="198">
                  <c:v>4167926.3475000001</c:v>
                </c:pt>
                <c:pt idx="199">
                  <c:v>4167926.3475000001</c:v>
                </c:pt>
                <c:pt idx="200">
                  <c:v>4167926.3475000001</c:v>
                </c:pt>
                <c:pt idx="201">
                  <c:v>4167926.3475000001</c:v>
                </c:pt>
                <c:pt idx="202">
                  <c:v>4167926.3475000001</c:v>
                </c:pt>
                <c:pt idx="203">
                  <c:v>4167926.3475000001</c:v>
                </c:pt>
                <c:pt idx="204">
                  <c:v>4167926.3475000001</c:v>
                </c:pt>
                <c:pt idx="205">
                  <c:v>4167926.3475000001</c:v>
                </c:pt>
                <c:pt idx="206">
                  <c:v>4167926.3475000001</c:v>
                </c:pt>
                <c:pt idx="207">
                  <c:v>4167926.3475000001</c:v>
                </c:pt>
                <c:pt idx="208">
                  <c:v>4167926.3475000001</c:v>
                </c:pt>
                <c:pt idx="209">
                  <c:v>4167926.3475000001</c:v>
                </c:pt>
                <c:pt idx="210">
                  <c:v>4167926.3475000001</c:v>
                </c:pt>
                <c:pt idx="211">
                  <c:v>4167926.3475000001</c:v>
                </c:pt>
                <c:pt idx="212">
                  <c:v>4167926.3475000001</c:v>
                </c:pt>
                <c:pt idx="213">
                  <c:v>4167926.3475000001</c:v>
                </c:pt>
                <c:pt idx="214">
                  <c:v>4167926.3475000001</c:v>
                </c:pt>
                <c:pt idx="215">
                  <c:v>4167926.3475000001</c:v>
                </c:pt>
                <c:pt idx="216">
                  <c:v>4167926.3475000001</c:v>
                </c:pt>
                <c:pt idx="217">
                  <c:v>4167926.3475000001</c:v>
                </c:pt>
                <c:pt idx="218">
                  <c:v>4167926.3475000001</c:v>
                </c:pt>
                <c:pt idx="219">
                  <c:v>4167926.3475000001</c:v>
                </c:pt>
                <c:pt idx="220">
                  <c:v>4167926.3475000001</c:v>
                </c:pt>
                <c:pt idx="221">
                  <c:v>4167926.3475000001</c:v>
                </c:pt>
                <c:pt idx="222">
                  <c:v>4167926.3475000001</c:v>
                </c:pt>
                <c:pt idx="223">
                  <c:v>4167926.3475000001</c:v>
                </c:pt>
                <c:pt idx="224">
                  <c:v>4167926.3475000001</c:v>
                </c:pt>
                <c:pt idx="225">
                  <c:v>4167926.3475000001</c:v>
                </c:pt>
                <c:pt idx="226">
                  <c:v>4167926.3475000001</c:v>
                </c:pt>
                <c:pt idx="227">
                  <c:v>4167926.3475000001</c:v>
                </c:pt>
                <c:pt idx="228">
                  <c:v>4167926.3475000001</c:v>
                </c:pt>
                <c:pt idx="229">
                  <c:v>4167926.3475000001</c:v>
                </c:pt>
                <c:pt idx="230">
                  <c:v>4167926.3475000001</c:v>
                </c:pt>
                <c:pt idx="231">
                  <c:v>4167926.3475000001</c:v>
                </c:pt>
                <c:pt idx="232">
                  <c:v>4167926.3475000001</c:v>
                </c:pt>
                <c:pt idx="233">
                  <c:v>4167926.3475000001</c:v>
                </c:pt>
                <c:pt idx="234">
                  <c:v>4167926.3475000001</c:v>
                </c:pt>
                <c:pt idx="235">
                  <c:v>4167926.3475000001</c:v>
                </c:pt>
                <c:pt idx="236">
                  <c:v>4167926.3475000001</c:v>
                </c:pt>
                <c:pt idx="237">
                  <c:v>4167926.3475000001</c:v>
                </c:pt>
                <c:pt idx="238">
                  <c:v>4167926.3475000001</c:v>
                </c:pt>
                <c:pt idx="239">
                  <c:v>4167926.3475000001</c:v>
                </c:pt>
                <c:pt idx="240">
                  <c:v>4167926.3475000001</c:v>
                </c:pt>
                <c:pt idx="241">
                  <c:v>4167926.3475000001</c:v>
                </c:pt>
                <c:pt idx="242">
                  <c:v>4167926.3475000001</c:v>
                </c:pt>
                <c:pt idx="243">
                  <c:v>4167926.3475000001</c:v>
                </c:pt>
                <c:pt idx="244">
                  <c:v>4167926.3475000001</c:v>
                </c:pt>
                <c:pt idx="245">
                  <c:v>4167926.3475000001</c:v>
                </c:pt>
                <c:pt idx="246">
                  <c:v>4167926.3475000001</c:v>
                </c:pt>
                <c:pt idx="247">
                  <c:v>4167926.3475000001</c:v>
                </c:pt>
                <c:pt idx="248">
                  <c:v>4167926.3475000001</c:v>
                </c:pt>
                <c:pt idx="249">
                  <c:v>4167926.3475000001</c:v>
                </c:pt>
                <c:pt idx="250">
                  <c:v>4167926.3475000001</c:v>
                </c:pt>
                <c:pt idx="251">
                  <c:v>4167926.3475000001</c:v>
                </c:pt>
                <c:pt idx="252">
                  <c:v>4167926.3475000001</c:v>
                </c:pt>
                <c:pt idx="253">
                  <c:v>4167926.3475000001</c:v>
                </c:pt>
                <c:pt idx="254">
                  <c:v>4167926.3475000001</c:v>
                </c:pt>
                <c:pt idx="255">
                  <c:v>4167926.3475000001</c:v>
                </c:pt>
                <c:pt idx="256">
                  <c:v>4167926.3475000001</c:v>
                </c:pt>
                <c:pt idx="257">
                  <c:v>4167926.3475000001</c:v>
                </c:pt>
                <c:pt idx="258">
                  <c:v>4167926.3475000001</c:v>
                </c:pt>
                <c:pt idx="259">
                  <c:v>4167926.3475000001</c:v>
                </c:pt>
                <c:pt idx="260">
                  <c:v>4167926.3475000001</c:v>
                </c:pt>
                <c:pt idx="261">
                  <c:v>4167926.3475000001</c:v>
                </c:pt>
                <c:pt idx="262">
                  <c:v>4167926.3475000001</c:v>
                </c:pt>
                <c:pt idx="263">
                  <c:v>4167926.3475000001</c:v>
                </c:pt>
                <c:pt idx="264">
                  <c:v>4167926.3475000001</c:v>
                </c:pt>
                <c:pt idx="265">
                  <c:v>4167926.3475000001</c:v>
                </c:pt>
                <c:pt idx="266">
                  <c:v>4167926.3475000001</c:v>
                </c:pt>
                <c:pt idx="267">
                  <c:v>4167926.3475000001</c:v>
                </c:pt>
                <c:pt idx="268">
                  <c:v>4167926.3475000001</c:v>
                </c:pt>
                <c:pt idx="269">
                  <c:v>4167926.3475000001</c:v>
                </c:pt>
                <c:pt idx="270">
                  <c:v>4167926.3475000001</c:v>
                </c:pt>
                <c:pt idx="271">
                  <c:v>4167926.3475000001</c:v>
                </c:pt>
                <c:pt idx="272">
                  <c:v>4167926.3475000001</c:v>
                </c:pt>
                <c:pt idx="273">
                  <c:v>4167926.3475000001</c:v>
                </c:pt>
                <c:pt idx="274">
                  <c:v>4167926.3475000001</c:v>
                </c:pt>
                <c:pt idx="275">
                  <c:v>4167926.3475000001</c:v>
                </c:pt>
                <c:pt idx="276">
                  <c:v>4167926.3475000001</c:v>
                </c:pt>
                <c:pt idx="277">
                  <c:v>4167926.3475000001</c:v>
                </c:pt>
                <c:pt idx="278">
                  <c:v>4167926.3475000001</c:v>
                </c:pt>
                <c:pt idx="279">
                  <c:v>4167926.3475000001</c:v>
                </c:pt>
                <c:pt idx="280">
                  <c:v>4167926.3475000001</c:v>
                </c:pt>
                <c:pt idx="281">
                  <c:v>4167926.3475000001</c:v>
                </c:pt>
                <c:pt idx="282">
                  <c:v>4167926.3475000001</c:v>
                </c:pt>
                <c:pt idx="283">
                  <c:v>4167926.3475000001</c:v>
                </c:pt>
                <c:pt idx="284">
                  <c:v>4167926.3475000001</c:v>
                </c:pt>
                <c:pt idx="285">
                  <c:v>4167926.3475000001</c:v>
                </c:pt>
                <c:pt idx="286">
                  <c:v>4167926.3475000001</c:v>
                </c:pt>
                <c:pt idx="287">
                  <c:v>4167926.3475000001</c:v>
                </c:pt>
                <c:pt idx="288">
                  <c:v>4167926.3475000001</c:v>
                </c:pt>
                <c:pt idx="289">
                  <c:v>4167926.3475000001</c:v>
                </c:pt>
                <c:pt idx="290">
                  <c:v>4167926.3475000001</c:v>
                </c:pt>
                <c:pt idx="291">
                  <c:v>4167926.3475000001</c:v>
                </c:pt>
                <c:pt idx="292">
                  <c:v>4167926.3475000001</c:v>
                </c:pt>
                <c:pt idx="293">
                  <c:v>4167926.3475000001</c:v>
                </c:pt>
                <c:pt idx="294">
                  <c:v>4167926.3475000001</c:v>
                </c:pt>
                <c:pt idx="295">
                  <c:v>4167926.3475000001</c:v>
                </c:pt>
                <c:pt idx="296">
                  <c:v>4167926.3475000001</c:v>
                </c:pt>
                <c:pt idx="297">
                  <c:v>4167926.3475000001</c:v>
                </c:pt>
                <c:pt idx="298">
                  <c:v>4167926.3475000001</c:v>
                </c:pt>
                <c:pt idx="299">
                  <c:v>4167926.3475000001</c:v>
                </c:pt>
                <c:pt idx="300">
                  <c:v>4167926.3475000001</c:v>
                </c:pt>
                <c:pt idx="301">
                  <c:v>4167926.3475000001</c:v>
                </c:pt>
                <c:pt idx="302">
                  <c:v>4167926.3475000001</c:v>
                </c:pt>
                <c:pt idx="303">
                  <c:v>4167926.3475000001</c:v>
                </c:pt>
                <c:pt idx="304">
                  <c:v>4167926.3475000001</c:v>
                </c:pt>
                <c:pt idx="305">
                  <c:v>4167926.3475000001</c:v>
                </c:pt>
                <c:pt idx="306">
                  <c:v>4167926.3475000001</c:v>
                </c:pt>
                <c:pt idx="307">
                  <c:v>4167926.3475000001</c:v>
                </c:pt>
                <c:pt idx="308">
                  <c:v>4167926.3475000001</c:v>
                </c:pt>
                <c:pt idx="309">
                  <c:v>4167926.3475000001</c:v>
                </c:pt>
                <c:pt idx="310">
                  <c:v>4167926.3475000001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-842002.5325000002</c:v>
                </c:pt>
                <c:pt idx="51">
                  <c:v>-842002.5325000002</c:v>
                </c:pt>
                <c:pt idx="52">
                  <c:v>-842002.5325000002</c:v>
                </c:pt>
                <c:pt idx="53">
                  <c:v>-842002.5325000002</c:v>
                </c:pt>
                <c:pt idx="54">
                  <c:v>-842002.5325000002</c:v>
                </c:pt>
                <c:pt idx="55">
                  <c:v>-1052712.6375000002</c:v>
                </c:pt>
                <c:pt idx="56">
                  <c:v>378907.25749999983</c:v>
                </c:pt>
                <c:pt idx="57">
                  <c:v>305061.20500000007</c:v>
                </c:pt>
                <c:pt idx="58">
                  <c:v>536693.70500000007</c:v>
                </c:pt>
                <c:pt idx="59">
                  <c:v>536693.70500000007</c:v>
                </c:pt>
                <c:pt idx="60">
                  <c:v>536693.70500000007</c:v>
                </c:pt>
                <c:pt idx="61">
                  <c:v>536693.70500000007</c:v>
                </c:pt>
                <c:pt idx="62">
                  <c:v>494723.65249999985</c:v>
                </c:pt>
                <c:pt idx="63">
                  <c:v>494723.65249999985</c:v>
                </c:pt>
                <c:pt idx="64">
                  <c:v>494723.65249999985</c:v>
                </c:pt>
                <c:pt idx="65">
                  <c:v>494723.65249999985</c:v>
                </c:pt>
                <c:pt idx="66">
                  <c:v>494723.65249999985</c:v>
                </c:pt>
                <c:pt idx="67">
                  <c:v>494723.65249999985</c:v>
                </c:pt>
                <c:pt idx="68">
                  <c:v>494723.65249999985</c:v>
                </c:pt>
                <c:pt idx="69">
                  <c:v>494723.65249999985</c:v>
                </c:pt>
                <c:pt idx="70">
                  <c:v>494723.65249999985</c:v>
                </c:pt>
                <c:pt idx="71">
                  <c:v>494723.65249999985</c:v>
                </c:pt>
                <c:pt idx="72">
                  <c:v>494723.65249999985</c:v>
                </c:pt>
                <c:pt idx="73">
                  <c:v>494723.65249999985</c:v>
                </c:pt>
                <c:pt idx="74">
                  <c:v>494723.65249999985</c:v>
                </c:pt>
                <c:pt idx="75">
                  <c:v>494723.65249999985</c:v>
                </c:pt>
                <c:pt idx="76">
                  <c:v>494723.65249999985</c:v>
                </c:pt>
                <c:pt idx="77">
                  <c:v>494723.65249999985</c:v>
                </c:pt>
                <c:pt idx="78">
                  <c:v>494723.65249999985</c:v>
                </c:pt>
                <c:pt idx="79">
                  <c:v>494723.65249999985</c:v>
                </c:pt>
                <c:pt idx="80">
                  <c:v>494723.65249999985</c:v>
                </c:pt>
                <c:pt idx="81">
                  <c:v>494723.65249999985</c:v>
                </c:pt>
                <c:pt idx="82">
                  <c:v>494723.65249999985</c:v>
                </c:pt>
                <c:pt idx="83">
                  <c:v>494723.65249999985</c:v>
                </c:pt>
                <c:pt idx="84">
                  <c:v>494723.65249999985</c:v>
                </c:pt>
                <c:pt idx="85">
                  <c:v>494723.65249999985</c:v>
                </c:pt>
                <c:pt idx="86">
                  <c:v>494723.65249999985</c:v>
                </c:pt>
                <c:pt idx="87">
                  <c:v>494723.65249999985</c:v>
                </c:pt>
                <c:pt idx="88">
                  <c:v>494723.65249999985</c:v>
                </c:pt>
                <c:pt idx="89">
                  <c:v>494723.65249999985</c:v>
                </c:pt>
                <c:pt idx="90">
                  <c:v>494723.65249999985</c:v>
                </c:pt>
                <c:pt idx="91">
                  <c:v>494723.65249999985</c:v>
                </c:pt>
                <c:pt idx="92">
                  <c:v>494723.65249999985</c:v>
                </c:pt>
                <c:pt idx="93">
                  <c:v>494723.65249999985</c:v>
                </c:pt>
                <c:pt idx="94">
                  <c:v>494723.65249999985</c:v>
                </c:pt>
                <c:pt idx="95">
                  <c:v>494723.65249999985</c:v>
                </c:pt>
                <c:pt idx="96">
                  <c:v>494723.65249999985</c:v>
                </c:pt>
                <c:pt idx="97">
                  <c:v>494723.65249999985</c:v>
                </c:pt>
                <c:pt idx="98">
                  <c:v>494723.65249999985</c:v>
                </c:pt>
                <c:pt idx="99">
                  <c:v>494723.65249999985</c:v>
                </c:pt>
                <c:pt idx="100">
                  <c:v>494723.65249999985</c:v>
                </c:pt>
                <c:pt idx="101">
                  <c:v>494723.65249999985</c:v>
                </c:pt>
                <c:pt idx="102">
                  <c:v>494723.65249999985</c:v>
                </c:pt>
                <c:pt idx="103">
                  <c:v>494723.65249999985</c:v>
                </c:pt>
                <c:pt idx="104">
                  <c:v>494723.65249999985</c:v>
                </c:pt>
                <c:pt idx="105">
                  <c:v>494723.65249999985</c:v>
                </c:pt>
                <c:pt idx="106">
                  <c:v>494723.65249999985</c:v>
                </c:pt>
                <c:pt idx="107">
                  <c:v>494723.65249999985</c:v>
                </c:pt>
                <c:pt idx="108">
                  <c:v>494723.65249999985</c:v>
                </c:pt>
                <c:pt idx="109">
                  <c:v>494723.65249999985</c:v>
                </c:pt>
                <c:pt idx="110">
                  <c:v>494723.65249999985</c:v>
                </c:pt>
                <c:pt idx="111">
                  <c:v>494723.65249999985</c:v>
                </c:pt>
                <c:pt idx="112">
                  <c:v>494723.65249999985</c:v>
                </c:pt>
                <c:pt idx="113">
                  <c:v>494723.65249999985</c:v>
                </c:pt>
                <c:pt idx="114">
                  <c:v>494723.65249999985</c:v>
                </c:pt>
                <c:pt idx="115">
                  <c:v>494723.65249999985</c:v>
                </c:pt>
                <c:pt idx="116">
                  <c:v>494723.65249999985</c:v>
                </c:pt>
                <c:pt idx="117">
                  <c:v>494723.65249999985</c:v>
                </c:pt>
                <c:pt idx="118">
                  <c:v>494723.65249999985</c:v>
                </c:pt>
                <c:pt idx="119">
                  <c:v>494723.65249999985</c:v>
                </c:pt>
                <c:pt idx="120">
                  <c:v>494723.65249999985</c:v>
                </c:pt>
                <c:pt idx="121">
                  <c:v>494723.65249999985</c:v>
                </c:pt>
                <c:pt idx="122">
                  <c:v>494723.65249999985</c:v>
                </c:pt>
                <c:pt idx="123">
                  <c:v>494723.65249999985</c:v>
                </c:pt>
                <c:pt idx="124">
                  <c:v>494723.65249999985</c:v>
                </c:pt>
                <c:pt idx="125">
                  <c:v>494723.65249999985</c:v>
                </c:pt>
                <c:pt idx="126">
                  <c:v>494723.65249999985</c:v>
                </c:pt>
                <c:pt idx="127">
                  <c:v>494723.65249999985</c:v>
                </c:pt>
                <c:pt idx="128">
                  <c:v>494723.65249999985</c:v>
                </c:pt>
                <c:pt idx="129">
                  <c:v>494723.65249999985</c:v>
                </c:pt>
                <c:pt idx="130">
                  <c:v>494723.65249999985</c:v>
                </c:pt>
                <c:pt idx="131">
                  <c:v>494723.65249999985</c:v>
                </c:pt>
                <c:pt idx="132">
                  <c:v>494723.65249999985</c:v>
                </c:pt>
                <c:pt idx="133">
                  <c:v>494723.65249999985</c:v>
                </c:pt>
                <c:pt idx="134">
                  <c:v>494723.65249999985</c:v>
                </c:pt>
                <c:pt idx="135">
                  <c:v>494723.65249999985</c:v>
                </c:pt>
                <c:pt idx="136">
                  <c:v>494723.65249999985</c:v>
                </c:pt>
                <c:pt idx="137">
                  <c:v>494723.65249999985</c:v>
                </c:pt>
                <c:pt idx="138">
                  <c:v>494723.65249999985</c:v>
                </c:pt>
                <c:pt idx="139">
                  <c:v>494723.65249999985</c:v>
                </c:pt>
                <c:pt idx="140">
                  <c:v>494723.65249999985</c:v>
                </c:pt>
                <c:pt idx="141">
                  <c:v>494723.65249999985</c:v>
                </c:pt>
                <c:pt idx="142">
                  <c:v>494723.65249999985</c:v>
                </c:pt>
                <c:pt idx="143">
                  <c:v>494723.65249999985</c:v>
                </c:pt>
                <c:pt idx="144">
                  <c:v>494723.65249999985</c:v>
                </c:pt>
                <c:pt idx="145">
                  <c:v>494723.65249999985</c:v>
                </c:pt>
                <c:pt idx="146">
                  <c:v>494723.65249999985</c:v>
                </c:pt>
                <c:pt idx="147">
                  <c:v>494723.65249999985</c:v>
                </c:pt>
                <c:pt idx="148">
                  <c:v>494723.65249999985</c:v>
                </c:pt>
                <c:pt idx="149">
                  <c:v>494723.65249999985</c:v>
                </c:pt>
                <c:pt idx="150">
                  <c:v>494723.65249999985</c:v>
                </c:pt>
                <c:pt idx="151">
                  <c:v>494723.65249999985</c:v>
                </c:pt>
                <c:pt idx="152">
                  <c:v>494723.65249999985</c:v>
                </c:pt>
                <c:pt idx="153">
                  <c:v>494723.65249999985</c:v>
                </c:pt>
                <c:pt idx="154">
                  <c:v>494723.65249999985</c:v>
                </c:pt>
                <c:pt idx="155">
                  <c:v>494723.65249999985</c:v>
                </c:pt>
                <c:pt idx="156">
                  <c:v>494723.65249999985</c:v>
                </c:pt>
                <c:pt idx="157">
                  <c:v>494723.65249999985</c:v>
                </c:pt>
                <c:pt idx="158">
                  <c:v>494723.65249999985</c:v>
                </c:pt>
                <c:pt idx="159">
                  <c:v>494723.65249999985</c:v>
                </c:pt>
                <c:pt idx="160">
                  <c:v>494723.65249999985</c:v>
                </c:pt>
                <c:pt idx="161">
                  <c:v>494723.65249999985</c:v>
                </c:pt>
                <c:pt idx="162">
                  <c:v>494723.65249999985</c:v>
                </c:pt>
                <c:pt idx="163">
                  <c:v>494723.65249999985</c:v>
                </c:pt>
                <c:pt idx="164">
                  <c:v>494723.65249999985</c:v>
                </c:pt>
                <c:pt idx="165">
                  <c:v>494723.65249999985</c:v>
                </c:pt>
                <c:pt idx="166">
                  <c:v>494723.65249999985</c:v>
                </c:pt>
                <c:pt idx="167">
                  <c:v>494723.65249999985</c:v>
                </c:pt>
                <c:pt idx="168">
                  <c:v>494723.65249999985</c:v>
                </c:pt>
                <c:pt idx="169">
                  <c:v>494723.65249999985</c:v>
                </c:pt>
                <c:pt idx="170">
                  <c:v>494723.65249999985</c:v>
                </c:pt>
                <c:pt idx="171">
                  <c:v>494723.65249999985</c:v>
                </c:pt>
                <c:pt idx="172">
                  <c:v>494723.65249999985</c:v>
                </c:pt>
                <c:pt idx="173">
                  <c:v>494723.65249999985</c:v>
                </c:pt>
                <c:pt idx="174">
                  <c:v>494723.65249999985</c:v>
                </c:pt>
                <c:pt idx="175">
                  <c:v>494723.65249999985</c:v>
                </c:pt>
                <c:pt idx="176">
                  <c:v>494723.65249999985</c:v>
                </c:pt>
                <c:pt idx="177">
                  <c:v>494723.65249999985</c:v>
                </c:pt>
                <c:pt idx="178">
                  <c:v>494723.65249999985</c:v>
                </c:pt>
                <c:pt idx="179">
                  <c:v>494723.65249999985</c:v>
                </c:pt>
                <c:pt idx="180">
                  <c:v>494723.65249999985</c:v>
                </c:pt>
                <c:pt idx="181">
                  <c:v>494723.65249999985</c:v>
                </c:pt>
                <c:pt idx="182">
                  <c:v>494723.65249999985</c:v>
                </c:pt>
                <c:pt idx="183">
                  <c:v>494723.65249999985</c:v>
                </c:pt>
                <c:pt idx="184">
                  <c:v>494723.65249999985</c:v>
                </c:pt>
                <c:pt idx="185">
                  <c:v>494723.65249999985</c:v>
                </c:pt>
                <c:pt idx="186">
                  <c:v>494723.65249999985</c:v>
                </c:pt>
                <c:pt idx="187">
                  <c:v>494723.65249999985</c:v>
                </c:pt>
                <c:pt idx="188">
                  <c:v>494723.65249999985</c:v>
                </c:pt>
                <c:pt idx="189">
                  <c:v>494723.65249999985</c:v>
                </c:pt>
                <c:pt idx="190">
                  <c:v>494723.65249999985</c:v>
                </c:pt>
                <c:pt idx="191">
                  <c:v>494723.65249999985</c:v>
                </c:pt>
                <c:pt idx="192">
                  <c:v>494723.65249999985</c:v>
                </c:pt>
                <c:pt idx="193">
                  <c:v>494723.65249999985</c:v>
                </c:pt>
                <c:pt idx="194">
                  <c:v>494723.65249999985</c:v>
                </c:pt>
                <c:pt idx="195">
                  <c:v>494723.65249999985</c:v>
                </c:pt>
                <c:pt idx="196">
                  <c:v>494723.65249999985</c:v>
                </c:pt>
                <c:pt idx="197">
                  <c:v>494723.65249999985</c:v>
                </c:pt>
                <c:pt idx="198">
                  <c:v>494723.65249999985</c:v>
                </c:pt>
                <c:pt idx="199">
                  <c:v>494723.65249999985</c:v>
                </c:pt>
                <c:pt idx="200">
                  <c:v>494723.65249999985</c:v>
                </c:pt>
                <c:pt idx="201">
                  <c:v>494723.65249999985</c:v>
                </c:pt>
                <c:pt idx="202">
                  <c:v>494723.65249999985</c:v>
                </c:pt>
                <c:pt idx="203">
                  <c:v>494723.65249999985</c:v>
                </c:pt>
                <c:pt idx="204">
                  <c:v>494723.65249999985</c:v>
                </c:pt>
                <c:pt idx="205">
                  <c:v>494723.65249999985</c:v>
                </c:pt>
                <c:pt idx="206">
                  <c:v>494723.65249999985</c:v>
                </c:pt>
                <c:pt idx="207">
                  <c:v>494723.65249999985</c:v>
                </c:pt>
                <c:pt idx="208">
                  <c:v>494723.65249999985</c:v>
                </c:pt>
                <c:pt idx="209">
                  <c:v>494723.65249999985</c:v>
                </c:pt>
                <c:pt idx="210">
                  <c:v>494723.65249999985</c:v>
                </c:pt>
                <c:pt idx="211">
                  <c:v>494723.65249999985</c:v>
                </c:pt>
                <c:pt idx="212">
                  <c:v>494723.65249999985</c:v>
                </c:pt>
                <c:pt idx="213">
                  <c:v>494723.65249999985</c:v>
                </c:pt>
                <c:pt idx="214">
                  <c:v>494723.65249999985</c:v>
                </c:pt>
                <c:pt idx="215">
                  <c:v>494723.65249999985</c:v>
                </c:pt>
                <c:pt idx="216">
                  <c:v>494723.65249999985</c:v>
                </c:pt>
                <c:pt idx="217">
                  <c:v>494723.65249999985</c:v>
                </c:pt>
                <c:pt idx="218">
                  <c:v>494723.65249999985</c:v>
                </c:pt>
                <c:pt idx="219">
                  <c:v>494723.65249999985</c:v>
                </c:pt>
                <c:pt idx="220">
                  <c:v>494723.65249999985</c:v>
                </c:pt>
                <c:pt idx="221">
                  <c:v>494723.65249999985</c:v>
                </c:pt>
                <c:pt idx="222">
                  <c:v>494723.65249999985</c:v>
                </c:pt>
                <c:pt idx="223">
                  <c:v>494723.65249999985</c:v>
                </c:pt>
                <c:pt idx="224">
                  <c:v>494723.65249999985</c:v>
                </c:pt>
                <c:pt idx="225">
                  <c:v>494723.65249999985</c:v>
                </c:pt>
                <c:pt idx="226">
                  <c:v>494723.65249999985</c:v>
                </c:pt>
                <c:pt idx="227">
                  <c:v>494723.65249999985</c:v>
                </c:pt>
                <c:pt idx="228">
                  <c:v>494723.65249999985</c:v>
                </c:pt>
                <c:pt idx="229">
                  <c:v>494723.65249999985</c:v>
                </c:pt>
                <c:pt idx="230">
                  <c:v>494723.65249999985</c:v>
                </c:pt>
                <c:pt idx="231">
                  <c:v>494723.65249999985</c:v>
                </c:pt>
                <c:pt idx="232">
                  <c:v>494723.65249999985</c:v>
                </c:pt>
                <c:pt idx="233">
                  <c:v>494723.65249999985</c:v>
                </c:pt>
                <c:pt idx="234">
                  <c:v>494723.65249999985</c:v>
                </c:pt>
                <c:pt idx="235">
                  <c:v>494723.65249999985</c:v>
                </c:pt>
                <c:pt idx="236">
                  <c:v>494723.65249999985</c:v>
                </c:pt>
                <c:pt idx="237">
                  <c:v>494723.65249999985</c:v>
                </c:pt>
                <c:pt idx="238">
                  <c:v>494723.65249999985</c:v>
                </c:pt>
                <c:pt idx="239">
                  <c:v>494723.65249999985</c:v>
                </c:pt>
                <c:pt idx="240">
                  <c:v>494723.65249999985</c:v>
                </c:pt>
                <c:pt idx="241">
                  <c:v>494723.65249999985</c:v>
                </c:pt>
                <c:pt idx="242">
                  <c:v>494723.65249999985</c:v>
                </c:pt>
                <c:pt idx="243">
                  <c:v>494723.65249999985</c:v>
                </c:pt>
                <c:pt idx="244">
                  <c:v>494723.65249999985</c:v>
                </c:pt>
                <c:pt idx="245">
                  <c:v>494723.65249999985</c:v>
                </c:pt>
                <c:pt idx="246">
                  <c:v>494723.65249999985</c:v>
                </c:pt>
                <c:pt idx="247">
                  <c:v>494723.65249999985</c:v>
                </c:pt>
                <c:pt idx="248">
                  <c:v>494723.65249999985</c:v>
                </c:pt>
                <c:pt idx="249">
                  <c:v>494723.65249999985</c:v>
                </c:pt>
                <c:pt idx="250">
                  <c:v>494723.65249999985</c:v>
                </c:pt>
                <c:pt idx="251">
                  <c:v>494723.65249999985</c:v>
                </c:pt>
                <c:pt idx="252">
                  <c:v>494723.65249999985</c:v>
                </c:pt>
                <c:pt idx="253">
                  <c:v>494723.65249999985</c:v>
                </c:pt>
                <c:pt idx="254">
                  <c:v>494723.65249999985</c:v>
                </c:pt>
                <c:pt idx="255">
                  <c:v>494723.65249999985</c:v>
                </c:pt>
                <c:pt idx="256">
                  <c:v>494723.65249999985</c:v>
                </c:pt>
                <c:pt idx="257">
                  <c:v>494723.65249999985</c:v>
                </c:pt>
                <c:pt idx="258">
                  <c:v>494723.65249999985</c:v>
                </c:pt>
                <c:pt idx="259">
                  <c:v>494723.65249999985</c:v>
                </c:pt>
                <c:pt idx="260">
                  <c:v>494723.65249999985</c:v>
                </c:pt>
                <c:pt idx="261">
                  <c:v>494723.65249999985</c:v>
                </c:pt>
                <c:pt idx="262">
                  <c:v>494723.65249999985</c:v>
                </c:pt>
                <c:pt idx="263">
                  <c:v>494723.65249999985</c:v>
                </c:pt>
                <c:pt idx="264">
                  <c:v>494723.65249999985</c:v>
                </c:pt>
                <c:pt idx="265">
                  <c:v>494723.65249999985</c:v>
                </c:pt>
                <c:pt idx="266">
                  <c:v>494723.65249999985</c:v>
                </c:pt>
                <c:pt idx="267">
                  <c:v>494723.65249999985</c:v>
                </c:pt>
                <c:pt idx="268">
                  <c:v>494723.65249999985</c:v>
                </c:pt>
                <c:pt idx="269">
                  <c:v>494723.65249999985</c:v>
                </c:pt>
                <c:pt idx="270">
                  <c:v>494723.65249999985</c:v>
                </c:pt>
                <c:pt idx="271">
                  <c:v>494723.65249999985</c:v>
                </c:pt>
                <c:pt idx="272">
                  <c:v>494723.65249999985</c:v>
                </c:pt>
                <c:pt idx="273">
                  <c:v>494723.65249999985</c:v>
                </c:pt>
                <c:pt idx="274">
                  <c:v>494723.65249999985</c:v>
                </c:pt>
                <c:pt idx="275">
                  <c:v>494723.65249999985</c:v>
                </c:pt>
                <c:pt idx="276">
                  <c:v>494723.65249999985</c:v>
                </c:pt>
                <c:pt idx="277">
                  <c:v>494723.65249999985</c:v>
                </c:pt>
                <c:pt idx="278">
                  <c:v>494723.65249999985</c:v>
                </c:pt>
                <c:pt idx="279">
                  <c:v>494723.65249999985</c:v>
                </c:pt>
                <c:pt idx="280">
                  <c:v>494723.65249999985</c:v>
                </c:pt>
                <c:pt idx="281">
                  <c:v>494723.65249999985</c:v>
                </c:pt>
                <c:pt idx="282">
                  <c:v>494723.65249999985</c:v>
                </c:pt>
                <c:pt idx="283">
                  <c:v>494723.65249999985</c:v>
                </c:pt>
                <c:pt idx="284">
                  <c:v>494723.65249999985</c:v>
                </c:pt>
                <c:pt idx="285">
                  <c:v>494723.65249999985</c:v>
                </c:pt>
                <c:pt idx="286">
                  <c:v>494723.65249999985</c:v>
                </c:pt>
                <c:pt idx="287">
                  <c:v>494723.65249999985</c:v>
                </c:pt>
                <c:pt idx="288">
                  <c:v>494723.65249999985</c:v>
                </c:pt>
                <c:pt idx="289">
                  <c:v>494723.65249999985</c:v>
                </c:pt>
                <c:pt idx="290">
                  <c:v>494723.65249999985</c:v>
                </c:pt>
                <c:pt idx="291">
                  <c:v>494723.65249999985</c:v>
                </c:pt>
                <c:pt idx="292">
                  <c:v>494723.65249999985</c:v>
                </c:pt>
                <c:pt idx="293">
                  <c:v>494723.65249999985</c:v>
                </c:pt>
                <c:pt idx="294">
                  <c:v>494723.65249999985</c:v>
                </c:pt>
                <c:pt idx="295">
                  <c:v>494723.65249999985</c:v>
                </c:pt>
                <c:pt idx="296">
                  <c:v>494723.65249999985</c:v>
                </c:pt>
                <c:pt idx="297">
                  <c:v>494723.65249999985</c:v>
                </c:pt>
                <c:pt idx="298">
                  <c:v>494723.65249999985</c:v>
                </c:pt>
                <c:pt idx="299">
                  <c:v>494723.65249999985</c:v>
                </c:pt>
                <c:pt idx="300">
                  <c:v>494723.65249999985</c:v>
                </c:pt>
                <c:pt idx="301">
                  <c:v>494723.65249999985</c:v>
                </c:pt>
                <c:pt idx="302">
                  <c:v>494723.65249999985</c:v>
                </c:pt>
                <c:pt idx="303">
                  <c:v>494723.65249999985</c:v>
                </c:pt>
                <c:pt idx="304">
                  <c:v>494723.65249999985</c:v>
                </c:pt>
                <c:pt idx="305">
                  <c:v>494723.65249999985</c:v>
                </c:pt>
                <c:pt idx="306">
                  <c:v>494723.65249999985</c:v>
                </c:pt>
                <c:pt idx="307">
                  <c:v>494723.65249999985</c:v>
                </c:pt>
                <c:pt idx="308">
                  <c:v>494723.65249999985</c:v>
                </c:pt>
                <c:pt idx="309">
                  <c:v>494723.65249999985</c:v>
                </c:pt>
                <c:pt idx="310">
                  <c:v>494723.65249999985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539394212959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4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5-31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6-02-28T00:00:00"/>
        <d v="2025-08-31T00:00:00"/>
        <d v="2025-07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2.2849591914564371E-3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92905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29051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"/>
    <n v="6000"/>
    <n v="13.89"/>
    <n v="90300"/>
    <s v="PO3997-DSS-20250612 - RV Approved"/>
    <s v="Krannich - INV 15-10012950"/>
    <x v="3"/>
    <n v="36579.242151728322"/>
    <m/>
    <d v="2025-07-29T00:00:00"/>
    <m/>
  </r>
  <r>
    <n v="4"/>
    <x v="4"/>
    <s v="Freight"/>
    <m/>
    <m/>
    <m/>
    <m/>
    <m/>
    <x v="2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3"/>
    <n v="31723.315389013693"/>
    <m/>
    <d v="2025-08-21T00:00:00"/>
    <m/>
  </r>
  <r>
    <n v="4"/>
    <x v="4"/>
    <s v="DC Installation Complete"/>
    <m/>
    <n v="0.25"/>
    <n v="36863.0625"/>
    <m/>
    <s v="Cosmic Sun : CS_SRS_003"/>
    <x v="3"/>
    <n v="39654.144236267115"/>
    <m/>
    <d v="2025-06-26T00:00:00"/>
    <m/>
  </r>
  <r>
    <n v="4"/>
    <x v="4"/>
    <s v="Commissioning Complete"/>
    <m/>
    <n v="0.1"/>
    <n v="14745.225"/>
    <m/>
    <s v="Cosmic Sun : CS_SRS_005"/>
    <x v="3"/>
    <n v="15861.657694506846"/>
    <m/>
    <d v="2026-02-13T00:00:00"/>
    <m/>
  </r>
  <r>
    <n v="4"/>
    <x v="4"/>
    <s v="Site De-establisment"/>
    <m/>
    <n v="0.1"/>
    <n v="14745.225"/>
    <m/>
    <s v="Cosmic Sun : CS_SRS_006"/>
    <x v="3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3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3"/>
    <n v="7930.8288472534232"/>
    <m/>
    <d v="2026-03-30T00:00:00"/>
    <m/>
  </r>
  <r>
    <n v="4"/>
    <x v="4"/>
    <m/>
    <m/>
    <m/>
    <m/>
    <m/>
    <m/>
    <x v="2"/>
    <n v="0"/>
    <m/>
    <m/>
    <m/>
  </r>
  <r>
    <n v="4"/>
    <x v="4"/>
    <s v="khsdgvbydagygvb"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4"/>
    <n v="19114.237373104399"/>
    <m/>
    <d v="2025-05-29T00:00:00"/>
    <m/>
  </r>
  <r>
    <n v="5"/>
    <x v="5"/>
    <m/>
    <m/>
    <m/>
    <n v="214.28"/>
    <m/>
    <s v="Accuenergy - Inv ASAI-005800"/>
    <x v="3"/>
    <n v="332.10269450894225"/>
    <m/>
    <d v="2025-07-29T00:00:00"/>
    <m/>
  </r>
  <r>
    <n v="5"/>
    <x v="5"/>
    <s v="Techsitter"/>
    <m/>
    <m/>
    <n v="11169"/>
    <m/>
    <s v="Matriarch Inv: 4451"/>
    <x v="3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3"/>
    <n v="462275.0004504578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3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3"/>
    <n v="62644.212357741279"/>
    <m/>
    <d v="2025-06-26T00:00:00"/>
    <m/>
  </r>
  <r>
    <n v="6"/>
    <x v="6"/>
    <s v="Commissioning Complete"/>
    <m/>
    <n v="0.1"/>
    <n v="9844.64"/>
    <m/>
    <s v="Cosmic Sun : CS_SRS_005"/>
    <x v="3"/>
    <n v="25057.684943096509"/>
    <m/>
    <d v="2026-02-13T00:00:00"/>
    <m/>
  </r>
  <r>
    <n v="6"/>
    <x v="6"/>
    <s v="Site De-establisment"/>
    <m/>
    <n v="0.1"/>
    <n v="9844.64"/>
    <m/>
    <s v="Cosmic Sun : CS_SRS_006"/>
    <x v="3"/>
    <n v="25057.684943096509"/>
    <m/>
    <d v="2026-02-20T00:00:00"/>
    <m/>
  </r>
  <r>
    <n v="6"/>
    <x v="6"/>
    <s v="Handover Document Complete"/>
    <m/>
    <n v="0.05"/>
    <n v="4922.32"/>
    <m/>
    <s v="Cosmic Sun : CS_SRS_007"/>
    <x v="3"/>
    <n v="12528.842471548254"/>
    <m/>
    <d v="2026-02-28T00:00:00"/>
    <m/>
  </r>
  <r>
    <n v="6"/>
    <x v="6"/>
    <s v="End of Defects Period"/>
    <m/>
    <n v="0.05"/>
    <n v="4922.32"/>
    <m/>
    <s v="Cosmic Sun : CS_SRS_008"/>
    <x v="3"/>
    <n v="12528.84247154825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597339"/>
  </r>
  <r>
    <n v="8"/>
    <x v="8"/>
    <m/>
    <m/>
    <m/>
    <m/>
    <m/>
    <m/>
    <x v="2"/>
    <m/>
    <m/>
    <m/>
    <m/>
  </r>
  <r>
    <n v="8"/>
    <x v="8"/>
    <s v="Inverter Cage with roof"/>
    <m/>
    <m/>
    <n v="97734"/>
    <m/>
    <s v="The Engineering Hub INV/2025/06/0575"/>
    <x v="3"/>
    <m/>
    <m/>
    <d v="2025-07-31T00:00:00"/>
    <m/>
  </r>
  <r>
    <n v="8"/>
    <x v="8"/>
    <s v="E-stop"/>
    <m/>
    <m/>
    <n v="12300"/>
    <m/>
    <s v="Cosmic Sun - CS_SRS_010"/>
    <x v="5"/>
    <m/>
    <m/>
    <d v="2025-12-04T00:00:00"/>
    <m/>
  </r>
  <r>
    <n v="8"/>
    <x v="8"/>
    <s v="Waterpoints"/>
    <m/>
    <m/>
    <n v="24295"/>
    <s v="PO4341-DSS-20250929 - RV Approved"/>
    <s v="Shanduka Projects - QT2365"/>
    <x v="6"/>
    <m/>
    <m/>
    <d v="2025-09-30T00:00:00"/>
    <m/>
  </r>
  <r>
    <n v="8"/>
    <x v="8"/>
    <s v="CS - Re-establishment Cost"/>
    <m/>
    <m/>
    <n v="14690"/>
    <m/>
    <m/>
    <x v="7"/>
    <m/>
    <m/>
    <d v="2026-01-31T00:00:00"/>
    <m/>
  </r>
  <r>
    <n v="8"/>
    <x v="8"/>
    <s v="CS - Waterproofing removing and reinstall panels - Deposit"/>
    <n v="448320"/>
    <n v="0.5"/>
    <n v="224160"/>
    <s v="PO4376-DSS-20251017 - RV Approved"/>
    <s v="Cosmic Sun - CS_SRS_009"/>
    <x v="8"/>
    <m/>
    <m/>
    <d v="2025-10-24T00:00:00"/>
    <m/>
  </r>
  <r>
    <n v="8"/>
    <x v="8"/>
    <s v="CS - Waterproofing removing and reinstall panels - All material on roof"/>
    <m/>
    <n v="0.25"/>
    <n v="112080"/>
    <m/>
    <s v="Cosmic Sun -CS_SRS_011"/>
    <x v="9"/>
    <m/>
    <m/>
    <d v="2025-12-12T00:00:00"/>
    <m/>
  </r>
  <r>
    <n v="8"/>
    <x v="8"/>
    <s v="CS - Waterproofing removing and reinstall panels - Snag Completion"/>
    <m/>
    <n v="0.25"/>
    <n v="112080"/>
    <m/>
    <m/>
    <x v="10"/>
    <m/>
    <m/>
    <d v="2026-0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3"/>
    <n v="86606.470588235301"/>
    <m/>
    <d v="2025-08-21T00:00:00"/>
    <m/>
  </r>
  <r>
    <n v="9"/>
    <x v="9"/>
    <s v="DC Installation Complete"/>
    <m/>
    <n v="0.25"/>
    <n v="140087.5"/>
    <m/>
    <s v="Cosmic Sun : CS_SRS_003"/>
    <x v="3"/>
    <n v="108258.08823529413"/>
    <m/>
    <d v="2025-06-26T00:00:00"/>
    <m/>
  </r>
  <r>
    <n v="9"/>
    <x v="9"/>
    <s v="Commissioning Complete"/>
    <m/>
    <n v="0.1"/>
    <n v="56035"/>
    <m/>
    <s v="Cosmic Sun : CS_SRS_005"/>
    <x v="3"/>
    <n v="43303.23529411765"/>
    <m/>
    <d v="2026-02-13T00:00:00"/>
    <m/>
  </r>
  <r>
    <n v="9"/>
    <x v="9"/>
    <s v="Site De-establisment"/>
    <m/>
    <n v="0.1"/>
    <n v="56035"/>
    <m/>
    <s v="Cosmic Sun : CS_SRS_006"/>
    <x v="3"/>
    <n v="43303.23529411765"/>
    <m/>
    <d v="2026-02-20T00:00:00"/>
    <m/>
  </r>
  <r>
    <n v="9"/>
    <x v="9"/>
    <s v="Handover Document Complete"/>
    <m/>
    <n v="0.05"/>
    <n v="28017.5"/>
    <m/>
    <s v="Cosmic Sun : CS_SRS_007"/>
    <x v="3"/>
    <n v="21651.617647058825"/>
    <m/>
    <d v="2026-02-28T00:00:00"/>
    <m/>
  </r>
  <r>
    <n v="9"/>
    <x v="9"/>
    <s v="End of Defects Period"/>
    <m/>
    <n v="0.05"/>
    <n v="28017.5"/>
    <m/>
    <s v="Cosmic Sun : CS_SRS_008"/>
    <x v="3"/>
    <n v="21651.617647058825"/>
    <m/>
    <d v="2026-03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5931361673865467E-3"/>
    <m/>
    <n v="124882.4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3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5"/>
    <m/>
    <m/>
    <d v="2025-11-28T00:00:00"/>
    <m/>
  </r>
  <r>
    <n v="10"/>
    <x v="10"/>
    <s v="Security - December"/>
    <m/>
    <m/>
    <n v="19333.349999999999"/>
    <m/>
    <s v="Bright Integrated Solutions: Inv12/25"/>
    <x v="9"/>
    <m/>
    <m/>
    <d v="2026-01-09T00:00:00"/>
    <m/>
  </r>
  <r>
    <n v="10"/>
    <x v="10"/>
    <s v="Security - January"/>
    <m/>
    <m/>
    <n v="19333.349999999999"/>
    <m/>
    <m/>
    <x v="7"/>
    <m/>
    <m/>
    <d v="2026-01-30T00:00:00"/>
    <m/>
  </r>
  <r>
    <n v="10"/>
    <x v="10"/>
    <s v="Security - February"/>
    <m/>
    <m/>
    <n v="19333.349999999999"/>
    <m/>
    <m/>
    <x v="10"/>
    <m/>
    <m/>
    <d v="2026-02-2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3"/>
    <n v="10379.446593679164"/>
    <m/>
    <d v="2025-08-21T00:00:00"/>
    <m/>
  </r>
  <r>
    <n v="10"/>
    <x v="10"/>
    <s v="DC Installation Complete"/>
    <m/>
    <n v="0.25"/>
    <n v="8288.1"/>
    <m/>
    <s v="Cosmic Sun : CS_SRS_003"/>
    <x v="3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3"/>
    <n v="5189.723296839582"/>
    <m/>
    <d v="2026-02-13T00:00:00"/>
    <m/>
  </r>
  <r>
    <n v="10"/>
    <x v="10"/>
    <s v="Site De-establisment"/>
    <m/>
    <n v="0.1"/>
    <n v="3315.2400000000002"/>
    <m/>
    <s v="Cosmic Sun : CS_SRS_006"/>
    <x v="3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3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3"/>
    <n v="2594.861648419791"/>
    <m/>
    <d v="2026-03-30T00:00:00"/>
    <m/>
  </r>
  <r>
    <n v="10"/>
    <x v="10"/>
    <m/>
    <m/>
    <m/>
    <m/>
    <m/>
    <m/>
    <x v="2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4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3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0950"/>
    <m/>
    <s v="Site Visit"/>
    <x v="4"/>
    <n v="5699.53"/>
    <n v="1.773850361132645E-3"/>
    <d v="2025-04-30T00:00:00"/>
    <n v="406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3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6"/>
    <n v="0"/>
    <m/>
    <d v="2025-09-30T00:00:00"/>
    <m/>
  </r>
  <r>
    <n v="14"/>
    <x v="14"/>
    <s v="Travel"/>
    <m/>
    <m/>
    <n v="1247.83"/>
    <m/>
    <s v="Expense Claim"/>
    <x v="8"/>
    <n v="0"/>
    <m/>
    <d v="2025-11-07T00:00:00"/>
    <m/>
  </r>
  <r>
    <n v="14"/>
    <x v="14"/>
    <s v="Travel"/>
    <m/>
    <m/>
    <n v="4630.1400000000003"/>
    <m/>
    <s v="Expense Claim"/>
    <x v="5"/>
    <n v="0"/>
    <m/>
    <d v="2025-12-05T00:00:00"/>
    <m/>
  </r>
  <r>
    <n v="14"/>
    <x v="14"/>
    <s v="Travel"/>
    <m/>
    <m/>
    <n v="1500"/>
    <m/>
    <m/>
    <x v="7"/>
    <n v="0"/>
    <m/>
    <d v="2026-01-09T00:00:00"/>
    <m/>
  </r>
  <r>
    <n v="14"/>
    <x v="14"/>
    <s v="Travel"/>
    <m/>
    <m/>
    <n v="1500"/>
    <m/>
    <m/>
    <x v="10"/>
    <n v="0"/>
    <m/>
    <d v="2026-02-06T00:00:00"/>
    <m/>
  </r>
  <r>
    <n v="14"/>
    <x v="14"/>
    <m/>
    <m/>
    <m/>
    <n v="1500"/>
    <m/>
    <m/>
    <x v="10"/>
    <n v="0"/>
    <m/>
    <d v="2026-03-06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349500"/>
    <m/>
    <s v="Lizinex - 23408/202506/274905/I"/>
    <x v="3"/>
    <n v="291623.87676508346"/>
    <n v="-2.7396531077101827E-3"/>
    <d v="2025-07-11T00:00:00"/>
    <n v="699000"/>
  </r>
  <r>
    <n v="15"/>
    <x v="15"/>
    <s v="Welcome Bonus - Commissioning"/>
    <m/>
    <m/>
    <n v="349500"/>
    <m/>
    <s v="Lizinex - 23408/202506/274905/I"/>
    <x v="3"/>
    <n v="291623.87676508346"/>
    <m/>
    <d v="2026-03-0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11"/>
    <n v="15368.85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4"/>
        <item x="1"/>
        <item x="3"/>
        <item x="12"/>
        <item x="11"/>
        <item x="6"/>
        <item x="8"/>
        <item x="5"/>
        <item x="9"/>
        <item x="2"/>
        <item m="1" x="15"/>
        <item x="7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4"/>
        <item x="1"/>
        <item x="3"/>
        <item x="12"/>
        <item x="11"/>
        <item x="6"/>
        <item x="8"/>
        <item x="5"/>
        <item x="9"/>
        <item x="2"/>
        <item m="1" x="15"/>
        <item x="7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0" t="s">
        <v>57</v>
      </c>
      <c r="E47" s="710"/>
      <c r="F47" s="711"/>
      <c r="G47" s="67"/>
      <c r="I47" s="68"/>
      <c r="J47" s="68"/>
    </row>
    <row r="48" spans="1:49" ht="13.9" thickBot="1">
      <c r="C48" s="69">
        <v>44014</v>
      </c>
      <c r="D48" s="712"/>
      <c r="E48" s="712"/>
      <c r="F48" s="71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715" t="s">
        <v>58</v>
      </c>
      <c r="C2" s="715"/>
      <c r="D2" s="715"/>
      <c r="E2" s="715"/>
      <c r="H2" s="716" t="s">
        <v>59</v>
      </c>
      <c r="I2" s="717"/>
      <c r="J2" s="717"/>
      <c r="K2" s="717"/>
      <c r="L2" s="717"/>
      <c r="M2" s="717"/>
      <c r="N2" s="717"/>
      <c r="O2" s="718"/>
    </row>
    <row r="3" spans="2:15">
      <c r="B3" s="690"/>
      <c r="H3" s="719"/>
      <c r="I3" s="720"/>
      <c r="J3" s="720"/>
      <c r="K3" s="720"/>
      <c r="L3" s="720"/>
      <c r="M3" s="720"/>
      <c r="N3" s="720"/>
      <c r="O3" s="721"/>
    </row>
    <row r="4" spans="2:15">
      <c r="B4" s="691" t="s">
        <v>60</v>
      </c>
      <c r="C4" s="692" t="str">
        <f>'Project Plan'!E2</f>
        <v>Sibasa</v>
      </c>
      <c r="H4" s="719"/>
      <c r="I4" s="720"/>
      <c r="J4" s="720"/>
      <c r="K4" s="720"/>
      <c r="L4" s="720"/>
      <c r="M4" s="720"/>
      <c r="N4" s="720"/>
      <c r="O4" s="721"/>
    </row>
    <row r="5" spans="2:15">
      <c r="B5" s="691" t="s">
        <v>61</v>
      </c>
      <c r="C5" s="692" t="s">
        <v>62</v>
      </c>
      <c r="H5" s="719"/>
      <c r="I5" s="720"/>
      <c r="J5" s="720"/>
      <c r="K5" s="720"/>
      <c r="L5" s="720"/>
      <c r="M5" s="720"/>
      <c r="N5" s="720"/>
      <c r="O5" s="721"/>
    </row>
    <row r="6" spans="2:15">
      <c r="B6" s="691" t="s">
        <v>63</v>
      </c>
      <c r="C6" s="692" t="s">
        <v>64</v>
      </c>
      <c r="H6" s="719"/>
      <c r="I6" s="720"/>
      <c r="J6" s="720"/>
      <c r="K6" s="720"/>
      <c r="L6" s="720"/>
      <c r="M6" s="720"/>
      <c r="N6" s="720"/>
      <c r="O6" s="721"/>
    </row>
    <row r="7" spans="2:15">
      <c r="B7" s="691" t="s">
        <v>65</v>
      </c>
      <c r="C7" s="692" t="s">
        <v>66</v>
      </c>
      <c r="H7" s="719"/>
      <c r="I7" s="720"/>
      <c r="J7" s="720"/>
      <c r="K7" s="720"/>
      <c r="L7" s="720"/>
      <c r="M7" s="720"/>
      <c r="N7" s="720"/>
      <c r="O7" s="721"/>
    </row>
    <row r="8" spans="2:15">
      <c r="B8" s="690"/>
      <c r="H8" s="719"/>
      <c r="I8" s="720"/>
      <c r="J8" s="720"/>
      <c r="K8" s="720"/>
      <c r="L8" s="720"/>
      <c r="M8" s="720"/>
      <c r="N8" s="720"/>
      <c r="O8" s="721"/>
    </row>
    <row r="9" spans="2:15">
      <c r="B9" s="725" t="s">
        <v>67</v>
      </c>
      <c r="C9" s="725"/>
      <c r="D9" s="725"/>
      <c r="E9" s="725"/>
      <c r="H9" s="719"/>
      <c r="I9" s="720"/>
      <c r="J9" s="720"/>
      <c r="K9" s="720"/>
      <c r="L9" s="720"/>
      <c r="M9" s="720"/>
      <c r="N9" s="720"/>
      <c r="O9" s="721"/>
    </row>
    <row r="10" spans="2:15" ht="14.65" thickBot="1">
      <c r="B10" s="725" t="s">
        <v>68</v>
      </c>
      <c r="C10" s="725"/>
      <c r="D10" s="725"/>
      <c r="E10" s="725"/>
      <c r="H10" s="722"/>
      <c r="I10" s="723"/>
      <c r="J10" s="723"/>
      <c r="K10" s="723"/>
      <c r="L10" s="723"/>
      <c r="M10" s="723"/>
      <c r="N10" s="723"/>
      <c r="O10" s="724"/>
    </row>
    <row r="11" spans="2:15">
      <c r="B11" s="693" t="s">
        <v>69</v>
      </c>
      <c r="C11" s="714" t="s">
        <v>70</v>
      </c>
      <c r="D11" s="714"/>
      <c r="E11" s="714"/>
    </row>
    <row r="12" spans="2:15">
      <c r="B12" s="693" t="s">
        <v>71</v>
      </c>
      <c r="C12" s="714" t="s">
        <v>70</v>
      </c>
      <c r="D12" s="714"/>
      <c r="E12" s="714"/>
    </row>
    <row r="13" spans="2:15">
      <c r="B13" s="693" t="s">
        <v>72</v>
      </c>
      <c r="C13" s="714" t="s">
        <v>70</v>
      </c>
      <c r="D13" s="714"/>
      <c r="E13" s="714"/>
    </row>
    <row r="14" spans="2:15">
      <c r="B14" s="693" t="s">
        <v>73</v>
      </c>
      <c r="C14" s="714" t="s">
        <v>74</v>
      </c>
      <c r="D14" s="714"/>
      <c r="E14" s="714"/>
    </row>
    <row r="15" spans="2:15">
      <c r="B15" s="693" t="s">
        <v>75</v>
      </c>
      <c r="C15" s="714" t="s">
        <v>76</v>
      </c>
      <c r="D15" s="714"/>
      <c r="E15" s="714"/>
    </row>
    <row r="16" spans="2:15" ht="15" customHeight="1">
      <c r="B16" s="693" t="s">
        <v>77</v>
      </c>
      <c r="C16" s="714" t="s">
        <v>78</v>
      </c>
      <c r="D16" s="714"/>
      <c r="E16" s="714"/>
    </row>
    <row r="17" spans="2:5">
      <c r="B17" s="690"/>
    </row>
    <row r="18" spans="2:5">
      <c r="B18" s="726" t="s">
        <v>79</v>
      </c>
      <c r="C18" s="726"/>
      <c r="D18" s="726"/>
      <c r="E18" s="726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727" t="s">
        <v>87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7" t="s">
        <v>97</v>
      </c>
      <c r="C16" s="728"/>
      <c r="D16" s="728"/>
      <c r="E16" s="728"/>
      <c r="F16" s="729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9" zoomScale="103" zoomScaleNormal="115" workbookViewId="0">
      <selection activeCell="K44" sqref="K44"/>
    </sheetView>
  </sheetViews>
  <sheetFormatPr defaultColWidth="8.42578125" defaultRowHeight="13.5"/>
  <cols>
    <col min="1" max="1" width="1.42578125" style="111" customWidth="1"/>
    <col min="2" max="2" width="6.42578125" style="170" bestFit="1" customWidth="1"/>
    <col min="3" max="3" width="50.5703125" style="24" bestFit="1" customWidth="1"/>
    <col min="4" max="4" width="3.42578125" style="111" customWidth="1"/>
    <col min="5" max="5" width="14.5703125" style="24" hidden="1" customWidth="1"/>
    <col min="6" max="6" width="10.42578125" style="167" hidden="1" customWidth="1"/>
    <col min="7" max="7" width="13.5703125" style="64" hidden="1" customWidth="1"/>
    <col min="8" max="8" width="5" style="111" hidden="1" customWidth="1"/>
    <col min="9" max="9" width="12.140625" style="111" bestFit="1" customWidth="1"/>
    <col min="10" max="10" width="11.42578125" style="112" customWidth="1"/>
    <col min="11" max="11" width="14.5703125" style="111" customWidth="1"/>
    <col min="12" max="12" width="2.42578125" style="111" customWidth="1"/>
    <col min="13" max="13" width="12.5703125" style="111" customWidth="1"/>
    <col min="14" max="14" width="11" style="111" bestFit="1" customWidth="1"/>
    <col min="15" max="15" width="67.85546875" style="111" bestFit="1" customWidth="1"/>
    <col min="16" max="16" width="1.42578125" style="111" customWidth="1"/>
    <col min="17" max="17" width="5.5703125" style="3" customWidth="1"/>
    <col min="18" max="25" width="8.42578125" style="111"/>
    <col min="26" max="16384" width="8.42578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46062</v>
      </c>
      <c r="O1" s="404">
        <f ca="1">TODAY()</f>
        <v>46062</v>
      </c>
      <c r="Q1" s="3"/>
    </row>
    <row r="2" spans="2:28" ht="13.9">
      <c r="B2" s="175"/>
      <c r="C2" s="176" t="s">
        <v>0</v>
      </c>
      <c r="D2" s="177"/>
      <c r="E2" s="733" t="s">
        <v>101</v>
      </c>
      <c r="F2" s="734"/>
      <c r="G2" s="734"/>
      <c r="H2" s="735"/>
      <c r="N2" s="405">
        <v>0</v>
      </c>
      <c r="O2" s="405">
        <v>1</v>
      </c>
    </row>
    <row r="3" spans="2:28" s="111" customFormat="1" ht="13.9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Q3" s="3"/>
    </row>
    <row r="4" spans="2:28" s="111" customFormat="1" ht="13.9">
      <c r="B4" s="178"/>
      <c r="C4" s="179" t="s">
        <v>103</v>
      </c>
      <c r="D4" s="177"/>
      <c r="E4" s="736" t="s">
        <v>66</v>
      </c>
      <c r="F4" s="737"/>
      <c r="G4" s="737"/>
      <c r="H4" s="738"/>
      <c r="J4" s="112"/>
      <c r="Q4" s="3"/>
    </row>
    <row r="5" spans="2:28" s="111" customFormat="1" ht="13.9">
      <c r="B5" s="178"/>
      <c r="C5" s="179" t="s">
        <v>104</v>
      </c>
      <c r="D5" s="177"/>
      <c r="E5" s="736" t="s">
        <v>105</v>
      </c>
      <c r="F5" s="737"/>
      <c r="G5" s="737"/>
      <c r="H5" s="738"/>
      <c r="J5" s="112"/>
      <c r="Q5" s="3"/>
    </row>
    <row r="6" spans="2:28" ht="13.9">
      <c r="B6" s="183"/>
      <c r="C6" s="184" t="s">
        <v>106</v>
      </c>
      <c r="D6" s="177"/>
      <c r="E6" s="739">
        <v>4662650</v>
      </c>
      <c r="F6" s="740"/>
      <c r="G6" s="740"/>
      <c r="H6" s="741"/>
    </row>
    <row r="7" spans="2:28" s="111" customFormat="1" ht="13.9">
      <c r="B7" s="166"/>
      <c r="C7" s="704" t="s">
        <v>107</v>
      </c>
      <c r="E7" s="705" t="s">
        <v>108</v>
      </c>
      <c r="F7" s="167"/>
      <c r="G7" s="185"/>
      <c r="J7" s="112"/>
      <c r="Q7" s="3"/>
    </row>
    <row r="8" spans="2:28" ht="30" customHeight="1">
      <c r="B8" s="730" t="s">
        <v>109</v>
      </c>
      <c r="C8" s="731" t="s">
        <v>110</v>
      </c>
      <c r="D8" s="214"/>
      <c r="E8" s="732" t="s">
        <v>111</v>
      </c>
      <c r="F8" s="236" t="s">
        <v>112</v>
      </c>
      <c r="G8" s="732" t="s">
        <v>113</v>
      </c>
      <c r="H8" s="237"/>
      <c r="I8" s="732" t="s">
        <v>114</v>
      </c>
      <c r="J8" s="236" t="s">
        <v>112</v>
      </c>
      <c r="K8" s="732" t="s">
        <v>115</v>
      </c>
      <c r="M8" s="411" t="s">
        <v>89</v>
      </c>
      <c r="N8" s="683" t="s">
        <v>116</v>
      </c>
      <c r="O8" s="742" t="s">
        <v>117</v>
      </c>
      <c r="Z8" s="111"/>
      <c r="AA8" s="111"/>
      <c r="AB8" s="111"/>
    </row>
    <row r="9" spans="2:28" ht="13.9">
      <c r="B9" s="730"/>
      <c r="C9" s="731"/>
      <c r="D9" s="214"/>
      <c r="E9" s="732"/>
      <c r="F9" s="125">
        <f>G41-E19</f>
        <v>61</v>
      </c>
      <c r="G9" s="732"/>
      <c r="H9" s="237"/>
      <c r="I9" s="732"/>
      <c r="J9" s="126">
        <f>K41-I19</f>
        <v>266</v>
      </c>
      <c r="K9" s="732"/>
      <c r="M9" s="361">
        <f>AVERAGE(M11,M18,M21,M28,M35,M39,M46,M43)</f>
        <v>0.7477678571428571</v>
      </c>
      <c r="N9" s="361">
        <f ca="1">AVERAGE(N11,N18,N21,N28,N35,N39,N46,N43)</f>
        <v>0.6875</v>
      </c>
      <c r="O9" s="743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118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119</v>
      </c>
      <c r="C12" s="248" t="s">
        <v>120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121</v>
      </c>
      <c r="C13" s="248" t="s">
        <v>122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123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124</v>
      </c>
      <c r="C15" s="248" t="s">
        <v>125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126</v>
      </c>
      <c r="C16" s="248" t="s">
        <v>127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128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129</v>
      </c>
      <c r="C19" s="248" t="s">
        <v>130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131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132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133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134</v>
      </c>
      <c r="C22" s="248" t="s">
        <v>135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136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137</v>
      </c>
      <c r="C23" s="248" t="s">
        <v>138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139</v>
      </c>
      <c r="C24" s="248" t="s">
        <v>140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141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142</v>
      </c>
      <c r="C26" s="248" t="s">
        <v>143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144</v>
      </c>
      <c r="C29" s="248" t="s">
        <v>145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144</v>
      </c>
      <c r="C30" s="248" t="s">
        <v>146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147</v>
      </c>
      <c r="C31" s="248" t="s">
        <v>148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149</v>
      </c>
      <c r="C32" s="248" t="s">
        <v>150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149</v>
      </c>
      <c r="C33" s="242" t="s">
        <v>151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152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153</v>
      </c>
      <c r="C36" s="248" t="s">
        <v>154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155</v>
      </c>
      <c r="C37" s="248" t="s">
        <v>156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157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0.9821428571428571</v>
      </c>
      <c r="N39" s="360">
        <f ca="1">AVERAGE(N40:N41)</f>
        <v>0.5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158</v>
      </c>
      <c r="C40" s="242" t="s">
        <v>159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160</v>
      </c>
      <c r="C41" s="242" t="s">
        <v>161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0</v>
      </c>
      <c r="N41" s="253">
        <f t="shared" ca="1" si="5"/>
        <v>0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162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46064</v>
      </c>
      <c r="J43" s="246">
        <f>K43-I43</f>
        <v>1</v>
      </c>
      <c r="K43" s="245">
        <f>MAX(K44)</f>
        <v>46065</v>
      </c>
      <c r="L43" s="113"/>
      <c r="M43" s="360">
        <f>(J44*M44)/SUM(J44)</f>
        <v>0</v>
      </c>
      <c r="N43" s="360">
        <f ca="1">(K44*N44)/SUM(K44)</f>
        <v>0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163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46064</v>
      </c>
      <c r="J44" s="250">
        <v>1</v>
      </c>
      <c r="K44" s="252">
        <f>WORKDAY.INTL(I44,J44,1,Data!$C$3:$C$44)</f>
        <v>46065</v>
      </c>
      <c r="M44" s="253">
        <v>0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0</v>
      </c>
      <c r="O44" s="121" t="s">
        <v>164</v>
      </c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 ht="13.9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46065</v>
      </c>
      <c r="J46" s="246">
        <f>K46-I46</f>
        <v>11</v>
      </c>
      <c r="K46" s="245">
        <f>MAX(K47:K52)</f>
        <v>46076</v>
      </c>
      <c r="L46" s="113"/>
      <c r="M46" s="360">
        <f>(J47*M47+J48*M48+J49*M49+J50*M50+J51*M51+J52*M52)/SUM(J47:J52)</f>
        <v>0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 ht="13.9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46065</v>
      </c>
      <c r="J47" s="250">
        <v>2</v>
      </c>
      <c r="K47" s="252">
        <f>WORKDAY.INTL(I47,J47,1,Data!$C$3:$C$44)</f>
        <v>46069</v>
      </c>
      <c r="M47" s="253">
        <v>0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 ht="13.9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46065</v>
      </c>
      <c r="J48" s="250">
        <v>1</v>
      </c>
      <c r="K48" s="252">
        <f>WORKDAY.INTL(I48,J48,1,Data!$C$3:$C$44)</f>
        <v>46066</v>
      </c>
      <c r="M48" s="253">
        <v>0</v>
      </c>
      <c r="N48" s="253">
        <f t="shared" ca="1" si="7"/>
        <v>0</v>
      </c>
      <c r="O48" s="121"/>
      <c r="Y48" s="24"/>
    </row>
    <row r="49" spans="2:28" ht="13.9">
      <c r="B49" s="247">
        <v>8.3000000000000007</v>
      </c>
      <c r="C49" s="242" t="s">
        <v>168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f>WORKDAY.INTL(K48,0,1,Data!$C$3:$C$44)</f>
        <v>46066</v>
      </c>
      <c r="J49" s="250">
        <v>5</v>
      </c>
      <c r="K49" s="252">
        <f>WORKDAY.INTL(I49,J49,1,Data!$C$3:$C$44)</f>
        <v>46073</v>
      </c>
      <c r="M49" s="253">
        <v>0</v>
      </c>
      <c r="N49" s="253">
        <f t="shared" ca="1" si="7"/>
        <v>0</v>
      </c>
      <c r="O49" s="121"/>
      <c r="Y49" s="24"/>
    </row>
    <row r="50" spans="2:28" ht="13.9">
      <c r="B50" s="247">
        <v>8.4</v>
      </c>
      <c r="C50" s="242" t="s">
        <v>169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46065</v>
      </c>
      <c r="J50" s="250">
        <v>6</v>
      </c>
      <c r="K50" s="252">
        <f>WORKDAY.INTL(I50,J50,1,Data!$C$3:$C$44)</f>
        <v>46073</v>
      </c>
      <c r="M50" s="253">
        <v>0</v>
      </c>
      <c r="N50" s="253">
        <f t="shared" ca="1" si="7"/>
        <v>0</v>
      </c>
      <c r="O50" s="121"/>
      <c r="Y50" s="24"/>
    </row>
    <row r="51" spans="2:28" ht="13.9">
      <c r="B51" s="247">
        <v>8.5</v>
      </c>
      <c r="C51" s="242" t="s">
        <v>170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f>WORKDAY.INTL(K50,0,1,Data!$C$3:$C$44)</f>
        <v>46073</v>
      </c>
      <c r="J51" s="250">
        <v>1</v>
      </c>
      <c r="K51" s="252">
        <f>WORKDAY.INTL(I51,J51,1,Data!$C$3:$C$44)</f>
        <v>46076</v>
      </c>
      <c r="M51" s="253">
        <v>0</v>
      </c>
      <c r="N51" s="253">
        <f t="shared" ca="1" si="7"/>
        <v>0</v>
      </c>
      <c r="O51" s="121"/>
      <c r="Y51" s="24"/>
    </row>
    <row r="52" spans="2:28" ht="13.9">
      <c r="B52" s="247">
        <v>8.6</v>
      </c>
      <c r="C52" s="242" t="s">
        <v>171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f>WORKDAY.INTL(I48,0,1,Data!$C$3:$C$44)+2</f>
        <v>46067</v>
      </c>
      <c r="J52" s="250">
        <v>5</v>
      </c>
      <c r="K52" s="252">
        <f>WORKDAY.INTL(I52,J52,1,Data!$C$3:$C$44)</f>
        <v>46073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85" zoomScaleNormal="85" workbookViewId="0">
      <selection activeCell="J58" sqref="J58"/>
    </sheetView>
  </sheetViews>
  <sheetFormatPr defaultColWidth="8.42578125" defaultRowHeight="14.25"/>
  <cols>
    <col min="1" max="1" width="5.5703125" style="92" customWidth="1"/>
    <col min="2" max="2" width="5.5703125" style="129" customWidth="1"/>
    <col min="3" max="4" width="23.42578125" style="128" customWidth="1"/>
    <col min="5" max="5" width="6.5703125" style="128" customWidth="1"/>
    <col min="6" max="6" width="16.42578125" style="128" customWidth="1"/>
    <col min="7" max="7" width="11.85546875" style="128" bestFit="1" customWidth="1"/>
    <col min="8" max="8" width="18.140625" style="128" bestFit="1" customWidth="1"/>
    <col min="9" max="9" width="1.42578125" style="128" customWidth="1"/>
    <col min="10" max="10" width="3.42578125" style="92" customWidth="1"/>
    <col min="11" max="11" width="1.42578125" style="174" customWidth="1"/>
    <col min="12" max="12" width="29.42578125" style="92" customWidth="1"/>
    <col min="13" max="13" width="1.42578125" style="128" customWidth="1"/>
    <col min="14" max="14" width="29.42578125" style="128" customWidth="1"/>
    <col min="15" max="15" width="1.42578125" style="92" customWidth="1"/>
    <col min="16" max="16" width="18.85546875" style="128" bestFit="1" customWidth="1"/>
    <col min="17" max="17" width="15.140625" style="128" bestFit="1" customWidth="1"/>
    <col min="18" max="18" width="20.42578125" style="128" customWidth="1"/>
    <col min="19" max="19" width="16.140625" style="92" bestFit="1" customWidth="1"/>
    <col min="20" max="20" width="18.85546875" style="128" bestFit="1" customWidth="1"/>
    <col min="21" max="21" width="15.140625" style="92" bestFit="1" customWidth="1"/>
    <col min="22" max="23" width="8.42578125" style="92"/>
    <col min="24" max="24" width="5.5703125" style="92" bestFit="1" customWidth="1"/>
    <col min="25" max="25" width="14.42578125" style="92" bestFit="1" customWidth="1"/>
    <col min="26" max="26" width="8.42578125" style="92"/>
    <col min="27" max="27" width="14.42578125" style="92" bestFit="1" customWidth="1"/>
    <col min="28" max="28" width="8.42578125" style="128"/>
    <col min="29" max="29" width="12.5703125" style="128" bestFit="1" customWidth="1"/>
    <col min="30" max="16384" width="8.42578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172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173</v>
      </c>
      <c r="F3" s="124" t="s">
        <v>174</v>
      </c>
      <c r="J3" s="140"/>
      <c r="L3" s="409" t="s">
        <v>175</v>
      </c>
      <c r="N3" s="409" t="s">
        <v>176</v>
      </c>
      <c r="P3" s="688" t="s">
        <v>177</v>
      </c>
      <c r="Q3" s="688" t="s">
        <v>178</v>
      </c>
      <c r="R3" s="688" t="s">
        <v>179</v>
      </c>
      <c r="S3" s="688" t="s">
        <v>180</v>
      </c>
      <c r="T3" s="688" t="s">
        <v>181</v>
      </c>
      <c r="U3" s="688" t="s">
        <v>182</v>
      </c>
    </row>
    <row r="4" spans="1:21" s="92" customFormat="1" ht="13.15">
      <c r="B4" s="351">
        <v>1</v>
      </c>
      <c r="C4" s="352" t="s">
        <v>183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184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588692.31999999995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473612.32</v>
      </c>
    </row>
    <row r="5" spans="1:21" s="92" customFormat="1" ht="15" customHeight="1">
      <c r="B5" s="351">
        <v>2</v>
      </c>
      <c r="C5" s="352" t="s">
        <v>185</v>
      </c>
      <c r="D5" s="353">
        <f>+'Expenditure Tracking'!F5</f>
        <v>4250720.1452194713</v>
      </c>
      <c r="E5" s="354"/>
      <c r="F5" s="353">
        <f>+'Expenditure Tracking'!H5</f>
        <v>4169426.3474999997</v>
      </c>
      <c r="G5" s="707" t="s">
        <v>186</v>
      </c>
      <c r="H5" s="707" t="s">
        <v>187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188</v>
      </c>
      <c r="D6" s="353">
        <f>+D4-D5</f>
        <v>411929.85478052869</v>
      </c>
      <c r="E6" s="354"/>
      <c r="F6" s="353">
        <f>+F4-F5</f>
        <v>493223.65250000032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189</v>
      </c>
    </row>
    <row r="7" spans="1:21" s="92" customFormat="1" ht="15" customHeight="1" thickBot="1">
      <c r="B7" s="351">
        <v>4</v>
      </c>
      <c r="C7" s="352" t="s">
        <v>190</v>
      </c>
      <c r="D7" s="355">
        <f>+D6/D4</f>
        <v>8.8346724455090703E-2</v>
      </c>
      <c r="E7" s="354"/>
      <c r="F7" s="355">
        <f>+F6/F4</f>
        <v>0.10578183061134769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191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109</v>
      </c>
      <c r="C12" s="131" t="s">
        <v>192</v>
      </c>
      <c r="D12" s="132"/>
      <c r="E12" s="130" t="s">
        <v>193</v>
      </c>
      <c r="F12" s="130" t="s">
        <v>194</v>
      </c>
      <c r="H12" s="356" t="s">
        <v>195</v>
      </c>
      <c r="J12" s="140"/>
      <c r="L12" s="165" t="s">
        <v>196</v>
      </c>
      <c r="M12" s="133"/>
      <c r="N12" s="165" t="s">
        <v>197</v>
      </c>
      <c r="O12" s="128"/>
      <c r="P12" s="165" t="s">
        <v>198</v>
      </c>
      <c r="R12" s="378" t="s">
        <v>199</v>
      </c>
    </row>
    <row r="13" spans="1:21" s="92" customFormat="1" ht="13.15">
      <c r="B13" s="351">
        <v>1</v>
      </c>
      <c r="C13" s="746" t="s">
        <v>200</v>
      </c>
      <c r="D13" s="747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201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46" t="s">
        <v>202</v>
      </c>
      <c r="D14" s="747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201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201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44" t="s">
        <v>203</v>
      </c>
      <c r="D16" s="745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201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44" t="s">
        <v>204</v>
      </c>
      <c r="D17" s="745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201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2.75">
      <c r="B18" s="351">
        <v>5</v>
      </c>
      <c r="C18" s="744" t="s">
        <v>205</v>
      </c>
      <c r="D18" s="745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201</v>
      </c>
      <c r="N18" s="137">
        <v>45778</v>
      </c>
      <c r="O18" s="128"/>
      <c r="P18" s="138">
        <f>'Project Plan'!I50+7</f>
        <v>46072</v>
      </c>
      <c r="R18" s="379"/>
    </row>
    <row r="19" spans="2:19" s="92" customFormat="1" ht="12.75">
      <c r="B19" s="351">
        <v>6</v>
      </c>
      <c r="C19" s="744" t="s">
        <v>54</v>
      </c>
      <c r="D19" s="745"/>
      <c r="E19" s="134">
        <v>0.05</v>
      </c>
      <c r="F19" s="135">
        <f t="shared" si="0"/>
        <v>233132.5</v>
      </c>
      <c r="G19" s="354"/>
      <c r="H19" s="137">
        <f>'Project Plan'!K51+7</f>
        <v>46083</v>
      </c>
      <c r="J19" s="140"/>
      <c r="L19" s="368" t="s">
        <v>201</v>
      </c>
      <c r="M19" s="136"/>
      <c r="N19" s="137">
        <v>45778</v>
      </c>
      <c r="O19" s="128"/>
      <c r="P19" s="138">
        <f>'Project Plan'!K51+7</f>
        <v>46083</v>
      </c>
      <c r="R19" s="379"/>
    </row>
    <row r="20" spans="2:19" s="92" customFormat="1" ht="12.75">
      <c r="B20" s="351">
        <v>7</v>
      </c>
      <c r="C20" s="746" t="s">
        <v>206</v>
      </c>
      <c r="D20" s="747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207</v>
      </c>
      <c r="C24" s="144" t="s">
        <v>208</v>
      </c>
      <c r="D24" s="144"/>
      <c r="F24" s="145"/>
    </row>
    <row r="25" spans="2:19" s="92" customFormat="1" ht="12.75">
      <c r="C25" s="146" t="s">
        <v>209</v>
      </c>
      <c r="D25" s="147"/>
      <c r="F25" s="148"/>
    </row>
    <row r="26" spans="2:19" s="92" customFormat="1" ht="12.75">
      <c r="C26" s="146" t="s">
        <v>210</v>
      </c>
      <c r="D26" s="147"/>
    </row>
    <row r="27" spans="2:19" s="92" customFormat="1" ht="12.75">
      <c r="C27" s="149" t="s">
        <v>211</v>
      </c>
      <c r="D27" s="150"/>
    </row>
    <row r="28" spans="2:19" s="92" customFormat="1" ht="12.75">
      <c r="C28" s="151" t="s">
        <v>212</v>
      </c>
      <c r="D28" s="147"/>
    </row>
    <row r="29" spans="2:19" s="92" customFormat="1" ht="12.75">
      <c r="B29" s="116"/>
      <c r="C29" s="151" t="s">
        <v>213</v>
      </c>
      <c r="D29" s="147"/>
    </row>
    <row r="30" spans="2:19" s="92" customFormat="1" ht="12.75">
      <c r="B30" s="116"/>
      <c r="C30" s="92" t="s">
        <v>214</v>
      </c>
    </row>
    <row r="31" spans="2:19" s="92" customFormat="1" ht="27.75" customHeight="1">
      <c r="B31" s="116"/>
      <c r="C31" s="152" t="s">
        <v>215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109</v>
      </c>
      <c r="C41" s="131" t="s">
        <v>192</v>
      </c>
      <c r="D41" s="132"/>
      <c r="E41" s="130" t="s">
        <v>193</v>
      </c>
      <c r="F41" s="130" t="s">
        <v>194</v>
      </c>
    </row>
    <row r="42" spans="2:6" s="92" customFormat="1" ht="12.75" hidden="1" customHeight="1">
      <c r="B42" s="153">
        <v>1</v>
      </c>
      <c r="C42" s="154" t="s">
        <v>216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202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203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217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218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219</v>
      </c>
      <c r="F2" s="83" t="s">
        <v>220</v>
      </c>
    </row>
    <row r="3" spans="3:8">
      <c r="C3" s="79">
        <v>45658</v>
      </c>
      <c r="D3" s="73" t="s">
        <v>221</v>
      </c>
      <c r="F3" s="81" t="s">
        <v>222</v>
      </c>
    </row>
    <row r="4" spans="3:8">
      <c r="C4" s="79">
        <v>45737</v>
      </c>
      <c r="D4" s="73" t="s">
        <v>223</v>
      </c>
      <c r="F4" s="81" t="s">
        <v>224</v>
      </c>
    </row>
    <row r="5" spans="3:8">
      <c r="C5" s="79">
        <v>45765</v>
      </c>
      <c r="D5" s="73" t="s">
        <v>225</v>
      </c>
      <c r="F5" s="81" t="s">
        <v>226</v>
      </c>
    </row>
    <row r="6" spans="3:8" ht="13.15" thickBot="1">
      <c r="C6" s="79">
        <v>45768</v>
      </c>
      <c r="D6" s="73" t="s">
        <v>227</v>
      </c>
      <c r="F6" s="82" t="s">
        <v>228</v>
      </c>
    </row>
    <row r="7" spans="3:8">
      <c r="C7" s="79">
        <v>45774</v>
      </c>
      <c r="D7" s="73" t="s">
        <v>229</v>
      </c>
    </row>
    <row r="8" spans="3:8">
      <c r="C8" s="79">
        <v>45765</v>
      </c>
      <c r="D8" s="73" t="s">
        <v>230</v>
      </c>
    </row>
    <row r="9" spans="3:8">
      <c r="C9" s="79">
        <v>45778</v>
      </c>
      <c r="D9" s="73" t="s">
        <v>231</v>
      </c>
    </row>
    <row r="10" spans="3:8">
      <c r="C10" s="79">
        <v>45824</v>
      </c>
      <c r="D10" s="73" t="s">
        <v>232</v>
      </c>
    </row>
    <row r="11" spans="3:8">
      <c r="C11" s="79">
        <v>45878</v>
      </c>
      <c r="D11" s="73" t="s">
        <v>233</v>
      </c>
    </row>
    <row r="12" spans="3:8">
      <c r="C12" s="79">
        <v>45924</v>
      </c>
      <c r="D12" s="73" t="s">
        <v>234</v>
      </c>
    </row>
    <row r="13" spans="3:8">
      <c r="C13" s="79">
        <v>46007</v>
      </c>
      <c r="D13" s="73" t="s">
        <v>235</v>
      </c>
      <c r="H13" s="73" t="s">
        <v>236</v>
      </c>
    </row>
    <row r="14" spans="3:8">
      <c r="C14" s="79">
        <v>46008</v>
      </c>
      <c r="D14" s="73" t="s">
        <v>237</v>
      </c>
    </row>
    <row r="15" spans="3:8">
      <c r="C15" s="79">
        <v>46009</v>
      </c>
      <c r="D15" s="73" t="s">
        <v>237</v>
      </c>
    </row>
    <row r="16" spans="3:8">
      <c r="C16" s="79">
        <v>46010</v>
      </c>
      <c r="D16" s="73" t="s">
        <v>237</v>
      </c>
    </row>
    <row r="17" spans="3:4">
      <c r="C17" s="79">
        <v>46011</v>
      </c>
      <c r="D17" s="73" t="s">
        <v>237</v>
      </c>
    </row>
    <row r="18" spans="3:4">
      <c r="C18" s="79">
        <v>46012</v>
      </c>
      <c r="D18" s="73" t="s">
        <v>237</v>
      </c>
    </row>
    <row r="19" spans="3:4">
      <c r="C19" s="79">
        <v>46013</v>
      </c>
      <c r="D19" s="73" t="s">
        <v>237</v>
      </c>
    </row>
    <row r="20" spans="3:4">
      <c r="C20" s="79">
        <v>46014</v>
      </c>
      <c r="D20" s="73" t="s">
        <v>237</v>
      </c>
    </row>
    <row r="21" spans="3:4">
      <c r="C21" s="79">
        <v>46015</v>
      </c>
      <c r="D21" s="73" t="s">
        <v>237</v>
      </c>
    </row>
    <row r="22" spans="3:4">
      <c r="C22" s="79">
        <v>46016</v>
      </c>
      <c r="D22" s="73" t="s">
        <v>237</v>
      </c>
    </row>
    <row r="23" spans="3:4">
      <c r="C23" s="79">
        <v>46017</v>
      </c>
      <c r="D23" s="73" t="s">
        <v>237</v>
      </c>
    </row>
    <row r="24" spans="3:4">
      <c r="C24" s="79">
        <v>46018</v>
      </c>
      <c r="D24" s="73" t="s">
        <v>237</v>
      </c>
    </row>
    <row r="25" spans="3:4">
      <c r="C25" s="79">
        <v>46019</v>
      </c>
      <c r="D25" s="73" t="s">
        <v>237</v>
      </c>
    </row>
    <row r="26" spans="3:4">
      <c r="C26" s="79">
        <v>46020</v>
      </c>
      <c r="D26" s="73" t="s">
        <v>237</v>
      </c>
    </row>
    <row r="27" spans="3:4">
      <c r="C27" s="79">
        <v>46021</v>
      </c>
      <c r="D27" s="73" t="s">
        <v>237</v>
      </c>
    </row>
    <row r="28" spans="3:4">
      <c r="C28" s="79">
        <v>46022</v>
      </c>
      <c r="D28" s="73" t="s">
        <v>237</v>
      </c>
    </row>
    <row r="29" spans="3:4">
      <c r="C29" s="79">
        <v>46023</v>
      </c>
      <c r="D29" s="73" t="s">
        <v>237</v>
      </c>
    </row>
    <row r="30" spans="3:4">
      <c r="C30" s="79">
        <v>46024</v>
      </c>
      <c r="D30" s="73" t="s">
        <v>237</v>
      </c>
    </row>
    <row r="31" spans="3:4">
      <c r="C31" s="79">
        <v>46025</v>
      </c>
      <c r="D31" s="73" t="s">
        <v>237</v>
      </c>
    </row>
    <row r="32" spans="3:4">
      <c r="C32" s="79">
        <v>46026</v>
      </c>
      <c r="D32" s="73" t="s">
        <v>237</v>
      </c>
    </row>
    <row r="33" spans="3:4">
      <c r="C33" s="79">
        <v>46027</v>
      </c>
      <c r="D33" s="73" t="s">
        <v>237</v>
      </c>
    </row>
    <row r="34" spans="3:4">
      <c r="C34" s="79">
        <v>46028</v>
      </c>
      <c r="D34" s="73" t="s">
        <v>237</v>
      </c>
    </row>
    <row r="35" spans="3:4">
      <c r="C35" s="79">
        <v>46029</v>
      </c>
      <c r="D35" s="73" t="s">
        <v>237</v>
      </c>
    </row>
    <row r="36" spans="3:4">
      <c r="C36" s="79">
        <v>46030</v>
      </c>
      <c r="D36" s="73" t="s">
        <v>237</v>
      </c>
    </row>
    <row r="37" spans="3:4">
      <c r="C37" s="79">
        <v>46031</v>
      </c>
      <c r="D37" s="73" t="s">
        <v>237</v>
      </c>
    </row>
    <row r="38" spans="3:4">
      <c r="C38" s="79">
        <v>46032</v>
      </c>
      <c r="D38" s="73" t="s">
        <v>237</v>
      </c>
    </row>
    <row r="39" spans="3:4">
      <c r="C39" s="79">
        <v>46033</v>
      </c>
      <c r="D39" s="73" t="s">
        <v>237</v>
      </c>
    </row>
    <row r="40" spans="3:4">
      <c r="C40" s="79">
        <v>46034</v>
      </c>
      <c r="D40" s="73" t="s">
        <v>237</v>
      </c>
    </row>
    <row r="41" spans="3:4">
      <c r="C41" s="79">
        <v>46035</v>
      </c>
      <c r="D41" s="73" t="s">
        <v>237</v>
      </c>
    </row>
    <row r="42" spans="3:4">
      <c r="C42" s="79">
        <v>46036</v>
      </c>
      <c r="D42" s="73" t="s">
        <v>237</v>
      </c>
    </row>
    <row r="43" spans="3:4">
      <c r="C43" s="79">
        <v>46037</v>
      </c>
      <c r="D43" s="73" t="s">
        <v>237</v>
      </c>
    </row>
    <row r="44" spans="3:4">
      <c r="C44" s="79">
        <v>46016</v>
      </c>
      <c r="D44" s="73" t="s">
        <v>238</v>
      </c>
    </row>
    <row r="45" spans="3:4" ht="13.15" thickBot="1">
      <c r="C45" s="80">
        <v>46017</v>
      </c>
      <c r="D45" s="73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pane="bottomLeft" activeCell="J11" sqref="J11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48"/>
      <c r="C4" s="748"/>
      <c r="D4" s="748"/>
      <c r="E4" s="413"/>
      <c r="F4" s="219" t="s">
        <v>173</v>
      </c>
      <c r="G4" s="214"/>
      <c r="H4" s="219" t="s">
        <v>174</v>
      </c>
      <c r="I4" s="214"/>
      <c r="J4" s="220" t="s">
        <v>241</v>
      </c>
      <c r="K4" s="111"/>
      <c r="L4" s="111"/>
    </row>
    <row r="5" spans="1:12" ht="14.25" thickBot="1">
      <c r="A5" s="214"/>
      <c r="B5" s="749" t="s">
        <v>242</v>
      </c>
      <c r="C5" s="749"/>
      <c r="D5" s="749"/>
      <c r="E5" s="413"/>
      <c r="F5" s="221">
        <f>SUM(F9:F23)</f>
        <v>4250720.1452194713</v>
      </c>
      <c r="G5" s="216"/>
      <c r="H5" s="221">
        <f>SUM(H9:H23)</f>
        <v>4169426.3474999997</v>
      </c>
      <c r="I5" s="214"/>
      <c r="J5" s="222">
        <f>SUM(J9:J23)</f>
        <v>81293.797719472088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109</v>
      </c>
      <c r="C7" s="225"/>
      <c r="D7" s="224" t="s">
        <v>243</v>
      </c>
      <c r="E7" s="225"/>
      <c r="F7" s="226" t="s">
        <v>244</v>
      </c>
      <c r="G7" s="227"/>
      <c r="H7" s="226" t="s">
        <v>245</v>
      </c>
      <c r="I7" s="227"/>
      <c r="J7" s="226" t="s">
        <v>246</v>
      </c>
      <c r="K7" s="171"/>
      <c r="L7" s="114" t="s">
        <v>247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929051.4</v>
      </c>
      <c r="I9" s="88"/>
      <c r="J9" s="231">
        <f t="shared" ref="J9:J23" si="0">F9-H9</f>
        <v>91758.430000000051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40635.629999999997</v>
      </c>
      <c r="I22" s="88"/>
      <c r="J22" s="231">
        <f t="shared" si="0"/>
        <v>-32585.629999999997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N1" zoomScale="70" zoomScaleNormal="70" workbookViewId="0">
      <pane ySplit="4" topLeftCell="P143" activePane="bottomLeft" state="frozen"/>
      <selection pane="bottomLeft" activeCell="W153" sqref="W153"/>
      <selection activeCell="X33" sqref="X33"/>
    </sheetView>
  </sheetViews>
  <sheetFormatPr defaultColWidth="9.42578125" defaultRowHeight="13.5"/>
  <cols>
    <col min="1" max="1" width="2.42578125" style="111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140625" style="24" hidden="1" customWidth="1"/>
    <col min="8" max="8" width="17.42578125" style="111" hidden="1" customWidth="1"/>
    <col min="9" max="9" width="22.140625" style="349" hidden="1" customWidth="1"/>
    <col min="10" max="10" width="22.42578125" style="349" bestFit="1" customWidth="1"/>
    <col min="11" max="12" width="5.5703125" style="111" customWidth="1"/>
    <col min="13" max="13" width="25.5703125" style="111" customWidth="1"/>
    <col min="14" max="14" width="69.5703125" style="111" bestFit="1" customWidth="1"/>
    <col min="15" max="15" width="15.5703125" style="111" customWidth="1"/>
    <col min="16" max="17" width="17.42578125" style="111" customWidth="1"/>
    <col min="18" max="18" width="47.140625" style="111" customWidth="1"/>
    <col min="19" max="19" width="43.140625" style="111" customWidth="1"/>
    <col min="20" max="23" width="17.42578125" style="111" customWidth="1"/>
    <col min="24" max="24" width="21.42578125" style="111" customWidth="1"/>
    <col min="25" max="25" width="29.140625" style="111" bestFit="1" customWidth="1"/>
    <col min="26" max="26" width="24.85546875" style="111" bestFit="1" customWidth="1"/>
    <col min="27" max="76" width="17.42578125" style="111" customWidth="1"/>
    <col min="77" max="16384" width="9.42578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59" t="s">
        <v>249</v>
      </c>
      <c r="C2" s="760"/>
      <c r="D2" s="760"/>
      <c r="E2" s="760"/>
      <c r="F2" s="760"/>
      <c r="G2" s="760"/>
      <c r="H2" s="502"/>
      <c r="I2" s="257">
        <f>SUM(I6:I169)</f>
        <v>4250720.1452194713</v>
      </c>
      <c r="J2" s="257">
        <f>SUM(J6:J169)</f>
        <v>4662649.8793863859</v>
      </c>
      <c r="L2" s="761" t="s">
        <v>250</v>
      </c>
      <c r="M2" s="762"/>
      <c r="N2" s="762"/>
      <c r="O2" s="762"/>
      <c r="P2" s="762"/>
      <c r="Q2" s="762"/>
      <c r="R2" s="766" t="s">
        <v>251</v>
      </c>
      <c r="S2" s="767"/>
      <c r="T2" s="767"/>
      <c r="U2" s="767"/>
      <c r="V2" s="767"/>
      <c r="W2" s="768"/>
      <c r="X2" s="478">
        <f>SUM(X6:X169)</f>
        <v>4169426.3474999997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252</v>
      </c>
      <c r="C4" s="259" t="s">
        <v>253</v>
      </c>
      <c r="D4" s="259" t="s">
        <v>254</v>
      </c>
      <c r="E4" s="259" t="s">
        <v>255</v>
      </c>
      <c r="F4" s="465" t="s">
        <v>256</v>
      </c>
      <c r="G4" s="260" t="s">
        <v>257</v>
      </c>
      <c r="H4" s="371" t="s">
        <v>258</v>
      </c>
      <c r="I4" s="261" t="s">
        <v>259</v>
      </c>
      <c r="J4" s="261" t="str">
        <f>IF(J2-'Revenue Tracking'!D4&gt;=0, "Total Revenue", "ERROR on REV" )</f>
        <v>ERROR on REV</v>
      </c>
      <c r="K4" s="164"/>
      <c r="L4" s="258" t="s">
        <v>252</v>
      </c>
      <c r="M4" s="259" t="s">
        <v>260</v>
      </c>
      <c r="N4" s="259" t="s">
        <v>254</v>
      </c>
      <c r="O4" s="259" t="s">
        <v>255</v>
      </c>
      <c r="P4" s="465" t="s">
        <v>256</v>
      </c>
      <c r="Q4" s="373" t="s">
        <v>261</v>
      </c>
      <c r="R4" s="621" t="s">
        <v>262</v>
      </c>
      <c r="S4" s="622" t="s">
        <v>196</v>
      </c>
      <c r="T4" s="371" t="s">
        <v>197</v>
      </c>
      <c r="U4" s="372" t="s">
        <v>263</v>
      </c>
      <c r="V4" s="373" t="s">
        <v>264</v>
      </c>
      <c r="W4" s="371" t="s">
        <v>258</v>
      </c>
      <c r="X4" s="480" t="s">
        <v>259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265</v>
      </c>
      <c r="D6" s="281" t="s">
        <v>266</v>
      </c>
      <c r="E6" s="282"/>
      <c r="F6" s="437"/>
      <c r="G6" s="391">
        <f>D170</f>
        <v>1020809.8300000001</v>
      </c>
      <c r="H6" s="681">
        <v>45867</v>
      </c>
      <c r="I6" s="763">
        <f>SUM(G6:G11)</f>
        <v>1020809.8300000001</v>
      </c>
      <c r="J6" s="763">
        <f>F170</f>
        <v>1160011.1704545454</v>
      </c>
      <c r="K6" s="388"/>
      <c r="L6" s="280">
        <v>1</v>
      </c>
      <c r="M6" s="417" t="s">
        <v>267</v>
      </c>
      <c r="N6" s="281" t="s">
        <v>268</v>
      </c>
      <c r="O6" s="549">
        <v>753</v>
      </c>
      <c r="P6" s="437">
        <f>1.99*620</f>
        <v>1233.8</v>
      </c>
      <c r="Q6" s="391">
        <f>O6*P6</f>
        <v>929051.4</v>
      </c>
      <c r="R6" s="587" t="s">
        <v>269</v>
      </c>
      <c r="S6" s="624" t="s">
        <v>270</v>
      </c>
      <c r="T6" s="660">
        <f>IF(W6&gt;1,EOMONTH(W6,-2),"")</f>
        <v>45808</v>
      </c>
      <c r="U6" s="666">
        <v>1160011.1704545454</v>
      </c>
      <c r="V6" s="753">
        <f>J6-SUM(U6:U11)</f>
        <v>0</v>
      </c>
      <c r="W6" s="681">
        <v>45867</v>
      </c>
      <c r="X6" s="750">
        <f>SUM(Q6:Q11)</f>
        <v>929051.4</v>
      </c>
      <c r="Y6" s="482"/>
    </row>
    <row r="7" spans="1:76" ht="15" customHeight="1">
      <c r="B7" s="310">
        <v>1</v>
      </c>
      <c r="C7" s="418"/>
      <c r="D7" s="389" t="s">
        <v>271</v>
      </c>
      <c r="E7" s="390"/>
      <c r="F7" s="459"/>
      <c r="G7" s="314"/>
      <c r="H7" s="572"/>
      <c r="I7" s="764"/>
      <c r="J7" s="764"/>
      <c r="K7" s="287"/>
      <c r="L7" s="310">
        <v>1</v>
      </c>
      <c r="M7" s="312" t="s">
        <v>267</v>
      </c>
      <c r="N7" s="389"/>
      <c r="O7" s="550"/>
      <c r="P7" s="444"/>
      <c r="Q7" s="314"/>
      <c r="R7" s="588"/>
      <c r="S7" s="625"/>
      <c r="T7" s="519" t="str">
        <f t="shared" ref="T7:T76" si="0">IF(W7&gt;1,EOMONTH(W7,0),"")</f>
        <v/>
      </c>
      <c r="U7" s="667">
        <v>0</v>
      </c>
      <c r="V7" s="754"/>
      <c r="W7" s="572"/>
      <c r="X7" s="751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4"/>
      <c r="J8" s="764"/>
      <c r="K8" s="287"/>
      <c r="L8" s="310">
        <v>1</v>
      </c>
      <c r="M8" s="312" t="s">
        <v>267</v>
      </c>
      <c r="N8" s="485"/>
      <c r="O8" s="551"/>
      <c r="P8" s="444"/>
      <c r="Q8" s="314"/>
      <c r="R8" s="588"/>
      <c r="S8" s="625"/>
      <c r="T8" s="519" t="str">
        <f t="shared" si="0"/>
        <v/>
      </c>
      <c r="U8" s="667">
        <v>0</v>
      </c>
      <c r="V8" s="754"/>
      <c r="W8" s="572"/>
      <c r="X8" s="751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4"/>
      <c r="J9" s="764"/>
      <c r="K9" s="287"/>
      <c r="L9" s="310">
        <v>1</v>
      </c>
      <c r="M9" s="312" t="s">
        <v>267</v>
      </c>
      <c r="N9" s="485"/>
      <c r="O9" s="551"/>
      <c r="P9" s="444"/>
      <c r="Q9" s="386"/>
      <c r="R9" s="589"/>
      <c r="S9" s="626"/>
      <c r="T9" s="520" t="str">
        <f t="shared" si="0"/>
        <v/>
      </c>
      <c r="U9" s="668">
        <v>0</v>
      </c>
      <c r="V9" s="754"/>
      <c r="W9" s="573"/>
      <c r="X9" s="751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4"/>
      <c r="J10" s="764"/>
      <c r="K10" s="287"/>
      <c r="L10" s="310">
        <v>1</v>
      </c>
      <c r="M10" s="312" t="s">
        <v>267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4"/>
      <c r="W10" s="573"/>
      <c r="X10" s="751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5"/>
      <c r="J11" s="765"/>
      <c r="K11" s="288"/>
      <c r="L11" s="315">
        <v>1</v>
      </c>
      <c r="M11" s="419" t="s">
        <v>267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5"/>
      <c r="W11" s="574"/>
      <c r="X11" s="752"/>
      <c r="Y11" s="605" t="s">
        <v>272</v>
      </c>
      <c r="Z11" s="606" t="s">
        <v>273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274</v>
      </c>
      <c r="Z12" s="608">
        <f>G53</f>
        <v>628218.80869565217</v>
      </c>
    </row>
    <row r="13" spans="1:76" ht="14.25" customHeight="1">
      <c r="B13" s="292">
        <v>2</v>
      </c>
      <c r="C13" s="318" t="s">
        <v>275</v>
      </c>
      <c r="D13" s="318" t="s">
        <v>276</v>
      </c>
      <c r="E13" s="364"/>
      <c r="F13" s="457"/>
      <c r="G13" s="295">
        <f>D171</f>
        <v>320000</v>
      </c>
      <c r="H13" s="537">
        <v>45855</v>
      </c>
      <c r="I13" s="769">
        <f>SUM(G13:G19)</f>
        <v>320000</v>
      </c>
      <c r="J13" s="769">
        <f>F171</f>
        <v>363636.36363636365</v>
      </c>
      <c r="K13" s="296"/>
      <c r="L13" s="292">
        <v>2</v>
      </c>
      <c r="M13" s="420" t="s">
        <v>277</v>
      </c>
      <c r="N13" s="318" t="s">
        <v>278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269</v>
      </c>
      <c r="S13" s="629" t="s">
        <v>279</v>
      </c>
      <c r="T13" s="656">
        <f>IF(W13&gt;1,EOMONTH(W13,-2),"")</f>
        <v>45808</v>
      </c>
      <c r="U13" s="670">
        <v>363636.36363636365</v>
      </c>
      <c r="V13" s="756">
        <f>J13-SUM(U13:U19)</f>
        <v>0</v>
      </c>
      <c r="W13" s="537">
        <v>45855</v>
      </c>
      <c r="X13" s="772">
        <f>SUM(Q13:Q19)</f>
        <v>275481.40000000002</v>
      </c>
      <c r="Y13" s="607" t="s">
        <v>280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0"/>
      <c r="J14" s="770"/>
      <c r="K14" s="300"/>
      <c r="L14" s="297">
        <v>2</v>
      </c>
      <c r="M14" s="426" t="s">
        <v>277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57"/>
      <c r="W14" s="577"/>
      <c r="X14" s="773"/>
      <c r="Y14" s="607" t="s">
        <v>281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0"/>
      <c r="J15" s="770"/>
      <c r="K15" s="300"/>
      <c r="L15" s="297">
        <v>2</v>
      </c>
      <c r="M15" s="426" t="s">
        <v>277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57"/>
      <c r="W15" s="577"/>
      <c r="X15" s="773"/>
      <c r="Y15" s="607" t="s">
        <v>282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0"/>
      <c r="J16" s="770"/>
      <c r="K16" s="300"/>
      <c r="L16" s="297">
        <v>2</v>
      </c>
      <c r="M16" s="426" t="s">
        <v>277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57"/>
      <c r="W16" s="577"/>
      <c r="X16" s="773"/>
      <c r="Y16" s="607" t="s">
        <v>283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0"/>
      <c r="J17" s="770"/>
      <c r="K17" s="300"/>
      <c r="L17" s="297">
        <v>2</v>
      </c>
      <c r="M17" s="426" t="s">
        <v>277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57"/>
      <c r="W17" s="577"/>
      <c r="X17" s="773"/>
      <c r="Y17" s="607" t="s">
        <v>284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0"/>
      <c r="J18" s="770"/>
      <c r="K18" s="300"/>
      <c r="L18" s="297">
        <v>2</v>
      </c>
      <c r="M18" s="426" t="s">
        <v>277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57"/>
      <c r="W18" s="577"/>
      <c r="X18" s="773"/>
      <c r="Y18" s="607" t="s">
        <v>285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1"/>
      <c r="J19" s="771"/>
      <c r="K19" s="305"/>
      <c r="L19" s="395">
        <v>2</v>
      </c>
      <c r="M19" s="421" t="s">
        <v>277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58"/>
      <c r="W19" s="578"/>
      <c r="X19" s="774"/>
      <c r="Y19" s="607" t="s">
        <v>286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287</v>
      </c>
      <c r="D21" s="326" t="s">
        <v>288</v>
      </c>
      <c r="E21" s="282"/>
      <c r="F21" s="437"/>
      <c r="G21" s="283">
        <f>D172</f>
        <v>379532.79</v>
      </c>
      <c r="H21" s="539">
        <v>45835</v>
      </c>
      <c r="I21" s="763">
        <f>SUM(G21:G26)</f>
        <v>379532.79</v>
      </c>
      <c r="J21" s="763">
        <f>F172</f>
        <v>431287.26136363635</v>
      </c>
      <c r="K21" s="284"/>
      <c r="L21" s="280">
        <v>3</v>
      </c>
      <c r="M21" s="422" t="s">
        <v>289</v>
      </c>
      <c r="N21" s="326" t="s">
        <v>290</v>
      </c>
      <c r="O21" s="549"/>
      <c r="P21" s="437">
        <f>Q21*1.15</f>
        <v>155161.68</v>
      </c>
      <c r="Q21" s="283">
        <v>134923.20000000001</v>
      </c>
      <c r="R21" s="595" t="s">
        <v>291</v>
      </c>
      <c r="S21" s="632" t="s">
        <v>292</v>
      </c>
      <c r="T21" s="665">
        <f>IF(W21&gt;1,EOMONTH(W21,-1),"")</f>
        <v>45808</v>
      </c>
      <c r="U21" s="673">
        <v>377495.68225082051</v>
      </c>
      <c r="V21" s="753">
        <f>J21-SUM(U21:U26)</f>
        <v>0</v>
      </c>
      <c r="W21" s="539">
        <v>45835</v>
      </c>
      <c r="X21" s="750">
        <f>SUM(Q21:Q26)</f>
        <v>154149.20000000001</v>
      </c>
      <c r="Y21" s="607" t="s">
        <v>293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4"/>
      <c r="J22" s="764"/>
      <c r="K22" s="287"/>
      <c r="L22" s="310">
        <v>3</v>
      </c>
      <c r="M22" s="423" t="s">
        <v>289</v>
      </c>
      <c r="N22" s="327" t="s">
        <v>294</v>
      </c>
      <c r="O22" s="550"/>
      <c r="P22" s="459"/>
      <c r="Q22" s="314">
        <v>19226</v>
      </c>
      <c r="R22" s="588" t="s">
        <v>295</v>
      </c>
      <c r="S22" s="625" t="s">
        <v>296</v>
      </c>
      <c r="T22" s="643">
        <v>45808</v>
      </c>
      <c r="U22" s="667">
        <v>53791.579112815845</v>
      </c>
      <c r="V22" s="754"/>
      <c r="W22" s="535">
        <v>45806</v>
      </c>
      <c r="X22" s="751"/>
      <c r="Y22" s="607" t="s">
        <v>218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4"/>
      <c r="J23" s="764"/>
      <c r="K23" s="287"/>
      <c r="L23" s="310">
        <v>3</v>
      </c>
      <c r="M23" s="423" t="s">
        <v>289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4"/>
      <c r="W23" s="572"/>
      <c r="X23" s="751"/>
      <c r="Y23" s="607" t="s">
        <v>297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4"/>
      <c r="J24" s="764"/>
      <c r="K24" s="287"/>
      <c r="L24" s="310">
        <v>3</v>
      </c>
      <c r="M24" s="423" t="s">
        <v>289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4"/>
      <c r="W24" s="573"/>
      <c r="X24" s="751"/>
      <c r="Y24" s="612" t="s">
        <v>298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4"/>
      <c r="J25" s="764"/>
      <c r="K25" s="287"/>
      <c r="L25" s="310">
        <v>3</v>
      </c>
      <c r="M25" s="423" t="s">
        <v>289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4"/>
      <c r="W25" s="573"/>
      <c r="X25" s="751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5"/>
      <c r="J26" s="765"/>
      <c r="K26" s="288"/>
      <c r="L26" s="315">
        <v>3</v>
      </c>
      <c r="M26" s="424" t="s">
        <v>289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5"/>
      <c r="W26" s="574"/>
      <c r="X26" s="752"/>
      <c r="Y26" s="613" t="s">
        <v>299</v>
      </c>
      <c r="Z26" s="614" t="s">
        <v>300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280</v>
      </c>
      <c r="D28" s="293" t="s">
        <v>301</v>
      </c>
      <c r="E28" s="364">
        <f>G28/14*1.15</f>
        <v>12745.449999999999</v>
      </c>
      <c r="F28" s="457"/>
      <c r="G28" s="295">
        <v>155162</v>
      </c>
      <c r="H28" s="537">
        <v>45782</v>
      </c>
      <c r="I28" s="769">
        <f>SUM(G28:G42)</f>
        <v>363479.3</v>
      </c>
      <c r="J28" s="769">
        <f>F173</f>
        <v>413044.65909090906</v>
      </c>
      <c r="K28" s="296"/>
      <c r="L28" s="292">
        <v>4</v>
      </c>
      <c r="M28" s="425" t="s">
        <v>302</v>
      </c>
      <c r="N28" s="293" t="s">
        <v>303</v>
      </c>
      <c r="O28" s="546">
        <v>8000</v>
      </c>
      <c r="P28" s="457">
        <v>13.89</v>
      </c>
      <c r="Q28" s="295">
        <f>O28*P28</f>
        <v>111120</v>
      </c>
      <c r="R28" s="778" t="s">
        <v>304</v>
      </c>
      <c r="S28" s="629" t="s">
        <v>305</v>
      </c>
      <c r="T28" s="659">
        <f>T13</f>
        <v>45808</v>
      </c>
      <c r="U28" s="670">
        <v>156288.25034527844</v>
      </c>
      <c r="V28" s="756">
        <f>J28-SUM(U28:U42)</f>
        <v>-2.6009820867329836E-3</v>
      </c>
      <c r="W28" s="537">
        <v>45782</v>
      </c>
      <c r="X28" s="772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306</v>
      </c>
      <c r="E29" s="394"/>
      <c r="F29" s="453"/>
      <c r="G29" s="641">
        <f>D173-G28</f>
        <v>208317.3</v>
      </c>
      <c r="H29" s="538">
        <v>45782</v>
      </c>
      <c r="I29" s="770"/>
      <c r="J29" s="770"/>
      <c r="K29" s="300"/>
      <c r="L29" s="297">
        <v>4</v>
      </c>
      <c r="M29" s="426" t="s">
        <v>302</v>
      </c>
      <c r="N29" s="408" t="s">
        <v>307</v>
      </c>
      <c r="O29" s="547"/>
      <c r="P29" s="453"/>
      <c r="Q29" s="299">
        <v>35100</v>
      </c>
      <c r="R29" s="777"/>
      <c r="S29" s="630" t="s">
        <v>305</v>
      </c>
      <c r="T29" s="650">
        <v>45808</v>
      </c>
      <c r="U29" s="671">
        <v>49367.508883362796</v>
      </c>
      <c r="V29" s="757"/>
      <c r="W29" s="538">
        <v>45782</v>
      </c>
      <c r="X29" s="773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0"/>
      <c r="J30" s="770"/>
      <c r="K30" s="300"/>
      <c r="L30" s="297">
        <v>4</v>
      </c>
      <c r="M30" s="426" t="s">
        <v>302</v>
      </c>
      <c r="N30" s="408" t="s">
        <v>308</v>
      </c>
      <c r="O30" s="547">
        <v>6000</v>
      </c>
      <c r="P30" s="453">
        <v>13.89</v>
      </c>
      <c r="Q30" s="299">
        <v>90300</v>
      </c>
      <c r="R30" s="593" t="s">
        <v>309</v>
      </c>
      <c r="S30" s="630" t="s">
        <v>310</v>
      </c>
      <c r="T30" s="650">
        <v>45838</v>
      </c>
      <c r="U30" s="671">
        <f>(Q30/$X$28*$J$28)-60557.81</f>
        <v>36579.242151728322</v>
      </c>
      <c r="V30" s="757"/>
      <c r="W30" s="538">
        <v>45867</v>
      </c>
      <c r="X30" s="773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0"/>
      <c r="J31" s="770"/>
      <c r="K31" s="300"/>
      <c r="L31" s="297">
        <v>4</v>
      </c>
      <c r="M31" s="426" t="s">
        <v>302</v>
      </c>
      <c r="N31" s="408" t="s">
        <v>307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57"/>
      <c r="W31" s="577"/>
      <c r="X31" s="773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0"/>
      <c r="J32" s="770"/>
      <c r="K32" s="300"/>
      <c r="L32" s="297">
        <v>4</v>
      </c>
      <c r="M32" s="426" t="s">
        <v>302</v>
      </c>
      <c r="N32" s="408" t="s">
        <v>311</v>
      </c>
      <c r="O32" s="566">
        <f>Z28</f>
        <v>147452.25</v>
      </c>
      <c r="P32" s="567">
        <v>0.1</v>
      </c>
      <c r="Q32" s="299">
        <f>$O$32*P32</f>
        <v>14745.225</v>
      </c>
      <c r="R32" s="775" t="str">
        <f>R95</f>
        <v>PO3888-DSS-20250513 - RV Approved</v>
      </c>
      <c r="S32" s="630" t="s">
        <v>312</v>
      </c>
      <c r="T32" s="650">
        <f t="shared" si="0"/>
        <v>45808</v>
      </c>
      <c r="U32" s="671">
        <v>20738.889634606356</v>
      </c>
      <c r="V32" s="757"/>
      <c r="W32" s="538">
        <f>W95</f>
        <v>45792</v>
      </c>
      <c r="X32" s="773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0"/>
      <c r="J33" s="770"/>
      <c r="K33" s="300"/>
      <c r="L33" s="297">
        <v>4</v>
      </c>
      <c r="M33" s="426" t="s">
        <v>302</v>
      </c>
      <c r="N33" s="408" t="s">
        <v>128</v>
      </c>
      <c r="O33" s="555"/>
      <c r="P33" s="567">
        <v>0.15</v>
      </c>
      <c r="Q33" s="299">
        <v>22117.84</v>
      </c>
      <c r="R33" s="776"/>
      <c r="S33" s="630" t="s">
        <v>313</v>
      </c>
      <c r="T33" s="652">
        <f t="shared" si="0"/>
        <v>45808</v>
      </c>
      <c r="U33" s="671">
        <v>31108.337968113872</v>
      </c>
      <c r="V33" s="757"/>
      <c r="W33" s="538">
        <f t="shared" ref="W33:W39" si="3">W96</f>
        <v>45806</v>
      </c>
      <c r="X33" s="773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0"/>
      <c r="J34" s="770"/>
      <c r="K34" s="300"/>
      <c r="L34" s="297">
        <v>4</v>
      </c>
      <c r="M34" s="426" t="s">
        <v>302</v>
      </c>
      <c r="N34" s="408" t="s">
        <v>314</v>
      </c>
      <c r="O34" s="555"/>
      <c r="P34" s="567">
        <v>0.2</v>
      </c>
      <c r="Q34" s="299">
        <f t="shared" ref="Q34:Q39" si="4">$O$32*P34</f>
        <v>29490.45</v>
      </c>
      <c r="R34" s="776"/>
      <c r="S34" s="630" t="s">
        <v>315</v>
      </c>
      <c r="T34" s="650">
        <v>45838</v>
      </c>
      <c r="U34" s="671">
        <v>31723.315389013693</v>
      </c>
      <c r="V34" s="757"/>
      <c r="W34" s="538">
        <f t="shared" si="3"/>
        <v>45890</v>
      </c>
      <c r="X34" s="773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0"/>
      <c r="J35" s="770"/>
      <c r="K35" s="300"/>
      <c r="L35" s="297">
        <v>4</v>
      </c>
      <c r="M35" s="426" t="s">
        <v>302</v>
      </c>
      <c r="N35" s="408" t="s">
        <v>316</v>
      </c>
      <c r="O35" s="555"/>
      <c r="P35" s="567">
        <v>0.25</v>
      </c>
      <c r="Q35" s="299">
        <f t="shared" si="4"/>
        <v>36863.0625</v>
      </c>
      <c r="R35" s="776"/>
      <c r="S35" s="630" t="s">
        <v>317</v>
      </c>
      <c r="T35" s="650">
        <v>45838</v>
      </c>
      <c r="U35" s="671">
        <v>39654.144236267115</v>
      </c>
      <c r="V35" s="757"/>
      <c r="W35" s="538">
        <v>45834</v>
      </c>
      <c r="X35" s="773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0"/>
      <c r="J36" s="770"/>
      <c r="K36" s="300"/>
      <c r="L36" s="297">
        <v>4</v>
      </c>
      <c r="M36" s="426" t="s">
        <v>302</v>
      </c>
      <c r="N36" s="408" t="s">
        <v>204</v>
      </c>
      <c r="O36" s="555"/>
      <c r="P36" s="567">
        <v>0.1</v>
      </c>
      <c r="Q36" s="299">
        <f t="shared" si="4"/>
        <v>14745.225</v>
      </c>
      <c r="R36" s="776"/>
      <c r="S36" s="630" t="s">
        <v>318</v>
      </c>
      <c r="T36" s="650">
        <v>45838</v>
      </c>
      <c r="U36" s="671">
        <v>15861.657694506846</v>
      </c>
      <c r="V36" s="757"/>
      <c r="W36" s="577">
        <f>W99</f>
        <v>46066</v>
      </c>
      <c r="X36" s="773"/>
      <c r="Y36" s="615" t="s">
        <v>293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0"/>
      <c r="J37" s="770"/>
      <c r="K37" s="300"/>
      <c r="L37" s="297">
        <v>4</v>
      </c>
      <c r="M37" s="426" t="s">
        <v>302</v>
      </c>
      <c r="N37" s="408" t="s">
        <v>319</v>
      </c>
      <c r="O37" s="555"/>
      <c r="P37" s="567">
        <v>0.1</v>
      </c>
      <c r="Q37" s="299">
        <f t="shared" si="4"/>
        <v>14745.225</v>
      </c>
      <c r="R37" s="776"/>
      <c r="S37" s="630" t="s">
        <v>320</v>
      </c>
      <c r="T37" s="650">
        <v>45838</v>
      </c>
      <c r="U37" s="671">
        <v>15861.657694506846</v>
      </c>
      <c r="V37" s="757"/>
      <c r="W37" s="577">
        <f>W100</f>
        <v>46073</v>
      </c>
      <c r="X37" s="773"/>
      <c r="Y37" s="615" t="s">
        <v>293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0"/>
      <c r="J38" s="770"/>
      <c r="K38" s="300"/>
      <c r="L38" s="297">
        <v>4</v>
      </c>
      <c r="M38" s="426" t="s">
        <v>302</v>
      </c>
      <c r="N38" s="408" t="s">
        <v>321</v>
      </c>
      <c r="O38" s="555"/>
      <c r="P38" s="567">
        <v>0.05</v>
      </c>
      <c r="Q38" s="299">
        <f t="shared" si="4"/>
        <v>7372.6125000000002</v>
      </c>
      <c r="R38" s="776"/>
      <c r="S38" s="630" t="s">
        <v>322</v>
      </c>
      <c r="T38" s="650">
        <v>45838</v>
      </c>
      <c r="U38" s="671">
        <v>7930.8288472534232</v>
      </c>
      <c r="V38" s="757"/>
      <c r="W38" s="577">
        <f>W101</f>
        <v>46081</v>
      </c>
      <c r="X38" s="773"/>
      <c r="Y38" s="615" t="s">
        <v>218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0"/>
      <c r="J39" s="770"/>
      <c r="K39" s="300"/>
      <c r="L39" s="297">
        <v>4</v>
      </c>
      <c r="M39" s="426" t="s">
        <v>302</v>
      </c>
      <c r="N39" s="408" t="s">
        <v>323</v>
      </c>
      <c r="O39" s="555"/>
      <c r="P39" s="567">
        <v>0.05</v>
      </c>
      <c r="Q39" s="299">
        <f t="shared" si="4"/>
        <v>7372.6125000000002</v>
      </c>
      <c r="R39" s="777"/>
      <c r="S39" s="630" t="s">
        <v>324</v>
      </c>
      <c r="T39" s="650">
        <v>45838</v>
      </c>
      <c r="U39" s="671">
        <v>7930.8288472534232</v>
      </c>
      <c r="V39" s="757"/>
      <c r="W39" s="577">
        <f t="shared" si="3"/>
        <v>46111</v>
      </c>
      <c r="X39" s="773"/>
      <c r="Y39" s="618" t="s">
        <v>298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0"/>
      <c r="J40" s="770"/>
      <c r="K40" s="300"/>
      <c r="L40" s="297">
        <v>4</v>
      </c>
      <c r="M40" s="426" t="s">
        <v>302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57"/>
      <c r="W40" s="577"/>
      <c r="X40" s="773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0"/>
      <c r="J41" s="770"/>
      <c r="K41" s="300"/>
      <c r="L41" s="297">
        <v>4</v>
      </c>
      <c r="M41" s="426" t="s">
        <v>302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57"/>
      <c r="W41" s="577"/>
      <c r="X41" s="773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1"/>
      <c r="J42" s="771"/>
      <c r="K42" s="305"/>
      <c r="L42" s="301">
        <v>4</v>
      </c>
      <c r="M42" s="427" t="s">
        <v>302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58"/>
      <c r="W42" s="578"/>
      <c r="X42" s="774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325</v>
      </c>
      <c r="D44" s="326" t="s">
        <v>326</v>
      </c>
      <c r="E44" s="282"/>
      <c r="F44" s="437"/>
      <c r="G44" s="283">
        <f>D175-G45</f>
        <v>34000</v>
      </c>
      <c r="H44" s="539">
        <v>45855</v>
      </c>
      <c r="I44" s="763">
        <f>SUM(G44:G51)</f>
        <v>49000</v>
      </c>
      <c r="J44" s="763">
        <f>F175</f>
        <v>55681.818181818184</v>
      </c>
      <c r="K44" s="284"/>
      <c r="L44" s="280">
        <v>5</v>
      </c>
      <c r="M44" s="422" t="s">
        <v>327</v>
      </c>
      <c r="N44" s="326" t="s">
        <v>328</v>
      </c>
      <c r="O44" s="549"/>
      <c r="P44" s="437"/>
      <c r="Q44" s="283">
        <v>8598.36</v>
      </c>
      <c r="R44" s="595" t="s">
        <v>269</v>
      </c>
      <c r="S44" s="632" t="s">
        <v>279</v>
      </c>
      <c r="T44" s="657">
        <f>T13</f>
        <v>45808</v>
      </c>
      <c r="U44" s="673">
        <v>12277.104398498735</v>
      </c>
      <c r="V44" s="753">
        <f>J44-SUM(U44:U51)</f>
        <v>2.1546278730966151E-4</v>
      </c>
      <c r="W44" s="539">
        <v>45855</v>
      </c>
      <c r="X44" s="750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329</v>
      </c>
      <c r="E45" s="451"/>
      <c r="F45" s="452"/>
      <c r="G45" s="314">
        <v>15000</v>
      </c>
      <c r="H45" s="535">
        <v>45806</v>
      </c>
      <c r="I45" s="764"/>
      <c r="J45" s="764"/>
      <c r="K45" s="287"/>
      <c r="L45" s="285">
        <v>5</v>
      </c>
      <c r="M45" s="428" t="s">
        <v>327</v>
      </c>
      <c r="N45" s="286" t="s">
        <v>330</v>
      </c>
      <c r="O45" s="557"/>
      <c r="P45" s="452"/>
      <c r="Q45" s="314">
        <v>13695</v>
      </c>
      <c r="R45" s="588" t="s">
        <v>331</v>
      </c>
      <c r="S45" s="625" t="s">
        <v>332</v>
      </c>
      <c r="T45" s="643">
        <v>45777</v>
      </c>
      <c r="U45" s="649">
        <v>19114.237373104399</v>
      </c>
      <c r="V45" s="754"/>
      <c r="W45" s="535">
        <v>45806</v>
      </c>
      <c r="X45" s="751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4"/>
      <c r="J46" s="764"/>
      <c r="K46" s="287"/>
      <c r="L46" s="285">
        <v>5</v>
      </c>
      <c r="M46" s="428" t="s">
        <v>327</v>
      </c>
      <c r="N46" s="286"/>
      <c r="O46" s="557"/>
      <c r="P46" s="452"/>
      <c r="Q46" s="314">
        <v>214.28</v>
      </c>
      <c r="R46" s="588"/>
      <c r="S46" s="625" t="s">
        <v>333</v>
      </c>
      <c r="T46" s="643">
        <v>45838</v>
      </c>
      <c r="U46" s="667">
        <v>332.10269450894225</v>
      </c>
      <c r="V46" s="754"/>
      <c r="W46" s="680">
        <v>45867</v>
      </c>
      <c r="X46" s="751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4"/>
      <c r="J47" s="764"/>
      <c r="K47" s="287"/>
      <c r="L47" s="285">
        <v>5</v>
      </c>
      <c r="M47" s="428" t="s">
        <v>327</v>
      </c>
      <c r="N47" s="312" t="s">
        <v>334</v>
      </c>
      <c r="O47" s="550"/>
      <c r="P47" s="459"/>
      <c r="Q47" s="314">
        <v>11169</v>
      </c>
      <c r="R47" s="588"/>
      <c r="S47" s="625" t="s">
        <v>335</v>
      </c>
      <c r="T47" s="643">
        <v>45838</v>
      </c>
      <c r="U47" s="667">
        <v>20789.4382516818</v>
      </c>
      <c r="V47" s="754"/>
      <c r="W47" s="535">
        <v>45838</v>
      </c>
      <c r="X47" s="751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4"/>
      <c r="J48" s="764"/>
      <c r="K48" s="287"/>
      <c r="L48" s="310">
        <v>5</v>
      </c>
      <c r="M48" s="428" t="s">
        <v>327</v>
      </c>
      <c r="N48" s="312" t="s">
        <v>336</v>
      </c>
      <c r="O48" s="550"/>
      <c r="P48" s="459"/>
      <c r="Q48" s="314">
        <v>2250.5</v>
      </c>
      <c r="R48" s="588" t="s">
        <v>337</v>
      </c>
      <c r="S48" s="625" t="s">
        <v>338</v>
      </c>
      <c r="T48" s="655">
        <v>45808</v>
      </c>
      <c r="U48" s="667">
        <v>3168.9352485615168</v>
      </c>
      <c r="V48" s="754"/>
      <c r="W48" s="535">
        <v>45799</v>
      </c>
      <c r="X48" s="751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4"/>
      <c r="J49" s="764"/>
      <c r="K49" s="287"/>
      <c r="L49" s="310">
        <v>5</v>
      </c>
      <c r="M49" s="428" t="s">
        <v>327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4"/>
      <c r="W49" s="573"/>
      <c r="X49" s="751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4"/>
      <c r="J50" s="764"/>
      <c r="K50" s="287"/>
      <c r="L50" s="310">
        <v>5</v>
      </c>
      <c r="M50" s="428" t="s">
        <v>327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4"/>
      <c r="W50" s="573"/>
      <c r="X50" s="751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5"/>
      <c r="J51" s="765"/>
      <c r="K51" s="288"/>
      <c r="L51" s="315">
        <v>5</v>
      </c>
      <c r="M51" s="424" t="s">
        <v>327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5"/>
      <c r="W51" s="574"/>
      <c r="X51" s="752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274</v>
      </c>
      <c r="D53" s="294" t="s">
        <v>339</v>
      </c>
      <c r="E53" s="475"/>
      <c r="F53" s="457"/>
      <c r="G53" s="295">
        <f>D174</f>
        <v>628218.80869565217</v>
      </c>
      <c r="H53" s="576">
        <f>H54</f>
        <v>45867</v>
      </c>
      <c r="I53" s="769">
        <f>SUM(G53:G69)</f>
        <v>628218.80869565217</v>
      </c>
      <c r="J53" s="769">
        <f>F174</f>
        <v>713885.00988142285</v>
      </c>
      <c r="K53" s="296"/>
      <c r="L53" s="292">
        <v>6</v>
      </c>
      <c r="M53" s="431" t="s">
        <v>340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6">
        <f>J53-SUM(U53:U69)</f>
        <v>2.2849591914564371E-3</v>
      </c>
      <c r="W53" s="576"/>
      <c r="X53" s="772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0"/>
      <c r="J54" s="770"/>
      <c r="K54" s="300"/>
      <c r="L54" s="297">
        <v>6</v>
      </c>
      <c r="M54" s="429" t="s">
        <v>340</v>
      </c>
      <c r="N54" s="443" t="s">
        <v>341</v>
      </c>
      <c r="O54" s="555"/>
      <c r="P54" s="453"/>
      <c r="Q54" s="320">
        <v>182024.08</v>
      </c>
      <c r="R54" s="593" t="s">
        <v>342</v>
      </c>
      <c r="S54" s="630" t="s">
        <v>343</v>
      </c>
      <c r="T54" s="650">
        <v>45838</v>
      </c>
      <c r="U54" s="671">
        <v>462275.0004504578</v>
      </c>
      <c r="V54" s="757"/>
      <c r="W54" s="682">
        <v>45867</v>
      </c>
      <c r="X54" s="773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0"/>
      <c r="J55" s="770"/>
      <c r="K55" s="300"/>
      <c r="L55" s="297">
        <v>6</v>
      </c>
      <c r="M55" s="429" t="s">
        <v>340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57"/>
      <c r="W55" s="577"/>
      <c r="X55" s="773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0"/>
      <c r="J56" s="770"/>
      <c r="K56" s="300"/>
      <c r="L56" s="297">
        <v>6</v>
      </c>
      <c r="M56" s="429" t="s">
        <v>340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57"/>
      <c r="W56" s="577"/>
      <c r="X56" s="773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0"/>
      <c r="J57" s="770"/>
      <c r="K57" s="300"/>
      <c r="L57" s="297">
        <v>6</v>
      </c>
      <c r="M57" s="429" t="s">
        <v>340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57"/>
      <c r="W57" s="577"/>
      <c r="X57" s="773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0"/>
      <c r="J58" s="770"/>
      <c r="K58" s="300"/>
      <c r="L58" s="297">
        <v>6</v>
      </c>
      <c r="M58" s="429" t="s">
        <v>340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57"/>
      <c r="W58" s="577"/>
      <c r="X58" s="773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0"/>
      <c r="J59" s="770"/>
      <c r="K59" s="300"/>
      <c r="L59" s="297">
        <v>6</v>
      </c>
      <c r="M59" s="429" t="s">
        <v>340</v>
      </c>
      <c r="N59" s="408" t="s">
        <v>311</v>
      </c>
      <c r="O59" s="566">
        <f>Z27</f>
        <v>98446.399999999994</v>
      </c>
      <c r="P59" s="567">
        <v>0.1</v>
      </c>
      <c r="Q59" s="299">
        <f>$O$59*P59</f>
        <v>9844.64</v>
      </c>
      <c r="R59" s="775" t="str">
        <f>R95</f>
        <v>PO3888-DSS-20250513 - RV Approved</v>
      </c>
      <c r="S59" s="630" t="s">
        <v>312</v>
      </c>
      <c r="T59" s="650">
        <f>IF(W59&gt;1,EOMONTH(W59,0),"")</f>
        <v>45808</v>
      </c>
      <c r="U59" s="671">
        <v>25470.948029112835</v>
      </c>
      <c r="V59" s="757"/>
      <c r="W59" s="538">
        <f>W95</f>
        <v>45792</v>
      </c>
      <c r="X59" s="773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0"/>
      <c r="J60" s="770"/>
      <c r="K60" s="300"/>
      <c r="L60" s="297">
        <v>6</v>
      </c>
      <c r="M60" s="430" t="s">
        <v>340</v>
      </c>
      <c r="N60" s="408" t="s">
        <v>128</v>
      </c>
      <c r="O60" s="555"/>
      <c r="P60" s="567">
        <v>0.15</v>
      </c>
      <c r="Q60" s="299">
        <f t="shared" ref="Q60:Q66" si="7">$O$59*P60</f>
        <v>14766.96</v>
      </c>
      <c r="R60" s="776"/>
      <c r="S60" s="630" t="s">
        <v>313</v>
      </c>
      <c r="T60" s="652">
        <f t="shared" si="0"/>
        <v>45808</v>
      </c>
      <c r="U60" s="671">
        <v>38206.422043669249</v>
      </c>
      <c r="V60" s="757"/>
      <c r="W60" s="538">
        <f t="shared" ref="W60:W66" si="8">W96</f>
        <v>45806</v>
      </c>
      <c r="X60" s="773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0"/>
      <c r="J61" s="770"/>
      <c r="K61" s="300"/>
      <c r="L61" s="297">
        <v>6</v>
      </c>
      <c r="M61" s="430" t="s">
        <v>340</v>
      </c>
      <c r="N61" s="408" t="s">
        <v>314</v>
      </c>
      <c r="O61" s="555"/>
      <c r="P61" s="567">
        <v>0.2</v>
      </c>
      <c r="Q61" s="299">
        <f t="shared" si="7"/>
        <v>19689.28</v>
      </c>
      <c r="R61" s="776"/>
      <c r="S61" s="630" t="s">
        <v>315</v>
      </c>
      <c r="T61" s="650">
        <v>45838</v>
      </c>
      <c r="U61" s="671">
        <v>50115.369886193017</v>
      </c>
      <c r="V61" s="757"/>
      <c r="W61" s="538">
        <f t="shared" si="8"/>
        <v>45890</v>
      </c>
      <c r="X61" s="773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0"/>
      <c r="J62" s="770"/>
      <c r="K62" s="300"/>
      <c r="L62" s="297">
        <v>6</v>
      </c>
      <c r="M62" s="430" t="s">
        <v>340</v>
      </c>
      <c r="N62" s="408" t="s">
        <v>316</v>
      </c>
      <c r="O62" s="555"/>
      <c r="P62" s="567">
        <v>0.25</v>
      </c>
      <c r="Q62" s="299">
        <f t="shared" si="7"/>
        <v>24611.599999999999</v>
      </c>
      <c r="R62" s="776"/>
      <c r="S62" s="630" t="s">
        <v>317</v>
      </c>
      <c r="T62" s="650">
        <v>45838</v>
      </c>
      <c r="U62" s="671">
        <v>62644.212357741279</v>
      </c>
      <c r="V62" s="757"/>
      <c r="W62" s="538">
        <f t="shared" si="8"/>
        <v>45834</v>
      </c>
      <c r="X62" s="773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0"/>
      <c r="J63" s="770"/>
      <c r="K63" s="300"/>
      <c r="L63" s="297">
        <v>6</v>
      </c>
      <c r="M63" s="430" t="s">
        <v>340</v>
      </c>
      <c r="N63" s="408" t="s">
        <v>204</v>
      </c>
      <c r="O63" s="555"/>
      <c r="P63" s="567">
        <v>0.1</v>
      </c>
      <c r="Q63" s="299">
        <f t="shared" si="7"/>
        <v>9844.64</v>
      </c>
      <c r="R63" s="776"/>
      <c r="S63" s="630" t="s">
        <v>318</v>
      </c>
      <c r="T63" s="650">
        <v>45838</v>
      </c>
      <c r="U63" s="671">
        <v>25057.684943096509</v>
      </c>
      <c r="V63" s="757"/>
      <c r="W63" s="577">
        <f>W99</f>
        <v>46066</v>
      </c>
      <c r="X63" s="773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0"/>
      <c r="J64" s="770"/>
      <c r="K64" s="300"/>
      <c r="L64" s="297">
        <v>6</v>
      </c>
      <c r="M64" s="430" t="s">
        <v>340</v>
      </c>
      <c r="N64" s="408" t="s">
        <v>319</v>
      </c>
      <c r="O64" s="555"/>
      <c r="P64" s="567">
        <v>0.1</v>
      </c>
      <c r="Q64" s="299">
        <f t="shared" si="7"/>
        <v>9844.64</v>
      </c>
      <c r="R64" s="776"/>
      <c r="S64" s="634" t="s">
        <v>320</v>
      </c>
      <c r="T64" s="677">
        <v>45838</v>
      </c>
      <c r="U64" s="679">
        <v>25057.684943096509</v>
      </c>
      <c r="V64" s="757"/>
      <c r="W64" s="577">
        <f>W100</f>
        <v>46073</v>
      </c>
      <c r="X64" s="773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0"/>
      <c r="J65" s="770"/>
      <c r="K65" s="300"/>
      <c r="L65" s="297">
        <v>6</v>
      </c>
      <c r="M65" s="430" t="s">
        <v>340</v>
      </c>
      <c r="N65" s="408" t="s">
        <v>321</v>
      </c>
      <c r="O65" s="555"/>
      <c r="P65" s="567">
        <v>0.05</v>
      </c>
      <c r="Q65" s="299">
        <f t="shared" si="7"/>
        <v>4922.32</v>
      </c>
      <c r="R65" s="776"/>
      <c r="S65" s="634" t="s">
        <v>322</v>
      </c>
      <c r="T65" s="677">
        <v>45838</v>
      </c>
      <c r="U65" s="679">
        <v>12528.842471548254</v>
      </c>
      <c r="V65" s="757"/>
      <c r="W65" s="577">
        <f>W101</f>
        <v>46081</v>
      </c>
      <c r="X65" s="773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0"/>
      <c r="J66" s="770"/>
      <c r="K66" s="300"/>
      <c r="L66" s="297">
        <v>6</v>
      </c>
      <c r="M66" s="430" t="s">
        <v>340</v>
      </c>
      <c r="N66" s="408" t="s">
        <v>323</v>
      </c>
      <c r="O66" s="555"/>
      <c r="P66" s="567">
        <v>0.05</v>
      </c>
      <c r="Q66" s="299">
        <f t="shared" si="7"/>
        <v>4922.32</v>
      </c>
      <c r="R66" s="777"/>
      <c r="S66" s="634" t="s">
        <v>324</v>
      </c>
      <c r="T66" s="677">
        <v>45838</v>
      </c>
      <c r="U66" s="679">
        <v>12528.842471548254</v>
      </c>
      <c r="V66" s="757"/>
      <c r="W66" s="577">
        <f t="shared" si="8"/>
        <v>46111</v>
      </c>
      <c r="X66" s="773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0"/>
      <c r="J67" s="770"/>
      <c r="K67" s="300"/>
      <c r="L67" s="297">
        <v>6</v>
      </c>
      <c r="M67" s="430" t="s">
        <v>340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57"/>
      <c r="W67" s="580"/>
      <c r="X67" s="773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0"/>
      <c r="J68" s="770"/>
      <c r="K68" s="300"/>
      <c r="L68" s="297">
        <v>6</v>
      </c>
      <c r="M68" s="430" t="s">
        <v>340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57"/>
      <c r="W68" s="580"/>
      <c r="X68" s="773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1"/>
      <c r="J69" s="771"/>
      <c r="K69" s="305"/>
      <c r="L69" s="301">
        <v>6</v>
      </c>
      <c r="M69" s="432" t="s">
        <v>340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58"/>
      <c r="W69" s="578"/>
      <c r="X69" s="774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344</v>
      </c>
      <c r="D71" s="381"/>
      <c r="E71" s="462"/>
      <c r="F71" s="468"/>
      <c r="G71" s="382"/>
      <c r="H71" s="582"/>
      <c r="I71" s="763">
        <f>SUM(G71:G78)</f>
        <v>0</v>
      </c>
      <c r="J71" s="763">
        <v>0</v>
      </c>
      <c r="K71" s="284"/>
      <c r="L71" s="380">
        <v>7</v>
      </c>
      <c r="M71" s="308" t="s">
        <v>345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79">
        <f>J71-SUM(U71:U78)</f>
        <v>0</v>
      </c>
      <c r="W71" s="582"/>
      <c r="X71" s="750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4"/>
      <c r="J72" s="764"/>
      <c r="K72" s="287"/>
      <c r="L72" s="383">
        <v>7</v>
      </c>
      <c r="M72" s="384" t="s">
        <v>345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0"/>
      <c r="W72" s="573"/>
      <c r="X72" s="751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4"/>
      <c r="J73" s="764"/>
      <c r="K73" s="287"/>
      <c r="L73" s="383">
        <v>7</v>
      </c>
      <c r="M73" s="384" t="s">
        <v>345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0"/>
      <c r="W73" s="573"/>
      <c r="X73" s="751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4"/>
      <c r="J74" s="764"/>
      <c r="K74" s="287"/>
      <c r="L74" s="383">
        <v>7</v>
      </c>
      <c r="M74" s="384" t="s">
        <v>345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0"/>
      <c r="W74" s="573"/>
      <c r="X74" s="751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4"/>
      <c r="J75" s="764"/>
      <c r="K75" s="287"/>
      <c r="L75" s="383">
        <v>7</v>
      </c>
      <c r="M75" s="384" t="s">
        <v>345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0"/>
      <c r="W75" s="573"/>
      <c r="X75" s="751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4"/>
      <c r="J76" s="764"/>
      <c r="K76" s="287"/>
      <c r="L76" s="383">
        <v>7</v>
      </c>
      <c r="M76" s="384" t="s">
        <v>345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0"/>
      <c r="W76" s="573"/>
      <c r="X76" s="751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4"/>
      <c r="J77" s="764"/>
      <c r="K77" s="287"/>
      <c r="L77" s="383">
        <v>7</v>
      </c>
      <c r="M77" s="384" t="s">
        <v>345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0"/>
      <c r="W77" s="573"/>
      <c r="X77" s="751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5"/>
      <c r="J78" s="765"/>
      <c r="K78" s="288"/>
      <c r="L78" s="315">
        <v>7</v>
      </c>
      <c r="M78" s="336" t="s">
        <v>345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1"/>
      <c r="W78" s="574"/>
      <c r="X78" s="752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346</v>
      </c>
      <c r="D80" s="332"/>
      <c r="E80" s="463"/>
      <c r="F80" s="416"/>
      <c r="G80" s="333"/>
      <c r="H80" s="576"/>
      <c r="I80" s="769">
        <f>D177</f>
        <v>0</v>
      </c>
      <c r="J80" s="769">
        <f>F177</f>
        <v>0</v>
      </c>
      <c r="K80" s="296"/>
      <c r="L80" s="331">
        <v>8</v>
      </c>
      <c r="M80" s="425" t="s">
        <v>347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97">
        <f>J80-SUM(U80:U92)</f>
        <v>0</v>
      </c>
      <c r="W80" s="576"/>
      <c r="X80" s="772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0"/>
      <c r="J81" s="770"/>
      <c r="K81" s="300"/>
      <c r="L81" s="321">
        <v>8</v>
      </c>
      <c r="M81" s="433" t="s">
        <v>347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98"/>
      <c r="W81" s="577"/>
      <c r="X81" s="773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0"/>
      <c r="J82" s="770"/>
      <c r="K82" s="300"/>
      <c r="L82" s="321">
        <v>8</v>
      </c>
      <c r="M82" s="433" t="s">
        <v>347</v>
      </c>
      <c r="N82" s="334" t="s">
        <v>348</v>
      </c>
      <c r="O82" s="415"/>
      <c r="P82" s="461"/>
      <c r="Q82" s="323">
        <v>97734</v>
      </c>
      <c r="R82" s="593"/>
      <c r="S82" s="630" t="s">
        <v>349</v>
      </c>
      <c r="T82" s="650">
        <v>45838</v>
      </c>
      <c r="U82" s="508"/>
      <c r="V82" s="798"/>
      <c r="W82" s="538">
        <v>45869</v>
      </c>
      <c r="X82" s="773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0"/>
      <c r="J83" s="770"/>
      <c r="K83" s="300"/>
      <c r="L83" s="321">
        <v>8</v>
      </c>
      <c r="M83" s="433" t="s">
        <v>347</v>
      </c>
      <c r="N83" s="334" t="s">
        <v>350</v>
      </c>
      <c r="O83" s="558"/>
      <c r="P83" s="461"/>
      <c r="Q83" s="323">
        <v>12300</v>
      </c>
      <c r="R83" s="593"/>
      <c r="S83" s="630" t="s">
        <v>351</v>
      </c>
      <c r="T83" s="687">
        <v>45991</v>
      </c>
      <c r="U83" s="508"/>
      <c r="V83" s="798"/>
      <c r="W83" s="699">
        <v>45995</v>
      </c>
      <c r="X83" s="773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0"/>
      <c r="J84" s="770"/>
      <c r="K84" s="300"/>
      <c r="L84" s="321">
        <v>8</v>
      </c>
      <c r="M84" s="433" t="s">
        <v>347</v>
      </c>
      <c r="N84" s="334" t="s">
        <v>352</v>
      </c>
      <c r="O84" s="558"/>
      <c r="P84" s="461"/>
      <c r="Q84" s="323">
        <v>24295</v>
      </c>
      <c r="R84" s="593" t="s">
        <v>353</v>
      </c>
      <c r="S84" s="630" t="s">
        <v>354</v>
      </c>
      <c r="T84" s="650">
        <v>45930</v>
      </c>
      <c r="U84" s="508"/>
      <c r="V84" s="798"/>
      <c r="W84" s="538">
        <f>T84</f>
        <v>45930</v>
      </c>
      <c r="X84" s="773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0"/>
      <c r="J85" s="770"/>
      <c r="K85" s="300"/>
      <c r="L85" s="321">
        <v>8</v>
      </c>
      <c r="M85" s="433" t="s">
        <v>347</v>
      </c>
      <c r="N85" s="334" t="s">
        <v>355</v>
      </c>
      <c r="O85" s="558"/>
      <c r="P85" s="461"/>
      <c r="Q85" s="323">
        <f>9690+5000</f>
        <v>14690</v>
      </c>
      <c r="R85" s="593"/>
      <c r="S85" s="630" t="s">
        <v>356</v>
      </c>
      <c r="T85" s="650">
        <v>46053</v>
      </c>
      <c r="U85" s="508"/>
      <c r="V85" s="798"/>
      <c r="W85" s="577">
        <v>46065</v>
      </c>
      <c r="X85" s="773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0"/>
      <c r="J86" s="770"/>
      <c r="K86" s="300"/>
      <c r="L86" s="321">
        <v>8</v>
      </c>
      <c r="M86" s="433" t="s">
        <v>347</v>
      </c>
      <c r="N86" s="334" t="s">
        <v>357</v>
      </c>
      <c r="O86" s="684">
        <v>448320</v>
      </c>
      <c r="P86" s="685">
        <v>0.5</v>
      </c>
      <c r="Q86" s="323">
        <f>$O$86*P86</f>
        <v>224160</v>
      </c>
      <c r="R86" s="775" t="s">
        <v>358</v>
      </c>
      <c r="S86" s="630" t="s">
        <v>359</v>
      </c>
      <c r="T86" s="687">
        <v>45961</v>
      </c>
      <c r="U86" s="508"/>
      <c r="V86" s="798"/>
      <c r="W86" s="699">
        <v>45954</v>
      </c>
      <c r="X86" s="773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0"/>
      <c r="J87" s="770"/>
      <c r="K87" s="300"/>
      <c r="L87" s="321">
        <v>8</v>
      </c>
      <c r="M87" s="433" t="s">
        <v>347</v>
      </c>
      <c r="N87" s="334" t="s">
        <v>360</v>
      </c>
      <c r="O87" s="558"/>
      <c r="P87" s="685">
        <v>0.25</v>
      </c>
      <c r="Q87" s="323">
        <f>$O$86*P87</f>
        <v>112080</v>
      </c>
      <c r="R87" s="776"/>
      <c r="S87" s="634" t="s">
        <v>361</v>
      </c>
      <c r="T87" s="650">
        <v>46022</v>
      </c>
      <c r="U87" s="513"/>
      <c r="V87" s="798"/>
      <c r="W87" s="700">
        <v>46003</v>
      </c>
      <c r="X87" s="773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0"/>
      <c r="J88" s="770"/>
      <c r="K88" s="300"/>
      <c r="L88" s="321">
        <v>8</v>
      </c>
      <c r="M88" s="433" t="s">
        <v>347</v>
      </c>
      <c r="N88" s="334" t="s">
        <v>362</v>
      </c>
      <c r="O88" s="558"/>
      <c r="P88" s="685">
        <v>0.25</v>
      </c>
      <c r="Q88" s="323">
        <f>$O$86*P88</f>
        <v>112080</v>
      </c>
      <c r="R88" s="777"/>
      <c r="S88" s="634"/>
      <c r="T88" s="524">
        <v>46081</v>
      </c>
      <c r="U88" s="513"/>
      <c r="V88" s="798"/>
      <c r="W88" s="580">
        <v>46065</v>
      </c>
      <c r="X88" s="773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0"/>
      <c r="J89" s="770"/>
      <c r="K89" s="300"/>
      <c r="L89" s="321">
        <v>8</v>
      </c>
      <c r="M89" s="433" t="s">
        <v>347</v>
      </c>
      <c r="N89" s="334"/>
      <c r="O89" s="558"/>
      <c r="P89" s="685"/>
      <c r="Q89" s="323"/>
      <c r="R89" s="597"/>
      <c r="S89" s="634"/>
      <c r="T89" s="527"/>
      <c r="U89" s="513"/>
      <c r="V89" s="798"/>
      <c r="W89" s="580"/>
      <c r="X89" s="773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0"/>
      <c r="J90" s="770"/>
      <c r="K90" s="300"/>
      <c r="L90" s="321">
        <v>8</v>
      </c>
      <c r="M90" s="433" t="s">
        <v>347</v>
      </c>
      <c r="N90" s="334" t="s">
        <v>363</v>
      </c>
      <c r="O90" s="558"/>
      <c r="P90" s="685"/>
      <c r="Q90" s="323">
        <v>31876</v>
      </c>
      <c r="R90" s="597" t="s">
        <v>364</v>
      </c>
      <c r="S90" s="634" t="s">
        <v>365</v>
      </c>
      <c r="T90" s="677">
        <v>46053</v>
      </c>
      <c r="U90" s="513"/>
      <c r="V90" s="798"/>
      <c r="W90" s="580">
        <v>46081</v>
      </c>
      <c r="X90" s="773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0"/>
      <c r="J91" s="770"/>
      <c r="K91" s="300"/>
      <c r="L91" s="321">
        <v>8</v>
      </c>
      <c r="M91" s="433" t="s">
        <v>347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98"/>
      <c r="W91" s="580"/>
      <c r="X91" s="773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1"/>
      <c r="J92" s="771"/>
      <c r="K92" s="305"/>
      <c r="L92" s="301">
        <v>8</v>
      </c>
      <c r="M92" s="432" t="s">
        <v>347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99"/>
      <c r="W92" s="578"/>
      <c r="X92" s="774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366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367</v>
      </c>
      <c r="D94" s="326" t="s">
        <v>368</v>
      </c>
      <c r="E94" s="313"/>
      <c r="F94" s="437"/>
      <c r="G94" s="620">
        <f>D183</f>
        <v>116707.5</v>
      </c>
      <c r="H94" s="535">
        <v>45791</v>
      </c>
      <c r="I94" s="788">
        <f>SUM(G94:G105)</f>
        <v>368077.5</v>
      </c>
      <c r="J94" s="763">
        <f>F183+F184</f>
        <v>433032.3529411765</v>
      </c>
      <c r="K94" s="287"/>
      <c r="L94" s="310">
        <v>9</v>
      </c>
      <c r="M94" s="423" t="s">
        <v>369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3">
        <f>J94-SUM(U94:U105)</f>
        <v>0</v>
      </c>
      <c r="W94" s="579"/>
      <c r="X94" s="791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370</v>
      </c>
      <c r="E95" s="313"/>
      <c r="F95" s="459"/>
      <c r="G95" s="620">
        <f>D184</f>
        <v>251370</v>
      </c>
      <c r="H95" s="535">
        <v>45792</v>
      </c>
      <c r="I95" s="789"/>
      <c r="J95" s="764"/>
      <c r="K95" s="287"/>
      <c r="L95" s="310">
        <v>9</v>
      </c>
      <c r="M95" s="423" t="s">
        <v>369</v>
      </c>
      <c r="N95" s="327" t="s">
        <v>311</v>
      </c>
      <c r="O95" s="569">
        <f>Z30+Z29</f>
        <v>560350</v>
      </c>
      <c r="P95" s="570">
        <v>0.1</v>
      </c>
      <c r="Q95" s="314">
        <f>$O$95*P95</f>
        <v>56035</v>
      </c>
      <c r="R95" s="800" t="s">
        <v>371</v>
      </c>
      <c r="S95" s="625" t="s">
        <v>312</v>
      </c>
      <c r="T95" s="643">
        <f t="shared" si="9"/>
        <v>45808</v>
      </c>
      <c r="U95" s="667">
        <v>43303.23529411765</v>
      </c>
      <c r="V95" s="754"/>
      <c r="W95" s="535">
        <v>45792</v>
      </c>
      <c r="X95" s="792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89"/>
      <c r="J96" s="764"/>
      <c r="K96" s="287"/>
      <c r="L96" s="383">
        <v>9</v>
      </c>
      <c r="M96" s="501" t="s">
        <v>369</v>
      </c>
      <c r="N96" s="385" t="s">
        <v>128</v>
      </c>
      <c r="O96" s="551"/>
      <c r="P96" s="568">
        <v>0.15</v>
      </c>
      <c r="Q96" s="314">
        <f t="shared" ref="Q96:Q102" si="10">$O$95*P96</f>
        <v>84052.5</v>
      </c>
      <c r="R96" s="801"/>
      <c r="S96" s="626" t="s">
        <v>313</v>
      </c>
      <c r="T96" s="654">
        <f t="shared" si="9"/>
        <v>45808</v>
      </c>
      <c r="U96" s="668">
        <v>64954.852941176476</v>
      </c>
      <c r="V96" s="754"/>
      <c r="W96" s="536">
        <v>45806</v>
      </c>
      <c r="X96" s="792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89"/>
      <c r="J97" s="764"/>
      <c r="K97" s="287"/>
      <c r="L97" s="383">
        <v>9</v>
      </c>
      <c r="M97" s="501" t="s">
        <v>369</v>
      </c>
      <c r="N97" s="385" t="s">
        <v>314</v>
      </c>
      <c r="O97" s="551"/>
      <c r="P97" s="568">
        <v>0.2</v>
      </c>
      <c r="Q97" s="314">
        <f t="shared" si="10"/>
        <v>112070</v>
      </c>
      <c r="R97" s="801"/>
      <c r="S97" s="626" t="s">
        <v>315</v>
      </c>
      <c r="T97" s="676">
        <v>45838</v>
      </c>
      <c r="U97" s="668">
        <v>86606.470588235301</v>
      </c>
      <c r="V97" s="754"/>
      <c r="W97" s="536">
        <v>45890</v>
      </c>
      <c r="X97" s="792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89"/>
      <c r="J98" s="764"/>
      <c r="K98" s="287"/>
      <c r="L98" s="383">
        <v>9</v>
      </c>
      <c r="M98" s="501" t="s">
        <v>369</v>
      </c>
      <c r="N98" s="385" t="s">
        <v>316</v>
      </c>
      <c r="O98" s="551"/>
      <c r="P98" s="568">
        <v>0.25</v>
      </c>
      <c r="Q98" s="314">
        <f t="shared" si="10"/>
        <v>140087.5</v>
      </c>
      <c r="R98" s="801"/>
      <c r="S98" s="626" t="s">
        <v>317</v>
      </c>
      <c r="T98" s="676">
        <v>45838</v>
      </c>
      <c r="U98" s="668">
        <v>108258.08823529413</v>
      </c>
      <c r="V98" s="754"/>
      <c r="W98" s="536">
        <v>45834</v>
      </c>
      <c r="X98" s="792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89"/>
      <c r="J99" s="764"/>
      <c r="K99" s="287"/>
      <c r="L99" s="383">
        <v>9</v>
      </c>
      <c r="M99" s="501" t="s">
        <v>369</v>
      </c>
      <c r="N99" s="385" t="s">
        <v>204</v>
      </c>
      <c r="O99" s="551"/>
      <c r="P99" s="568">
        <v>0.1</v>
      </c>
      <c r="Q99" s="314">
        <f t="shared" si="10"/>
        <v>56035</v>
      </c>
      <c r="R99" s="801"/>
      <c r="S99" s="626" t="s">
        <v>318</v>
      </c>
      <c r="T99" s="676">
        <v>45838</v>
      </c>
      <c r="U99" s="668">
        <v>43303.23529411765</v>
      </c>
      <c r="V99" s="754"/>
      <c r="W99" s="573">
        <v>46066</v>
      </c>
      <c r="X99" s="792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89"/>
      <c r="J100" s="764"/>
      <c r="K100" s="287"/>
      <c r="L100" s="383">
        <v>9</v>
      </c>
      <c r="M100" s="501" t="s">
        <v>369</v>
      </c>
      <c r="N100" s="385" t="s">
        <v>319</v>
      </c>
      <c r="O100" s="551"/>
      <c r="P100" s="568">
        <v>0.1</v>
      </c>
      <c r="Q100" s="314">
        <f t="shared" si="10"/>
        <v>56035</v>
      </c>
      <c r="R100" s="801"/>
      <c r="S100" s="626" t="s">
        <v>320</v>
      </c>
      <c r="T100" s="676">
        <v>45838</v>
      </c>
      <c r="U100" s="668">
        <v>43303.23529411765</v>
      </c>
      <c r="V100" s="754"/>
      <c r="W100" s="573">
        <v>46073</v>
      </c>
      <c r="X100" s="792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89"/>
      <c r="J101" s="764"/>
      <c r="K101" s="287"/>
      <c r="L101" s="383">
        <v>9</v>
      </c>
      <c r="M101" s="501" t="s">
        <v>369</v>
      </c>
      <c r="N101" s="385" t="s">
        <v>321</v>
      </c>
      <c r="O101" s="551"/>
      <c r="P101" s="568">
        <v>0.05</v>
      </c>
      <c r="Q101" s="314">
        <f t="shared" si="10"/>
        <v>28017.5</v>
      </c>
      <c r="R101" s="801"/>
      <c r="S101" s="626" t="s">
        <v>322</v>
      </c>
      <c r="T101" s="676">
        <v>45838</v>
      </c>
      <c r="U101" s="668">
        <v>21651.617647058825</v>
      </c>
      <c r="V101" s="754"/>
      <c r="W101" s="573">
        <v>46081</v>
      </c>
      <c r="X101" s="792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89"/>
      <c r="J102" s="764"/>
      <c r="K102" s="287"/>
      <c r="L102" s="383">
        <v>9</v>
      </c>
      <c r="M102" s="501" t="s">
        <v>369</v>
      </c>
      <c r="N102" s="385" t="s">
        <v>323</v>
      </c>
      <c r="O102" s="551"/>
      <c r="P102" s="568">
        <v>0.05</v>
      </c>
      <c r="Q102" s="314">
        <f t="shared" si="10"/>
        <v>28017.5</v>
      </c>
      <c r="R102" s="802"/>
      <c r="S102" s="626" t="s">
        <v>324</v>
      </c>
      <c r="T102" s="676">
        <v>45838</v>
      </c>
      <c r="U102" s="668">
        <v>21651.617647058825</v>
      </c>
      <c r="V102" s="754"/>
      <c r="W102" s="573">
        <v>46111</v>
      </c>
      <c r="X102" s="792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89"/>
      <c r="J103" s="764"/>
      <c r="K103" s="287"/>
      <c r="L103" s="383">
        <v>9</v>
      </c>
      <c r="M103" s="501" t="s">
        <v>369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4"/>
      <c r="W103" s="573"/>
      <c r="X103" s="792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89"/>
      <c r="J104" s="764"/>
      <c r="K104" s="287"/>
      <c r="L104" s="383">
        <v>9</v>
      </c>
      <c r="M104" s="501" t="s">
        <v>369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4"/>
      <c r="W104" s="573"/>
      <c r="X104" s="792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0"/>
      <c r="J105" s="765"/>
      <c r="K105" s="363"/>
      <c r="L105" s="315">
        <v>9</v>
      </c>
      <c r="M105" s="441" t="s">
        <v>369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5"/>
      <c r="W105" s="574"/>
      <c r="X105" s="793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372</v>
      </c>
      <c r="D107" s="269" t="s">
        <v>283</v>
      </c>
      <c r="E107" s="270"/>
      <c r="F107" s="470"/>
      <c r="G107" s="337">
        <f>D187</f>
        <v>8500</v>
      </c>
      <c r="H107" s="541">
        <v>45805</v>
      </c>
      <c r="I107" s="782">
        <f>SUM(G107:G126)</f>
        <v>99195.133333333331</v>
      </c>
      <c r="J107" s="782">
        <f>F187+F190+F191+F189</f>
        <v>116700.15686274509</v>
      </c>
      <c r="K107" s="338"/>
      <c r="L107" s="268">
        <v>10</v>
      </c>
      <c r="M107" s="434" t="s">
        <v>373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4">
        <f>J107-SUM(U107:U126)</f>
        <v>-4.5931361673865467E-3</v>
      </c>
      <c r="W107" s="583"/>
      <c r="X107" s="785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284</v>
      </c>
      <c r="E108" s="341"/>
      <c r="F108" s="471"/>
      <c r="G108" s="342">
        <f>D191</f>
        <v>29821.8</v>
      </c>
      <c r="H108" s="541">
        <v>45806</v>
      </c>
      <c r="I108" s="783"/>
      <c r="J108" s="783"/>
      <c r="K108" s="271"/>
      <c r="L108" s="339">
        <v>10</v>
      </c>
      <c r="M108" s="435" t="s">
        <v>373</v>
      </c>
      <c r="N108" s="340" t="s">
        <v>374</v>
      </c>
      <c r="O108" s="564"/>
      <c r="P108" s="471"/>
      <c r="Q108" s="342">
        <v>2825</v>
      </c>
      <c r="R108" s="602" t="s">
        <v>375</v>
      </c>
      <c r="S108" s="638" t="s">
        <v>376</v>
      </c>
      <c r="T108" s="658">
        <f t="shared" si="9"/>
        <v>45808</v>
      </c>
      <c r="U108" s="674">
        <v>4422.2947097561009</v>
      </c>
      <c r="V108" s="795"/>
      <c r="W108" s="541">
        <v>45806</v>
      </c>
      <c r="X108" s="786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3"/>
      <c r="J109" s="783"/>
      <c r="K109" s="271"/>
      <c r="L109" s="339">
        <v>10</v>
      </c>
      <c r="M109" s="435" t="s">
        <v>373</v>
      </c>
      <c r="N109" s="340" t="s">
        <v>377</v>
      </c>
      <c r="O109" s="564"/>
      <c r="P109" s="471"/>
      <c r="Q109" s="342">
        <v>1905</v>
      </c>
      <c r="R109" s="602" t="s">
        <v>378</v>
      </c>
      <c r="S109" s="638" t="s">
        <v>379</v>
      </c>
      <c r="T109" s="658">
        <v>45838</v>
      </c>
      <c r="U109" s="674">
        <v>2982.1137777293352</v>
      </c>
      <c r="V109" s="795"/>
      <c r="W109" s="541">
        <v>45820</v>
      </c>
      <c r="X109" s="786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3"/>
      <c r="J110" s="783"/>
      <c r="K110" s="271"/>
      <c r="L110" s="339">
        <v>10</v>
      </c>
      <c r="M110" s="435" t="s">
        <v>373</v>
      </c>
      <c r="N110" s="340" t="s">
        <v>380</v>
      </c>
      <c r="O110" s="564"/>
      <c r="P110" s="471"/>
      <c r="Q110" s="342">
        <v>29000</v>
      </c>
      <c r="R110" s="602" t="s">
        <v>381</v>
      </c>
      <c r="S110" s="638" t="s">
        <v>382</v>
      </c>
      <c r="T110" s="658">
        <v>45991</v>
      </c>
      <c r="U110" s="701"/>
      <c r="V110" s="795"/>
      <c r="W110" s="541">
        <v>45989</v>
      </c>
      <c r="X110" s="786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3"/>
      <c r="J111" s="783"/>
      <c r="K111" s="271"/>
      <c r="L111" s="339">
        <v>10</v>
      </c>
      <c r="M111" s="435" t="s">
        <v>373</v>
      </c>
      <c r="N111" s="340" t="s">
        <v>383</v>
      </c>
      <c r="O111" s="564"/>
      <c r="P111" s="471"/>
      <c r="Q111" s="342">
        <v>19333.349999999999</v>
      </c>
      <c r="R111" s="602"/>
      <c r="S111" s="638" t="s">
        <v>384</v>
      </c>
      <c r="T111" s="658">
        <v>46022</v>
      </c>
      <c r="U111" s="701"/>
      <c r="V111" s="795"/>
      <c r="W111" s="703">
        <v>46031</v>
      </c>
      <c r="X111" s="786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3"/>
      <c r="J112" s="783"/>
      <c r="K112" s="271"/>
      <c r="L112" s="339">
        <v>10</v>
      </c>
      <c r="M112" s="435" t="s">
        <v>373</v>
      </c>
      <c r="N112" s="340"/>
      <c r="O112" s="564"/>
      <c r="P112" s="471"/>
      <c r="Q112" s="342"/>
      <c r="R112" s="602"/>
      <c r="S112" s="638"/>
      <c r="T112" s="532"/>
      <c r="U112" s="516"/>
      <c r="V112" s="795"/>
      <c r="W112" s="584"/>
      <c r="X112" s="786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3"/>
      <c r="J113" s="783"/>
      <c r="K113" s="271"/>
      <c r="L113" s="339">
        <v>10</v>
      </c>
      <c r="M113" s="435" t="s">
        <v>373</v>
      </c>
      <c r="N113" s="340"/>
      <c r="O113" s="564"/>
      <c r="P113" s="471"/>
      <c r="Q113" s="342"/>
      <c r="R113" s="602"/>
      <c r="S113" s="638"/>
      <c r="T113" s="532"/>
      <c r="U113" s="516"/>
      <c r="V113" s="795"/>
      <c r="W113" s="584"/>
      <c r="X113" s="786"/>
      <c r="Y113" s="482"/>
    </row>
    <row r="114" spans="1:25" ht="14.25" customHeight="1">
      <c r="B114" s="339">
        <v>10</v>
      </c>
      <c r="C114" s="340"/>
      <c r="D114" s="340" t="s">
        <v>385</v>
      </c>
      <c r="E114" s="341"/>
      <c r="F114" s="471"/>
      <c r="G114" s="342">
        <f>D190</f>
        <v>55200</v>
      </c>
      <c r="H114" s="541">
        <v>45825</v>
      </c>
      <c r="I114" s="783"/>
      <c r="J114" s="783"/>
      <c r="K114" s="271"/>
      <c r="L114" s="339">
        <v>10</v>
      </c>
      <c r="M114" s="435" t="s">
        <v>373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5"/>
      <c r="W114" s="584"/>
      <c r="X114" s="786"/>
      <c r="Y114" s="482"/>
    </row>
    <row r="115" spans="1:25" ht="14.25" customHeight="1">
      <c r="B115" s="339">
        <v>10</v>
      </c>
      <c r="C115" s="340"/>
      <c r="D115" s="340" t="s">
        <v>285</v>
      </c>
      <c r="E115" s="341"/>
      <c r="F115" s="471"/>
      <c r="G115" s="342">
        <f>D189</f>
        <v>5673.333333333333</v>
      </c>
      <c r="H115" s="541">
        <v>45826</v>
      </c>
      <c r="I115" s="783"/>
      <c r="J115" s="783"/>
      <c r="K115" s="271"/>
      <c r="L115" s="339">
        <v>10</v>
      </c>
      <c r="M115" s="435" t="s">
        <v>373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5"/>
      <c r="W115" s="584"/>
      <c r="X115" s="786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3"/>
      <c r="J116" s="783"/>
      <c r="K116" s="271"/>
      <c r="L116" s="339">
        <v>10</v>
      </c>
      <c r="M116" s="435" t="s">
        <v>373</v>
      </c>
      <c r="N116" s="340" t="s">
        <v>311</v>
      </c>
      <c r="O116" s="619">
        <v>33152.400000000001</v>
      </c>
      <c r="P116" s="571">
        <v>0.1</v>
      </c>
      <c r="Q116" s="342">
        <f>$O$116*P116</f>
        <v>3315.2400000000002</v>
      </c>
      <c r="R116" s="803" t="str">
        <f>R95</f>
        <v>PO3888-DSS-20250513 - RV Approved</v>
      </c>
      <c r="S116" s="639" t="s">
        <v>312</v>
      </c>
      <c r="T116" s="651">
        <f t="shared" si="9"/>
        <v>45808</v>
      </c>
      <c r="U116" s="675">
        <v>5189.723296839582</v>
      </c>
      <c r="V116" s="795"/>
      <c r="W116" s="542">
        <f t="shared" ref="W116:W123" si="12">W95</f>
        <v>45792</v>
      </c>
      <c r="X116" s="786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3"/>
      <c r="J117" s="783"/>
      <c r="K117" s="271"/>
      <c r="L117" s="339">
        <v>10</v>
      </c>
      <c r="M117" s="435" t="s">
        <v>373</v>
      </c>
      <c r="N117" s="340" t="s">
        <v>128</v>
      </c>
      <c r="O117" s="564"/>
      <c r="P117" s="571">
        <v>0.15</v>
      </c>
      <c r="Q117" s="342">
        <f t="shared" ref="Q117:Q123" si="13">$O$116*P117</f>
        <v>4972.8599999999997</v>
      </c>
      <c r="R117" s="804"/>
      <c r="S117" s="639" t="s">
        <v>313</v>
      </c>
      <c r="T117" s="653">
        <f t="shared" si="9"/>
        <v>45808</v>
      </c>
      <c r="U117" s="675">
        <v>7784.584945259372</v>
      </c>
      <c r="V117" s="795"/>
      <c r="W117" s="542">
        <f t="shared" si="12"/>
        <v>45806</v>
      </c>
      <c r="X117" s="786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3"/>
      <c r="J118" s="783"/>
      <c r="K118" s="271"/>
      <c r="L118" s="339">
        <v>10</v>
      </c>
      <c r="M118" s="435" t="s">
        <v>373</v>
      </c>
      <c r="N118" s="340" t="s">
        <v>314</v>
      </c>
      <c r="O118" s="564"/>
      <c r="P118" s="571">
        <v>0.2</v>
      </c>
      <c r="Q118" s="342">
        <f t="shared" si="13"/>
        <v>6630.4800000000005</v>
      </c>
      <c r="R118" s="804"/>
      <c r="S118" s="639" t="s">
        <v>315</v>
      </c>
      <c r="T118" s="651">
        <v>45838</v>
      </c>
      <c r="U118" s="675">
        <v>10379.446593679164</v>
      </c>
      <c r="V118" s="795"/>
      <c r="W118" s="542">
        <f t="shared" si="12"/>
        <v>45890</v>
      </c>
      <c r="X118" s="786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3"/>
      <c r="J119" s="783"/>
      <c r="K119" s="271"/>
      <c r="L119" s="339">
        <v>10</v>
      </c>
      <c r="M119" s="435" t="s">
        <v>373</v>
      </c>
      <c r="N119" s="340" t="s">
        <v>316</v>
      </c>
      <c r="O119" s="564"/>
      <c r="P119" s="571">
        <v>0.25</v>
      </c>
      <c r="Q119" s="342">
        <f t="shared" si="13"/>
        <v>8288.1</v>
      </c>
      <c r="R119" s="804"/>
      <c r="S119" s="639" t="s">
        <v>317</v>
      </c>
      <c r="T119" s="651">
        <v>45838</v>
      </c>
      <c r="U119" s="675">
        <v>12974.308242098954</v>
      </c>
      <c r="V119" s="795"/>
      <c r="W119" s="542">
        <f t="shared" si="12"/>
        <v>45834</v>
      </c>
      <c r="X119" s="786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3"/>
      <c r="J120" s="783"/>
      <c r="K120" s="271"/>
      <c r="L120" s="339">
        <v>10</v>
      </c>
      <c r="M120" s="435" t="s">
        <v>373</v>
      </c>
      <c r="N120" s="340" t="s">
        <v>204</v>
      </c>
      <c r="O120" s="564"/>
      <c r="P120" s="571">
        <v>0.1</v>
      </c>
      <c r="Q120" s="342">
        <f t="shared" si="13"/>
        <v>3315.2400000000002</v>
      </c>
      <c r="R120" s="804"/>
      <c r="S120" s="639" t="s">
        <v>318</v>
      </c>
      <c r="T120" s="651">
        <v>45838</v>
      </c>
      <c r="U120" s="675">
        <v>5189.723296839582</v>
      </c>
      <c r="V120" s="795"/>
      <c r="W120" s="585">
        <f t="shared" si="12"/>
        <v>46066</v>
      </c>
      <c r="X120" s="786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3"/>
      <c r="J121" s="783"/>
      <c r="K121" s="271"/>
      <c r="L121" s="339">
        <v>10</v>
      </c>
      <c r="M121" s="435" t="s">
        <v>373</v>
      </c>
      <c r="N121" s="340" t="s">
        <v>319</v>
      </c>
      <c r="O121" s="564"/>
      <c r="P121" s="571">
        <v>0.1</v>
      </c>
      <c r="Q121" s="342">
        <f t="shared" si="13"/>
        <v>3315.2400000000002</v>
      </c>
      <c r="R121" s="804"/>
      <c r="S121" s="639" t="s">
        <v>320</v>
      </c>
      <c r="T121" s="651">
        <v>45838</v>
      </c>
      <c r="U121" s="675">
        <v>5189.723296839582</v>
      </c>
      <c r="V121" s="795"/>
      <c r="W121" s="585">
        <f t="shared" si="12"/>
        <v>46073</v>
      </c>
      <c r="X121" s="786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3"/>
      <c r="J122" s="783"/>
      <c r="K122" s="271"/>
      <c r="L122" s="339">
        <v>10</v>
      </c>
      <c r="M122" s="435" t="s">
        <v>373</v>
      </c>
      <c r="N122" s="340" t="s">
        <v>321</v>
      </c>
      <c r="O122" s="564"/>
      <c r="P122" s="571">
        <v>0.05</v>
      </c>
      <c r="Q122" s="342">
        <f t="shared" si="13"/>
        <v>1657.6200000000001</v>
      </c>
      <c r="R122" s="804"/>
      <c r="S122" s="639" t="s">
        <v>322</v>
      </c>
      <c r="T122" s="651">
        <v>45838</v>
      </c>
      <c r="U122" s="675">
        <v>2594.861648419791</v>
      </c>
      <c r="V122" s="795"/>
      <c r="W122" s="585">
        <f t="shared" si="12"/>
        <v>46081</v>
      </c>
      <c r="X122" s="786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3"/>
      <c r="J123" s="783"/>
      <c r="K123" s="271"/>
      <c r="L123" s="339">
        <v>10</v>
      </c>
      <c r="M123" s="435" t="s">
        <v>373</v>
      </c>
      <c r="N123" s="340" t="s">
        <v>323</v>
      </c>
      <c r="O123" s="564"/>
      <c r="P123" s="571">
        <v>0.05</v>
      </c>
      <c r="Q123" s="342">
        <f t="shared" si="13"/>
        <v>1657.6200000000001</v>
      </c>
      <c r="R123" s="805"/>
      <c r="S123" s="639" t="s">
        <v>324</v>
      </c>
      <c r="T123" s="651">
        <v>45838</v>
      </c>
      <c r="U123" s="675">
        <v>2594.861648419791</v>
      </c>
      <c r="V123" s="795"/>
      <c r="W123" s="585">
        <f t="shared" si="12"/>
        <v>46111</v>
      </c>
      <c r="X123" s="786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3"/>
      <c r="J124" s="783"/>
      <c r="K124" s="271"/>
      <c r="L124" s="339">
        <v>10</v>
      </c>
      <c r="M124" s="435" t="s">
        <v>373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5"/>
      <c r="W124" s="585"/>
      <c r="X124" s="786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3"/>
      <c r="J125" s="783"/>
      <c r="K125" s="271"/>
      <c r="L125" s="339">
        <v>10</v>
      </c>
      <c r="M125" s="435" t="s">
        <v>373</v>
      </c>
      <c r="N125" s="340" t="s">
        <v>386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5"/>
      <c r="W125" s="585"/>
      <c r="X125" s="786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4"/>
      <c r="J126" s="784"/>
      <c r="K126" s="274"/>
      <c r="L126" s="272">
        <v>10</v>
      </c>
      <c r="M126" s="436" t="s">
        <v>373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6"/>
      <c r="W126" s="586"/>
      <c r="X126" s="787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387</v>
      </c>
      <c r="D128" s="350" t="s">
        <v>388</v>
      </c>
      <c r="E128" s="282"/>
      <c r="F128" s="437"/>
      <c r="G128" s="283">
        <v>11670.75</v>
      </c>
      <c r="H128" s="539">
        <v>45869</v>
      </c>
      <c r="I128" s="763">
        <f>SUM(G128:G132)</f>
        <v>115012.25</v>
      </c>
      <c r="J128" s="763">
        <f>F186</f>
        <v>135308.5294117647</v>
      </c>
      <c r="K128" s="284"/>
      <c r="L128" s="280">
        <v>11</v>
      </c>
      <c r="M128" s="350" t="s">
        <v>389</v>
      </c>
      <c r="N128" s="350" t="s">
        <v>388</v>
      </c>
      <c r="O128" s="282"/>
      <c r="P128" s="437"/>
      <c r="Q128" s="283">
        <v>12824.57</v>
      </c>
      <c r="R128" s="595"/>
      <c r="S128" s="632" t="s">
        <v>390</v>
      </c>
      <c r="T128" s="665">
        <v>45869</v>
      </c>
      <c r="U128" s="673">
        <v>35947.271874197439</v>
      </c>
      <c r="V128" s="753">
        <f>J128-SUM(U128:U132)</f>
        <v>1.5215865860227495E-3</v>
      </c>
      <c r="W128" s="539">
        <v>45869</v>
      </c>
      <c r="X128" s="750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391</v>
      </c>
      <c r="E129" s="313"/>
      <c r="F129" s="459"/>
      <c r="G129" s="314">
        <v>23341.5</v>
      </c>
      <c r="H129" s="645">
        <v>45757</v>
      </c>
      <c r="I129" s="764"/>
      <c r="J129" s="764"/>
      <c r="K129" s="287"/>
      <c r="L129" s="310">
        <v>11</v>
      </c>
      <c r="M129" s="389" t="s">
        <v>389</v>
      </c>
      <c r="N129" s="312" t="s">
        <v>391</v>
      </c>
      <c r="O129" s="313"/>
      <c r="P129" s="459"/>
      <c r="Q129" s="314">
        <v>9019.6</v>
      </c>
      <c r="R129" s="588" t="s">
        <v>392</v>
      </c>
      <c r="S129" s="625" t="s">
        <v>393</v>
      </c>
      <c r="T129" s="644">
        <v>45777</v>
      </c>
      <c r="U129" s="649">
        <v>45725.470512089683</v>
      </c>
      <c r="V129" s="754"/>
      <c r="W129" s="645">
        <v>45757</v>
      </c>
      <c r="X129" s="751"/>
      <c r="Y129" s="482"/>
    </row>
    <row r="130" spans="1:25" ht="15" customHeight="1">
      <c r="B130" s="310">
        <v>11</v>
      </c>
      <c r="C130" s="312"/>
      <c r="D130" s="312" t="s">
        <v>394</v>
      </c>
      <c r="E130" s="313"/>
      <c r="F130" s="459"/>
      <c r="G130" s="314">
        <v>80000</v>
      </c>
      <c r="H130" s="535">
        <v>45862</v>
      </c>
      <c r="I130" s="764"/>
      <c r="J130" s="764"/>
      <c r="K130" s="287"/>
      <c r="L130" s="310">
        <v>11</v>
      </c>
      <c r="M130" s="389" t="s">
        <v>389</v>
      </c>
      <c r="N130" s="312" t="s">
        <v>395</v>
      </c>
      <c r="O130" s="313"/>
      <c r="P130" s="459"/>
      <c r="Q130" s="314">
        <v>8830.7999999999993</v>
      </c>
      <c r="R130" s="588"/>
      <c r="S130" s="625" t="s">
        <v>396</v>
      </c>
      <c r="T130" s="643">
        <v>45838</v>
      </c>
      <c r="U130" s="667">
        <v>33638.622666479321</v>
      </c>
      <c r="V130" s="754"/>
      <c r="W130" s="535">
        <v>45862</v>
      </c>
      <c r="X130" s="751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4"/>
      <c r="J131" s="764"/>
      <c r="K131" s="287"/>
      <c r="L131" s="310">
        <v>11</v>
      </c>
      <c r="M131" s="389" t="s">
        <v>389</v>
      </c>
      <c r="N131" s="387" t="s">
        <v>397</v>
      </c>
      <c r="O131" s="406"/>
      <c r="P131" s="444"/>
      <c r="Q131" s="386">
        <v>6000</v>
      </c>
      <c r="R131" s="589"/>
      <c r="S131" s="626" t="s">
        <v>398</v>
      </c>
      <c r="T131" s="676">
        <v>45869</v>
      </c>
      <c r="U131" s="668">
        <v>19997.162837411677</v>
      </c>
      <c r="V131" s="754"/>
      <c r="W131" s="536">
        <v>45869</v>
      </c>
      <c r="X131" s="751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5"/>
      <c r="J132" s="765"/>
      <c r="K132" s="288"/>
      <c r="L132" s="315">
        <v>11</v>
      </c>
      <c r="M132" s="419" t="s">
        <v>389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5"/>
      <c r="W132" s="574"/>
      <c r="X132" s="752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399</v>
      </c>
      <c r="D134" s="269" t="s">
        <v>400</v>
      </c>
      <c r="E134" s="270"/>
      <c r="F134" s="470"/>
      <c r="G134" s="337">
        <v>75353.000152484499</v>
      </c>
      <c r="H134" s="536">
        <v>45872</v>
      </c>
      <c r="I134" s="782">
        <f>SUM(G134:G135)</f>
        <v>90423.600182981405</v>
      </c>
      <c r="J134" s="782">
        <v>0</v>
      </c>
      <c r="K134" s="806"/>
      <c r="L134" s="268">
        <v>12</v>
      </c>
      <c r="M134" s="269" t="s">
        <v>401</v>
      </c>
      <c r="N134" s="269" t="s">
        <v>400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5">
        <f>SUM(Q134:Q135)</f>
        <v>0</v>
      </c>
      <c r="Y134" s="482"/>
    </row>
    <row r="135" spans="1:25" ht="15" customHeight="1" thickBot="1">
      <c r="B135" s="272">
        <v>12</v>
      </c>
      <c r="C135" s="343" t="s">
        <v>399</v>
      </c>
      <c r="D135" s="343" t="s">
        <v>402</v>
      </c>
      <c r="E135" s="344"/>
      <c r="F135" s="472"/>
      <c r="G135" s="273">
        <v>15070.600030496902</v>
      </c>
      <c r="H135" s="536">
        <v>45873</v>
      </c>
      <c r="I135" s="784"/>
      <c r="J135" s="784"/>
      <c r="K135" s="807"/>
      <c r="L135" s="272">
        <v>12</v>
      </c>
      <c r="M135" s="343" t="s">
        <v>401</v>
      </c>
      <c r="N135" s="343" t="s">
        <v>402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87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403</v>
      </c>
      <c r="D137" s="350" t="s">
        <v>404</v>
      </c>
      <c r="E137" s="282"/>
      <c r="F137" s="437"/>
      <c r="G137" s="283">
        <v>41791.570150362328</v>
      </c>
      <c r="H137" s="539">
        <v>45869</v>
      </c>
      <c r="I137" s="763">
        <f>SUM(G137:G141)</f>
        <v>158920.9330075052</v>
      </c>
      <c r="J137" s="763">
        <f>F185</f>
        <v>180591.96932671044</v>
      </c>
      <c r="K137" s="284"/>
      <c r="L137" s="280">
        <v>13</v>
      </c>
      <c r="M137" s="350" t="s">
        <v>405</v>
      </c>
      <c r="N137" s="350" t="s">
        <v>406</v>
      </c>
      <c r="O137" s="549"/>
      <c r="P137" s="437"/>
      <c r="Q137" s="283">
        <f>'Project Plan'!$E$6*1.25%</f>
        <v>58283.125</v>
      </c>
      <c r="R137" s="595"/>
      <c r="S137" s="632" t="s">
        <v>407</v>
      </c>
      <c r="T137" s="665">
        <v>45869</v>
      </c>
      <c r="U137" s="673">
        <v>180591.96932671044</v>
      </c>
      <c r="V137" s="753">
        <f>J137-SUM(U137:U142)</f>
        <v>0</v>
      </c>
      <c r="W137" s="539">
        <v>45869</v>
      </c>
      <c r="X137" s="750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408</v>
      </c>
      <c r="E138" s="313"/>
      <c r="F138" s="459"/>
      <c r="G138" s="314">
        <v>26285.714285714286</v>
      </c>
      <c r="H138" s="535">
        <f>H137</f>
        <v>45869</v>
      </c>
      <c r="I138" s="764"/>
      <c r="J138" s="764"/>
      <c r="K138" s="287"/>
      <c r="L138" s="310">
        <v>13</v>
      </c>
      <c r="M138" s="389" t="s">
        <v>405</v>
      </c>
      <c r="N138" s="312" t="s">
        <v>408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4"/>
      <c r="W138" s="535">
        <f>W137</f>
        <v>45869</v>
      </c>
      <c r="X138" s="751"/>
      <c r="Y138" s="482"/>
    </row>
    <row r="139" spans="1:25" ht="15.75" customHeight="1">
      <c r="B139" s="310">
        <v>13</v>
      </c>
      <c r="C139" s="312"/>
      <c r="D139" s="312" t="s">
        <v>409</v>
      </c>
      <c r="E139" s="313"/>
      <c r="F139" s="459"/>
      <c r="G139" s="314">
        <v>34000</v>
      </c>
      <c r="H139" s="535">
        <f>H137</f>
        <v>45869</v>
      </c>
      <c r="I139" s="764"/>
      <c r="J139" s="764"/>
      <c r="K139" s="287"/>
      <c r="L139" s="310">
        <v>13</v>
      </c>
      <c r="M139" s="389" t="s">
        <v>405</v>
      </c>
      <c r="N139" s="312" t="s">
        <v>409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4"/>
      <c r="W139" s="535">
        <f>W137</f>
        <v>45869</v>
      </c>
      <c r="X139" s="751"/>
      <c r="Y139" s="482"/>
    </row>
    <row r="140" spans="1:25" ht="15.75" customHeight="1">
      <c r="B140" s="310">
        <v>13</v>
      </c>
      <c r="C140" s="312"/>
      <c r="D140" s="312" t="s">
        <v>410</v>
      </c>
      <c r="E140" s="313"/>
      <c r="F140" s="459"/>
      <c r="G140" s="314">
        <v>34171.428571428572</v>
      </c>
      <c r="H140" s="535">
        <f>H137</f>
        <v>45869</v>
      </c>
      <c r="I140" s="764"/>
      <c r="J140" s="764"/>
      <c r="K140" s="287"/>
      <c r="L140" s="310">
        <v>13</v>
      </c>
      <c r="M140" s="389" t="s">
        <v>405</v>
      </c>
      <c r="N140" s="312" t="s">
        <v>410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4"/>
      <c r="W140" s="535">
        <f>W137</f>
        <v>45869</v>
      </c>
      <c r="X140" s="751"/>
      <c r="Y140" s="482"/>
    </row>
    <row r="141" spans="1:25" ht="15.75" customHeight="1">
      <c r="B141" s="310">
        <v>13</v>
      </c>
      <c r="C141" s="312"/>
      <c r="D141" s="312" t="s">
        <v>411</v>
      </c>
      <c r="E141" s="313"/>
      <c r="F141" s="459"/>
      <c r="G141" s="314">
        <v>22672.219999999998</v>
      </c>
      <c r="H141" s="535">
        <f>H137</f>
        <v>45869</v>
      </c>
      <c r="I141" s="764"/>
      <c r="J141" s="764"/>
      <c r="K141" s="287"/>
      <c r="L141" s="310">
        <v>13</v>
      </c>
      <c r="M141" s="389" t="s">
        <v>405</v>
      </c>
      <c r="N141" s="312" t="s">
        <v>411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4"/>
      <c r="W141" s="535">
        <f>W137</f>
        <v>45869</v>
      </c>
      <c r="X141" s="751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5"/>
      <c r="J142" s="765"/>
      <c r="K142" s="363"/>
      <c r="L142" s="315">
        <v>13</v>
      </c>
      <c r="M142" s="419" t="s">
        <v>405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5"/>
      <c r="W142" s="574"/>
      <c r="X142" s="752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412</v>
      </c>
      <c r="D144" s="269" t="s">
        <v>413</v>
      </c>
      <c r="E144" s="270"/>
      <c r="F144" s="470"/>
      <c r="G144" s="337">
        <v>8050</v>
      </c>
      <c r="H144" s="648">
        <v>45777</v>
      </c>
      <c r="I144" s="782">
        <f>SUM(G144:G155)</f>
        <v>8050</v>
      </c>
      <c r="J144" s="782">
        <f>F196</f>
        <v>9470.5882352941171</v>
      </c>
      <c r="K144" s="338"/>
      <c r="L144" s="268">
        <v>14</v>
      </c>
      <c r="M144" s="434" t="s">
        <v>414</v>
      </c>
      <c r="N144" s="269" t="s">
        <v>415</v>
      </c>
      <c r="O144" s="563"/>
      <c r="P144" s="470"/>
      <c r="Q144" s="337">
        <v>10950</v>
      </c>
      <c r="R144" s="601"/>
      <c r="S144" s="637" t="s">
        <v>416</v>
      </c>
      <c r="T144" s="646">
        <f t="shared" si="9"/>
        <v>45777</v>
      </c>
      <c r="U144" s="647">
        <v>5699.53</v>
      </c>
      <c r="V144" s="794">
        <f>J144-SUM(U144:U155)</f>
        <v>1.773850361132645E-3</v>
      </c>
      <c r="W144" s="648">
        <v>45777</v>
      </c>
      <c r="X144" s="785">
        <f>SUM(Q144:Q155)</f>
        <v>40635.629999999997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3"/>
      <c r="J145" s="783"/>
      <c r="K145" s="271"/>
      <c r="L145" s="339">
        <v>14</v>
      </c>
      <c r="M145" s="435" t="s">
        <v>414</v>
      </c>
      <c r="N145" s="340" t="s">
        <v>415</v>
      </c>
      <c r="O145" s="564"/>
      <c r="P145" s="471"/>
      <c r="Q145" s="342">
        <v>7624.05</v>
      </c>
      <c r="R145" s="603"/>
      <c r="S145" s="639" t="s">
        <v>417</v>
      </c>
      <c r="T145" s="651">
        <v>45808</v>
      </c>
      <c r="U145" s="675">
        <v>2681.3708204656295</v>
      </c>
      <c r="V145" s="795"/>
      <c r="W145" s="678">
        <v>45814</v>
      </c>
      <c r="X145" s="786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3"/>
      <c r="J146" s="783"/>
      <c r="K146" s="271"/>
      <c r="L146" s="339">
        <v>14</v>
      </c>
      <c r="M146" s="435" t="s">
        <v>414</v>
      </c>
      <c r="N146" s="340" t="s">
        <v>415</v>
      </c>
      <c r="O146" s="564"/>
      <c r="P146" s="471"/>
      <c r="Q146" s="342">
        <v>10878.61</v>
      </c>
      <c r="R146" s="603"/>
      <c r="S146" s="639" t="s">
        <v>417</v>
      </c>
      <c r="T146" s="653">
        <v>45838</v>
      </c>
      <c r="U146" s="675">
        <v>598.82221983413319</v>
      </c>
      <c r="V146" s="795"/>
      <c r="W146" s="678">
        <v>45842</v>
      </c>
      <c r="X146" s="786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3"/>
      <c r="J147" s="783"/>
      <c r="K147" s="271"/>
      <c r="L147" s="339">
        <v>14</v>
      </c>
      <c r="M147" s="435" t="s">
        <v>414</v>
      </c>
      <c r="N147" s="340" t="s">
        <v>415</v>
      </c>
      <c r="O147" s="564"/>
      <c r="P147" s="471"/>
      <c r="Q147" s="342">
        <v>0</v>
      </c>
      <c r="R147" s="603"/>
      <c r="S147" s="639" t="s">
        <v>417</v>
      </c>
      <c r="T147" s="651">
        <v>45869</v>
      </c>
      <c r="U147" s="675">
        <f>(Q147/$X$144*$J$144)</f>
        <v>0</v>
      </c>
      <c r="V147" s="795"/>
      <c r="W147" s="542">
        <v>45876</v>
      </c>
      <c r="X147" s="786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3"/>
      <c r="J148" s="783"/>
      <c r="K148" s="271"/>
      <c r="L148" s="339">
        <v>14</v>
      </c>
      <c r="M148" s="435" t="s">
        <v>414</v>
      </c>
      <c r="N148" s="340" t="s">
        <v>415</v>
      </c>
      <c r="O148" s="564"/>
      <c r="P148" s="471"/>
      <c r="Q148" s="342">
        <f>$G$144/10</f>
        <v>805</v>
      </c>
      <c r="R148" s="603"/>
      <c r="S148" s="639" t="s">
        <v>417</v>
      </c>
      <c r="T148" s="651">
        <v>45900</v>
      </c>
      <c r="U148" s="675">
        <v>490.86342114399349</v>
      </c>
      <c r="V148" s="795"/>
      <c r="W148" s="542">
        <v>45905</v>
      </c>
      <c r="X148" s="786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3"/>
      <c r="J149" s="783"/>
      <c r="K149" s="271"/>
      <c r="L149" s="339">
        <v>14</v>
      </c>
      <c r="M149" s="435" t="s">
        <v>414</v>
      </c>
      <c r="N149" s="340" t="s">
        <v>415</v>
      </c>
      <c r="O149" s="564"/>
      <c r="P149" s="471"/>
      <c r="Q149" s="342">
        <v>0</v>
      </c>
      <c r="R149" s="603"/>
      <c r="S149" s="639" t="s">
        <v>417</v>
      </c>
      <c r="T149" s="697">
        <v>45930</v>
      </c>
      <c r="U149" s="517">
        <v>0</v>
      </c>
      <c r="V149" s="795"/>
      <c r="W149" s="698">
        <v>45930</v>
      </c>
      <c r="X149" s="786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3"/>
      <c r="J150" s="783"/>
      <c r="K150" s="271"/>
      <c r="L150" s="339">
        <v>14</v>
      </c>
      <c r="M150" s="435" t="s">
        <v>414</v>
      </c>
      <c r="N150" s="340" t="s">
        <v>415</v>
      </c>
      <c r="O150" s="564"/>
      <c r="P150" s="471"/>
      <c r="Q150" s="342">
        <v>1247.83</v>
      </c>
      <c r="R150" s="603"/>
      <c r="S150" s="639" t="s">
        <v>417</v>
      </c>
      <c r="T150" s="697">
        <v>45961</v>
      </c>
      <c r="U150" s="517">
        <v>0</v>
      </c>
      <c r="V150" s="795"/>
      <c r="W150" s="698">
        <v>45968</v>
      </c>
      <c r="X150" s="786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3"/>
      <c r="J151" s="783"/>
      <c r="K151" s="271"/>
      <c r="L151" s="339">
        <v>14</v>
      </c>
      <c r="M151" s="435" t="s">
        <v>414</v>
      </c>
      <c r="N151" s="340" t="s">
        <v>415</v>
      </c>
      <c r="O151" s="564"/>
      <c r="P151" s="471"/>
      <c r="Q151" s="696">
        <v>4630.1400000000003</v>
      </c>
      <c r="R151" s="603"/>
      <c r="S151" s="639" t="s">
        <v>417</v>
      </c>
      <c r="T151" s="697">
        <v>45991</v>
      </c>
      <c r="U151" s="517">
        <v>0</v>
      </c>
      <c r="V151" s="795"/>
      <c r="W151" s="698">
        <v>45996</v>
      </c>
      <c r="X151" s="786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3"/>
      <c r="J152" s="783"/>
      <c r="K152" s="271"/>
      <c r="L152" s="339">
        <v>14</v>
      </c>
      <c r="M152" s="435" t="s">
        <v>414</v>
      </c>
      <c r="N152" s="340" t="s">
        <v>415</v>
      </c>
      <c r="O152" s="564"/>
      <c r="P152" s="471"/>
      <c r="Q152" s="342">
        <v>1500</v>
      </c>
      <c r="R152" s="603"/>
      <c r="S152" s="639"/>
      <c r="T152" s="533">
        <f t="shared" ref="T152:T153" si="14">IF(W152&gt;1,EOMONTH(W152,0),"")</f>
        <v>46053</v>
      </c>
      <c r="U152" s="517">
        <v>0</v>
      </c>
      <c r="V152" s="795"/>
      <c r="W152" s="585">
        <v>46031</v>
      </c>
      <c r="X152" s="786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3"/>
      <c r="J153" s="783"/>
      <c r="K153" s="271"/>
      <c r="L153" s="339">
        <v>14</v>
      </c>
      <c r="M153" s="435" t="s">
        <v>414</v>
      </c>
      <c r="N153" s="340" t="s">
        <v>415</v>
      </c>
      <c r="O153" s="564"/>
      <c r="P153" s="471"/>
      <c r="Q153" s="342">
        <v>1500</v>
      </c>
      <c r="R153" s="603"/>
      <c r="S153" s="639"/>
      <c r="T153" s="533" t="str">
        <f t="shared" si="14"/>
        <v/>
      </c>
      <c r="U153" s="517">
        <v>0</v>
      </c>
      <c r="V153" s="795"/>
      <c r="W153" s="585">
        <v>0</v>
      </c>
      <c r="X153" s="786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3"/>
      <c r="J154" s="783"/>
      <c r="K154" s="271"/>
      <c r="L154" s="339">
        <v>14</v>
      </c>
      <c r="M154" s="435" t="s">
        <v>414</v>
      </c>
      <c r="N154" s="340"/>
      <c r="O154" s="564"/>
      <c r="P154" s="471"/>
      <c r="Q154" s="342">
        <v>1500</v>
      </c>
      <c r="R154" s="603"/>
      <c r="S154" s="639"/>
      <c r="T154" s="533">
        <v>46081</v>
      </c>
      <c r="U154" s="517">
        <v>0</v>
      </c>
      <c r="V154" s="795"/>
      <c r="W154" s="585">
        <v>46087</v>
      </c>
      <c r="X154" s="786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4"/>
      <c r="J155" s="784"/>
      <c r="K155" s="274"/>
      <c r="L155" s="272">
        <v>14</v>
      </c>
      <c r="M155" s="436" t="s">
        <v>414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5">(Q155/$X$144*$J$144)</f>
        <v>0</v>
      </c>
      <c r="V155" s="796"/>
      <c r="W155" s="586"/>
      <c r="X155" s="787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418</v>
      </c>
      <c r="D157" s="281" t="s">
        <v>419</v>
      </c>
      <c r="E157" s="282"/>
      <c r="F157" s="437"/>
      <c r="G157" s="283">
        <f>D193</f>
        <v>650000</v>
      </c>
      <c r="H157" s="539">
        <v>45849</v>
      </c>
      <c r="I157" s="763">
        <f>SUM(G157:G168)</f>
        <v>650000</v>
      </c>
      <c r="J157" s="763">
        <f>F193</f>
        <v>650000</v>
      </c>
      <c r="K157" s="284"/>
      <c r="L157" s="280">
        <v>15</v>
      </c>
      <c r="M157" s="350" t="s">
        <v>420</v>
      </c>
      <c r="N157" s="281" t="s">
        <v>421</v>
      </c>
      <c r="O157" s="282"/>
      <c r="P157" s="437"/>
      <c r="Q157" s="283">
        <f>699000/2</f>
        <v>349500</v>
      </c>
      <c r="R157" s="595"/>
      <c r="S157" s="632" t="s">
        <v>422</v>
      </c>
      <c r="T157" s="665">
        <v>45838</v>
      </c>
      <c r="U157" s="673">
        <v>291623.87676508346</v>
      </c>
      <c r="V157" s="753">
        <f>J157-SUM(U157:U168)</f>
        <v>15368.847260346869</v>
      </c>
      <c r="W157" s="539">
        <v>45849</v>
      </c>
      <c r="X157" s="750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4"/>
      <c r="J158" s="764"/>
      <c r="K158" s="287"/>
      <c r="L158" s="310">
        <v>15</v>
      </c>
      <c r="M158" s="389" t="s">
        <v>420</v>
      </c>
      <c r="N158" s="312" t="s">
        <v>423</v>
      </c>
      <c r="O158" s="550"/>
      <c r="P158" s="459"/>
      <c r="Q158" s="314">
        <f>699000/2</f>
        <v>349500</v>
      </c>
      <c r="R158" s="588"/>
      <c r="S158" s="625" t="s">
        <v>422</v>
      </c>
      <c r="T158" s="643">
        <v>45838</v>
      </c>
      <c r="U158" s="667">
        <v>291623.87676508346</v>
      </c>
      <c r="V158" s="754"/>
      <c r="W158" s="572">
        <f>'Project Plan'!K39+7</f>
        <v>46071</v>
      </c>
      <c r="X158" s="751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4"/>
      <c r="J159" s="764"/>
      <c r="K159" s="287"/>
      <c r="L159" s="310">
        <v>15</v>
      </c>
      <c r="M159" s="389" t="s">
        <v>420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4"/>
      <c r="W159" s="572"/>
      <c r="X159" s="751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4"/>
      <c r="J160" s="764"/>
      <c r="K160" s="287"/>
      <c r="L160" s="310">
        <v>15</v>
      </c>
      <c r="M160" s="389" t="s">
        <v>420</v>
      </c>
      <c r="N160" s="312" t="s">
        <v>424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4"/>
      <c r="W160" s="572"/>
      <c r="X160" s="751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4"/>
      <c r="J161" s="764"/>
      <c r="K161" s="287"/>
      <c r="L161" s="310">
        <v>15</v>
      </c>
      <c r="M161" s="389" t="s">
        <v>420</v>
      </c>
      <c r="N161" s="312"/>
      <c r="O161" s="550"/>
      <c r="P161" s="459"/>
      <c r="Q161" s="314"/>
      <c r="R161" s="588"/>
      <c r="S161" s="625"/>
      <c r="T161" s="519" t="str">
        <f t="shared" ref="T161:T167" si="16">IF(W161&gt;1,EOMONTH(W161,0),"")</f>
        <v/>
      </c>
      <c r="U161" s="503">
        <f t="shared" ref="U161:U168" si="17">(Q161/$X$157*$J$157)</f>
        <v>0</v>
      </c>
      <c r="V161" s="754"/>
      <c r="W161" s="572"/>
      <c r="X161" s="751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4"/>
      <c r="J162" s="764"/>
      <c r="K162" s="287"/>
      <c r="L162" s="310">
        <v>15</v>
      </c>
      <c r="M162" s="389" t="s">
        <v>420</v>
      </c>
      <c r="N162" s="312"/>
      <c r="O162" s="709"/>
      <c r="P162" s="459"/>
      <c r="Q162" s="314"/>
      <c r="R162" s="588"/>
      <c r="S162" s="625"/>
      <c r="T162" s="644"/>
      <c r="U162" s="503"/>
      <c r="V162" s="754"/>
      <c r="W162" s="572">
        <v>46081</v>
      </c>
      <c r="X162" s="751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4"/>
      <c r="J163" s="764"/>
      <c r="K163" s="287"/>
      <c r="L163" s="310">
        <v>15</v>
      </c>
      <c r="M163" s="389" t="s">
        <v>420</v>
      </c>
      <c r="N163" s="312"/>
      <c r="O163" s="709"/>
      <c r="P163" s="459"/>
      <c r="Q163" s="314">
        <f>O163*P162</f>
        <v>0</v>
      </c>
      <c r="R163" s="588"/>
      <c r="S163" s="625"/>
      <c r="T163" s="643"/>
      <c r="U163" s="503"/>
      <c r="V163" s="754"/>
      <c r="W163" s="572"/>
      <c r="X163" s="751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4"/>
      <c r="J164" s="764"/>
      <c r="K164" s="287"/>
      <c r="L164" s="310">
        <v>15</v>
      </c>
      <c r="M164" s="389" t="s">
        <v>420</v>
      </c>
      <c r="N164" s="312"/>
      <c r="O164" s="550"/>
      <c r="P164" s="459"/>
      <c r="Q164" s="314"/>
      <c r="R164" s="588"/>
      <c r="S164" s="625"/>
      <c r="T164" s="519" t="str">
        <f t="shared" si="16"/>
        <v/>
      </c>
      <c r="U164" s="503">
        <f t="shared" si="17"/>
        <v>0</v>
      </c>
      <c r="V164" s="754"/>
      <c r="W164" s="572"/>
      <c r="X164" s="751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4"/>
      <c r="J165" s="764"/>
      <c r="K165" s="287"/>
      <c r="L165" s="310">
        <v>15</v>
      </c>
      <c r="M165" s="389" t="s">
        <v>420</v>
      </c>
      <c r="N165" s="312"/>
      <c r="O165" s="550"/>
      <c r="P165" s="459"/>
      <c r="Q165" s="314"/>
      <c r="R165" s="588"/>
      <c r="S165" s="625"/>
      <c r="T165" s="519" t="str">
        <f t="shared" si="16"/>
        <v/>
      </c>
      <c r="U165" s="503">
        <f t="shared" si="17"/>
        <v>0</v>
      </c>
      <c r="V165" s="754"/>
      <c r="W165" s="572"/>
      <c r="X165" s="751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4"/>
      <c r="J166" s="764"/>
      <c r="K166" s="287"/>
      <c r="L166" s="310">
        <v>15</v>
      </c>
      <c r="M166" s="389" t="s">
        <v>420</v>
      </c>
      <c r="N166" s="312"/>
      <c r="O166" s="550"/>
      <c r="P166" s="459"/>
      <c r="Q166" s="314"/>
      <c r="R166" s="588"/>
      <c r="S166" s="625"/>
      <c r="T166" s="519" t="str">
        <f t="shared" si="16"/>
        <v/>
      </c>
      <c r="U166" s="503">
        <f t="shared" si="17"/>
        <v>0</v>
      </c>
      <c r="V166" s="754"/>
      <c r="W166" s="572"/>
      <c r="X166" s="751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4"/>
      <c r="J167" s="764"/>
      <c r="K167" s="287"/>
      <c r="L167" s="310">
        <v>15</v>
      </c>
      <c r="M167" s="389" t="s">
        <v>420</v>
      </c>
      <c r="N167" s="312"/>
      <c r="O167" s="550"/>
      <c r="P167" s="459"/>
      <c r="Q167" s="314"/>
      <c r="R167" s="588"/>
      <c r="S167" s="625"/>
      <c r="T167" s="519" t="str">
        <f t="shared" si="16"/>
        <v/>
      </c>
      <c r="U167" s="503">
        <f t="shared" si="17"/>
        <v>0</v>
      </c>
      <c r="V167" s="754"/>
      <c r="W167" s="572"/>
      <c r="X167" s="751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5"/>
      <c r="J168" s="765"/>
      <c r="K168" s="288"/>
      <c r="L168" s="315">
        <v>15</v>
      </c>
      <c r="M168" s="419" t="s">
        <v>420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7"/>
        <v>0</v>
      </c>
      <c r="V168" s="755"/>
      <c r="W168" s="574"/>
      <c r="X168" s="752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425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426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427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306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339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326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428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429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430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431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432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433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434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435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436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437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438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439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440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441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442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443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430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444</v>
      </c>
      <c r="D195" s="642"/>
      <c r="E195" s="544"/>
      <c r="F195" s="642"/>
      <c r="I195" s="255"/>
      <c r="J195" s="255"/>
    </row>
    <row r="196" spans="3:10" s="111" customFormat="1">
      <c r="C196" s="642" t="s">
        <v>445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bottomRight" activeCell="BD10" sqref="BD10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446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447</v>
      </c>
      <c r="B2" s="191"/>
      <c r="C2" s="192" t="s">
        <v>264</v>
      </c>
      <c r="D2" s="192" t="s">
        <v>264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183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09"/>
      <c r="B4" s="194" t="s">
        <v>448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09"/>
      <c r="B5" s="198" t="s">
        <v>185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09"/>
      <c r="B6" s="198" t="s">
        <v>449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09"/>
      <c r="B7" s="203" t="s">
        <v>450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08" t="s">
        <v>174</v>
      </c>
      <c r="B8" s="191"/>
      <c r="C8" s="192" t="s">
        <v>264</v>
      </c>
      <c r="D8" s="192" t="s">
        <v>264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451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1865060</v>
      </c>
      <c r="BK9" s="210">
        <f>SUMIFS('Revenue Tracking'!$F$13:$F$20, 'Revenue Tracking'!$P$13:$P$20, "&gt;="&amp;BK1,'Revenue Tracking'!$P$13:$P$20, "&lt;"&amp;BL1)</f>
        <v>0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09"/>
      <c r="B10" s="208" t="s">
        <v>452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4429517.5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09"/>
      <c r="B11" s="211" t="s">
        <v>453</v>
      </c>
      <c r="C11" s="212">
        <f>'Revenue Tracking'!F5</f>
        <v>4169426.3474999997</v>
      </c>
      <c r="D11" s="212">
        <f>SUM(F11:LD11)</f>
        <v>4167926.3475000001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20833.349999999999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210710.10499999998</v>
      </c>
      <c r="BJ11" s="213">
        <f>SUMIFS('Expenditure Breakdown'!$Q$6:$Q$176, 'Expenditure Breakdown'!$W$6:$W$176, "&gt;="&amp;BJ1,'Expenditure Breakdown'!$W$6:$W$176, "&lt;"&amp;BK1)</f>
        <v>433440.10499999998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09"/>
      <c r="B12" s="211" t="s">
        <v>454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3406460.0325000002</v>
      </c>
      <c r="BE12" s="213">
        <f t="shared" si="26"/>
        <v>3406460.0325000002</v>
      </c>
      <c r="BF12" s="213">
        <f t="shared" si="26"/>
        <v>3406460.0325000002</v>
      </c>
      <c r="BG12" s="213">
        <f t="shared" si="26"/>
        <v>3406460.0325000002</v>
      </c>
      <c r="BH12" s="213">
        <f t="shared" si="26"/>
        <v>3406460.0325000002</v>
      </c>
      <c r="BI12" s="213">
        <f t="shared" si="26"/>
        <v>3617170.1375000002</v>
      </c>
      <c r="BJ12" s="213">
        <f t="shared" si="26"/>
        <v>4050610.2425000002</v>
      </c>
      <c r="BK12" s="213">
        <f t="shared" si="26"/>
        <v>4124456.2949999999</v>
      </c>
      <c r="BL12" s="213">
        <f t="shared" si="26"/>
        <v>4125956.2949999999</v>
      </c>
      <c r="BM12" s="213">
        <f t="shared" si="26"/>
        <v>4125956.2949999999</v>
      </c>
      <c r="BN12" s="213">
        <f t="shared" si="26"/>
        <v>4125956.2949999999</v>
      </c>
      <c r="BO12" s="213">
        <f t="shared" si="26"/>
        <v>4125956.2949999999</v>
      </c>
      <c r="BP12" s="213">
        <f t="shared" si="26"/>
        <v>4167926.3475000001</v>
      </c>
      <c r="BQ12" s="213">
        <f t="shared" si="26"/>
        <v>4167926.3475000001</v>
      </c>
      <c r="BR12" s="213">
        <f t="shared" si="26"/>
        <v>4167926.3475000001</v>
      </c>
      <c r="BS12" s="213">
        <f t="shared" si="26"/>
        <v>4167926.3475000001</v>
      </c>
      <c r="BT12" s="213">
        <f t="shared" si="26"/>
        <v>4167926.3475000001</v>
      </c>
      <c r="BU12" s="213">
        <f t="shared" ref="BU12:EF12" si="27">BT12+BU11</f>
        <v>4167926.3475000001</v>
      </c>
      <c r="BV12" s="213">
        <f t="shared" si="27"/>
        <v>4167926.3475000001</v>
      </c>
      <c r="BW12" s="213">
        <f t="shared" si="27"/>
        <v>4167926.3475000001</v>
      </c>
      <c r="BX12" s="213">
        <f t="shared" si="27"/>
        <v>4167926.3475000001</v>
      </c>
      <c r="BY12" s="213">
        <f t="shared" si="27"/>
        <v>4167926.3475000001</v>
      </c>
      <c r="BZ12" s="213">
        <f t="shared" si="27"/>
        <v>4167926.3475000001</v>
      </c>
      <c r="CA12" s="213">
        <f t="shared" si="27"/>
        <v>4167926.3475000001</v>
      </c>
      <c r="CB12" s="213">
        <f t="shared" si="27"/>
        <v>4167926.3475000001</v>
      </c>
      <c r="CC12" s="213">
        <f t="shared" si="27"/>
        <v>4167926.3475000001</v>
      </c>
      <c r="CD12" s="213">
        <f t="shared" si="27"/>
        <v>4167926.3475000001</v>
      </c>
      <c r="CE12" s="213">
        <f t="shared" si="27"/>
        <v>4167926.3475000001</v>
      </c>
      <c r="CF12" s="213">
        <f t="shared" si="27"/>
        <v>4167926.3475000001</v>
      </c>
      <c r="CG12" s="213">
        <f t="shared" si="27"/>
        <v>4167926.3475000001</v>
      </c>
      <c r="CH12" s="213">
        <f t="shared" si="27"/>
        <v>4167926.3475000001</v>
      </c>
      <c r="CI12" s="213">
        <f t="shared" si="27"/>
        <v>4167926.3475000001</v>
      </c>
      <c r="CJ12" s="213">
        <f t="shared" si="27"/>
        <v>4167926.3475000001</v>
      </c>
      <c r="CK12" s="213">
        <f t="shared" si="27"/>
        <v>4167926.3475000001</v>
      </c>
      <c r="CL12" s="213">
        <f t="shared" si="27"/>
        <v>4167926.3475000001</v>
      </c>
      <c r="CM12" s="213">
        <f t="shared" si="27"/>
        <v>4167926.3475000001</v>
      </c>
      <c r="CN12" s="213">
        <f t="shared" si="27"/>
        <v>4167926.3475000001</v>
      </c>
      <c r="CO12" s="213">
        <f t="shared" si="27"/>
        <v>4167926.3475000001</v>
      </c>
      <c r="CP12" s="213">
        <f t="shared" si="27"/>
        <v>4167926.3475000001</v>
      </c>
      <c r="CQ12" s="213">
        <f t="shared" si="27"/>
        <v>4167926.3475000001</v>
      </c>
      <c r="CR12" s="213">
        <f t="shared" si="27"/>
        <v>4167926.3475000001</v>
      </c>
      <c r="CS12" s="213">
        <f t="shared" si="27"/>
        <v>4167926.3475000001</v>
      </c>
      <c r="CT12" s="213">
        <f t="shared" si="27"/>
        <v>4167926.3475000001</v>
      </c>
      <c r="CU12" s="213">
        <f t="shared" si="27"/>
        <v>4167926.3475000001</v>
      </c>
      <c r="CV12" s="213">
        <f t="shared" si="27"/>
        <v>4167926.3475000001</v>
      </c>
      <c r="CW12" s="213">
        <f t="shared" si="27"/>
        <v>4167926.3475000001</v>
      </c>
      <c r="CX12" s="213">
        <f t="shared" si="27"/>
        <v>4167926.3475000001</v>
      </c>
      <c r="CY12" s="213">
        <f t="shared" si="27"/>
        <v>4167926.3475000001</v>
      </c>
      <c r="CZ12" s="213">
        <f t="shared" si="27"/>
        <v>4167926.3475000001</v>
      </c>
      <c r="DA12" s="213">
        <f t="shared" si="27"/>
        <v>4167926.3475000001</v>
      </c>
      <c r="DB12" s="213">
        <f t="shared" si="27"/>
        <v>4167926.3475000001</v>
      </c>
      <c r="DC12" s="213">
        <f t="shared" si="27"/>
        <v>4167926.3475000001</v>
      </c>
      <c r="DD12" s="213">
        <f t="shared" si="27"/>
        <v>4167926.3475000001</v>
      </c>
      <c r="DE12" s="213">
        <f t="shared" si="27"/>
        <v>4167926.3475000001</v>
      </c>
      <c r="DF12" s="213">
        <f t="shared" si="27"/>
        <v>4167926.3475000001</v>
      </c>
      <c r="DG12" s="213">
        <f t="shared" si="27"/>
        <v>4167926.3475000001</v>
      </c>
      <c r="DH12" s="213">
        <f t="shared" si="27"/>
        <v>4167926.3475000001</v>
      </c>
      <c r="DI12" s="213">
        <f t="shared" si="27"/>
        <v>4167926.3475000001</v>
      </c>
      <c r="DJ12" s="213">
        <f t="shared" si="27"/>
        <v>4167926.3475000001</v>
      </c>
      <c r="DK12" s="213">
        <f t="shared" si="27"/>
        <v>4167926.3475000001</v>
      </c>
      <c r="DL12" s="213">
        <f t="shared" si="27"/>
        <v>4167926.3475000001</v>
      </c>
      <c r="DM12" s="213">
        <f t="shared" si="27"/>
        <v>4167926.3475000001</v>
      </c>
      <c r="DN12" s="213">
        <f t="shared" si="27"/>
        <v>4167926.3475000001</v>
      </c>
      <c r="DO12" s="213">
        <f t="shared" si="27"/>
        <v>4167926.3475000001</v>
      </c>
      <c r="DP12" s="213">
        <f t="shared" si="27"/>
        <v>4167926.3475000001</v>
      </c>
      <c r="DQ12" s="213">
        <f t="shared" si="27"/>
        <v>4167926.3475000001</v>
      </c>
      <c r="DR12" s="213">
        <f t="shared" si="27"/>
        <v>4167926.3475000001</v>
      </c>
      <c r="DS12" s="213">
        <f t="shared" si="27"/>
        <v>4167926.3475000001</v>
      </c>
      <c r="DT12" s="213">
        <f t="shared" si="27"/>
        <v>4167926.3475000001</v>
      </c>
      <c r="DU12" s="213">
        <f t="shared" si="27"/>
        <v>4167926.3475000001</v>
      </c>
      <c r="DV12" s="213">
        <f t="shared" si="27"/>
        <v>4167926.3475000001</v>
      </c>
      <c r="DW12" s="213">
        <f t="shared" si="27"/>
        <v>4167926.3475000001</v>
      </c>
      <c r="DX12" s="213">
        <f t="shared" si="27"/>
        <v>4167926.3475000001</v>
      </c>
      <c r="DY12" s="213">
        <f t="shared" si="27"/>
        <v>4167926.3475000001</v>
      </c>
      <c r="DZ12" s="213">
        <f t="shared" si="27"/>
        <v>4167926.3475000001</v>
      </c>
      <c r="EA12" s="213">
        <f t="shared" si="27"/>
        <v>4167926.3475000001</v>
      </c>
      <c r="EB12" s="213">
        <f t="shared" si="27"/>
        <v>4167926.3475000001</v>
      </c>
      <c r="EC12" s="213">
        <f t="shared" si="27"/>
        <v>4167926.3475000001</v>
      </c>
      <c r="ED12" s="213">
        <f t="shared" si="27"/>
        <v>4167926.3475000001</v>
      </c>
      <c r="EE12" s="213">
        <f t="shared" si="27"/>
        <v>4167926.3475000001</v>
      </c>
      <c r="EF12" s="213">
        <f t="shared" si="27"/>
        <v>4167926.3475000001</v>
      </c>
      <c r="EG12" s="213">
        <f t="shared" ref="EG12:GR12" si="28">EF12+EG11</f>
        <v>4167926.3475000001</v>
      </c>
      <c r="EH12" s="213">
        <f t="shared" si="28"/>
        <v>4167926.3475000001</v>
      </c>
      <c r="EI12" s="213">
        <f t="shared" si="28"/>
        <v>4167926.3475000001</v>
      </c>
      <c r="EJ12" s="213">
        <f t="shared" si="28"/>
        <v>4167926.3475000001</v>
      </c>
      <c r="EK12" s="213">
        <f t="shared" si="28"/>
        <v>4167926.3475000001</v>
      </c>
      <c r="EL12" s="213">
        <f t="shared" si="28"/>
        <v>4167926.3475000001</v>
      </c>
      <c r="EM12" s="213">
        <f t="shared" si="28"/>
        <v>4167926.3475000001</v>
      </c>
      <c r="EN12" s="213">
        <f t="shared" si="28"/>
        <v>4167926.3475000001</v>
      </c>
      <c r="EO12" s="213">
        <f t="shared" si="28"/>
        <v>4167926.3475000001</v>
      </c>
      <c r="EP12" s="213">
        <f t="shared" si="28"/>
        <v>4167926.3475000001</v>
      </c>
      <c r="EQ12" s="213">
        <f t="shared" si="28"/>
        <v>4167926.3475000001</v>
      </c>
      <c r="ER12" s="213">
        <f t="shared" si="28"/>
        <v>4167926.3475000001</v>
      </c>
      <c r="ES12" s="213">
        <f t="shared" si="28"/>
        <v>4167926.3475000001</v>
      </c>
      <c r="ET12" s="213">
        <f t="shared" si="28"/>
        <v>4167926.3475000001</v>
      </c>
      <c r="EU12" s="213">
        <f t="shared" si="28"/>
        <v>4167926.3475000001</v>
      </c>
      <c r="EV12" s="213">
        <f t="shared" si="28"/>
        <v>4167926.3475000001</v>
      </c>
      <c r="EW12" s="213">
        <f t="shared" si="28"/>
        <v>4167926.3475000001</v>
      </c>
      <c r="EX12" s="213">
        <f t="shared" si="28"/>
        <v>4167926.3475000001</v>
      </c>
      <c r="EY12" s="213">
        <f t="shared" si="28"/>
        <v>4167926.3475000001</v>
      </c>
      <c r="EZ12" s="213">
        <f t="shared" si="28"/>
        <v>4167926.3475000001</v>
      </c>
      <c r="FA12" s="213">
        <f t="shared" si="28"/>
        <v>4167926.3475000001</v>
      </c>
      <c r="FB12" s="213">
        <f t="shared" si="28"/>
        <v>4167926.3475000001</v>
      </c>
      <c r="FC12" s="213">
        <f t="shared" si="28"/>
        <v>4167926.3475000001</v>
      </c>
      <c r="FD12" s="213">
        <f t="shared" si="28"/>
        <v>4167926.3475000001</v>
      </c>
      <c r="FE12" s="213">
        <f t="shared" si="28"/>
        <v>4167926.3475000001</v>
      </c>
      <c r="FF12" s="213">
        <f t="shared" si="28"/>
        <v>4167926.3475000001</v>
      </c>
      <c r="FG12" s="213">
        <f t="shared" si="28"/>
        <v>4167926.3475000001</v>
      </c>
      <c r="FH12" s="213">
        <f t="shared" si="28"/>
        <v>4167926.3475000001</v>
      </c>
      <c r="FI12" s="213">
        <f t="shared" si="28"/>
        <v>4167926.3475000001</v>
      </c>
      <c r="FJ12" s="213">
        <f t="shared" si="28"/>
        <v>4167926.3475000001</v>
      </c>
      <c r="FK12" s="213">
        <f t="shared" si="28"/>
        <v>4167926.3475000001</v>
      </c>
      <c r="FL12" s="213">
        <f t="shared" si="28"/>
        <v>4167926.3475000001</v>
      </c>
      <c r="FM12" s="213">
        <f t="shared" si="28"/>
        <v>4167926.3475000001</v>
      </c>
      <c r="FN12" s="213">
        <f t="shared" si="28"/>
        <v>4167926.3475000001</v>
      </c>
      <c r="FO12" s="213">
        <f t="shared" si="28"/>
        <v>4167926.3475000001</v>
      </c>
      <c r="FP12" s="213">
        <f t="shared" si="28"/>
        <v>4167926.3475000001</v>
      </c>
      <c r="FQ12" s="213">
        <f t="shared" si="28"/>
        <v>4167926.3475000001</v>
      </c>
      <c r="FR12" s="213">
        <f t="shared" si="28"/>
        <v>4167926.3475000001</v>
      </c>
      <c r="FS12" s="213">
        <f t="shared" si="28"/>
        <v>4167926.3475000001</v>
      </c>
      <c r="FT12" s="213">
        <f t="shared" si="28"/>
        <v>4167926.3475000001</v>
      </c>
      <c r="FU12" s="213">
        <f t="shared" si="28"/>
        <v>4167926.3475000001</v>
      </c>
      <c r="FV12" s="213">
        <f t="shared" si="28"/>
        <v>4167926.3475000001</v>
      </c>
      <c r="FW12" s="213">
        <f t="shared" si="28"/>
        <v>4167926.3475000001</v>
      </c>
      <c r="FX12" s="213">
        <f t="shared" si="28"/>
        <v>4167926.3475000001</v>
      </c>
      <c r="FY12" s="213">
        <f t="shared" si="28"/>
        <v>4167926.3475000001</v>
      </c>
      <c r="FZ12" s="213">
        <f t="shared" si="28"/>
        <v>4167926.3475000001</v>
      </c>
      <c r="GA12" s="213">
        <f t="shared" si="28"/>
        <v>4167926.3475000001</v>
      </c>
      <c r="GB12" s="213">
        <f t="shared" si="28"/>
        <v>4167926.3475000001</v>
      </c>
      <c r="GC12" s="213">
        <f t="shared" si="28"/>
        <v>4167926.3475000001</v>
      </c>
      <c r="GD12" s="213">
        <f t="shared" si="28"/>
        <v>4167926.3475000001</v>
      </c>
      <c r="GE12" s="213">
        <f t="shared" si="28"/>
        <v>4167926.3475000001</v>
      </c>
      <c r="GF12" s="213">
        <f t="shared" si="28"/>
        <v>4167926.3475000001</v>
      </c>
      <c r="GG12" s="213">
        <f t="shared" si="28"/>
        <v>4167926.3475000001</v>
      </c>
      <c r="GH12" s="213">
        <f t="shared" si="28"/>
        <v>4167926.3475000001</v>
      </c>
      <c r="GI12" s="213">
        <f t="shared" si="28"/>
        <v>4167926.3475000001</v>
      </c>
      <c r="GJ12" s="213">
        <f t="shared" si="28"/>
        <v>4167926.3475000001</v>
      </c>
      <c r="GK12" s="213">
        <f t="shared" si="28"/>
        <v>4167926.3475000001</v>
      </c>
      <c r="GL12" s="213">
        <f t="shared" si="28"/>
        <v>4167926.3475000001</v>
      </c>
      <c r="GM12" s="213">
        <f t="shared" si="28"/>
        <v>4167926.3475000001</v>
      </c>
      <c r="GN12" s="213">
        <f t="shared" si="28"/>
        <v>4167926.3475000001</v>
      </c>
      <c r="GO12" s="213">
        <f t="shared" si="28"/>
        <v>4167926.3475000001</v>
      </c>
      <c r="GP12" s="213">
        <f t="shared" si="28"/>
        <v>4167926.3475000001</v>
      </c>
      <c r="GQ12" s="213">
        <f t="shared" si="28"/>
        <v>4167926.3475000001</v>
      </c>
      <c r="GR12" s="213">
        <f t="shared" si="28"/>
        <v>4167926.3475000001</v>
      </c>
      <c r="GS12" s="213">
        <f t="shared" ref="GS12:JD12" si="29">GR12+GS11</f>
        <v>4167926.3475000001</v>
      </c>
      <c r="GT12" s="213">
        <f t="shared" si="29"/>
        <v>4167926.3475000001</v>
      </c>
      <c r="GU12" s="213">
        <f t="shared" si="29"/>
        <v>4167926.3475000001</v>
      </c>
      <c r="GV12" s="213">
        <f t="shared" si="29"/>
        <v>4167926.3475000001</v>
      </c>
      <c r="GW12" s="213">
        <f t="shared" si="29"/>
        <v>4167926.3475000001</v>
      </c>
      <c r="GX12" s="213">
        <f t="shared" si="29"/>
        <v>4167926.3475000001</v>
      </c>
      <c r="GY12" s="213">
        <f t="shared" si="29"/>
        <v>4167926.3475000001</v>
      </c>
      <c r="GZ12" s="213">
        <f t="shared" si="29"/>
        <v>4167926.3475000001</v>
      </c>
      <c r="HA12" s="213">
        <f t="shared" si="29"/>
        <v>4167926.3475000001</v>
      </c>
      <c r="HB12" s="213">
        <f t="shared" si="29"/>
        <v>4167926.3475000001</v>
      </c>
      <c r="HC12" s="213">
        <f t="shared" si="29"/>
        <v>4167926.3475000001</v>
      </c>
      <c r="HD12" s="213">
        <f t="shared" si="29"/>
        <v>4167926.3475000001</v>
      </c>
      <c r="HE12" s="213">
        <f t="shared" si="29"/>
        <v>4167926.3475000001</v>
      </c>
      <c r="HF12" s="213">
        <f t="shared" si="29"/>
        <v>4167926.3475000001</v>
      </c>
      <c r="HG12" s="213">
        <f t="shared" si="29"/>
        <v>4167926.3475000001</v>
      </c>
      <c r="HH12" s="213">
        <f t="shared" si="29"/>
        <v>4167926.3475000001</v>
      </c>
      <c r="HI12" s="213">
        <f t="shared" si="29"/>
        <v>4167926.3475000001</v>
      </c>
      <c r="HJ12" s="213">
        <f t="shared" si="29"/>
        <v>4167926.3475000001</v>
      </c>
      <c r="HK12" s="213">
        <f t="shared" si="29"/>
        <v>4167926.3475000001</v>
      </c>
      <c r="HL12" s="213">
        <f t="shared" si="29"/>
        <v>4167926.3475000001</v>
      </c>
      <c r="HM12" s="213">
        <f t="shared" si="29"/>
        <v>4167926.3475000001</v>
      </c>
      <c r="HN12" s="213">
        <f t="shared" si="29"/>
        <v>4167926.3475000001</v>
      </c>
      <c r="HO12" s="213">
        <f t="shared" si="29"/>
        <v>4167926.3475000001</v>
      </c>
      <c r="HP12" s="213">
        <f t="shared" si="29"/>
        <v>4167926.3475000001</v>
      </c>
      <c r="HQ12" s="213">
        <f t="shared" si="29"/>
        <v>4167926.3475000001</v>
      </c>
      <c r="HR12" s="213">
        <f t="shared" si="29"/>
        <v>4167926.3475000001</v>
      </c>
      <c r="HS12" s="213">
        <f t="shared" si="29"/>
        <v>4167926.3475000001</v>
      </c>
      <c r="HT12" s="213">
        <f t="shared" si="29"/>
        <v>4167926.3475000001</v>
      </c>
      <c r="HU12" s="213">
        <f t="shared" si="29"/>
        <v>4167926.3475000001</v>
      </c>
      <c r="HV12" s="213">
        <f t="shared" si="29"/>
        <v>4167926.3475000001</v>
      </c>
      <c r="HW12" s="213">
        <f t="shared" si="29"/>
        <v>4167926.3475000001</v>
      </c>
      <c r="HX12" s="213">
        <f t="shared" si="29"/>
        <v>4167926.3475000001</v>
      </c>
      <c r="HY12" s="213">
        <f t="shared" si="29"/>
        <v>4167926.3475000001</v>
      </c>
      <c r="HZ12" s="213">
        <f t="shared" si="29"/>
        <v>4167926.3475000001</v>
      </c>
      <c r="IA12" s="213">
        <f t="shared" si="29"/>
        <v>4167926.3475000001</v>
      </c>
      <c r="IB12" s="213">
        <f t="shared" si="29"/>
        <v>4167926.3475000001</v>
      </c>
      <c r="IC12" s="213">
        <f t="shared" si="29"/>
        <v>4167926.3475000001</v>
      </c>
      <c r="ID12" s="213">
        <f t="shared" si="29"/>
        <v>4167926.3475000001</v>
      </c>
      <c r="IE12" s="213">
        <f t="shared" si="29"/>
        <v>4167926.3475000001</v>
      </c>
      <c r="IF12" s="213">
        <f t="shared" si="29"/>
        <v>4167926.3475000001</v>
      </c>
      <c r="IG12" s="213">
        <f t="shared" si="29"/>
        <v>4167926.3475000001</v>
      </c>
      <c r="IH12" s="213">
        <f t="shared" si="29"/>
        <v>4167926.3475000001</v>
      </c>
      <c r="II12" s="213">
        <f t="shared" si="29"/>
        <v>4167926.3475000001</v>
      </c>
      <c r="IJ12" s="213">
        <f t="shared" si="29"/>
        <v>4167926.3475000001</v>
      </c>
      <c r="IK12" s="213">
        <f t="shared" si="29"/>
        <v>4167926.3475000001</v>
      </c>
      <c r="IL12" s="213">
        <f t="shared" si="29"/>
        <v>4167926.3475000001</v>
      </c>
      <c r="IM12" s="213">
        <f t="shared" si="29"/>
        <v>4167926.3475000001</v>
      </c>
      <c r="IN12" s="213">
        <f t="shared" si="29"/>
        <v>4167926.3475000001</v>
      </c>
      <c r="IO12" s="213">
        <f t="shared" si="29"/>
        <v>4167926.3475000001</v>
      </c>
      <c r="IP12" s="213">
        <f t="shared" si="29"/>
        <v>4167926.3475000001</v>
      </c>
      <c r="IQ12" s="213">
        <f t="shared" si="29"/>
        <v>4167926.3475000001</v>
      </c>
      <c r="IR12" s="213">
        <f t="shared" si="29"/>
        <v>4167926.3475000001</v>
      </c>
      <c r="IS12" s="213">
        <f t="shared" si="29"/>
        <v>4167926.3475000001</v>
      </c>
      <c r="IT12" s="213">
        <f t="shared" si="29"/>
        <v>4167926.3475000001</v>
      </c>
      <c r="IU12" s="213">
        <f t="shared" si="29"/>
        <v>4167926.3475000001</v>
      </c>
      <c r="IV12" s="213">
        <f t="shared" si="29"/>
        <v>4167926.3475000001</v>
      </c>
      <c r="IW12" s="213">
        <f t="shared" si="29"/>
        <v>4167926.3475000001</v>
      </c>
      <c r="IX12" s="213">
        <f t="shared" si="29"/>
        <v>4167926.3475000001</v>
      </c>
      <c r="IY12" s="213">
        <f t="shared" si="29"/>
        <v>4167926.3475000001</v>
      </c>
      <c r="IZ12" s="213">
        <f t="shared" si="29"/>
        <v>4167926.3475000001</v>
      </c>
      <c r="JA12" s="213">
        <f t="shared" si="29"/>
        <v>4167926.3475000001</v>
      </c>
      <c r="JB12" s="213">
        <f t="shared" si="29"/>
        <v>4167926.3475000001</v>
      </c>
      <c r="JC12" s="213">
        <f t="shared" si="29"/>
        <v>4167926.3475000001</v>
      </c>
      <c r="JD12" s="213">
        <f t="shared" si="29"/>
        <v>4167926.3475000001</v>
      </c>
      <c r="JE12" s="213">
        <f t="shared" ref="JE12:LD12" si="30">JD12+JE11</f>
        <v>4167926.3475000001</v>
      </c>
      <c r="JF12" s="213">
        <f t="shared" si="30"/>
        <v>4167926.3475000001</v>
      </c>
      <c r="JG12" s="213">
        <f t="shared" si="30"/>
        <v>4167926.3475000001</v>
      </c>
      <c r="JH12" s="213">
        <f t="shared" si="30"/>
        <v>4167926.3475000001</v>
      </c>
      <c r="JI12" s="213">
        <f t="shared" si="30"/>
        <v>4167926.3475000001</v>
      </c>
      <c r="JJ12" s="213">
        <f t="shared" si="30"/>
        <v>4167926.3475000001</v>
      </c>
      <c r="JK12" s="213">
        <f t="shared" si="30"/>
        <v>4167926.3475000001</v>
      </c>
      <c r="JL12" s="213">
        <f t="shared" si="30"/>
        <v>4167926.3475000001</v>
      </c>
      <c r="JM12" s="213">
        <f t="shared" si="30"/>
        <v>4167926.3475000001</v>
      </c>
      <c r="JN12" s="213">
        <f t="shared" si="30"/>
        <v>4167926.3475000001</v>
      </c>
      <c r="JO12" s="213">
        <f t="shared" si="30"/>
        <v>4167926.3475000001</v>
      </c>
      <c r="JP12" s="213">
        <f t="shared" si="30"/>
        <v>4167926.3475000001</v>
      </c>
      <c r="JQ12" s="213">
        <f t="shared" si="30"/>
        <v>4167926.3475000001</v>
      </c>
      <c r="JR12" s="213">
        <f t="shared" si="30"/>
        <v>4167926.3475000001</v>
      </c>
      <c r="JS12" s="213">
        <f t="shared" si="30"/>
        <v>4167926.3475000001</v>
      </c>
      <c r="JT12" s="213">
        <f t="shared" si="30"/>
        <v>4167926.3475000001</v>
      </c>
      <c r="JU12" s="213">
        <f t="shared" si="30"/>
        <v>4167926.3475000001</v>
      </c>
      <c r="JV12" s="213">
        <f t="shared" si="30"/>
        <v>4167926.3475000001</v>
      </c>
      <c r="JW12" s="213">
        <f t="shared" si="30"/>
        <v>4167926.3475000001</v>
      </c>
      <c r="JX12" s="213">
        <f t="shared" si="30"/>
        <v>4167926.3475000001</v>
      </c>
      <c r="JY12" s="213">
        <f t="shared" si="30"/>
        <v>4167926.3475000001</v>
      </c>
      <c r="JZ12" s="213">
        <f t="shared" si="30"/>
        <v>4167926.3475000001</v>
      </c>
      <c r="KA12" s="213">
        <f t="shared" si="30"/>
        <v>4167926.3475000001</v>
      </c>
      <c r="KB12" s="213">
        <f t="shared" si="30"/>
        <v>4167926.3475000001</v>
      </c>
      <c r="KC12" s="213">
        <f t="shared" si="30"/>
        <v>4167926.3475000001</v>
      </c>
      <c r="KD12" s="213">
        <f t="shared" si="30"/>
        <v>4167926.3475000001</v>
      </c>
      <c r="KE12" s="213">
        <f t="shared" si="30"/>
        <v>4167926.3475000001</v>
      </c>
      <c r="KF12" s="213">
        <f t="shared" si="30"/>
        <v>4167926.3475000001</v>
      </c>
      <c r="KG12" s="213">
        <f t="shared" si="30"/>
        <v>4167926.3475000001</v>
      </c>
      <c r="KH12" s="213">
        <f t="shared" si="30"/>
        <v>4167926.3475000001</v>
      </c>
      <c r="KI12" s="213">
        <f t="shared" si="30"/>
        <v>4167926.3475000001</v>
      </c>
      <c r="KJ12" s="213">
        <f t="shared" si="30"/>
        <v>4167926.3475000001</v>
      </c>
      <c r="KK12" s="213">
        <f t="shared" si="30"/>
        <v>4167926.3475000001</v>
      </c>
      <c r="KL12" s="213">
        <f t="shared" si="30"/>
        <v>4167926.3475000001</v>
      </c>
      <c r="KM12" s="213">
        <f t="shared" si="30"/>
        <v>4167926.3475000001</v>
      </c>
      <c r="KN12" s="213">
        <f t="shared" si="30"/>
        <v>4167926.3475000001</v>
      </c>
      <c r="KO12" s="213">
        <f t="shared" si="30"/>
        <v>4167926.3475000001</v>
      </c>
      <c r="KP12" s="213">
        <f t="shared" si="30"/>
        <v>4167926.3475000001</v>
      </c>
      <c r="KQ12" s="213">
        <f t="shared" si="30"/>
        <v>4167926.3475000001</v>
      </c>
      <c r="KR12" s="213">
        <f t="shared" si="30"/>
        <v>4167926.3475000001</v>
      </c>
      <c r="KS12" s="213">
        <f t="shared" si="30"/>
        <v>4167926.3475000001</v>
      </c>
      <c r="KT12" s="213">
        <f t="shared" si="30"/>
        <v>4167926.3475000001</v>
      </c>
      <c r="KU12" s="213">
        <f t="shared" si="30"/>
        <v>4167926.3475000001</v>
      </c>
      <c r="KV12" s="213">
        <f t="shared" si="30"/>
        <v>4167926.3475000001</v>
      </c>
      <c r="KW12" s="213">
        <f t="shared" si="30"/>
        <v>4167926.3475000001</v>
      </c>
      <c r="KX12" s="213">
        <f t="shared" si="30"/>
        <v>4167926.3475000001</v>
      </c>
      <c r="KY12" s="213">
        <f t="shared" si="30"/>
        <v>4167926.3475000001</v>
      </c>
      <c r="KZ12" s="213">
        <f t="shared" si="30"/>
        <v>4167926.3475000001</v>
      </c>
      <c r="LA12" s="213">
        <f t="shared" si="30"/>
        <v>4167926.3475000001</v>
      </c>
      <c r="LB12" s="213">
        <f t="shared" si="30"/>
        <v>4167926.3475000001</v>
      </c>
      <c r="LC12" s="213">
        <f t="shared" si="30"/>
        <v>4167926.3475000001</v>
      </c>
      <c r="LD12" s="213">
        <f t="shared" si="30"/>
        <v>4167926.3475000001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455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-842002.5325000002</v>
      </c>
      <c r="BE14" s="206">
        <f t="shared" si="32"/>
        <v>-842002.5325000002</v>
      </c>
      <c r="BF14" s="206">
        <f t="shared" si="32"/>
        <v>-842002.5325000002</v>
      </c>
      <c r="BG14" s="206">
        <f t="shared" si="32"/>
        <v>-842002.5325000002</v>
      </c>
      <c r="BH14" s="206">
        <f t="shared" si="32"/>
        <v>-842002.5325000002</v>
      </c>
      <c r="BI14" s="206">
        <f t="shared" si="32"/>
        <v>-1052712.6375000002</v>
      </c>
      <c r="BJ14" s="206">
        <f t="shared" si="32"/>
        <v>378907.25749999983</v>
      </c>
      <c r="BK14" s="206">
        <f t="shared" si="32"/>
        <v>305061.20500000007</v>
      </c>
      <c r="BL14" s="206">
        <f t="shared" si="32"/>
        <v>536693.70500000007</v>
      </c>
      <c r="BM14" s="206">
        <f t="shared" si="32"/>
        <v>536693.70500000007</v>
      </c>
      <c r="BN14" s="206">
        <f t="shared" si="32"/>
        <v>536693.70500000007</v>
      </c>
      <c r="BO14" s="206">
        <f t="shared" si="32"/>
        <v>536693.70500000007</v>
      </c>
      <c r="BP14" s="206">
        <f t="shared" si="32"/>
        <v>494723.65249999985</v>
      </c>
      <c r="BQ14" s="206">
        <f t="shared" si="32"/>
        <v>494723.65249999985</v>
      </c>
      <c r="BR14" s="206">
        <f t="shared" si="32"/>
        <v>494723.65249999985</v>
      </c>
      <c r="BS14" s="206">
        <f t="shared" si="32"/>
        <v>494723.65249999985</v>
      </c>
      <c r="BT14" s="206">
        <f t="shared" si="32"/>
        <v>494723.65249999985</v>
      </c>
      <c r="BU14" s="206">
        <f t="shared" ref="BU14:EF14" si="33">BU10-BU12</f>
        <v>494723.65249999985</v>
      </c>
      <c r="BV14" s="206">
        <f t="shared" si="33"/>
        <v>494723.65249999985</v>
      </c>
      <c r="BW14" s="206">
        <f t="shared" si="33"/>
        <v>494723.65249999985</v>
      </c>
      <c r="BX14" s="206">
        <f t="shared" si="33"/>
        <v>494723.65249999985</v>
      </c>
      <c r="BY14" s="206">
        <f t="shared" si="33"/>
        <v>494723.65249999985</v>
      </c>
      <c r="BZ14" s="206">
        <f t="shared" si="33"/>
        <v>494723.65249999985</v>
      </c>
      <c r="CA14" s="206">
        <f t="shared" si="33"/>
        <v>494723.65249999985</v>
      </c>
      <c r="CB14" s="206">
        <f t="shared" si="33"/>
        <v>494723.65249999985</v>
      </c>
      <c r="CC14" s="206">
        <f t="shared" si="33"/>
        <v>494723.65249999985</v>
      </c>
      <c r="CD14" s="206">
        <f t="shared" si="33"/>
        <v>494723.65249999985</v>
      </c>
      <c r="CE14" s="206">
        <f t="shared" si="33"/>
        <v>494723.65249999985</v>
      </c>
      <c r="CF14" s="206">
        <f t="shared" si="33"/>
        <v>494723.65249999985</v>
      </c>
      <c r="CG14" s="206">
        <f t="shared" si="33"/>
        <v>494723.65249999985</v>
      </c>
      <c r="CH14" s="206">
        <f t="shared" si="33"/>
        <v>494723.65249999985</v>
      </c>
      <c r="CI14" s="206">
        <f t="shared" si="33"/>
        <v>494723.65249999985</v>
      </c>
      <c r="CJ14" s="206">
        <f t="shared" si="33"/>
        <v>494723.65249999985</v>
      </c>
      <c r="CK14" s="206">
        <f t="shared" si="33"/>
        <v>494723.65249999985</v>
      </c>
      <c r="CL14" s="206">
        <f t="shared" si="33"/>
        <v>494723.65249999985</v>
      </c>
      <c r="CM14" s="206">
        <f t="shared" si="33"/>
        <v>494723.65249999985</v>
      </c>
      <c r="CN14" s="206">
        <f t="shared" si="33"/>
        <v>494723.65249999985</v>
      </c>
      <c r="CO14" s="206">
        <f t="shared" si="33"/>
        <v>494723.65249999985</v>
      </c>
      <c r="CP14" s="206">
        <f t="shared" si="33"/>
        <v>494723.65249999985</v>
      </c>
      <c r="CQ14" s="206">
        <f t="shared" si="33"/>
        <v>494723.65249999985</v>
      </c>
      <c r="CR14" s="206">
        <f t="shared" si="33"/>
        <v>494723.65249999985</v>
      </c>
      <c r="CS14" s="206">
        <f t="shared" si="33"/>
        <v>494723.65249999985</v>
      </c>
      <c r="CT14" s="206">
        <f t="shared" si="33"/>
        <v>494723.65249999985</v>
      </c>
      <c r="CU14" s="206">
        <f t="shared" si="33"/>
        <v>494723.65249999985</v>
      </c>
      <c r="CV14" s="206">
        <f t="shared" si="33"/>
        <v>494723.65249999985</v>
      </c>
      <c r="CW14" s="206">
        <f t="shared" si="33"/>
        <v>494723.65249999985</v>
      </c>
      <c r="CX14" s="206">
        <f t="shared" si="33"/>
        <v>494723.65249999985</v>
      </c>
      <c r="CY14" s="206">
        <f t="shared" si="33"/>
        <v>494723.65249999985</v>
      </c>
      <c r="CZ14" s="206">
        <f t="shared" si="33"/>
        <v>494723.65249999985</v>
      </c>
      <c r="DA14" s="206">
        <f t="shared" si="33"/>
        <v>494723.65249999985</v>
      </c>
      <c r="DB14" s="206">
        <f t="shared" si="33"/>
        <v>494723.65249999985</v>
      </c>
      <c r="DC14" s="206">
        <f t="shared" si="33"/>
        <v>494723.65249999985</v>
      </c>
      <c r="DD14" s="206">
        <f t="shared" si="33"/>
        <v>494723.65249999985</v>
      </c>
      <c r="DE14" s="206">
        <f t="shared" si="33"/>
        <v>494723.65249999985</v>
      </c>
      <c r="DF14" s="206">
        <f t="shared" si="33"/>
        <v>494723.65249999985</v>
      </c>
      <c r="DG14" s="206">
        <f t="shared" si="33"/>
        <v>494723.65249999985</v>
      </c>
      <c r="DH14" s="206">
        <f t="shared" si="33"/>
        <v>494723.65249999985</v>
      </c>
      <c r="DI14" s="206">
        <f t="shared" si="33"/>
        <v>494723.65249999985</v>
      </c>
      <c r="DJ14" s="206">
        <f t="shared" si="33"/>
        <v>494723.65249999985</v>
      </c>
      <c r="DK14" s="206">
        <f t="shared" si="33"/>
        <v>494723.65249999985</v>
      </c>
      <c r="DL14" s="206">
        <f t="shared" si="33"/>
        <v>494723.65249999985</v>
      </c>
      <c r="DM14" s="206">
        <f t="shared" si="33"/>
        <v>494723.65249999985</v>
      </c>
      <c r="DN14" s="206">
        <f t="shared" si="33"/>
        <v>494723.65249999985</v>
      </c>
      <c r="DO14" s="206">
        <f t="shared" si="33"/>
        <v>494723.65249999985</v>
      </c>
      <c r="DP14" s="206">
        <f t="shared" si="33"/>
        <v>494723.65249999985</v>
      </c>
      <c r="DQ14" s="206">
        <f t="shared" si="33"/>
        <v>494723.65249999985</v>
      </c>
      <c r="DR14" s="206">
        <f t="shared" si="33"/>
        <v>494723.65249999985</v>
      </c>
      <c r="DS14" s="206">
        <f t="shared" si="33"/>
        <v>494723.65249999985</v>
      </c>
      <c r="DT14" s="206">
        <f t="shared" si="33"/>
        <v>494723.65249999985</v>
      </c>
      <c r="DU14" s="206">
        <f t="shared" si="33"/>
        <v>494723.65249999985</v>
      </c>
      <c r="DV14" s="206">
        <f t="shared" si="33"/>
        <v>494723.65249999985</v>
      </c>
      <c r="DW14" s="206">
        <f t="shared" si="33"/>
        <v>494723.65249999985</v>
      </c>
      <c r="DX14" s="206">
        <f t="shared" si="33"/>
        <v>494723.65249999985</v>
      </c>
      <c r="DY14" s="206">
        <f t="shared" si="33"/>
        <v>494723.65249999985</v>
      </c>
      <c r="DZ14" s="206">
        <f t="shared" si="33"/>
        <v>494723.65249999985</v>
      </c>
      <c r="EA14" s="206">
        <f t="shared" si="33"/>
        <v>494723.65249999985</v>
      </c>
      <c r="EB14" s="206">
        <f t="shared" si="33"/>
        <v>494723.65249999985</v>
      </c>
      <c r="EC14" s="206">
        <f t="shared" si="33"/>
        <v>494723.65249999985</v>
      </c>
      <c r="ED14" s="206">
        <f t="shared" si="33"/>
        <v>494723.65249999985</v>
      </c>
      <c r="EE14" s="206">
        <f t="shared" si="33"/>
        <v>494723.65249999985</v>
      </c>
      <c r="EF14" s="206">
        <f t="shared" si="33"/>
        <v>494723.65249999985</v>
      </c>
      <c r="EG14" s="206">
        <f t="shared" ref="EG14:GR14" si="34">EG10-EG12</f>
        <v>494723.65249999985</v>
      </c>
      <c r="EH14" s="206">
        <f t="shared" si="34"/>
        <v>494723.65249999985</v>
      </c>
      <c r="EI14" s="206">
        <f t="shared" si="34"/>
        <v>494723.65249999985</v>
      </c>
      <c r="EJ14" s="206">
        <f t="shared" si="34"/>
        <v>494723.65249999985</v>
      </c>
      <c r="EK14" s="206">
        <f t="shared" si="34"/>
        <v>494723.65249999985</v>
      </c>
      <c r="EL14" s="206">
        <f t="shared" si="34"/>
        <v>494723.65249999985</v>
      </c>
      <c r="EM14" s="206">
        <f t="shared" si="34"/>
        <v>494723.65249999985</v>
      </c>
      <c r="EN14" s="206">
        <f t="shared" si="34"/>
        <v>494723.65249999985</v>
      </c>
      <c r="EO14" s="206">
        <f t="shared" si="34"/>
        <v>494723.65249999985</v>
      </c>
      <c r="EP14" s="206">
        <f t="shared" si="34"/>
        <v>494723.65249999985</v>
      </c>
      <c r="EQ14" s="206">
        <f t="shared" si="34"/>
        <v>494723.65249999985</v>
      </c>
      <c r="ER14" s="206">
        <f t="shared" si="34"/>
        <v>494723.65249999985</v>
      </c>
      <c r="ES14" s="206">
        <f t="shared" si="34"/>
        <v>494723.65249999985</v>
      </c>
      <c r="ET14" s="206">
        <f t="shared" si="34"/>
        <v>494723.65249999985</v>
      </c>
      <c r="EU14" s="206">
        <f t="shared" si="34"/>
        <v>494723.65249999985</v>
      </c>
      <c r="EV14" s="206">
        <f t="shared" si="34"/>
        <v>494723.65249999985</v>
      </c>
      <c r="EW14" s="206">
        <f t="shared" si="34"/>
        <v>494723.65249999985</v>
      </c>
      <c r="EX14" s="206">
        <f t="shared" si="34"/>
        <v>494723.65249999985</v>
      </c>
      <c r="EY14" s="206">
        <f t="shared" si="34"/>
        <v>494723.65249999985</v>
      </c>
      <c r="EZ14" s="206">
        <f t="shared" si="34"/>
        <v>494723.65249999985</v>
      </c>
      <c r="FA14" s="206">
        <f t="shared" si="34"/>
        <v>494723.65249999985</v>
      </c>
      <c r="FB14" s="206">
        <f t="shared" si="34"/>
        <v>494723.65249999985</v>
      </c>
      <c r="FC14" s="206">
        <f t="shared" si="34"/>
        <v>494723.65249999985</v>
      </c>
      <c r="FD14" s="206">
        <f t="shared" si="34"/>
        <v>494723.65249999985</v>
      </c>
      <c r="FE14" s="206">
        <f t="shared" si="34"/>
        <v>494723.65249999985</v>
      </c>
      <c r="FF14" s="206">
        <f t="shared" si="34"/>
        <v>494723.65249999985</v>
      </c>
      <c r="FG14" s="206">
        <f t="shared" si="34"/>
        <v>494723.65249999985</v>
      </c>
      <c r="FH14" s="206">
        <f t="shared" si="34"/>
        <v>494723.65249999985</v>
      </c>
      <c r="FI14" s="206">
        <f t="shared" si="34"/>
        <v>494723.65249999985</v>
      </c>
      <c r="FJ14" s="206">
        <f t="shared" si="34"/>
        <v>494723.65249999985</v>
      </c>
      <c r="FK14" s="206">
        <f t="shared" si="34"/>
        <v>494723.65249999985</v>
      </c>
      <c r="FL14" s="206">
        <f t="shared" si="34"/>
        <v>494723.65249999985</v>
      </c>
      <c r="FM14" s="206">
        <f t="shared" si="34"/>
        <v>494723.65249999985</v>
      </c>
      <c r="FN14" s="206">
        <f t="shared" si="34"/>
        <v>494723.65249999985</v>
      </c>
      <c r="FO14" s="206">
        <f t="shared" si="34"/>
        <v>494723.65249999985</v>
      </c>
      <c r="FP14" s="206">
        <f t="shared" si="34"/>
        <v>494723.65249999985</v>
      </c>
      <c r="FQ14" s="206">
        <f t="shared" si="34"/>
        <v>494723.65249999985</v>
      </c>
      <c r="FR14" s="206">
        <f t="shared" si="34"/>
        <v>494723.65249999985</v>
      </c>
      <c r="FS14" s="206">
        <f t="shared" si="34"/>
        <v>494723.65249999985</v>
      </c>
      <c r="FT14" s="206">
        <f t="shared" si="34"/>
        <v>494723.65249999985</v>
      </c>
      <c r="FU14" s="206">
        <f t="shared" si="34"/>
        <v>494723.65249999985</v>
      </c>
      <c r="FV14" s="206">
        <f t="shared" si="34"/>
        <v>494723.65249999985</v>
      </c>
      <c r="FW14" s="206">
        <f t="shared" si="34"/>
        <v>494723.65249999985</v>
      </c>
      <c r="FX14" s="206">
        <f t="shared" si="34"/>
        <v>494723.65249999985</v>
      </c>
      <c r="FY14" s="206">
        <f t="shared" si="34"/>
        <v>494723.65249999985</v>
      </c>
      <c r="FZ14" s="206">
        <f t="shared" si="34"/>
        <v>494723.65249999985</v>
      </c>
      <c r="GA14" s="206">
        <f t="shared" si="34"/>
        <v>494723.65249999985</v>
      </c>
      <c r="GB14" s="206">
        <f t="shared" si="34"/>
        <v>494723.65249999985</v>
      </c>
      <c r="GC14" s="206">
        <f t="shared" si="34"/>
        <v>494723.65249999985</v>
      </c>
      <c r="GD14" s="206">
        <f t="shared" si="34"/>
        <v>494723.65249999985</v>
      </c>
      <c r="GE14" s="206">
        <f t="shared" si="34"/>
        <v>494723.65249999985</v>
      </c>
      <c r="GF14" s="206">
        <f t="shared" si="34"/>
        <v>494723.65249999985</v>
      </c>
      <c r="GG14" s="206">
        <f t="shared" si="34"/>
        <v>494723.65249999985</v>
      </c>
      <c r="GH14" s="206">
        <f t="shared" si="34"/>
        <v>494723.65249999985</v>
      </c>
      <c r="GI14" s="206">
        <f t="shared" si="34"/>
        <v>494723.65249999985</v>
      </c>
      <c r="GJ14" s="206">
        <f t="shared" si="34"/>
        <v>494723.65249999985</v>
      </c>
      <c r="GK14" s="206">
        <f t="shared" si="34"/>
        <v>494723.65249999985</v>
      </c>
      <c r="GL14" s="206">
        <f t="shared" si="34"/>
        <v>494723.65249999985</v>
      </c>
      <c r="GM14" s="206">
        <f t="shared" si="34"/>
        <v>494723.65249999985</v>
      </c>
      <c r="GN14" s="206">
        <f t="shared" si="34"/>
        <v>494723.65249999985</v>
      </c>
      <c r="GO14" s="206">
        <f t="shared" si="34"/>
        <v>494723.65249999985</v>
      </c>
      <c r="GP14" s="206">
        <f t="shared" si="34"/>
        <v>494723.65249999985</v>
      </c>
      <c r="GQ14" s="206">
        <f t="shared" si="34"/>
        <v>494723.65249999985</v>
      </c>
      <c r="GR14" s="206">
        <f t="shared" si="34"/>
        <v>494723.65249999985</v>
      </c>
      <c r="GS14" s="206">
        <f t="shared" ref="GS14:JD14" si="35">GS10-GS12</f>
        <v>494723.65249999985</v>
      </c>
      <c r="GT14" s="206">
        <f t="shared" si="35"/>
        <v>494723.65249999985</v>
      </c>
      <c r="GU14" s="206">
        <f t="shared" si="35"/>
        <v>494723.65249999985</v>
      </c>
      <c r="GV14" s="206">
        <f t="shared" si="35"/>
        <v>494723.65249999985</v>
      </c>
      <c r="GW14" s="206">
        <f t="shared" si="35"/>
        <v>494723.65249999985</v>
      </c>
      <c r="GX14" s="206">
        <f t="shared" si="35"/>
        <v>494723.65249999985</v>
      </c>
      <c r="GY14" s="206">
        <f t="shared" si="35"/>
        <v>494723.65249999985</v>
      </c>
      <c r="GZ14" s="206">
        <f t="shared" si="35"/>
        <v>494723.65249999985</v>
      </c>
      <c r="HA14" s="206">
        <f t="shared" si="35"/>
        <v>494723.65249999985</v>
      </c>
      <c r="HB14" s="206">
        <f t="shared" si="35"/>
        <v>494723.65249999985</v>
      </c>
      <c r="HC14" s="206">
        <f t="shared" si="35"/>
        <v>494723.65249999985</v>
      </c>
      <c r="HD14" s="206">
        <f t="shared" si="35"/>
        <v>494723.65249999985</v>
      </c>
      <c r="HE14" s="206">
        <f t="shared" si="35"/>
        <v>494723.65249999985</v>
      </c>
      <c r="HF14" s="206">
        <f t="shared" si="35"/>
        <v>494723.65249999985</v>
      </c>
      <c r="HG14" s="206">
        <f t="shared" si="35"/>
        <v>494723.65249999985</v>
      </c>
      <c r="HH14" s="206">
        <f t="shared" si="35"/>
        <v>494723.65249999985</v>
      </c>
      <c r="HI14" s="206">
        <f t="shared" si="35"/>
        <v>494723.65249999985</v>
      </c>
      <c r="HJ14" s="206">
        <f t="shared" si="35"/>
        <v>494723.65249999985</v>
      </c>
      <c r="HK14" s="206">
        <f t="shared" si="35"/>
        <v>494723.65249999985</v>
      </c>
      <c r="HL14" s="206">
        <f t="shared" si="35"/>
        <v>494723.65249999985</v>
      </c>
      <c r="HM14" s="206">
        <f t="shared" si="35"/>
        <v>494723.65249999985</v>
      </c>
      <c r="HN14" s="206">
        <f t="shared" si="35"/>
        <v>494723.65249999985</v>
      </c>
      <c r="HO14" s="206">
        <f t="shared" si="35"/>
        <v>494723.65249999985</v>
      </c>
      <c r="HP14" s="206">
        <f t="shared" si="35"/>
        <v>494723.65249999985</v>
      </c>
      <c r="HQ14" s="206">
        <f t="shared" si="35"/>
        <v>494723.65249999985</v>
      </c>
      <c r="HR14" s="206">
        <f t="shared" si="35"/>
        <v>494723.65249999985</v>
      </c>
      <c r="HS14" s="206">
        <f t="shared" si="35"/>
        <v>494723.65249999985</v>
      </c>
      <c r="HT14" s="206">
        <f t="shared" si="35"/>
        <v>494723.65249999985</v>
      </c>
      <c r="HU14" s="206">
        <f t="shared" si="35"/>
        <v>494723.65249999985</v>
      </c>
      <c r="HV14" s="206">
        <f t="shared" si="35"/>
        <v>494723.65249999985</v>
      </c>
      <c r="HW14" s="206">
        <f t="shared" si="35"/>
        <v>494723.65249999985</v>
      </c>
      <c r="HX14" s="206">
        <f t="shared" si="35"/>
        <v>494723.65249999985</v>
      </c>
      <c r="HY14" s="206">
        <f t="shared" si="35"/>
        <v>494723.65249999985</v>
      </c>
      <c r="HZ14" s="206">
        <f t="shared" si="35"/>
        <v>494723.65249999985</v>
      </c>
      <c r="IA14" s="206">
        <f t="shared" si="35"/>
        <v>494723.65249999985</v>
      </c>
      <c r="IB14" s="206">
        <f t="shared" si="35"/>
        <v>494723.65249999985</v>
      </c>
      <c r="IC14" s="206">
        <f t="shared" si="35"/>
        <v>494723.65249999985</v>
      </c>
      <c r="ID14" s="206">
        <f t="shared" si="35"/>
        <v>494723.65249999985</v>
      </c>
      <c r="IE14" s="206">
        <f t="shared" si="35"/>
        <v>494723.65249999985</v>
      </c>
      <c r="IF14" s="206">
        <f t="shared" si="35"/>
        <v>494723.65249999985</v>
      </c>
      <c r="IG14" s="206">
        <f t="shared" si="35"/>
        <v>494723.65249999985</v>
      </c>
      <c r="IH14" s="206">
        <f t="shared" si="35"/>
        <v>494723.65249999985</v>
      </c>
      <c r="II14" s="206">
        <f t="shared" si="35"/>
        <v>494723.65249999985</v>
      </c>
      <c r="IJ14" s="206">
        <f t="shared" si="35"/>
        <v>494723.65249999985</v>
      </c>
      <c r="IK14" s="206">
        <f t="shared" si="35"/>
        <v>494723.65249999985</v>
      </c>
      <c r="IL14" s="206">
        <f t="shared" si="35"/>
        <v>494723.65249999985</v>
      </c>
      <c r="IM14" s="206">
        <f t="shared" si="35"/>
        <v>494723.65249999985</v>
      </c>
      <c r="IN14" s="206">
        <f t="shared" si="35"/>
        <v>494723.65249999985</v>
      </c>
      <c r="IO14" s="206">
        <f t="shared" si="35"/>
        <v>494723.65249999985</v>
      </c>
      <c r="IP14" s="206">
        <f t="shared" si="35"/>
        <v>494723.65249999985</v>
      </c>
      <c r="IQ14" s="206">
        <f t="shared" si="35"/>
        <v>494723.65249999985</v>
      </c>
      <c r="IR14" s="206">
        <f t="shared" si="35"/>
        <v>494723.65249999985</v>
      </c>
      <c r="IS14" s="206">
        <f t="shared" si="35"/>
        <v>494723.65249999985</v>
      </c>
      <c r="IT14" s="206">
        <f t="shared" si="35"/>
        <v>494723.65249999985</v>
      </c>
      <c r="IU14" s="206">
        <f t="shared" si="35"/>
        <v>494723.65249999985</v>
      </c>
      <c r="IV14" s="206">
        <f t="shared" si="35"/>
        <v>494723.65249999985</v>
      </c>
      <c r="IW14" s="206">
        <f t="shared" si="35"/>
        <v>494723.65249999985</v>
      </c>
      <c r="IX14" s="206">
        <f t="shared" si="35"/>
        <v>494723.65249999985</v>
      </c>
      <c r="IY14" s="206">
        <f t="shared" si="35"/>
        <v>494723.65249999985</v>
      </c>
      <c r="IZ14" s="206">
        <f t="shared" si="35"/>
        <v>494723.65249999985</v>
      </c>
      <c r="JA14" s="206">
        <f t="shared" si="35"/>
        <v>494723.65249999985</v>
      </c>
      <c r="JB14" s="206">
        <f t="shared" si="35"/>
        <v>494723.65249999985</v>
      </c>
      <c r="JC14" s="206">
        <f t="shared" si="35"/>
        <v>494723.65249999985</v>
      </c>
      <c r="JD14" s="206">
        <f t="shared" si="35"/>
        <v>494723.65249999985</v>
      </c>
      <c r="JE14" s="206">
        <f t="shared" ref="JE14:LD14" si="36">JE10-JE12</f>
        <v>494723.65249999985</v>
      </c>
      <c r="JF14" s="206">
        <f t="shared" si="36"/>
        <v>494723.65249999985</v>
      </c>
      <c r="JG14" s="206">
        <f t="shared" si="36"/>
        <v>494723.65249999985</v>
      </c>
      <c r="JH14" s="206">
        <f t="shared" si="36"/>
        <v>494723.65249999985</v>
      </c>
      <c r="JI14" s="206">
        <f t="shared" si="36"/>
        <v>494723.65249999985</v>
      </c>
      <c r="JJ14" s="206">
        <f t="shared" si="36"/>
        <v>494723.65249999985</v>
      </c>
      <c r="JK14" s="206">
        <f t="shared" si="36"/>
        <v>494723.65249999985</v>
      </c>
      <c r="JL14" s="206">
        <f t="shared" si="36"/>
        <v>494723.65249999985</v>
      </c>
      <c r="JM14" s="206">
        <f t="shared" si="36"/>
        <v>494723.65249999985</v>
      </c>
      <c r="JN14" s="206">
        <f t="shared" si="36"/>
        <v>494723.65249999985</v>
      </c>
      <c r="JO14" s="206">
        <f t="shared" si="36"/>
        <v>494723.65249999985</v>
      </c>
      <c r="JP14" s="206">
        <f t="shared" si="36"/>
        <v>494723.65249999985</v>
      </c>
      <c r="JQ14" s="206">
        <f t="shared" si="36"/>
        <v>494723.65249999985</v>
      </c>
      <c r="JR14" s="206">
        <f t="shared" si="36"/>
        <v>494723.65249999985</v>
      </c>
      <c r="JS14" s="206">
        <f t="shared" si="36"/>
        <v>494723.65249999985</v>
      </c>
      <c r="JT14" s="206">
        <f t="shared" si="36"/>
        <v>494723.65249999985</v>
      </c>
      <c r="JU14" s="206">
        <f t="shared" si="36"/>
        <v>494723.65249999985</v>
      </c>
      <c r="JV14" s="206">
        <f t="shared" si="36"/>
        <v>494723.65249999985</v>
      </c>
      <c r="JW14" s="206">
        <f t="shared" si="36"/>
        <v>494723.65249999985</v>
      </c>
      <c r="JX14" s="206">
        <f t="shared" si="36"/>
        <v>494723.65249999985</v>
      </c>
      <c r="JY14" s="206">
        <f t="shared" si="36"/>
        <v>494723.65249999985</v>
      </c>
      <c r="JZ14" s="206">
        <f t="shared" si="36"/>
        <v>494723.65249999985</v>
      </c>
      <c r="KA14" s="206">
        <f t="shared" si="36"/>
        <v>494723.65249999985</v>
      </c>
      <c r="KB14" s="206">
        <f t="shared" si="36"/>
        <v>494723.65249999985</v>
      </c>
      <c r="KC14" s="206">
        <f t="shared" si="36"/>
        <v>494723.65249999985</v>
      </c>
      <c r="KD14" s="206">
        <f t="shared" si="36"/>
        <v>494723.65249999985</v>
      </c>
      <c r="KE14" s="206">
        <f t="shared" si="36"/>
        <v>494723.65249999985</v>
      </c>
      <c r="KF14" s="206">
        <f t="shared" si="36"/>
        <v>494723.65249999985</v>
      </c>
      <c r="KG14" s="206">
        <f t="shared" si="36"/>
        <v>494723.65249999985</v>
      </c>
      <c r="KH14" s="206">
        <f t="shared" si="36"/>
        <v>494723.65249999985</v>
      </c>
      <c r="KI14" s="206">
        <f t="shared" si="36"/>
        <v>494723.65249999985</v>
      </c>
      <c r="KJ14" s="206">
        <f t="shared" si="36"/>
        <v>494723.65249999985</v>
      </c>
      <c r="KK14" s="206">
        <f t="shared" si="36"/>
        <v>494723.65249999985</v>
      </c>
      <c r="KL14" s="206">
        <f t="shared" si="36"/>
        <v>494723.65249999985</v>
      </c>
      <c r="KM14" s="206">
        <f t="shared" si="36"/>
        <v>494723.65249999985</v>
      </c>
      <c r="KN14" s="206">
        <f t="shared" si="36"/>
        <v>494723.65249999985</v>
      </c>
      <c r="KO14" s="206">
        <f t="shared" si="36"/>
        <v>494723.65249999985</v>
      </c>
      <c r="KP14" s="206">
        <f t="shared" si="36"/>
        <v>494723.65249999985</v>
      </c>
      <c r="KQ14" s="206">
        <f t="shared" si="36"/>
        <v>494723.65249999985</v>
      </c>
      <c r="KR14" s="206">
        <f t="shared" si="36"/>
        <v>494723.65249999985</v>
      </c>
      <c r="KS14" s="206">
        <f t="shared" si="36"/>
        <v>494723.65249999985</v>
      </c>
      <c r="KT14" s="206">
        <f t="shared" si="36"/>
        <v>494723.65249999985</v>
      </c>
      <c r="KU14" s="206">
        <f t="shared" si="36"/>
        <v>494723.65249999985</v>
      </c>
      <c r="KV14" s="206">
        <f t="shared" si="36"/>
        <v>494723.65249999985</v>
      </c>
      <c r="KW14" s="206">
        <f t="shared" si="36"/>
        <v>494723.65249999985</v>
      </c>
      <c r="KX14" s="206">
        <f t="shared" si="36"/>
        <v>494723.65249999985</v>
      </c>
      <c r="KY14" s="206">
        <f t="shared" si="36"/>
        <v>494723.65249999985</v>
      </c>
      <c r="KZ14" s="206">
        <f t="shared" si="36"/>
        <v>494723.65249999985</v>
      </c>
      <c r="LA14" s="206">
        <f t="shared" si="36"/>
        <v>494723.65249999985</v>
      </c>
      <c r="LB14" s="206">
        <f t="shared" si="36"/>
        <v>494723.65249999985</v>
      </c>
      <c r="LC14" s="206">
        <f t="shared" si="36"/>
        <v>494723.65249999985</v>
      </c>
      <c r="LD14" s="206">
        <f t="shared" si="36"/>
        <v>494723.65249999985</v>
      </c>
    </row>
    <row r="15" spans="1:794" s="190" customFormat="1"/>
    <row r="16" spans="1:794" s="190" customFormat="1">
      <c r="C16" s="192" t="s">
        <v>264</v>
      </c>
      <c r="D16" s="192" t="s">
        <v>264</v>
      </c>
    </row>
    <row r="17" spans="1:316">
      <c r="A17" s="810"/>
      <c r="B17" s="194" t="s">
        <v>456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0"/>
      <c r="B18" s="194" t="s">
        <v>457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703125" defaultRowHeight="14.25"/>
  <cols>
    <col min="1" max="1" width="36" style="365" bestFit="1" customWidth="1"/>
    <col min="2" max="2" width="15.140625" style="366" bestFit="1" customWidth="1"/>
    <col min="3" max="3" width="11.140625" style="365" bestFit="1" customWidth="1"/>
    <col min="4" max="5" width="13.85546875" style="365" bestFit="1" customWidth="1"/>
    <col min="6" max="7" width="12.140625" style="365" bestFit="1" customWidth="1"/>
    <col min="8" max="11" width="10.42578125" style="365" bestFit="1" customWidth="1"/>
    <col min="12" max="12" width="6.140625" style="365" bestFit="1" customWidth="1"/>
    <col min="13" max="14" width="10.42578125" style="365" bestFit="1" customWidth="1"/>
    <col min="15" max="15" width="13.85546875" style="365" bestFit="1" customWidth="1"/>
    <col min="16" max="16" width="15" style="365" bestFit="1" customWidth="1"/>
    <col min="17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458</v>
      </c>
      <c r="B3" s="446" t="s">
        <v>459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460</v>
      </c>
      <c r="B4" t="s">
        <v>461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462</v>
      </c>
      <c r="P4"/>
      <c r="Q4"/>
      <c r="R4"/>
      <c r="S4"/>
      <c r="T4"/>
    </row>
    <row r="5" spans="1:20">
      <c r="A5" s="447" t="s">
        <v>461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267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/>
      <c r="O6" s="370">
        <v>1160011.1704545454</v>
      </c>
      <c r="P6"/>
      <c r="Q6"/>
      <c r="R6"/>
      <c r="S6"/>
      <c r="T6"/>
    </row>
    <row r="7" spans="1:20">
      <c r="A7" s="447" t="s">
        <v>277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363636.36363636365</v>
      </c>
      <c r="P7"/>
      <c r="Q7"/>
      <c r="R7"/>
      <c r="S7"/>
      <c r="T7"/>
    </row>
    <row r="8" spans="1:20">
      <c r="A8" s="447" t="s">
        <v>289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>
        <v>431287.26136363635</v>
      </c>
      <c r="P8"/>
      <c r="Q8"/>
      <c r="R8"/>
      <c r="S8"/>
      <c r="T8"/>
    </row>
    <row r="9" spans="1:20">
      <c r="A9" s="447" t="s">
        <v>302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>
        <v>413044.66169189115</v>
      </c>
      <c r="P9"/>
      <c r="Q9"/>
      <c r="R9"/>
      <c r="S9"/>
      <c r="T9"/>
    </row>
    <row r="10" spans="1:20">
      <c r="A10" s="447" t="s">
        <v>327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55681.817966355389</v>
      </c>
      <c r="P10"/>
      <c r="Q10"/>
      <c r="R10"/>
      <c r="S10"/>
      <c r="T10"/>
    </row>
    <row r="11" spans="1:20">
      <c r="A11" s="447" t="s">
        <v>340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>
        <v>713885.00759646355</v>
      </c>
      <c r="P11"/>
      <c r="Q11"/>
      <c r="R11"/>
      <c r="S11"/>
      <c r="T11"/>
    </row>
    <row r="12" spans="1:20">
      <c r="A12" s="447" t="s">
        <v>347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7" t="s">
        <v>369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>
        <v>433032.35294117639</v>
      </c>
      <c r="P13"/>
      <c r="Q13"/>
      <c r="R13"/>
      <c r="S13"/>
      <c r="T13"/>
    </row>
    <row r="14" spans="1:20">
      <c r="A14" s="447" t="s">
        <v>373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>
        <v>116700.16145588126</v>
      </c>
      <c r="P14"/>
      <c r="Q14"/>
      <c r="R14"/>
      <c r="S14"/>
      <c r="T14"/>
    </row>
    <row r="15" spans="1:20">
      <c r="A15" s="447" t="s">
        <v>389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>
        <v>135308.52789017811</v>
      </c>
      <c r="P15"/>
      <c r="Q15"/>
      <c r="R15"/>
      <c r="S15"/>
      <c r="T15"/>
    </row>
    <row r="16" spans="1:20">
      <c r="A16" s="447" t="s">
        <v>405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>
        <v>180591.96932671044</v>
      </c>
      <c r="P16"/>
      <c r="Q16"/>
      <c r="R16"/>
      <c r="S16"/>
      <c r="T16"/>
    </row>
    <row r="17" spans="1:20">
      <c r="A17" s="447" t="s">
        <v>414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9470.586461443756</v>
      </c>
      <c r="P17"/>
      <c r="Q17"/>
      <c r="R17"/>
      <c r="S17"/>
      <c r="T17"/>
    </row>
    <row r="18" spans="1:20">
      <c r="A18" s="447" t="s">
        <v>420</v>
      </c>
      <c r="B18" s="370"/>
      <c r="C18" s="370"/>
      <c r="D18" s="370"/>
      <c r="E18" s="370">
        <v>583247.75353016693</v>
      </c>
      <c r="F18" s="370"/>
      <c r="G18" s="370">
        <v>66752.249209486166</v>
      </c>
      <c r="H18" s="370"/>
      <c r="I18" s="370"/>
      <c r="J18" s="370"/>
      <c r="K18" s="370"/>
      <c r="L18" s="370">
        <v>0</v>
      </c>
      <c r="M18" s="370"/>
      <c r="N18" s="370"/>
      <c r="O18" s="370">
        <v>650000.00273965311</v>
      </c>
      <c r="P18"/>
      <c r="Q18"/>
      <c r="R18"/>
      <c r="S18"/>
      <c r="T18"/>
    </row>
    <row r="19" spans="1:20">
      <c r="A19" s="447" t="s">
        <v>401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345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462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124641.63263063016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4662649.8835242987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4662649.8835242977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-0.11647570133209229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18" sqref="K18"/>
    </sheetView>
  </sheetViews>
  <sheetFormatPr defaultColWidth="8.42578125" defaultRowHeight="14.25"/>
  <cols>
    <col min="1" max="1" width="20.42578125" bestFit="1" customWidth="1"/>
    <col min="2" max="2" width="15.7109375" style="407" bestFit="1" customWidth="1"/>
    <col min="3" max="3" width="11.140625" style="407" bestFit="1" customWidth="1"/>
    <col min="4" max="5" width="13.85546875" style="407" bestFit="1" customWidth="1"/>
    <col min="6" max="6" width="11.140625" style="407" bestFit="1" customWidth="1"/>
    <col min="7" max="7" width="10.42578125" style="407" bestFit="1" customWidth="1"/>
    <col min="8" max="8" width="11.140625" style="407" bestFit="1" customWidth="1"/>
    <col min="9" max="9" width="12.140625" style="407" bestFit="1" customWidth="1"/>
    <col min="10" max="10" width="11.140625" bestFit="1" customWidth="1"/>
    <col min="11" max="11" width="12.140625" bestFit="1" customWidth="1"/>
    <col min="12" max="12" width="4.85546875" bestFit="1" customWidth="1"/>
    <col min="13" max="13" width="11.140625" bestFit="1" customWidth="1"/>
    <col min="14" max="14" width="12.140625" bestFit="1" customWidth="1"/>
    <col min="15" max="15" width="13.85546875" bestFit="1" customWidth="1"/>
    <col min="16" max="16" width="15" bestFit="1" customWidth="1"/>
    <col min="17" max="18" width="11.5703125" bestFit="1" customWidth="1"/>
    <col min="19" max="19" width="13.42578125" bestFit="1" customWidth="1"/>
  </cols>
  <sheetData>
    <row r="3" spans="1:15">
      <c r="A3" s="446" t="s">
        <v>463</v>
      </c>
      <c r="B3" s="446" t="s">
        <v>459</v>
      </c>
      <c r="C3"/>
      <c r="D3"/>
      <c r="E3"/>
      <c r="F3"/>
      <c r="G3"/>
      <c r="H3"/>
      <c r="I3"/>
    </row>
    <row r="4" spans="1:15">
      <c r="A4" s="446" t="s">
        <v>460</v>
      </c>
      <c r="B4" t="s">
        <v>461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462</v>
      </c>
    </row>
    <row r="5" spans="1:15">
      <c r="A5" s="447" t="s">
        <v>461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5">
      <c r="A6" s="447" t="s">
        <v>267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>
        <v>929051.4</v>
      </c>
    </row>
    <row r="7" spans="1:15">
      <c r="A7" s="447" t="s">
        <v>277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275481.40000000002</v>
      </c>
    </row>
    <row r="8" spans="1:15">
      <c r="A8" s="447" t="s">
        <v>289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154149.20000000001</v>
      </c>
    </row>
    <row r="9" spans="1:15">
      <c r="A9" s="447" t="s">
        <v>302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>
        <v>383972.2525</v>
      </c>
    </row>
    <row r="10" spans="1:15">
      <c r="A10" s="447" t="s">
        <v>327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35927.14</v>
      </c>
    </row>
    <row r="11" spans="1:15">
      <c r="A11" s="447" t="s">
        <v>340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>
        <v>280470.48</v>
      </c>
    </row>
    <row r="12" spans="1:15">
      <c r="A12" s="447" t="s">
        <v>347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14690</v>
      </c>
      <c r="N12" s="449">
        <v>112080</v>
      </c>
      <c r="O12" s="449">
        <v>597339</v>
      </c>
    </row>
    <row r="13" spans="1:15">
      <c r="A13" s="447" t="s">
        <v>369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>
        <v>560350</v>
      </c>
    </row>
    <row r="14" spans="1:15">
      <c r="A14" s="447" t="s">
        <v>373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>
        <v>19333.349999999999</v>
      </c>
      <c r="N14" s="449">
        <v>19333.349999999999</v>
      </c>
      <c r="O14" s="449">
        <v>124882.45000000001</v>
      </c>
    </row>
    <row r="15" spans="1:15">
      <c r="A15" s="447" t="s">
        <v>389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>
        <v>36674.97</v>
      </c>
    </row>
    <row r="16" spans="1:15">
      <c r="A16" s="447" t="s">
        <v>405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>
        <v>58283.125</v>
      </c>
    </row>
    <row r="17" spans="1:15">
      <c r="A17" s="447" t="s">
        <v>414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1500</v>
      </c>
      <c r="N17" s="449">
        <v>3000</v>
      </c>
      <c r="O17" s="449">
        <v>40635.629999999997</v>
      </c>
    </row>
    <row r="18" spans="1:15">
      <c r="A18" s="447" t="s">
        <v>420</v>
      </c>
      <c r="B18" s="449"/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699000</v>
      </c>
    </row>
    <row r="19" spans="1:15">
      <c r="A19" s="447" t="s">
        <v>401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345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462</v>
      </c>
      <c r="B21" s="449"/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35523.35</v>
      </c>
      <c r="N21" s="449">
        <v>134413.35</v>
      </c>
      <c r="O21" s="449">
        <v>4176217.0474999999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09" t="s">
        <v>464</v>
      </c>
    </row>
    <row r="2" spans="1:4">
      <c r="A2" s="812"/>
      <c r="B2" s="812"/>
      <c r="C2" s="812"/>
      <c r="D2" s="71"/>
    </row>
    <row r="3" spans="1:4">
      <c r="A3" s="811" t="s">
        <v>465</v>
      </c>
      <c r="B3" s="811"/>
      <c r="C3" s="811"/>
      <c r="D3" s="110">
        <v>0.32</v>
      </c>
    </row>
    <row r="4" spans="1:4">
      <c r="A4" s="811" t="s">
        <v>433</v>
      </c>
      <c r="B4" s="811"/>
      <c r="C4" s="811"/>
      <c r="D4" s="110">
        <v>0.5</v>
      </c>
    </row>
    <row r="5" spans="1:4">
      <c r="A5" s="811" t="s">
        <v>444</v>
      </c>
      <c r="B5" s="811"/>
      <c r="C5" s="811"/>
      <c r="D5" s="110">
        <v>0.15</v>
      </c>
    </row>
    <row r="6" spans="1:4">
      <c r="A6" s="811" t="s">
        <v>466</v>
      </c>
      <c r="B6" s="811"/>
      <c r="C6" s="811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7"/>
    <col min="2" max="2" width="22.42578125" style="87" customWidth="1"/>
    <col min="3" max="3" width="4.42578125" style="87" customWidth="1"/>
    <col min="4" max="4" width="14.42578125" style="87" bestFit="1" customWidth="1"/>
    <col min="5" max="5" width="3.42578125" style="87" customWidth="1"/>
    <col min="6" max="6" width="15.42578125" style="87" customWidth="1"/>
    <col min="7" max="7" width="2.42578125" style="87" customWidth="1"/>
    <col min="8" max="8" width="16.42578125" style="87" bestFit="1" customWidth="1"/>
    <col min="9" max="9" width="6.42578125" style="87" customWidth="1"/>
    <col min="10" max="10" width="13.5703125" style="87" bestFit="1" customWidth="1"/>
    <col min="11" max="11" width="2.42578125" style="87" customWidth="1"/>
    <col min="12" max="12" width="14.42578125" style="87" bestFit="1" customWidth="1"/>
    <col min="13" max="13" width="3" style="87" customWidth="1"/>
    <col min="14" max="14" width="45.42578125" style="87" customWidth="1"/>
    <col min="15" max="16384" width="9.42578125" style="87"/>
  </cols>
  <sheetData>
    <row r="2" spans="2:14" s="93" customFormat="1" ht="17.649999999999999">
      <c r="B2" s="813" t="s">
        <v>467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3.15">
      <c r="B4" s="91" t="s">
        <v>468</v>
      </c>
      <c r="C4" s="85"/>
      <c r="D4" s="89" t="s">
        <v>469</v>
      </c>
      <c r="E4" s="94"/>
      <c r="F4" s="89" t="s">
        <v>470</v>
      </c>
      <c r="H4" s="89" t="s">
        <v>471</v>
      </c>
      <c r="I4" s="94"/>
      <c r="J4" s="89" t="s">
        <v>472</v>
      </c>
      <c r="L4" s="89" t="s">
        <v>471</v>
      </c>
      <c r="M4" s="89"/>
      <c r="N4" s="89" t="s">
        <v>473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474</v>
      </c>
      <c r="H7" s="98"/>
      <c r="I7" s="94"/>
      <c r="J7" s="106" t="s">
        <v>474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275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275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475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476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477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474</v>
      </c>
      <c r="H15" s="98"/>
      <c r="I15" s="94"/>
      <c r="J15" s="106" t="s">
        <v>474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478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478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477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474</v>
      </c>
      <c r="H21" s="98"/>
      <c r="I21" s="94"/>
      <c r="J21" s="106" t="s">
        <v>474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303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303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477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474</v>
      </c>
      <c r="H27" s="98"/>
      <c r="I27" s="94"/>
      <c r="J27" s="106" t="s">
        <v>474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479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477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474</v>
      </c>
      <c r="H34" s="98"/>
      <c r="I34" s="94"/>
      <c r="J34" s="106" t="s">
        <v>474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480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481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482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483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484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485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486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487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7"/>
    <col min="2" max="2" width="22.42578125" style="87" customWidth="1"/>
    <col min="3" max="3" width="4.42578125" style="87" customWidth="1"/>
    <col min="4" max="4" width="14.42578125" style="87" bestFit="1" customWidth="1"/>
    <col min="5" max="5" width="7" style="87" customWidth="1"/>
    <col min="6" max="6" width="3.42578125" style="87" customWidth="1"/>
    <col min="7" max="7" width="18.5703125" style="87" customWidth="1"/>
    <col min="8" max="8" width="9.42578125" style="87" bestFit="1" customWidth="1"/>
    <col min="9" max="9" width="2" style="87" customWidth="1"/>
    <col min="10" max="10" width="14.42578125" style="87" bestFit="1" customWidth="1"/>
    <col min="11" max="11" width="2.42578125" style="87" customWidth="1"/>
    <col min="12" max="12" width="20.42578125" style="87" customWidth="1"/>
    <col min="13" max="13" width="9.42578125" style="87" bestFit="1" customWidth="1"/>
    <col min="14" max="14" width="0.85546875" style="87" customWidth="1"/>
    <col min="15" max="15" width="14.42578125" style="87" bestFit="1" customWidth="1"/>
    <col min="16" max="16384" width="9.42578125" style="87"/>
  </cols>
  <sheetData>
    <row r="2" spans="2:15" s="93" customFormat="1" ht="17.649999999999999">
      <c r="B2" s="813" t="s">
        <v>488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3.15">
      <c r="B4" s="91" t="s">
        <v>468</v>
      </c>
      <c r="C4" s="85"/>
      <c r="D4" s="89" t="s">
        <v>469</v>
      </c>
      <c r="E4" s="94"/>
      <c r="F4" s="94"/>
      <c r="G4" s="89" t="s">
        <v>489</v>
      </c>
      <c r="H4" s="95"/>
      <c r="J4" s="89" t="s">
        <v>471</v>
      </c>
      <c r="L4" s="89" t="s">
        <v>490</v>
      </c>
      <c r="M4" s="95"/>
      <c r="O4" s="89" t="s">
        <v>471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274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280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281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282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283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491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285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286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486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468</v>
      </c>
      <c r="C18" s="85"/>
      <c r="D18" s="89" t="s">
        <v>469</v>
      </c>
      <c r="E18" s="94"/>
      <c r="F18" s="94"/>
      <c r="G18" s="89" t="s">
        <v>492</v>
      </c>
      <c r="H18" s="95"/>
      <c r="J18" s="89" t="s">
        <v>471</v>
      </c>
      <c r="L18" s="89" t="s">
        <v>493</v>
      </c>
      <c r="M18" s="95"/>
      <c r="O18" s="89" t="s">
        <v>471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494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495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496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497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285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498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283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486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499</v>
      </c>
      <c r="C32" s="102"/>
      <c r="D32" s="102"/>
    </row>
    <row r="33" spans="2:4" ht="13.15" thickTop="1"/>
    <row r="34" spans="2:4">
      <c r="B34" s="87" t="s">
        <v>469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5" t="str">
        <f>D15</f>
        <v>Sibasa</v>
      </c>
      <c r="C1" s="815"/>
      <c r="D1" s="815"/>
      <c r="E1" s="814" t="s">
        <v>501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502</v>
      </c>
      <c r="C3" s="72" t="s">
        <v>503</v>
      </c>
      <c r="D3" s="72" t="s">
        <v>504</v>
      </c>
      <c r="E3" s="78" t="s">
        <v>505</v>
      </c>
      <c r="F3" s="78" t="s">
        <v>506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507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F1B8584-E221-43D6-B4D7-0206EBEB264A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2026-02-09T13:29:44Z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