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81" documentId="13_ncr:1_{2B575D95-4721-45EF-BFFA-D0FCB66B50D5}" xr6:coauthVersionLast="47" xr6:coauthVersionMax="47" xr10:uidLastSave="{5A00BAE9-644C-4A43-A17A-9A6F9B27F233}"/>
  <bookViews>
    <workbookView minimized="1" xWindow="720" yWindow="720" windowWidth="14400" windowHeight="8170" tabRatio="878" firstSheet="2" activeTab="9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9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5" i="18" l="1"/>
  <c r="F15" i="5" l="1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3" i="18"/>
  <c r="T82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H19" i="3" s="1"/>
  <c r="J19" i="3" s="1"/>
  <c r="I115" i="18"/>
  <c r="F19" i="3"/>
  <c r="I86" i="18"/>
  <c r="X76" i="18"/>
  <c r="H16" i="3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U11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1" i="3"/>
  <c r="H21" i="3"/>
  <c r="U129" i="18"/>
  <c r="J16" i="3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8" i="18"/>
  <c r="Q91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19" i="18" l="1"/>
  <c r="U116" i="18"/>
  <c r="V115" i="18" s="1"/>
  <c r="U117" i="18"/>
  <c r="U140" i="18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25" i="3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6" i="5" l="1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<sst xmlns="http://schemas.openxmlformats.org/spreadsheetml/2006/main" count="846" uniqueCount="486">
  <si>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</si>
  <si>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</si>
  <si>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</si>
  <si>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</si>
  <si>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</si>
  <si>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</si>
  <si>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</si>
  <si>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</si>
  <si>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</si>
  <si>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</si>
  <si>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</si>
  <si>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</si>
  <si>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</si>
  <si>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</si>
  <si>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</si>
  <si>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</si>
  <si>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</si>
  <si>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</si>
  <si>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</si>
  <si>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</si>
  <si>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</si>
  <si>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</si>
  <si>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</si>
  <si>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</si>
  <si>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</si>
  <si>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</si>
  <si>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</si>
  <si>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</si>
  <si>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</si>
  <si>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</si>
  <si>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</si>
  <si>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</si>
  <si>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</si>
  <si>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</si>
  <si>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</si>
  <si>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</si>
  <si>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</si>
  <si>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</si>
  <si>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</si>
  <si>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</si>
  <si>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</si>
  <si>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</si>
  <si>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</si>
  <si>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</si>
  <si>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</si>
  <si>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</si>
  <si>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</si>
  <si>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</si>
  <si>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</si>
  <si>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</si>
  <si>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</si>
  <si>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</si>
  <si>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</si>
  <si>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</si>
  <si>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</si>
  <si>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</si>
  <si>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</si>
  <si>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</si>
  <si>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</si>
  <si>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</si>
  <si>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</si>
  <si>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</si>
  <si>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</si>
  <si>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</si>
  <si>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</si>
  <si>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</si>
  <si>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</si>
  <si>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</si>
  <si>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</si>
  <si>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</si>
  <si>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</si>
  <si>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</si>
  <si>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</si>
  <si>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</si>
  <si>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</si>
  <si>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</si>
  <si>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</si>
  <si>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</si>
  <si>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</si>
  <si>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</si>
  <si>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</si>
  <si>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</si>
  <si>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</si>
  <si>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</si>
  <si>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</si>
  <si>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</si>
  <si>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</si>
  <si>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</si>
  <si>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</si>
  <si>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</si>
  <si>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</si>
  <si>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</si>
  <si>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</si>
  <si>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</si>
  <si>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</si>
  <si>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</si>
  <si>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</si>
  <si>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</si>
  <si>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</si>
  <si>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</si>
  <si>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</si>
  <si>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</si>
  <si>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</si>
  <si>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</si>
  <si>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</si>
  <si>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</si>
  <si>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</si>
  <si>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</si>
  <si>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</si>
  <si>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</si>
  <si>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</si>
  <si>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</si>
  <si>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</si>
  <si>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</si>
  <si>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</si>
  <si>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</si>
  <si>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</si>
  <si>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</si>
  <si>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</si>
  <si>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</si>
  <si>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</si>
  <si>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</si>
  <si>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</si>
  <si>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</si>
  <si>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</si>
  <si>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</si>
  <si>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</si>
  <si>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</si>
  <si>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</si>
  <si>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</si>
  <si>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</si>
  <si>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</si>
  <si>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</si>
  <si>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</si>
  <si>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</si>
  <si>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</si>
  <si>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</si>
  <si>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</si>
  <si>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</si>
  <si>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</si>
  <si>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</si>
  <si>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</si>
  <si>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</si>
  <si>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</si>
  <si>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</si>
  <si>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check with Dorpstraat</t>
  </si>
  <si>
    <t>Handover to Matriarch</t>
  </si>
  <si>
    <t>has this been done?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</si>
  <si>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</si>
  <si>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</si>
  <si>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</si>
  <si>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</si>
  <si>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</si>
  <si>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</si>
  <si>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</si>
  <si>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</si>
  <si>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</si>
  <si>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</si>
  <si>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</si>
  <si>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</si>
  <si>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</si>
  <si>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</si>
  <si>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</si>
  <si>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</si>
  <si>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</si>
  <si>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</si>
  <si>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</si>
  <si>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</si>
  <si>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</si>
  <si>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</si>
  <si>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</si>
  <si>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</si>
  <si>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</si>
  <si>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</si>
  <si>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</si>
  <si>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</si>
  <si>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</si>
  <si>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</si>
  <si>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</si>
  <si>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</si>
  <si>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</si>
  <si>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</si>
  <si>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</si>
  <si>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</si>
  <si>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</si>
  <si>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</si>
  <si>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</si>
  <si>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</si>
  <si>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</si>
  <si>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</si>
  <si>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</si>
  <si>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</si>
  <si>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</si>
  <si>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</si>
  <si>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</si>
  <si>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</si>
  <si>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</si>
  <si>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</si>
  <si>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</si>
  <si>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</si>
  <si>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</si>
  <si>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</si>
  <si>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</si>
  <si>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</si>
  <si>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</si>
  <si>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</si>
  <si>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</si>
  <si>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</si>
  <si>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</si>
  <si>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</si>
  <si>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</si>
  <si>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</si>
  <si>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</si>
  <si>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</si>
  <si>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</si>
  <si>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</si>
  <si>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</si>
  <si>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</si>
  <si>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</si>
  <si>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</si>
  <si>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</si>
  <si>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</si>
  <si>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</si>
  <si>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</si>
  <si>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</si>
  <si>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</si>
  <si>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</si>
  <si>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</si>
  <si>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</si>
  <si>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</si>
  <si>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</si>
  <si>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</si>
  <si>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</si>
  <si>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</si>
  <si>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</si>
  <si>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</si>
  <si>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</si>
  <si>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</si>
  <si>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</si>
  <si>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</si>
  <si>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</si>
  <si>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</si>
  <si>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</si>
  <si>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</si>
  <si>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</si>
  <si>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</si>
  <si>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</si>
  <si>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</si>
  <si>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</si>
  <si>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</si>
  <si>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</si>
  <si>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4 broken panels (17 panels returned in total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</si>
  <si>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</si>
  <si>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</si>
  <si>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</si>
  <si>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</si>
  <si>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</si>
  <si>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</si>
  <si>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</si>
  <si>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</si>
  <si>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</si>
  <si>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</si>
  <si>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</si>
  <si>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</si>
  <si>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</si>
  <si>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</si>
  <si>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</si>
  <si>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</si>
  <si>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</si>
  <si>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</si>
  <si>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</si>
  <si>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</si>
  <si>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</si>
  <si>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</si>
  <si>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</si>
  <si>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</si>
  <si>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</si>
  <si>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</si>
  <si>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</si>
  <si>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</si>
  <si>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</si>
  <si>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</si>
  <si>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</si>
  <si>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</si>
  <si>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</si>
  <si>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</si>
  <si>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</si>
  <si>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</si>
  <si>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</si>
  <si>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</si>
  <si>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</si>
  <si>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</si>
  <si>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</si>
  <si>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</si>
  <si>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</si>
  <si>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</si>
  <si>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</si>
  <si>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</si>
  <si>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</si>
  <si>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</si>
  <si>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</si>
  <si>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</si>
  <si>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</si>
  <si>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</si>
  <si>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</si>
  <si>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</si>
  <si>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</si>
  <si>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</si>
  <si>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</si>
  <si>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</si>
  <si>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</si>
  <si>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</si>
  <si>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</si>
  <si>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</si>
  <si>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</si>
  <si>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</si>
  <si>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</si>
  <si>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</si>
  <si>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</si>
  <si>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</si>
  <si>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</si>
  <si>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</si>
  <si>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</si>
  <si>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</si>
  <si>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</si>
  <si>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</si>
  <si>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</si>
  <si>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</si>
  <si>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</si>
  <si>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</si>
  <si>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</si>
  <si>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</si>
  <si>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</si>
  <si>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</si>
  <si>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</si>
  <si>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</si>
  <si>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</si>
  <si>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</si>
  <si>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</si>
  <si>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</si>
  <si>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</si>
  <si>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</si>
  <si>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E031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</si>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</sst>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6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32" fillId="18" borderId="2" xfId="0" applyFont="1" applyFill="1" applyBorder="1" applyAlignment="1">
      <alignment horizontal="center"/>
    </xf>
    <xf numFmtId="0" fontId="6" fillId="18" borderId="2" xfId="0" applyFont="1" applyFill="1" applyBorder="1"/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6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43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2274921.4775</c:v>
                </c:pt>
                <c:pt idx="55">
                  <c:v>2274921.4775</c:v>
                </c:pt>
                <c:pt idx="56">
                  <c:v>2274921.4775</c:v>
                </c:pt>
                <c:pt idx="57">
                  <c:v>2274921.4775</c:v>
                </c:pt>
                <c:pt idx="58">
                  <c:v>2274921.4775</c:v>
                </c:pt>
                <c:pt idx="59">
                  <c:v>2274921.4775</c:v>
                </c:pt>
                <c:pt idx="60">
                  <c:v>2274921.4775</c:v>
                </c:pt>
                <c:pt idx="61">
                  <c:v>2274921.4775</c:v>
                </c:pt>
                <c:pt idx="62">
                  <c:v>2274921.4775</c:v>
                </c:pt>
                <c:pt idx="63">
                  <c:v>2274921.4775</c:v>
                </c:pt>
                <c:pt idx="64">
                  <c:v>2274921.4775</c:v>
                </c:pt>
                <c:pt idx="65">
                  <c:v>2274921.4775</c:v>
                </c:pt>
                <c:pt idx="66">
                  <c:v>2274921.4775</c:v>
                </c:pt>
                <c:pt idx="67">
                  <c:v>2274921.4775</c:v>
                </c:pt>
                <c:pt idx="68">
                  <c:v>2274921.4775</c:v>
                </c:pt>
                <c:pt idx="69">
                  <c:v>2274921.4775</c:v>
                </c:pt>
                <c:pt idx="70">
                  <c:v>2274921.4775</c:v>
                </c:pt>
                <c:pt idx="71">
                  <c:v>2274921.4775</c:v>
                </c:pt>
                <c:pt idx="72">
                  <c:v>2274921.4775</c:v>
                </c:pt>
                <c:pt idx="73">
                  <c:v>2274921.4775</c:v>
                </c:pt>
                <c:pt idx="74">
                  <c:v>2274921.4775</c:v>
                </c:pt>
                <c:pt idx="75">
                  <c:v>2274921.4775</c:v>
                </c:pt>
                <c:pt idx="76">
                  <c:v>2274921.4775</c:v>
                </c:pt>
                <c:pt idx="77">
                  <c:v>2274921.4775</c:v>
                </c:pt>
                <c:pt idx="78">
                  <c:v>2274921.4775</c:v>
                </c:pt>
                <c:pt idx="79">
                  <c:v>2274921.4775</c:v>
                </c:pt>
                <c:pt idx="80">
                  <c:v>2274921.4775</c:v>
                </c:pt>
                <c:pt idx="81">
                  <c:v>2274921.4775</c:v>
                </c:pt>
                <c:pt idx="82">
                  <c:v>2274921.4775</c:v>
                </c:pt>
                <c:pt idx="83">
                  <c:v>2274921.4775</c:v>
                </c:pt>
                <c:pt idx="84">
                  <c:v>2274921.4775</c:v>
                </c:pt>
                <c:pt idx="85">
                  <c:v>2274921.4775</c:v>
                </c:pt>
                <c:pt idx="86">
                  <c:v>2274921.4775</c:v>
                </c:pt>
                <c:pt idx="87">
                  <c:v>2274921.4775</c:v>
                </c:pt>
                <c:pt idx="88">
                  <c:v>2274921.4775</c:v>
                </c:pt>
                <c:pt idx="89">
                  <c:v>2274921.4775</c:v>
                </c:pt>
                <c:pt idx="90">
                  <c:v>2274921.4775</c:v>
                </c:pt>
                <c:pt idx="91">
                  <c:v>2274921.4775</c:v>
                </c:pt>
                <c:pt idx="92">
                  <c:v>2274921.4775</c:v>
                </c:pt>
                <c:pt idx="93">
                  <c:v>2274921.4775</c:v>
                </c:pt>
                <c:pt idx="94">
                  <c:v>2274921.4775</c:v>
                </c:pt>
                <c:pt idx="95">
                  <c:v>2274921.4775</c:v>
                </c:pt>
                <c:pt idx="96">
                  <c:v>2274921.4775</c:v>
                </c:pt>
                <c:pt idx="97">
                  <c:v>2274921.4775</c:v>
                </c:pt>
                <c:pt idx="98">
                  <c:v>2274921.4775</c:v>
                </c:pt>
                <c:pt idx="99">
                  <c:v>2274921.4775</c:v>
                </c:pt>
                <c:pt idx="100">
                  <c:v>2274921.4775</c:v>
                </c:pt>
                <c:pt idx="101">
                  <c:v>2274921.4775</c:v>
                </c:pt>
                <c:pt idx="102">
                  <c:v>2274921.4775</c:v>
                </c:pt>
                <c:pt idx="103">
                  <c:v>2274921.4775</c:v>
                </c:pt>
                <c:pt idx="104">
                  <c:v>2274921.4775</c:v>
                </c:pt>
                <c:pt idx="105">
                  <c:v>2274921.4775</c:v>
                </c:pt>
                <c:pt idx="106">
                  <c:v>2274921.4775</c:v>
                </c:pt>
                <c:pt idx="107">
                  <c:v>2274921.4775</c:v>
                </c:pt>
                <c:pt idx="108">
                  <c:v>2274921.4775</c:v>
                </c:pt>
                <c:pt idx="109">
                  <c:v>2274921.4775</c:v>
                </c:pt>
                <c:pt idx="110">
                  <c:v>2274921.4775</c:v>
                </c:pt>
                <c:pt idx="111">
                  <c:v>2274921.4775</c:v>
                </c:pt>
                <c:pt idx="112">
                  <c:v>2274921.4775</c:v>
                </c:pt>
                <c:pt idx="113">
                  <c:v>2274921.4775</c:v>
                </c:pt>
                <c:pt idx="114">
                  <c:v>2274921.4775</c:v>
                </c:pt>
                <c:pt idx="115">
                  <c:v>2274921.4775</c:v>
                </c:pt>
                <c:pt idx="116">
                  <c:v>2274921.4775</c:v>
                </c:pt>
                <c:pt idx="117">
                  <c:v>2274921.4775</c:v>
                </c:pt>
                <c:pt idx="118">
                  <c:v>2274921.4775</c:v>
                </c:pt>
                <c:pt idx="119">
                  <c:v>2274921.4775</c:v>
                </c:pt>
                <c:pt idx="120">
                  <c:v>2274921.4775</c:v>
                </c:pt>
                <c:pt idx="121">
                  <c:v>2274921.4775</c:v>
                </c:pt>
                <c:pt idx="122">
                  <c:v>2274921.4775</c:v>
                </c:pt>
                <c:pt idx="123">
                  <c:v>2274921.4775</c:v>
                </c:pt>
                <c:pt idx="124">
                  <c:v>2274921.4775</c:v>
                </c:pt>
                <c:pt idx="125">
                  <c:v>2274921.4775</c:v>
                </c:pt>
                <c:pt idx="126">
                  <c:v>2274921.4775</c:v>
                </c:pt>
                <c:pt idx="127">
                  <c:v>2274921.4775</c:v>
                </c:pt>
                <c:pt idx="128">
                  <c:v>2274921.4775</c:v>
                </c:pt>
                <c:pt idx="129">
                  <c:v>2274921.4775</c:v>
                </c:pt>
                <c:pt idx="130">
                  <c:v>2274921.4775</c:v>
                </c:pt>
                <c:pt idx="131">
                  <c:v>2274921.4775</c:v>
                </c:pt>
                <c:pt idx="132">
                  <c:v>2274921.4775</c:v>
                </c:pt>
                <c:pt idx="133">
                  <c:v>2274921.4775</c:v>
                </c:pt>
                <c:pt idx="134">
                  <c:v>2274921.4775</c:v>
                </c:pt>
                <c:pt idx="135">
                  <c:v>2274921.4775</c:v>
                </c:pt>
                <c:pt idx="136">
                  <c:v>2274921.4775</c:v>
                </c:pt>
                <c:pt idx="137">
                  <c:v>2274921.4775</c:v>
                </c:pt>
                <c:pt idx="138">
                  <c:v>2274921.4775</c:v>
                </c:pt>
                <c:pt idx="139">
                  <c:v>2274921.4775</c:v>
                </c:pt>
                <c:pt idx="140">
                  <c:v>2274921.4775</c:v>
                </c:pt>
                <c:pt idx="141">
                  <c:v>2274921.4775</c:v>
                </c:pt>
                <c:pt idx="142">
                  <c:v>2274921.4775</c:v>
                </c:pt>
                <c:pt idx="143">
                  <c:v>2274921.4775</c:v>
                </c:pt>
                <c:pt idx="144">
                  <c:v>2274921.4775</c:v>
                </c:pt>
                <c:pt idx="145">
                  <c:v>2274921.4775</c:v>
                </c:pt>
                <c:pt idx="146">
                  <c:v>2274921.4775</c:v>
                </c:pt>
                <c:pt idx="147">
                  <c:v>2274921.4775</c:v>
                </c:pt>
                <c:pt idx="148">
                  <c:v>2274921.4775</c:v>
                </c:pt>
                <c:pt idx="149">
                  <c:v>2274921.4775</c:v>
                </c:pt>
                <c:pt idx="150">
                  <c:v>2274921.4775</c:v>
                </c:pt>
                <c:pt idx="151">
                  <c:v>2274921.4775</c:v>
                </c:pt>
                <c:pt idx="152">
                  <c:v>2274921.4775</c:v>
                </c:pt>
                <c:pt idx="153">
                  <c:v>2274921.4775</c:v>
                </c:pt>
                <c:pt idx="154">
                  <c:v>2274921.4775</c:v>
                </c:pt>
                <c:pt idx="155">
                  <c:v>2274921.4775</c:v>
                </c:pt>
                <c:pt idx="156">
                  <c:v>2274921.4775</c:v>
                </c:pt>
                <c:pt idx="157">
                  <c:v>2274921.4775</c:v>
                </c:pt>
                <c:pt idx="158">
                  <c:v>2274921.4775</c:v>
                </c:pt>
                <c:pt idx="159">
                  <c:v>2274921.4775</c:v>
                </c:pt>
                <c:pt idx="160">
                  <c:v>2274921.4775</c:v>
                </c:pt>
                <c:pt idx="161">
                  <c:v>2274921.4775</c:v>
                </c:pt>
                <c:pt idx="162">
                  <c:v>2274921.4775</c:v>
                </c:pt>
                <c:pt idx="163">
                  <c:v>2274921.4775</c:v>
                </c:pt>
                <c:pt idx="164">
                  <c:v>2274921.4775</c:v>
                </c:pt>
                <c:pt idx="165">
                  <c:v>2274921.4775</c:v>
                </c:pt>
                <c:pt idx="166">
                  <c:v>2274921.4775</c:v>
                </c:pt>
                <c:pt idx="167">
                  <c:v>2274921.4775</c:v>
                </c:pt>
                <c:pt idx="168">
                  <c:v>2274921.4775</c:v>
                </c:pt>
                <c:pt idx="169">
                  <c:v>2274921.4775</c:v>
                </c:pt>
                <c:pt idx="170">
                  <c:v>2274921.4775</c:v>
                </c:pt>
                <c:pt idx="171">
                  <c:v>2274921.4775</c:v>
                </c:pt>
                <c:pt idx="172">
                  <c:v>2274921.4775</c:v>
                </c:pt>
                <c:pt idx="173">
                  <c:v>2274921.4775</c:v>
                </c:pt>
                <c:pt idx="174">
                  <c:v>2274921.4775</c:v>
                </c:pt>
                <c:pt idx="175">
                  <c:v>2274921.4775</c:v>
                </c:pt>
                <c:pt idx="176">
                  <c:v>2274921.4775</c:v>
                </c:pt>
                <c:pt idx="177">
                  <c:v>2274921.4775</c:v>
                </c:pt>
                <c:pt idx="178">
                  <c:v>2274921.4775</c:v>
                </c:pt>
                <c:pt idx="179">
                  <c:v>2274921.4775</c:v>
                </c:pt>
                <c:pt idx="180">
                  <c:v>2274921.4775</c:v>
                </c:pt>
                <c:pt idx="181">
                  <c:v>2274921.4775</c:v>
                </c:pt>
                <c:pt idx="182">
                  <c:v>2274921.4775</c:v>
                </c:pt>
                <c:pt idx="183">
                  <c:v>2274921.4775</c:v>
                </c:pt>
                <c:pt idx="184">
                  <c:v>2274921.4775</c:v>
                </c:pt>
                <c:pt idx="185">
                  <c:v>2274921.4775</c:v>
                </c:pt>
                <c:pt idx="186">
                  <c:v>2274921.4775</c:v>
                </c:pt>
                <c:pt idx="187">
                  <c:v>2274921.4775</c:v>
                </c:pt>
                <c:pt idx="188">
                  <c:v>2274921.4775</c:v>
                </c:pt>
                <c:pt idx="189">
                  <c:v>2274921.4775</c:v>
                </c:pt>
                <c:pt idx="190">
                  <c:v>2274921.4775</c:v>
                </c:pt>
                <c:pt idx="191">
                  <c:v>2274921.4775</c:v>
                </c:pt>
                <c:pt idx="192">
                  <c:v>2274921.4775</c:v>
                </c:pt>
                <c:pt idx="193">
                  <c:v>2274921.4775</c:v>
                </c:pt>
                <c:pt idx="194">
                  <c:v>2274921.4775</c:v>
                </c:pt>
                <c:pt idx="195">
                  <c:v>2274921.4775</c:v>
                </c:pt>
                <c:pt idx="196">
                  <c:v>2274921.4775</c:v>
                </c:pt>
                <c:pt idx="197">
                  <c:v>2274921.4775</c:v>
                </c:pt>
                <c:pt idx="198">
                  <c:v>2274921.4775</c:v>
                </c:pt>
                <c:pt idx="199">
                  <c:v>2274921.4775</c:v>
                </c:pt>
                <c:pt idx="200">
                  <c:v>2274921.4775</c:v>
                </c:pt>
                <c:pt idx="201">
                  <c:v>2274921.4775</c:v>
                </c:pt>
                <c:pt idx="202">
                  <c:v>2274921.4775</c:v>
                </c:pt>
                <c:pt idx="203">
                  <c:v>2274921.4775</c:v>
                </c:pt>
                <c:pt idx="204">
                  <c:v>2274921.4775</c:v>
                </c:pt>
                <c:pt idx="205">
                  <c:v>2274921.4775</c:v>
                </c:pt>
                <c:pt idx="206">
                  <c:v>2274921.4775</c:v>
                </c:pt>
                <c:pt idx="207">
                  <c:v>2274921.4775</c:v>
                </c:pt>
                <c:pt idx="208">
                  <c:v>2274921.4775</c:v>
                </c:pt>
                <c:pt idx="209">
                  <c:v>2274921.4775</c:v>
                </c:pt>
                <c:pt idx="210">
                  <c:v>2274921.4775</c:v>
                </c:pt>
                <c:pt idx="211">
                  <c:v>2274921.4775</c:v>
                </c:pt>
                <c:pt idx="212">
                  <c:v>2274921.4775</c:v>
                </c:pt>
                <c:pt idx="213">
                  <c:v>2274921.4775</c:v>
                </c:pt>
                <c:pt idx="214">
                  <c:v>2274921.4775</c:v>
                </c:pt>
                <c:pt idx="215">
                  <c:v>2274921.4775</c:v>
                </c:pt>
                <c:pt idx="216">
                  <c:v>2274921.4775</c:v>
                </c:pt>
                <c:pt idx="217">
                  <c:v>2274921.4775</c:v>
                </c:pt>
                <c:pt idx="218">
                  <c:v>2274921.4775</c:v>
                </c:pt>
                <c:pt idx="219">
                  <c:v>2274921.4775</c:v>
                </c:pt>
                <c:pt idx="220">
                  <c:v>2274921.4775</c:v>
                </c:pt>
                <c:pt idx="221">
                  <c:v>2274921.4775</c:v>
                </c:pt>
                <c:pt idx="222">
                  <c:v>2274921.4775</c:v>
                </c:pt>
                <c:pt idx="223">
                  <c:v>2274921.4775</c:v>
                </c:pt>
                <c:pt idx="224">
                  <c:v>2274921.4775</c:v>
                </c:pt>
                <c:pt idx="225">
                  <c:v>2274921.4775</c:v>
                </c:pt>
                <c:pt idx="226">
                  <c:v>2274921.4775</c:v>
                </c:pt>
                <c:pt idx="227">
                  <c:v>2274921.4775</c:v>
                </c:pt>
                <c:pt idx="228">
                  <c:v>2274921.4775</c:v>
                </c:pt>
                <c:pt idx="229">
                  <c:v>2274921.4775</c:v>
                </c:pt>
                <c:pt idx="230">
                  <c:v>2274921.4775</c:v>
                </c:pt>
                <c:pt idx="231">
                  <c:v>2274921.4775</c:v>
                </c:pt>
                <c:pt idx="232">
                  <c:v>2274921.4775</c:v>
                </c:pt>
                <c:pt idx="233">
                  <c:v>2274921.4775</c:v>
                </c:pt>
                <c:pt idx="234">
                  <c:v>2274921.4775</c:v>
                </c:pt>
                <c:pt idx="235">
                  <c:v>2274921.4775</c:v>
                </c:pt>
                <c:pt idx="236">
                  <c:v>2274921.4775</c:v>
                </c:pt>
                <c:pt idx="237">
                  <c:v>2274921.4775</c:v>
                </c:pt>
                <c:pt idx="238">
                  <c:v>2274921.4775</c:v>
                </c:pt>
                <c:pt idx="239">
                  <c:v>2274921.4775</c:v>
                </c:pt>
                <c:pt idx="240">
                  <c:v>2274921.4775</c:v>
                </c:pt>
                <c:pt idx="241">
                  <c:v>2274921.4775</c:v>
                </c:pt>
                <c:pt idx="242">
                  <c:v>2274921.4775</c:v>
                </c:pt>
                <c:pt idx="243">
                  <c:v>2274921.4775</c:v>
                </c:pt>
                <c:pt idx="244">
                  <c:v>2274921.4775</c:v>
                </c:pt>
                <c:pt idx="245">
                  <c:v>2274921.4775</c:v>
                </c:pt>
                <c:pt idx="246">
                  <c:v>2274921.4775</c:v>
                </c:pt>
                <c:pt idx="247">
                  <c:v>2274921.4775</c:v>
                </c:pt>
                <c:pt idx="248">
                  <c:v>2274921.4775</c:v>
                </c:pt>
                <c:pt idx="249">
                  <c:v>2274921.4775</c:v>
                </c:pt>
                <c:pt idx="250">
                  <c:v>2274921.4775</c:v>
                </c:pt>
                <c:pt idx="251">
                  <c:v>2274921.4775</c:v>
                </c:pt>
                <c:pt idx="252">
                  <c:v>2274921.4775</c:v>
                </c:pt>
                <c:pt idx="253">
                  <c:v>2274921.4775</c:v>
                </c:pt>
                <c:pt idx="254">
                  <c:v>2274921.4775</c:v>
                </c:pt>
                <c:pt idx="255">
                  <c:v>2274921.4775</c:v>
                </c:pt>
                <c:pt idx="256">
                  <c:v>2274921.4775</c:v>
                </c:pt>
                <c:pt idx="257">
                  <c:v>2274921.4775</c:v>
                </c:pt>
                <c:pt idx="258">
                  <c:v>2274921.4775</c:v>
                </c:pt>
                <c:pt idx="259">
                  <c:v>2274921.4775</c:v>
                </c:pt>
                <c:pt idx="260">
                  <c:v>2274921.4775</c:v>
                </c:pt>
                <c:pt idx="261">
                  <c:v>2274921.4775</c:v>
                </c:pt>
                <c:pt idx="262">
                  <c:v>2274921.4775</c:v>
                </c:pt>
                <c:pt idx="263">
                  <c:v>2274921.4775</c:v>
                </c:pt>
                <c:pt idx="264">
                  <c:v>2274921.4775</c:v>
                </c:pt>
                <c:pt idx="265">
                  <c:v>2274921.4775</c:v>
                </c:pt>
                <c:pt idx="266">
                  <c:v>2274921.4775</c:v>
                </c:pt>
                <c:pt idx="267">
                  <c:v>2274921.4775</c:v>
                </c:pt>
                <c:pt idx="268">
                  <c:v>2274921.4775</c:v>
                </c:pt>
                <c:pt idx="269">
                  <c:v>2274921.4775</c:v>
                </c:pt>
                <c:pt idx="270">
                  <c:v>2274921.4775</c:v>
                </c:pt>
                <c:pt idx="271">
                  <c:v>2274921.4775</c:v>
                </c:pt>
                <c:pt idx="272">
                  <c:v>2274921.4775</c:v>
                </c:pt>
                <c:pt idx="273">
                  <c:v>2274921.4775</c:v>
                </c:pt>
                <c:pt idx="274">
                  <c:v>2274921.4775</c:v>
                </c:pt>
                <c:pt idx="275">
                  <c:v>2274921.4775</c:v>
                </c:pt>
                <c:pt idx="276">
                  <c:v>2274921.4775</c:v>
                </c:pt>
                <c:pt idx="277">
                  <c:v>2274921.4775</c:v>
                </c:pt>
                <c:pt idx="278">
                  <c:v>2274921.4775</c:v>
                </c:pt>
                <c:pt idx="279">
                  <c:v>2274921.4775</c:v>
                </c:pt>
                <c:pt idx="280">
                  <c:v>2274921.4775</c:v>
                </c:pt>
                <c:pt idx="281">
                  <c:v>2274921.4775</c:v>
                </c:pt>
                <c:pt idx="282">
                  <c:v>2274921.4775</c:v>
                </c:pt>
                <c:pt idx="283">
                  <c:v>2274921.4775</c:v>
                </c:pt>
                <c:pt idx="284">
                  <c:v>2274921.4775</c:v>
                </c:pt>
                <c:pt idx="285">
                  <c:v>2274921.4775</c:v>
                </c:pt>
                <c:pt idx="286">
                  <c:v>2274921.4775</c:v>
                </c:pt>
                <c:pt idx="287">
                  <c:v>2274921.4775</c:v>
                </c:pt>
                <c:pt idx="288">
                  <c:v>2274921.4775</c:v>
                </c:pt>
                <c:pt idx="289">
                  <c:v>2274921.4775</c:v>
                </c:pt>
                <c:pt idx="290">
                  <c:v>2274921.4775</c:v>
                </c:pt>
                <c:pt idx="291">
                  <c:v>2274921.4775</c:v>
                </c:pt>
                <c:pt idx="292">
                  <c:v>2274921.4775</c:v>
                </c:pt>
                <c:pt idx="293">
                  <c:v>2274921.4775</c:v>
                </c:pt>
                <c:pt idx="294">
                  <c:v>2274921.4775</c:v>
                </c:pt>
                <c:pt idx="295">
                  <c:v>2274921.4775</c:v>
                </c:pt>
                <c:pt idx="296">
                  <c:v>2274921.4775</c:v>
                </c:pt>
                <c:pt idx="297">
                  <c:v>2274921.4775</c:v>
                </c:pt>
                <c:pt idx="298">
                  <c:v>2274921.4775</c:v>
                </c:pt>
                <c:pt idx="299">
                  <c:v>2274921.4775</c:v>
                </c:pt>
                <c:pt idx="300">
                  <c:v>2274921.4775</c:v>
                </c:pt>
                <c:pt idx="301">
                  <c:v>2274921.4775</c:v>
                </c:pt>
                <c:pt idx="302">
                  <c:v>2274921.4775</c:v>
                </c:pt>
                <c:pt idx="303">
                  <c:v>2274921.4775</c:v>
                </c:pt>
                <c:pt idx="304">
                  <c:v>2274921.4775</c:v>
                </c:pt>
                <c:pt idx="305">
                  <c:v>2274921.4775</c:v>
                </c:pt>
                <c:pt idx="306">
                  <c:v>2274921.4775</c:v>
                </c:pt>
                <c:pt idx="307">
                  <c:v>2274921.4775</c:v>
                </c:pt>
                <c:pt idx="308">
                  <c:v>2274921.4775</c:v>
                </c:pt>
                <c:pt idx="309">
                  <c:v>2274921.4775</c:v>
                </c:pt>
                <c:pt idx="310">
                  <c:v>2274921.4775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862397.94911932014</c:v>
                </c:pt>
                <c:pt idx="55">
                  <c:v>862397.94911932014</c:v>
                </c:pt>
                <c:pt idx="56">
                  <c:v>862397.94911932014</c:v>
                </c:pt>
                <c:pt idx="57">
                  <c:v>862397.94911932014</c:v>
                </c:pt>
                <c:pt idx="58">
                  <c:v>862397.94911932014</c:v>
                </c:pt>
                <c:pt idx="59">
                  <c:v>862397.94911932014</c:v>
                </c:pt>
                <c:pt idx="60">
                  <c:v>862397.94911932014</c:v>
                </c:pt>
                <c:pt idx="61">
                  <c:v>862397.94911932014</c:v>
                </c:pt>
                <c:pt idx="62">
                  <c:v>862397.94911932014</c:v>
                </c:pt>
                <c:pt idx="63">
                  <c:v>862397.94911932014</c:v>
                </c:pt>
                <c:pt idx="64">
                  <c:v>862397.94911932014</c:v>
                </c:pt>
                <c:pt idx="65">
                  <c:v>862397.94911932014</c:v>
                </c:pt>
                <c:pt idx="66">
                  <c:v>862397.94911932014</c:v>
                </c:pt>
                <c:pt idx="67">
                  <c:v>862397.94911932014</c:v>
                </c:pt>
                <c:pt idx="68">
                  <c:v>862397.94911932014</c:v>
                </c:pt>
                <c:pt idx="69">
                  <c:v>862397.94911932014</c:v>
                </c:pt>
                <c:pt idx="70">
                  <c:v>862397.94911932014</c:v>
                </c:pt>
                <c:pt idx="71">
                  <c:v>862397.94911932014</c:v>
                </c:pt>
                <c:pt idx="72">
                  <c:v>862397.94911932014</c:v>
                </c:pt>
                <c:pt idx="73">
                  <c:v>862397.94911932014</c:v>
                </c:pt>
                <c:pt idx="74">
                  <c:v>862397.94911932014</c:v>
                </c:pt>
                <c:pt idx="75">
                  <c:v>862397.94911932014</c:v>
                </c:pt>
                <c:pt idx="76">
                  <c:v>862397.94911932014</c:v>
                </c:pt>
                <c:pt idx="77">
                  <c:v>862397.94911932014</c:v>
                </c:pt>
                <c:pt idx="78">
                  <c:v>862397.94911932014</c:v>
                </c:pt>
                <c:pt idx="79">
                  <c:v>862397.94911932014</c:v>
                </c:pt>
                <c:pt idx="80">
                  <c:v>862397.94911932014</c:v>
                </c:pt>
                <c:pt idx="81">
                  <c:v>862397.94911932014</c:v>
                </c:pt>
                <c:pt idx="82">
                  <c:v>862397.94911932014</c:v>
                </c:pt>
                <c:pt idx="83">
                  <c:v>862397.94911932014</c:v>
                </c:pt>
                <c:pt idx="84">
                  <c:v>862397.94911932014</c:v>
                </c:pt>
                <c:pt idx="85">
                  <c:v>862397.94911932014</c:v>
                </c:pt>
                <c:pt idx="86">
                  <c:v>862397.94911932014</c:v>
                </c:pt>
                <c:pt idx="87">
                  <c:v>862397.94911932014</c:v>
                </c:pt>
                <c:pt idx="88">
                  <c:v>862397.94911932014</c:v>
                </c:pt>
                <c:pt idx="89">
                  <c:v>862397.94911932014</c:v>
                </c:pt>
                <c:pt idx="90">
                  <c:v>862397.94911932014</c:v>
                </c:pt>
                <c:pt idx="91">
                  <c:v>862397.94911932014</c:v>
                </c:pt>
                <c:pt idx="92">
                  <c:v>862397.94911932014</c:v>
                </c:pt>
                <c:pt idx="93">
                  <c:v>862397.94911932014</c:v>
                </c:pt>
                <c:pt idx="94">
                  <c:v>862397.94911932014</c:v>
                </c:pt>
                <c:pt idx="95">
                  <c:v>862397.94911932014</c:v>
                </c:pt>
                <c:pt idx="96">
                  <c:v>862397.94911932014</c:v>
                </c:pt>
                <c:pt idx="97">
                  <c:v>862397.94911932014</c:v>
                </c:pt>
                <c:pt idx="98">
                  <c:v>862397.94911932014</c:v>
                </c:pt>
                <c:pt idx="99">
                  <c:v>862397.94911932014</c:v>
                </c:pt>
                <c:pt idx="100">
                  <c:v>862397.94911932014</c:v>
                </c:pt>
                <c:pt idx="101">
                  <c:v>862397.94911932014</c:v>
                </c:pt>
                <c:pt idx="102">
                  <c:v>862397.94911932014</c:v>
                </c:pt>
                <c:pt idx="103">
                  <c:v>862397.94911932014</c:v>
                </c:pt>
                <c:pt idx="104">
                  <c:v>862397.94911932014</c:v>
                </c:pt>
                <c:pt idx="105">
                  <c:v>862397.94911932014</c:v>
                </c:pt>
                <c:pt idx="106">
                  <c:v>862397.94911932014</c:v>
                </c:pt>
                <c:pt idx="107">
                  <c:v>862397.94911932014</c:v>
                </c:pt>
                <c:pt idx="108">
                  <c:v>862397.94911932014</c:v>
                </c:pt>
                <c:pt idx="109">
                  <c:v>862397.94911932014</c:v>
                </c:pt>
                <c:pt idx="110">
                  <c:v>862397.94911932014</c:v>
                </c:pt>
                <c:pt idx="111">
                  <c:v>862397.94911932014</c:v>
                </c:pt>
                <c:pt idx="112">
                  <c:v>862397.94911932014</c:v>
                </c:pt>
                <c:pt idx="113">
                  <c:v>862397.94911932014</c:v>
                </c:pt>
                <c:pt idx="114">
                  <c:v>862397.94911932014</c:v>
                </c:pt>
                <c:pt idx="115">
                  <c:v>862397.94911932014</c:v>
                </c:pt>
                <c:pt idx="116">
                  <c:v>862397.94911932014</c:v>
                </c:pt>
                <c:pt idx="117">
                  <c:v>862397.94911932014</c:v>
                </c:pt>
                <c:pt idx="118">
                  <c:v>862397.94911932014</c:v>
                </c:pt>
                <c:pt idx="119">
                  <c:v>862397.94911932014</c:v>
                </c:pt>
                <c:pt idx="120">
                  <c:v>862397.94911932014</c:v>
                </c:pt>
                <c:pt idx="121">
                  <c:v>862397.94911932014</c:v>
                </c:pt>
                <c:pt idx="122">
                  <c:v>862397.94911932014</c:v>
                </c:pt>
                <c:pt idx="123">
                  <c:v>862397.94911932014</c:v>
                </c:pt>
                <c:pt idx="124">
                  <c:v>862397.94911932014</c:v>
                </c:pt>
                <c:pt idx="125">
                  <c:v>862397.94911932014</c:v>
                </c:pt>
                <c:pt idx="126">
                  <c:v>862397.94911932014</c:v>
                </c:pt>
                <c:pt idx="127">
                  <c:v>862397.94911932014</c:v>
                </c:pt>
                <c:pt idx="128">
                  <c:v>862397.94911932014</c:v>
                </c:pt>
                <c:pt idx="129">
                  <c:v>862397.94911932014</c:v>
                </c:pt>
                <c:pt idx="130">
                  <c:v>862397.94911932014</c:v>
                </c:pt>
                <c:pt idx="131">
                  <c:v>862397.94911932014</c:v>
                </c:pt>
                <c:pt idx="132">
                  <c:v>862397.94911932014</c:v>
                </c:pt>
                <c:pt idx="133">
                  <c:v>862397.94911932014</c:v>
                </c:pt>
                <c:pt idx="134">
                  <c:v>862397.94911932014</c:v>
                </c:pt>
                <c:pt idx="135">
                  <c:v>862397.94911932014</c:v>
                </c:pt>
                <c:pt idx="136">
                  <c:v>862397.94911932014</c:v>
                </c:pt>
                <c:pt idx="137">
                  <c:v>862397.94911932014</c:v>
                </c:pt>
                <c:pt idx="138">
                  <c:v>862397.94911932014</c:v>
                </c:pt>
                <c:pt idx="139">
                  <c:v>862397.94911932014</c:v>
                </c:pt>
                <c:pt idx="140">
                  <c:v>862397.94911932014</c:v>
                </c:pt>
                <c:pt idx="141">
                  <c:v>862397.94911932014</c:v>
                </c:pt>
                <c:pt idx="142">
                  <c:v>862397.94911932014</c:v>
                </c:pt>
                <c:pt idx="143">
                  <c:v>862397.94911932014</c:v>
                </c:pt>
                <c:pt idx="144">
                  <c:v>862397.94911932014</c:v>
                </c:pt>
                <c:pt idx="145">
                  <c:v>862397.94911932014</c:v>
                </c:pt>
                <c:pt idx="146">
                  <c:v>862397.94911932014</c:v>
                </c:pt>
                <c:pt idx="147">
                  <c:v>862397.94911932014</c:v>
                </c:pt>
                <c:pt idx="148">
                  <c:v>862397.94911932014</c:v>
                </c:pt>
                <c:pt idx="149">
                  <c:v>862397.94911932014</c:v>
                </c:pt>
                <c:pt idx="150">
                  <c:v>862397.94911932014</c:v>
                </c:pt>
                <c:pt idx="151">
                  <c:v>862397.94911932014</c:v>
                </c:pt>
                <c:pt idx="152">
                  <c:v>862397.94911932014</c:v>
                </c:pt>
                <c:pt idx="153">
                  <c:v>862397.94911932014</c:v>
                </c:pt>
                <c:pt idx="154">
                  <c:v>862397.94911932014</c:v>
                </c:pt>
                <c:pt idx="155">
                  <c:v>862397.94911932014</c:v>
                </c:pt>
                <c:pt idx="156">
                  <c:v>862397.94911932014</c:v>
                </c:pt>
                <c:pt idx="157">
                  <c:v>862397.94911932014</c:v>
                </c:pt>
                <c:pt idx="158">
                  <c:v>862397.94911932014</c:v>
                </c:pt>
                <c:pt idx="159">
                  <c:v>862397.94911932014</c:v>
                </c:pt>
                <c:pt idx="160">
                  <c:v>862397.94911932014</c:v>
                </c:pt>
                <c:pt idx="161">
                  <c:v>862397.94911932014</c:v>
                </c:pt>
                <c:pt idx="162">
                  <c:v>862397.94911932014</c:v>
                </c:pt>
                <c:pt idx="163">
                  <c:v>862397.94911932014</c:v>
                </c:pt>
                <c:pt idx="164">
                  <c:v>862397.94911932014</c:v>
                </c:pt>
                <c:pt idx="165">
                  <c:v>862397.94911932014</c:v>
                </c:pt>
                <c:pt idx="166">
                  <c:v>862397.94911932014</c:v>
                </c:pt>
                <c:pt idx="167">
                  <c:v>862397.94911932014</c:v>
                </c:pt>
                <c:pt idx="168">
                  <c:v>862397.94911932014</c:v>
                </c:pt>
                <c:pt idx="169">
                  <c:v>862397.94911932014</c:v>
                </c:pt>
                <c:pt idx="170">
                  <c:v>862397.94911932014</c:v>
                </c:pt>
                <c:pt idx="171">
                  <c:v>862397.94911932014</c:v>
                </c:pt>
                <c:pt idx="172">
                  <c:v>862397.94911932014</c:v>
                </c:pt>
                <c:pt idx="173">
                  <c:v>862397.94911932014</c:v>
                </c:pt>
                <c:pt idx="174">
                  <c:v>862397.94911932014</c:v>
                </c:pt>
                <c:pt idx="175">
                  <c:v>862397.94911932014</c:v>
                </c:pt>
                <c:pt idx="176">
                  <c:v>862397.94911932014</c:v>
                </c:pt>
                <c:pt idx="177">
                  <c:v>862397.94911932014</c:v>
                </c:pt>
                <c:pt idx="178">
                  <c:v>862397.94911932014</c:v>
                </c:pt>
                <c:pt idx="179">
                  <c:v>862397.94911932014</c:v>
                </c:pt>
                <c:pt idx="180">
                  <c:v>862397.94911932014</c:v>
                </c:pt>
                <c:pt idx="181">
                  <c:v>862397.94911932014</c:v>
                </c:pt>
                <c:pt idx="182">
                  <c:v>862397.94911932014</c:v>
                </c:pt>
                <c:pt idx="183">
                  <c:v>862397.94911932014</c:v>
                </c:pt>
                <c:pt idx="184">
                  <c:v>862397.94911932014</c:v>
                </c:pt>
                <c:pt idx="185">
                  <c:v>862397.94911932014</c:v>
                </c:pt>
                <c:pt idx="186">
                  <c:v>862397.94911932014</c:v>
                </c:pt>
                <c:pt idx="187">
                  <c:v>862397.94911932014</c:v>
                </c:pt>
                <c:pt idx="188">
                  <c:v>862397.94911932014</c:v>
                </c:pt>
                <c:pt idx="189">
                  <c:v>862397.94911932014</c:v>
                </c:pt>
                <c:pt idx="190">
                  <c:v>862397.94911932014</c:v>
                </c:pt>
                <c:pt idx="191">
                  <c:v>862397.94911932014</c:v>
                </c:pt>
                <c:pt idx="192">
                  <c:v>862397.94911932014</c:v>
                </c:pt>
                <c:pt idx="193">
                  <c:v>862397.94911932014</c:v>
                </c:pt>
                <c:pt idx="194">
                  <c:v>862397.94911932014</c:v>
                </c:pt>
                <c:pt idx="195">
                  <c:v>862397.94911932014</c:v>
                </c:pt>
                <c:pt idx="196">
                  <c:v>862397.94911932014</c:v>
                </c:pt>
                <c:pt idx="197">
                  <c:v>862397.94911932014</c:v>
                </c:pt>
                <c:pt idx="198">
                  <c:v>862397.94911932014</c:v>
                </c:pt>
                <c:pt idx="199">
                  <c:v>862397.94911932014</c:v>
                </c:pt>
                <c:pt idx="200">
                  <c:v>862397.94911932014</c:v>
                </c:pt>
                <c:pt idx="201">
                  <c:v>862397.94911932014</c:v>
                </c:pt>
                <c:pt idx="202">
                  <c:v>862397.94911932014</c:v>
                </c:pt>
                <c:pt idx="203">
                  <c:v>862397.94911932014</c:v>
                </c:pt>
                <c:pt idx="204">
                  <c:v>862397.94911932014</c:v>
                </c:pt>
                <c:pt idx="205">
                  <c:v>862397.94911932014</c:v>
                </c:pt>
                <c:pt idx="206">
                  <c:v>862397.94911932014</c:v>
                </c:pt>
                <c:pt idx="207">
                  <c:v>862397.94911932014</c:v>
                </c:pt>
                <c:pt idx="208">
                  <c:v>862397.94911932014</c:v>
                </c:pt>
                <c:pt idx="209">
                  <c:v>862397.94911932014</c:v>
                </c:pt>
                <c:pt idx="210">
                  <c:v>862397.94911932014</c:v>
                </c:pt>
                <c:pt idx="211">
                  <c:v>862397.94911932014</c:v>
                </c:pt>
                <c:pt idx="212">
                  <c:v>862397.94911932014</c:v>
                </c:pt>
                <c:pt idx="213">
                  <c:v>862397.94911932014</c:v>
                </c:pt>
                <c:pt idx="214">
                  <c:v>862397.94911932014</c:v>
                </c:pt>
                <c:pt idx="215">
                  <c:v>862397.94911932014</c:v>
                </c:pt>
                <c:pt idx="216">
                  <c:v>862397.94911932014</c:v>
                </c:pt>
                <c:pt idx="217">
                  <c:v>862397.94911932014</c:v>
                </c:pt>
                <c:pt idx="218">
                  <c:v>862397.94911932014</c:v>
                </c:pt>
                <c:pt idx="219">
                  <c:v>862397.94911932014</c:v>
                </c:pt>
                <c:pt idx="220">
                  <c:v>862397.94911932014</c:v>
                </c:pt>
                <c:pt idx="221">
                  <c:v>862397.94911932014</c:v>
                </c:pt>
                <c:pt idx="222">
                  <c:v>862397.94911932014</c:v>
                </c:pt>
                <c:pt idx="223">
                  <c:v>862397.94911932014</c:v>
                </c:pt>
                <c:pt idx="224">
                  <c:v>862397.94911932014</c:v>
                </c:pt>
                <c:pt idx="225">
                  <c:v>862397.94911932014</c:v>
                </c:pt>
                <c:pt idx="226">
                  <c:v>862397.94911932014</c:v>
                </c:pt>
                <c:pt idx="227">
                  <c:v>862397.94911932014</c:v>
                </c:pt>
                <c:pt idx="228">
                  <c:v>862397.94911932014</c:v>
                </c:pt>
                <c:pt idx="229">
                  <c:v>862397.94911932014</c:v>
                </c:pt>
                <c:pt idx="230">
                  <c:v>862397.94911932014</c:v>
                </c:pt>
                <c:pt idx="231">
                  <c:v>862397.94911932014</c:v>
                </c:pt>
                <c:pt idx="232">
                  <c:v>862397.94911932014</c:v>
                </c:pt>
                <c:pt idx="233">
                  <c:v>862397.94911932014</c:v>
                </c:pt>
                <c:pt idx="234">
                  <c:v>862397.94911932014</c:v>
                </c:pt>
                <c:pt idx="235">
                  <c:v>862397.94911932014</c:v>
                </c:pt>
                <c:pt idx="236">
                  <c:v>862397.94911932014</c:v>
                </c:pt>
                <c:pt idx="237">
                  <c:v>862397.94911932014</c:v>
                </c:pt>
                <c:pt idx="238">
                  <c:v>862397.94911932014</c:v>
                </c:pt>
                <c:pt idx="239">
                  <c:v>862397.94911932014</c:v>
                </c:pt>
                <c:pt idx="240">
                  <c:v>862397.94911932014</c:v>
                </c:pt>
                <c:pt idx="241">
                  <c:v>862397.94911932014</c:v>
                </c:pt>
                <c:pt idx="242">
                  <c:v>862397.94911932014</c:v>
                </c:pt>
                <c:pt idx="243">
                  <c:v>862397.94911932014</c:v>
                </c:pt>
                <c:pt idx="244">
                  <c:v>862397.94911932014</c:v>
                </c:pt>
                <c:pt idx="245">
                  <c:v>862397.94911932014</c:v>
                </c:pt>
                <c:pt idx="246">
                  <c:v>862397.94911932014</c:v>
                </c:pt>
                <c:pt idx="247">
                  <c:v>862397.94911932014</c:v>
                </c:pt>
                <c:pt idx="248">
                  <c:v>862397.94911932014</c:v>
                </c:pt>
                <c:pt idx="249">
                  <c:v>862397.94911932014</c:v>
                </c:pt>
                <c:pt idx="250">
                  <c:v>862397.94911932014</c:v>
                </c:pt>
                <c:pt idx="251">
                  <c:v>862397.94911932014</c:v>
                </c:pt>
                <c:pt idx="252">
                  <c:v>862397.94911932014</c:v>
                </c:pt>
                <c:pt idx="253">
                  <c:v>862397.94911932014</c:v>
                </c:pt>
                <c:pt idx="254">
                  <c:v>862397.94911932014</c:v>
                </c:pt>
                <c:pt idx="255">
                  <c:v>862397.94911932014</c:v>
                </c:pt>
                <c:pt idx="256">
                  <c:v>862397.94911932014</c:v>
                </c:pt>
                <c:pt idx="257">
                  <c:v>862397.94911932014</c:v>
                </c:pt>
                <c:pt idx="258">
                  <c:v>862397.94911932014</c:v>
                </c:pt>
                <c:pt idx="259">
                  <c:v>862397.94911932014</c:v>
                </c:pt>
                <c:pt idx="260">
                  <c:v>862397.94911932014</c:v>
                </c:pt>
                <c:pt idx="261">
                  <c:v>862397.94911932014</c:v>
                </c:pt>
                <c:pt idx="262">
                  <c:v>862397.94911932014</c:v>
                </c:pt>
                <c:pt idx="263">
                  <c:v>862397.94911932014</c:v>
                </c:pt>
                <c:pt idx="264">
                  <c:v>862397.94911932014</c:v>
                </c:pt>
                <c:pt idx="265">
                  <c:v>862397.94911932014</c:v>
                </c:pt>
                <c:pt idx="266">
                  <c:v>862397.94911932014</c:v>
                </c:pt>
                <c:pt idx="267">
                  <c:v>862397.94911932014</c:v>
                </c:pt>
                <c:pt idx="268">
                  <c:v>862397.94911932014</c:v>
                </c:pt>
                <c:pt idx="269">
                  <c:v>862397.94911932014</c:v>
                </c:pt>
                <c:pt idx="270">
                  <c:v>862397.94911932014</c:v>
                </c:pt>
                <c:pt idx="271">
                  <c:v>862397.94911932014</c:v>
                </c:pt>
                <c:pt idx="272">
                  <c:v>862397.94911932014</c:v>
                </c:pt>
                <c:pt idx="273">
                  <c:v>862397.94911932014</c:v>
                </c:pt>
                <c:pt idx="274">
                  <c:v>862397.94911932014</c:v>
                </c:pt>
                <c:pt idx="275">
                  <c:v>862397.94911932014</c:v>
                </c:pt>
                <c:pt idx="276">
                  <c:v>862397.94911932014</c:v>
                </c:pt>
                <c:pt idx="277">
                  <c:v>862397.94911932014</c:v>
                </c:pt>
                <c:pt idx="278">
                  <c:v>862397.94911932014</c:v>
                </c:pt>
                <c:pt idx="279">
                  <c:v>862397.94911932014</c:v>
                </c:pt>
                <c:pt idx="280">
                  <c:v>862397.94911932014</c:v>
                </c:pt>
                <c:pt idx="281">
                  <c:v>862397.94911932014</c:v>
                </c:pt>
                <c:pt idx="282">
                  <c:v>862397.94911932014</c:v>
                </c:pt>
                <c:pt idx="283">
                  <c:v>862397.94911932014</c:v>
                </c:pt>
                <c:pt idx="284">
                  <c:v>862397.94911932014</c:v>
                </c:pt>
                <c:pt idx="285">
                  <c:v>862397.94911932014</c:v>
                </c:pt>
                <c:pt idx="286">
                  <c:v>862397.94911932014</c:v>
                </c:pt>
                <c:pt idx="287">
                  <c:v>862397.94911932014</c:v>
                </c:pt>
                <c:pt idx="288">
                  <c:v>862397.94911932014</c:v>
                </c:pt>
                <c:pt idx="289">
                  <c:v>862397.94911932014</c:v>
                </c:pt>
                <c:pt idx="290">
                  <c:v>862397.94911932014</c:v>
                </c:pt>
                <c:pt idx="291">
                  <c:v>862397.94911932014</c:v>
                </c:pt>
                <c:pt idx="292">
                  <c:v>862397.94911932014</c:v>
                </c:pt>
                <c:pt idx="293">
                  <c:v>862397.94911932014</c:v>
                </c:pt>
                <c:pt idx="294">
                  <c:v>862397.94911932014</c:v>
                </c:pt>
                <c:pt idx="295">
                  <c:v>862397.94911932014</c:v>
                </c:pt>
                <c:pt idx="296">
                  <c:v>862397.94911932014</c:v>
                </c:pt>
                <c:pt idx="297">
                  <c:v>862397.94911932014</c:v>
                </c:pt>
                <c:pt idx="298">
                  <c:v>862397.94911932014</c:v>
                </c:pt>
                <c:pt idx="299">
                  <c:v>862397.94911932014</c:v>
                </c:pt>
                <c:pt idx="300">
                  <c:v>862397.94911932014</c:v>
                </c:pt>
                <c:pt idx="301">
                  <c:v>862397.94911932014</c:v>
                </c:pt>
                <c:pt idx="302">
                  <c:v>862397.94911932014</c:v>
                </c:pt>
                <c:pt idx="303">
                  <c:v>862397.94911932014</c:v>
                </c:pt>
                <c:pt idx="304">
                  <c:v>862397.94911932014</c:v>
                </c:pt>
                <c:pt idx="305">
                  <c:v>862397.94911932014</c:v>
                </c:pt>
                <c:pt idx="306">
                  <c:v>862397.94911932014</c:v>
                </c:pt>
                <c:pt idx="307">
                  <c:v>862397.94911932014</c:v>
                </c:pt>
                <c:pt idx="308">
                  <c:v>862397.94911932014</c:v>
                </c:pt>
                <c:pt idx="309">
                  <c:v>862397.94911932014</c:v>
                </c:pt>
                <c:pt idx="310">
                  <c:v>862397.94911932014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3199251.4647036772</c:v>
                </c:pt>
                <c:pt idx="54">
                  <c:v>3199251.4647036772</c:v>
                </c:pt>
                <c:pt idx="55">
                  <c:v>3199251.4647036772</c:v>
                </c:pt>
                <c:pt idx="56">
                  <c:v>3199251.4647036772</c:v>
                </c:pt>
                <c:pt idx="57">
                  <c:v>3199251.4647036772</c:v>
                </c:pt>
                <c:pt idx="58">
                  <c:v>3199251.4647036772</c:v>
                </c:pt>
                <c:pt idx="59">
                  <c:v>3199251.4647036772</c:v>
                </c:pt>
                <c:pt idx="60">
                  <c:v>3199251.4647036772</c:v>
                </c:pt>
                <c:pt idx="61">
                  <c:v>3199251.4647036772</c:v>
                </c:pt>
                <c:pt idx="62">
                  <c:v>3199251.4647036772</c:v>
                </c:pt>
                <c:pt idx="63">
                  <c:v>3199251.4647036772</c:v>
                </c:pt>
                <c:pt idx="64">
                  <c:v>3199251.4647036772</c:v>
                </c:pt>
                <c:pt idx="65">
                  <c:v>3199251.4647036772</c:v>
                </c:pt>
                <c:pt idx="66">
                  <c:v>3199251.4647036772</c:v>
                </c:pt>
                <c:pt idx="67">
                  <c:v>3199251.4647036772</c:v>
                </c:pt>
                <c:pt idx="68">
                  <c:v>3199251.4647036772</c:v>
                </c:pt>
                <c:pt idx="69">
                  <c:v>3199251.4647036772</c:v>
                </c:pt>
                <c:pt idx="70">
                  <c:v>3199251.4647036772</c:v>
                </c:pt>
                <c:pt idx="71">
                  <c:v>3199251.4647036772</c:v>
                </c:pt>
                <c:pt idx="72">
                  <c:v>3199251.4647036772</c:v>
                </c:pt>
                <c:pt idx="73">
                  <c:v>3199251.4647036772</c:v>
                </c:pt>
                <c:pt idx="74">
                  <c:v>3199251.4647036772</c:v>
                </c:pt>
                <c:pt idx="75">
                  <c:v>3199251.4647036772</c:v>
                </c:pt>
                <c:pt idx="76">
                  <c:v>3199251.4647036772</c:v>
                </c:pt>
                <c:pt idx="77">
                  <c:v>3199251.4647036772</c:v>
                </c:pt>
                <c:pt idx="78">
                  <c:v>3199251.4647036772</c:v>
                </c:pt>
                <c:pt idx="79">
                  <c:v>3199251.4647036772</c:v>
                </c:pt>
                <c:pt idx="80">
                  <c:v>3199251.4647036772</c:v>
                </c:pt>
                <c:pt idx="81">
                  <c:v>3199251.4647036772</c:v>
                </c:pt>
                <c:pt idx="82">
                  <c:v>3199251.4647036772</c:v>
                </c:pt>
                <c:pt idx="83">
                  <c:v>3199251.4647036772</c:v>
                </c:pt>
                <c:pt idx="84">
                  <c:v>3199251.4647036772</c:v>
                </c:pt>
                <c:pt idx="85">
                  <c:v>3199251.4647036772</c:v>
                </c:pt>
                <c:pt idx="86">
                  <c:v>3199251.4647036772</c:v>
                </c:pt>
                <c:pt idx="87">
                  <c:v>3199251.4647036772</c:v>
                </c:pt>
                <c:pt idx="88">
                  <c:v>3199251.4647036772</c:v>
                </c:pt>
                <c:pt idx="89">
                  <c:v>3199251.4647036772</c:v>
                </c:pt>
                <c:pt idx="90">
                  <c:v>3199251.4647036772</c:v>
                </c:pt>
                <c:pt idx="91">
                  <c:v>3199251.4647036772</c:v>
                </c:pt>
                <c:pt idx="92">
                  <c:v>3199251.4647036772</c:v>
                </c:pt>
                <c:pt idx="93">
                  <c:v>3199251.4647036772</c:v>
                </c:pt>
                <c:pt idx="94">
                  <c:v>3199251.4647036772</c:v>
                </c:pt>
                <c:pt idx="95">
                  <c:v>3199251.4647036772</c:v>
                </c:pt>
                <c:pt idx="96">
                  <c:v>3199251.4647036772</c:v>
                </c:pt>
                <c:pt idx="97">
                  <c:v>3199251.4647036772</c:v>
                </c:pt>
                <c:pt idx="98">
                  <c:v>3199251.4647036772</c:v>
                </c:pt>
                <c:pt idx="99">
                  <c:v>3199251.4647036772</c:v>
                </c:pt>
                <c:pt idx="100">
                  <c:v>3199251.4647036772</c:v>
                </c:pt>
                <c:pt idx="101">
                  <c:v>3199251.4647036772</c:v>
                </c:pt>
                <c:pt idx="102">
                  <c:v>3199251.4647036772</c:v>
                </c:pt>
                <c:pt idx="103">
                  <c:v>3199251.4647036772</c:v>
                </c:pt>
                <c:pt idx="104">
                  <c:v>3199251.4647036772</c:v>
                </c:pt>
                <c:pt idx="105">
                  <c:v>3199251.4647036772</c:v>
                </c:pt>
                <c:pt idx="106">
                  <c:v>3199251.4647036772</c:v>
                </c:pt>
                <c:pt idx="107">
                  <c:v>3199251.4647036772</c:v>
                </c:pt>
                <c:pt idx="108">
                  <c:v>3199251.4647036772</c:v>
                </c:pt>
                <c:pt idx="109">
                  <c:v>3199251.4647036772</c:v>
                </c:pt>
                <c:pt idx="110">
                  <c:v>3199251.4647036772</c:v>
                </c:pt>
                <c:pt idx="111">
                  <c:v>3199251.4647036772</c:v>
                </c:pt>
                <c:pt idx="112">
                  <c:v>3199251.4647036772</c:v>
                </c:pt>
                <c:pt idx="113">
                  <c:v>3199251.4647036772</c:v>
                </c:pt>
                <c:pt idx="114">
                  <c:v>3199251.4647036772</c:v>
                </c:pt>
                <c:pt idx="115">
                  <c:v>3199251.4647036772</c:v>
                </c:pt>
                <c:pt idx="116">
                  <c:v>3199251.4647036772</c:v>
                </c:pt>
                <c:pt idx="117">
                  <c:v>3199251.4647036772</c:v>
                </c:pt>
                <c:pt idx="118">
                  <c:v>3199251.4647036772</c:v>
                </c:pt>
                <c:pt idx="119">
                  <c:v>3199251.4647036772</c:v>
                </c:pt>
                <c:pt idx="120">
                  <c:v>3199251.4647036772</c:v>
                </c:pt>
                <c:pt idx="121">
                  <c:v>3199251.4647036772</c:v>
                </c:pt>
                <c:pt idx="122">
                  <c:v>3199251.4647036772</c:v>
                </c:pt>
                <c:pt idx="123">
                  <c:v>3199251.4647036772</c:v>
                </c:pt>
                <c:pt idx="124">
                  <c:v>3199251.4647036772</c:v>
                </c:pt>
                <c:pt idx="125">
                  <c:v>3199251.4647036772</c:v>
                </c:pt>
                <c:pt idx="126">
                  <c:v>3199251.4647036772</c:v>
                </c:pt>
                <c:pt idx="127">
                  <c:v>3199251.4647036772</c:v>
                </c:pt>
                <c:pt idx="128">
                  <c:v>3199251.4647036772</c:v>
                </c:pt>
                <c:pt idx="129">
                  <c:v>3199251.4647036772</c:v>
                </c:pt>
                <c:pt idx="130">
                  <c:v>3199251.4647036772</c:v>
                </c:pt>
                <c:pt idx="131">
                  <c:v>3199251.4647036772</c:v>
                </c:pt>
                <c:pt idx="132">
                  <c:v>3199251.4647036772</c:v>
                </c:pt>
                <c:pt idx="133">
                  <c:v>3199251.4647036772</c:v>
                </c:pt>
                <c:pt idx="134">
                  <c:v>3199251.4647036772</c:v>
                </c:pt>
                <c:pt idx="135">
                  <c:v>3199251.4647036772</c:v>
                </c:pt>
                <c:pt idx="136">
                  <c:v>3199251.4647036772</c:v>
                </c:pt>
                <c:pt idx="137">
                  <c:v>3199251.4647036772</c:v>
                </c:pt>
                <c:pt idx="138">
                  <c:v>3199251.4647036772</c:v>
                </c:pt>
                <c:pt idx="139">
                  <c:v>3199251.4647036772</c:v>
                </c:pt>
                <c:pt idx="140">
                  <c:v>3199251.4647036772</c:v>
                </c:pt>
                <c:pt idx="141">
                  <c:v>3199251.4647036772</c:v>
                </c:pt>
                <c:pt idx="142">
                  <c:v>3199251.4647036772</c:v>
                </c:pt>
                <c:pt idx="143">
                  <c:v>3199251.4647036772</c:v>
                </c:pt>
                <c:pt idx="144">
                  <c:v>3199251.4647036772</c:v>
                </c:pt>
                <c:pt idx="145">
                  <c:v>3199251.4647036772</c:v>
                </c:pt>
                <c:pt idx="146">
                  <c:v>3199251.4647036772</c:v>
                </c:pt>
                <c:pt idx="147">
                  <c:v>3199251.4647036772</c:v>
                </c:pt>
                <c:pt idx="148">
                  <c:v>3199251.4647036772</c:v>
                </c:pt>
                <c:pt idx="149">
                  <c:v>3199251.4647036772</c:v>
                </c:pt>
                <c:pt idx="150">
                  <c:v>3199251.4647036772</c:v>
                </c:pt>
                <c:pt idx="151">
                  <c:v>3199251.4647036772</c:v>
                </c:pt>
                <c:pt idx="152">
                  <c:v>3199251.4647036772</c:v>
                </c:pt>
                <c:pt idx="153">
                  <c:v>3199251.4647036772</c:v>
                </c:pt>
                <c:pt idx="154">
                  <c:v>3199251.4647036772</c:v>
                </c:pt>
                <c:pt idx="155">
                  <c:v>3199251.4647036772</c:v>
                </c:pt>
                <c:pt idx="156">
                  <c:v>3199251.4647036772</c:v>
                </c:pt>
                <c:pt idx="157">
                  <c:v>3199251.4647036772</c:v>
                </c:pt>
                <c:pt idx="158">
                  <c:v>3199251.4647036772</c:v>
                </c:pt>
                <c:pt idx="159">
                  <c:v>3199251.4647036772</c:v>
                </c:pt>
                <c:pt idx="160">
                  <c:v>3199251.4647036772</c:v>
                </c:pt>
                <c:pt idx="161">
                  <c:v>3199251.4647036772</c:v>
                </c:pt>
                <c:pt idx="162">
                  <c:v>3199251.4647036772</c:v>
                </c:pt>
                <c:pt idx="163">
                  <c:v>3199251.4647036772</c:v>
                </c:pt>
                <c:pt idx="164">
                  <c:v>3199251.4647036772</c:v>
                </c:pt>
                <c:pt idx="165">
                  <c:v>3199251.4647036772</c:v>
                </c:pt>
                <c:pt idx="166">
                  <c:v>3199251.4647036772</c:v>
                </c:pt>
                <c:pt idx="167">
                  <c:v>3199251.4647036772</c:v>
                </c:pt>
                <c:pt idx="168">
                  <c:v>3199251.4647036772</c:v>
                </c:pt>
                <c:pt idx="169">
                  <c:v>3199251.4647036772</c:v>
                </c:pt>
                <c:pt idx="170">
                  <c:v>3199251.4647036772</c:v>
                </c:pt>
                <c:pt idx="171">
                  <c:v>3199251.4647036772</c:v>
                </c:pt>
                <c:pt idx="172">
                  <c:v>3199251.4647036772</c:v>
                </c:pt>
                <c:pt idx="173">
                  <c:v>3199251.4647036772</c:v>
                </c:pt>
                <c:pt idx="174">
                  <c:v>3199251.4647036772</c:v>
                </c:pt>
                <c:pt idx="175">
                  <c:v>3199251.4647036772</c:v>
                </c:pt>
                <c:pt idx="176">
                  <c:v>3199251.4647036772</c:v>
                </c:pt>
                <c:pt idx="177">
                  <c:v>3199251.4647036772</c:v>
                </c:pt>
                <c:pt idx="178">
                  <c:v>3199251.4647036772</c:v>
                </c:pt>
                <c:pt idx="179">
                  <c:v>3199251.4647036772</c:v>
                </c:pt>
                <c:pt idx="180">
                  <c:v>3199251.4647036772</c:v>
                </c:pt>
                <c:pt idx="181">
                  <c:v>3199251.4647036772</c:v>
                </c:pt>
                <c:pt idx="182">
                  <c:v>3199251.4647036772</c:v>
                </c:pt>
                <c:pt idx="183">
                  <c:v>3199251.4647036772</c:v>
                </c:pt>
                <c:pt idx="184">
                  <c:v>3199251.4647036772</c:v>
                </c:pt>
                <c:pt idx="185">
                  <c:v>3199251.4647036772</c:v>
                </c:pt>
                <c:pt idx="186">
                  <c:v>3199251.4647036772</c:v>
                </c:pt>
                <c:pt idx="187">
                  <c:v>3199251.4647036772</c:v>
                </c:pt>
                <c:pt idx="188">
                  <c:v>3199251.4647036772</c:v>
                </c:pt>
                <c:pt idx="189">
                  <c:v>3199251.4647036772</c:v>
                </c:pt>
                <c:pt idx="190">
                  <c:v>3199251.4647036772</c:v>
                </c:pt>
                <c:pt idx="191">
                  <c:v>3199251.4647036772</c:v>
                </c:pt>
                <c:pt idx="192">
                  <c:v>3199251.4647036772</c:v>
                </c:pt>
                <c:pt idx="193">
                  <c:v>3199251.4647036772</c:v>
                </c:pt>
                <c:pt idx="194">
                  <c:v>3199251.4647036772</c:v>
                </c:pt>
                <c:pt idx="195">
                  <c:v>3199251.4647036772</c:v>
                </c:pt>
                <c:pt idx="196">
                  <c:v>3199251.4647036772</c:v>
                </c:pt>
                <c:pt idx="197">
                  <c:v>3199251.4647036772</c:v>
                </c:pt>
                <c:pt idx="198">
                  <c:v>3199251.4647036772</c:v>
                </c:pt>
                <c:pt idx="199">
                  <c:v>3199251.4647036772</c:v>
                </c:pt>
                <c:pt idx="200">
                  <c:v>3199251.4647036772</c:v>
                </c:pt>
                <c:pt idx="201">
                  <c:v>3199251.4647036772</c:v>
                </c:pt>
                <c:pt idx="202">
                  <c:v>3199251.4647036772</c:v>
                </c:pt>
                <c:pt idx="203">
                  <c:v>3199251.4647036772</c:v>
                </c:pt>
                <c:pt idx="204">
                  <c:v>3199251.4647036772</c:v>
                </c:pt>
                <c:pt idx="205">
                  <c:v>3199251.4647036772</c:v>
                </c:pt>
                <c:pt idx="206">
                  <c:v>3199251.4647036772</c:v>
                </c:pt>
                <c:pt idx="207">
                  <c:v>3199251.4647036772</c:v>
                </c:pt>
                <c:pt idx="208">
                  <c:v>3199251.4647036772</c:v>
                </c:pt>
                <c:pt idx="209">
                  <c:v>3199251.4647036772</c:v>
                </c:pt>
                <c:pt idx="210">
                  <c:v>3199251.4647036772</c:v>
                </c:pt>
                <c:pt idx="211">
                  <c:v>3199251.4647036772</c:v>
                </c:pt>
                <c:pt idx="212">
                  <c:v>3199251.4647036772</c:v>
                </c:pt>
                <c:pt idx="213">
                  <c:v>3199251.4647036772</c:v>
                </c:pt>
                <c:pt idx="214">
                  <c:v>3199251.4647036772</c:v>
                </c:pt>
                <c:pt idx="215">
                  <c:v>3199251.4647036772</c:v>
                </c:pt>
                <c:pt idx="216">
                  <c:v>3199251.4647036772</c:v>
                </c:pt>
                <c:pt idx="217">
                  <c:v>3199251.4647036772</c:v>
                </c:pt>
                <c:pt idx="218">
                  <c:v>3199251.4647036772</c:v>
                </c:pt>
                <c:pt idx="219">
                  <c:v>3199251.4647036772</c:v>
                </c:pt>
                <c:pt idx="220">
                  <c:v>3199251.4647036772</c:v>
                </c:pt>
                <c:pt idx="221">
                  <c:v>3199251.4647036772</c:v>
                </c:pt>
                <c:pt idx="222">
                  <c:v>3199251.4647036772</c:v>
                </c:pt>
                <c:pt idx="223">
                  <c:v>3199251.4647036772</c:v>
                </c:pt>
                <c:pt idx="224">
                  <c:v>3199251.4647036772</c:v>
                </c:pt>
                <c:pt idx="225">
                  <c:v>3199251.4647036772</c:v>
                </c:pt>
                <c:pt idx="226">
                  <c:v>3199251.4647036772</c:v>
                </c:pt>
                <c:pt idx="227">
                  <c:v>3199251.4647036772</c:v>
                </c:pt>
                <c:pt idx="228">
                  <c:v>3199251.4647036772</c:v>
                </c:pt>
                <c:pt idx="229">
                  <c:v>3199251.4647036772</c:v>
                </c:pt>
                <c:pt idx="230">
                  <c:v>3199251.4647036772</c:v>
                </c:pt>
                <c:pt idx="231">
                  <c:v>3199251.4647036772</c:v>
                </c:pt>
                <c:pt idx="232">
                  <c:v>3199251.4647036772</c:v>
                </c:pt>
                <c:pt idx="233">
                  <c:v>3199251.4647036772</c:v>
                </c:pt>
                <c:pt idx="234">
                  <c:v>3199251.4647036772</c:v>
                </c:pt>
                <c:pt idx="235">
                  <c:v>3199251.4647036772</c:v>
                </c:pt>
                <c:pt idx="236">
                  <c:v>3199251.4647036772</c:v>
                </c:pt>
                <c:pt idx="237">
                  <c:v>3199251.4647036772</c:v>
                </c:pt>
                <c:pt idx="238">
                  <c:v>3199251.4647036772</c:v>
                </c:pt>
                <c:pt idx="239">
                  <c:v>3199251.4647036772</c:v>
                </c:pt>
                <c:pt idx="240">
                  <c:v>3199251.4647036772</c:v>
                </c:pt>
                <c:pt idx="241">
                  <c:v>3199251.4647036772</c:v>
                </c:pt>
                <c:pt idx="242">
                  <c:v>3199251.4647036772</c:v>
                </c:pt>
                <c:pt idx="243">
                  <c:v>3199251.4647036772</c:v>
                </c:pt>
                <c:pt idx="244">
                  <c:v>3199251.4647036772</c:v>
                </c:pt>
                <c:pt idx="245">
                  <c:v>3199251.4647036772</c:v>
                </c:pt>
                <c:pt idx="246">
                  <c:v>3199251.4647036772</c:v>
                </c:pt>
                <c:pt idx="247">
                  <c:v>3199251.4647036772</c:v>
                </c:pt>
                <c:pt idx="248">
                  <c:v>3199251.4647036772</c:v>
                </c:pt>
                <c:pt idx="249">
                  <c:v>3199251.4647036772</c:v>
                </c:pt>
                <c:pt idx="250">
                  <c:v>3199251.4647036772</c:v>
                </c:pt>
                <c:pt idx="251">
                  <c:v>3199251.4647036772</c:v>
                </c:pt>
                <c:pt idx="252">
                  <c:v>3199251.4647036772</c:v>
                </c:pt>
                <c:pt idx="253">
                  <c:v>3199251.4647036772</c:v>
                </c:pt>
                <c:pt idx="254">
                  <c:v>3199251.4647036772</c:v>
                </c:pt>
                <c:pt idx="255">
                  <c:v>3199251.4647036772</c:v>
                </c:pt>
                <c:pt idx="256">
                  <c:v>3199251.4647036772</c:v>
                </c:pt>
                <c:pt idx="257">
                  <c:v>3199251.4647036772</c:v>
                </c:pt>
                <c:pt idx="258">
                  <c:v>3199251.4647036772</c:v>
                </c:pt>
                <c:pt idx="259">
                  <c:v>3199251.4647036772</c:v>
                </c:pt>
                <c:pt idx="260">
                  <c:v>3199251.4647036772</c:v>
                </c:pt>
                <c:pt idx="261">
                  <c:v>3199251.4647036772</c:v>
                </c:pt>
                <c:pt idx="262">
                  <c:v>3199251.4647036772</c:v>
                </c:pt>
                <c:pt idx="263">
                  <c:v>3199251.4647036772</c:v>
                </c:pt>
                <c:pt idx="264">
                  <c:v>3199251.4647036772</c:v>
                </c:pt>
                <c:pt idx="265">
                  <c:v>3199251.4647036772</c:v>
                </c:pt>
                <c:pt idx="266">
                  <c:v>3199251.4647036772</c:v>
                </c:pt>
                <c:pt idx="267">
                  <c:v>3199251.4647036772</c:v>
                </c:pt>
                <c:pt idx="268">
                  <c:v>3199251.4647036772</c:v>
                </c:pt>
                <c:pt idx="269">
                  <c:v>3199251.4647036772</c:v>
                </c:pt>
                <c:pt idx="270">
                  <c:v>3199251.4647036772</c:v>
                </c:pt>
                <c:pt idx="271">
                  <c:v>3199251.4647036772</c:v>
                </c:pt>
                <c:pt idx="272">
                  <c:v>3199251.4647036772</c:v>
                </c:pt>
                <c:pt idx="273">
                  <c:v>3199251.4647036772</c:v>
                </c:pt>
                <c:pt idx="274">
                  <c:v>3199251.4647036772</c:v>
                </c:pt>
                <c:pt idx="275">
                  <c:v>3199251.4647036772</c:v>
                </c:pt>
                <c:pt idx="276">
                  <c:v>3199251.4647036772</c:v>
                </c:pt>
                <c:pt idx="277">
                  <c:v>3199251.4647036772</c:v>
                </c:pt>
                <c:pt idx="278">
                  <c:v>3199251.4647036772</c:v>
                </c:pt>
                <c:pt idx="279">
                  <c:v>3199251.4647036772</c:v>
                </c:pt>
                <c:pt idx="280">
                  <c:v>3199251.4647036772</c:v>
                </c:pt>
                <c:pt idx="281">
                  <c:v>3199251.4647036772</c:v>
                </c:pt>
                <c:pt idx="282">
                  <c:v>3199251.4647036772</c:v>
                </c:pt>
                <c:pt idx="283">
                  <c:v>3199251.4647036772</c:v>
                </c:pt>
                <c:pt idx="284">
                  <c:v>3199251.4647036772</c:v>
                </c:pt>
                <c:pt idx="285">
                  <c:v>3199251.4647036772</c:v>
                </c:pt>
                <c:pt idx="286">
                  <c:v>3199251.4647036772</c:v>
                </c:pt>
                <c:pt idx="287">
                  <c:v>3199251.4647036772</c:v>
                </c:pt>
                <c:pt idx="288">
                  <c:v>3199251.4647036772</c:v>
                </c:pt>
                <c:pt idx="289">
                  <c:v>3199251.4647036772</c:v>
                </c:pt>
                <c:pt idx="290">
                  <c:v>3199251.4647036772</c:v>
                </c:pt>
                <c:pt idx="291">
                  <c:v>3199251.4647036772</c:v>
                </c:pt>
                <c:pt idx="292">
                  <c:v>3199251.4647036772</c:v>
                </c:pt>
                <c:pt idx="293">
                  <c:v>3199251.4647036772</c:v>
                </c:pt>
                <c:pt idx="294">
                  <c:v>3199251.4647036772</c:v>
                </c:pt>
                <c:pt idx="295">
                  <c:v>3199251.4647036772</c:v>
                </c:pt>
                <c:pt idx="296">
                  <c:v>3199251.4647036772</c:v>
                </c:pt>
                <c:pt idx="297">
                  <c:v>3199251.4647036772</c:v>
                </c:pt>
                <c:pt idx="298">
                  <c:v>3199251.4647036772</c:v>
                </c:pt>
                <c:pt idx="299">
                  <c:v>3199251.4647036772</c:v>
                </c:pt>
                <c:pt idx="300">
                  <c:v>3199251.4647036772</c:v>
                </c:pt>
                <c:pt idx="301">
                  <c:v>3199251.4647036772</c:v>
                </c:pt>
                <c:pt idx="302">
                  <c:v>3199251.4647036772</c:v>
                </c:pt>
                <c:pt idx="303">
                  <c:v>3199251.4647036772</c:v>
                </c:pt>
                <c:pt idx="304">
                  <c:v>3199251.4647036772</c:v>
                </c:pt>
                <c:pt idx="305">
                  <c:v>3199251.4647036772</c:v>
                </c:pt>
                <c:pt idx="306">
                  <c:v>3199251.4647036772</c:v>
                </c:pt>
                <c:pt idx="307">
                  <c:v>3199251.4647036772</c:v>
                </c:pt>
                <c:pt idx="308">
                  <c:v>3199251.4647036772</c:v>
                </c:pt>
                <c:pt idx="309">
                  <c:v>3199251.4647036772</c:v>
                </c:pt>
                <c:pt idx="310">
                  <c:v>3199251.4647036772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12</xdr:col>
      <xdr:colOff>285750</xdr:colOff>
      <xdr:row>101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9254976849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5-09-30T00:00:00"/>
        <d v="2025-07-31T00:00:00"/>
        <d v="2026-01-31T00:00:00"/>
        <d v="2025-11-30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4.4124387641204521E-3"/>
    </cacheField>
    <cacheField name="FINANCE PAYMENT DATE" numFmtId="0">
      <sharedItems containsNonDate="0" containsDate="1" containsString="0" containsBlank="1" minDate="2025-04-30T00:00:00" maxDate="2026-02-06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0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4 broken panels (17 panels returned in total"/>
    <m/>
    <n v="385640"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4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8277.95999999999"/>
  </r>
  <r>
    <n v="5"/>
    <x v="5"/>
    <s v="CTs &amp; Meters"/>
    <m/>
    <m/>
    <n v="21048"/>
    <s v="PO4072-MLW-20250630 - RV Approved"/>
    <s v="Accuenergy Inv: ASAI 005873"/>
    <x v="5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4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4"/>
    <n v="142740.13792473639"/>
    <m/>
    <d v="2025-10-30T00:00:00"/>
    <m/>
  </r>
  <r>
    <n v="5"/>
    <x v="5"/>
    <s v="Powersupply"/>
    <m/>
    <m/>
    <n v="1190"/>
    <m/>
    <s v="Mantech QUO124941"/>
    <x v="4"/>
    <n v="1913.5454509463098"/>
    <m/>
    <d v="2025-09-11T00:00:00"/>
    <m/>
  </r>
  <r>
    <n v="5"/>
    <x v="5"/>
    <s v="Lithium Battery"/>
    <m/>
    <m/>
    <n v="975"/>
    <m/>
    <s v="Allocated from Steelpark"/>
    <x v="6"/>
    <n v="0"/>
    <m/>
    <d v="2026-01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7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180"/>
    <m/>
    <s v="SunSpot E031"/>
    <x v="6"/>
    <n v="83969.19973981037"/>
    <n v="4.4124387641204521E-3"/>
    <d v="2026-02-05T00:00:00"/>
    <n v="2618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5"/>
    <m/>
    <m/>
    <d v="2025-07-29T00:00:00"/>
    <n v="23757.79"/>
  </r>
  <r>
    <n v="12"/>
    <x v="12"/>
    <m/>
    <m/>
    <m/>
    <n v="11878.895"/>
    <m/>
    <s v="Auxilio Dei - INV 032"/>
    <x v="5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5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4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7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5"/>
        <item x="1"/>
        <item x="4"/>
        <item x="3"/>
        <item x="7"/>
        <item x="11"/>
        <item x="2"/>
        <item m="1" x="16"/>
        <item m="1" x="15"/>
        <item m="1" x="14"/>
        <item x="6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5"/>
        <item x="1"/>
        <item x="4"/>
        <item x="3"/>
        <item x="7"/>
        <item x="11"/>
        <item x="2"/>
        <item m="1" x="16"/>
        <item m="1" x="15"/>
        <item m="1" x="14"/>
        <item x="6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4.45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2578125" defaultRowHeight="14.45"/>
  <cols>
    <col min="1" max="1" width="7.42578125" customWidth="1"/>
    <col min="2" max="2" width="37.5703125" customWidth="1"/>
    <col min="3" max="3" width="16.42578125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16" t="s">
        <v>58</v>
      </c>
      <c r="C2" s="717"/>
      <c r="D2" s="717"/>
      <c r="E2" s="717"/>
      <c r="F2" s="71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6" t="s">
        <v>69</v>
      </c>
      <c r="C16" s="717"/>
      <c r="D16" s="717"/>
      <c r="E16" s="717"/>
      <c r="F16" s="71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70" zoomScaleNormal="70" workbookViewId="0">
      <selection activeCell="J51" sqref="J51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1.42578125" style="112" customWidth="1"/>
    <col min="5" max="5" width="14.5703125" style="24" hidden="1" customWidth="1"/>
    <col min="6" max="6" width="10.42578125" style="168" hidden="1" customWidth="1"/>
    <col min="7" max="7" width="13.5703125" style="64" hidden="1" customWidth="1"/>
    <col min="8" max="8" width="5" style="112" hidden="1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5703125" style="112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8">
      <c r="B2" s="176"/>
      <c r="C2" s="177" t="s">
        <v>0</v>
      </c>
      <c r="D2" s="178"/>
      <c r="E2" s="722" t="s">
        <v>75</v>
      </c>
      <c r="F2" s="723"/>
      <c r="G2" s="723"/>
      <c r="H2" s="724"/>
      <c r="N2" s="406">
        <v>0</v>
      </c>
      <c r="O2" s="406">
        <v>1</v>
      </c>
    </row>
    <row r="3" spans="2:28" s="112" customFormat="1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>
      <c r="B4" s="179"/>
      <c r="C4" s="180" t="s">
        <v>77</v>
      </c>
      <c r="D4" s="178"/>
      <c r="E4" s="725" t="s">
        <v>78</v>
      </c>
      <c r="F4" s="726"/>
      <c r="G4" s="726"/>
      <c r="H4" s="727"/>
      <c r="J4" s="113"/>
      <c r="Q4" s="3"/>
    </row>
    <row r="5" spans="2:28" s="112" customFormat="1">
      <c r="B5" s="179"/>
      <c r="C5" s="180" t="s">
        <v>79</v>
      </c>
      <c r="D5" s="178"/>
      <c r="E5" s="725" t="s">
        <v>80</v>
      </c>
      <c r="F5" s="726"/>
      <c r="G5" s="726"/>
      <c r="H5" s="727"/>
      <c r="J5" s="113"/>
      <c r="Q5" s="3"/>
    </row>
    <row r="6" spans="2:28">
      <c r="B6" s="184"/>
      <c r="C6" s="185" t="s">
        <v>81</v>
      </c>
      <c r="D6" s="178"/>
      <c r="E6" s="728">
        <v>3199251.4666193202</v>
      </c>
      <c r="F6" s="729"/>
      <c r="G6" s="729"/>
      <c r="H6" s="730"/>
    </row>
    <row r="7" spans="2:28" s="112" customFormat="1">
      <c r="B7" s="167"/>
      <c r="C7" s="709" t="s">
        <v>82</v>
      </c>
      <c r="D7" s="710"/>
      <c r="E7" s="711" t="s">
        <v>54</v>
      </c>
      <c r="F7" s="168"/>
      <c r="G7" s="186"/>
      <c r="J7" s="113"/>
      <c r="Q7" s="3"/>
    </row>
    <row r="8" spans="2:28" ht="30" customHeight="1">
      <c r="B8" s="719" t="s">
        <v>83</v>
      </c>
      <c r="C8" s="720" t="s">
        <v>84</v>
      </c>
      <c r="D8" s="215"/>
      <c r="E8" s="721" t="s">
        <v>85</v>
      </c>
      <c r="F8" s="237" t="s">
        <v>86</v>
      </c>
      <c r="G8" s="721" t="s">
        <v>87</v>
      </c>
      <c r="H8" s="238"/>
      <c r="I8" s="721" t="s">
        <v>88</v>
      </c>
      <c r="J8" s="237" t="s">
        <v>86</v>
      </c>
      <c r="K8" s="721" t="s">
        <v>89</v>
      </c>
      <c r="M8" s="412" t="s">
        <v>60</v>
      </c>
      <c r="N8" s="666" t="s">
        <v>90</v>
      </c>
      <c r="O8" s="731" t="s">
        <v>91</v>
      </c>
      <c r="Z8" s="112"/>
      <c r="AA8" s="112"/>
      <c r="AB8" s="112"/>
    </row>
    <row r="9" spans="2:28">
      <c r="B9" s="719"/>
      <c r="C9" s="720"/>
      <c r="D9" s="215"/>
      <c r="E9" s="721"/>
      <c r="F9" s="126">
        <f>G42-E19</f>
        <v>44</v>
      </c>
      <c r="G9" s="721"/>
      <c r="H9" s="238"/>
      <c r="I9" s="721"/>
      <c r="J9" s="127">
        <f>K42-I19</f>
        <v>49</v>
      </c>
      <c r="K9" s="721"/>
      <c r="M9" s="362">
        <f ca="1">AVERAGE(M11,M18,M22,M29,M36,M40,M47,M44)</f>
        <v>0.97499999999999998</v>
      </c>
      <c r="N9" s="362">
        <f ca="1">AVERAGE(N11,N18,N22,N29,N36,N40,N47,N44)</f>
        <v>1</v>
      </c>
      <c r="O9" s="732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92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93</v>
      </c>
      <c r="C12" s="249" t="s">
        <v>94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95</v>
      </c>
      <c r="C13" s="249" t="s">
        <v>96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97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98</v>
      </c>
      <c r="C15" s="249" t="s">
        <v>99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100</v>
      </c>
      <c r="C16" s="249" t="s">
        <v>101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102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103</v>
      </c>
      <c r="C19" s="249" t="s">
        <v>104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8" t="s">
        <v>106</v>
      </c>
      <c r="C20" s="249" t="s">
        <v>107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>
      <c r="B22" s="244">
        <v>3</v>
      </c>
      <c r="C22" s="245" t="s">
        <v>108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109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>
      <c r="B23" s="248" t="s">
        <v>110</v>
      </c>
      <c r="C23" s="249" t="s">
        <v>111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112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113</v>
      </c>
      <c r="C24" s="249" t="s">
        <v>114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115</v>
      </c>
      <c r="C25" s="249" t="s">
        <v>116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117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118</v>
      </c>
      <c r="C27" s="249" t="s">
        <v>119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idden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120</v>
      </c>
      <c r="C31" s="249" t="s">
        <v>122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123</v>
      </c>
      <c r="C32" s="249" t="s">
        <v>124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125</v>
      </c>
      <c r="C33" s="249" t="s">
        <v>126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8" t="s">
        <v>125</v>
      </c>
      <c r="C34" s="243" t="s">
        <v>127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128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131</v>
      </c>
      <c r="C38" s="249" t="s">
        <v>132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133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134</v>
      </c>
      <c r="C41" s="243" t="s">
        <v>133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135</v>
      </c>
      <c r="C42" s="243" t="s">
        <v>136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137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138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139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0.8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140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141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8.3000000000000007</v>
      </c>
      <c r="C50" s="243" t="s">
        <v>142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>
      <c r="B51" s="698">
        <v>8.4</v>
      </c>
      <c r="C51" s="699" t="s">
        <v>143</v>
      </c>
      <c r="D51" s="215"/>
      <c r="E51" s="253">
        <f>WORKDAY.INTL(G50,0,1,Data!$C$3:$C$14)</f>
        <v>45959</v>
      </c>
      <c r="F51" s="251">
        <v>10</v>
      </c>
      <c r="G51" s="253">
        <f>WORKDAY.INTL(E51,F51,1,Data!$C$3:$C$14)</f>
        <v>45973</v>
      </c>
      <c r="H51" s="238"/>
      <c r="I51" s="700">
        <f>WORKDAY.INTL(K50,0,1,Data!$C$3:$C$14)</f>
        <v>45980</v>
      </c>
      <c r="J51" s="701">
        <v>10</v>
      </c>
      <c r="K51" s="700">
        <f>WORKDAY.INTL(I51,J51,1,Data!$C$3:$C$14)</f>
        <v>45994</v>
      </c>
      <c r="M51" s="254">
        <v>1</v>
      </c>
      <c r="N51" s="254">
        <f t="shared" ca="1" si="7"/>
        <v>1</v>
      </c>
      <c r="O51" s="122"/>
      <c r="Y51" s="24"/>
    </row>
    <row r="52" spans="2:28">
      <c r="B52" s="698">
        <v>8.5</v>
      </c>
      <c r="C52" s="699" t="s">
        <v>144</v>
      </c>
      <c r="D52" s="215"/>
      <c r="E52" s="253">
        <f>WORKDAY.INTL(G51,0,1,Data!$C$3:$C$14)</f>
        <v>45973</v>
      </c>
      <c r="F52" s="251">
        <v>1</v>
      </c>
      <c r="G52" s="253">
        <f>WORKDAY.INTL(E52,F52,1,Data!$C$3:$C$14)</f>
        <v>45974</v>
      </c>
      <c r="H52" s="238"/>
      <c r="I52" s="700">
        <f>WORKDAY.INTL(K51,0,1,Data!$C$3:$C$14)</f>
        <v>45994</v>
      </c>
      <c r="J52" s="701">
        <v>1</v>
      </c>
      <c r="K52" s="700">
        <f>WORKDAY.INTL(I52,J52,1,Data!$C$3:$C$14)</f>
        <v>45995</v>
      </c>
      <c r="M52" s="254">
        <v>1</v>
      </c>
      <c r="N52" s="254">
        <f t="shared" ca="1" si="7"/>
        <v>1</v>
      </c>
      <c r="O52" s="122" t="s">
        <v>145</v>
      </c>
      <c r="Y52" s="24"/>
    </row>
    <row r="53" spans="2:28">
      <c r="B53" s="698">
        <v>8.6</v>
      </c>
      <c r="C53" s="699" t="s">
        <v>146</v>
      </c>
      <c r="D53" s="215"/>
      <c r="E53" s="253">
        <f>WORKDAY.INTL(G49,0,1,Data!$C$3:$C$14)+2</f>
        <v>45954</v>
      </c>
      <c r="F53" s="251">
        <v>5</v>
      </c>
      <c r="G53" s="253">
        <f>WORKDAY.INTL(E53,F53,1,Data!$C$3:$C$14)</f>
        <v>45961</v>
      </c>
      <c r="H53" s="238"/>
      <c r="I53" s="700">
        <v>45985</v>
      </c>
      <c r="J53" s="701">
        <v>5</v>
      </c>
      <c r="K53" s="700">
        <f>WORKDAY.INTL(I53,J53,1,Data!$C$3:$C$14)</f>
        <v>45992</v>
      </c>
      <c r="M53" s="254">
        <v>0</v>
      </c>
      <c r="N53" s="254">
        <f t="shared" ca="1" si="7"/>
        <v>1</v>
      </c>
      <c r="O53" s="122" t="s">
        <v>147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148</v>
      </c>
    </row>
    <row r="57" spans="2:28">
      <c r="B57" s="167"/>
      <c r="C57" s="112"/>
      <c r="E57" s="112"/>
      <c r="G57" s="113"/>
      <c r="O57" s="112" t="s">
        <v>149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20 M30:N34 M37:N38 M41:N42 M45:N45 M23:N27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O15" sqref="O15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7" style="129" customWidth="1"/>
    <col min="16" max="16" width="20.5703125" style="129" bestFit="1" customWidth="1"/>
    <col min="17" max="17" width="16.42578125" style="129" customWidth="1"/>
    <col min="18" max="18" width="21.42578125" style="93" bestFit="1" customWidth="1"/>
    <col min="19" max="19" width="14.42578125" style="129" customWidth="1"/>
    <col min="20" max="20" width="20.5703125" style="93" bestFit="1" customWidth="1"/>
    <col min="21" max="21" width="16.42578125" style="93" bestFit="1" customWidth="1"/>
    <col min="22" max="22" width="8.42578125" style="93"/>
    <col min="23" max="23" width="5.5703125" style="93" bestFit="1" customWidth="1"/>
    <col min="24" max="24" width="14.425781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.5703125" style="129" bestFit="1" customWidth="1"/>
    <col min="29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150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2.95">
      <c r="B3" s="117"/>
      <c r="D3" s="125" t="s">
        <v>151</v>
      </c>
      <c r="F3" s="125" t="s">
        <v>152</v>
      </c>
      <c r="J3" s="141"/>
      <c r="L3" s="410" t="s">
        <v>153</v>
      </c>
      <c r="N3" s="410" t="s">
        <v>154</v>
      </c>
      <c r="P3" s="678" t="s">
        <v>155</v>
      </c>
      <c r="Q3" s="678" t="s">
        <v>156</v>
      </c>
      <c r="R3" s="678" t="s">
        <v>157</v>
      </c>
      <c r="S3" s="678" t="s">
        <v>158</v>
      </c>
      <c r="T3" s="678" t="s">
        <v>159</v>
      </c>
      <c r="U3" s="678" t="s">
        <v>160</v>
      </c>
    </row>
    <row r="4" spans="1:21" s="93" customFormat="1" ht="12.95">
      <c r="B4" s="352">
        <v>1</v>
      </c>
      <c r="C4" s="353" t="s">
        <v>161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162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915881.94620856969</v>
      </c>
      <c r="S4" s="679">
        <f>SUMIFS('Expenditure Breakdown'!$Q:$Q,
        'Expenditure Breakdown'!$T:$T, "&gt;"&amp;DATE(2025,8,31),
        'Expenditure Breakdown'!$T:$T, "&lt;="&amp;DATE(2026,8,31))</f>
        <v>693300.8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915881.94620856969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693300.8</v>
      </c>
    </row>
    <row r="5" spans="1:21" s="93" customFormat="1" ht="15" customHeight="1">
      <c r="B5" s="352">
        <v>2</v>
      </c>
      <c r="C5" s="353" t="s">
        <v>163</v>
      </c>
      <c r="D5" s="354">
        <f>+'Expenditure Tracking'!F5</f>
        <v>2724095.5806249999</v>
      </c>
      <c r="E5" s="355"/>
      <c r="F5" s="354">
        <f>+'Expenditure Tracking'!H5</f>
        <v>2274921.4775000005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164</v>
      </c>
      <c r="D6" s="354">
        <f>+D4-D5</f>
        <v>475155.88599432027</v>
      </c>
      <c r="E6" s="355"/>
      <c r="F6" s="354">
        <f>+F4-F5</f>
        <v>862397.94911931967</v>
      </c>
      <c r="H6" s="116"/>
      <c r="J6" s="141"/>
      <c r="L6" s="376">
        <v>814285.24328657845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0.14852095590235739</v>
      </c>
      <c r="E7" s="355"/>
      <c r="F7" s="356">
        <f>+F6/F4</f>
        <v>0.27488369268430324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167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.1">
      <c r="B12" s="131" t="s">
        <v>83</v>
      </c>
      <c r="C12" s="132" t="s">
        <v>168</v>
      </c>
      <c r="D12" s="133"/>
      <c r="E12" s="131" t="s">
        <v>169</v>
      </c>
      <c r="F12" s="131" t="s">
        <v>170</v>
      </c>
      <c r="H12" s="357" t="s">
        <v>171</v>
      </c>
      <c r="J12" s="141"/>
      <c r="L12" s="166" t="s">
        <v>172</v>
      </c>
      <c r="M12" s="134"/>
      <c r="N12" s="166" t="s">
        <v>173</v>
      </c>
      <c r="O12" s="166" t="s">
        <v>174</v>
      </c>
      <c r="Q12" s="379" t="s">
        <v>175</v>
      </c>
    </row>
    <row r="13" spans="1:21" s="93" customFormat="1" ht="12.95">
      <c r="B13" s="352">
        <v>1</v>
      </c>
      <c r="C13" s="733" t="s">
        <v>176</v>
      </c>
      <c r="D13" s="734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177</v>
      </c>
      <c r="M13" s="368"/>
      <c r="N13" s="138">
        <v>45771</v>
      </c>
      <c r="O13" s="138">
        <v>45772</v>
      </c>
      <c r="Q13" s="174"/>
    </row>
    <row r="14" spans="1:21" s="93" customFormat="1" ht="12.95">
      <c r="B14" s="352">
        <v>1</v>
      </c>
      <c r="C14" s="704" t="s">
        <v>176</v>
      </c>
      <c r="D14" s="705"/>
      <c r="E14" s="135"/>
      <c r="F14" s="136">
        <v>182776.07</v>
      </c>
      <c r="G14" s="137"/>
      <c r="H14" s="138">
        <v>45849</v>
      </c>
      <c r="J14" s="141"/>
      <c r="L14" s="369" t="s">
        <v>177</v>
      </c>
      <c r="M14" s="368"/>
      <c r="N14" s="138">
        <v>45771</v>
      </c>
      <c r="O14" s="138">
        <v>45856</v>
      </c>
      <c r="Q14" s="174"/>
    </row>
    <row r="15" spans="1:21" s="93" customFormat="1" ht="12.95">
      <c r="B15" s="352">
        <v>1</v>
      </c>
      <c r="C15" s="704" t="s">
        <v>176</v>
      </c>
      <c r="D15" s="705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177</v>
      </c>
      <c r="M15" s="368"/>
      <c r="N15" s="138">
        <v>45771</v>
      </c>
      <c r="O15" s="680">
        <v>46038</v>
      </c>
      <c r="Q15" s="174"/>
    </row>
    <row r="16" spans="1:21" s="93" customFormat="1" ht="12.6">
      <c r="B16" s="154">
        <v>2</v>
      </c>
      <c r="C16" s="733" t="s">
        <v>178</v>
      </c>
      <c r="D16" s="734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177</v>
      </c>
      <c r="N16" s="138">
        <v>45771</v>
      </c>
      <c r="O16" s="656">
        <v>45918</v>
      </c>
      <c r="Q16" s="380"/>
    </row>
    <row r="17" spans="2:18" s="93" customFormat="1" ht="12.6">
      <c r="B17" s="352">
        <v>3</v>
      </c>
      <c r="C17" s="733" t="s">
        <v>179</v>
      </c>
      <c r="D17" s="734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177</v>
      </c>
      <c r="N17" s="138">
        <v>45771</v>
      </c>
      <c r="O17" s="656">
        <v>45918</v>
      </c>
      <c r="Q17" s="380"/>
    </row>
    <row r="18" spans="2:18" s="93" customFormat="1" ht="12.6">
      <c r="B18" s="352">
        <v>4</v>
      </c>
      <c r="C18" s="733" t="s">
        <v>180</v>
      </c>
      <c r="D18" s="734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177</v>
      </c>
      <c r="M18" s="129"/>
      <c r="N18" s="138">
        <v>45771</v>
      </c>
      <c r="O18" s="138">
        <v>45954</v>
      </c>
      <c r="Q18" s="380"/>
    </row>
    <row r="19" spans="2:18" s="93" customFormat="1" ht="12.6">
      <c r="B19" s="352">
        <v>5</v>
      </c>
      <c r="C19" s="735" t="s">
        <v>181</v>
      </c>
      <c r="D19" s="736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177</v>
      </c>
      <c r="N19" s="138">
        <v>45771</v>
      </c>
      <c r="O19" s="680">
        <v>46024</v>
      </c>
      <c r="Q19" s="380"/>
    </row>
    <row r="20" spans="2:18" s="93" customFormat="1" ht="12.6">
      <c r="B20" s="352">
        <v>6</v>
      </c>
      <c r="C20" s="733" t="s">
        <v>182</v>
      </c>
      <c r="D20" s="734"/>
      <c r="E20" s="135">
        <v>0</v>
      </c>
      <c r="F20" s="136">
        <v>-61932.04</v>
      </c>
      <c r="G20" s="355"/>
      <c r="H20" s="138"/>
      <c r="J20" s="141"/>
      <c r="L20" s="369" t="s">
        <v>177</v>
      </c>
      <c r="M20" s="137"/>
      <c r="N20" s="680" t="s">
        <v>183</v>
      </c>
      <c r="O20" s="138">
        <f>O18</f>
        <v>45954</v>
      </c>
      <c r="Q20" s="380"/>
    </row>
    <row r="21" spans="2:18" s="93" customFormat="1" ht="12.6">
      <c r="B21" s="352">
        <v>7</v>
      </c>
      <c r="C21" s="733" t="s">
        <v>184</v>
      </c>
      <c r="D21" s="734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2.95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185</v>
      </c>
      <c r="C25" s="145" t="s">
        <v>186</v>
      </c>
      <c r="D25" s="145"/>
      <c r="F25" s="146"/>
    </row>
    <row r="26" spans="2:18" s="93" customFormat="1" ht="12.6">
      <c r="C26" s="147" t="s">
        <v>187</v>
      </c>
      <c r="D26" s="148"/>
      <c r="F26" s="149"/>
    </row>
    <row r="27" spans="2:18" s="93" customFormat="1" ht="12.6">
      <c r="C27" s="147" t="s">
        <v>188</v>
      </c>
      <c r="D27" s="148"/>
    </row>
    <row r="28" spans="2:18" s="93" customFormat="1" ht="12.6">
      <c r="C28" s="150" t="s">
        <v>189</v>
      </c>
      <c r="D28" s="151"/>
    </row>
    <row r="29" spans="2:18" s="93" customFormat="1" ht="12.6">
      <c r="C29" s="152" t="s">
        <v>190</v>
      </c>
      <c r="D29" s="148"/>
    </row>
    <row r="30" spans="2:18" s="93" customFormat="1" ht="12.6">
      <c r="B30" s="117"/>
      <c r="C30" s="152" t="s">
        <v>191</v>
      </c>
      <c r="D30" s="148"/>
    </row>
    <row r="31" spans="2:18" s="93" customFormat="1" ht="12.6">
      <c r="B31" s="117"/>
      <c r="C31" s="93" t="s">
        <v>192</v>
      </c>
    </row>
    <row r="32" spans="2:18" s="93" customFormat="1" ht="27.75" customHeight="1">
      <c r="B32" s="117"/>
      <c r="C32" s="153" t="s">
        <v>193</v>
      </c>
      <c r="D32" s="153"/>
      <c r="F32" s="149"/>
    </row>
    <row r="33" spans="2:8" s="93" customFormat="1" ht="12.6">
      <c r="B33" s="117"/>
      <c r="F33" s="146"/>
    </row>
    <row r="34" spans="2:8" s="93" customFormat="1" ht="12.6">
      <c r="B34" s="117"/>
      <c r="F34" s="706">
        <f>F4*1.15</f>
        <v>3607917.3406122178</v>
      </c>
      <c r="H34" s="116"/>
    </row>
    <row r="35" spans="2:8" s="93" customFormat="1" ht="12.6">
      <c r="B35" s="117"/>
      <c r="F35" s="706">
        <v>-3379822.48</v>
      </c>
    </row>
    <row r="36" spans="2:8" s="93" customFormat="1" ht="12.6">
      <c r="B36" s="117"/>
      <c r="F36" s="706"/>
    </row>
    <row r="37" spans="2:8" s="93" customFormat="1" ht="12.6">
      <c r="B37" s="117"/>
      <c r="F37" s="708">
        <f>F34+F35</f>
        <v>228094.8606122178</v>
      </c>
    </row>
    <row r="38" spans="2:8" s="93" customFormat="1" ht="12.6">
      <c r="B38" s="117"/>
      <c r="F38" s="707"/>
    </row>
    <row r="39" spans="2:8" s="93" customFormat="1" ht="12.6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83</v>
      </c>
      <c r="C42" s="132" t="s">
        <v>168</v>
      </c>
      <c r="D42" s="133"/>
      <c r="E42" s="131" t="s">
        <v>169</v>
      </c>
      <c r="F42" s="131" t="s">
        <v>170</v>
      </c>
    </row>
    <row r="43" spans="2:8" s="93" customFormat="1" ht="12.75" hidden="1" customHeight="1">
      <c r="B43" s="154">
        <v>1</v>
      </c>
      <c r="C43" s="155" t="s">
        <v>194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178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179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195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196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2.6">
      <c r="B51" s="117"/>
    </row>
    <row r="52" spans="2:6" s="93" customFormat="1" ht="12.6">
      <c r="B52" s="117"/>
    </row>
    <row r="53" spans="2:6" s="93" customFormat="1" ht="12.6">
      <c r="B53" s="117"/>
    </row>
    <row r="54" spans="2:6" s="93" customFormat="1" ht="12.6">
      <c r="B54" s="117"/>
    </row>
    <row r="55" spans="2:6" s="93" customFormat="1" ht="12.6">
      <c r="B55" s="117"/>
    </row>
    <row r="56" spans="2:6" s="93" customFormat="1" ht="12.6">
      <c r="B56" s="117"/>
    </row>
    <row r="57" spans="2:6" s="93" customFormat="1" ht="12.6">
      <c r="B57" s="117"/>
    </row>
    <row r="58" spans="2:6" s="93" customFormat="1" ht="12.6">
      <c r="B58" s="117"/>
    </row>
    <row r="59" spans="2:6" s="93" customFormat="1" ht="12.6">
      <c r="B59" s="117"/>
    </row>
    <row r="60" spans="2:6" s="93" customFormat="1" ht="12.6">
      <c r="B60" s="117"/>
    </row>
    <row r="61" spans="2:6" s="93" customFormat="1" ht="12.6">
      <c r="B61" s="117"/>
    </row>
    <row r="62" spans="2:6" s="93" customFormat="1" ht="12.6">
      <c r="B62" s="117"/>
    </row>
    <row r="63" spans="2:6" s="93" customFormat="1" ht="12.6">
      <c r="B63" s="117"/>
    </row>
    <row r="64" spans="2:6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  <row r="219" spans="2:2" s="93" customFormat="1" ht="12.6">
      <c r="B219" s="117"/>
    </row>
    <row r="220" spans="2:2" s="93" customFormat="1" ht="12.6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9" width="19" style="73" bestFit="1" customWidth="1"/>
    <col min="10" max="16384" width="9.42578125" style="73"/>
  </cols>
  <sheetData>
    <row r="1" spans="3:8" ht="12.95" thickBot="1"/>
    <row r="2" spans="3:8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71</v>
      </c>
    </row>
    <row r="6" spans="3:8">
      <c r="C6" s="79">
        <v>45768</v>
      </c>
      <c r="D6" s="73" t="s">
        <v>204</v>
      </c>
      <c r="F6" s="82" t="s">
        <v>74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2.95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0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37"/>
      <c r="C4" s="737"/>
      <c r="D4" s="737"/>
      <c r="E4" s="414"/>
      <c r="F4" s="220" t="s">
        <v>151</v>
      </c>
      <c r="G4" s="215"/>
      <c r="H4" s="220" t="s">
        <v>152</v>
      </c>
      <c r="I4" s="215"/>
      <c r="J4" s="221" t="s">
        <v>216</v>
      </c>
      <c r="K4" s="112"/>
      <c r="L4" s="112"/>
    </row>
    <row r="5" spans="1:12" ht="14.45" thickBot="1">
      <c r="A5" s="215"/>
      <c r="B5" s="738" t="s">
        <v>217</v>
      </c>
      <c r="C5" s="738"/>
      <c r="D5" s="738"/>
      <c r="E5" s="414"/>
      <c r="F5" s="222">
        <f>SUM(F9:F23)</f>
        <v>2724095.5806249999</v>
      </c>
      <c r="G5" s="217"/>
      <c r="H5" s="222">
        <f>SUM(H9:H23)</f>
        <v>2274921.4775000005</v>
      </c>
      <c r="I5" s="215"/>
      <c r="J5" s="223">
        <f>SUM(J9:J23)</f>
        <v>449174.10312500026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83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18600</v>
      </c>
      <c r="I16" s="89"/>
      <c r="J16" s="232">
        <f t="shared" si="0"/>
        <v>-18600</v>
      </c>
      <c r="K16" s="173"/>
      <c r="L16" s="255"/>
    </row>
    <row r="17" spans="1:12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26180</v>
      </c>
      <c r="I19" s="89"/>
      <c r="J19" s="232">
        <f t="shared" si="0"/>
        <v>84125</v>
      </c>
      <c r="K19" s="173"/>
      <c r="L19" s="255"/>
    </row>
    <row r="20" spans="1:12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opLeftCell="S1" zoomScale="89" zoomScaleNormal="55" workbookViewId="0">
      <pane ySplit="4" topLeftCell="N150" activePane="bottomLeft" state="frozen"/>
      <selection pane="bottomLeft" activeCell="U115" sqref="U115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0.42578125" style="112" bestFit="1" customWidth="1"/>
    <col min="19" max="19" width="25.42578125" style="112" customWidth="1"/>
    <col min="20" max="23" width="17.42578125" style="112" customWidth="1"/>
    <col min="24" max="24" width="21.42578125" style="112" customWidth="1"/>
    <col min="25" max="25" width="29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2" t="s">
        <v>224</v>
      </c>
      <c r="C2" s="773"/>
      <c r="D2" s="773"/>
      <c r="E2" s="773"/>
      <c r="F2" s="773"/>
      <c r="G2" s="773"/>
      <c r="H2" s="665"/>
      <c r="I2" s="258">
        <f>SUM(I6:I156)</f>
        <v>2724095.5806249999</v>
      </c>
      <c r="J2" s="258">
        <f>SUM(J6:J156)</f>
        <v>3199251.4666193184</v>
      </c>
      <c r="L2" s="774" t="s">
        <v>225</v>
      </c>
      <c r="M2" s="775"/>
      <c r="N2" s="775"/>
      <c r="O2" s="775"/>
      <c r="P2" s="775"/>
      <c r="Q2" s="775"/>
      <c r="R2" s="776" t="s">
        <v>226</v>
      </c>
      <c r="S2" s="777"/>
      <c r="T2" s="777"/>
      <c r="U2" s="777"/>
      <c r="V2" s="777"/>
      <c r="W2" s="778"/>
      <c r="X2" s="479">
        <f>SUM(X6:X156)</f>
        <v>2274921.4775000005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6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0" t="s">
        <v>237</v>
      </c>
      <c r="S4" s="621" t="s">
        <v>172</v>
      </c>
      <c r="T4" s="372" t="s">
        <v>173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v>1036485.4500000002</v>
      </c>
      <c r="H6" s="571">
        <v>45953</v>
      </c>
      <c r="I6" s="754">
        <f>SUM(G6:G11)</f>
        <v>1036485.4500000002</v>
      </c>
      <c r="J6" s="754">
        <f>D157</f>
        <v>1219394.6470588238</v>
      </c>
      <c r="K6" s="389"/>
      <c r="L6" s="281">
        <v>1</v>
      </c>
      <c r="M6" s="418" t="s">
        <v>242</v>
      </c>
      <c r="N6" s="282" t="s">
        <v>243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244</v>
      </c>
      <c r="T6" s="655">
        <v>45900</v>
      </c>
      <c r="U6" s="657">
        <v>1282693.4810316446</v>
      </c>
      <c r="V6" s="766">
        <f>J6-SUM(U6:U11)</f>
        <v>0</v>
      </c>
      <c r="W6" s="688">
        <f>'Project Plan'!I37+50</f>
        <v>45954</v>
      </c>
      <c r="X6" s="779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1">
        <v>45954</v>
      </c>
      <c r="I7" s="755"/>
      <c r="J7" s="755"/>
      <c r="K7" s="288"/>
      <c r="L7" s="311">
        <v>1</v>
      </c>
      <c r="M7" s="313" t="s">
        <v>242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67"/>
      <c r="W7" s="571"/>
      <c r="X7" s="78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55"/>
      <c r="J8" s="755"/>
      <c r="K8" s="288"/>
      <c r="L8" s="311">
        <v>1</v>
      </c>
      <c r="M8" s="313" t="s">
        <v>242</v>
      </c>
      <c r="N8" s="486" t="s">
        <v>246</v>
      </c>
      <c r="O8" s="550"/>
      <c r="P8" s="445"/>
      <c r="Q8" s="315">
        <v>9000</v>
      </c>
      <c r="R8" s="587"/>
      <c r="S8" s="624" t="s">
        <v>244</v>
      </c>
      <c r="T8" s="642">
        <v>45900</v>
      </c>
      <c r="U8" s="648">
        <v>14205.303853864641</v>
      </c>
      <c r="V8" s="767"/>
      <c r="W8" s="535">
        <v>45954</v>
      </c>
      <c r="X8" s="78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55"/>
      <c r="J9" s="755"/>
      <c r="K9" s="288"/>
      <c r="L9" s="311">
        <v>1</v>
      </c>
      <c r="M9" s="313" t="s">
        <v>242</v>
      </c>
      <c r="N9" s="486" t="s">
        <v>247</v>
      </c>
      <c r="O9" s="550"/>
      <c r="P9" s="445"/>
      <c r="Q9" s="387">
        <v>-49104</v>
      </c>
      <c r="R9" s="588"/>
      <c r="S9" s="625" t="s">
        <v>248</v>
      </c>
      <c r="T9" s="642">
        <v>45900</v>
      </c>
      <c r="U9" s="658">
        <v>-77504.137826685488</v>
      </c>
      <c r="V9" s="767"/>
      <c r="W9" s="536">
        <v>45900</v>
      </c>
      <c r="X9" s="78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55"/>
      <c r="J10" s="755"/>
      <c r="K10" s="288"/>
      <c r="L10" s="311">
        <v>1</v>
      </c>
      <c r="M10" s="313" t="s">
        <v>242</v>
      </c>
      <c r="N10" s="486" t="s">
        <v>249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250</v>
      </c>
      <c r="T10" s="690">
        <v>45961</v>
      </c>
      <c r="U10" s="504"/>
      <c r="V10" s="767"/>
      <c r="W10" s="691">
        <v>45961</v>
      </c>
      <c r="X10" s="78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56"/>
      <c r="J11" s="756"/>
      <c r="K11" s="289"/>
      <c r="L11" s="316">
        <v>1</v>
      </c>
      <c r="M11" s="420" t="s">
        <v>242</v>
      </c>
      <c r="N11" s="317" t="s">
        <v>251</v>
      </c>
      <c r="O11" s="551"/>
      <c r="P11" s="461">
        <f>622*620</f>
        <v>385640</v>
      </c>
      <c r="Q11" s="330"/>
      <c r="R11" s="589"/>
      <c r="S11" s="626"/>
      <c r="T11" s="521" t="str">
        <f t="shared" si="0"/>
        <v/>
      </c>
      <c r="U11" s="505">
        <f>(Q11/$X$6*$J$6)</f>
        <v>0</v>
      </c>
      <c r="V11" s="768"/>
      <c r="W11" s="573"/>
      <c r="X11" s="781"/>
      <c r="Y11" s="604" t="s">
        <v>252</v>
      </c>
      <c r="Z11" s="605" t="s">
        <v>253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254</v>
      </c>
      <c r="Z12" s="607">
        <f>G53</f>
        <v>314004.90000000002</v>
      </c>
    </row>
    <row r="13" spans="1:76" ht="14.25" customHeight="1">
      <c r="B13" s="293">
        <v>2</v>
      </c>
      <c r="C13" s="319" t="s">
        <v>255</v>
      </c>
      <c r="D13" s="319" t="s">
        <v>256</v>
      </c>
      <c r="E13" s="365"/>
      <c r="F13" s="458"/>
      <c r="G13" s="296">
        <v>236694</v>
      </c>
      <c r="H13" s="536">
        <v>45904</v>
      </c>
      <c r="I13" s="739">
        <f>SUM(G13:G19)</f>
        <v>236694</v>
      </c>
      <c r="J13" s="739">
        <f>D158</f>
        <v>278463.5294117647</v>
      </c>
      <c r="K13" s="297"/>
      <c r="L13" s="293">
        <v>2</v>
      </c>
      <c r="M13" s="421" t="s">
        <v>257</v>
      </c>
      <c r="N13" s="319" t="s">
        <v>258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259</v>
      </c>
      <c r="T13" s="643">
        <v>45900</v>
      </c>
      <c r="U13" s="659">
        <v>278463.5294117647</v>
      </c>
      <c r="V13" s="791">
        <f>J13-SUM(U13:U19)</f>
        <v>0</v>
      </c>
      <c r="W13" s="695">
        <v>45954</v>
      </c>
      <c r="X13" s="742">
        <f>SUM(Q13:Q19)</f>
        <v>206611.05000000002</v>
      </c>
      <c r="Y13" s="606" t="s">
        <v>260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40"/>
      <c r="J14" s="740"/>
      <c r="K14" s="301"/>
      <c r="L14" s="298">
        <v>2</v>
      </c>
      <c r="M14" s="427" t="s">
        <v>257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92"/>
      <c r="W14" s="576"/>
      <c r="X14" s="743"/>
      <c r="Y14" s="606" t="s">
        <v>261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40"/>
      <c r="J15" s="740"/>
      <c r="K15" s="301"/>
      <c r="L15" s="298">
        <v>2</v>
      </c>
      <c r="M15" s="427" t="s">
        <v>257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92"/>
      <c r="W15" s="576"/>
      <c r="X15" s="743"/>
      <c r="Y15" s="606" t="s">
        <v>262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40"/>
      <c r="J16" s="740"/>
      <c r="K16" s="301"/>
      <c r="L16" s="298">
        <v>2</v>
      </c>
      <c r="M16" s="427" t="s">
        <v>257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92"/>
      <c r="W16" s="576"/>
      <c r="X16" s="743"/>
      <c r="Y16" s="606" t="s">
        <v>263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40"/>
      <c r="J17" s="740"/>
      <c r="K17" s="301"/>
      <c r="L17" s="298">
        <v>2</v>
      </c>
      <c r="M17" s="427" t="s">
        <v>257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92"/>
      <c r="W17" s="576"/>
      <c r="X17" s="743"/>
      <c r="Y17" s="606" t="s">
        <v>264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40"/>
      <c r="J18" s="740"/>
      <c r="K18" s="301"/>
      <c r="L18" s="298">
        <v>2</v>
      </c>
      <c r="M18" s="427" t="s">
        <v>257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92"/>
      <c r="W18" s="576"/>
      <c r="X18" s="743"/>
      <c r="Y18" s="606" t="s">
        <v>265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41"/>
      <c r="J19" s="741"/>
      <c r="K19" s="306"/>
      <c r="L19" s="396">
        <v>2</v>
      </c>
      <c r="M19" s="422" t="s">
        <v>257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93"/>
      <c r="W19" s="577"/>
      <c r="X19" s="744"/>
      <c r="Y19" s="606" t="s">
        <v>266</v>
      </c>
      <c r="Z19" s="607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v>154440</v>
      </c>
      <c r="H21" s="536">
        <v>45912</v>
      </c>
      <c r="I21" s="754">
        <f>SUM(G21:G26)</f>
        <v>154440</v>
      </c>
      <c r="J21" s="754">
        <f>D159</f>
        <v>181694.11764705883</v>
      </c>
      <c r="K21" s="285"/>
      <c r="L21" s="281">
        <v>3</v>
      </c>
      <c r="M21" s="423" t="s">
        <v>269</v>
      </c>
      <c r="N21" s="327" t="s">
        <v>270</v>
      </c>
      <c r="O21" s="548"/>
      <c r="P21" s="438"/>
      <c r="Q21" s="284">
        <v>96112.72</v>
      </c>
      <c r="R21" s="594" t="s">
        <v>271</v>
      </c>
      <c r="S21" s="631" t="s">
        <v>272</v>
      </c>
      <c r="T21" s="663">
        <v>45930</v>
      </c>
      <c r="U21" s="671">
        <v>181694.11764705883</v>
      </c>
      <c r="V21" s="766">
        <f>J21-SUM(U21:U26)</f>
        <v>0</v>
      </c>
      <c r="W21" s="696">
        <f>T21+30</f>
        <v>45960</v>
      </c>
      <c r="X21" s="779">
        <f>SUM(Q21:Q26)</f>
        <v>96112.72</v>
      </c>
      <c r="Y21" s="606" t="s">
        <v>273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55"/>
      <c r="J22" s="755"/>
      <c r="K22" s="288"/>
      <c r="L22" s="311">
        <v>3</v>
      </c>
      <c r="M22" s="424" t="s">
        <v>269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67"/>
      <c r="W22" s="571"/>
      <c r="X22" s="780"/>
      <c r="Y22" s="606" t="s">
        <v>196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55"/>
      <c r="J23" s="755"/>
      <c r="K23" s="288"/>
      <c r="L23" s="311">
        <v>3</v>
      </c>
      <c r="M23" s="424" t="s">
        <v>269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67"/>
      <c r="W23" s="571"/>
      <c r="X23" s="780"/>
      <c r="Y23" s="606" t="s">
        <v>274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55"/>
      <c r="J24" s="755"/>
      <c r="K24" s="288"/>
      <c r="L24" s="311">
        <v>3</v>
      </c>
      <c r="M24" s="424" t="s">
        <v>269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67"/>
      <c r="W24" s="572"/>
      <c r="X24" s="780"/>
      <c r="Y24" s="611" t="s">
        <v>275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55"/>
      <c r="J25" s="755"/>
      <c r="K25" s="288"/>
      <c r="L25" s="311">
        <v>3</v>
      </c>
      <c r="M25" s="424" t="s">
        <v>269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67"/>
      <c r="W25" s="572"/>
      <c r="X25" s="780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56"/>
      <c r="J26" s="756"/>
      <c r="K26" s="289"/>
      <c r="L26" s="316">
        <v>3</v>
      </c>
      <c r="M26" s="425" t="s">
        <v>269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68"/>
      <c r="W26" s="573"/>
      <c r="X26" s="781"/>
      <c r="Y26" s="612" t="s">
        <v>276</v>
      </c>
      <c r="Z26" s="613" t="s">
        <v>277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260</v>
      </c>
      <c r="D28" s="294" t="s">
        <v>278</v>
      </c>
      <c r="E28" s="365"/>
      <c r="F28" s="651"/>
      <c r="G28" s="296">
        <v>70140</v>
      </c>
      <c r="H28" s="575">
        <f>H13</f>
        <v>45904</v>
      </c>
      <c r="I28" s="739">
        <f>SUM(G28:G42)</f>
        <v>184231</v>
      </c>
      <c r="J28" s="739">
        <f>D160</f>
        <v>216742.35294117648</v>
      </c>
      <c r="K28" s="297"/>
      <c r="L28" s="293">
        <v>4</v>
      </c>
      <c r="M28" s="426" t="s">
        <v>279</v>
      </c>
      <c r="N28" s="294" t="s">
        <v>280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259</v>
      </c>
      <c r="T28" s="643">
        <v>45900</v>
      </c>
      <c r="U28" s="659">
        <v>102014.51618395577</v>
      </c>
      <c r="V28" s="791">
        <f>J28-SUM(U28:U42)</f>
        <v>0</v>
      </c>
      <c r="W28" s="537">
        <v>45954</v>
      </c>
      <c r="X28" s="742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281</v>
      </c>
      <c r="E29" s="395"/>
      <c r="F29" s="454"/>
      <c r="G29" s="640">
        <f>184231-G28</f>
        <v>114091</v>
      </c>
      <c r="H29" s="575">
        <f>H14</f>
        <v>45905</v>
      </c>
      <c r="I29" s="740"/>
      <c r="J29" s="740"/>
      <c r="K29" s="301"/>
      <c r="L29" s="298">
        <v>4</v>
      </c>
      <c r="M29" s="427" t="s">
        <v>279</v>
      </c>
      <c r="N29" s="409" t="s">
        <v>282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283</v>
      </c>
      <c r="T29" s="667">
        <v>45930</v>
      </c>
      <c r="U29" s="675">
        <v>0</v>
      </c>
      <c r="V29" s="792"/>
      <c r="W29" s="668">
        <v>45930</v>
      </c>
      <c r="X29" s="743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40"/>
      <c r="J30" s="740"/>
      <c r="K30" s="301"/>
      <c r="L30" s="298">
        <v>4</v>
      </c>
      <c r="M30" s="427" t="s">
        <v>279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92"/>
      <c r="W30" s="576"/>
      <c r="X30" s="743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40"/>
      <c r="J31" s="740"/>
      <c r="K31" s="301"/>
      <c r="L31" s="298">
        <v>4</v>
      </c>
      <c r="M31" s="427" t="s">
        <v>279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92"/>
      <c r="W31" s="576"/>
      <c r="X31" s="743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40"/>
      <c r="J32" s="740"/>
      <c r="K32" s="301"/>
      <c r="L32" s="298">
        <v>4</v>
      </c>
      <c r="M32" s="427" t="s">
        <v>279</v>
      </c>
      <c r="N32" s="409" t="s">
        <v>284</v>
      </c>
      <c r="O32" s="565">
        <f>Z28</f>
        <v>121459.25</v>
      </c>
      <c r="P32" s="566">
        <v>0.1</v>
      </c>
      <c r="Q32" s="300">
        <v>12145.93</v>
      </c>
      <c r="R32" s="782" t="s">
        <v>285</v>
      </c>
      <c r="S32" s="629" t="s">
        <v>286</v>
      </c>
      <c r="T32" s="652">
        <v>45900</v>
      </c>
      <c r="U32" s="660">
        <v>11472.788634761055</v>
      </c>
      <c r="V32" s="792"/>
      <c r="W32" s="538">
        <v>45901</v>
      </c>
      <c r="X32" s="743"/>
      <c r="Y32" s="614" t="s">
        <v>287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40"/>
      <c r="J33" s="740"/>
      <c r="K33" s="301"/>
      <c r="L33" s="298">
        <v>4</v>
      </c>
      <c r="M33" s="427" t="s">
        <v>279</v>
      </c>
      <c r="N33" s="409" t="s">
        <v>102</v>
      </c>
      <c r="O33" s="554"/>
      <c r="P33" s="566">
        <v>0.15</v>
      </c>
      <c r="Q33" s="300">
        <v>18218.88</v>
      </c>
      <c r="R33" s="783"/>
      <c r="S33" s="629" t="s">
        <v>286</v>
      </c>
      <c r="T33" s="652">
        <v>45900</v>
      </c>
      <c r="U33" s="660">
        <v>17209.168783458779</v>
      </c>
      <c r="V33" s="792"/>
      <c r="W33" s="538">
        <f t="shared" ref="W33:W37" si="4">W88</f>
        <v>45911</v>
      </c>
      <c r="X33" s="743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40"/>
      <c r="J34" s="740"/>
      <c r="K34" s="301"/>
      <c r="L34" s="298">
        <v>4</v>
      </c>
      <c r="M34" s="427" t="s">
        <v>279</v>
      </c>
      <c r="N34" s="409" t="s">
        <v>288</v>
      </c>
      <c r="O34" s="554"/>
      <c r="P34" s="566">
        <v>0.2</v>
      </c>
      <c r="Q34" s="300">
        <f t="shared" ref="Q34:Q39" si="5">$O$32*P34</f>
        <v>24291.850000000002</v>
      </c>
      <c r="R34" s="783"/>
      <c r="S34" s="629" t="s">
        <v>289</v>
      </c>
      <c r="T34" s="652">
        <v>45900</v>
      </c>
      <c r="U34" s="660">
        <v>22945.567823733574</v>
      </c>
      <c r="V34" s="792"/>
      <c r="W34" s="668">
        <f t="shared" si="4"/>
        <v>45960</v>
      </c>
      <c r="X34" s="743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40"/>
      <c r="J35" s="740"/>
      <c r="K35" s="301"/>
      <c r="L35" s="298">
        <v>4</v>
      </c>
      <c r="M35" s="427" t="s">
        <v>279</v>
      </c>
      <c r="N35" s="409" t="s">
        <v>290</v>
      </c>
      <c r="O35" s="554"/>
      <c r="P35" s="566">
        <v>0.25</v>
      </c>
      <c r="Q35" s="300">
        <f t="shared" si="5"/>
        <v>30364.8125</v>
      </c>
      <c r="R35" s="783"/>
      <c r="S35" s="629" t="s">
        <v>289</v>
      </c>
      <c r="T35" s="652">
        <v>45900</v>
      </c>
      <c r="U35" s="660">
        <v>28681.95977966697</v>
      </c>
      <c r="V35" s="792"/>
      <c r="W35" s="538">
        <v>45939</v>
      </c>
      <c r="X35" s="743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40"/>
      <c r="J36" s="740"/>
      <c r="K36" s="301"/>
      <c r="L36" s="298">
        <v>4</v>
      </c>
      <c r="M36" s="427" t="s">
        <v>279</v>
      </c>
      <c r="N36" s="409" t="s">
        <v>181</v>
      </c>
      <c r="O36" s="554"/>
      <c r="P36" s="566">
        <v>0.1</v>
      </c>
      <c r="Q36" s="300">
        <f>$O$32*P36</f>
        <v>12145.925000000001</v>
      </c>
      <c r="R36" s="783"/>
      <c r="S36" s="629" t="s">
        <v>289</v>
      </c>
      <c r="T36" s="652">
        <v>45900</v>
      </c>
      <c r="U36" s="660">
        <v>11472.783911866787</v>
      </c>
      <c r="V36" s="792"/>
      <c r="W36" s="668">
        <f t="shared" si="4"/>
        <v>45960</v>
      </c>
      <c r="X36" s="743"/>
      <c r="Y36" s="614" t="s">
        <v>273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40"/>
      <c r="J37" s="740"/>
      <c r="K37" s="301"/>
      <c r="L37" s="298">
        <v>4</v>
      </c>
      <c r="M37" s="427" t="s">
        <v>279</v>
      </c>
      <c r="N37" s="409" t="s">
        <v>291</v>
      </c>
      <c r="O37" s="692"/>
      <c r="P37" s="566">
        <v>0.1</v>
      </c>
      <c r="Q37" s="300">
        <f t="shared" si="5"/>
        <v>12145.925000000001</v>
      </c>
      <c r="R37" s="783"/>
      <c r="S37" s="629" t="s">
        <v>289</v>
      </c>
      <c r="T37" s="652">
        <v>45900</v>
      </c>
      <c r="U37" s="660">
        <v>11472.783911866787</v>
      </c>
      <c r="V37" s="792"/>
      <c r="W37" s="668">
        <f t="shared" si="4"/>
        <v>45960</v>
      </c>
      <c r="X37" s="743"/>
      <c r="Y37" s="614" t="s">
        <v>273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40"/>
      <c r="J38" s="740"/>
      <c r="K38" s="301"/>
      <c r="L38" s="298">
        <v>4</v>
      </c>
      <c r="M38" s="427" t="s">
        <v>279</v>
      </c>
      <c r="N38" s="409" t="s">
        <v>292</v>
      </c>
      <c r="O38" s="554"/>
      <c r="P38" s="566">
        <v>0.05</v>
      </c>
      <c r="Q38" s="300">
        <f t="shared" si="5"/>
        <v>6072.9625000000005</v>
      </c>
      <c r="R38" s="783"/>
      <c r="S38" s="629" t="s">
        <v>289</v>
      </c>
      <c r="T38" s="652">
        <v>45900</v>
      </c>
      <c r="U38" s="660">
        <v>5736.3919559333935</v>
      </c>
      <c r="V38" s="792"/>
      <c r="W38" s="668">
        <v>45980</v>
      </c>
      <c r="X38" s="743"/>
      <c r="Y38" s="614" t="s">
        <v>196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40"/>
      <c r="J39" s="740"/>
      <c r="K39" s="301"/>
      <c r="L39" s="298">
        <v>4</v>
      </c>
      <c r="M39" s="427" t="s">
        <v>279</v>
      </c>
      <c r="N39" s="409" t="s">
        <v>293</v>
      </c>
      <c r="O39" s="692"/>
      <c r="P39" s="566">
        <v>0.05</v>
      </c>
      <c r="Q39" s="300">
        <f t="shared" si="5"/>
        <v>6072.9625000000005</v>
      </c>
      <c r="R39" s="784"/>
      <c r="S39" s="629" t="s">
        <v>289</v>
      </c>
      <c r="T39" s="652">
        <v>45900</v>
      </c>
      <c r="U39" s="660">
        <v>5736.3919559333935</v>
      </c>
      <c r="V39" s="792"/>
      <c r="W39" s="668">
        <v>45980</v>
      </c>
      <c r="X39" s="743"/>
      <c r="Y39" s="617" t="s">
        <v>275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40"/>
      <c r="J40" s="740"/>
      <c r="K40" s="301"/>
      <c r="L40" s="298">
        <v>4</v>
      </c>
      <c r="M40" s="427" t="s">
        <v>279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92"/>
      <c r="W40" s="576"/>
      <c r="X40" s="743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40"/>
      <c r="J41" s="740"/>
      <c r="K41" s="301"/>
      <c r="L41" s="298">
        <v>4</v>
      </c>
      <c r="M41" s="427" t="s">
        <v>279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92"/>
      <c r="W41" s="576"/>
      <c r="X41" s="743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41"/>
      <c r="J42" s="741"/>
      <c r="K42" s="306"/>
      <c r="L42" s="302">
        <v>4</v>
      </c>
      <c r="M42" s="428" t="s">
        <v>279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93"/>
      <c r="W42" s="577"/>
      <c r="X42" s="744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294</v>
      </c>
      <c r="D44" s="327" t="s">
        <v>295</v>
      </c>
      <c r="E44" s="283"/>
      <c r="F44" s="438"/>
      <c r="G44" s="284">
        <f>174000-G45</f>
        <v>159000</v>
      </c>
      <c r="H44" s="578">
        <f>H13</f>
        <v>45904</v>
      </c>
      <c r="I44" s="754">
        <f>SUM(G44:G51)</f>
        <v>174000</v>
      </c>
      <c r="J44" s="754">
        <f>D162</f>
        <v>204705.88235294117</v>
      </c>
      <c r="K44" s="285"/>
      <c r="L44" s="281">
        <v>5</v>
      </c>
      <c r="M44" s="423" t="s">
        <v>296</v>
      </c>
      <c r="N44" s="327" t="s">
        <v>297</v>
      </c>
      <c r="O44" s="548"/>
      <c r="P44" s="438"/>
      <c r="Q44" s="284">
        <v>8598.34</v>
      </c>
      <c r="R44" s="594"/>
      <c r="S44" s="631" t="s">
        <v>259</v>
      </c>
      <c r="T44" s="654">
        <v>45900</v>
      </c>
      <c r="U44" s="661">
        <v>12898.48934869312</v>
      </c>
      <c r="V44" s="766">
        <f>J44-SUM(U44:U51)</f>
        <v>-1.1388314014766365E-3</v>
      </c>
      <c r="W44" s="689">
        <v>45954</v>
      </c>
      <c r="X44" s="779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298</v>
      </c>
      <c r="E45" s="452"/>
      <c r="F45" s="453"/>
      <c r="G45" s="315">
        <v>15000</v>
      </c>
      <c r="H45" s="535">
        <v>45898</v>
      </c>
      <c r="I45" s="755"/>
      <c r="J45" s="755"/>
      <c r="K45" s="288"/>
      <c r="L45" s="286">
        <v>5</v>
      </c>
      <c r="M45" s="429" t="s">
        <v>296</v>
      </c>
      <c r="N45" s="287" t="s">
        <v>299</v>
      </c>
      <c r="O45" s="556"/>
      <c r="P45" s="453"/>
      <c r="Q45" s="315">
        <v>21048</v>
      </c>
      <c r="R45" s="587" t="s">
        <v>300</v>
      </c>
      <c r="S45" s="624" t="s">
        <v>301</v>
      </c>
      <c r="T45" s="642">
        <v>45869</v>
      </c>
      <c r="U45" s="648">
        <v>28715.140566783335</v>
      </c>
      <c r="V45" s="767"/>
      <c r="W45" s="535">
        <v>45898</v>
      </c>
      <c r="X45" s="780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55"/>
      <c r="J46" s="755"/>
      <c r="K46" s="288"/>
      <c r="L46" s="286">
        <v>5</v>
      </c>
      <c r="M46" s="429" t="s">
        <v>296</v>
      </c>
      <c r="N46" s="313" t="s">
        <v>302</v>
      </c>
      <c r="O46" s="549"/>
      <c r="P46" s="460"/>
      <c r="Q46" s="315">
        <v>11169</v>
      </c>
      <c r="R46" s="587"/>
      <c r="S46" s="624" t="s">
        <v>303</v>
      </c>
      <c r="T46" s="664">
        <v>45961</v>
      </c>
      <c r="U46" s="672">
        <v>17959.990875310363</v>
      </c>
      <c r="V46" s="767"/>
      <c r="W46" s="535">
        <v>45974</v>
      </c>
      <c r="X46" s="780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55"/>
      <c r="J47" s="755"/>
      <c r="K47" s="288"/>
      <c r="L47" s="286">
        <v>5</v>
      </c>
      <c r="M47" s="429" t="s">
        <v>296</v>
      </c>
      <c r="N47" s="313" t="s">
        <v>304</v>
      </c>
      <c r="O47" s="549"/>
      <c r="P47" s="460"/>
      <c r="Q47" s="315">
        <v>297.62</v>
      </c>
      <c r="R47" s="587"/>
      <c r="S47" s="624" t="s">
        <v>305</v>
      </c>
      <c r="T47" s="664">
        <v>45930</v>
      </c>
      <c r="U47" s="672">
        <v>478.57932530305936</v>
      </c>
      <c r="V47" s="767"/>
      <c r="W47" s="697">
        <v>45960</v>
      </c>
      <c r="X47" s="780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55"/>
      <c r="J48" s="755"/>
      <c r="K48" s="288"/>
      <c r="L48" s="311">
        <v>5</v>
      </c>
      <c r="M48" s="429" t="s">
        <v>296</v>
      </c>
      <c r="N48" s="313" t="s">
        <v>306</v>
      </c>
      <c r="O48" s="549"/>
      <c r="P48" s="460"/>
      <c r="Q48" s="315">
        <v>85000</v>
      </c>
      <c r="R48" s="587" t="s">
        <v>307</v>
      </c>
      <c r="S48" s="624" t="s">
        <v>308</v>
      </c>
      <c r="T48" s="642">
        <v>45930</v>
      </c>
      <c r="U48" s="672">
        <v>142740.13792473639</v>
      </c>
      <c r="V48" s="767"/>
      <c r="W48" s="697">
        <v>45960</v>
      </c>
      <c r="X48" s="780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55"/>
      <c r="J49" s="755"/>
      <c r="K49" s="288"/>
      <c r="L49" s="311">
        <v>5</v>
      </c>
      <c r="M49" s="429" t="s">
        <v>296</v>
      </c>
      <c r="N49" s="388" t="s">
        <v>309</v>
      </c>
      <c r="O49" s="550"/>
      <c r="P49" s="445"/>
      <c r="Q49" s="387">
        <v>1190</v>
      </c>
      <c r="R49" s="588"/>
      <c r="S49" s="625" t="s">
        <v>310</v>
      </c>
      <c r="T49" s="653">
        <v>45930</v>
      </c>
      <c r="U49" s="673">
        <v>1913.5454509463098</v>
      </c>
      <c r="V49" s="767"/>
      <c r="W49" s="691">
        <v>45911</v>
      </c>
      <c r="X49" s="780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55"/>
      <c r="J50" s="755"/>
      <c r="K50" s="288"/>
      <c r="L50" s="311">
        <v>5</v>
      </c>
      <c r="M50" s="429" t="s">
        <v>296</v>
      </c>
      <c r="N50" s="388" t="s">
        <v>311</v>
      </c>
      <c r="O50" s="550"/>
      <c r="P50" s="445"/>
      <c r="Q50" s="387">
        <v>975</v>
      </c>
      <c r="R50" s="588"/>
      <c r="S50" s="625" t="s">
        <v>312</v>
      </c>
      <c r="T50" s="690">
        <v>46053</v>
      </c>
      <c r="U50" s="504">
        <v>0</v>
      </c>
      <c r="V50" s="767"/>
      <c r="W50" s="691">
        <v>46053</v>
      </c>
      <c r="X50" s="780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56"/>
      <c r="J51" s="756"/>
      <c r="K51" s="289"/>
      <c r="L51" s="316">
        <v>5</v>
      </c>
      <c r="M51" s="425" t="s">
        <v>296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68"/>
      <c r="W51" s="573"/>
      <c r="X51" s="781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254</v>
      </c>
      <c r="D53" s="295" t="s">
        <v>313</v>
      </c>
      <c r="E53" s="476"/>
      <c r="F53" s="458"/>
      <c r="G53" s="296">
        <v>314004.90000000002</v>
      </c>
      <c r="H53" s="537">
        <v>45930</v>
      </c>
      <c r="I53" s="739">
        <f>SUM(G53:G65)</f>
        <v>314004.90000000002</v>
      </c>
      <c r="J53" s="739">
        <f>D161</f>
        <v>369417.52941176476</v>
      </c>
      <c r="K53" s="297"/>
      <c r="L53" s="293">
        <v>6</v>
      </c>
      <c r="M53" s="432" t="s">
        <v>314</v>
      </c>
      <c r="N53" s="295" t="s">
        <v>315</v>
      </c>
      <c r="O53" s="544"/>
      <c r="P53" s="458"/>
      <c r="Q53" s="296">
        <v>91311.8</v>
      </c>
      <c r="R53" s="591" t="s">
        <v>316</v>
      </c>
      <c r="S53" s="628" t="s">
        <v>317</v>
      </c>
      <c r="T53" s="643">
        <v>45900</v>
      </c>
      <c r="U53" s="659">
        <v>182324.47639632275</v>
      </c>
      <c r="V53" s="791">
        <f>J53-SUM(U53:U65)</f>
        <v>0</v>
      </c>
      <c r="W53" s="537">
        <v>45930</v>
      </c>
      <c r="X53" s="742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40"/>
      <c r="J54" s="740"/>
      <c r="K54" s="301"/>
      <c r="L54" s="298">
        <v>6</v>
      </c>
      <c r="M54" s="430" t="s">
        <v>314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92"/>
      <c r="W54" s="576"/>
      <c r="X54" s="743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40"/>
      <c r="J55" s="740"/>
      <c r="K55" s="301"/>
      <c r="L55" s="298">
        <v>6</v>
      </c>
      <c r="M55" s="430" t="s">
        <v>314</v>
      </c>
      <c r="N55" s="409" t="s">
        <v>284</v>
      </c>
      <c r="O55" s="565">
        <f>Z27</f>
        <v>93700</v>
      </c>
      <c r="P55" s="566">
        <v>0.1</v>
      </c>
      <c r="Q55" s="300">
        <v>9370</v>
      </c>
      <c r="R55" s="782" t="s">
        <v>285</v>
      </c>
      <c r="S55" s="629" t="s">
        <v>286</v>
      </c>
      <c r="T55" s="652">
        <v>45900</v>
      </c>
      <c r="U55" s="660">
        <v>18709.305301544206</v>
      </c>
      <c r="V55" s="792"/>
      <c r="W55" s="538">
        <v>45901</v>
      </c>
      <c r="X55" s="743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40"/>
      <c r="J56" s="740"/>
      <c r="K56" s="301"/>
      <c r="L56" s="298">
        <v>6</v>
      </c>
      <c r="M56" s="431" t="s">
        <v>314</v>
      </c>
      <c r="N56" s="409" t="s">
        <v>102</v>
      </c>
      <c r="O56" s="554"/>
      <c r="P56" s="566">
        <v>0.15</v>
      </c>
      <c r="Q56" s="300">
        <v>14055</v>
      </c>
      <c r="R56" s="783"/>
      <c r="S56" s="629" t="s">
        <v>286</v>
      </c>
      <c r="T56" s="652">
        <v>45900</v>
      </c>
      <c r="U56" s="660">
        <v>28063.957952316305</v>
      </c>
      <c r="V56" s="792"/>
      <c r="W56" s="538">
        <v>45911</v>
      </c>
      <c r="X56" s="743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40"/>
      <c r="J57" s="740"/>
      <c r="K57" s="301"/>
      <c r="L57" s="298">
        <v>6</v>
      </c>
      <c r="M57" s="431" t="s">
        <v>314</v>
      </c>
      <c r="N57" s="409" t="s">
        <v>288</v>
      </c>
      <c r="O57" s="692"/>
      <c r="P57" s="566">
        <v>0.2</v>
      </c>
      <c r="Q57" s="300">
        <f t="shared" ref="Q57:Q62" si="7">$O$55*P57</f>
        <v>18740</v>
      </c>
      <c r="R57" s="783"/>
      <c r="S57" s="629" t="s">
        <v>289</v>
      </c>
      <c r="T57" s="652">
        <v>45900</v>
      </c>
      <c r="U57" s="660">
        <v>37418.610603088411</v>
      </c>
      <c r="V57" s="792"/>
      <c r="W57" s="668">
        <f t="shared" ref="W57:W60" si="8">W89</f>
        <v>45960</v>
      </c>
      <c r="X57" s="743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40"/>
      <c r="J58" s="740"/>
      <c r="K58" s="301"/>
      <c r="L58" s="298">
        <v>6</v>
      </c>
      <c r="M58" s="431" t="s">
        <v>314</v>
      </c>
      <c r="N58" s="409" t="s">
        <v>290</v>
      </c>
      <c r="O58" s="554"/>
      <c r="P58" s="566">
        <v>0.25</v>
      </c>
      <c r="Q58" s="300">
        <f t="shared" si="7"/>
        <v>23425</v>
      </c>
      <c r="R58" s="783"/>
      <c r="S58" s="629" t="s">
        <v>289</v>
      </c>
      <c r="T58" s="652">
        <v>45900</v>
      </c>
      <c r="U58" s="660">
        <v>46773.26325386051</v>
      </c>
      <c r="V58" s="792"/>
      <c r="W58" s="538">
        <v>45939</v>
      </c>
      <c r="X58" s="743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40"/>
      <c r="J59" s="740"/>
      <c r="K59" s="301"/>
      <c r="L59" s="298">
        <v>6</v>
      </c>
      <c r="M59" s="431" t="s">
        <v>314</v>
      </c>
      <c r="N59" s="409" t="s">
        <v>181</v>
      </c>
      <c r="O59" s="554"/>
      <c r="P59" s="566">
        <v>0.1</v>
      </c>
      <c r="Q59" s="300">
        <f t="shared" si="7"/>
        <v>9370</v>
      </c>
      <c r="R59" s="783"/>
      <c r="S59" s="629" t="s">
        <v>289</v>
      </c>
      <c r="T59" s="652">
        <v>45900</v>
      </c>
      <c r="U59" s="660">
        <v>18709.305301544206</v>
      </c>
      <c r="V59" s="792"/>
      <c r="W59" s="668">
        <f t="shared" si="8"/>
        <v>45960</v>
      </c>
      <c r="X59" s="743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40"/>
      <c r="J60" s="740"/>
      <c r="K60" s="301"/>
      <c r="L60" s="298">
        <v>6</v>
      </c>
      <c r="M60" s="431" t="s">
        <v>314</v>
      </c>
      <c r="N60" s="409" t="s">
        <v>291</v>
      </c>
      <c r="O60" s="554"/>
      <c r="P60" s="566">
        <v>0.1</v>
      </c>
      <c r="Q60" s="300">
        <f t="shared" si="7"/>
        <v>9370</v>
      </c>
      <c r="R60" s="783"/>
      <c r="S60" s="633" t="s">
        <v>289</v>
      </c>
      <c r="T60" s="652">
        <v>45900</v>
      </c>
      <c r="U60" s="662">
        <v>18709.305301544206</v>
      </c>
      <c r="V60" s="792"/>
      <c r="W60" s="538">
        <f t="shared" si="8"/>
        <v>45960</v>
      </c>
      <c r="X60" s="743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40"/>
      <c r="J61" s="740"/>
      <c r="K61" s="301"/>
      <c r="L61" s="298">
        <v>6</v>
      </c>
      <c r="M61" s="431" t="s">
        <v>314</v>
      </c>
      <c r="N61" s="409" t="s">
        <v>292</v>
      </c>
      <c r="O61" s="554"/>
      <c r="P61" s="566">
        <v>0.05</v>
      </c>
      <c r="Q61" s="300">
        <f t="shared" si="7"/>
        <v>4685</v>
      </c>
      <c r="R61" s="783"/>
      <c r="S61" s="633" t="s">
        <v>289</v>
      </c>
      <c r="T61" s="652">
        <v>45900</v>
      </c>
      <c r="U61" s="662">
        <v>9354.6526507721028</v>
      </c>
      <c r="V61" s="792"/>
      <c r="W61" s="668">
        <v>45980</v>
      </c>
      <c r="X61" s="743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40"/>
      <c r="J62" s="740"/>
      <c r="K62" s="301"/>
      <c r="L62" s="298">
        <v>6</v>
      </c>
      <c r="M62" s="431" t="s">
        <v>314</v>
      </c>
      <c r="N62" s="409" t="s">
        <v>293</v>
      </c>
      <c r="O62" s="554"/>
      <c r="P62" s="566">
        <v>0.05</v>
      </c>
      <c r="Q62" s="300">
        <f t="shared" si="7"/>
        <v>4685</v>
      </c>
      <c r="R62" s="784"/>
      <c r="S62" s="633" t="s">
        <v>289</v>
      </c>
      <c r="T62" s="652">
        <v>45900</v>
      </c>
      <c r="U62" s="662">
        <v>9354.6526507721028</v>
      </c>
      <c r="V62" s="792"/>
      <c r="W62" s="668">
        <v>45980</v>
      </c>
      <c r="X62" s="743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40"/>
      <c r="J63" s="740"/>
      <c r="K63" s="301"/>
      <c r="L63" s="298">
        <v>6</v>
      </c>
      <c r="M63" s="431" t="s">
        <v>314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92"/>
      <c r="W63" s="579"/>
      <c r="X63" s="743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40"/>
      <c r="J64" s="740"/>
      <c r="K64" s="301"/>
      <c r="L64" s="298">
        <v>6</v>
      </c>
      <c r="M64" s="431" t="s">
        <v>314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92"/>
      <c r="W64" s="579"/>
      <c r="X64" s="743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41"/>
      <c r="J65" s="741"/>
      <c r="K65" s="306"/>
      <c r="L65" s="302">
        <v>6</v>
      </c>
      <c r="M65" s="433" t="s">
        <v>314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93"/>
      <c r="W65" s="577"/>
      <c r="X65" s="744"/>
      <c r="Y65" s="483"/>
    </row>
    <row r="66" spans="1:25" ht="14.45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318</v>
      </c>
      <c r="D67" s="382"/>
      <c r="E67" s="463"/>
      <c r="F67" s="469"/>
      <c r="G67" s="383"/>
      <c r="H67" s="581"/>
      <c r="I67" s="754">
        <f>SUM(G67:G74)</f>
        <v>0</v>
      </c>
      <c r="J67" s="754">
        <v>0</v>
      </c>
      <c r="K67" s="285"/>
      <c r="L67" s="381">
        <v>7</v>
      </c>
      <c r="M67" s="309" t="s">
        <v>319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88">
        <f>J67-SUM(U67:U74)</f>
        <v>0</v>
      </c>
      <c r="W67" s="581"/>
      <c r="X67" s="779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55"/>
      <c r="J68" s="755"/>
      <c r="K68" s="288"/>
      <c r="L68" s="384">
        <v>7</v>
      </c>
      <c r="M68" s="385" t="s">
        <v>319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89"/>
      <c r="W68" s="572"/>
      <c r="X68" s="780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55"/>
      <c r="J69" s="755"/>
      <c r="K69" s="288"/>
      <c r="L69" s="384">
        <v>7</v>
      </c>
      <c r="M69" s="385" t="s">
        <v>319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89"/>
      <c r="W69" s="572"/>
      <c r="X69" s="780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55"/>
      <c r="J70" s="755"/>
      <c r="K70" s="288"/>
      <c r="L70" s="384">
        <v>7</v>
      </c>
      <c r="M70" s="385" t="s">
        <v>319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89"/>
      <c r="W70" s="572"/>
      <c r="X70" s="780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55"/>
      <c r="J71" s="755"/>
      <c r="K71" s="288"/>
      <c r="L71" s="384">
        <v>7</v>
      </c>
      <c r="M71" s="385" t="s">
        <v>319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89"/>
      <c r="W71" s="572"/>
      <c r="X71" s="780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55"/>
      <c r="J72" s="755"/>
      <c r="K72" s="288"/>
      <c r="L72" s="384">
        <v>7</v>
      </c>
      <c r="M72" s="385" t="s">
        <v>319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89"/>
      <c r="W72" s="572"/>
      <c r="X72" s="780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55"/>
      <c r="J73" s="755"/>
      <c r="K73" s="288"/>
      <c r="L73" s="384">
        <v>7</v>
      </c>
      <c r="M73" s="385" t="s">
        <v>319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89"/>
      <c r="W73" s="572"/>
      <c r="X73" s="780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56"/>
      <c r="J74" s="756"/>
      <c r="K74" s="289"/>
      <c r="L74" s="316">
        <v>7</v>
      </c>
      <c r="M74" s="337" t="s">
        <v>319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90"/>
      <c r="W74" s="573"/>
      <c r="X74" s="781"/>
      <c r="Y74" s="483"/>
    </row>
    <row r="75" spans="1:25" ht="14.45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320</v>
      </c>
      <c r="D76" s="333"/>
      <c r="E76" s="464"/>
      <c r="F76" s="417"/>
      <c r="G76" s="334"/>
      <c r="H76" s="575"/>
      <c r="I76" s="739">
        <f>SUM(G76:G84)</f>
        <v>0</v>
      </c>
      <c r="J76" s="739">
        <f>D165</f>
        <v>0</v>
      </c>
      <c r="K76" s="297"/>
      <c r="L76" s="332">
        <v>8</v>
      </c>
      <c r="M76" s="426" t="s">
        <v>321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63">
        <f>J76-SUM(U76:U84)</f>
        <v>0</v>
      </c>
      <c r="W76" s="575"/>
      <c r="X76" s="742">
        <f>SUM(Q76:Q84)</f>
        <v>18600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40"/>
      <c r="J77" s="740"/>
      <c r="K77" s="301"/>
      <c r="L77" s="322">
        <v>8</v>
      </c>
      <c r="M77" s="434" t="s">
        <v>321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64"/>
      <c r="W77" s="576"/>
      <c r="X77" s="743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40"/>
      <c r="J78" s="740"/>
      <c r="K78" s="301"/>
      <c r="L78" s="322">
        <v>8</v>
      </c>
      <c r="M78" s="434" t="s">
        <v>321</v>
      </c>
      <c r="N78" s="335" t="s">
        <v>322</v>
      </c>
      <c r="O78" s="557"/>
      <c r="P78" s="462"/>
      <c r="Q78" s="324">
        <v>18600</v>
      </c>
      <c r="R78" s="592" t="s">
        <v>323</v>
      </c>
      <c r="S78" s="629" t="s">
        <v>324</v>
      </c>
      <c r="T78" s="681">
        <v>45961</v>
      </c>
      <c r="U78" s="508"/>
      <c r="V78" s="764"/>
      <c r="W78" s="538">
        <v>45954</v>
      </c>
      <c r="X78" s="743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40"/>
      <c r="J79" s="740"/>
      <c r="K79" s="301"/>
      <c r="L79" s="322">
        <v>8</v>
      </c>
      <c r="M79" s="434" t="s">
        <v>321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64"/>
      <c r="W79" s="576"/>
      <c r="X79" s="743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40"/>
      <c r="J80" s="740"/>
      <c r="K80" s="301"/>
      <c r="L80" s="322">
        <v>8</v>
      </c>
      <c r="M80" s="434" t="s">
        <v>321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64"/>
      <c r="W80" s="576"/>
      <c r="X80" s="743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40"/>
      <c r="J81" s="740"/>
      <c r="K81" s="301"/>
      <c r="L81" s="322">
        <v>8</v>
      </c>
      <c r="M81" s="434" t="s">
        <v>321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64"/>
      <c r="W81" s="576"/>
      <c r="X81" s="743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40"/>
      <c r="J82" s="740"/>
      <c r="K82" s="301"/>
      <c r="L82" s="322">
        <v>8</v>
      </c>
      <c r="M82" s="434" t="s">
        <v>321</v>
      </c>
      <c r="N82" s="335"/>
      <c r="O82" s="557"/>
      <c r="P82" s="462"/>
      <c r="Q82" s="324"/>
      <c r="R82" s="592"/>
      <c r="S82" s="629"/>
      <c r="T82" s="524" t="str">
        <f t="shared" si="9"/>
        <v/>
      </c>
      <c r="U82" s="508"/>
      <c r="V82" s="764"/>
      <c r="W82" s="576"/>
      <c r="X82" s="743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40"/>
      <c r="J83" s="740"/>
      <c r="K83" s="301"/>
      <c r="L83" s="322">
        <v>8</v>
      </c>
      <c r="M83" s="434" t="s">
        <v>321</v>
      </c>
      <c r="N83" s="335"/>
      <c r="O83" s="557"/>
      <c r="P83" s="462"/>
      <c r="Q83" s="324"/>
      <c r="R83" s="596"/>
      <c r="S83" s="633"/>
      <c r="T83" s="527" t="str">
        <f t="shared" si="9"/>
        <v/>
      </c>
      <c r="U83" s="513"/>
      <c r="V83" s="764"/>
      <c r="W83" s="579"/>
      <c r="X83" s="743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41"/>
      <c r="J84" s="741"/>
      <c r="K84" s="306"/>
      <c r="L84" s="302">
        <v>8</v>
      </c>
      <c r="M84" s="433" t="s">
        <v>321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65"/>
      <c r="W84" s="577"/>
      <c r="X84" s="744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325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326</v>
      </c>
      <c r="D86" s="327" t="s">
        <v>327</v>
      </c>
      <c r="E86" s="314"/>
      <c r="F86" s="438"/>
      <c r="G86" s="619">
        <v>96525</v>
      </c>
      <c r="H86" s="535">
        <v>45900</v>
      </c>
      <c r="I86" s="751">
        <f>SUM(G86:G97)</f>
        <v>315975</v>
      </c>
      <c r="J86" s="754">
        <f>D170+D171</f>
        <v>371735.29411764705</v>
      </c>
      <c r="K86" s="288"/>
      <c r="L86" s="311">
        <v>9</v>
      </c>
      <c r="M86" s="424" t="s">
        <v>328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66">
        <f>J86-SUM(U86:U97)</f>
        <v>0</v>
      </c>
      <c r="W86" s="578"/>
      <c r="X86" s="757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329</v>
      </c>
      <c r="E87" s="314"/>
      <c r="F87" s="460"/>
      <c r="G87" s="619">
        <v>219450</v>
      </c>
      <c r="H87" s="535">
        <v>45901</v>
      </c>
      <c r="I87" s="752"/>
      <c r="J87" s="755"/>
      <c r="K87" s="288"/>
      <c r="L87" s="311">
        <v>9</v>
      </c>
      <c r="M87" s="424" t="s">
        <v>328</v>
      </c>
      <c r="N87" s="328" t="s">
        <v>284</v>
      </c>
      <c r="O87" s="568">
        <f>Z30+Z29</f>
        <v>462250</v>
      </c>
      <c r="P87" s="569">
        <v>0.1</v>
      </c>
      <c r="Q87" s="315">
        <v>46225</v>
      </c>
      <c r="R87" s="769" t="s">
        <v>285</v>
      </c>
      <c r="S87" s="624" t="s">
        <v>286</v>
      </c>
      <c r="T87" s="642">
        <v>45900</v>
      </c>
      <c r="U87" s="648">
        <v>37173.529411764706</v>
      </c>
      <c r="V87" s="767"/>
      <c r="W87" s="535">
        <v>45901</v>
      </c>
      <c r="X87" s="758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52"/>
      <c r="J88" s="755"/>
      <c r="K88" s="288"/>
      <c r="L88" s="384">
        <v>9</v>
      </c>
      <c r="M88" s="502" t="s">
        <v>328</v>
      </c>
      <c r="N88" s="386" t="s">
        <v>102</v>
      </c>
      <c r="O88" s="550"/>
      <c r="P88" s="567">
        <v>0.15</v>
      </c>
      <c r="Q88" s="315">
        <v>69337.5</v>
      </c>
      <c r="R88" s="770"/>
      <c r="S88" s="625" t="s">
        <v>286</v>
      </c>
      <c r="T88" s="653">
        <v>45900</v>
      </c>
      <c r="U88" s="658">
        <v>55760.294117647056</v>
      </c>
      <c r="V88" s="767"/>
      <c r="W88" s="536">
        <v>45911</v>
      </c>
      <c r="X88" s="758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52"/>
      <c r="J89" s="755"/>
      <c r="K89" s="288"/>
      <c r="L89" s="384">
        <v>9</v>
      </c>
      <c r="M89" s="502" t="s">
        <v>328</v>
      </c>
      <c r="N89" s="386" t="s">
        <v>288</v>
      </c>
      <c r="O89" s="550"/>
      <c r="P89" s="567">
        <v>0.2</v>
      </c>
      <c r="Q89" s="315">
        <f t="shared" ref="Q89:Q94" si="10">$O$87*P89</f>
        <v>92450</v>
      </c>
      <c r="R89" s="770"/>
      <c r="S89" s="625" t="s">
        <v>330</v>
      </c>
      <c r="T89" s="653">
        <v>45961</v>
      </c>
      <c r="U89" s="673">
        <v>74347.058823529413</v>
      </c>
      <c r="V89" s="767"/>
      <c r="W89" s="691">
        <v>45960</v>
      </c>
      <c r="X89" s="758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52"/>
      <c r="J90" s="755"/>
      <c r="K90" s="288"/>
      <c r="L90" s="384">
        <v>9</v>
      </c>
      <c r="M90" s="502" t="s">
        <v>328</v>
      </c>
      <c r="N90" s="386" t="s">
        <v>290</v>
      </c>
      <c r="O90" s="550"/>
      <c r="P90" s="567">
        <v>0.25</v>
      </c>
      <c r="Q90" s="315">
        <f t="shared" si="10"/>
        <v>115562.5</v>
      </c>
      <c r="R90" s="770"/>
      <c r="S90" s="625" t="s">
        <v>331</v>
      </c>
      <c r="T90" s="653">
        <v>45961</v>
      </c>
      <c r="U90" s="673">
        <v>92933.823529411762</v>
      </c>
      <c r="V90" s="767"/>
      <c r="W90" s="536">
        <v>45939</v>
      </c>
      <c r="X90" s="758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52"/>
      <c r="J91" s="755"/>
      <c r="K91" s="288"/>
      <c r="L91" s="384">
        <v>9</v>
      </c>
      <c r="M91" s="502" t="s">
        <v>328</v>
      </c>
      <c r="N91" s="386" t="s">
        <v>181</v>
      </c>
      <c r="O91" s="550"/>
      <c r="P91" s="567">
        <v>0.1</v>
      </c>
      <c r="Q91" s="315">
        <f t="shared" si="10"/>
        <v>46225</v>
      </c>
      <c r="R91" s="770"/>
      <c r="S91" s="625" t="s">
        <v>332</v>
      </c>
      <c r="T91" s="653">
        <v>45961</v>
      </c>
      <c r="U91" s="673">
        <v>37173.529411764706</v>
      </c>
      <c r="V91" s="767"/>
      <c r="W91" s="691">
        <v>45960</v>
      </c>
      <c r="X91" s="758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52"/>
      <c r="J92" s="755"/>
      <c r="K92" s="288"/>
      <c r="L92" s="384">
        <v>9</v>
      </c>
      <c r="M92" s="502" t="s">
        <v>328</v>
      </c>
      <c r="N92" s="386" t="s">
        <v>291</v>
      </c>
      <c r="O92" s="693"/>
      <c r="P92" s="567">
        <v>0.1</v>
      </c>
      <c r="Q92" s="315">
        <f t="shared" si="10"/>
        <v>46225</v>
      </c>
      <c r="R92" s="770"/>
      <c r="S92" s="625" t="s">
        <v>333</v>
      </c>
      <c r="T92" s="653">
        <v>45961</v>
      </c>
      <c r="U92" s="673">
        <v>37173.529411764706</v>
      </c>
      <c r="V92" s="767"/>
      <c r="W92" s="691">
        <v>45960</v>
      </c>
      <c r="X92" s="758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52"/>
      <c r="J93" s="755"/>
      <c r="K93" s="288"/>
      <c r="L93" s="384">
        <v>9</v>
      </c>
      <c r="M93" s="502" t="s">
        <v>328</v>
      </c>
      <c r="N93" s="386" t="s">
        <v>292</v>
      </c>
      <c r="O93" s="550"/>
      <c r="P93" s="567">
        <v>0.05</v>
      </c>
      <c r="Q93" s="315">
        <f t="shared" si="10"/>
        <v>23112.5</v>
      </c>
      <c r="R93" s="770"/>
      <c r="S93" s="625" t="s">
        <v>334</v>
      </c>
      <c r="T93" s="653">
        <v>45961</v>
      </c>
      <c r="U93" s="673">
        <v>18586.764705882353</v>
      </c>
      <c r="V93" s="767"/>
      <c r="W93" s="691">
        <v>45980</v>
      </c>
      <c r="X93" s="758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52"/>
      <c r="J94" s="755"/>
      <c r="K94" s="288"/>
      <c r="L94" s="384">
        <v>9</v>
      </c>
      <c r="M94" s="502" t="s">
        <v>328</v>
      </c>
      <c r="N94" s="386" t="s">
        <v>293</v>
      </c>
      <c r="O94" s="550"/>
      <c r="P94" s="567">
        <v>0.05</v>
      </c>
      <c r="Q94" s="315">
        <f t="shared" si="10"/>
        <v>23112.5</v>
      </c>
      <c r="R94" s="771"/>
      <c r="S94" s="625" t="s">
        <v>335</v>
      </c>
      <c r="T94" s="653">
        <v>45991</v>
      </c>
      <c r="U94" s="673">
        <v>18586.764705882353</v>
      </c>
      <c r="V94" s="767"/>
      <c r="W94" s="691">
        <v>45980</v>
      </c>
      <c r="X94" s="758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52"/>
      <c r="J95" s="755"/>
      <c r="K95" s="288"/>
      <c r="L95" s="384">
        <v>9</v>
      </c>
      <c r="M95" s="502" t="s">
        <v>328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67"/>
      <c r="W95" s="572"/>
      <c r="X95" s="758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52"/>
      <c r="J96" s="755"/>
      <c r="K96" s="288"/>
      <c r="L96" s="384">
        <v>9</v>
      </c>
      <c r="M96" s="502" t="s">
        <v>328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67"/>
      <c r="W96" s="572"/>
      <c r="X96" s="758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53"/>
      <c r="J97" s="756"/>
      <c r="K97" s="364"/>
      <c r="L97" s="316">
        <v>9</v>
      </c>
      <c r="M97" s="442" t="s">
        <v>328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68"/>
      <c r="W97" s="573"/>
      <c r="X97" s="759"/>
      <c r="Y97" s="483"/>
    </row>
    <row r="98" spans="1:25" ht="14.45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336</v>
      </c>
      <c r="D99" s="270" t="s">
        <v>263</v>
      </c>
      <c r="E99" s="271"/>
      <c r="F99" s="471"/>
      <c r="G99" s="338">
        <v>8500</v>
      </c>
      <c r="H99" s="541">
        <v>45900</v>
      </c>
      <c r="I99" s="745">
        <f>SUM(G99:G113)</f>
        <v>52509.766666666663</v>
      </c>
      <c r="J99" s="745">
        <f>D174+D177+D178+D176</f>
        <v>61776.196078431371</v>
      </c>
      <c r="K99" s="339"/>
      <c r="L99" s="269">
        <v>10</v>
      </c>
      <c r="M99" s="435" t="s">
        <v>337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60">
        <f>J99-SUM(U99:U113)</f>
        <v>0</v>
      </c>
      <c r="W99" s="582"/>
      <c r="X99" s="748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264</v>
      </c>
      <c r="E100" s="342"/>
      <c r="F100" s="472"/>
      <c r="G100" s="343">
        <v>39323.1</v>
      </c>
      <c r="H100" s="541">
        <v>45900</v>
      </c>
      <c r="I100" s="746"/>
      <c r="J100" s="746"/>
      <c r="K100" s="272"/>
      <c r="L100" s="340">
        <v>10</v>
      </c>
      <c r="M100" s="436" t="s">
        <v>337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61"/>
      <c r="W100" s="583"/>
      <c r="X100" s="749"/>
      <c r="Y100" s="483"/>
    </row>
    <row r="101" spans="1:25" ht="14.25" customHeight="1">
      <c r="B101" s="340">
        <v>10</v>
      </c>
      <c r="C101" s="341"/>
      <c r="D101" s="341" t="s">
        <v>338</v>
      </c>
      <c r="E101" s="342"/>
      <c r="F101" s="472"/>
      <c r="G101" s="343">
        <v>0</v>
      </c>
      <c r="H101" s="541">
        <v>45900</v>
      </c>
      <c r="I101" s="746"/>
      <c r="J101" s="746"/>
      <c r="K101" s="272"/>
      <c r="L101" s="340">
        <v>10</v>
      </c>
      <c r="M101" s="436" t="s">
        <v>337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61"/>
      <c r="W101" s="583"/>
      <c r="X101" s="749"/>
      <c r="Y101" s="483"/>
    </row>
    <row r="102" spans="1:25" ht="14.25" customHeight="1">
      <c r="B102" s="340">
        <v>10</v>
      </c>
      <c r="C102" s="341"/>
      <c r="D102" s="341" t="s">
        <v>265</v>
      </c>
      <c r="E102" s="342"/>
      <c r="F102" s="472"/>
      <c r="G102" s="343">
        <v>4686.6666666666661</v>
      </c>
      <c r="H102" s="541">
        <f t="shared" ref="H102" si="12">H86</f>
        <v>45900</v>
      </c>
      <c r="I102" s="746"/>
      <c r="J102" s="746"/>
      <c r="K102" s="272"/>
      <c r="L102" s="340">
        <v>10</v>
      </c>
      <c r="M102" s="436" t="s">
        <v>337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61"/>
      <c r="W102" s="583"/>
      <c r="X102" s="749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46"/>
      <c r="J103" s="746"/>
      <c r="K103" s="272"/>
      <c r="L103" s="340">
        <v>10</v>
      </c>
      <c r="M103" s="436" t="s">
        <v>337</v>
      </c>
      <c r="N103" s="341" t="s">
        <v>284</v>
      </c>
      <c r="O103" s="618">
        <f>Z31+Z32+Z33</f>
        <v>16050</v>
      </c>
      <c r="P103" s="570">
        <v>0.1</v>
      </c>
      <c r="Q103" s="343">
        <f>$O$103*P103</f>
        <v>1605</v>
      </c>
      <c r="R103" s="785" t="s">
        <v>285</v>
      </c>
      <c r="S103" s="638" t="s">
        <v>286</v>
      </c>
      <c r="T103" s="652">
        <v>45900</v>
      </c>
      <c r="U103" s="649">
        <v>6177.6196078431376</v>
      </c>
      <c r="V103" s="761"/>
      <c r="W103" s="541">
        <f>W87</f>
        <v>45901</v>
      </c>
      <c r="X103" s="749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46"/>
      <c r="J104" s="746"/>
      <c r="K104" s="272"/>
      <c r="L104" s="340">
        <v>10</v>
      </c>
      <c r="M104" s="436" t="s">
        <v>337</v>
      </c>
      <c r="N104" s="341" t="s">
        <v>102</v>
      </c>
      <c r="O104" s="563"/>
      <c r="P104" s="570">
        <v>0.15</v>
      </c>
      <c r="Q104" s="343">
        <f t="shared" ref="Q104:Q110" si="14">$O$103*P104</f>
        <v>2407.5</v>
      </c>
      <c r="R104" s="786"/>
      <c r="S104" s="638" t="s">
        <v>286</v>
      </c>
      <c r="T104" s="652">
        <v>45900</v>
      </c>
      <c r="U104" s="649">
        <v>9266.4294117647059</v>
      </c>
      <c r="V104" s="761"/>
      <c r="W104" s="541">
        <f t="shared" ref="W104:W110" si="15">W88</f>
        <v>45911</v>
      </c>
      <c r="X104" s="749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46"/>
      <c r="J105" s="746"/>
      <c r="K105" s="272"/>
      <c r="L105" s="340">
        <v>10</v>
      </c>
      <c r="M105" s="436" t="s">
        <v>337</v>
      </c>
      <c r="N105" s="341" t="s">
        <v>288</v>
      </c>
      <c r="O105" s="563"/>
      <c r="P105" s="570">
        <v>0.2</v>
      </c>
      <c r="Q105" s="343">
        <f>$O$103*P105</f>
        <v>3210</v>
      </c>
      <c r="R105" s="786"/>
      <c r="S105" s="638" t="s">
        <v>289</v>
      </c>
      <c r="T105" s="652">
        <v>45900</v>
      </c>
      <c r="U105" s="649">
        <v>12355.239215686275</v>
      </c>
      <c r="V105" s="761"/>
      <c r="W105" s="670">
        <f t="shared" si="15"/>
        <v>45960</v>
      </c>
      <c r="X105" s="749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46"/>
      <c r="J106" s="746"/>
      <c r="K106" s="272"/>
      <c r="L106" s="340">
        <v>10</v>
      </c>
      <c r="M106" s="436" t="s">
        <v>337</v>
      </c>
      <c r="N106" s="341" t="s">
        <v>290</v>
      </c>
      <c r="O106" s="563"/>
      <c r="P106" s="570">
        <v>0.25</v>
      </c>
      <c r="Q106" s="677">
        <f t="shared" si="14"/>
        <v>4012.5</v>
      </c>
      <c r="R106" s="786"/>
      <c r="S106" s="638" t="s">
        <v>289</v>
      </c>
      <c r="T106" s="652">
        <v>45900</v>
      </c>
      <c r="U106" s="649">
        <v>15444.049019607843</v>
      </c>
      <c r="V106" s="761"/>
      <c r="W106" s="541">
        <v>45939</v>
      </c>
      <c r="X106" s="749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46"/>
      <c r="J107" s="746"/>
      <c r="K107" s="272"/>
      <c r="L107" s="340">
        <v>10</v>
      </c>
      <c r="M107" s="436" t="s">
        <v>337</v>
      </c>
      <c r="N107" s="341" t="s">
        <v>181</v>
      </c>
      <c r="O107" s="563"/>
      <c r="P107" s="570">
        <v>0.1</v>
      </c>
      <c r="Q107" s="343">
        <f>$O$103*P107</f>
        <v>1605</v>
      </c>
      <c r="R107" s="786"/>
      <c r="S107" s="638" t="s">
        <v>289</v>
      </c>
      <c r="T107" s="652">
        <v>45900</v>
      </c>
      <c r="U107" s="649">
        <v>6177.6196078431376</v>
      </c>
      <c r="V107" s="761"/>
      <c r="W107" s="670">
        <f t="shared" si="15"/>
        <v>45960</v>
      </c>
      <c r="X107" s="749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46"/>
      <c r="J108" s="746"/>
      <c r="K108" s="272"/>
      <c r="L108" s="340">
        <v>10</v>
      </c>
      <c r="M108" s="436" t="s">
        <v>337</v>
      </c>
      <c r="N108" s="341" t="s">
        <v>291</v>
      </c>
      <c r="O108" s="563"/>
      <c r="P108" s="570">
        <v>0.1</v>
      </c>
      <c r="Q108" s="343">
        <f t="shared" si="14"/>
        <v>1605</v>
      </c>
      <c r="R108" s="786"/>
      <c r="S108" s="638" t="s">
        <v>289</v>
      </c>
      <c r="T108" s="652">
        <v>45900</v>
      </c>
      <c r="U108" s="649">
        <v>6177.6196078431376</v>
      </c>
      <c r="V108" s="761"/>
      <c r="W108" s="670">
        <f t="shared" si="15"/>
        <v>45960</v>
      </c>
      <c r="X108" s="749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46"/>
      <c r="J109" s="746"/>
      <c r="K109" s="272"/>
      <c r="L109" s="340">
        <v>10</v>
      </c>
      <c r="M109" s="436" t="s">
        <v>337</v>
      </c>
      <c r="N109" s="341" t="s">
        <v>292</v>
      </c>
      <c r="O109" s="563"/>
      <c r="P109" s="570">
        <v>0.05</v>
      </c>
      <c r="Q109" s="343">
        <f t="shared" si="14"/>
        <v>802.5</v>
      </c>
      <c r="R109" s="786"/>
      <c r="S109" s="638" t="s">
        <v>289</v>
      </c>
      <c r="T109" s="652">
        <v>45900</v>
      </c>
      <c r="U109" s="649">
        <v>3088.8098039215688</v>
      </c>
      <c r="V109" s="761"/>
      <c r="W109" s="670">
        <v>45980</v>
      </c>
      <c r="X109" s="749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46"/>
      <c r="J110" s="746"/>
      <c r="K110" s="272"/>
      <c r="L110" s="340">
        <v>10</v>
      </c>
      <c r="M110" s="436" t="s">
        <v>337</v>
      </c>
      <c r="N110" s="341" t="s">
        <v>293</v>
      </c>
      <c r="O110" s="563"/>
      <c r="P110" s="570">
        <v>0.05</v>
      </c>
      <c r="Q110" s="343">
        <f t="shared" si="14"/>
        <v>802.5</v>
      </c>
      <c r="R110" s="787"/>
      <c r="S110" s="638" t="s">
        <v>289</v>
      </c>
      <c r="T110" s="652">
        <v>45900</v>
      </c>
      <c r="U110" s="649">
        <v>3088.8098039215688</v>
      </c>
      <c r="V110" s="761"/>
      <c r="W110" s="670">
        <f t="shared" si="15"/>
        <v>45980</v>
      </c>
      <c r="X110" s="749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46"/>
      <c r="J111" s="746"/>
      <c r="K111" s="272"/>
      <c r="L111" s="340">
        <v>10</v>
      </c>
      <c r="M111" s="436" t="s">
        <v>337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61"/>
      <c r="W111" s="584"/>
      <c r="X111" s="749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46"/>
      <c r="J112" s="746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61"/>
      <c r="W112" s="584"/>
      <c r="X112" s="749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47"/>
      <c r="J113" s="747"/>
      <c r="K113" s="275"/>
      <c r="L113" s="273">
        <v>10</v>
      </c>
      <c r="M113" s="437" t="s">
        <v>337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62"/>
      <c r="W113" s="585"/>
      <c r="X113" s="750"/>
      <c r="Y113" s="483"/>
    </row>
    <row r="114" spans="1:25" ht="14.45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339</v>
      </c>
      <c r="D115" s="351" t="s">
        <v>340</v>
      </c>
      <c r="E115" s="283"/>
      <c r="F115" s="438"/>
      <c r="G115" s="284">
        <v>11000</v>
      </c>
      <c r="H115" s="578">
        <v>45867</v>
      </c>
      <c r="I115" s="754">
        <f>SUM(G115:G119)</f>
        <v>110305</v>
      </c>
      <c r="J115" s="754">
        <f>D173</f>
        <v>129770.58823529413</v>
      </c>
      <c r="K115" s="285"/>
      <c r="L115" s="281">
        <v>11</v>
      </c>
      <c r="M115" s="351" t="s">
        <v>341</v>
      </c>
      <c r="N115" s="351" t="s">
        <v>340</v>
      </c>
      <c r="O115" s="283"/>
      <c r="P115" s="438"/>
      <c r="Q115" s="284">
        <v>20180</v>
      </c>
      <c r="R115" s="594"/>
      <c r="S115" s="631" t="s">
        <v>342</v>
      </c>
      <c r="T115" s="654">
        <v>46053</v>
      </c>
      <c r="U115" s="671">
        <v>83969.19973981037</v>
      </c>
      <c r="V115" s="766">
        <f>J115-SUM(U115:U119)</f>
        <v>4.4124387641204521E-3</v>
      </c>
      <c r="W115" s="689">
        <f>T115+5</f>
        <v>46058</v>
      </c>
      <c r="X115" s="779">
        <f>SUM(Q115:Q119)</f>
        <v>26180</v>
      </c>
      <c r="Y115" s="483"/>
    </row>
    <row r="116" spans="1:25" ht="15" customHeight="1">
      <c r="B116" s="311">
        <v>11</v>
      </c>
      <c r="C116" s="313"/>
      <c r="D116" s="313" t="s">
        <v>343</v>
      </c>
      <c r="E116" s="314"/>
      <c r="F116" s="460"/>
      <c r="G116" s="315">
        <v>19305.000000000004</v>
      </c>
      <c r="H116" s="571">
        <v>45867</v>
      </c>
      <c r="I116" s="755"/>
      <c r="J116" s="755"/>
      <c r="K116" s="288"/>
      <c r="L116" s="311">
        <v>11</v>
      </c>
      <c r="M116" s="390" t="s">
        <v>341</v>
      </c>
      <c r="N116" s="313" t="s">
        <v>343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67"/>
      <c r="W116" s="571"/>
      <c r="X116" s="780"/>
      <c r="Y116" s="483"/>
    </row>
    <row r="117" spans="1:25" ht="15" customHeight="1">
      <c r="B117" s="311">
        <v>11</v>
      </c>
      <c r="C117" s="313"/>
      <c r="D117" s="313" t="s">
        <v>344</v>
      </c>
      <c r="E117" s="314"/>
      <c r="F117" s="460"/>
      <c r="G117" s="315">
        <v>80000</v>
      </c>
      <c r="H117" s="571">
        <v>45867</v>
      </c>
      <c r="I117" s="755"/>
      <c r="J117" s="755"/>
      <c r="K117" s="288"/>
      <c r="L117" s="311">
        <v>11</v>
      </c>
      <c r="M117" s="390" t="s">
        <v>341</v>
      </c>
      <c r="N117" s="313" t="s">
        <v>344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67"/>
      <c r="W117" s="571"/>
      <c r="X117" s="780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55"/>
      <c r="J118" s="755"/>
      <c r="K118" s="288"/>
      <c r="L118" s="311">
        <v>11</v>
      </c>
      <c r="M118" s="390" t="s">
        <v>341</v>
      </c>
      <c r="N118" s="388" t="s">
        <v>345</v>
      </c>
      <c r="O118" s="550"/>
      <c r="P118" s="445"/>
      <c r="Q118" s="387">
        <v>6000</v>
      </c>
      <c r="R118" s="588"/>
      <c r="S118" s="625" t="s">
        <v>346</v>
      </c>
      <c r="T118" s="653">
        <v>45961</v>
      </c>
      <c r="U118" s="673">
        <v>45801.384083044992</v>
      </c>
      <c r="V118" s="767"/>
      <c r="W118" s="691">
        <f>T118+30</f>
        <v>45991</v>
      </c>
      <c r="X118" s="780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56"/>
      <c r="J119" s="756"/>
      <c r="K119" s="289"/>
      <c r="L119" s="316">
        <v>11</v>
      </c>
      <c r="M119" s="420" t="s">
        <v>341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68"/>
      <c r="W119" s="573"/>
      <c r="X119" s="781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347</v>
      </c>
      <c r="D121" s="270"/>
      <c r="E121" s="271"/>
      <c r="F121" s="471"/>
      <c r="G121" s="338"/>
      <c r="H121" s="540">
        <v>45867</v>
      </c>
      <c r="I121" s="745">
        <v>0</v>
      </c>
      <c r="J121" s="745">
        <v>0</v>
      </c>
      <c r="K121" s="794"/>
      <c r="L121" s="269">
        <v>12</v>
      </c>
      <c r="M121" s="270" t="s">
        <v>348</v>
      </c>
      <c r="N121" s="270"/>
      <c r="O121" s="562"/>
      <c r="P121" s="471"/>
      <c r="Q121" s="338">
        <f>23757.79/2</f>
        <v>11878.895</v>
      </c>
      <c r="R121" s="600"/>
      <c r="S121" s="636" t="s">
        <v>349</v>
      </c>
      <c r="T121" s="641">
        <v>45869</v>
      </c>
      <c r="U121" s="515"/>
      <c r="V121" s="492"/>
      <c r="W121" s="540">
        <v>45867</v>
      </c>
      <c r="X121" s="748">
        <f>SUM(Q121:Q122)</f>
        <v>23757.79</v>
      </c>
      <c r="Y121" s="483"/>
    </row>
    <row r="122" spans="1:25" ht="15" customHeight="1">
      <c r="B122" s="273">
        <v>12</v>
      </c>
      <c r="C122" s="344" t="s">
        <v>347</v>
      </c>
      <c r="D122" s="344"/>
      <c r="E122" s="345"/>
      <c r="F122" s="473"/>
      <c r="G122" s="274"/>
      <c r="H122" s="585">
        <v>45867</v>
      </c>
      <c r="I122" s="747"/>
      <c r="J122" s="747"/>
      <c r="K122" s="795"/>
      <c r="L122" s="273">
        <v>12</v>
      </c>
      <c r="M122" s="344" t="s">
        <v>348</v>
      </c>
      <c r="N122" s="344"/>
      <c r="O122" s="564"/>
      <c r="P122" s="473"/>
      <c r="Q122" s="274">
        <f>Q121</f>
        <v>11878.895</v>
      </c>
      <c r="R122" s="603"/>
      <c r="S122" s="639" t="s">
        <v>349</v>
      </c>
      <c r="T122" s="647">
        <v>45869</v>
      </c>
      <c r="U122" s="518"/>
      <c r="V122" s="491"/>
      <c r="W122" s="694">
        <v>45960</v>
      </c>
      <c r="X122" s="750"/>
      <c r="Y122" s="483"/>
    </row>
    <row r="123" spans="1:25" ht="14.4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350</v>
      </c>
      <c r="D124" s="351" t="s">
        <v>351</v>
      </c>
      <c r="E124" s="283"/>
      <c r="F124" s="438"/>
      <c r="G124" s="284">
        <v>32233.063958333336</v>
      </c>
      <c r="H124" s="578">
        <v>45867</v>
      </c>
      <c r="I124" s="754">
        <f>SUM(G124:G128)</f>
        <v>138800.46395833333</v>
      </c>
      <c r="J124" s="754">
        <f>D172</f>
        <v>157727.79995265152</v>
      </c>
      <c r="K124" s="285"/>
      <c r="L124" s="281">
        <v>13</v>
      </c>
      <c r="M124" s="351" t="s">
        <v>352</v>
      </c>
      <c r="N124" s="351" t="s">
        <v>353</v>
      </c>
      <c r="O124" s="548"/>
      <c r="P124" s="438"/>
      <c r="Q124" s="284">
        <v>39216.49</v>
      </c>
      <c r="R124" s="594"/>
      <c r="S124" s="631" t="s">
        <v>354</v>
      </c>
      <c r="T124" s="654">
        <v>45961</v>
      </c>
      <c r="U124" s="671">
        <v>157727.79995265152</v>
      </c>
      <c r="V124" s="766">
        <f>J124-SUM(U124:U129)</f>
        <v>0</v>
      </c>
      <c r="W124" s="696">
        <f>T124+30</f>
        <v>45991</v>
      </c>
      <c r="X124" s="779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355</v>
      </c>
      <c r="E125" s="314"/>
      <c r="F125" s="460"/>
      <c r="G125" s="315">
        <v>15200</v>
      </c>
      <c r="H125" s="571">
        <v>45867</v>
      </c>
      <c r="I125" s="755"/>
      <c r="J125" s="755"/>
      <c r="K125" s="288"/>
      <c r="L125" s="311">
        <v>13</v>
      </c>
      <c r="M125" s="390" t="s">
        <v>352</v>
      </c>
      <c r="N125" s="313" t="s">
        <v>355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67"/>
      <c r="W125" s="571"/>
      <c r="X125" s="780"/>
      <c r="Y125" s="483"/>
    </row>
    <row r="126" spans="1:25" ht="15.75" customHeight="1">
      <c r="B126" s="311">
        <v>13</v>
      </c>
      <c r="C126" s="313"/>
      <c r="D126" s="313" t="s">
        <v>356</v>
      </c>
      <c r="E126" s="314"/>
      <c r="F126" s="460"/>
      <c r="G126" s="315">
        <v>51680</v>
      </c>
      <c r="H126" s="571">
        <v>45867</v>
      </c>
      <c r="I126" s="755"/>
      <c r="J126" s="755"/>
      <c r="K126" s="288"/>
      <c r="L126" s="311">
        <v>13</v>
      </c>
      <c r="M126" s="390" t="s">
        <v>352</v>
      </c>
      <c r="N126" s="313" t="s">
        <v>356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67"/>
      <c r="W126" s="571"/>
      <c r="X126" s="780"/>
      <c r="Y126" s="483"/>
    </row>
    <row r="127" spans="1:25" ht="15.75" customHeight="1">
      <c r="B127" s="311">
        <v>13</v>
      </c>
      <c r="C127" s="313"/>
      <c r="D127" s="313" t="s">
        <v>357</v>
      </c>
      <c r="E127" s="314"/>
      <c r="F127" s="460"/>
      <c r="G127" s="315">
        <v>19760</v>
      </c>
      <c r="H127" s="571">
        <v>45867</v>
      </c>
      <c r="I127" s="755"/>
      <c r="J127" s="755"/>
      <c r="K127" s="288"/>
      <c r="L127" s="311">
        <v>13</v>
      </c>
      <c r="M127" s="390" t="s">
        <v>352</v>
      </c>
      <c r="N127" s="313" t="s">
        <v>357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67"/>
      <c r="W127" s="571"/>
      <c r="X127" s="780"/>
      <c r="Y127" s="483"/>
    </row>
    <row r="128" spans="1:25" ht="15.75" customHeight="1">
      <c r="B128" s="311">
        <v>13</v>
      </c>
      <c r="C128" s="313"/>
      <c r="D128" s="313" t="s">
        <v>358</v>
      </c>
      <c r="E128" s="314"/>
      <c r="F128" s="460"/>
      <c r="G128" s="315">
        <v>19927.400000000001</v>
      </c>
      <c r="H128" s="571">
        <v>45867</v>
      </c>
      <c r="I128" s="755"/>
      <c r="J128" s="755"/>
      <c r="K128" s="288"/>
      <c r="L128" s="311">
        <v>13</v>
      </c>
      <c r="M128" s="390" t="s">
        <v>352</v>
      </c>
      <c r="N128" s="313" t="s">
        <v>358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67"/>
      <c r="W128" s="571"/>
      <c r="X128" s="780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56"/>
      <c r="J129" s="756"/>
      <c r="K129" s="364"/>
      <c r="L129" s="316">
        <v>13</v>
      </c>
      <c r="M129" s="420" t="s">
        <v>352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68"/>
      <c r="W129" s="573"/>
      <c r="X129" s="781"/>
      <c r="Y129" s="483"/>
    </row>
    <row r="130" spans="1:25" ht="14.4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359</v>
      </c>
      <c r="D131" s="270" t="s">
        <v>360</v>
      </c>
      <c r="E131" s="271"/>
      <c r="F131" s="471"/>
      <c r="G131" s="338">
        <v>6650</v>
      </c>
      <c r="H131" s="540">
        <v>45777</v>
      </c>
      <c r="I131" s="745">
        <f>SUM(G131:G142)</f>
        <v>6650</v>
      </c>
      <c r="J131" s="745">
        <f>D183</f>
        <v>7823.5294117647063</v>
      </c>
      <c r="K131" s="339"/>
      <c r="L131" s="269">
        <v>14</v>
      </c>
      <c r="M131" s="435" t="s">
        <v>361</v>
      </c>
      <c r="N131" s="270" t="s">
        <v>362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60">
        <f>J131-SUM(U131:U142)</f>
        <v>-1.3579657243099064E-3</v>
      </c>
      <c r="W131" s="540">
        <v>45777</v>
      </c>
      <c r="X131" s="748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46"/>
      <c r="J132" s="746"/>
      <c r="K132" s="272"/>
      <c r="L132" s="340">
        <v>14</v>
      </c>
      <c r="M132" s="436" t="s">
        <v>361</v>
      </c>
      <c r="N132" s="341" t="s">
        <v>362</v>
      </c>
      <c r="O132" s="563"/>
      <c r="P132" s="472"/>
      <c r="Q132" s="343">
        <v>0</v>
      </c>
      <c r="R132" s="602"/>
      <c r="S132" s="638" t="s">
        <v>363</v>
      </c>
      <c r="T132" s="646">
        <f t="shared" ref="T132:T141" si="17">IF(W132&gt;1,EOMONTH(W132,0),"")</f>
        <v>45808</v>
      </c>
      <c r="U132" s="517">
        <f>(Q132/$X$131*$J$131)</f>
        <v>0</v>
      </c>
      <c r="V132" s="761"/>
      <c r="W132" s="541">
        <v>45808</v>
      </c>
      <c r="X132" s="749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46"/>
      <c r="J133" s="746"/>
      <c r="K133" s="272"/>
      <c r="L133" s="340">
        <v>14</v>
      </c>
      <c r="M133" s="436" t="s">
        <v>361</v>
      </c>
      <c r="N133" s="341" t="s">
        <v>362</v>
      </c>
      <c r="O133" s="563"/>
      <c r="P133" s="472"/>
      <c r="Q133" s="343">
        <v>0</v>
      </c>
      <c r="R133" s="602"/>
      <c r="S133" s="638" t="s">
        <v>363</v>
      </c>
      <c r="T133" s="646">
        <f t="shared" si="17"/>
        <v>45838</v>
      </c>
      <c r="U133" s="517">
        <f>(Q133/$X$131*$J$131)</f>
        <v>0</v>
      </c>
      <c r="V133" s="761"/>
      <c r="W133" s="541">
        <v>45838</v>
      </c>
      <c r="X133" s="749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46"/>
      <c r="J134" s="746"/>
      <c r="K134" s="272"/>
      <c r="L134" s="340">
        <v>14</v>
      </c>
      <c r="M134" s="436" t="s">
        <v>361</v>
      </c>
      <c r="N134" s="341" t="s">
        <v>362</v>
      </c>
      <c r="O134" s="563"/>
      <c r="P134" s="472"/>
      <c r="Q134" s="343">
        <v>2954.75</v>
      </c>
      <c r="R134" s="602"/>
      <c r="S134" s="638" t="s">
        <v>363</v>
      </c>
      <c r="T134" s="646">
        <f t="shared" si="17"/>
        <v>45869</v>
      </c>
      <c r="U134" s="649">
        <v>3027.8101482578691</v>
      </c>
      <c r="V134" s="761"/>
      <c r="W134" s="541">
        <v>45868</v>
      </c>
      <c r="X134" s="749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46"/>
      <c r="J135" s="746"/>
      <c r="K135" s="272"/>
      <c r="L135" s="340">
        <v>14</v>
      </c>
      <c r="M135" s="436" t="s">
        <v>361</v>
      </c>
      <c r="N135" s="341" t="s">
        <v>362</v>
      </c>
      <c r="O135" s="563"/>
      <c r="P135" s="472"/>
      <c r="Q135" s="343">
        <v>0</v>
      </c>
      <c r="R135" s="602"/>
      <c r="S135" s="638" t="s">
        <v>363</v>
      </c>
      <c r="T135" s="646">
        <v>45900</v>
      </c>
      <c r="U135" s="517">
        <f>(Q135/$X$131*$J$131)</f>
        <v>0</v>
      </c>
      <c r="V135" s="761"/>
      <c r="W135" s="541">
        <v>45900</v>
      </c>
      <c r="X135" s="749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46"/>
      <c r="J136" s="746"/>
      <c r="K136" s="272"/>
      <c r="L136" s="340">
        <v>14</v>
      </c>
      <c r="M136" s="436" t="s">
        <v>361</v>
      </c>
      <c r="N136" s="341" t="s">
        <v>362</v>
      </c>
      <c r="O136" s="563"/>
      <c r="P136" s="472"/>
      <c r="Q136" s="343">
        <v>2831.27</v>
      </c>
      <c r="R136" s="602"/>
      <c r="S136" s="638" t="s">
        <v>363</v>
      </c>
      <c r="T136" s="669">
        <v>45930</v>
      </c>
      <c r="U136" s="676">
        <v>2054.9406214725609</v>
      </c>
      <c r="V136" s="761"/>
      <c r="W136" s="670">
        <v>45940</v>
      </c>
      <c r="X136" s="749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46"/>
      <c r="J137" s="746"/>
      <c r="K137" s="272"/>
      <c r="L137" s="340">
        <v>14</v>
      </c>
      <c r="M137" s="436" t="s">
        <v>361</v>
      </c>
      <c r="N137" s="341" t="s">
        <v>362</v>
      </c>
      <c r="O137" s="563"/>
      <c r="P137" s="472"/>
      <c r="Q137" s="343">
        <v>0</v>
      </c>
      <c r="R137" s="602"/>
      <c r="S137" s="638" t="s">
        <v>363</v>
      </c>
      <c r="T137" s="669">
        <v>45961</v>
      </c>
      <c r="U137" s="676">
        <v>0</v>
      </c>
      <c r="V137" s="761"/>
      <c r="W137" s="670">
        <v>45960</v>
      </c>
      <c r="X137" s="749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46"/>
      <c r="J138" s="746"/>
      <c r="K138" s="272"/>
      <c r="L138" s="340">
        <v>14</v>
      </c>
      <c r="M138" s="436" t="s">
        <v>361</v>
      </c>
      <c r="N138" s="341" t="s">
        <v>362</v>
      </c>
      <c r="O138" s="563"/>
      <c r="P138" s="472"/>
      <c r="Q138" s="343">
        <v>0</v>
      </c>
      <c r="R138" s="602"/>
      <c r="S138" s="638" t="s">
        <v>363</v>
      </c>
      <c r="T138" s="669">
        <v>45991</v>
      </c>
      <c r="U138" s="676">
        <v>0</v>
      </c>
      <c r="V138" s="761"/>
      <c r="W138" s="670">
        <v>45991</v>
      </c>
      <c r="X138" s="749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46"/>
      <c r="J139" s="746"/>
      <c r="K139" s="272"/>
      <c r="L139" s="340">
        <v>14</v>
      </c>
      <c r="M139" s="436" t="s">
        <v>361</v>
      </c>
      <c r="N139" s="341" t="s">
        <v>362</v>
      </c>
      <c r="O139" s="563"/>
      <c r="P139" s="472"/>
      <c r="Q139" s="343">
        <v>0</v>
      </c>
      <c r="R139" s="602"/>
      <c r="S139" s="638" t="s">
        <v>363</v>
      </c>
      <c r="T139" s="669">
        <v>46022</v>
      </c>
      <c r="U139" s="676">
        <v>2740.78</v>
      </c>
      <c r="V139" s="761"/>
      <c r="W139" s="670">
        <v>46030</v>
      </c>
      <c r="X139" s="749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46"/>
      <c r="J140" s="746"/>
      <c r="K140" s="272"/>
      <c r="L140" s="340">
        <v>14</v>
      </c>
      <c r="M140" s="436" t="s">
        <v>361</v>
      </c>
      <c r="N140" s="341" t="s">
        <v>362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61"/>
      <c r="W140" s="584"/>
      <c r="X140" s="749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46"/>
      <c r="J141" s="746"/>
      <c r="K141" s="272"/>
      <c r="L141" s="340">
        <v>14</v>
      </c>
      <c r="M141" s="436" t="s">
        <v>361</v>
      </c>
      <c r="N141" s="341"/>
      <c r="O141" s="563"/>
      <c r="P141" s="472"/>
      <c r="Q141" s="343"/>
      <c r="R141" s="602"/>
      <c r="S141" s="702"/>
      <c r="T141" s="533" t="str">
        <f t="shared" si="17"/>
        <v/>
      </c>
      <c r="U141" s="517">
        <f t="shared" ref="U141:U142" si="18">(Q141/$X$131*$J$131)</f>
        <v>0</v>
      </c>
      <c r="V141" s="761"/>
      <c r="W141" s="584"/>
      <c r="X141" s="749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47"/>
      <c r="J142" s="747"/>
      <c r="K142" s="275"/>
      <c r="L142" s="273">
        <v>14</v>
      </c>
      <c r="M142" s="437" t="s">
        <v>361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62"/>
      <c r="W142" s="585"/>
      <c r="X142" s="750"/>
      <c r="Y142" s="483"/>
    </row>
    <row r="143" spans="1:25" ht="14.4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364</v>
      </c>
      <c r="D144" s="282"/>
      <c r="E144" s="283"/>
      <c r="F144" s="438"/>
      <c r="G144" s="284"/>
      <c r="H144" s="578"/>
      <c r="I144" s="754">
        <f>SUM(G144:G155)</f>
        <v>0</v>
      </c>
      <c r="J144" s="754">
        <v>0</v>
      </c>
      <c r="K144" s="285"/>
      <c r="L144" s="281">
        <v>15</v>
      </c>
      <c r="M144" s="351" t="s">
        <v>365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66">
        <v>0</v>
      </c>
      <c r="W144" s="578"/>
      <c r="X144" s="779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55"/>
      <c r="J145" s="755"/>
      <c r="K145" s="288"/>
      <c r="L145" s="311">
        <v>15</v>
      </c>
      <c r="M145" s="390" t="s">
        <v>365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67"/>
      <c r="W145" s="571"/>
      <c r="X145" s="780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55"/>
      <c r="J146" s="755"/>
      <c r="K146" s="288"/>
      <c r="L146" s="311">
        <v>15</v>
      </c>
      <c r="M146" s="390" t="s">
        <v>365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67"/>
      <c r="W146" s="571"/>
      <c r="X146" s="780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55"/>
      <c r="J147" s="755"/>
      <c r="K147" s="288"/>
      <c r="L147" s="311">
        <v>15</v>
      </c>
      <c r="M147" s="390" t="s">
        <v>365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67"/>
      <c r="W147" s="571"/>
      <c r="X147" s="780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55"/>
      <c r="J148" s="755"/>
      <c r="K148" s="288"/>
      <c r="L148" s="311">
        <v>15</v>
      </c>
      <c r="M148" s="390" t="s">
        <v>365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67"/>
      <c r="W148" s="571"/>
      <c r="X148" s="780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55"/>
      <c r="J149" s="755"/>
      <c r="K149" s="288"/>
      <c r="L149" s="311">
        <v>15</v>
      </c>
      <c r="M149" s="390" t="s">
        <v>365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67"/>
      <c r="W149" s="571"/>
      <c r="X149" s="780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55"/>
      <c r="J150" s="755"/>
      <c r="K150" s="288"/>
      <c r="L150" s="311">
        <v>15</v>
      </c>
      <c r="M150" s="390" t="s">
        <v>365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67"/>
      <c r="W150" s="571"/>
      <c r="X150" s="780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55"/>
      <c r="J151" s="755"/>
      <c r="K151" s="288"/>
      <c r="L151" s="311">
        <v>15</v>
      </c>
      <c r="M151" s="390" t="s">
        <v>365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67"/>
      <c r="W151" s="571"/>
      <c r="X151" s="780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55"/>
      <c r="J152" s="755"/>
      <c r="K152" s="288"/>
      <c r="L152" s="311">
        <v>15</v>
      </c>
      <c r="M152" s="390" t="s">
        <v>365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67"/>
      <c r="W152" s="571"/>
      <c r="X152" s="780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55"/>
      <c r="J153" s="755"/>
      <c r="K153" s="288"/>
      <c r="L153" s="311">
        <v>15</v>
      </c>
      <c r="M153" s="390" t="s">
        <v>365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67"/>
      <c r="W153" s="571"/>
      <c r="X153" s="780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55"/>
      <c r="J154" s="755"/>
      <c r="K154" s="288"/>
      <c r="L154" s="311">
        <v>15</v>
      </c>
      <c r="M154" s="390" t="s">
        <v>365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67"/>
      <c r="W154" s="571"/>
      <c r="X154" s="780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56"/>
      <c r="J155" s="756"/>
      <c r="K155" s="289"/>
      <c r="L155" s="316">
        <v>15</v>
      </c>
      <c r="M155" s="420" t="s">
        <v>365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68"/>
      <c r="W155" s="573"/>
      <c r="X155" s="781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366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367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368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281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313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295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369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370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371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372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373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374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375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376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377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378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379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380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381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382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383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384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371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385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386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15:I119"/>
    <mergeCell ref="J115:J119"/>
    <mergeCell ref="X115:X119"/>
    <mergeCell ref="I121:I122"/>
    <mergeCell ref="J121:J122"/>
    <mergeCell ref="K121:K122"/>
    <mergeCell ref="X121:X122"/>
    <mergeCell ref="V115:V119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X6:X11"/>
    <mergeCell ref="V6:V11"/>
    <mergeCell ref="V13:V19"/>
    <mergeCell ref="V21:V26"/>
    <mergeCell ref="V28:V42"/>
    <mergeCell ref="X21:X26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bottomRight" activeCell="BE11" sqref="BE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387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6" t="s">
        <v>388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7"/>
      <c r="B3" s="195" t="s">
        <v>161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797"/>
      <c r="B4" s="195" t="s">
        <v>389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797"/>
      <c r="B5" s="199" t="s">
        <v>163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797"/>
      <c r="B6" s="199" t="s">
        <v>390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797"/>
      <c r="B7" s="204" t="s">
        <v>391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796" t="s">
        <v>152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7"/>
      <c r="B9" s="209" t="s">
        <v>392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797"/>
      <c r="B10" s="209" t="s">
        <v>393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797"/>
      <c r="B11" s="212" t="s">
        <v>394</v>
      </c>
      <c r="C11" s="213">
        <f>'Revenue Tracking'!F5</f>
        <v>2274921.4775000005</v>
      </c>
      <c r="D11" s="213">
        <f>SUM(F11:LD11)</f>
        <v>2274921.4775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20180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797"/>
      <c r="B12" s="212" t="s">
        <v>395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2274921.4775</v>
      </c>
      <c r="BI12" s="214">
        <f t="shared" si="26"/>
        <v>2274921.4775</v>
      </c>
      <c r="BJ12" s="214">
        <f t="shared" si="26"/>
        <v>2274921.4775</v>
      </c>
      <c r="BK12" s="214">
        <f t="shared" si="26"/>
        <v>2274921.4775</v>
      </c>
      <c r="BL12" s="214">
        <f t="shared" si="26"/>
        <v>2274921.4775</v>
      </c>
      <c r="BM12" s="214">
        <f t="shared" si="26"/>
        <v>2274921.4775</v>
      </c>
      <c r="BN12" s="214">
        <f t="shared" si="26"/>
        <v>2274921.4775</v>
      </c>
      <c r="BO12" s="214">
        <f t="shared" si="26"/>
        <v>2274921.4775</v>
      </c>
      <c r="BP12" s="214">
        <f t="shared" si="26"/>
        <v>2274921.4775</v>
      </c>
      <c r="BQ12" s="214">
        <f t="shared" si="26"/>
        <v>2274921.4775</v>
      </c>
      <c r="BR12" s="214">
        <f t="shared" si="26"/>
        <v>2274921.4775</v>
      </c>
      <c r="BS12" s="214">
        <f t="shared" si="26"/>
        <v>2274921.4775</v>
      </c>
      <c r="BT12" s="214">
        <f t="shared" si="26"/>
        <v>2274921.4775</v>
      </c>
      <c r="BU12" s="214">
        <f t="shared" ref="BU12:EF12" si="27">BT12+BU11</f>
        <v>2274921.4775</v>
      </c>
      <c r="BV12" s="214">
        <f t="shared" si="27"/>
        <v>2274921.4775</v>
      </c>
      <c r="BW12" s="214">
        <f t="shared" si="27"/>
        <v>2274921.4775</v>
      </c>
      <c r="BX12" s="214">
        <f t="shared" si="27"/>
        <v>2274921.4775</v>
      </c>
      <c r="BY12" s="214">
        <f t="shared" si="27"/>
        <v>2274921.4775</v>
      </c>
      <c r="BZ12" s="214">
        <f t="shared" si="27"/>
        <v>2274921.4775</v>
      </c>
      <c r="CA12" s="214">
        <f t="shared" si="27"/>
        <v>2274921.4775</v>
      </c>
      <c r="CB12" s="214">
        <f t="shared" si="27"/>
        <v>2274921.4775</v>
      </c>
      <c r="CC12" s="214">
        <f t="shared" si="27"/>
        <v>2274921.4775</v>
      </c>
      <c r="CD12" s="214">
        <f t="shared" si="27"/>
        <v>2274921.4775</v>
      </c>
      <c r="CE12" s="214">
        <f t="shared" si="27"/>
        <v>2274921.4775</v>
      </c>
      <c r="CF12" s="214">
        <f t="shared" si="27"/>
        <v>2274921.4775</v>
      </c>
      <c r="CG12" s="214">
        <f t="shared" si="27"/>
        <v>2274921.4775</v>
      </c>
      <c r="CH12" s="214">
        <f t="shared" si="27"/>
        <v>2274921.4775</v>
      </c>
      <c r="CI12" s="214">
        <f t="shared" si="27"/>
        <v>2274921.4775</v>
      </c>
      <c r="CJ12" s="214">
        <f t="shared" si="27"/>
        <v>2274921.4775</v>
      </c>
      <c r="CK12" s="214">
        <f t="shared" si="27"/>
        <v>2274921.4775</v>
      </c>
      <c r="CL12" s="214">
        <f t="shared" si="27"/>
        <v>2274921.4775</v>
      </c>
      <c r="CM12" s="214">
        <f t="shared" si="27"/>
        <v>2274921.4775</v>
      </c>
      <c r="CN12" s="214">
        <f t="shared" si="27"/>
        <v>2274921.4775</v>
      </c>
      <c r="CO12" s="214">
        <f t="shared" si="27"/>
        <v>2274921.4775</v>
      </c>
      <c r="CP12" s="214">
        <f t="shared" si="27"/>
        <v>2274921.4775</v>
      </c>
      <c r="CQ12" s="214">
        <f t="shared" si="27"/>
        <v>2274921.4775</v>
      </c>
      <c r="CR12" s="214">
        <f t="shared" si="27"/>
        <v>2274921.4775</v>
      </c>
      <c r="CS12" s="214">
        <f t="shared" si="27"/>
        <v>2274921.4775</v>
      </c>
      <c r="CT12" s="214">
        <f t="shared" si="27"/>
        <v>2274921.4775</v>
      </c>
      <c r="CU12" s="214">
        <f t="shared" si="27"/>
        <v>2274921.4775</v>
      </c>
      <c r="CV12" s="214">
        <f t="shared" si="27"/>
        <v>2274921.4775</v>
      </c>
      <c r="CW12" s="214">
        <f t="shared" si="27"/>
        <v>2274921.4775</v>
      </c>
      <c r="CX12" s="214">
        <f t="shared" si="27"/>
        <v>2274921.4775</v>
      </c>
      <c r="CY12" s="214">
        <f t="shared" si="27"/>
        <v>2274921.4775</v>
      </c>
      <c r="CZ12" s="214">
        <f t="shared" si="27"/>
        <v>2274921.4775</v>
      </c>
      <c r="DA12" s="214">
        <f t="shared" si="27"/>
        <v>2274921.4775</v>
      </c>
      <c r="DB12" s="214">
        <f t="shared" si="27"/>
        <v>2274921.4775</v>
      </c>
      <c r="DC12" s="214">
        <f t="shared" si="27"/>
        <v>2274921.4775</v>
      </c>
      <c r="DD12" s="214">
        <f t="shared" si="27"/>
        <v>2274921.4775</v>
      </c>
      <c r="DE12" s="214">
        <f t="shared" si="27"/>
        <v>2274921.4775</v>
      </c>
      <c r="DF12" s="214">
        <f t="shared" si="27"/>
        <v>2274921.4775</v>
      </c>
      <c r="DG12" s="214">
        <f t="shared" si="27"/>
        <v>2274921.4775</v>
      </c>
      <c r="DH12" s="214">
        <f t="shared" si="27"/>
        <v>2274921.4775</v>
      </c>
      <c r="DI12" s="214">
        <f t="shared" si="27"/>
        <v>2274921.4775</v>
      </c>
      <c r="DJ12" s="214">
        <f t="shared" si="27"/>
        <v>2274921.4775</v>
      </c>
      <c r="DK12" s="214">
        <f t="shared" si="27"/>
        <v>2274921.4775</v>
      </c>
      <c r="DL12" s="214">
        <f t="shared" si="27"/>
        <v>2274921.4775</v>
      </c>
      <c r="DM12" s="214">
        <f t="shared" si="27"/>
        <v>2274921.4775</v>
      </c>
      <c r="DN12" s="214">
        <f t="shared" si="27"/>
        <v>2274921.4775</v>
      </c>
      <c r="DO12" s="214">
        <f t="shared" si="27"/>
        <v>2274921.4775</v>
      </c>
      <c r="DP12" s="214">
        <f t="shared" si="27"/>
        <v>2274921.4775</v>
      </c>
      <c r="DQ12" s="214">
        <f t="shared" si="27"/>
        <v>2274921.4775</v>
      </c>
      <c r="DR12" s="214">
        <f t="shared" si="27"/>
        <v>2274921.4775</v>
      </c>
      <c r="DS12" s="214">
        <f t="shared" si="27"/>
        <v>2274921.4775</v>
      </c>
      <c r="DT12" s="214">
        <f t="shared" si="27"/>
        <v>2274921.4775</v>
      </c>
      <c r="DU12" s="214">
        <f t="shared" si="27"/>
        <v>2274921.4775</v>
      </c>
      <c r="DV12" s="214">
        <f t="shared" si="27"/>
        <v>2274921.4775</v>
      </c>
      <c r="DW12" s="214">
        <f t="shared" si="27"/>
        <v>2274921.4775</v>
      </c>
      <c r="DX12" s="214">
        <f t="shared" si="27"/>
        <v>2274921.4775</v>
      </c>
      <c r="DY12" s="214">
        <f t="shared" si="27"/>
        <v>2274921.4775</v>
      </c>
      <c r="DZ12" s="214">
        <f t="shared" si="27"/>
        <v>2274921.4775</v>
      </c>
      <c r="EA12" s="214">
        <f t="shared" si="27"/>
        <v>2274921.4775</v>
      </c>
      <c r="EB12" s="214">
        <f t="shared" si="27"/>
        <v>2274921.4775</v>
      </c>
      <c r="EC12" s="214">
        <f t="shared" si="27"/>
        <v>2274921.4775</v>
      </c>
      <c r="ED12" s="214">
        <f t="shared" si="27"/>
        <v>2274921.4775</v>
      </c>
      <c r="EE12" s="214">
        <f t="shared" si="27"/>
        <v>2274921.4775</v>
      </c>
      <c r="EF12" s="214">
        <f t="shared" si="27"/>
        <v>2274921.4775</v>
      </c>
      <c r="EG12" s="214">
        <f t="shared" ref="EG12:GR12" si="28">EF12+EG11</f>
        <v>2274921.4775</v>
      </c>
      <c r="EH12" s="214">
        <f t="shared" si="28"/>
        <v>2274921.4775</v>
      </c>
      <c r="EI12" s="214">
        <f t="shared" si="28"/>
        <v>2274921.4775</v>
      </c>
      <c r="EJ12" s="214">
        <f t="shared" si="28"/>
        <v>2274921.4775</v>
      </c>
      <c r="EK12" s="214">
        <f t="shared" si="28"/>
        <v>2274921.4775</v>
      </c>
      <c r="EL12" s="214">
        <f t="shared" si="28"/>
        <v>2274921.4775</v>
      </c>
      <c r="EM12" s="214">
        <f t="shared" si="28"/>
        <v>2274921.4775</v>
      </c>
      <c r="EN12" s="214">
        <f t="shared" si="28"/>
        <v>2274921.4775</v>
      </c>
      <c r="EO12" s="214">
        <f t="shared" si="28"/>
        <v>2274921.4775</v>
      </c>
      <c r="EP12" s="214">
        <f t="shared" si="28"/>
        <v>2274921.4775</v>
      </c>
      <c r="EQ12" s="214">
        <f t="shared" si="28"/>
        <v>2274921.4775</v>
      </c>
      <c r="ER12" s="214">
        <f t="shared" si="28"/>
        <v>2274921.4775</v>
      </c>
      <c r="ES12" s="214">
        <f t="shared" si="28"/>
        <v>2274921.4775</v>
      </c>
      <c r="ET12" s="214">
        <f t="shared" si="28"/>
        <v>2274921.4775</v>
      </c>
      <c r="EU12" s="214">
        <f t="shared" si="28"/>
        <v>2274921.4775</v>
      </c>
      <c r="EV12" s="214">
        <f t="shared" si="28"/>
        <v>2274921.4775</v>
      </c>
      <c r="EW12" s="214">
        <f t="shared" si="28"/>
        <v>2274921.4775</v>
      </c>
      <c r="EX12" s="214">
        <f t="shared" si="28"/>
        <v>2274921.4775</v>
      </c>
      <c r="EY12" s="214">
        <f t="shared" si="28"/>
        <v>2274921.4775</v>
      </c>
      <c r="EZ12" s="214">
        <f t="shared" si="28"/>
        <v>2274921.4775</v>
      </c>
      <c r="FA12" s="214">
        <f t="shared" si="28"/>
        <v>2274921.4775</v>
      </c>
      <c r="FB12" s="214">
        <f t="shared" si="28"/>
        <v>2274921.4775</v>
      </c>
      <c r="FC12" s="214">
        <f t="shared" si="28"/>
        <v>2274921.4775</v>
      </c>
      <c r="FD12" s="214">
        <f t="shared" si="28"/>
        <v>2274921.4775</v>
      </c>
      <c r="FE12" s="214">
        <f t="shared" si="28"/>
        <v>2274921.4775</v>
      </c>
      <c r="FF12" s="214">
        <f t="shared" si="28"/>
        <v>2274921.4775</v>
      </c>
      <c r="FG12" s="214">
        <f t="shared" si="28"/>
        <v>2274921.4775</v>
      </c>
      <c r="FH12" s="214">
        <f t="shared" si="28"/>
        <v>2274921.4775</v>
      </c>
      <c r="FI12" s="214">
        <f t="shared" si="28"/>
        <v>2274921.4775</v>
      </c>
      <c r="FJ12" s="214">
        <f t="shared" si="28"/>
        <v>2274921.4775</v>
      </c>
      <c r="FK12" s="214">
        <f t="shared" si="28"/>
        <v>2274921.4775</v>
      </c>
      <c r="FL12" s="214">
        <f t="shared" si="28"/>
        <v>2274921.4775</v>
      </c>
      <c r="FM12" s="214">
        <f t="shared" si="28"/>
        <v>2274921.4775</v>
      </c>
      <c r="FN12" s="214">
        <f t="shared" si="28"/>
        <v>2274921.4775</v>
      </c>
      <c r="FO12" s="214">
        <f t="shared" si="28"/>
        <v>2274921.4775</v>
      </c>
      <c r="FP12" s="214">
        <f t="shared" si="28"/>
        <v>2274921.4775</v>
      </c>
      <c r="FQ12" s="214">
        <f t="shared" si="28"/>
        <v>2274921.4775</v>
      </c>
      <c r="FR12" s="214">
        <f t="shared" si="28"/>
        <v>2274921.4775</v>
      </c>
      <c r="FS12" s="214">
        <f t="shared" si="28"/>
        <v>2274921.4775</v>
      </c>
      <c r="FT12" s="214">
        <f t="shared" si="28"/>
        <v>2274921.4775</v>
      </c>
      <c r="FU12" s="214">
        <f t="shared" si="28"/>
        <v>2274921.4775</v>
      </c>
      <c r="FV12" s="214">
        <f t="shared" si="28"/>
        <v>2274921.4775</v>
      </c>
      <c r="FW12" s="214">
        <f t="shared" si="28"/>
        <v>2274921.4775</v>
      </c>
      <c r="FX12" s="214">
        <f t="shared" si="28"/>
        <v>2274921.4775</v>
      </c>
      <c r="FY12" s="214">
        <f t="shared" si="28"/>
        <v>2274921.4775</v>
      </c>
      <c r="FZ12" s="214">
        <f t="shared" si="28"/>
        <v>2274921.4775</v>
      </c>
      <c r="GA12" s="214">
        <f t="shared" si="28"/>
        <v>2274921.4775</v>
      </c>
      <c r="GB12" s="214">
        <f t="shared" si="28"/>
        <v>2274921.4775</v>
      </c>
      <c r="GC12" s="214">
        <f t="shared" si="28"/>
        <v>2274921.4775</v>
      </c>
      <c r="GD12" s="214">
        <f t="shared" si="28"/>
        <v>2274921.4775</v>
      </c>
      <c r="GE12" s="214">
        <f t="shared" si="28"/>
        <v>2274921.4775</v>
      </c>
      <c r="GF12" s="214">
        <f t="shared" si="28"/>
        <v>2274921.4775</v>
      </c>
      <c r="GG12" s="214">
        <f t="shared" si="28"/>
        <v>2274921.4775</v>
      </c>
      <c r="GH12" s="214">
        <f t="shared" si="28"/>
        <v>2274921.4775</v>
      </c>
      <c r="GI12" s="214">
        <f t="shared" si="28"/>
        <v>2274921.4775</v>
      </c>
      <c r="GJ12" s="214">
        <f t="shared" si="28"/>
        <v>2274921.4775</v>
      </c>
      <c r="GK12" s="214">
        <f t="shared" si="28"/>
        <v>2274921.4775</v>
      </c>
      <c r="GL12" s="214">
        <f t="shared" si="28"/>
        <v>2274921.4775</v>
      </c>
      <c r="GM12" s="214">
        <f t="shared" si="28"/>
        <v>2274921.4775</v>
      </c>
      <c r="GN12" s="214">
        <f t="shared" si="28"/>
        <v>2274921.4775</v>
      </c>
      <c r="GO12" s="214">
        <f t="shared" si="28"/>
        <v>2274921.4775</v>
      </c>
      <c r="GP12" s="214">
        <f t="shared" si="28"/>
        <v>2274921.4775</v>
      </c>
      <c r="GQ12" s="214">
        <f t="shared" si="28"/>
        <v>2274921.4775</v>
      </c>
      <c r="GR12" s="214">
        <f t="shared" si="28"/>
        <v>2274921.4775</v>
      </c>
      <c r="GS12" s="214">
        <f t="shared" ref="GS12:JD12" si="29">GR12+GS11</f>
        <v>2274921.4775</v>
      </c>
      <c r="GT12" s="214">
        <f t="shared" si="29"/>
        <v>2274921.4775</v>
      </c>
      <c r="GU12" s="214">
        <f t="shared" si="29"/>
        <v>2274921.4775</v>
      </c>
      <c r="GV12" s="214">
        <f t="shared" si="29"/>
        <v>2274921.4775</v>
      </c>
      <c r="GW12" s="214">
        <f t="shared" si="29"/>
        <v>2274921.4775</v>
      </c>
      <c r="GX12" s="214">
        <f t="shared" si="29"/>
        <v>2274921.4775</v>
      </c>
      <c r="GY12" s="214">
        <f t="shared" si="29"/>
        <v>2274921.4775</v>
      </c>
      <c r="GZ12" s="214">
        <f t="shared" si="29"/>
        <v>2274921.4775</v>
      </c>
      <c r="HA12" s="214">
        <f t="shared" si="29"/>
        <v>2274921.4775</v>
      </c>
      <c r="HB12" s="214">
        <f t="shared" si="29"/>
        <v>2274921.4775</v>
      </c>
      <c r="HC12" s="214">
        <f t="shared" si="29"/>
        <v>2274921.4775</v>
      </c>
      <c r="HD12" s="214">
        <f t="shared" si="29"/>
        <v>2274921.4775</v>
      </c>
      <c r="HE12" s="214">
        <f t="shared" si="29"/>
        <v>2274921.4775</v>
      </c>
      <c r="HF12" s="214">
        <f t="shared" si="29"/>
        <v>2274921.4775</v>
      </c>
      <c r="HG12" s="214">
        <f t="shared" si="29"/>
        <v>2274921.4775</v>
      </c>
      <c r="HH12" s="214">
        <f t="shared" si="29"/>
        <v>2274921.4775</v>
      </c>
      <c r="HI12" s="214">
        <f t="shared" si="29"/>
        <v>2274921.4775</v>
      </c>
      <c r="HJ12" s="214">
        <f t="shared" si="29"/>
        <v>2274921.4775</v>
      </c>
      <c r="HK12" s="214">
        <f t="shared" si="29"/>
        <v>2274921.4775</v>
      </c>
      <c r="HL12" s="214">
        <f t="shared" si="29"/>
        <v>2274921.4775</v>
      </c>
      <c r="HM12" s="214">
        <f t="shared" si="29"/>
        <v>2274921.4775</v>
      </c>
      <c r="HN12" s="214">
        <f t="shared" si="29"/>
        <v>2274921.4775</v>
      </c>
      <c r="HO12" s="214">
        <f t="shared" si="29"/>
        <v>2274921.4775</v>
      </c>
      <c r="HP12" s="214">
        <f t="shared" si="29"/>
        <v>2274921.4775</v>
      </c>
      <c r="HQ12" s="214">
        <f t="shared" si="29"/>
        <v>2274921.4775</v>
      </c>
      <c r="HR12" s="214">
        <f t="shared" si="29"/>
        <v>2274921.4775</v>
      </c>
      <c r="HS12" s="214">
        <f t="shared" si="29"/>
        <v>2274921.4775</v>
      </c>
      <c r="HT12" s="214">
        <f t="shared" si="29"/>
        <v>2274921.4775</v>
      </c>
      <c r="HU12" s="214">
        <f t="shared" si="29"/>
        <v>2274921.4775</v>
      </c>
      <c r="HV12" s="214">
        <f t="shared" si="29"/>
        <v>2274921.4775</v>
      </c>
      <c r="HW12" s="214">
        <f t="shared" si="29"/>
        <v>2274921.4775</v>
      </c>
      <c r="HX12" s="214">
        <f t="shared" si="29"/>
        <v>2274921.4775</v>
      </c>
      <c r="HY12" s="214">
        <f t="shared" si="29"/>
        <v>2274921.4775</v>
      </c>
      <c r="HZ12" s="214">
        <f t="shared" si="29"/>
        <v>2274921.4775</v>
      </c>
      <c r="IA12" s="214">
        <f t="shared" si="29"/>
        <v>2274921.4775</v>
      </c>
      <c r="IB12" s="214">
        <f t="shared" si="29"/>
        <v>2274921.4775</v>
      </c>
      <c r="IC12" s="214">
        <f t="shared" si="29"/>
        <v>2274921.4775</v>
      </c>
      <c r="ID12" s="214">
        <f t="shared" si="29"/>
        <v>2274921.4775</v>
      </c>
      <c r="IE12" s="214">
        <f t="shared" si="29"/>
        <v>2274921.4775</v>
      </c>
      <c r="IF12" s="214">
        <f t="shared" si="29"/>
        <v>2274921.4775</v>
      </c>
      <c r="IG12" s="214">
        <f t="shared" si="29"/>
        <v>2274921.4775</v>
      </c>
      <c r="IH12" s="214">
        <f t="shared" si="29"/>
        <v>2274921.4775</v>
      </c>
      <c r="II12" s="214">
        <f t="shared" si="29"/>
        <v>2274921.4775</v>
      </c>
      <c r="IJ12" s="214">
        <f t="shared" si="29"/>
        <v>2274921.4775</v>
      </c>
      <c r="IK12" s="214">
        <f t="shared" si="29"/>
        <v>2274921.4775</v>
      </c>
      <c r="IL12" s="214">
        <f t="shared" si="29"/>
        <v>2274921.4775</v>
      </c>
      <c r="IM12" s="214">
        <f t="shared" si="29"/>
        <v>2274921.4775</v>
      </c>
      <c r="IN12" s="214">
        <f t="shared" si="29"/>
        <v>2274921.4775</v>
      </c>
      <c r="IO12" s="214">
        <f t="shared" si="29"/>
        <v>2274921.4775</v>
      </c>
      <c r="IP12" s="214">
        <f t="shared" si="29"/>
        <v>2274921.4775</v>
      </c>
      <c r="IQ12" s="214">
        <f t="shared" si="29"/>
        <v>2274921.4775</v>
      </c>
      <c r="IR12" s="214">
        <f t="shared" si="29"/>
        <v>2274921.4775</v>
      </c>
      <c r="IS12" s="214">
        <f t="shared" si="29"/>
        <v>2274921.4775</v>
      </c>
      <c r="IT12" s="214">
        <f t="shared" si="29"/>
        <v>2274921.4775</v>
      </c>
      <c r="IU12" s="214">
        <f t="shared" si="29"/>
        <v>2274921.4775</v>
      </c>
      <c r="IV12" s="214">
        <f t="shared" si="29"/>
        <v>2274921.4775</v>
      </c>
      <c r="IW12" s="214">
        <f t="shared" si="29"/>
        <v>2274921.4775</v>
      </c>
      <c r="IX12" s="214">
        <f t="shared" si="29"/>
        <v>2274921.4775</v>
      </c>
      <c r="IY12" s="214">
        <f t="shared" si="29"/>
        <v>2274921.4775</v>
      </c>
      <c r="IZ12" s="214">
        <f t="shared" si="29"/>
        <v>2274921.4775</v>
      </c>
      <c r="JA12" s="214">
        <f t="shared" si="29"/>
        <v>2274921.4775</v>
      </c>
      <c r="JB12" s="214">
        <f t="shared" si="29"/>
        <v>2274921.4775</v>
      </c>
      <c r="JC12" s="214">
        <f t="shared" si="29"/>
        <v>2274921.4775</v>
      </c>
      <c r="JD12" s="214">
        <f t="shared" si="29"/>
        <v>2274921.4775</v>
      </c>
      <c r="JE12" s="214">
        <f t="shared" ref="JE12:LD12" si="30">JD12+JE11</f>
        <v>2274921.4775</v>
      </c>
      <c r="JF12" s="214">
        <f t="shared" si="30"/>
        <v>2274921.4775</v>
      </c>
      <c r="JG12" s="214">
        <f t="shared" si="30"/>
        <v>2274921.4775</v>
      </c>
      <c r="JH12" s="214">
        <f t="shared" si="30"/>
        <v>2274921.4775</v>
      </c>
      <c r="JI12" s="214">
        <f t="shared" si="30"/>
        <v>2274921.4775</v>
      </c>
      <c r="JJ12" s="214">
        <f t="shared" si="30"/>
        <v>2274921.4775</v>
      </c>
      <c r="JK12" s="214">
        <f t="shared" si="30"/>
        <v>2274921.4775</v>
      </c>
      <c r="JL12" s="214">
        <f t="shared" si="30"/>
        <v>2274921.4775</v>
      </c>
      <c r="JM12" s="214">
        <f t="shared" si="30"/>
        <v>2274921.4775</v>
      </c>
      <c r="JN12" s="214">
        <f t="shared" si="30"/>
        <v>2274921.4775</v>
      </c>
      <c r="JO12" s="214">
        <f t="shared" si="30"/>
        <v>2274921.4775</v>
      </c>
      <c r="JP12" s="214">
        <f t="shared" si="30"/>
        <v>2274921.4775</v>
      </c>
      <c r="JQ12" s="214">
        <f t="shared" si="30"/>
        <v>2274921.4775</v>
      </c>
      <c r="JR12" s="214">
        <f t="shared" si="30"/>
        <v>2274921.4775</v>
      </c>
      <c r="JS12" s="214">
        <f t="shared" si="30"/>
        <v>2274921.4775</v>
      </c>
      <c r="JT12" s="214">
        <f t="shared" si="30"/>
        <v>2274921.4775</v>
      </c>
      <c r="JU12" s="214">
        <f t="shared" si="30"/>
        <v>2274921.4775</v>
      </c>
      <c r="JV12" s="214">
        <f t="shared" si="30"/>
        <v>2274921.4775</v>
      </c>
      <c r="JW12" s="214">
        <f t="shared" si="30"/>
        <v>2274921.4775</v>
      </c>
      <c r="JX12" s="214">
        <f t="shared" si="30"/>
        <v>2274921.4775</v>
      </c>
      <c r="JY12" s="214">
        <f t="shared" si="30"/>
        <v>2274921.4775</v>
      </c>
      <c r="JZ12" s="214">
        <f t="shared" si="30"/>
        <v>2274921.4775</v>
      </c>
      <c r="KA12" s="214">
        <f t="shared" si="30"/>
        <v>2274921.4775</v>
      </c>
      <c r="KB12" s="214">
        <f t="shared" si="30"/>
        <v>2274921.4775</v>
      </c>
      <c r="KC12" s="214">
        <f t="shared" si="30"/>
        <v>2274921.4775</v>
      </c>
      <c r="KD12" s="214">
        <f t="shared" si="30"/>
        <v>2274921.4775</v>
      </c>
      <c r="KE12" s="214">
        <f t="shared" si="30"/>
        <v>2274921.4775</v>
      </c>
      <c r="KF12" s="214">
        <f t="shared" si="30"/>
        <v>2274921.4775</v>
      </c>
      <c r="KG12" s="214">
        <f t="shared" si="30"/>
        <v>2274921.4775</v>
      </c>
      <c r="KH12" s="214">
        <f t="shared" si="30"/>
        <v>2274921.4775</v>
      </c>
      <c r="KI12" s="214">
        <f t="shared" si="30"/>
        <v>2274921.4775</v>
      </c>
      <c r="KJ12" s="214">
        <f t="shared" si="30"/>
        <v>2274921.4775</v>
      </c>
      <c r="KK12" s="214">
        <f t="shared" si="30"/>
        <v>2274921.4775</v>
      </c>
      <c r="KL12" s="214">
        <f t="shared" si="30"/>
        <v>2274921.4775</v>
      </c>
      <c r="KM12" s="214">
        <f t="shared" si="30"/>
        <v>2274921.4775</v>
      </c>
      <c r="KN12" s="214">
        <f t="shared" si="30"/>
        <v>2274921.4775</v>
      </c>
      <c r="KO12" s="214">
        <f t="shared" si="30"/>
        <v>2274921.4775</v>
      </c>
      <c r="KP12" s="214">
        <f t="shared" si="30"/>
        <v>2274921.4775</v>
      </c>
      <c r="KQ12" s="214">
        <f t="shared" si="30"/>
        <v>2274921.4775</v>
      </c>
      <c r="KR12" s="214">
        <f t="shared" si="30"/>
        <v>2274921.4775</v>
      </c>
      <c r="KS12" s="214">
        <f t="shared" si="30"/>
        <v>2274921.4775</v>
      </c>
      <c r="KT12" s="214">
        <f t="shared" si="30"/>
        <v>2274921.4775</v>
      </c>
      <c r="KU12" s="214">
        <f t="shared" si="30"/>
        <v>2274921.4775</v>
      </c>
      <c r="KV12" s="214">
        <f t="shared" si="30"/>
        <v>2274921.4775</v>
      </c>
      <c r="KW12" s="214">
        <f t="shared" si="30"/>
        <v>2274921.4775</v>
      </c>
      <c r="KX12" s="214">
        <f t="shared" si="30"/>
        <v>2274921.4775</v>
      </c>
      <c r="KY12" s="214">
        <f t="shared" si="30"/>
        <v>2274921.4775</v>
      </c>
      <c r="KZ12" s="214">
        <f t="shared" si="30"/>
        <v>2274921.4775</v>
      </c>
      <c r="LA12" s="214">
        <f t="shared" si="30"/>
        <v>2274921.4775</v>
      </c>
      <c r="LB12" s="214">
        <f t="shared" si="30"/>
        <v>2274921.4775</v>
      </c>
      <c r="LC12" s="214">
        <f t="shared" si="30"/>
        <v>2274921.4775</v>
      </c>
      <c r="LD12" s="214">
        <f t="shared" si="30"/>
        <v>2274921.4775</v>
      </c>
      <c r="LE12" s="191"/>
      <c r="LF12" s="202"/>
    </row>
    <row r="13" spans="1:794" s="191" customFormat="1">
      <c r="A13" s="79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7"/>
      <c r="B14" s="204" t="s">
        <v>396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862397.94911932014</v>
      </c>
      <c r="BI14" s="207">
        <f t="shared" si="32"/>
        <v>862397.94911932014</v>
      </c>
      <c r="BJ14" s="207">
        <f t="shared" si="32"/>
        <v>862397.94911932014</v>
      </c>
      <c r="BK14" s="207">
        <f t="shared" si="32"/>
        <v>862397.94911932014</v>
      </c>
      <c r="BL14" s="207">
        <f t="shared" si="32"/>
        <v>862397.94911932014</v>
      </c>
      <c r="BM14" s="207">
        <f t="shared" si="32"/>
        <v>862397.94911932014</v>
      </c>
      <c r="BN14" s="207">
        <f t="shared" si="32"/>
        <v>862397.94911932014</v>
      </c>
      <c r="BO14" s="207">
        <f t="shared" si="32"/>
        <v>862397.94911932014</v>
      </c>
      <c r="BP14" s="207">
        <f t="shared" si="32"/>
        <v>862397.94911932014</v>
      </c>
      <c r="BQ14" s="207">
        <f t="shared" si="32"/>
        <v>862397.94911932014</v>
      </c>
      <c r="BR14" s="207">
        <f t="shared" si="32"/>
        <v>862397.94911932014</v>
      </c>
      <c r="BS14" s="207">
        <f t="shared" si="32"/>
        <v>862397.94911932014</v>
      </c>
      <c r="BT14" s="207">
        <f t="shared" si="32"/>
        <v>862397.94911932014</v>
      </c>
      <c r="BU14" s="207">
        <f t="shared" ref="BU14:EF14" si="33">BU10-BU12</f>
        <v>862397.94911932014</v>
      </c>
      <c r="BV14" s="207">
        <f t="shared" si="33"/>
        <v>862397.94911932014</v>
      </c>
      <c r="BW14" s="207">
        <f t="shared" si="33"/>
        <v>862397.94911932014</v>
      </c>
      <c r="BX14" s="207">
        <f t="shared" si="33"/>
        <v>862397.94911932014</v>
      </c>
      <c r="BY14" s="207">
        <f t="shared" si="33"/>
        <v>862397.94911932014</v>
      </c>
      <c r="BZ14" s="207">
        <f t="shared" si="33"/>
        <v>862397.94911932014</v>
      </c>
      <c r="CA14" s="207">
        <f t="shared" si="33"/>
        <v>862397.94911932014</v>
      </c>
      <c r="CB14" s="207">
        <f t="shared" si="33"/>
        <v>862397.94911932014</v>
      </c>
      <c r="CC14" s="207">
        <f t="shared" si="33"/>
        <v>862397.94911932014</v>
      </c>
      <c r="CD14" s="207">
        <f t="shared" si="33"/>
        <v>862397.94911932014</v>
      </c>
      <c r="CE14" s="207">
        <f t="shared" si="33"/>
        <v>862397.94911932014</v>
      </c>
      <c r="CF14" s="207">
        <f t="shared" si="33"/>
        <v>862397.94911932014</v>
      </c>
      <c r="CG14" s="207">
        <f t="shared" si="33"/>
        <v>862397.94911932014</v>
      </c>
      <c r="CH14" s="207">
        <f t="shared" si="33"/>
        <v>862397.94911932014</v>
      </c>
      <c r="CI14" s="207">
        <f t="shared" si="33"/>
        <v>862397.94911932014</v>
      </c>
      <c r="CJ14" s="207">
        <f t="shared" si="33"/>
        <v>862397.94911932014</v>
      </c>
      <c r="CK14" s="207">
        <f t="shared" si="33"/>
        <v>862397.94911932014</v>
      </c>
      <c r="CL14" s="207">
        <f t="shared" si="33"/>
        <v>862397.94911932014</v>
      </c>
      <c r="CM14" s="207">
        <f t="shared" si="33"/>
        <v>862397.94911932014</v>
      </c>
      <c r="CN14" s="207">
        <f t="shared" si="33"/>
        <v>862397.94911932014</v>
      </c>
      <c r="CO14" s="207">
        <f t="shared" si="33"/>
        <v>862397.94911932014</v>
      </c>
      <c r="CP14" s="207">
        <f t="shared" si="33"/>
        <v>862397.94911932014</v>
      </c>
      <c r="CQ14" s="207">
        <f t="shared" si="33"/>
        <v>862397.94911932014</v>
      </c>
      <c r="CR14" s="207">
        <f t="shared" si="33"/>
        <v>862397.94911932014</v>
      </c>
      <c r="CS14" s="207">
        <f t="shared" si="33"/>
        <v>862397.94911932014</v>
      </c>
      <c r="CT14" s="207">
        <f t="shared" si="33"/>
        <v>862397.94911932014</v>
      </c>
      <c r="CU14" s="207">
        <f t="shared" si="33"/>
        <v>862397.94911932014</v>
      </c>
      <c r="CV14" s="207">
        <f t="shared" si="33"/>
        <v>862397.94911932014</v>
      </c>
      <c r="CW14" s="207">
        <f t="shared" si="33"/>
        <v>862397.94911932014</v>
      </c>
      <c r="CX14" s="207">
        <f t="shared" si="33"/>
        <v>862397.94911932014</v>
      </c>
      <c r="CY14" s="207">
        <f t="shared" si="33"/>
        <v>862397.94911932014</v>
      </c>
      <c r="CZ14" s="207">
        <f t="shared" si="33"/>
        <v>862397.94911932014</v>
      </c>
      <c r="DA14" s="207">
        <f t="shared" si="33"/>
        <v>862397.94911932014</v>
      </c>
      <c r="DB14" s="207">
        <f t="shared" si="33"/>
        <v>862397.94911932014</v>
      </c>
      <c r="DC14" s="207">
        <f t="shared" si="33"/>
        <v>862397.94911932014</v>
      </c>
      <c r="DD14" s="207">
        <f t="shared" si="33"/>
        <v>862397.94911932014</v>
      </c>
      <c r="DE14" s="207">
        <f t="shared" si="33"/>
        <v>862397.94911932014</v>
      </c>
      <c r="DF14" s="207">
        <f t="shared" si="33"/>
        <v>862397.94911932014</v>
      </c>
      <c r="DG14" s="207">
        <f t="shared" si="33"/>
        <v>862397.94911932014</v>
      </c>
      <c r="DH14" s="207">
        <f t="shared" si="33"/>
        <v>862397.94911932014</v>
      </c>
      <c r="DI14" s="207">
        <f t="shared" si="33"/>
        <v>862397.94911932014</v>
      </c>
      <c r="DJ14" s="207">
        <f t="shared" si="33"/>
        <v>862397.94911932014</v>
      </c>
      <c r="DK14" s="207">
        <f t="shared" si="33"/>
        <v>862397.94911932014</v>
      </c>
      <c r="DL14" s="207">
        <f t="shared" si="33"/>
        <v>862397.94911932014</v>
      </c>
      <c r="DM14" s="207">
        <f t="shared" si="33"/>
        <v>862397.94911932014</v>
      </c>
      <c r="DN14" s="207">
        <f t="shared" si="33"/>
        <v>862397.94911932014</v>
      </c>
      <c r="DO14" s="207">
        <f t="shared" si="33"/>
        <v>862397.94911932014</v>
      </c>
      <c r="DP14" s="207">
        <f t="shared" si="33"/>
        <v>862397.94911932014</v>
      </c>
      <c r="DQ14" s="207">
        <f t="shared" si="33"/>
        <v>862397.94911932014</v>
      </c>
      <c r="DR14" s="207">
        <f t="shared" si="33"/>
        <v>862397.94911932014</v>
      </c>
      <c r="DS14" s="207">
        <f t="shared" si="33"/>
        <v>862397.94911932014</v>
      </c>
      <c r="DT14" s="207">
        <f t="shared" si="33"/>
        <v>862397.94911932014</v>
      </c>
      <c r="DU14" s="207">
        <f t="shared" si="33"/>
        <v>862397.94911932014</v>
      </c>
      <c r="DV14" s="207">
        <f t="shared" si="33"/>
        <v>862397.94911932014</v>
      </c>
      <c r="DW14" s="207">
        <f t="shared" si="33"/>
        <v>862397.94911932014</v>
      </c>
      <c r="DX14" s="207">
        <f t="shared" si="33"/>
        <v>862397.94911932014</v>
      </c>
      <c r="DY14" s="207">
        <f t="shared" si="33"/>
        <v>862397.94911932014</v>
      </c>
      <c r="DZ14" s="207">
        <f t="shared" si="33"/>
        <v>862397.94911932014</v>
      </c>
      <c r="EA14" s="207">
        <f t="shared" si="33"/>
        <v>862397.94911932014</v>
      </c>
      <c r="EB14" s="207">
        <f t="shared" si="33"/>
        <v>862397.94911932014</v>
      </c>
      <c r="EC14" s="207">
        <f t="shared" si="33"/>
        <v>862397.94911932014</v>
      </c>
      <c r="ED14" s="207">
        <f t="shared" si="33"/>
        <v>862397.94911932014</v>
      </c>
      <c r="EE14" s="207">
        <f t="shared" si="33"/>
        <v>862397.94911932014</v>
      </c>
      <c r="EF14" s="207">
        <f t="shared" si="33"/>
        <v>862397.94911932014</v>
      </c>
      <c r="EG14" s="207">
        <f t="shared" ref="EG14:GR14" si="34">EG10-EG12</f>
        <v>862397.94911932014</v>
      </c>
      <c r="EH14" s="207">
        <f t="shared" si="34"/>
        <v>862397.94911932014</v>
      </c>
      <c r="EI14" s="207">
        <f t="shared" si="34"/>
        <v>862397.94911932014</v>
      </c>
      <c r="EJ14" s="207">
        <f t="shared" si="34"/>
        <v>862397.94911932014</v>
      </c>
      <c r="EK14" s="207">
        <f t="shared" si="34"/>
        <v>862397.94911932014</v>
      </c>
      <c r="EL14" s="207">
        <f t="shared" si="34"/>
        <v>862397.94911932014</v>
      </c>
      <c r="EM14" s="207">
        <f t="shared" si="34"/>
        <v>862397.94911932014</v>
      </c>
      <c r="EN14" s="207">
        <f t="shared" si="34"/>
        <v>862397.94911932014</v>
      </c>
      <c r="EO14" s="207">
        <f t="shared" si="34"/>
        <v>862397.94911932014</v>
      </c>
      <c r="EP14" s="207">
        <f t="shared" si="34"/>
        <v>862397.94911932014</v>
      </c>
      <c r="EQ14" s="207">
        <f t="shared" si="34"/>
        <v>862397.94911932014</v>
      </c>
      <c r="ER14" s="207">
        <f t="shared" si="34"/>
        <v>862397.94911932014</v>
      </c>
      <c r="ES14" s="207">
        <f t="shared" si="34"/>
        <v>862397.94911932014</v>
      </c>
      <c r="ET14" s="207">
        <f t="shared" si="34"/>
        <v>862397.94911932014</v>
      </c>
      <c r="EU14" s="207">
        <f t="shared" si="34"/>
        <v>862397.94911932014</v>
      </c>
      <c r="EV14" s="207">
        <f t="shared" si="34"/>
        <v>862397.94911932014</v>
      </c>
      <c r="EW14" s="207">
        <f t="shared" si="34"/>
        <v>862397.94911932014</v>
      </c>
      <c r="EX14" s="207">
        <f t="shared" si="34"/>
        <v>862397.94911932014</v>
      </c>
      <c r="EY14" s="207">
        <f t="shared" si="34"/>
        <v>862397.94911932014</v>
      </c>
      <c r="EZ14" s="207">
        <f t="shared" si="34"/>
        <v>862397.94911932014</v>
      </c>
      <c r="FA14" s="207">
        <f t="shared" si="34"/>
        <v>862397.94911932014</v>
      </c>
      <c r="FB14" s="207">
        <f t="shared" si="34"/>
        <v>862397.94911932014</v>
      </c>
      <c r="FC14" s="207">
        <f t="shared" si="34"/>
        <v>862397.94911932014</v>
      </c>
      <c r="FD14" s="207">
        <f t="shared" si="34"/>
        <v>862397.94911932014</v>
      </c>
      <c r="FE14" s="207">
        <f t="shared" si="34"/>
        <v>862397.94911932014</v>
      </c>
      <c r="FF14" s="207">
        <f t="shared" si="34"/>
        <v>862397.94911932014</v>
      </c>
      <c r="FG14" s="207">
        <f t="shared" si="34"/>
        <v>862397.94911932014</v>
      </c>
      <c r="FH14" s="207">
        <f t="shared" si="34"/>
        <v>862397.94911932014</v>
      </c>
      <c r="FI14" s="207">
        <f t="shared" si="34"/>
        <v>862397.94911932014</v>
      </c>
      <c r="FJ14" s="207">
        <f t="shared" si="34"/>
        <v>862397.94911932014</v>
      </c>
      <c r="FK14" s="207">
        <f t="shared" si="34"/>
        <v>862397.94911932014</v>
      </c>
      <c r="FL14" s="207">
        <f t="shared" si="34"/>
        <v>862397.94911932014</v>
      </c>
      <c r="FM14" s="207">
        <f t="shared" si="34"/>
        <v>862397.94911932014</v>
      </c>
      <c r="FN14" s="207">
        <f t="shared" si="34"/>
        <v>862397.94911932014</v>
      </c>
      <c r="FO14" s="207">
        <f t="shared" si="34"/>
        <v>862397.94911932014</v>
      </c>
      <c r="FP14" s="207">
        <f t="shared" si="34"/>
        <v>862397.94911932014</v>
      </c>
      <c r="FQ14" s="207">
        <f t="shared" si="34"/>
        <v>862397.94911932014</v>
      </c>
      <c r="FR14" s="207">
        <f t="shared" si="34"/>
        <v>862397.94911932014</v>
      </c>
      <c r="FS14" s="207">
        <f t="shared" si="34"/>
        <v>862397.94911932014</v>
      </c>
      <c r="FT14" s="207">
        <f t="shared" si="34"/>
        <v>862397.94911932014</v>
      </c>
      <c r="FU14" s="207">
        <f t="shared" si="34"/>
        <v>862397.94911932014</v>
      </c>
      <c r="FV14" s="207">
        <f t="shared" si="34"/>
        <v>862397.94911932014</v>
      </c>
      <c r="FW14" s="207">
        <f t="shared" si="34"/>
        <v>862397.94911932014</v>
      </c>
      <c r="FX14" s="207">
        <f t="shared" si="34"/>
        <v>862397.94911932014</v>
      </c>
      <c r="FY14" s="207">
        <f t="shared" si="34"/>
        <v>862397.94911932014</v>
      </c>
      <c r="FZ14" s="207">
        <f t="shared" si="34"/>
        <v>862397.94911932014</v>
      </c>
      <c r="GA14" s="207">
        <f t="shared" si="34"/>
        <v>862397.94911932014</v>
      </c>
      <c r="GB14" s="207">
        <f t="shared" si="34"/>
        <v>862397.94911932014</v>
      </c>
      <c r="GC14" s="207">
        <f t="shared" si="34"/>
        <v>862397.94911932014</v>
      </c>
      <c r="GD14" s="207">
        <f t="shared" si="34"/>
        <v>862397.94911932014</v>
      </c>
      <c r="GE14" s="207">
        <f t="shared" si="34"/>
        <v>862397.94911932014</v>
      </c>
      <c r="GF14" s="207">
        <f t="shared" si="34"/>
        <v>862397.94911932014</v>
      </c>
      <c r="GG14" s="207">
        <f t="shared" si="34"/>
        <v>862397.94911932014</v>
      </c>
      <c r="GH14" s="207">
        <f t="shared" si="34"/>
        <v>862397.94911932014</v>
      </c>
      <c r="GI14" s="207">
        <f t="shared" si="34"/>
        <v>862397.94911932014</v>
      </c>
      <c r="GJ14" s="207">
        <f t="shared" si="34"/>
        <v>862397.94911932014</v>
      </c>
      <c r="GK14" s="207">
        <f t="shared" si="34"/>
        <v>862397.94911932014</v>
      </c>
      <c r="GL14" s="207">
        <f t="shared" si="34"/>
        <v>862397.94911932014</v>
      </c>
      <c r="GM14" s="207">
        <f t="shared" si="34"/>
        <v>862397.94911932014</v>
      </c>
      <c r="GN14" s="207">
        <f t="shared" si="34"/>
        <v>862397.94911932014</v>
      </c>
      <c r="GO14" s="207">
        <f t="shared" si="34"/>
        <v>862397.94911932014</v>
      </c>
      <c r="GP14" s="207">
        <f t="shared" si="34"/>
        <v>862397.94911932014</v>
      </c>
      <c r="GQ14" s="207">
        <f t="shared" si="34"/>
        <v>862397.94911932014</v>
      </c>
      <c r="GR14" s="207">
        <f t="shared" si="34"/>
        <v>862397.94911932014</v>
      </c>
      <c r="GS14" s="207">
        <f t="shared" ref="GS14:JD14" si="35">GS10-GS12</f>
        <v>862397.94911932014</v>
      </c>
      <c r="GT14" s="207">
        <f t="shared" si="35"/>
        <v>862397.94911932014</v>
      </c>
      <c r="GU14" s="207">
        <f t="shared" si="35"/>
        <v>862397.94911932014</v>
      </c>
      <c r="GV14" s="207">
        <f t="shared" si="35"/>
        <v>862397.94911932014</v>
      </c>
      <c r="GW14" s="207">
        <f t="shared" si="35"/>
        <v>862397.94911932014</v>
      </c>
      <c r="GX14" s="207">
        <f t="shared" si="35"/>
        <v>862397.94911932014</v>
      </c>
      <c r="GY14" s="207">
        <f t="shared" si="35"/>
        <v>862397.94911932014</v>
      </c>
      <c r="GZ14" s="207">
        <f t="shared" si="35"/>
        <v>862397.94911932014</v>
      </c>
      <c r="HA14" s="207">
        <f t="shared" si="35"/>
        <v>862397.94911932014</v>
      </c>
      <c r="HB14" s="207">
        <f t="shared" si="35"/>
        <v>862397.94911932014</v>
      </c>
      <c r="HC14" s="207">
        <f t="shared" si="35"/>
        <v>862397.94911932014</v>
      </c>
      <c r="HD14" s="207">
        <f t="shared" si="35"/>
        <v>862397.94911932014</v>
      </c>
      <c r="HE14" s="207">
        <f t="shared" si="35"/>
        <v>862397.94911932014</v>
      </c>
      <c r="HF14" s="207">
        <f t="shared" si="35"/>
        <v>862397.94911932014</v>
      </c>
      <c r="HG14" s="207">
        <f t="shared" si="35"/>
        <v>862397.94911932014</v>
      </c>
      <c r="HH14" s="207">
        <f t="shared" si="35"/>
        <v>862397.94911932014</v>
      </c>
      <c r="HI14" s="207">
        <f t="shared" si="35"/>
        <v>862397.94911932014</v>
      </c>
      <c r="HJ14" s="207">
        <f t="shared" si="35"/>
        <v>862397.94911932014</v>
      </c>
      <c r="HK14" s="207">
        <f t="shared" si="35"/>
        <v>862397.94911932014</v>
      </c>
      <c r="HL14" s="207">
        <f t="shared" si="35"/>
        <v>862397.94911932014</v>
      </c>
      <c r="HM14" s="207">
        <f t="shared" si="35"/>
        <v>862397.94911932014</v>
      </c>
      <c r="HN14" s="207">
        <f t="shared" si="35"/>
        <v>862397.94911932014</v>
      </c>
      <c r="HO14" s="207">
        <f t="shared" si="35"/>
        <v>862397.94911932014</v>
      </c>
      <c r="HP14" s="207">
        <f t="shared" si="35"/>
        <v>862397.94911932014</v>
      </c>
      <c r="HQ14" s="207">
        <f t="shared" si="35"/>
        <v>862397.94911932014</v>
      </c>
      <c r="HR14" s="207">
        <f t="shared" si="35"/>
        <v>862397.94911932014</v>
      </c>
      <c r="HS14" s="207">
        <f t="shared" si="35"/>
        <v>862397.94911932014</v>
      </c>
      <c r="HT14" s="207">
        <f t="shared" si="35"/>
        <v>862397.94911932014</v>
      </c>
      <c r="HU14" s="207">
        <f t="shared" si="35"/>
        <v>862397.94911932014</v>
      </c>
      <c r="HV14" s="207">
        <f t="shared" si="35"/>
        <v>862397.94911932014</v>
      </c>
      <c r="HW14" s="207">
        <f t="shared" si="35"/>
        <v>862397.94911932014</v>
      </c>
      <c r="HX14" s="207">
        <f t="shared" si="35"/>
        <v>862397.94911932014</v>
      </c>
      <c r="HY14" s="207">
        <f t="shared" si="35"/>
        <v>862397.94911932014</v>
      </c>
      <c r="HZ14" s="207">
        <f t="shared" si="35"/>
        <v>862397.94911932014</v>
      </c>
      <c r="IA14" s="207">
        <f t="shared" si="35"/>
        <v>862397.94911932014</v>
      </c>
      <c r="IB14" s="207">
        <f t="shared" si="35"/>
        <v>862397.94911932014</v>
      </c>
      <c r="IC14" s="207">
        <f t="shared" si="35"/>
        <v>862397.94911932014</v>
      </c>
      <c r="ID14" s="207">
        <f t="shared" si="35"/>
        <v>862397.94911932014</v>
      </c>
      <c r="IE14" s="207">
        <f t="shared" si="35"/>
        <v>862397.94911932014</v>
      </c>
      <c r="IF14" s="207">
        <f t="shared" si="35"/>
        <v>862397.94911932014</v>
      </c>
      <c r="IG14" s="207">
        <f t="shared" si="35"/>
        <v>862397.94911932014</v>
      </c>
      <c r="IH14" s="207">
        <f t="shared" si="35"/>
        <v>862397.94911932014</v>
      </c>
      <c r="II14" s="207">
        <f t="shared" si="35"/>
        <v>862397.94911932014</v>
      </c>
      <c r="IJ14" s="207">
        <f t="shared" si="35"/>
        <v>862397.94911932014</v>
      </c>
      <c r="IK14" s="207">
        <f t="shared" si="35"/>
        <v>862397.94911932014</v>
      </c>
      <c r="IL14" s="207">
        <f t="shared" si="35"/>
        <v>862397.94911932014</v>
      </c>
      <c r="IM14" s="207">
        <f t="shared" si="35"/>
        <v>862397.94911932014</v>
      </c>
      <c r="IN14" s="207">
        <f t="shared" si="35"/>
        <v>862397.94911932014</v>
      </c>
      <c r="IO14" s="207">
        <f t="shared" si="35"/>
        <v>862397.94911932014</v>
      </c>
      <c r="IP14" s="207">
        <f t="shared" si="35"/>
        <v>862397.94911932014</v>
      </c>
      <c r="IQ14" s="207">
        <f t="shared" si="35"/>
        <v>862397.94911932014</v>
      </c>
      <c r="IR14" s="207">
        <f t="shared" si="35"/>
        <v>862397.94911932014</v>
      </c>
      <c r="IS14" s="207">
        <f t="shared" si="35"/>
        <v>862397.94911932014</v>
      </c>
      <c r="IT14" s="207">
        <f t="shared" si="35"/>
        <v>862397.94911932014</v>
      </c>
      <c r="IU14" s="207">
        <f t="shared" si="35"/>
        <v>862397.94911932014</v>
      </c>
      <c r="IV14" s="207">
        <f t="shared" si="35"/>
        <v>862397.94911932014</v>
      </c>
      <c r="IW14" s="207">
        <f t="shared" si="35"/>
        <v>862397.94911932014</v>
      </c>
      <c r="IX14" s="207">
        <f t="shared" si="35"/>
        <v>862397.94911932014</v>
      </c>
      <c r="IY14" s="207">
        <f t="shared" si="35"/>
        <v>862397.94911932014</v>
      </c>
      <c r="IZ14" s="207">
        <f t="shared" si="35"/>
        <v>862397.94911932014</v>
      </c>
      <c r="JA14" s="207">
        <f t="shared" si="35"/>
        <v>862397.94911932014</v>
      </c>
      <c r="JB14" s="207">
        <f t="shared" si="35"/>
        <v>862397.94911932014</v>
      </c>
      <c r="JC14" s="207">
        <f t="shared" si="35"/>
        <v>862397.94911932014</v>
      </c>
      <c r="JD14" s="207">
        <f t="shared" si="35"/>
        <v>862397.94911932014</v>
      </c>
      <c r="JE14" s="207">
        <f t="shared" ref="JE14:LD14" si="36">JE10-JE12</f>
        <v>862397.94911932014</v>
      </c>
      <c r="JF14" s="207">
        <f t="shared" si="36"/>
        <v>862397.94911932014</v>
      </c>
      <c r="JG14" s="207">
        <f t="shared" si="36"/>
        <v>862397.94911932014</v>
      </c>
      <c r="JH14" s="207">
        <f t="shared" si="36"/>
        <v>862397.94911932014</v>
      </c>
      <c r="JI14" s="207">
        <f t="shared" si="36"/>
        <v>862397.94911932014</v>
      </c>
      <c r="JJ14" s="207">
        <f t="shared" si="36"/>
        <v>862397.94911932014</v>
      </c>
      <c r="JK14" s="207">
        <f t="shared" si="36"/>
        <v>862397.94911932014</v>
      </c>
      <c r="JL14" s="207">
        <f t="shared" si="36"/>
        <v>862397.94911932014</v>
      </c>
      <c r="JM14" s="207">
        <f t="shared" si="36"/>
        <v>862397.94911932014</v>
      </c>
      <c r="JN14" s="207">
        <f t="shared" si="36"/>
        <v>862397.94911932014</v>
      </c>
      <c r="JO14" s="207">
        <f t="shared" si="36"/>
        <v>862397.94911932014</v>
      </c>
      <c r="JP14" s="207">
        <f t="shared" si="36"/>
        <v>862397.94911932014</v>
      </c>
      <c r="JQ14" s="207">
        <f t="shared" si="36"/>
        <v>862397.94911932014</v>
      </c>
      <c r="JR14" s="207">
        <f t="shared" si="36"/>
        <v>862397.94911932014</v>
      </c>
      <c r="JS14" s="207">
        <f t="shared" si="36"/>
        <v>862397.94911932014</v>
      </c>
      <c r="JT14" s="207">
        <f t="shared" si="36"/>
        <v>862397.94911932014</v>
      </c>
      <c r="JU14" s="207">
        <f t="shared" si="36"/>
        <v>862397.94911932014</v>
      </c>
      <c r="JV14" s="207">
        <f t="shared" si="36"/>
        <v>862397.94911932014</v>
      </c>
      <c r="JW14" s="207">
        <f t="shared" si="36"/>
        <v>862397.94911932014</v>
      </c>
      <c r="JX14" s="207">
        <f t="shared" si="36"/>
        <v>862397.94911932014</v>
      </c>
      <c r="JY14" s="207">
        <f t="shared" si="36"/>
        <v>862397.94911932014</v>
      </c>
      <c r="JZ14" s="207">
        <f t="shared" si="36"/>
        <v>862397.94911932014</v>
      </c>
      <c r="KA14" s="207">
        <f t="shared" si="36"/>
        <v>862397.94911932014</v>
      </c>
      <c r="KB14" s="207">
        <f t="shared" si="36"/>
        <v>862397.94911932014</v>
      </c>
      <c r="KC14" s="207">
        <f t="shared" si="36"/>
        <v>862397.94911932014</v>
      </c>
      <c r="KD14" s="207">
        <f t="shared" si="36"/>
        <v>862397.94911932014</v>
      </c>
      <c r="KE14" s="207">
        <f t="shared" si="36"/>
        <v>862397.94911932014</v>
      </c>
      <c r="KF14" s="207">
        <f t="shared" si="36"/>
        <v>862397.94911932014</v>
      </c>
      <c r="KG14" s="207">
        <f t="shared" si="36"/>
        <v>862397.94911932014</v>
      </c>
      <c r="KH14" s="207">
        <f t="shared" si="36"/>
        <v>862397.94911932014</v>
      </c>
      <c r="KI14" s="207">
        <f t="shared" si="36"/>
        <v>862397.94911932014</v>
      </c>
      <c r="KJ14" s="207">
        <f t="shared" si="36"/>
        <v>862397.94911932014</v>
      </c>
      <c r="KK14" s="207">
        <f t="shared" si="36"/>
        <v>862397.94911932014</v>
      </c>
      <c r="KL14" s="207">
        <f t="shared" si="36"/>
        <v>862397.94911932014</v>
      </c>
      <c r="KM14" s="207">
        <f t="shared" si="36"/>
        <v>862397.94911932014</v>
      </c>
      <c r="KN14" s="207">
        <f t="shared" si="36"/>
        <v>862397.94911932014</v>
      </c>
      <c r="KO14" s="207">
        <f t="shared" si="36"/>
        <v>862397.94911932014</v>
      </c>
      <c r="KP14" s="207">
        <f t="shared" si="36"/>
        <v>862397.94911932014</v>
      </c>
      <c r="KQ14" s="207">
        <f t="shared" si="36"/>
        <v>862397.94911932014</v>
      </c>
      <c r="KR14" s="207">
        <f t="shared" si="36"/>
        <v>862397.94911932014</v>
      </c>
      <c r="KS14" s="207">
        <f t="shared" si="36"/>
        <v>862397.94911932014</v>
      </c>
      <c r="KT14" s="207">
        <f t="shared" si="36"/>
        <v>862397.94911932014</v>
      </c>
      <c r="KU14" s="207">
        <f t="shared" si="36"/>
        <v>862397.94911932014</v>
      </c>
      <c r="KV14" s="207">
        <f t="shared" si="36"/>
        <v>862397.94911932014</v>
      </c>
      <c r="KW14" s="207">
        <f t="shared" si="36"/>
        <v>862397.94911932014</v>
      </c>
      <c r="KX14" s="207">
        <f t="shared" si="36"/>
        <v>862397.94911932014</v>
      </c>
      <c r="KY14" s="207">
        <f t="shared" si="36"/>
        <v>862397.94911932014</v>
      </c>
      <c r="KZ14" s="207">
        <f t="shared" si="36"/>
        <v>862397.94911932014</v>
      </c>
      <c r="LA14" s="207">
        <f t="shared" si="36"/>
        <v>862397.94911932014</v>
      </c>
      <c r="LB14" s="207">
        <f t="shared" si="36"/>
        <v>862397.94911932014</v>
      </c>
      <c r="LC14" s="207">
        <f t="shared" si="36"/>
        <v>862397.94911932014</v>
      </c>
      <c r="LD14" s="207">
        <f t="shared" si="36"/>
        <v>862397.94911932014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798"/>
      <c r="B17" s="195" t="s">
        <v>397</v>
      </c>
      <c r="C17" s="375">
        <f>C3-D17</f>
        <v>1.9156429916620255E-3</v>
      </c>
      <c r="D17" s="196">
        <f>SUM(F17:LD17)</f>
        <v>3199251.4647036772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83969.19973981037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798"/>
      <c r="B18" s="195" t="s">
        <v>398</v>
      </c>
      <c r="C18" s="375">
        <f>D17-D18</f>
        <v>0</v>
      </c>
      <c r="D18" s="196">
        <f>MAX(F18:LD18)</f>
        <v>3199251.4647036772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3199251.4647036772</v>
      </c>
      <c r="BH18" s="214">
        <f t="shared" si="37"/>
        <v>3199251.4647036772</v>
      </c>
      <c r="BI18" s="214">
        <f t="shared" si="37"/>
        <v>3199251.4647036772</v>
      </c>
      <c r="BJ18" s="214">
        <f t="shared" si="37"/>
        <v>3199251.4647036772</v>
      </c>
      <c r="BK18" s="214">
        <f t="shared" si="37"/>
        <v>3199251.4647036772</v>
      </c>
      <c r="BL18" s="214">
        <f t="shared" si="37"/>
        <v>3199251.4647036772</v>
      </c>
      <c r="BM18" s="214">
        <f t="shared" si="37"/>
        <v>3199251.4647036772</v>
      </c>
      <c r="BN18" s="214">
        <f t="shared" si="37"/>
        <v>3199251.4647036772</v>
      </c>
      <c r="BO18" s="214">
        <f t="shared" si="37"/>
        <v>3199251.4647036772</v>
      </c>
      <c r="BP18" s="214">
        <f t="shared" si="37"/>
        <v>3199251.4647036772</v>
      </c>
      <c r="BQ18" s="214">
        <f t="shared" si="37"/>
        <v>3199251.4647036772</v>
      </c>
      <c r="BR18" s="214">
        <f t="shared" si="37"/>
        <v>3199251.4647036772</v>
      </c>
      <c r="BS18" s="214">
        <f t="shared" si="37"/>
        <v>3199251.4647036772</v>
      </c>
      <c r="BT18" s="214">
        <f t="shared" si="37"/>
        <v>3199251.4647036772</v>
      </c>
      <c r="BU18" s="214">
        <f t="shared" ref="BU18:EF18" si="38">BT18+BU17</f>
        <v>3199251.4647036772</v>
      </c>
      <c r="BV18" s="214">
        <f t="shared" si="38"/>
        <v>3199251.4647036772</v>
      </c>
      <c r="BW18" s="214">
        <f t="shared" si="38"/>
        <v>3199251.4647036772</v>
      </c>
      <c r="BX18" s="214">
        <f t="shared" si="38"/>
        <v>3199251.4647036772</v>
      </c>
      <c r="BY18" s="214">
        <f t="shared" si="38"/>
        <v>3199251.4647036772</v>
      </c>
      <c r="BZ18" s="214">
        <f t="shared" si="38"/>
        <v>3199251.4647036772</v>
      </c>
      <c r="CA18" s="214">
        <f t="shared" si="38"/>
        <v>3199251.4647036772</v>
      </c>
      <c r="CB18" s="214">
        <f t="shared" si="38"/>
        <v>3199251.4647036772</v>
      </c>
      <c r="CC18" s="214">
        <f t="shared" si="38"/>
        <v>3199251.4647036772</v>
      </c>
      <c r="CD18" s="214">
        <f t="shared" si="38"/>
        <v>3199251.4647036772</v>
      </c>
      <c r="CE18" s="214">
        <f t="shared" si="38"/>
        <v>3199251.4647036772</v>
      </c>
      <c r="CF18" s="214">
        <f t="shared" si="38"/>
        <v>3199251.4647036772</v>
      </c>
      <c r="CG18" s="214">
        <f t="shared" si="38"/>
        <v>3199251.4647036772</v>
      </c>
      <c r="CH18" s="214">
        <f t="shared" si="38"/>
        <v>3199251.4647036772</v>
      </c>
      <c r="CI18" s="214">
        <f t="shared" si="38"/>
        <v>3199251.4647036772</v>
      </c>
      <c r="CJ18" s="214">
        <f t="shared" si="38"/>
        <v>3199251.4647036772</v>
      </c>
      <c r="CK18" s="214">
        <f t="shared" si="38"/>
        <v>3199251.4647036772</v>
      </c>
      <c r="CL18" s="214">
        <f t="shared" si="38"/>
        <v>3199251.4647036772</v>
      </c>
      <c r="CM18" s="214">
        <f t="shared" si="38"/>
        <v>3199251.4647036772</v>
      </c>
      <c r="CN18" s="214">
        <f t="shared" si="38"/>
        <v>3199251.4647036772</v>
      </c>
      <c r="CO18" s="214">
        <f t="shared" si="38"/>
        <v>3199251.4647036772</v>
      </c>
      <c r="CP18" s="214">
        <f t="shared" si="38"/>
        <v>3199251.4647036772</v>
      </c>
      <c r="CQ18" s="214">
        <f t="shared" si="38"/>
        <v>3199251.4647036772</v>
      </c>
      <c r="CR18" s="214">
        <f t="shared" si="38"/>
        <v>3199251.4647036772</v>
      </c>
      <c r="CS18" s="214">
        <f t="shared" si="38"/>
        <v>3199251.4647036772</v>
      </c>
      <c r="CT18" s="214">
        <f t="shared" si="38"/>
        <v>3199251.4647036772</v>
      </c>
      <c r="CU18" s="214">
        <f t="shared" si="38"/>
        <v>3199251.4647036772</v>
      </c>
      <c r="CV18" s="214">
        <f t="shared" si="38"/>
        <v>3199251.4647036772</v>
      </c>
      <c r="CW18" s="214">
        <f t="shared" si="38"/>
        <v>3199251.4647036772</v>
      </c>
      <c r="CX18" s="214">
        <f t="shared" si="38"/>
        <v>3199251.4647036772</v>
      </c>
      <c r="CY18" s="214">
        <f t="shared" si="38"/>
        <v>3199251.4647036772</v>
      </c>
      <c r="CZ18" s="214">
        <f t="shared" si="38"/>
        <v>3199251.4647036772</v>
      </c>
      <c r="DA18" s="214">
        <f t="shared" si="38"/>
        <v>3199251.4647036772</v>
      </c>
      <c r="DB18" s="214">
        <f t="shared" si="38"/>
        <v>3199251.4647036772</v>
      </c>
      <c r="DC18" s="214">
        <f t="shared" si="38"/>
        <v>3199251.4647036772</v>
      </c>
      <c r="DD18" s="214">
        <f t="shared" si="38"/>
        <v>3199251.4647036772</v>
      </c>
      <c r="DE18" s="214">
        <f t="shared" si="38"/>
        <v>3199251.4647036772</v>
      </c>
      <c r="DF18" s="214">
        <f t="shared" si="38"/>
        <v>3199251.4647036772</v>
      </c>
      <c r="DG18" s="214">
        <f t="shared" si="38"/>
        <v>3199251.4647036772</v>
      </c>
      <c r="DH18" s="214">
        <f t="shared" si="38"/>
        <v>3199251.4647036772</v>
      </c>
      <c r="DI18" s="214">
        <f t="shared" si="38"/>
        <v>3199251.4647036772</v>
      </c>
      <c r="DJ18" s="214">
        <f t="shared" si="38"/>
        <v>3199251.4647036772</v>
      </c>
      <c r="DK18" s="214">
        <f t="shared" si="38"/>
        <v>3199251.4647036772</v>
      </c>
      <c r="DL18" s="214">
        <f t="shared" si="38"/>
        <v>3199251.4647036772</v>
      </c>
      <c r="DM18" s="214">
        <f t="shared" si="38"/>
        <v>3199251.4647036772</v>
      </c>
      <c r="DN18" s="214">
        <f t="shared" si="38"/>
        <v>3199251.4647036772</v>
      </c>
      <c r="DO18" s="214">
        <f t="shared" si="38"/>
        <v>3199251.4647036772</v>
      </c>
      <c r="DP18" s="214">
        <f t="shared" si="38"/>
        <v>3199251.4647036772</v>
      </c>
      <c r="DQ18" s="214">
        <f t="shared" si="38"/>
        <v>3199251.4647036772</v>
      </c>
      <c r="DR18" s="214">
        <f t="shared" si="38"/>
        <v>3199251.4647036772</v>
      </c>
      <c r="DS18" s="214">
        <f t="shared" si="38"/>
        <v>3199251.4647036772</v>
      </c>
      <c r="DT18" s="214">
        <f t="shared" si="38"/>
        <v>3199251.4647036772</v>
      </c>
      <c r="DU18" s="214">
        <f t="shared" si="38"/>
        <v>3199251.4647036772</v>
      </c>
      <c r="DV18" s="214">
        <f t="shared" si="38"/>
        <v>3199251.4647036772</v>
      </c>
      <c r="DW18" s="214">
        <f t="shared" si="38"/>
        <v>3199251.4647036772</v>
      </c>
      <c r="DX18" s="214">
        <f t="shared" si="38"/>
        <v>3199251.4647036772</v>
      </c>
      <c r="DY18" s="214">
        <f t="shared" si="38"/>
        <v>3199251.4647036772</v>
      </c>
      <c r="DZ18" s="214">
        <f t="shared" si="38"/>
        <v>3199251.4647036772</v>
      </c>
      <c r="EA18" s="214">
        <f t="shared" si="38"/>
        <v>3199251.4647036772</v>
      </c>
      <c r="EB18" s="214">
        <f t="shared" si="38"/>
        <v>3199251.4647036772</v>
      </c>
      <c r="EC18" s="214">
        <f t="shared" si="38"/>
        <v>3199251.4647036772</v>
      </c>
      <c r="ED18" s="214">
        <f t="shared" si="38"/>
        <v>3199251.4647036772</v>
      </c>
      <c r="EE18" s="214">
        <f t="shared" si="38"/>
        <v>3199251.4647036772</v>
      </c>
      <c r="EF18" s="214">
        <f t="shared" si="38"/>
        <v>3199251.4647036772</v>
      </c>
      <c r="EG18" s="214">
        <f t="shared" ref="EG18:GR18" si="39">EF18+EG17</f>
        <v>3199251.4647036772</v>
      </c>
      <c r="EH18" s="214">
        <f t="shared" si="39"/>
        <v>3199251.4647036772</v>
      </c>
      <c r="EI18" s="214">
        <f t="shared" si="39"/>
        <v>3199251.4647036772</v>
      </c>
      <c r="EJ18" s="214">
        <f t="shared" si="39"/>
        <v>3199251.4647036772</v>
      </c>
      <c r="EK18" s="214">
        <f t="shared" si="39"/>
        <v>3199251.4647036772</v>
      </c>
      <c r="EL18" s="214">
        <f t="shared" si="39"/>
        <v>3199251.4647036772</v>
      </c>
      <c r="EM18" s="214">
        <f t="shared" si="39"/>
        <v>3199251.4647036772</v>
      </c>
      <c r="EN18" s="214">
        <f t="shared" si="39"/>
        <v>3199251.4647036772</v>
      </c>
      <c r="EO18" s="214">
        <f t="shared" si="39"/>
        <v>3199251.4647036772</v>
      </c>
      <c r="EP18" s="214">
        <f t="shared" si="39"/>
        <v>3199251.4647036772</v>
      </c>
      <c r="EQ18" s="214">
        <f t="shared" si="39"/>
        <v>3199251.4647036772</v>
      </c>
      <c r="ER18" s="214">
        <f t="shared" si="39"/>
        <v>3199251.4647036772</v>
      </c>
      <c r="ES18" s="214">
        <f t="shared" si="39"/>
        <v>3199251.4647036772</v>
      </c>
      <c r="ET18" s="214">
        <f t="shared" si="39"/>
        <v>3199251.4647036772</v>
      </c>
      <c r="EU18" s="214">
        <f t="shared" si="39"/>
        <v>3199251.4647036772</v>
      </c>
      <c r="EV18" s="214">
        <f t="shared" si="39"/>
        <v>3199251.4647036772</v>
      </c>
      <c r="EW18" s="214">
        <f t="shared" si="39"/>
        <v>3199251.4647036772</v>
      </c>
      <c r="EX18" s="214">
        <f t="shared" si="39"/>
        <v>3199251.4647036772</v>
      </c>
      <c r="EY18" s="214">
        <f t="shared" si="39"/>
        <v>3199251.4647036772</v>
      </c>
      <c r="EZ18" s="214">
        <f t="shared" si="39"/>
        <v>3199251.4647036772</v>
      </c>
      <c r="FA18" s="214">
        <f t="shared" si="39"/>
        <v>3199251.4647036772</v>
      </c>
      <c r="FB18" s="214">
        <f t="shared" si="39"/>
        <v>3199251.4647036772</v>
      </c>
      <c r="FC18" s="214">
        <f t="shared" si="39"/>
        <v>3199251.4647036772</v>
      </c>
      <c r="FD18" s="214">
        <f t="shared" si="39"/>
        <v>3199251.4647036772</v>
      </c>
      <c r="FE18" s="214">
        <f t="shared" si="39"/>
        <v>3199251.4647036772</v>
      </c>
      <c r="FF18" s="214">
        <f t="shared" si="39"/>
        <v>3199251.4647036772</v>
      </c>
      <c r="FG18" s="214">
        <f t="shared" si="39"/>
        <v>3199251.4647036772</v>
      </c>
      <c r="FH18" s="214">
        <f t="shared" si="39"/>
        <v>3199251.4647036772</v>
      </c>
      <c r="FI18" s="214">
        <f t="shared" si="39"/>
        <v>3199251.4647036772</v>
      </c>
      <c r="FJ18" s="214">
        <f t="shared" si="39"/>
        <v>3199251.4647036772</v>
      </c>
      <c r="FK18" s="214">
        <f t="shared" si="39"/>
        <v>3199251.4647036772</v>
      </c>
      <c r="FL18" s="214">
        <f t="shared" si="39"/>
        <v>3199251.4647036772</v>
      </c>
      <c r="FM18" s="214">
        <f t="shared" si="39"/>
        <v>3199251.4647036772</v>
      </c>
      <c r="FN18" s="214">
        <f t="shared" si="39"/>
        <v>3199251.4647036772</v>
      </c>
      <c r="FO18" s="214">
        <f t="shared" si="39"/>
        <v>3199251.4647036772</v>
      </c>
      <c r="FP18" s="214">
        <f t="shared" si="39"/>
        <v>3199251.4647036772</v>
      </c>
      <c r="FQ18" s="214">
        <f t="shared" si="39"/>
        <v>3199251.4647036772</v>
      </c>
      <c r="FR18" s="214">
        <f t="shared" si="39"/>
        <v>3199251.4647036772</v>
      </c>
      <c r="FS18" s="214">
        <f t="shared" si="39"/>
        <v>3199251.4647036772</v>
      </c>
      <c r="FT18" s="214">
        <f t="shared" si="39"/>
        <v>3199251.4647036772</v>
      </c>
      <c r="FU18" s="214">
        <f t="shared" si="39"/>
        <v>3199251.4647036772</v>
      </c>
      <c r="FV18" s="214">
        <f t="shared" si="39"/>
        <v>3199251.4647036772</v>
      </c>
      <c r="FW18" s="214">
        <f t="shared" si="39"/>
        <v>3199251.4647036772</v>
      </c>
      <c r="FX18" s="214">
        <f t="shared" si="39"/>
        <v>3199251.4647036772</v>
      </c>
      <c r="FY18" s="214">
        <f t="shared" si="39"/>
        <v>3199251.4647036772</v>
      </c>
      <c r="FZ18" s="214">
        <f t="shared" si="39"/>
        <v>3199251.4647036772</v>
      </c>
      <c r="GA18" s="214">
        <f t="shared" si="39"/>
        <v>3199251.4647036772</v>
      </c>
      <c r="GB18" s="214">
        <f t="shared" si="39"/>
        <v>3199251.4647036772</v>
      </c>
      <c r="GC18" s="214">
        <f t="shared" si="39"/>
        <v>3199251.4647036772</v>
      </c>
      <c r="GD18" s="214">
        <f t="shared" si="39"/>
        <v>3199251.4647036772</v>
      </c>
      <c r="GE18" s="214">
        <f t="shared" si="39"/>
        <v>3199251.4647036772</v>
      </c>
      <c r="GF18" s="214">
        <f t="shared" si="39"/>
        <v>3199251.4647036772</v>
      </c>
      <c r="GG18" s="214">
        <f t="shared" si="39"/>
        <v>3199251.4647036772</v>
      </c>
      <c r="GH18" s="214">
        <f t="shared" si="39"/>
        <v>3199251.4647036772</v>
      </c>
      <c r="GI18" s="214">
        <f t="shared" si="39"/>
        <v>3199251.4647036772</v>
      </c>
      <c r="GJ18" s="214">
        <f t="shared" si="39"/>
        <v>3199251.4647036772</v>
      </c>
      <c r="GK18" s="214">
        <f t="shared" si="39"/>
        <v>3199251.4647036772</v>
      </c>
      <c r="GL18" s="214">
        <f t="shared" si="39"/>
        <v>3199251.4647036772</v>
      </c>
      <c r="GM18" s="214">
        <f t="shared" si="39"/>
        <v>3199251.4647036772</v>
      </c>
      <c r="GN18" s="214">
        <f t="shared" si="39"/>
        <v>3199251.4647036772</v>
      </c>
      <c r="GO18" s="214">
        <f t="shared" si="39"/>
        <v>3199251.4647036772</v>
      </c>
      <c r="GP18" s="214">
        <f t="shared" si="39"/>
        <v>3199251.4647036772</v>
      </c>
      <c r="GQ18" s="214">
        <f t="shared" si="39"/>
        <v>3199251.4647036772</v>
      </c>
      <c r="GR18" s="214">
        <f t="shared" si="39"/>
        <v>3199251.4647036772</v>
      </c>
      <c r="GS18" s="214">
        <f t="shared" ref="GS18:JD18" si="40">GR18+GS17</f>
        <v>3199251.4647036772</v>
      </c>
      <c r="GT18" s="214">
        <f t="shared" si="40"/>
        <v>3199251.4647036772</v>
      </c>
      <c r="GU18" s="214">
        <f t="shared" si="40"/>
        <v>3199251.4647036772</v>
      </c>
      <c r="GV18" s="214">
        <f t="shared" si="40"/>
        <v>3199251.4647036772</v>
      </c>
      <c r="GW18" s="214">
        <f t="shared" si="40"/>
        <v>3199251.4647036772</v>
      </c>
      <c r="GX18" s="214">
        <f t="shared" si="40"/>
        <v>3199251.4647036772</v>
      </c>
      <c r="GY18" s="214">
        <f t="shared" si="40"/>
        <v>3199251.4647036772</v>
      </c>
      <c r="GZ18" s="214">
        <f t="shared" si="40"/>
        <v>3199251.4647036772</v>
      </c>
      <c r="HA18" s="214">
        <f t="shared" si="40"/>
        <v>3199251.4647036772</v>
      </c>
      <c r="HB18" s="214">
        <f t="shared" si="40"/>
        <v>3199251.4647036772</v>
      </c>
      <c r="HC18" s="214">
        <f t="shared" si="40"/>
        <v>3199251.4647036772</v>
      </c>
      <c r="HD18" s="214">
        <f t="shared" si="40"/>
        <v>3199251.4647036772</v>
      </c>
      <c r="HE18" s="214">
        <f t="shared" si="40"/>
        <v>3199251.4647036772</v>
      </c>
      <c r="HF18" s="214">
        <f t="shared" si="40"/>
        <v>3199251.4647036772</v>
      </c>
      <c r="HG18" s="214">
        <f t="shared" si="40"/>
        <v>3199251.4647036772</v>
      </c>
      <c r="HH18" s="214">
        <f t="shared" si="40"/>
        <v>3199251.4647036772</v>
      </c>
      <c r="HI18" s="214">
        <f t="shared" si="40"/>
        <v>3199251.4647036772</v>
      </c>
      <c r="HJ18" s="214">
        <f t="shared" si="40"/>
        <v>3199251.4647036772</v>
      </c>
      <c r="HK18" s="214">
        <f t="shared" si="40"/>
        <v>3199251.4647036772</v>
      </c>
      <c r="HL18" s="214">
        <f t="shared" si="40"/>
        <v>3199251.4647036772</v>
      </c>
      <c r="HM18" s="214">
        <f t="shared" si="40"/>
        <v>3199251.4647036772</v>
      </c>
      <c r="HN18" s="214">
        <f t="shared" si="40"/>
        <v>3199251.4647036772</v>
      </c>
      <c r="HO18" s="214">
        <f t="shared" si="40"/>
        <v>3199251.4647036772</v>
      </c>
      <c r="HP18" s="214">
        <f t="shared" si="40"/>
        <v>3199251.4647036772</v>
      </c>
      <c r="HQ18" s="214">
        <f t="shared" si="40"/>
        <v>3199251.4647036772</v>
      </c>
      <c r="HR18" s="214">
        <f t="shared" si="40"/>
        <v>3199251.4647036772</v>
      </c>
      <c r="HS18" s="214">
        <f t="shared" si="40"/>
        <v>3199251.4647036772</v>
      </c>
      <c r="HT18" s="214">
        <f t="shared" si="40"/>
        <v>3199251.4647036772</v>
      </c>
      <c r="HU18" s="214">
        <f t="shared" si="40"/>
        <v>3199251.4647036772</v>
      </c>
      <c r="HV18" s="214">
        <f t="shared" si="40"/>
        <v>3199251.4647036772</v>
      </c>
      <c r="HW18" s="214">
        <f t="shared" si="40"/>
        <v>3199251.4647036772</v>
      </c>
      <c r="HX18" s="214">
        <f t="shared" si="40"/>
        <v>3199251.4647036772</v>
      </c>
      <c r="HY18" s="214">
        <f t="shared" si="40"/>
        <v>3199251.4647036772</v>
      </c>
      <c r="HZ18" s="214">
        <f t="shared" si="40"/>
        <v>3199251.4647036772</v>
      </c>
      <c r="IA18" s="214">
        <f t="shared" si="40"/>
        <v>3199251.4647036772</v>
      </c>
      <c r="IB18" s="214">
        <f t="shared" si="40"/>
        <v>3199251.4647036772</v>
      </c>
      <c r="IC18" s="214">
        <f t="shared" si="40"/>
        <v>3199251.4647036772</v>
      </c>
      <c r="ID18" s="214">
        <f t="shared" si="40"/>
        <v>3199251.4647036772</v>
      </c>
      <c r="IE18" s="214">
        <f t="shared" si="40"/>
        <v>3199251.4647036772</v>
      </c>
      <c r="IF18" s="214">
        <f t="shared" si="40"/>
        <v>3199251.4647036772</v>
      </c>
      <c r="IG18" s="214">
        <f t="shared" si="40"/>
        <v>3199251.4647036772</v>
      </c>
      <c r="IH18" s="214">
        <f t="shared" si="40"/>
        <v>3199251.4647036772</v>
      </c>
      <c r="II18" s="214">
        <f t="shared" si="40"/>
        <v>3199251.4647036772</v>
      </c>
      <c r="IJ18" s="214">
        <f t="shared" si="40"/>
        <v>3199251.4647036772</v>
      </c>
      <c r="IK18" s="214">
        <f t="shared" si="40"/>
        <v>3199251.4647036772</v>
      </c>
      <c r="IL18" s="214">
        <f t="shared" si="40"/>
        <v>3199251.4647036772</v>
      </c>
      <c r="IM18" s="214">
        <f t="shared" si="40"/>
        <v>3199251.4647036772</v>
      </c>
      <c r="IN18" s="214">
        <f t="shared" si="40"/>
        <v>3199251.4647036772</v>
      </c>
      <c r="IO18" s="214">
        <f t="shared" si="40"/>
        <v>3199251.4647036772</v>
      </c>
      <c r="IP18" s="214">
        <f t="shared" si="40"/>
        <v>3199251.4647036772</v>
      </c>
      <c r="IQ18" s="214">
        <f t="shared" si="40"/>
        <v>3199251.4647036772</v>
      </c>
      <c r="IR18" s="214">
        <f t="shared" si="40"/>
        <v>3199251.4647036772</v>
      </c>
      <c r="IS18" s="214">
        <f t="shared" si="40"/>
        <v>3199251.4647036772</v>
      </c>
      <c r="IT18" s="214">
        <f t="shared" si="40"/>
        <v>3199251.4647036772</v>
      </c>
      <c r="IU18" s="214">
        <f t="shared" si="40"/>
        <v>3199251.4647036772</v>
      </c>
      <c r="IV18" s="214">
        <f t="shared" si="40"/>
        <v>3199251.4647036772</v>
      </c>
      <c r="IW18" s="214">
        <f t="shared" si="40"/>
        <v>3199251.4647036772</v>
      </c>
      <c r="IX18" s="214">
        <f t="shared" si="40"/>
        <v>3199251.4647036772</v>
      </c>
      <c r="IY18" s="214">
        <f t="shared" si="40"/>
        <v>3199251.4647036772</v>
      </c>
      <c r="IZ18" s="214">
        <f t="shared" si="40"/>
        <v>3199251.4647036772</v>
      </c>
      <c r="JA18" s="214">
        <f t="shared" si="40"/>
        <v>3199251.4647036772</v>
      </c>
      <c r="JB18" s="214">
        <f t="shared" si="40"/>
        <v>3199251.4647036772</v>
      </c>
      <c r="JC18" s="214">
        <f t="shared" si="40"/>
        <v>3199251.4647036772</v>
      </c>
      <c r="JD18" s="214">
        <f t="shared" si="40"/>
        <v>3199251.4647036772</v>
      </c>
      <c r="JE18" s="214">
        <f t="shared" ref="JE18:LD18" si="41">JD18+JE17</f>
        <v>3199251.4647036772</v>
      </c>
      <c r="JF18" s="214">
        <f t="shared" si="41"/>
        <v>3199251.4647036772</v>
      </c>
      <c r="JG18" s="214">
        <f t="shared" si="41"/>
        <v>3199251.4647036772</v>
      </c>
      <c r="JH18" s="214">
        <f t="shared" si="41"/>
        <v>3199251.4647036772</v>
      </c>
      <c r="JI18" s="214">
        <f t="shared" si="41"/>
        <v>3199251.4647036772</v>
      </c>
      <c r="JJ18" s="214">
        <f t="shared" si="41"/>
        <v>3199251.4647036772</v>
      </c>
      <c r="JK18" s="214">
        <f t="shared" si="41"/>
        <v>3199251.4647036772</v>
      </c>
      <c r="JL18" s="214">
        <f t="shared" si="41"/>
        <v>3199251.4647036772</v>
      </c>
      <c r="JM18" s="214">
        <f t="shared" si="41"/>
        <v>3199251.4647036772</v>
      </c>
      <c r="JN18" s="214">
        <f t="shared" si="41"/>
        <v>3199251.4647036772</v>
      </c>
      <c r="JO18" s="214">
        <f t="shared" si="41"/>
        <v>3199251.4647036772</v>
      </c>
      <c r="JP18" s="214">
        <f t="shared" si="41"/>
        <v>3199251.4647036772</v>
      </c>
      <c r="JQ18" s="214">
        <f t="shared" si="41"/>
        <v>3199251.4647036772</v>
      </c>
      <c r="JR18" s="214">
        <f t="shared" si="41"/>
        <v>3199251.4647036772</v>
      </c>
      <c r="JS18" s="214">
        <f t="shared" si="41"/>
        <v>3199251.4647036772</v>
      </c>
      <c r="JT18" s="214">
        <f t="shared" si="41"/>
        <v>3199251.4647036772</v>
      </c>
      <c r="JU18" s="214">
        <f t="shared" si="41"/>
        <v>3199251.4647036772</v>
      </c>
      <c r="JV18" s="214">
        <f t="shared" si="41"/>
        <v>3199251.4647036772</v>
      </c>
      <c r="JW18" s="214">
        <f t="shared" si="41"/>
        <v>3199251.4647036772</v>
      </c>
      <c r="JX18" s="214">
        <f t="shared" si="41"/>
        <v>3199251.4647036772</v>
      </c>
      <c r="JY18" s="214">
        <f t="shared" si="41"/>
        <v>3199251.4647036772</v>
      </c>
      <c r="JZ18" s="214">
        <f t="shared" si="41"/>
        <v>3199251.4647036772</v>
      </c>
      <c r="KA18" s="214">
        <f t="shared" si="41"/>
        <v>3199251.4647036772</v>
      </c>
      <c r="KB18" s="214">
        <f t="shared" si="41"/>
        <v>3199251.4647036772</v>
      </c>
      <c r="KC18" s="214">
        <f t="shared" si="41"/>
        <v>3199251.4647036772</v>
      </c>
      <c r="KD18" s="214">
        <f t="shared" si="41"/>
        <v>3199251.4647036772</v>
      </c>
      <c r="KE18" s="214">
        <f t="shared" si="41"/>
        <v>3199251.4647036772</v>
      </c>
      <c r="KF18" s="214">
        <f t="shared" si="41"/>
        <v>3199251.4647036772</v>
      </c>
      <c r="KG18" s="214">
        <f t="shared" si="41"/>
        <v>3199251.4647036772</v>
      </c>
      <c r="KH18" s="214">
        <f t="shared" si="41"/>
        <v>3199251.4647036772</v>
      </c>
      <c r="KI18" s="214">
        <f t="shared" si="41"/>
        <v>3199251.4647036772</v>
      </c>
      <c r="KJ18" s="214">
        <f t="shared" si="41"/>
        <v>3199251.4647036772</v>
      </c>
      <c r="KK18" s="214">
        <f t="shared" si="41"/>
        <v>3199251.4647036772</v>
      </c>
      <c r="KL18" s="214">
        <f t="shared" si="41"/>
        <v>3199251.4647036772</v>
      </c>
      <c r="KM18" s="214">
        <f t="shared" si="41"/>
        <v>3199251.4647036772</v>
      </c>
      <c r="KN18" s="214">
        <f t="shared" si="41"/>
        <v>3199251.4647036772</v>
      </c>
      <c r="KO18" s="214">
        <f t="shared" si="41"/>
        <v>3199251.4647036772</v>
      </c>
      <c r="KP18" s="214">
        <f t="shared" si="41"/>
        <v>3199251.4647036772</v>
      </c>
      <c r="KQ18" s="214">
        <f t="shared" si="41"/>
        <v>3199251.4647036772</v>
      </c>
      <c r="KR18" s="214">
        <f t="shared" si="41"/>
        <v>3199251.4647036772</v>
      </c>
      <c r="KS18" s="214">
        <f t="shared" si="41"/>
        <v>3199251.4647036772</v>
      </c>
      <c r="KT18" s="214">
        <f t="shared" si="41"/>
        <v>3199251.4647036772</v>
      </c>
      <c r="KU18" s="214">
        <f t="shared" si="41"/>
        <v>3199251.4647036772</v>
      </c>
      <c r="KV18" s="214">
        <f t="shared" si="41"/>
        <v>3199251.4647036772</v>
      </c>
      <c r="KW18" s="214">
        <f t="shared" si="41"/>
        <v>3199251.4647036772</v>
      </c>
      <c r="KX18" s="214">
        <f t="shared" si="41"/>
        <v>3199251.4647036772</v>
      </c>
      <c r="KY18" s="214">
        <f t="shared" si="41"/>
        <v>3199251.4647036772</v>
      </c>
      <c r="KZ18" s="214">
        <f t="shared" si="41"/>
        <v>3199251.4647036772</v>
      </c>
      <c r="LA18" s="214">
        <f t="shared" si="41"/>
        <v>3199251.4647036772</v>
      </c>
      <c r="LB18" s="214">
        <f t="shared" si="41"/>
        <v>3199251.4647036772</v>
      </c>
      <c r="LC18" s="214">
        <f t="shared" si="41"/>
        <v>3199251.4647036772</v>
      </c>
      <c r="LD18" s="214">
        <f t="shared" si="41"/>
        <v>3199251.4647036772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M21" sqref="M21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5" width="10.5703125" style="366" bestFit="1" customWidth="1"/>
    <col min="6" max="6" width="12" style="366" bestFit="1" customWidth="1"/>
    <col min="7" max="7" width="14.85546875" style="366" bestFit="1" customWidth="1"/>
    <col min="8" max="9" width="13.28515625" style="366" bestFit="1" customWidth="1"/>
    <col min="10" max="10" width="12" style="366" bestFit="1" customWidth="1"/>
    <col min="11" max="11" width="11.7109375" style="366" bestFit="1" customWidth="1"/>
    <col min="12" max="12" width="4.85546875" style="366" bestFit="1" customWidth="1"/>
    <col min="13" max="13" width="12" style="366" bestFit="1" customWidth="1"/>
    <col min="14" max="14" width="14.85546875" style="366" bestFit="1" customWidth="1"/>
    <col min="15" max="15" width="14.570312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399</v>
      </c>
      <c r="B3" s="447" t="s">
        <v>400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401</v>
      </c>
      <c r="B4" t="s">
        <v>402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403</v>
      </c>
      <c r="O4"/>
      <c r="P4"/>
      <c r="Q4"/>
      <c r="R4"/>
      <c r="S4"/>
      <c r="T4"/>
    </row>
    <row r="5" spans="1:20">
      <c r="A5" s="448" t="s">
        <v>402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/>
      <c r="N6" s="371">
        <v>1219394.6470588236</v>
      </c>
      <c r="O6"/>
      <c r="P6"/>
      <c r="Q6"/>
      <c r="R6"/>
      <c r="S6"/>
      <c r="T6"/>
    </row>
    <row r="7" spans="1:20">
      <c r="A7" s="448" t="s">
        <v>257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279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296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>
        <v>0</v>
      </c>
      <c r="N10" s="371">
        <v>204705.88349177258</v>
      </c>
      <c r="O10"/>
      <c r="P10"/>
      <c r="Q10"/>
      <c r="R10"/>
      <c r="S10"/>
      <c r="T10"/>
    </row>
    <row r="11" spans="1:20">
      <c r="A11" s="448" t="s">
        <v>314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321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328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337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341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83969.19973981037</v>
      </c>
      <c r="N15" s="371">
        <v>129770.58382285536</v>
      </c>
      <c r="O15"/>
      <c r="P15"/>
      <c r="Q15"/>
      <c r="R15"/>
      <c r="S15"/>
      <c r="T15"/>
    </row>
    <row r="16" spans="1:20">
      <c r="A16" s="448" t="s">
        <v>352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361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348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319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403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83969.19973981037</v>
      </c>
      <c r="N21" s="371">
        <v>3199251.4647036768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703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703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5" width="10.5703125" style="408" bestFit="1" customWidth="1"/>
    <col min="6" max="6" width="12" style="408" bestFit="1" customWidth="1"/>
    <col min="7" max="7" width="14.85546875" style="408" bestFit="1" customWidth="1"/>
    <col min="8" max="9" width="13.28515625" style="408" bestFit="1" customWidth="1"/>
    <col min="10" max="10" width="12" bestFit="1" customWidth="1"/>
    <col min="11" max="11" width="11.7109375" bestFit="1" customWidth="1"/>
    <col min="12" max="12" width="4.85546875" bestFit="1" customWidth="1"/>
    <col min="13" max="13" width="12" bestFit="1" customWidth="1"/>
    <col min="14" max="14" width="14.85546875" bestFit="1" customWidth="1"/>
    <col min="15" max="16" width="13.5703125" bestFit="1" customWidth="1"/>
    <col min="17" max="18" width="11.5703125" bestFit="1" customWidth="1"/>
    <col min="19" max="19" width="13.42578125" bestFit="1" customWidth="1"/>
  </cols>
  <sheetData>
    <row r="3" spans="1:16">
      <c r="A3" s="447" t="s">
        <v>404</v>
      </c>
      <c r="B3" s="447" t="s">
        <v>400</v>
      </c>
      <c r="C3"/>
      <c r="D3"/>
      <c r="E3"/>
      <c r="F3"/>
      <c r="G3"/>
      <c r="H3"/>
      <c r="I3"/>
    </row>
    <row r="4" spans="1:16">
      <c r="A4" s="447" t="s">
        <v>401</v>
      </c>
      <c r="B4" t="s">
        <v>402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403</v>
      </c>
    </row>
    <row r="5" spans="1:16">
      <c r="A5" s="448" t="s">
        <v>402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242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257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269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279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296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>
        <v>975</v>
      </c>
      <c r="N10" s="450">
        <v>128277.95999999999</v>
      </c>
    </row>
    <row r="11" spans="1:16">
      <c r="A11" s="448" t="s">
        <v>314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321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328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337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341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20180</v>
      </c>
      <c r="N15" s="450">
        <v>26180</v>
      </c>
    </row>
    <row r="16" spans="1:16">
      <c r="A16" s="448" t="s">
        <v>352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361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365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348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319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403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21155</v>
      </c>
      <c r="N21" s="450">
        <v>2274921.4775000005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801" t="s">
        <v>405</v>
      </c>
      <c r="C2" s="801"/>
      <c r="D2" s="801"/>
      <c r="E2" s="801"/>
      <c r="H2" s="802" t="s">
        <v>406</v>
      </c>
      <c r="I2" s="803"/>
      <c r="J2" s="803"/>
      <c r="K2" s="803"/>
      <c r="L2" s="803"/>
      <c r="M2" s="803"/>
      <c r="N2" s="803"/>
      <c r="O2" s="804"/>
    </row>
    <row r="3" spans="2:15">
      <c r="B3" s="682"/>
      <c r="H3" s="805"/>
      <c r="I3" s="806"/>
      <c r="J3" s="806"/>
      <c r="K3" s="806"/>
      <c r="L3" s="806"/>
      <c r="M3" s="806"/>
      <c r="N3" s="806"/>
      <c r="O3" s="807"/>
    </row>
    <row r="4" spans="2:15">
      <c r="B4" s="683" t="s">
        <v>407</v>
      </c>
      <c r="C4" s="684" t="str">
        <f>'Project Plan'!E2</f>
        <v>Milkwood Square</v>
      </c>
      <c r="H4" s="805"/>
      <c r="I4" s="806"/>
      <c r="J4" s="806"/>
      <c r="K4" s="806"/>
      <c r="L4" s="806"/>
      <c r="M4" s="806"/>
      <c r="N4" s="806"/>
      <c r="O4" s="807"/>
    </row>
    <row r="5" spans="2:15">
      <c r="B5" s="683" t="s">
        <v>408</v>
      </c>
      <c r="C5" s="684" t="s">
        <v>409</v>
      </c>
      <c r="H5" s="805"/>
      <c r="I5" s="806"/>
      <c r="J5" s="806"/>
      <c r="K5" s="806"/>
      <c r="L5" s="806"/>
      <c r="M5" s="806"/>
      <c r="N5" s="806"/>
      <c r="O5" s="807"/>
    </row>
    <row r="6" spans="2:15">
      <c r="B6" s="683" t="s">
        <v>410</v>
      </c>
      <c r="C6" s="684" t="s">
        <v>411</v>
      </c>
      <c r="H6" s="805"/>
      <c r="I6" s="806"/>
      <c r="J6" s="806"/>
      <c r="K6" s="806"/>
      <c r="L6" s="806"/>
      <c r="M6" s="806"/>
      <c r="N6" s="806"/>
      <c r="O6" s="807"/>
    </row>
    <row r="7" spans="2:15">
      <c r="B7" s="683" t="s">
        <v>412</v>
      </c>
      <c r="C7" s="684" t="s">
        <v>413</v>
      </c>
      <c r="H7" s="805"/>
      <c r="I7" s="806"/>
      <c r="J7" s="806"/>
      <c r="K7" s="806"/>
      <c r="L7" s="806"/>
      <c r="M7" s="806"/>
      <c r="N7" s="806"/>
      <c r="O7" s="807"/>
    </row>
    <row r="8" spans="2:15">
      <c r="B8" s="682"/>
      <c r="H8" s="805"/>
      <c r="I8" s="806"/>
      <c r="J8" s="806"/>
      <c r="K8" s="806"/>
      <c r="L8" s="806"/>
      <c r="M8" s="806"/>
      <c r="N8" s="806"/>
      <c r="O8" s="807"/>
    </row>
    <row r="9" spans="2:15">
      <c r="B9" s="811" t="s">
        <v>414</v>
      </c>
      <c r="C9" s="811"/>
      <c r="D9" s="811"/>
      <c r="E9" s="81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5"/>
      <c r="I9" s="806"/>
      <c r="J9" s="806"/>
      <c r="K9" s="806"/>
      <c r="L9" s="806"/>
      <c r="M9" s="806"/>
      <c r="N9" s="806"/>
      <c r="O9" s="807"/>
    </row>
    <row r="10" spans="2:15" ht="15" thickBot="1">
      <c r="B10" s="811" t="s">
        <v>415</v>
      </c>
      <c r="C10" s="811"/>
      <c r="D10" s="811"/>
      <c r="E10" s="811"/>
      <c r="H10" s="808"/>
      <c r="I10" s="809"/>
      <c r="J10" s="809"/>
      <c r="K10" s="809"/>
      <c r="L10" s="809"/>
      <c r="M10" s="809"/>
      <c r="N10" s="809"/>
      <c r="O10" s="810"/>
    </row>
    <row r="11" spans="2:15">
      <c r="B11" s="685" t="s">
        <v>416</v>
      </c>
      <c r="C11" s="799" t="s">
        <v>417</v>
      </c>
      <c r="D11" s="799"/>
      <c r="E11" s="799"/>
    </row>
    <row r="12" spans="2:15">
      <c r="B12" s="685" t="s">
        <v>418</v>
      </c>
      <c r="C12" s="799" t="s">
        <v>417</v>
      </c>
      <c r="D12" s="799"/>
      <c r="E12" s="799"/>
    </row>
    <row r="13" spans="2:15">
      <c r="B13" s="685" t="s">
        <v>419</v>
      </c>
      <c r="C13" s="799" t="s">
        <v>417</v>
      </c>
      <c r="D13" s="799"/>
      <c r="E13" s="799"/>
    </row>
    <row r="14" spans="2:15">
      <c r="B14" s="685" t="s">
        <v>420</v>
      </c>
      <c r="C14" s="799" t="s">
        <v>421</v>
      </c>
      <c r="D14" s="799"/>
      <c r="E14" s="799"/>
    </row>
    <row r="15" spans="2:15">
      <c r="B15" s="685" t="s">
        <v>422</v>
      </c>
      <c r="C15" s="799" t="s">
        <v>423</v>
      </c>
      <c r="D15" s="799"/>
      <c r="E15" s="799"/>
    </row>
    <row r="16" spans="2:15" ht="15" customHeight="1">
      <c r="B16" s="685" t="s">
        <v>424</v>
      </c>
      <c r="C16" s="799" t="s">
        <v>425</v>
      </c>
      <c r="D16" s="799"/>
      <c r="E16" s="799"/>
    </row>
    <row r="17" spans="2:5">
      <c r="B17" s="682"/>
    </row>
    <row r="18" spans="2:5">
      <c r="B18" s="800" t="s">
        <v>426</v>
      </c>
      <c r="C18" s="800"/>
      <c r="D18" s="800"/>
      <c r="E18" s="800"/>
    </row>
    <row r="19" spans="2:5">
      <c r="B19" s="685" t="s">
        <v>427</v>
      </c>
      <c r="C19" s="685" t="s">
        <v>428</v>
      </c>
      <c r="D19" s="685" t="s">
        <v>429</v>
      </c>
      <c r="E19" s="685" t="s">
        <v>62</v>
      </c>
    </row>
    <row r="20" spans="2:5" ht="15" customHeight="1">
      <c r="B20" s="685" t="s">
        <v>430</v>
      </c>
      <c r="C20" s="685" t="s">
        <v>431</v>
      </c>
      <c r="D20" s="686" t="s">
        <v>432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433</v>
      </c>
    </row>
    <row r="2" spans="1:4">
      <c r="A2" s="813"/>
      <c r="B2" s="813"/>
      <c r="C2" s="813"/>
      <c r="D2" s="71"/>
    </row>
    <row r="3" spans="1:4">
      <c r="A3" s="812" t="s">
        <v>434</v>
      </c>
      <c r="B3" s="812"/>
      <c r="C3" s="812"/>
      <c r="D3" s="111">
        <v>0.32</v>
      </c>
    </row>
    <row r="4" spans="1:4">
      <c r="A4" s="812" t="s">
        <v>374</v>
      </c>
      <c r="B4" s="812"/>
      <c r="C4" s="812"/>
      <c r="D4" s="111">
        <v>0.5</v>
      </c>
    </row>
    <row r="5" spans="1:4">
      <c r="A5" s="812" t="s">
        <v>385</v>
      </c>
      <c r="B5" s="812"/>
      <c r="C5" s="812"/>
      <c r="D5" s="111">
        <v>0.15</v>
      </c>
    </row>
    <row r="6" spans="1:4">
      <c r="A6" s="812" t="s">
        <v>435</v>
      </c>
      <c r="B6" s="812"/>
      <c r="C6" s="81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14" t="s">
        <v>436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</row>
    <row r="4" spans="2:14" ht="12.95">
      <c r="B4" s="92" t="s">
        <v>437</v>
      </c>
      <c r="C4" s="86"/>
      <c r="D4" s="90" t="s">
        <v>438</v>
      </c>
      <c r="E4" s="95"/>
      <c r="F4" s="90" t="s">
        <v>439</v>
      </c>
      <c r="H4" s="90" t="s">
        <v>440</v>
      </c>
      <c r="I4" s="95"/>
      <c r="J4" s="90" t="s">
        <v>441</v>
      </c>
      <c r="L4" s="90" t="s">
        <v>440</v>
      </c>
      <c r="M4" s="90"/>
      <c r="N4" s="90" t="s">
        <v>442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443</v>
      </c>
      <c r="H7" s="99"/>
      <c r="I7" s="95"/>
      <c r="J7" s="107" t="s">
        <v>443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255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444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445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446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443</v>
      </c>
      <c r="H15" s="99"/>
      <c r="I15" s="95"/>
      <c r="J15" s="107" t="s">
        <v>443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447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443</v>
      </c>
      <c r="H21" s="99"/>
      <c r="I21" s="95"/>
      <c r="J21" s="107" t="s">
        <v>443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280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446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443</v>
      </c>
      <c r="H27" s="99"/>
      <c r="I27" s="95"/>
      <c r="J27" s="107" t="s">
        <v>443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443</v>
      </c>
      <c r="H34" s="99"/>
      <c r="I34" s="95"/>
      <c r="J34" s="107" t="s">
        <v>443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455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14" t="s">
        <v>457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</row>
    <row r="4" spans="2:15" ht="12.95">
      <c r="B4" s="92" t="s">
        <v>437</v>
      </c>
      <c r="C4" s="86"/>
      <c r="D4" s="90" t="s">
        <v>438</v>
      </c>
      <c r="E4" s="95"/>
      <c r="F4" s="95"/>
      <c r="G4" s="90" t="s">
        <v>458</v>
      </c>
      <c r="H4" s="96"/>
      <c r="J4" s="90" t="s">
        <v>440</v>
      </c>
      <c r="L4" s="90" t="s">
        <v>459</v>
      </c>
      <c r="M4" s="96"/>
      <c r="O4" s="90" t="s">
        <v>440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455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437</v>
      </c>
      <c r="C18" s="86"/>
      <c r="D18" s="90" t="s">
        <v>438</v>
      </c>
      <c r="E18" s="95"/>
      <c r="F18" s="95"/>
      <c r="G18" s="90" t="s">
        <v>461</v>
      </c>
      <c r="H18" s="96"/>
      <c r="J18" s="90" t="s">
        <v>440</v>
      </c>
      <c r="L18" s="90" t="s">
        <v>462</v>
      </c>
      <c r="M18" s="96"/>
      <c r="O18" s="90" t="s">
        <v>440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463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464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465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466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455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468</v>
      </c>
      <c r="C32" s="103"/>
      <c r="D32" s="103"/>
    </row>
    <row r="33" spans="2:4" ht="12.95" thickTop="1"/>
    <row r="34" spans="2:4">
      <c r="B34" s="88" t="s">
        <v>438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469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6" t="str">
        <f>D15</f>
        <v>Milkwood Square</v>
      </c>
      <c r="C1" s="816"/>
      <c r="D1" s="816"/>
      <c r="E1" s="815" t="s">
        <v>470</v>
      </c>
      <c r="F1" s="815"/>
      <c r="G1" s="815"/>
      <c r="H1" s="815"/>
      <c r="I1" s="815"/>
      <c r="J1" s="815"/>
      <c r="K1" s="77"/>
      <c r="L1" s="77"/>
      <c r="M1" s="77"/>
      <c r="N1" s="77"/>
    </row>
    <row r="2" spans="2:14" ht="6.75" customHeight="1"/>
    <row r="3" spans="2:14">
      <c r="B3" s="72" t="s">
        <v>471</v>
      </c>
      <c r="C3" s="72" t="s">
        <v>472</v>
      </c>
      <c r="D3" s="72" t="s">
        <v>473</v>
      </c>
      <c r="E3" s="78" t="s">
        <v>474</v>
      </c>
      <c r="F3" s="78" t="s">
        <v>475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0B1C462F-E84C-4FE4-8A40-9B6159DE81DB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2026-02-11T06:23:47Z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