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57" documentId="13_ncr:1_{5A0D7A14-282D-4AF2-8DA2-1EBE1D52B30F}" xr6:coauthVersionLast="47" xr6:coauthVersionMax="47" xr10:uidLastSave="{52A722FA-FE63-4BE0-9798-70D6C6935D88}"/>
  <bookViews>
    <workbookView xWindow="28680" yWindow="-120" windowWidth="29040" windowHeight="15720" tabRatio="700" firstSheet="3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Plan'!$B$59:$G$64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6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2" l="1"/>
  <c r="U23" i="18"/>
  <c r="N40" i="2"/>
  <c r="M33" i="2"/>
  <c r="M40" i="2"/>
  <c r="H6" i="5"/>
  <c r="Q23" i="18"/>
  <c r="W24" i="18"/>
  <c r="W23" i="18"/>
  <c r="O107" i="18"/>
  <c r="T28" i="18"/>
  <c r="T14" i="18"/>
  <c r="AA30" i="18"/>
  <c r="AA29" i="18"/>
  <c r="O58" i="18"/>
  <c r="K18" i="2"/>
  <c r="N18" i="2" s="1"/>
  <c r="K17" i="2"/>
  <c r="N17" i="2"/>
  <c r="K16" i="2"/>
  <c r="N16" i="2" s="1"/>
  <c r="W28" i="18"/>
  <c r="Q80" i="18"/>
  <c r="Q82" i="18"/>
  <c r="W136" i="18"/>
  <c r="W137" i="18"/>
  <c r="W138" i="18"/>
  <c r="P6" i="18"/>
  <c r="Q6" i="18"/>
  <c r="E35" i="2"/>
  <c r="E37" i="2" s="1"/>
  <c r="E26" i="2"/>
  <c r="G26" i="2"/>
  <c r="G23" i="2"/>
  <c r="G22" i="2"/>
  <c r="F22" i="2" s="1"/>
  <c r="E22" i="2"/>
  <c r="E15" i="2"/>
  <c r="G15" i="2"/>
  <c r="G13" i="2"/>
  <c r="E20" i="2"/>
  <c r="G20" i="2"/>
  <c r="G12" i="2"/>
  <c r="K13" i="2"/>
  <c r="I14" i="2"/>
  <c r="K14" i="2" s="1"/>
  <c r="I20" i="2"/>
  <c r="E27" i="2"/>
  <c r="G27" i="2" s="1"/>
  <c r="E14" i="2"/>
  <c r="G14" i="2" s="1"/>
  <c r="G11" i="2" s="1"/>
  <c r="G35" i="2"/>
  <c r="E36" i="2" s="1"/>
  <c r="G36" i="2" s="1"/>
  <c r="Q7" i="18"/>
  <c r="I15" i="2"/>
  <c r="K15" i="2" s="1"/>
  <c r="F13" i="5"/>
  <c r="F14" i="5" s="1"/>
  <c r="E41" i="2"/>
  <c r="G41" i="2" s="1"/>
  <c r="J128" i="18"/>
  <c r="G128" i="18"/>
  <c r="J79" i="18"/>
  <c r="G81" i="18"/>
  <c r="W129" i="18"/>
  <c r="W130" i="18"/>
  <c r="W131" i="18"/>
  <c r="W132" i="18"/>
  <c r="W121" i="18"/>
  <c r="I44" i="18"/>
  <c r="X119" i="18"/>
  <c r="U119" i="18" s="1"/>
  <c r="V119" i="18" s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N12" i="2"/>
  <c r="K20" i="2"/>
  <c r="C4" i="24"/>
  <c r="C7" i="23"/>
  <c r="C4" i="23"/>
  <c r="Q125" i="18"/>
  <c r="N13" i="2"/>
  <c r="W14" i="18"/>
  <c r="W44" i="18"/>
  <c r="K37" i="2"/>
  <c r="K41" i="2"/>
  <c r="N41" i="2" s="1"/>
  <c r="I22" i="2"/>
  <c r="K35" i="2"/>
  <c r="I36" i="2"/>
  <c r="K36" i="2" s="1"/>
  <c r="I38" i="2" s="1"/>
  <c r="K38" i="2" s="1"/>
  <c r="K23" i="2"/>
  <c r="K22" i="2"/>
  <c r="V14" i="2" s="1"/>
  <c r="K26" i="2"/>
  <c r="N26" i="2" s="1"/>
  <c r="H6" i="18"/>
  <c r="M53" i="2"/>
  <c r="M49" i="2"/>
  <c r="M44" i="2"/>
  <c r="M25" i="2"/>
  <c r="K27" i="2"/>
  <c r="N27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U44" i="18" s="1"/>
  <c r="V44" i="18" s="1"/>
  <c r="AP13" i="5"/>
  <c r="G106" i="18"/>
  <c r="Z18" i="18"/>
  <c r="J103" i="18"/>
  <c r="V70" i="18"/>
  <c r="X79" i="18"/>
  <c r="U83" i="18" s="1"/>
  <c r="I125" i="18"/>
  <c r="G135" i="18"/>
  <c r="G105" i="18"/>
  <c r="G104" i="18"/>
  <c r="Z17" i="18"/>
  <c r="G103" i="18"/>
  <c r="Z16" i="18"/>
  <c r="G91" i="18"/>
  <c r="G90" i="18"/>
  <c r="Z14" i="18"/>
  <c r="G52" i="18"/>
  <c r="Z12" i="18"/>
  <c r="G29" i="18"/>
  <c r="Z13" i="18"/>
  <c r="G21" i="18"/>
  <c r="G13" i="18"/>
  <c r="I13" i="18"/>
  <c r="G6" i="18"/>
  <c r="I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0" i="18"/>
  <c r="I70" i="18"/>
  <c r="F15" i="3"/>
  <c r="I79" i="18"/>
  <c r="F16" i="3"/>
  <c r="O1" i="2"/>
  <c r="N1" i="2"/>
  <c r="G25" i="3"/>
  <c r="D4" i="5"/>
  <c r="J4" i="18" s="1"/>
  <c r="E49" i="5"/>
  <c r="E50" i="5"/>
  <c r="E24" i="5"/>
  <c r="I119" i="18"/>
  <c r="Z38" i="18"/>
  <c r="Z39" i="18"/>
  <c r="X21" i="18"/>
  <c r="U24" i="18"/>
  <c r="U49" i="18"/>
  <c r="U50" i="18"/>
  <c r="U48" i="18"/>
  <c r="U47" i="18"/>
  <c r="U46" i="18"/>
  <c r="I135" i="18"/>
  <c r="F22" i="3"/>
  <c r="Q138" i="18"/>
  <c r="K42" i="2"/>
  <c r="I40" i="2"/>
  <c r="U15" i="18"/>
  <c r="Q114" i="18"/>
  <c r="I21" i="18"/>
  <c r="I28" i="18"/>
  <c r="F12" i="3"/>
  <c r="I128" i="18"/>
  <c r="F21" i="3"/>
  <c r="F19" i="3"/>
  <c r="J19" i="3"/>
  <c r="F10" i="3"/>
  <c r="I90" i="18"/>
  <c r="Z15" i="18"/>
  <c r="Z22" i="18"/>
  <c r="Z23" i="18"/>
  <c r="Z24" i="18"/>
  <c r="U13" i="18"/>
  <c r="J2" i="18"/>
  <c r="F20" i="3"/>
  <c r="Q137" i="18"/>
  <c r="Q113" i="18"/>
  <c r="Q136" i="18"/>
  <c r="U14" i="18"/>
  <c r="H10" i="3"/>
  <c r="U17" i="18"/>
  <c r="I52" i="18"/>
  <c r="U16" i="18"/>
  <c r="U19" i="18"/>
  <c r="U18" i="18"/>
  <c r="H20" i="3"/>
  <c r="I103" i="18"/>
  <c r="J23" i="3"/>
  <c r="X6" i="18"/>
  <c r="C3" i="6"/>
  <c r="H15" i="3"/>
  <c r="J15" i="3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H21" i="3" s="1"/>
  <c r="J21" i="3" s="1"/>
  <c r="F13" i="3"/>
  <c r="H11" i="3"/>
  <c r="U121" i="18"/>
  <c r="U123" i="18"/>
  <c r="U122" i="18"/>
  <c r="H13" i="3"/>
  <c r="U25" i="18"/>
  <c r="U21" i="18"/>
  <c r="V13" i="18"/>
  <c r="J20" i="3"/>
  <c r="X135" i="18"/>
  <c r="U141" i="18"/>
  <c r="F17" i="3"/>
  <c r="F14" i="3"/>
  <c r="J10" i="3"/>
  <c r="F11" i="3"/>
  <c r="J11" i="3"/>
  <c r="F18" i="3"/>
  <c r="J13" i="3"/>
  <c r="U11" i="18"/>
  <c r="H9" i="3"/>
  <c r="U7" i="18"/>
  <c r="U8" i="18"/>
  <c r="U9" i="18"/>
  <c r="U10" i="18"/>
  <c r="X52" i="18"/>
  <c r="U63" i="18"/>
  <c r="U6" i="18"/>
  <c r="X90" i="18"/>
  <c r="U92" i="18"/>
  <c r="U131" i="18"/>
  <c r="X28" i="18"/>
  <c r="U38" i="18"/>
  <c r="X103" i="18"/>
  <c r="V21" i="18"/>
  <c r="H22" i="3"/>
  <c r="J22" i="3"/>
  <c r="U139" i="18"/>
  <c r="U144" i="18"/>
  <c r="U145" i="18"/>
  <c r="U142" i="18"/>
  <c r="U146" i="18"/>
  <c r="U143" i="18"/>
  <c r="U137" i="18"/>
  <c r="U140" i="18"/>
  <c r="U136" i="18"/>
  <c r="U42" i="18"/>
  <c r="U64" i="18"/>
  <c r="U68" i="18"/>
  <c r="U138" i="18"/>
  <c r="U98" i="18"/>
  <c r="U34" i="18"/>
  <c r="U61" i="18"/>
  <c r="U33" i="18"/>
  <c r="U95" i="18"/>
  <c r="U94" i="18"/>
  <c r="U97" i="18"/>
  <c r="U65" i="18"/>
  <c r="U93" i="18"/>
  <c r="U96" i="18"/>
  <c r="H18" i="3"/>
  <c r="J18" i="3"/>
  <c r="U104" i="18"/>
  <c r="U116" i="18"/>
  <c r="U103" i="18"/>
  <c r="U106" i="18"/>
  <c r="U105" i="18"/>
  <c r="U115" i="18"/>
  <c r="U113" i="18"/>
  <c r="U114" i="18"/>
  <c r="U109" i="18"/>
  <c r="U110" i="18"/>
  <c r="U111" i="18"/>
  <c r="U108" i="18"/>
  <c r="U112" i="18"/>
  <c r="H14" i="3"/>
  <c r="J14" i="3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/>
  <c r="U40" i="18"/>
  <c r="U41" i="18"/>
  <c r="U29" i="18"/>
  <c r="U36" i="18"/>
  <c r="U60" i="18"/>
  <c r="V6" i="18"/>
  <c r="U39" i="18"/>
  <c r="H17" i="3"/>
  <c r="J17" i="3"/>
  <c r="U99" i="18"/>
  <c r="U100" i="18"/>
  <c r="U101" i="18"/>
  <c r="U90" i="18"/>
  <c r="U62" i="18"/>
  <c r="U37" i="18"/>
  <c r="U35" i="18"/>
  <c r="U59" i="18"/>
  <c r="V135" i="18"/>
  <c r="N20" i="2"/>
  <c r="V52" i="18"/>
  <c r="V103" i="18"/>
  <c r="V28" i="18"/>
  <c r="V90" i="18"/>
  <c r="W59" i="18"/>
  <c r="T59" i="18"/>
  <c r="W108" i="18"/>
  <c r="W33" i="18"/>
  <c r="N23" i="2"/>
  <c r="N22" i="2" s="1"/>
  <c r="H21" i="18"/>
  <c r="H13" i="18"/>
  <c r="T14" i="2"/>
  <c r="T108" i="18"/>
  <c r="T33" i="18"/>
  <c r="T58" i="18"/>
  <c r="T107" i="18"/>
  <c r="N37" i="2"/>
  <c r="N35" i="2"/>
  <c r="T21" i="2"/>
  <c r="T34" i="18"/>
  <c r="T35" i="18"/>
  <c r="T122" i="18"/>
  <c r="T128" i="18"/>
  <c r="T139" i="18"/>
  <c r="H15" i="5" l="1"/>
  <c r="E42" i="2"/>
  <c r="W91" i="18"/>
  <c r="G37" i="2"/>
  <c r="H28" i="18"/>
  <c r="I2" i="18"/>
  <c r="F9" i="3"/>
  <c r="U128" i="18"/>
  <c r="V128" i="18" s="1"/>
  <c r="F6" i="18"/>
  <c r="U132" i="18"/>
  <c r="N15" i="2"/>
  <c r="N14" i="2"/>
  <c r="J22" i="2"/>
  <c r="I28" i="2"/>
  <c r="E11" i="2"/>
  <c r="F11" i="2" s="1"/>
  <c r="E28" i="2"/>
  <c r="G28" i="2" s="1"/>
  <c r="U3" i="5"/>
  <c r="I19" i="2"/>
  <c r="N36" i="2"/>
  <c r="U130" i="18"/>
  <c r="F22" i="5"/>
  <c r="U129" i="18"/>
  <c r="F19" i="5"/>
  <c r="F15" i="5"/>
  <c r="U133" i="18"/>
  <c r="F20" i="5"/>
  <c r="F17" i="5"/>
  <c r="F21" i="5"/>
  <c r="X2" i="18"/>
  <c r="U84" i="18"/>
  <c r="U88" i="18"/>
  <c r="U79" i="18"/>
  <c r="H16" i="3"/>
  <c r="H5" i="3" s="1"/>
  <c r="F5" i="5" s="1"/>
  <c r="U86" i="18"/>
  <c r="U87" i="18"/>
  <c r="J16" i="3"/>
  <c r="U85" i="18"/>
  <c r="V79" i="18" s="1"/>
  <c r="K33" i="2"/>
  <c r="N38" i="2"/>
  <c r="I33" i="2"/>
  <c r="T20" i="2" s="1"/>
  <c r="N42" i="2"/>
  <c r="K40" i="2"/>
  <c r="N33" i="2" l="1"/>
  <c r="E29" i="2"/>
  <c r="H52" i="18"/>
  <c r="H44" i="18" s="1"/>
  <c r="H45" i="18" s="1"/>
  <c r="H46" i="18" s="1"/>
  <c r="J9" i="3"/>
  <c r="F5" i="3"/>
  <c r="D5" i="5" s="1"/>
  <c r="F25" i="3"/>
  <c r="F24" i="5"/>
  <c r="J5" i="3"/>
  <c r="K28" i="2"/>
  <c r="I29" i="2" s="1"/>
  <c r="W58" i="18"/>
  <c r="W107" i="18"/>
  <c r="W32" i="18"/>
  <c r="M22" i="2"/>
  <c r="M9" i="2" s="1"/>
  <c r="U14" i="2"/>
  <c r="G42" i="2"/>
  <c r="E40" i="2"/>
  <c r="I11" i="2"/>
  <c r="T13" i="2" s="1"/>
  <c r="K19" i="2"/>
  <c r="K11" i="2" s="1"/>
  <c r="H25" i="3"/>
  <c r="C11" i="6"/>
  <c r="K30" i="2"/>
  <c r="W94" i="18"/>
  <c r="V20" i="2"/>
  <c r="J33" i="2"/>
  <c r="U20" i="2" s="1"/>
  <c r="J40" i="2"/>
  <c r="U21" i="2" s="1"/>
  <c r="V21" i="2"/>
  <c r="N19" i="2" l="1"/>
  <c r="V13" i="2"/>
  <c r="J11" i="2"/>
  <c r="U13" i="2" s="1"/>
  <c r="K29" i="2"/>
  <c r="N29" i="2" s="1"/>
  <c r="I25" i="2"/>
  <c r="T15" i="2" s="1"/>
  <c r="N28" i="2"/>
  <c r="E38" i="2"/>
  <c r="G40" i="2"/>
  <c r="F40" i="2" s="1"/>
  <c r="F50" i="5"/>
  <c r="F4" i="5"/>
  <c r="C5" i="6"/>
  <c r="V3" i="5"/>
  <c r="D6" i="5"/>
  <c r="K25" i="2"/>
  <c r="V15" i="2" s="1"/>
  <c r="E30" i="2"/>
  <c r="G29" i="2"/>
  <c r="N30" i="2"/>
  <c r="K45" i="2"/>
  <c r="N45" i="2" s="1"/>
  <c r="W61" i="18"/>
  <c r="W110" i="18"/>
  <c r="W35" i="18"/>
  <c r="W93" i="18" l="1"/>
  <c r="W109" i="18" s="1"/>
  <c r="G30" i="2"/>
  <c r="E25" i="2"/>
  <c r="C9" i="6"/>
  <c r="F6" i="5"/>
  <c r="F7" i="5" s="1"/>
  <c r="G38" i="2"/>
  <c r="G33" i="2" s="1"/>
  <c r="E33" i="2"/>
  <c r="G25" i="2"/>
  <c r="G6" i="5"/>
  <c r="D7" i="5"/>
  <c r="F44" i="5"/>
  <c r="F47" i="5"/>
  <c r="F45" i="5"/>
  <c r="F46" i="5"/>
  <c r="F48" i="5"/>
  <c r="J25" i="2"/>
  <c r="U15" i="2" s="1"/>
  <c r="N25" i="2"/>
  <c r="I46" i="2"/>
  <c r="W34" i="18" l="1"/>
  <c r="W60" i="18"/>
  <c r="F49" i="5"/>
  <c r="E45" i="2"/>
  <c r="F25" i="2"/>
  <c r="H90" i="18"/>
  <c r="H91" i="18"/>
  <c r="F33" i="2"/>
  <c r="H29" i="18"/>
  <c r="K46" i="2"/>
  <c r="H105" i="18" l="1"/>
  <c r="H79" i="18"/>
  <c r="H80" i="18" s="1"/>
  <c r="H103" i="18"/>
  <c r="H104" i="18"/>
  <c r="H106" i="18"/>
  <c r="G45" i="2"/>
  <c r="N46" i="2"/>
  <c r="N44" i="2" s="1"/>
  <c r="E46" i="2" l="1"/>
  <c r="K47" i="2"/>
  <c r="K44" i="2" s="1"/>
  <c r="I50" i="2"/>
  <c r="I44" i="2"/>
  <c r="T22" i="2" s="1"/>
  <c r="G46" i="2" l="1"/>
  <c r="N47" i="2"/>
  <c r="K50" i="2"/>
  <c r="N50" i="2" s="1"/>
  <c r="N49" i="2" s="1"/>
  <c r="V22" i="2"/>
  <c r="K2" i="2"/>
  <c r="K3" i="2" s="1"/>
  <c r="K4" i="2" s="1"/>
  <c r="W95" i="18"/>
  <c r="W119" i="18"/>
  <c r="J44" i="2"/>
  <c r="U22" i="2" s="1"/>
  <c r="J9" i="2"/>
  <c r="P19" i="5"/>
  <c r="E47" i="2" l="1"/>
  <c r="W111" i="18"/>
  <c r="T95" i="18"/>
  <c r="W36" i="18"/>
  <c r="W62" i="18"/>
  <c r="T62" i="18" s="1"/>
  <c r="E50" i="2" l="1"/>
  <c r="G47" i="2"/>
  <c r="G44" i="2" s="1"/>
  <c r="E44" i="2"/>
  <c r="T111" i="18"/>
  <c r="T36" i="18"/>
  <c r="I54" i="2"/>
  <c r="K51" i="2"/>
  <c r="I49" i="2"/>
  <c r="T23" i="2" s="1"/>
  <c r="F44" i="2" l="1"/>
  <c r="H19" i="5"/>
  <c r="F9" i="2"/>
  <c r="H119" i="18"/>
  <c r="G50" i="2"/>
  <c r="W96" i="18"/>
  <c r="W97" i="18"/>
  <c r="W98" i="18"/>
  <c r="K49" i="2"/>
  <c r="N51" i="2"/>
  <c r="K54" i="2"/>
  <c r="N54" i="2" s="1"/>
  <c r="E51" i="2" l="1"/>
  <c r="H120" i="18"/>
  <c r="H121" i="18" s="1"/>
  <c r="V23" i="2"/>
  <c r="J49" i="2"/>
  <c r="U23" i="2" s="1"/>
  <c r="W65" i="18"/>
  <c r="W114" i="18"/>
  <c r="W39" i="18"/>
  <c r="W38" i="18"/>
  <c r="W64" i="18"/>
  <c r="T64" i="18" s="1"/>
  <c r="T97" i="18"/>
  <c r="W113" i="18"/>
  <c r="W63" i="18"/>
  <c r="T63" i="18" s="1"/>
  <c r="W37" i="18"/>
  <c r="W112" i="18"/>
  <c r="T96" i="18"/>
  <c r="I56" i="2"/>
  <c r="G51" i="2" l="1"/>
  <c r="G49" i="2" s="1"/>
  <c r="E54" i="2"/>
  <c r="E49" i="2"/>
  <c r="FE11" i="6"/>
  <c r="DD11" i="6"/>
  <c r="G11" i="6"/>
  <c r="FL11" i="6"/>
  <c r="CZ11" i="6"/>
  <c r="FJ11" i="6"/>
  <c r="JS11" i="6"/>
  <c r="DW11" i="6"/>
  <c r="ES11" i="6"/>
  <c r="BW11" i="6"/>
  <c r="CI11" i="6"/>
  <c r="JN11" i="6"/>
  <c r="GQ11" i="6"/>
  <c r="DT11" i="6"/>
  <c r="AD11" i="6"/>
  <c r="FD11" i="6"/>
  <c r="CT11" i="6"/>
  <c r="AF11" i="6"/>
  <c r="AR11" i="6"/>
  <c r="EQ11" i="6"/>
  <c r="BX11" i="6"/>
  <c r="IZ11" i="6"/>
  <c r="H11" i="6"/>
  <c r="AP11" i="6"/>
  <c r="BQ11" i="6"/>
  <c r="FW11" i="6"/>
  <c r="HP11" i="6"/>
  <c r="BK11" i="6"/>
  <c r="DG11" i="6"/>
  <c r="FU11" i="6"/>
  <c r="BH11" i="6"/>
  <c r="DS11" i="6"/>
  <c r="JJ11" i="6"/>
  <c r="CM11" i="6"/>
  <c r="DE11" i="6"/>
  <c r="GK11" i="6"/>
  <c r="JR11" i="6"/>
  <c r="BN11" i="6"/>
  <c r="EV11" i="6"/>
  <c r="CB11" i="6"/>
  <c r="GD11" i="6"/>
  <c r="IR11" i="6"/>
  <c r="JP11" i="6"/>
  <c r="DX11" i="6"/>
  <c r="IO11" i="6"/>
  <c r="EI11" i="6"/>
  <c r="GV11" i="6"/>
  <c r="HS11" i="6"/>
  <c r="FB11" i="6"/>
  <c r="IE11" i="6"/>
  <c r="HR11" i="6"/>
  <c r="BG11" i="6"/>
  <c r="IY11" i="6"/>
  <c r="BV11" i="6"/>
  <c r="CX11" i="6"/>
  <c r="AC11" i="6"/>
  <c r="FP11" i="6"/>
  <c r="DN11" i="6"/>
  <c r="AW11" i="6"/>
  <c r="EJ11" i="6"/>
  <c r="CA11" i="6"/>
  <c r="AJ11" i="6"/>
  <c r="HO11" i="6"/>
  <c r="JE11" i="6"/>
  <c r="IS11" i="6"/>
  <c r="GH11" i="6"/>
  <c r="HN11" i="6"/>
  <c r="GO11" i="6"/>
  <c r="EK11" i="6"/>
  <c r="Z11" i="6"/>
  <c r="AG11" i="6"/>
  <c r="KC11" i="6"/>
  <c r="IA11" i="6"/>
  <c r="KE11" i="6"/>
  <c r="EY11" i="6"/>
  <c r="HZ11" i="6"/>
  <c r="BC11" i="6"/>
  <c r="GE11" i="6"/>
  <c r="AZ11" i="6"/>
  <c r="GL11" i="6"/>
  <c r="EE11" i="6"/>
  <c r="EL11" i="6"/>
  <c r="KD11" i="6"/>
  <c r="DI11" i="6"/>
  <c r="DM11" i="6"/>
  <c r="GC11" i="6"/>
  <c r="N11" i="6"/>
  <c r="GS11" i="6"/>
  <c r="JT11" i="6"/>
  <c r="AS11" i="6"/>
  <c r="EC11" i="6"/>
  <c r="AA11" i="6"/>
  <c r="GB11" i="6"/>
  <c r="EX11" i="6"/>
  <c r="IC11" i="6"/>
  <c r="JM11" i="6"/>
  <c r="IP11" i="6"/>
  <c r="FI11" i="6"/>
  <c r="CE11" i="6"/>
  <c r="BD11" i="6"/>
  <c r="FC11" i="6"/>
  <c r="HI11" i="6"/>
  <c r="GN11" i="6"/>
  <c r="P11" i="6"/>
  <c r="HC11" i="6"/>
  <c r="CP11" i="6"/>
  <c r="JO11" i="6"/>
  <c r="CR11" i="6"/>
  <c r="FG11" i="6"/>
  <c r="JC11" i="6"/>
  <c r="GY11" i="6"/>
  <c r="IB11" i="6"/>
  <c r="F11" i="6"/>
  <c r="GG11" i="6"/>
  <c r="HX11" i="6"/>
  <c r="JV11" i="6"/>
  <c r="ER11" i="6"/>
  <c r="CD11" i="6"/>
  <c r="DB11" i="6"/>
  <c r="BJ11" i="6"/>
  <c r="IT11" i="6"/>
  <c r="IN11" i="6"/>
  <c r="CV11" i="6"/>
  <c r="S11" i="6"/>
  <c r="IF11" i="6"/>
  <c r="CK11" i="6"/>
  <c r="FR11" i="6"/>
  <c r="DL11" i="6"/>
  <c r="K11" i="6"/>
  <c r="HY11" i="6"/>
  <c r="GU11" i="6"/>
  <c r="HL11" i="6"/>
  <c r="CQ11" i="6"/>
  <c r="JL11" i="6"/>
  <c r="JU11" i="6"/>
  <c r="HD11" i="6"/>
  <c r="HT11" i="6"/>
  <c r="DJ11" i="6"/>
  <c r="HJ11" i="6"/>
  <c r="HB11" i="6"/>
  <c r="IW11" i="6"/>
  <c r="X11" i="6"/>
  <c r="ED11" i="6"/>
  <c r="AM11" i="6"/>
  <c r="HK11" i="6"/>
  <c r="DO11" i="6"/>
  <c r="BF11" i="6"/>
  <c r="R11" i="6"/>
  <c r="L11" i="6"/>
  <c r="GW11" i="6"/>
  <c r="DF11" i="6"/>
  <c r="GI11" i="6"/>
  <c r="AV11" i="6"/>
  <c r="CU11" i="6"/>
  <c r="IX11" i="6"/>
  <c r="BY11" i="6"/>
  <c r="CS11" i="6"/>
  <c r="AN11" i="6"/>
  <c r="ID11" i="6"/>
  <c r="BE11" i="6"/>
  <c r="AE11" i="6"/>
  <c r="U11" i="6"/>
  <c r="AH11" i="6"/>
  <c r="Q11" i="6"/>
  <c r="FA11" i="6"/>
  <c r="JB11" i="6"/>
  <c r="AL11" i="6"/>
  <c r="HU11" i="6"/>
  <c r="EH11" i="6"/>
  <c r="BP11" i="6"/>
  <c r="JG11" i="6"/>
  <c r="II11" i="6"/>
  <c r="JD11" i="6"/>
  <c r="FK11" i="6"/>
  <c r="FO11" i="6"/>
  <c r="FN11" i="6"/>
  <c r="HA11" i="6"/>
  <c r="IQ11" i="6"/>
  <c r="BM11" i="6"/>
  <c r="AQ11" i="6"/>
  <c r="FV11" i="6"/>
  <c r="HW11" i="6"/>
  <c r="DC11" i="6"/>
  <c r="CL11" i="6"/>
  <c r="DV11" i="6"/>
  <c r="BO11" i="6"/>
  <c r="BS11" i="6"/>
  <c r="DA11" i="6"/>
  <c r="DZ11" i="6"/>
  <c r="JH11" i="6"/>
  <c r="FH11" i="6"/>
  <c r="GR11" i="6"/>
  <c r="IU11" i="6"/>
  <c r="DP11" i="6"/>
  <c r="J11" i="6"/>
  <c r="FS11" i="6"/>
  <c r="IH11" i="6"/>
  <c r="HH11" i="6"/>
  <c r="IG11" i="6"/>
  <c r="GX11" i="6"/>
  <c r="GF11" i="6"/>
  <c r="FY11" i="6"/>
  <c r="FX11" i="6"/>
  <c r="JF11" i="6"/>
  <c r="AO11" i="6"/>
  <c r="HF11" i="6"/>
  <c r="CY11" i="6"/>
  <c r="O11" i="6"/>
  <c r="I11" i="6"/>
  <c r="DQ11" i="6"/>
  <c r="W11" i="6"/>
  <c r="EB11" i="6"/>
  <c r="CN11" i="6"/>
  <c r="FF11" i="6"/>
  <c r="EM11" i="6"/>
  <c r="GZ11" i="6"/>
  <c r="JX11" i="6"/>
  <c r="HG11" i="6"/>
  <c r="EF11" i="6"/>
  <c r="BA11" i="6"/>
  <c r="CF11" i="6"/>
  <c r="AU11" i="6"/>
  <c r="KA11" i="6"/>
  <c r="CC11" i="6"/>
  <c r="GT11" i="6"/>
  <c r="CJ11" i="6"/>
  <c r="AY11" i="6"/>
  <c r="DY11" i="6"/>
  <c r="EO11" i="6"/>
  <c r="T11" i="6"/>
  <c r="HV11" i="6"/>
  <c r="IJ11" i="6"/>
  <c r="GM11" i="6"/>
  <c r="V11" i="6"/>
  <c r="GA11" i="6"/>
  <c r="IK11" i="6"/>
  <c r="GJ11" i="6"/>
  <c r="AK11" i="6"/>
  <c r="EP11" i="6"/>
  <c r="IM11" i="6"/>
  <c r="JY11" i="6"/>
  <c r="DK11" i="6"/>
  <c r="CH11" i="6"/>
  <c r="AB11" i="6"/>
  <c r="CG11" i="6"/>
  <c r="ET11" i="6"/>
  <c r="FT11" i="6"/>
  <c r="CW11" i="6"/>
  <c r="JI11" i="6"/>
  <c r="EZ11" i="6"/>
  <c r="Y11" i="6"/>
  <c r="JQ11" i="6"/>
  <c r="EN11" i="6"/>
  <c r="BR11" i="6"/>
  <c r="GP11" i="6"/>
  <c r="BB11" i="6"/>
  <c r="JA11" i="6"/>
  <c r="HM11" i="6"/>
  <c r="EG11" i="6"/>
  <c r="BT11" i="6"/>
  <c r="AI11" i="6"/>
  <c r="HE11" i="6"/>
  <c r="FQ11" i="6"/>
  <c r="CO11" i="6"/>
  <c r="BL11" i="6"/>
  <c r="HQ11" i="6"/>
  <c r="JW11" i="6"/>
  <c r="IV11" i="6"/>
  <c r="BU11" i="6"/>
  <c r="DR11" i="6"/>
  <c r="AT11" i="6"/>
  <c r="DH11" i="6"/>
  <c r="M11" i="6"/>
  <c r="EU11" i="6"/>
  <c r="KF11" i="6"/>
  <c r="JK11" i="6"/>
  <c r="EW11" i="6"/>
  <c r="JZ11" i="6"/>
  <c r="AX11" i="6"/>
  <c r="EA11" i="6"/>
  <c r="FM11" i="6"/>
  <c r="BZ11" i="6"/>
  <c r="DU11" i="6"/>
  <c r="KB11" i="6"/>
  <c r="FZ11" i="6"/>
  <c r="IL11" i="6"/>
  <c r="BI11" i="6"/>
  <c r="K55" i="2"/>
  <c r="I53" i="2"/>
  <c r="T24" i="2" s="1"/>
  <c r="T112" i="18"/>
  <c r="T37" i="18"/>
  <c r="T38" i="18"/>
  <c r="T98" i="18"/>
  <c r="T113" i="18"/>
  <c r="K56" i="2"/>
  <c r="N56" i="2" s="1"/>
  <c r="G54" i="2" l="1"/>
  <c r="F49" i="2"/>
  <c r="P20" i="5"/>
  <c r="K53" i="2"/>
  <c r="T114" i="18"/>
  <c r="T39" i="18"/>
  <c r="DZ17" i="6"/>
  <c r="S17" i="6"/>
  <c r="GV17" i="6"/>
  <c r="GJ17" i="6"/>
  <c r="N55" i="2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E56" i="2" l="1"/>
  <c r="G56" i="2" s="1"/>
  <c r="E55" i="2"/>
  <c r="DN17" i="6"/>
  <c r="HF17" i="6"/>
  <c r="GQ17" i="6"/>
  <c r="CD17" i="6"/>
  <c r="DF17" i="6"/>
  <c r="EE17" i="6"/>
  <c r="CE17" i="6"/>
  <c r="JC17" i="6"/>
  <c r="JS17" i="6"/>
  <c r="DH17" i="6"/>
  <c r="N53" i="2"/>
  <c r="N9" i="2" s="1"/>
  <c r="FF17" i="6"/>
  <c r="BQ17" i="6"/>
  <c r="HD17" i="6"/>
  <c r="IN17" i="6"/>
  <c r="GB17" i="6"/>
  <c r="JT17" i="6"/>
  <c r="FQ17" i="6"/>
  <c r="GZ17" i="6"/>
  <c r="IK17" i="6"/>
  <c r="EX17" i="6"/>
  <c r="EM17" i="6"/>
  <c r="JB17" i="6"/>
  <c r="EY17" i="6"/>
  <c r="IQ17" i="6"/>
  <c r="HG17" i="6"/>
  <c r="AN17" i="6"/>
  <c r="ER17" i="6"/>
  <c r="GP17" i="6"/>
  <c r="BZ17" i="6"/>
  <c r="W3" i="5"/>
  <c r="HQ17" i="6"/>
  <c r="L17" i="6"/>
  <c r="DX17" i="6"/>
  <c r="AZ17" i="6"/>
  <c r="AW17" i="6"/>
  <c r="FN17" i="6"/>
  <c r="AU17" i="6"/>
  <c r="CH17" i="6"/>
  <c r="DY17" i="6"/>
  <c r="BP17" i="6"/>
  <c r="AB17" i="6"/>
  <c r="CF17" i="6"/>
  <c r="DU17" i="6"/>
  <c r="Z17" i="6"/>
  <c r="CC17" i="6"/>
  <c r="FM17" i="6"/>
  <c r="FK17" i="6"/>
  <c r="HT17" i="6"/>
  <c r="N17" i="6"/>
  <c r="DP17" i="6"/>
  <c r="CU17" i="6"/>
  <c r="DC17" i="6"/>
  <c r="HH17" i="6"/>
  <c r="I17" i="6"/>
  <c r="DK17" i="6"/>
  <c r="JA17" i="6"/>
  <c r="CP17" i="6"/>
  <c r="GH17" i="6"/>
  <c r="GE17" i="6"/>
  <c r="R17" i="6"/>
  <c r="GS17" i="6"/>
  <c r="FH17" i="6"/>
  <c r="FJ17" i="6"/>
  <c r="GG17" i="6"/>
  <c r="BN17" i="6"/>
  <c r="KB17" i="6"/>
  <c r="JK17" i="6"/>
  <c r="CY17" i="6"/>
  <c r="BF17" i="6"/>
  <c r="EV17" i="6"/>
  <c r="AT17" i="6"/>
  <c r="DI17" i="6"/>
  <c r="HP17" i="6"/>
  <c r="AF17" i="6"/>
  <c r="JV17" i="6"/>
  <c r="IC17" i="6"/>
  <c r="DQ17" i="6"/>
  <c r="JN17" i="6"/>
  <c r="JM17" i="6"/>
  <c r="DW17" i="6"/>
  <c r="CR17" i="6"/>
  <c r="HO17" i="6"/>
  <c r="CI17" i="6"/>
  <c r="JU17" i="6"/>
  <c r="BU17" i="6"/>
  <c r="DO17" i="6"/>
  <c r="Y17" i="6"/>
  <c r="HR17" i="6"/>
  <c r="DA17" i="6"/>
  <c r="BO17" i="6"/>
  <c r="GO17" i="6"/>
  <c r="GK17" i="6"/>
  <c r="IM17" i="6"/>
  <c r="BJ17" i="6"/>
  <c r="BT17" i="6"/>
  <c r="CZ17" i="6"/>
  <c r="FL17" i="6"/>
  <c r="EB17" i="6"/>
  <c r="JZ17" i="6"/>
  <c r="CL17" i="6"/>
  <c r="BA17" i="6"/>
  <c r="BM17" i="6"/>
  <c r="IT17" i="6"/>
  <c r="BI17" i="6"/>
  <c r="V17" i="6"/>
  <c r="ES17" i="6"/>
  <c r="BC17" i="6"/>
  <c r="FX17" i="6"/>
  <c r="GL17" i="6"/>
  <c r="X3" i="5"/>
  <c r="EJ17" i="6"/>
  <c r="CS17" i="6"/>
  <c r="GR17" i="6"/>
  <c r="KD17" i="6"/>
  <c r="FC17" i="6"/>
  <c r="FZ17" i="6"/>
  <c r="EK17" i="6"/>
  <c r="IO17" i="6"/>
  <c r="DM17" i="6"/>
  <c r="GA17" i="6"/>
  <c r="CA17" i="6"/>
  <c r="EN17" i="6"/>
  <c r="CO17" i="6"/>
  <c r="FW17" i="6"/>
  <c r="JG17" i="6"/>
  <c r="GN17" i="6"/>
  <c r="GY17" i="6"/>
  <c r="DG17" i="6"/>
  <c r="FG17" i="6"/>
  <c r="G17" i="6"/>
  <c r="HM17" i="6"/>
  <c r="EZ17" i="6"/>
  <c r="DV17" i="6"/>
  <c r="EL17" i="6"/>
  <c r="BG17" i="6"/>
  <c r="HK17" i="6"/>
  <c r="AY17" i="6"/>
  <c r="HX17" i="6"/>
  <c r="IZ17" i="6"/>
  <c r="EW17" i="6"/>
  <c r="J17" i="6"/>
  <c r="M17" i="6"/>
  <c r="FI17" i="6"/>
  <c r="IW17" i="6"/>
  <c r="BR17" i="6"/>
  <c r="CT17" i="6"/>
  <c r="BH17" i="6"/>
  <c r="EO17" i="6"/>
  <c r="EC17" i="6"/>
  <c r="JF17" i="6"/>
  <c r="BE17" i="6"/>
  <c r="BL17" i="6"/>
  <c r="CQ17" i="6"/>
  <c r="F17" i="6"/>
  <c r="HE17" i="6"/>
  <c r="JP17" i="6"/>
  <c r="K17" i="6"/>
  <c r="IX17" i="6"/>
  <c r="AS17" i="6"/>
  <c r="FA17" i="6"/>
  <c r="ED17" i="6"/>
  <c r="CJ17" i="6"/>
  <c r="FR17" i="6"/>
  <c r="EG17" i="6"/>
  <c r="AI17" i="6"/>
  <c r="IV17" i="6"/>
  <c r="AH17" i="6"/>
  <c r="DE17" i="6"/>
  <c r="HC17" i="6"/>
  <c r="BY17" i="6"/>
  <c r="BX17" i="6"/>
  <c r="KC17" i="6"/>
  <c r="KE17" i="6"/>
  <c r="IL17" i="6"/>
  <c r="IE17" i="6"/>
  <c r="JI17" i="6"/>
  <c r="AX17" i="6"/>
  <c r="CW17" i="6"/>
  <c r="HV17" i="6"/>
  <c r="IS17" i="6"/>
  <c r="DJ17" i="6"/>
  <c r="U17" i="6"/>
  <c r="JX17" i="6"/>
  <c r="HY17" i="6"/>
  <c r="CB17" i="6"/>
  <c r="HB17" i="6"/>
  <c r="CM17" i="6"/>
  <c r="GD17" i="6"/>
  <c r="HW17" i="6"/>
  <c r="HS17" i="6"/>
  <c r="EH17" i="6"/>
  <c r="BB17" i="6"/>
  <c r="HN17" i="6"/>
  <c r="FU17" i="6"/>
  <c r="HI17" i="6"/>
  <c r="JY17" i="6"/>
  <c r="AP17" i="6"/>
  <c r="FB17" i="6"/>
  <c r="IY17" i="6"/>
  <c r="FE17" i="6"/>
  <c r="JL17" i="6"/>
  <c r="JW17" i="6"/>
  <c r="CK17" i="6"/>
  <c r="DT17" i="6"/>
  <c r="AD17" i="6"/>
  <c r="JQ17" i="6"/>
  <c r="EI17" i="6"/>
  <c r="AE17" i="6"/>
  <c r="JR17" i="6"/>
  <c r="GM17" i="6"/>
  <c r="FO17" i="6"/>
  <c r="AG17" i="6"/>
  <c r="BD17" i="6"/>
  <c r="GF17" i="6"/>
  <c r="T17" i="6"/>
  <c r="FS17" i="6"/>
  <c r="AQ17" i="6"/>
  <c r="II17" i="6"/>
  <c r="IU17" i="6"/>
  <c r="HZ17" i="6"/>
  <c r="ET17" i="6"/>
  <c r="DR17" i="6"/>
  <c r="DB17" i="6"/>
  <c r="FP17" i="6"/>
  <c r="FD17" i="6"/>
  <c r="IH17" i="6"/>
  <c r="CN17" i="6"/>
  <c r="IF17" i="6"/>
  <c r="HU17" i="6"/>
  <c r="HL17" i="6"/>
  <c r="O17" i="6"/>
  <c r="GI17" i="6"/>
  <c r="EP17" i="6"/>
  <c r="HJ17" i="6"/>
  <c r="BK17" i="6"/>
  <c r="DD17" i="6"/>
  <c r="CX17" i="6"/>
  <c r="DS17" i="6"/>
  <c r="AK17" i="6"/>
  <c r="AC17" i="6"/>
  <c r="KF17" i="6"/>
  <c r="IR17" i="6"/>
  <c r="GT17" i="6"/>
  <c r="JD17" i="6"/>
  <c r="FY17" i="6"/>
  <c r="AJ17" i="6"/>
  <c r="BW17" i="6"/>
  <c r="IG17" i="6"/>
  <c r="IJ17" i="6"/>
  <c r="DL17" i="6"/>
  <c r="V24" i="2"/>
  <c r="J53" i="2"/>
  <c r="U24" i="2" s="1"/>
  <c r="JO17" i="6"/>
  <c r="EQ17" i="6"/>
  <c r="AM17" i="6"/>
  <c r="IP17" i="6"/>
  <c r="EU17" i="6"/>
  <c r="BV17" i="6"/>
  <c r="BS17" i="6"/>
  <c r="X17" i="6"/>
  <c r="H17" i="6"/>
  <c r="ID17" i="6"/>
  <c r="JH17" i="6"/>
  <c r="AL17" i="6"/>
  <c r="GW17" i="6"/>
  <c r="JE17" i="6"/>
  <c r="CG17" i="6"/>
  <c r="AA17" i="6"/>
  <c r="AR17" i="6"/>
  <c r="W17" i="6"/>
  <c r="IB17" i="6"/>
  <c r="Q17" i="6"/>
  <c r="P17" i="6"/>
  <c r="EA17" i="6"/>
  <c r="GU17" i="6"/>
  <c r="FT17" i="6"/>
  <c r="KA17" i="6"/>
  <c r="IA17" i="6"/>
  <c r="AV17" i="6"/>
  <c r="EF17" i="6"/>
  <c r="JJ17" i="6"/>
  <c r="GX17" i="6"/>
  <c r="CV17" i="6"/>
  <c r="AO17" i="6"/>
  <c r="FV17" i="6"/>
  <c r="HA17" i="6"/>
  <c r="GC17" i="6"/>
  <c r="GN9" i="6"/>
  <c r="HQ9" i="6"/>
  <c r="EB9" i="6"/>
  <c r="AH9" i="6"/>
  <c r="CW9" i="6"/>
  <c r="AT9" i="6"/>
  <c r="IK9" i="6"/>
  <c r="FP9" i="6"/>
  <c r="CY9" i="6"/>
  <c r="GA9" i="6"/>
  <c r="FJ9" i="6"/>
  <c r="CR9" i="6"/>
  <c r="GC9" i="6"/>
  <c r="R9" i="6"/>
  <c r="GT9" i="6"/>
  <c r="BW9" i="6"/>
  <c r="BJ9" i="6"/>
  <c r="CK9" i="6"/>
  <c r="EF9" i="6"/>
  <c r="EI9" i="6"/>
  <c r="T9" i="6"/>
  <c r="FH9" i="6"/>
  <c r="DU9" i="6"/>
  <c r="AP9" i="6"/>
  <c r="FD9" i="6"/>
  <c r="ED9" i="6"/>
  <c r="EX9" i="6"/>
  <c r="CQ9" i="6"/>
  <c r="K9" i="6"/>
  <c r="HT9" i="6"/>
  <c r="BI9" i="6"/>
  <c r="HB9" i="6"/>
  <c r="GM9" i="6"/>
  <c r="HK9" i="6"/>
  <c r="EK9" i="6"/>
  <c r="IZ9" i="6"/>
  <c r="AZ9" i="6"/>
  <c r="HU9" i="6"/>
  <c r="JF9" i="6"/>
  <c r="GK9" i="6"/>
  <c r="CI9" i="6"/>
  <c r="BV9" i="6"/>
  <c r="EJ9" i="6"/>
  <c r="JJ9" i="6"/>
  <c r="AV9" i="6"/>
  <c r="AF9" i="6"/>
  <c r="HR9" i="6"/>
  <c r="FG9" i="6"/>
  <c r="JB9" i="6"/>
  <c r="DX9" i="6"/>
  <c r="CZ9" i="6"/>
  <c r="AW9" i="6"/>
  <c r="U9" i="6"/>
  <c r="FE9" i="6"/>
  <c r="AR9" i="6"/>
  <c r="IN9" i="6"/>
  <c r="GL9" i="6"/>
  <c r="BT9" i="6"/>
  <c r="HE9" i="6"/>
  <c r="BD9" i="6"/>
  <c r="HC9" i="6"/>
  <c r="CD9" i="6"/>
  <c r="EC9" i="6"/>
  <c r="EO9" i="6"/>
  <c r="DO9" i="6"/>
  <c r="AB9" i="6"/>
  <c r="IG9" i="6"/>
  <c r="JO9" i="6"/>
  <c r="BM9" i="6"/>
  <c r="IB9" i="6"/>
  <c r="IV9" i="6"/>
  <c r="FC9" i="6"/>
  <c r="HP9" i="6"/>
  <c r="FQ9" i="6"/>
  <c r="DS9" i="6"/>
  <c r="GJ9" i="6"/>
  <c r="EH9" i="6"/>
  <c r="AS9" i="6"/>
  <c r="IL9" i="6"/>
  <c r="KF9" i="6"/>
  <c r="P9" i="6"/>
  <c r="GI9" i="6"/>
  <c r="FF9" i="6"/>
  <c r="IW9" i="6"/>
  <c r="DZ9" i="6"/>
  <c r="DJ9" i="6"/>
  <c r="JS9" i="6"/>
  <c r="EL9" i="6"/>
  <c r="JZ9" i="6"/>
  <c r="HY9" i="6"/>
  <c r="EG9" i="6"/>
  <c r="EA9" i="6"/>
  <c r="GV9" i="6"/>
  <c r="JD9" i="6"/>
  <c r="CJ9" i="6"/>
  <c r="BB9" i="6"/>
  <c r="DY9" i="6"/>
  <c r="IH9" i="6"/>
  <c r="AJ9" i="6"/>
  <c r="BQ9" i="6"/>
  <c r="CL9" i="6"/>
  <c r="FB9" i="6"/>
  <c r="CH9" i="6"/>
  <c r="JW9" i="6"/>
  <c r="BA9" i="6"/>
  <c r="HX9" i="6"/>
  <c r="FK9" i="6"/>
  <c r="DG9" i="6"/>
  <c r="EN9" i="6"/>
  <c r="FW9" i="6"/>
  <c r="BE9" i="6"/>
  <c r="IQ9" i="6"/>
  <c r="DD9" i="6"/>
  <c r="GH9" i="6"/>
  <c r="IJ9" i="6"/>
  <c r="CV9" i="6"/>
  <c r="GG9" i="6"/>
  <c r="AY9" i="6"/>
  <c r="JM9" i="6"/>
  <c r="FZ9" i="6"/>
  <c r="JT9" i="6"/>
  <c r="GZ9" i="6"/>
  <c r="HS9" i="6"/>
  <c r="BL9" i="6"/>
  <c r="HW9" i="6"/>
  <c r="JC9" i="6"/>
  <c r="CP9" i="6"/>
  <c r="GS9" i="6"/>
  <c r="Y9" i="6"/>
  <c r="IC9" i="6"/>
  <c r="IS9" i="6"/>
  <c r="FY9" i="6"/>
  <c r="AL9" i="6"/>
  <c r="BY9" i="6"/>
  <c r="EV9" i="6"/>
  <c r="S9" i="6"/>
  <c r="I9" i="6"/>
  <c r="HV9" i="6"/>
  <c r="AA9" i="6"/>
  <c r="JA9" i="6"/>
  <c r="II9" i="6"/>
  <c r="GB9" i="6"/>
  <c r="IF9" i="6"/>
  <c r="BS9" i="6"/>
  <c r="BP9" i="6"/>
  <c r="H9" i="6"/>
  <c r="G9" i="6"/>
  <c r="AQ9" i="6"/>
  <c r="JN9" i="6"/>
  <c r="CX9" i="6"/>
  <c r="HN9" i="6"/>
  <c r="BU9" i="6"/>
  <c r="EZ9" i="6"/>
  <c r="KE9" i="6"/>
  <c r="FR9" i="6"/>
  <c r="BX9" i="6"/>
  <c r="DM9" i="6"/>
  <c r="IR9" i="6"/>
  <c r="BO9" i="6"/>
  <c r="CN9" i="6"/>
  <c r="IP9" i="6"/>
  <c r="BG9" i="6"/>
  <c r="GF9" i="6"/>
  <c r="CS9" i="6"/>
  <c r="DC9" i="6"/>
  <c r="AG9" i="6"/>
  <c r="M9" i="6"/>
  <c r="DK9" i="6"/>
  <c r="JL9" i="6"/>
  <c r="JR9" i="6"/>
  <c r="GD9" i="6"/>
  <c r="JG9" i="6"/>
  <c r="L9" i="6"/>
  <c r="KA9" i="6"/>
  <c r="AK9" i="6"/>
  <c r="DB9" i="6"/>
  <c r="IE9" i="6"/>
  <c r="DQ9" i="6"/>
  <c r="GQ9" i="6"/>
  <c r="N9" i="6"/>
  <c r="FU9" i="6"/>
  <c r="DT9" i="6"/>
  <c r="IO9" i="6"/>
  <c r="EE9" i="6"/>
  <c r="AI9" i="6"/>
  <c r="HZ9" i="6"/>
  <c r="HJ9" i="6"/>
  <c r="KC9" i="6"/>
  <c r="IA9" i="6"/>
  <c r="KB9" i="6"/>
  <c r="BR9" i="6"/>
  <c r="JX9" i="6"/>
  <c r="F9" i="6"/>
  <c r="BC9" i="6"/>
  <c r="GR9" i="6"/>
  <c r="DA9" i="6"/>
  <c r="DH9" i="6"/>
  <c r="DW9" i="6"/>
  <c r="CF9" i="6"/>
  <c r="EU9" i="6"/>
  <c r="AM9" i="6"/>
  <c r="BZ9" i="6"/>
  <c r="CU9" i="6"/>
  <c r="O9" i="6"/>
  <c r="EQ9" i="6"/>
  <c r="ER9" i="6"/>
  <c r="IM9" i="6"/>
  <c r="JV9" i="6"/>
  <c r="DL9" i="6"/>
  <c r="FM9" i="6"/>
  <c r="GE9" i="6"/>
  <c r="HA9" i="6"/>
  <c r="FN9" i="6"/>
  <c r="ES9" i="6"/>
  <c r="JI9" i="6"/>
  <c r="DI9" i="6"/>
  <c r="FI9" i="6"/>
  <c r="FX9" i="6"/>
  <c r="GU9" i="6"/>
  <c r="HF9" i="6"/>
  <c r="BK9" i="6"/>
  <c r="GY9" i="6"/>
  <c r="CE9" i="6"/>
  <c r="ID9" i="6"/>
  <c r="FL9" i="6"/>
  <c r="HI9" i="6"/>
  <c r="AX9" i="6"/>
  <c r="JE9" i="6"/>
  <c r="CC9" i="6"/>
  <c r="BH9" i="6"/>
  <c r="AC9" i="6"/>
  <c r="AO9" i="6"/>
  <c r="BF9" i="6"/>
  <c r="J9" i="6"/>
  <c r="DR9" i="6"/>
  <c r="DV9" i="6"/>
  <c r="HD9" i="6"/>
  <c r="IT9" i="6"/>
  <c r="HM9" i="6"/>
  <c r="AN9" i="6"/>
  <c r="FA9" i="6"/>
  <c r="FO9" i="6"/>
  <c r="GP9" i="6"/>
  <c r="JK9" i="6"/>
  <c r="CG9" i="6"/>
  <c r="JH9" i="6"/>
  <c r="JP9" i="6"/>
  <c r="DP9" i="6"/>
  <c r="HG9" i="6"/>
  <c r="BN9" i="6"/>
  <c r="GX9" i="6"/>
  <c r="CB9" i="6"/>
  <c r="JQ9" i="6"/>
  <c r="DN9" i="6"/>
  <c r="CT9" i="6"/>
  <c r="AD9" i="6"/>
  <c r="EY9" i="6"/>
  <c r="AU9" i="6"/>
  <c r="EP9" i="6"/>
  <c r="X9" i="6"/>
  <c r="CO9" i="6"/>
  <c r="JY9" i="6"/>
  <c r="HO9" i="6"/>
  <c r="FV9" i="6"/>
  <c r="IY9" i="6"/>
  <c r="EM9" i="6"/>
  <c r="GW9" i="6"/>
  <c r="CM9" i="6"/>
  <c r="ET9" i="6"/>
  <c r="HH9" i="6"/>
  <c r="GO9" i="6"/>
  <c r="CA9" i="6"/>
  <c r="JU9" i="6"/>
  <c r="FS9" i="6"/>
  <c r="V9" i="6"/>
  <c r="Q9" i="6"/>
  <c r="KD9" i="6"/>
  <c r="IX9" i="6"/>
  <c r="EW9" i="6"/>
  <c r="IU9" i="6"/>
  <c r="Z9" i="6"/>
  <c r="W9" i="6"/>
  <c r="HL9" i="6"/>
  <c r="FT9" i="6"/>
  <c r="DE9" i="6"/>
  <c r="DF9" i="6"/>
  <c r="AE9" i="6"/>
  <c r="G55" i="2" l="1"/>
  <c r="E53" i="2"/>
  <c r="D17" i="6"/>
  <c r="C17" i="6" s="1"/>
  <c r="F18" i="6"/>
  <c r="D9" i="6"/>
  <c r="F10" i="6"/>
  <c r="H20" i="5" l="1"/>
  <c r="G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10" i="6"/>
  <c r="F14" i="6"/>
  <c r="F53" i="2" l="1"/>
  <c r="H135" i="18"/>
  <c r="H128" i="18"/>
  <c r="HB3" i="6"/>
  <c r="IO3" i="6"/>
  <c r="JQ3" i="6"/>
  <c r="FJ3" i="6"/>
  <c r="BK3" i="6"/>
  <c r="L3" i="6"/>
  <c r="AQ3" i="6"/>
  <c r="GS3" i="6"/>
  <c r="AY3" i="6"/>
  <c r="BL3" i="6"/>
  <c r="IS3" i="6"/>
  <c r="FP3" i="6"/>
  <c r="GP3" i="6"/>
  <c r="EI3" i="6"/>
  <c r="CD3" i="6"/>
  <c r="T3" i="6"/>
  <c r="GY3" i="6"/>
  <c r="EM3" i="6"/>
  <c r="GT3" i="6"/>
  <c r="IG3" i="6"/>
  <c r="BG3" i="6"/>
  <c r="KC3" i="6"/>
  <c r="DC3" i="6"/>
  <c r="CI3" i="6"/>
  <c r="EK3" i="6"/>
  <c r="EC3" i="6"/>
  <c r="FB3" i="6"/>
  <c r="JX3" i="6"/>
  <c r="GO3" i="6"/>
  <c r="AI3" i="6"/>
  <c r="FF3" i="6"/>
  <c r="EX3" i="6"/>
  <c r="HW3" i="6"/>
  <c r="JV3" i="6"/>
  <c r="DA3" i="6"/>
  <c r="CY3" i="6"/>
  <c r="IH3" i="6"/>
  <c r="IJ3" i="6"/>
  <c r="FY3" i="6"/>
  <c r="FH3" i="6"/>
  <c r="DU3" i="6"/>
  <c r="IY3" i="6"/>
  <c r="JC3" i="6"/>
  <c r="FZ3" i="6"/>
  <c r="JO3" i="6"/>
  <c r="BJ3" i="6"/>
  <c r="FR3" i="6"/>
  <c r="FS3" i="6"/>
  <c r="IL3" i="6"/>
  <c r="AK3" i="6"/>
  <c r="Y3" i="6"/>
  <c r="HI3" i="6"/>
  <c r="AA3" i="6"/>
  <c r="JE3" i="6"/>
  <c r="AM3" i="6"/>
  <c r="EA3" i="6"/>
  <c r="IC3" i="6"/>
  <c r="IR3" i="6"/>
  <c r="HA3" i="6"/>
  <c r="GJ3" i="6"/>
  <c r="N3" i="6"/>
  <c r="CK3" i="6"/>
  <c r="CA3" i="6"/>
  <c r="FA3" i="6"/>
  <c r="JZ3" i="6"/>
  <c r="HX3" i="6"/>
  <c r="DT3" i="6"/>
  <c r="EH3" i="6"/>
  <c r="IA3" i="6"/>
  <c r="BO3" i="6"/>
  <c r="DX3" i="6"/>
  <c r="U3" i="6"/>
  <c r="FT3" i="6"/>
  <c r="GN3" i="6"/>
  <c r="ES3" i="6"/>
  <c r="FC3" i="6"/>
  <c r="IT3" i="6"/>
  <c r="FO3" i="6"/>
  <c r="AZ3" i="6"/>
  <c r="EP3" i="6"/>
  <c r="CE3" i="6"/>
  <c r="GM3" i="6"/>
  <c r="JD3" i="6"/>
  <c r="DH3" i="6"/>
  <c r="CJ3" i="6"/>
  <c r="GZ3" i="6"/>
  <c r="Q3" i="6"/>
  <c r="CX3" i="6"/>
  <c r="EO3" i="6"/>
  <c r="GW3" i="6"/>
  <c r="CL3" i="6"/>
  <c r="CM3" i="6"/>
  <c r="FM3" i="6"/>
  <c r="JK3" i="6"/>
  <c r="BX3" i="6"/>
  <c r="KE3" i="6"/>
  <c r="KB3" i="6"/>
  <c r="BM3" i="6"/>
  <c r="AP3" i="6"/>
  <c r="DE3" i="6"/>
  <c r="CO3" i="6"/>
  <c r="FQ3" i="6"/>
  <c r="DI3" i="6"/>
  <c r="GL3" i="6"/>
  <c r="BH3" i="6"/>
  <c r="AD3" i="6"/>
  <c r="GH3" i="6"/>
  <c r="EF3" i="6"/>
  <c r="JF3" i="6"/>
  <c r="CU3" i="6"/>
  <c r="HT3" i="6"/>
  <c r="EN3" i="6"/>
  <c r="DD3" i="6"/>
  <c r="JB3" i="6"/>
  <c r="AS3" i="6"/>
  <c r="AE3" i="6"/>
  <c r="IU3" i="6"/>
  <c r="FX3" i="6"/>
  <c r="BT3" i="6"/>
  <c r="JI3" i="6"/>
  <c r="JT3" i="6"/>
  <c r="CV3" i="6"/>
  <c r="M3" i="6"/>
  <c r="DS3" i="6"/>
  <c r="AX3" i="6"/>
  <c r="HL3" i="6"/>
  <c r="HF3" i="6"/>
  <c r="CR3" i="6"/>
  <c r="HC3" i="6"/>
  <c r="EJ3" i="6"/>
  <c r="AT3" i="6"/>
  <c r="S3" i="6"/>
  <c r="CP3" i="6"/>
  <c r="AC3" i="6"/>
  <c r="HR3" i="6"/>
  <c r="DL3" i="6"/>
  <c r="HQ3" i="6"/>
  <c r="BF3" i="6"/>
  <c r="ET3" i="6"/>
  <c r="AH3" i="6"/>
  <c r="DP3" i="6"/>
  <c r="JG3" i="6"/>
  <c r="BZ3" i="6"/>
  <c r="FI3" i="6"/>
  <c r="CT3" i="6"/>
  <c r="HV3" i="6"/>
  <c r="GX3" i="6"/>
  <c r="HN3" i="6"/>
  <c r="EY3" i="6"/>
  <c r="JP3" i="6"/>
  <c r="HJ3" i="6"/>
  <c r="FE3" i="6"/>
  <c r="DB3" i="6"/>
  <c r="GA3" i="6"/>
  <c r="EZ3" i="6"/>
  <c r="K3" i="6"/>
  <c r="DK3" i="6"/>
  <c r="IZ3" i="6"/>
  <c r="AF3" i="6"/>
  <c r="IB3" i="6"/>
  <c r="BE3" i="6"/>
  <c r="GG3" i="6"/>
  <c r="BP3" i="6"/>
  <c r="BS3" i="6"/>
  <c r="HG3" i="6"/>
  <c r="DN3" i="6"/>
  <c r="CW3" i="6"/>
  <c r="JM3" i="6"/>
  <c r="O3" i="6"/>
  <c r="JL3" i="6"/>
  <c r="DG3" i="6"/>
  <c r="EL3" i="6"/>
  <c r="IM3" i="6"/>
  <c r="FG3" i="6"/>
  <c r="HU3" i="6"/>
  <c r="CC3" i="6"/>
  <c r="P3" i="6"/>
  <c r="EU3" i="6"/>
  <c r="JR3" i="6"/>
  <c r="IX3" i="6"/>
  <c r="EG3" i="6"/>
  <c r="AU3" i="6"/>
  <c r="R3" i="6"/>
  <c r="GK3" i="6"/>
  <c r="DR3" i="6"/>
  <c r="IW3" i="6"/>
  <c r="CG3" i="6"/>
  <c r="JW3" i="6"/>
  <c r="BQ3" i="6"/>
  <c r="HE3" i="6"/>
  <c r="EE3" i="6"/>
  <c r="BD3" i="6"/>
  <c r="AG3" i="6"/>
  <c r="CS3" i="6"/>
  <c r="G3" i="6"/>
  <c r="FL3" i="6"/>
  <c r="GD3" i="6"/>
  <c r="BY3" i="6"/>
  <c r="IF3" i="6"/>
  <c r="BI3" i="6"/>
  <c r="FD3" i="6"/>
  <c r="BU3" i="6"/>
  <c r="HP3" i="6"/>
  <c r="BN3" i="6"/>
  <c r="GF3" i="6"/>
  <c r="JS3" i="6"/>
  <c r="F3" i="6"/>
  <c r="DV3" i="6"/>
  <c r="BR3" i="6"/>
  <c r="GI3" i="6"/>
  <c r="FW3" i="6"/>
  <c r="DW3" i="6"/>
  <c r="DJ3" i="6"/>
  <c r="BC3" i="6"/>
  <c r="KF3" i="6"/>
  <c r="DY3" i="6"/>
  <c r="GU3" i="6"/>
  <c r="CH3" i="6"/>
  <c r="IE3" i="6"/>
  <c r="V3" i="6"/>
  <c r="KD3" i="6"/>
  <c r="GR3" i="6"/>
  <c r="EV3" i="6"/>
  <c r="IN3" i="6"/>
  <c r="DO3" i="6"/>
  <c r="FK3" i="6"/>
  <c r="AV3" i="6"/>
  <c r="X3" i="6"/>
  <c r="AB3" i="6"/>
  <c r="JH3" i="6"/>
  <c r="GE3" i="6"/>
  <c r="FV3" i="6"/>
  <c r="HH3" i="6"/>
  <c r="HK3" i="6"/>
  <c r="H3" i="6"/>
  <c r="CQ3" i="6"/>
  <c r="ED3" i="6"/>
  <c r="HD3" i="6"/>
  <c r="FN3" i="6"/>
  <c r="J3" i="6"/>
  <c r="JY3" i="6"/>
  <c r="DQ3" i="6"/>
  <c r="ID3" i="6"/>
  <c r="BA3" i="6"/>
  <c r="AR3" i="6"/>
  <c r="HO3" i="6"/>
  <c r="HZ3" i="6"/>
  <c r="EW3" i="6"/>
  <c r="IQ3" i="6"/>
  <c r="Z3" i="6"/>
  <c r="IP3" i="6"/>
  <c r="HM3" i="6"/>
  <c r="CZ3" i="6"/>
  <c r="EQ3" i="6"/>
  <c r="GC3" i="6"/>
  <c r="GQ3" i="6"/>
  <c r="DM3" i="6"/>
  <c r="BB3" i="6"/>
  <c r="JA3" i="6"/>
  <c r="IV3" i="6"/>
  <c r="IK3" i="6"/>
  <c r="ER3" i="6"/>
  <c r="JJ3" i="6"/>
  <c r="JU3" i="6"/>
  <c r="CB3" i="6"/>
  <c r="DF3" i="6"/>
  <c r="JN3" i="6"/>
  <c r="II3" i="6"/>
  <c r="KA3" i="6"/>
  <c r="I3" i="6"/>
  <c r="GB3" i="6"/>
  <c r="BW3" i="6"/>
  <c r="AJ3" i="6"/>
  <c r="AL3" i="6"/>
  <c r="AW3" i="6"/>
  <c r="CN3" i="6"/>
  <c r="GV3" i="6"/>
  <c r="CF3" i="6"/>
  <c r="AN3" i="6"/>
  <c r="BV3" i="6"/>
  <c r="DZ3" i="6"/>
  <c r="HY3" i="6"/>
  <c r="AO3" i="6"/>
  <c r="EB3" i="6"/>
  <c r="W3" i="6"/>
  <c r="HS3" i="6"/>
  <c r="FU3" i="6"/>
  <c r="H10" i="6"/>
  <c r="G14" i="6"/>
  <c r="D18" i="6"/>
  <c r="C18" i="6" s="1"/>
  <c r="BS5" i="6" l="1"/>
  <c r="HM5" i="6"/>
  <c r="BM5" i="6"/>
  <c r="BY5" i="6"/>
  <c r="IP5" i="6"/>
  <c r="M5" i="6"/>
  <c r="JG5" i="6"/>
  <c r="II5" i="6"/>
  <c r="CK5" i="6"/>
  <c r="GC5" i="6"/>
  <c r="O5" i="6"/>
  <c r="F5" i="6"/>
  <c r="DQ5" i="6"/>
  <c r="IM5" i="6"/>
  <c r="CS5" i="6"/>
  <c r="EE5" i="6"/>
  <c r="IA5" i="6"/>
  <c r="FK5" i="6"/>
  <c r="JC5" i="6"/>
  <c r="FB5" i="6"/>
  <c r="KB5" i="6"/>
  <c r="DB5" i="6"/>
  <c r="BN5" i="6"/>
  <c r="GB5" i="6"/>
  <c r="BF5" i="6"/>
  <c r="JS5" i="6"/>
  <c r="HL5" i="6"/>
  <c r="DL5" i="6"/>
  <c r="HD5" i="6"/>
  <c r="DS5" i="6"/>
  <c r="DC5" i="6"/>
  <c r="HG5" i="6"/>
  <c r="AP5" i="6"/>
  <c r="EB5" i="6"/>
  <c r="GO5" i="6"/>
  <c r="CB5" i="6"/>
  <c r="JF5" i="6"/>
  <c r="EG5" i="6"/>
  <c r="EA5" i="6"/>
  <c r="GE5" i="6"/>
  <c r="BZ5" i="6"/>
  <c r="FY5" i="6"/>
  <c r="JO5" i="6"/>
  <c r="IJ5" i="6"/>
  <c r="HX5" i="6"/>
  <c r="CT5" i="6"/>
  <c r="EL5" i="6"/>
  <c r="EH5" i="6"/>
  <c r="I5" i="6"/>
  <c r="Z5" i="6"/>
  <c r="AT5" i="6"/>
  <c r="JZ5" i="6"/>
  <c r="EP5" i="6"/>
  <c r="HH5" i="6"/>
  <c r="BH5" i="6"/>
  <c r="DH5" i="6"/>
  <c r="KD5" i="6"/>
  <c r="N5" i="6"/>
  <c r="HU5" i="6"/>
  <c r="EO5" i="6"/>
  <c r="K5" i="6"/>
  <c r="DU5" i="6"/>
  <c r="EX5" i="6"/>
  <c r="BI5" i="6"/>
  <c r="JQ5" i="6"/>
  <c r="AF5" i="6"/>
  <c r="DW5" i="6"/>
  <c r="HE5" i="6"/>
  <c r="KE5" i="6"/>
  <c r="AO5" i="6"/>
  <c r="JW5" i="6"/>
  <c r="EU5" i="6"/>
  <c r="DD5" i="6"/>
  <c r="BT5" i="6"/>
  <c r="FM5" i="6"/>
  <c r="FZ5" i="6"/>
  <c r="IB5" i="6"/>
  <c r="CV5" i="6"/>
  <c r="JK5" i="6"/>
  <c r="AJ5" i="6"/>
  <c r="JI5" i="6"/>
  <c r="JT5" i="6"/>
  <c r="BW5" i="6"/>
  <c r="EJ5" i="6"/>
  <c r="FJ5" i="6"/>
  <c r="GP5" i="6"/>
  <c r="FV5" i="6"/>
  <c r="HF5" i="6"/>
  <c r="EI5" i="6"/>
  <c r="P5" i="6"/>
  <c r="BA5" i="6"/>
  <c r="AS5" i="6"/>
  <c r="GU5" i="6"/>
  <c r="AV5" i="6"/>
  <c r="DM5" i="6"/>
  <c r="ES5" i="6"/>
  <c r="IT5" i="6"/>
  <c r="EK5" i="6"/>
  <c r="JP5" i="6"/>
  <c r="J5" i="6"/>
  <c r="DZ5" i="6"/>
  <c r="JD5" i="6"/>
  <c r="IK5" i="6"/>
  <c r="X5" i="6"/>
  <c r="CR5" i="6"/>
  <c r="IG5" i="6"/>
  <c r="GV5" i="6"/>
  <c r="Q5" i="6"/>
  <c r="IC5" i="6"/>
  <c r="ID5" i="6"/>
  <c r="CX5" i="6"/>
  <c r="HV5" i="6"/>
  <c r="HZ5" i="6"/>
  <c r="H5" i="6"/>
  <c r="CF5" i="6"/>
  <c r="CJ5" i="6"/>
  <c r="HK5" i="6"/>
  <c r="AQ5" i="6"/>
  <c r="DX5" i="6"/>
  <c r="IW5" i="6"/>
  <c r="FS5" i="6"/>
  <c r="KF5" i="6"/>
  <c r="GF5" i="6"/>
  <c r="DV5" i="6"/>
  <c r="EV5" i="6"/>
  <c r="AN5" i="6"/>
  <c r="ER5" i="6"/>
  <c r="ED5" i="6"/>
  <c r="FE5" i="6"/>
  <c r="HB5" i="6"/>
  <c r="CL5" i="6"/>
  <c r="EC5" i="6"/>
  <c r="IQ5" i="6"/>
  <c r="GN5" i="6"/>
  <c r="BP5" i="6"/>
  <c r="IN5" i="6"/>
  <c r="IE5" i="6"/>
  <c r="BK5" i="6"/>
  <c r="JL5" i="6"/>
  <c r="CC5" i="6"/>
  <c r="JY5" i="6"/>
  <c r="AD5" i="6"/>
  <c r="GD5" i="6"/>
  <c r="CG5" i="6"/>
  <c r="JU5" i="6"/>
  <c r="IU5" i="6"/>
  <c r="DI5" i="6"/>
  <c r="EF5" i="6"/>
  <c r="BO5" i="6"/>
  <c r="HW5" i="6"/>
  <c r="DR5" i="6"/>
  <c r="DF5" i="6"/>
  <c r="BB5" i="6"/>
  <c r="GZ5" i="6"/>
  <c r="BR5" i="6"/>
  <c r="EM5" i="6"/>
  <c r="BG5" i="6"/>
  <c r="BQ5" i="6"/>
  <c r="AU5" i="6"/>
  <c r="GI5" i="6"/>
  <c r="KC5" i="6"/>
  <c r="W5" i="6"/>
  <c r="CE5" i="6"/>
  <c r="GM5" i="6"/>
  <c r="FU5" i="6"/>
  <c r="DG5" i="6"/>
  <c r="FC5" i="6"/>
  <c r="AL5" i="6"/>
  <c r="JA5" i="6"/>
  <c r="CO5" i="6"/>
  <c r="FX5" i="6"/>
  <c r="IS5" i="6"/>
  <c r="DP5" i="6"/>
  <c r="JX5" i="6"/>
  <c r="IH5" i="6"/>
  <c r="AB5" i="6"/>
  <c r="GQ5" i="6"/>
  <c r="IF5" i="6"/>
  <c r="HA5" i="6"/>
  <c r="FH5" i="6"/>
  <c r="BD5" i="6"/>
  <c r="AX5" i="6"/>
  <c r="BV5" i="6"/>
  <c r="JR5" i="6"/>
  <c r="IY5" i="6"/>
  <c r="EQ5" i="6"/>
  <c r="FR5" i="6"/>
  <c r="JH5" i="6"/>
  <c r="CN5" i="6"/>
  <c r="GX5" i="6"/>
  <c r="FQ5" i="6"/>
  <c r="G5" i="6"/>
  <c r="V5" i="6"/>
  <c r="BU5" i="6"/>
  <c r="BC5" i="6"/>
  <c r="JV5" i="6"/>
  <c r="CH5" i="6"/>
  <c r="CA5" i="6"/>
  <c r="DE5" i="6"/>
  <c r="CW5" i="6"/>
  <c r="EN5" i="6"/>
  <c r="S5" i="6"/>
  <c r="DK5" i="6"/>
  <c r="IL5" i="6"/>
  <c r="AZ5" i="6"/>
  <c r="AG5" i="6"/>
  <c r="GK5" i="6"/>
  <c r="AK5" i="6"/>
  <c r="AH5" i="6"/>
  <c r="FW5" i="6"/>
  <c r="JJ5" i="6"/>
  <c r="JM5" i="6"/>
  <c r="AW5" i="6"/>
  <c r="DN5" i="6"/>
  <c r="CU5" i="6"/>
  <c r="FF5" i="6"/>
  <c r="CQ5" i="6"/>
  <c r="BL5" i="6"/>
  <c r="JB5" i="6"/>
  <c r="EW5" i="6"/>
  <c r="HC5" i="6"/>
  <c r="FP5" i="6"/>
  <c r="GH5" i="6"/>
  <c r="GL5" i="6"/>
  <c r="BJ5" i="6"/>
  <c r="T5" i="6"/>
  <c r="EZ5" i="6"/>
  <c r="U5" i="6"/>
  <c r="HO5" i="6"/>
  <c r="HI5" i="6"/>
  <c r="EY5" i="6"/>
  <c r="GY5" i="6"/>
  <c r="GT5" i="6"/>
  <c r="GW5" i="6"/>
  <c r="ET5" i="6"/>
  <c r="AR5" i="6"/>
  <c r="L5" i="6"/>
  <c r="GR5" i="6"/>
  <c r="GA5" i="6"/>
  <c r="AI5" i="6"/>
  <c r="FL5" i="6"/>
  <c r="CP5" i="6"/>
  <c r="AM5" i="6"/>
  <c r="GS5" i="6"/>
  <c r="JN5" i="6"/>
  <c r="CI5" i="6"/>
  <c r="HJ5" i="6"/>
  <c r="HY5" i="6"/>
  <c r="DO5" i="6"/>
  <c r="BX5" i="6"/>
  <c r="HP5" i="6"/>
  <c r="CM5" i="6"/>
  <c r="DJ5" i="6"/>
  <c r="DT5" i="6"/>
  <c r="CZ5" i="6"/>
  <c r="GJ5" i="6"/>
  <c r="HT5" i="6"/>
  <c r="AE5" i="6"/>
  <c r="FG5" i="6"/>
  <c r="KA5" i="6"/>
  <c r="R5" i="6"/>
  <c r="HN5" i="6"/>
  <c r="FT5" i="6"/>
  <c r="FI5" i="6"/>
  <c r="FD5" i="6"/>
  <c r="FA5" i="6"/>
  <c r="IZ5" i="6"/>
  <c r="AY5" i="6"/>
  <c r="CD5" i="6"/>
  <c r="FN5" i="6"/>
  <c r="HS5" i="6"/>
  <c r="IO5" i="6"/>
  <c r="GG5" i="6"/>
  <c r="DA5" i="6"/>
  <c r="HR5" i="6"/>
  <c r="AA5" i="6"/>
  <c r="CY5" i="6"/>
  <c r="BE5" i="6"/>
  <c r="IX5" i="6"/>
  <c r="IR5" i="6"/>
  <c r="AC5" i="6"/>
  <c r="HQ5" i="6"/>
  <c r="JE5" i="6"/>
  <c r="DY5" i="6"/>
  <c r="Y5" i="6"/>
  <c r="IV5" i="6"/>
  <c r="FO5" i="6"/>
  <c r="D3" i="6"/>
  <c r="F4" i="6"/>
  <c r="I10" i="6"/>
  <c r="H14" i="6"/>
  <c r="D5" i="6" l="1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J10" i="6"/>
  <c r="I14" i="6"/>
  <c r="H4" i="6" l="1"/>
  <c r="G7" i="6"/>
  <c r="J14" i="6"/>
  <c r="K10" i="6"/>
  <c r="H7" i="6" l="1"/>
  <c r="I4" i="6"/>
  <c r="K14" i="6"/>
  <c r="L10" i="6"/>
  <c r="I7" i="6" l="1"/>
  <c r="J4" i="6"/>
  <c r="L14" i="6"/>
  <c r="M10" i="6"/>
  <c r="K4" i="6" l="1"/>
  <c r="J7" i="6"/>
  <c r="N10" i="6"/>
  <c r="M14" i="6"/>
  <c r="L4" i="6" l="1"/>
  <c r="K7" i="6"/>
  <c r="O10" i="6"/>
  <c r="N14" i="6"/>
  <c r="L7" i="6" l="1"/>
  <c r="M4" i="6"/>
  <c r="P10" i="6"/>
  <c r="O14" i="6"/>
  <c r="M7" i="6" l="1"/>
  <c r="N4" i="6"/>
  <c r="Q10" i="6"/>
  <c r="P14" i="6"/>
  <c r="N7" i="6" l="1"/>
  <c r="O4" i="6"/>
  <c r="R10" i="6"/>
  <c r="Q14" i="6"/>
  <c r="P4" i="6" l="1"/>
  <c r="O7" i="6"/>
  <c r="S10" i="6"/>
  <c r="R14" i="6"/>
  <c r="P7" i="6" l="1"/>
  <c r="Q4" i="6"/>
  <c r="S14" i="6"/>
  <c r="T10" i="6"/>
  <c r="Q7" i="6" l="1"/>
  <c r="R4" i="6"/>
  <c r="U10" i="6"/>
  <c r="T14" i="6"/>
  <c r="R7" i="6" l="1"/>
  <c r="S4" i="6"/>
  <c r="V10" i="6"/>
  <c r="U14" i="6"/>
  <c r="S7" i="6" l="1"/>
  <c r="T4" i="6"/>
  <c r="W10" i="6"/>
  <c r="V14" i="6"/>
  <c r="T7" i="6" l="1"/>
  <c r="U4" i="6"/>
  <c r="X10" i="6"/>
  <c r="W14" i="6"/>
  <c r="U7" i="6" l="1"/>
  <c r="V4" i="6"/>
  <c r="Y10" i="6"/>
  <c r="X14" i="6"/>
  <c r="V7" i="6" l="1"/>
  <c r="W4" i="6"/>
  <c r="Z10" i="6"/>
  <c r="Y14" i="6"/>
  <c r="W7" i="6" l="1"/>
  <c r="X4" i="6"/>
  <c r="AA10" i="6"/>
  <c r="Z14" i="6"/>
  <c r="Y4" i="6" l="1"/>
  <c r="X7" i="6"/>
  <c r="AA14" i="6"/>
  <c r="AB10" i="6"/>
  <c r="Z4" i="6" l="1"/>
  <c r="Y7" i="6"/>
  <c r="AB14" i="6"/>
  <c r="AC10" i="6"/>
  <c r="Z7" i="6" l="1"/>
  <c r="AA4" i="6"/>
  <c r="AD10" i="6"/>
  <c r="AC14" i="6"/>
  <c r="AA7" i="6" l="1"/>
  <c r="AB4" i="6"/>
  <c r="AE10" i="6"/>
  <c r="AD14" i="6"/>
  <c r="AB7" i="6" l="1"/>
  <c r="AC4" i="6"/>
  <c r="AF10" i="6"/>
  <c r="AE14" i="6"/>
  <c r="AC7" i="6" l="1"/>
  <c r="AD4" i="6"/>
  <c r="AG10" i="6"/>
  <c r="AF14" i="6"/>
  <c r="AD7" i="6" l="1"/>
  <c r="AE4" i="6"/>
  <c r="AH10" i="6"/>
  <c r="AG14" i="6"/>
  <c r="AE7" i="6" l="1"/>
  <c r="AF4" i="6"/>
  <c r="AI10" i="6"/>
  <c r="AH14" i="6"/>
  <c r="AF7" i="6" l="1"/>
  <c r="AG4" i="6"/>
  <c r="AJ10" i="6"/>
  <c r="AI14" i="6"/>
  <c r="AH4" i="6" l="1"/>
  <c r="AG7" i="6"/>
  <c r="AK10" i="6"/>
  <c r="AJ14" i="6"/>
  <c r="AH7" i="6" l="1"/>
  <c r="AI4" i="6"/>
  <c r="AL10" i="6"/>
  <c r="AK14" i="6"/>
  <c r="AI7" i="6" l="1"/>
  <c r="AJ4" i="6"/>
  <c r="AM10" i="6"/>
  <c r="AL14" i="6"/>
  <c r="AJ7" i="6" l="1"/>
  <c r="AK4" i="6"/>
  <c r="AN10" i="6"/>
  <c r="AM14" i="6"/>
  <c r="AK7" i="6" l="1"/>
  <c r="AL4" i="6"/>
  <c r="AO10" i="6"/>
  <c r="AN14" i="6"/>
  <c r="AL7" i="6" l="1"/>
  <c r="AM4" i="6"/>
  <c r="AP10" i="6"/>
  <c r="AO14" i="6"/>
  <c r="AN4" i="6" l="1"/>
  <c r="AM7" i="6"/>
  <c r="AQ10" i="6"/>
  <c r="AP14" i="6"/>
  <c r="AN7" i="6" l="1"/>
  <c r="AO4" i="6"/>
  <c r="AQ14" i="6"/>
  <c r="AR10" i="6"/>
  <c r="AO7" i="6" l="1"/>
  <c r="AP4" i="6"/>
  <c r="AS10" i="6"/>
  <c r="AR14" i="6"/>
  <c r="AQ4" i="6" l="1"/>
  <c r="AP7" i="6"/>
  <c r="AS14" i="6"/>
  <c r="AT10" i="6"/>
  <c r="AR4" i="6" l="1"/>
  <c r="AQ7" i="6"/>
  <c r="AU10" i="6"/>
  <c r="AT14" i="6"/>
  <c r="AR7" i="6" l="1"/>
  <c r="AS4" i="6"/>
  <c r="AV10" i="6"/>
  <c r="AU14" i="6"/>
  <c r="AS7" i="6" l="1"/>
  <c r="AT4" i="6"/>
  <c r="AW10" i="6"/>
  <c r="AV14" i="6"/>
  <c r="AT7" i="6" l="1"/>
  <c r="AU4" i="6"/>
  <c r="AX10" i="6"/>
  <c r="AW14" i="6"/>
  <c r="AV4" i="6" l="1"/>
  <c r="AU7" i="6"/>
  <c r="AY10" i="6"/>
  <c r="AX14" i="6"/>
  <c r="AW4" i="6" l="1"/>
  <c r="AV7" i="6"/>
  <c r="AZ10" i="6"/>
  <c r="AY14" i="6"/>
  <c r="AW7" i="6" l="1"/>
  <c r="AX4" i="6"/>
  <c r="BA10" i="6"/>
  <c r="AZ14" i="6"/>
  <c r="AX7" i="6" l="1"/>
  <c r="AY4" i="6"/>
  <c r="BB10" i="6"/>
  <c r="BA14" i="6"/>
  <c r="AY7" i="6" l="1"/>
  <c r="AZ4" i="6"/>
  <c r="BC10" i="6"/>
  <c r="BB14" i="6"/>
  <c r="AZ7" i="6" l="1"/>
  <c r="BA4" i="6"/>
  <c r="BD10" i="6"/>
  <c r="BC14" i="6"/>
  <c r="BA7" i="6" l="1"/>
  <c r="BB4" i="6"/>
  <c r="BE10" i="6"/>
  <c r="BD14" i="6"/>
  <c r="BB7" i="6" l="1"/>
  <c r="BC4" i="6"/>
  <c r="BF10" i="6"/>
  <c r="BE14" i="6"/>
  <c r="BD4" i="6" l="1"/>
  <c r="BC7" i="6"/>
  <c r="BG10" i="6"/>
  <c r="BF14" i="6"/>
  <c r="BE4" i="6" l="1"/>
  <c r="BD7" i="6"/>
  <c r="BH10" i="6"/>
  <c r="BG14" i="6"/>
  <c r="BF4" i="6" l="1"/>
  <c r="BE7" i="6"/>
  <c r="BI10" i="6"/>
  <c r="BH14" i="6"/>
  <c r="BF7" i="6" l="1"/>
  <c r="BG4" i="6"/>
  <c r="BJ10" i="6"/>
  <c r="BI14" i="6"/>
  <c r="BH4" i="6" l="1"/>
  <c r="BG7" i="6"/>
  <c r="BK10" i="6"/>
  <c r="BJ14" i="6"/>
  <c r="BH7" i="6" l="1"/>
  <c r="BI4" i="6"/>
  <c r="BL10" i="6"/>
  <c r="BK14" i="6"/>
  <c r="BI7" i="6" l="1"/>
  <c r="BJ4" i="6"/>
  <c r="BM10" i="6"/>
  <c r="BL14" i="6"/>
  <c r="BJ7" i="6" l="1"/>
  <c r="BK4" i="6"/>
  <c r="BN10" i="6"/>
  <c r="BM14" i="6"/>
  <c r="BK7" i="6" l="1"/>
  <c r="BL4" i="6"/>
  <c r="BO10" i="6"/>
  <c r="BN14" i="6"/>
  <c r="BL7" i="6" l="1"/>
  <c r="BM4" i="6"/>
  <c r="BP10" i="6"/>
  <c r="BO14" i="6"/>
  <c r="BN4" i="6" l="1"/>
  <c r="BM7" i="6"/>
  <c r="BQ10" i="6"/>
  <c r="BP14" i="6"/>
  <c r="BN7" i="6" l="1"/>
  <c r="BO4" i="6"/>
  <c r="BR10" i="6"/>
  <c r="BQ14" i="6"/>
  <c r="BO7" i="6" l="1"/>
  <c r="BP4" i="6"/>
  <c r="BS10" i="6"/>
  <c r="BR14" i="6"/>
  <c r="BP7" i="6" l="1"/>
  <c r="BQ4" i="6"/>
  <c r="BT10" i="6"/>
  <c r="BS14" i="6"/>
  <c r="BQ7" i="6" l="1"/>
  <c r="BR4" i="6"/>
  <c r="BU10" i="6"/>
  <c r="BT14" i="6"/>
  <c r="BR7" i="6" l="1"/>
  <c r="BS4" i="6"/>
  <c r="BV10" i="6"/>
  <c r="BU14" i="6"/>
  <c r="BS7" i="6" l="1"/>
  <c r="BT4" i="6"/>
  <c r="BV14" i="6"/>
  <c r="BW10" i="6"/>
  <c r="BT7" i="6" l="1"/>
  <c r="BU4" i="6"/>
  <c r="BX10" i="6"/>
  <c r="BW14" i="6"/>
  <c r="BU7" i="6" l="1"/>
  <c r="BV4" i="6"/>
  <c r="BX14" i="6"/>
  <c r="BY10" i="6"/>
  <c r="BV7" i="6" l="1"/>
  <c r="BW4" i="6"/>
  <c r="BZ10" i="6"/>
  <c r="BY14" i="6"/>
  <c r="BW7" i="6" l="1"/>
  <c r="BX4" i="6"/>
  <c r="BZ14" i="6"/>
  <c r="CA10" i="6"/>
  <c r="BX7" i="6" l="1"/>
  <c r="BY4" i="6"/>
  <c r="CB10" i="6"/>
  <c r="CA14" i="6"/>
  <c r="BY7" i="6" l="1"/>
  <c r="BZ4" i="6"/>
  <c r="CC10" i="6"/>
  <c r="CB14" i="6"/>
  <c r="BZ7" i="6" l="1"/>
  <c r="CA4" i="6"/>
  <c r="CD10" i="6"/>
  <c r="CC14" i="6"/>
  <c r="CB4" i="6" l="1"/>
  <c r="CA7" i="6"/>
  <c r="CE10" i="6"/>
  <c r="CD14" i="6"/>
  <c r="CC4" i="6" l="1"/>
  <c r="CB7" i="6"/>
  <c r="CF10" i="6"/>
  <c r="CE14" i="6"/>
  <c r="CC7" i="6" l="1"/>
  <c r="CD4" i="6"/>
  <c r="CG10" i="6"/>
  <c r="CF14" i="6"/>
  <c r="CD7" i="6" l="1"/>
  <c r="CE4" i="6"/>
  <c r="CH10" i="6"/>
  <c r="CG14" i="6"/>
  <c r="CE7" i="6" l="1"/>
  <c r="CF4" i="6"/>
  <c r="CI10" i="6"/>
  <c r="CH14" i="6"/>
  <c r="CF7" i="6" l="1"/>
  <c r="CG4" i="6"/>
  <c r="CJ10" i="6"/>
  <c r="CI14" i="6"/>
  <c r="CG7" i="6" l="1"/>
  <c r="CH4" i="6"/>
  <c r="CK10" i="6"/>
  <c r="CJ14" i="6"/>
  <c r="CI4" i="6" l="1"/>
  <c r="CH7" i="6"/>
  <c r="CL10" i="6"/>
  <c r="CK14" i="6"/>
  <c r="CI7" i="6" l="1"/>
  <c r="CJ4" i="6"/>
  <c r="CM10" i="6"/>
  <c r="CL14" i="6"/>
  <c r="CK4" i="6" l="1"/>
  <c r="CJ7" i="6"/>
  <c r="CN10" i="6"/>
  <c r="CM14" i="6"/>
  <c r="CK7" i="6" l="1"/>
  <c r="CL4" i="6"/>
  <c r="CO10" i="6"/>
  <c r="CN14" i="6"/>
  <c r="CL7" i="6" l="1"/>
  <c r="CM4" i="6"/>
  <c r="CP10" i="6"/>
  <c r="CO14" i="6"/>
  <c r="CM7" i="6" l="1"/>
  <c r="CN4" i="6"/>
  <c r="CQ10" i="6"/>
  <c r="CP14" i="6"/>
  <c r="CN7" i="6" l="1"/>
  <c r="CO4" i="6"/>
  <c r="CR10" i="6"/>
  <c r="CQ14" i="6"/>
  <c r="CO7" i="6" l="1"/>
  <c r="CP4" i="6"/>
  <c r="CS10" i="6"/>
  <c r="CR14" i="6"/>
  <c r="CP7" i="6" l="1"/>
  <c r="CQ4" i="6"/>
  <c r="CT10" i="6"/>
  <c r="CS14" i="6"/>
  <c r="CQ7" i="6" l="1"/>
  <c r="CR4" i="6"/>
  <c r="CT14" i="6"/>
  <c r="CU10" i="6"/>
  <c r="CR7" i="6" l="1"/>
  <c r="CS4" i="6"/>
  <c r="CV10" i="6"/>
  <c r="CU14" i="6"/>
  <c r="CT4" i="6" l="1"/>
  <c r="CS7" i="6"/>
  <c r="CV14" i="6"/>
  <c r="CW10" i="6"/>
  <c r="CT7" i="6" l="1"/>
  <c r="CU4" i="6"/>
  <c r="CX10" i="6"/>
  <c r="CW14" i="6"/>
  <c r="CU7" i="6" l="1"/>
  <c r="CV4" i="6"/>
  <c r="CY10" i="6"/>
  <c r="CX14" i="6"/>
  <c r="CV7" i="6" l="1"/>
  <c r="CW4" i="6"/>
  <c r="CZ10" i="6"/>
  <c r="CY14" i="6"/>
  <c r="CW7" i="6" l="1"/>
  <c r="CX4" i="6"/>
  <c r="DA10" i="6"/>
  <c r="CZ14" i="6"/>
  <c r="CX7" i="6" l="1"/>
  <c r="CY4" i="6"/>
  <c r="DB10" i="6"/>
  <c r="DA14" i="6"/>
  <c r="CZ4" i="6" l="1"/>
  <c r="CY7" i="6"/>
  <c r="DC10" i="6"/>
  <c r="DB14" i="6"/>
  <c r="CZ7" i="6" l="1"/>
  <c r="DA4" i="6"/>
  <c r="DD10" i="6"/>
  <c r="DC14" i="6"/>
  <c r="DA7" i="6" l="1"/>
  <c r="DB4" i="6"/>
  <c r="DE10" i="6"/>
  <c r="DD14" i="6"/>
  <c r="DB7" i="6" l="1"/>
  <c r="DC4" i="6"/>
  <c r="DF10" i="6"/>
  <c r="DE14" i="6"/>
  <c r="DC7" i="6" l="1"/>
  <c r="DD4" i="6"/>
  <c r="DG10" i="6"/>
  <c r="DF14" i="6"/>
  <c r="DD7" i="6" l="1"/>
  <c r="DE4" i="6"/>
  <c r="DH10" i="6"/>
  <c r="DG14" i="6"/>
  <c r="DE7" i="6" l="1"/>
  <c r="DF4" i="6"/>
  <c r="DI10" i="6"/>
  <c r="DH14" i="6"/>
  <c r="DF7" i="6" l="1"/>
  <c r="DG4" i="6"/>
  <c r="DJ10" i="6"/>
  <c r="DI14" i="6"/>
  <c r="DH4" i="6" l="1"/>
  <c r="DG7" i="6"/>
  <c r="DK10" i="6"/>
  <c r="DJ14" i="6"/>
  <c r="DI4" i="6" l="1"/>
  <c r="DH7" i="6"/>
  <c r="DL10" i="6"/>
  <c r="DK14" i="6"/>
  <c r="DI7" i="6" l="1"/>
  <c r="DJ4" i="6"/>
  <c r="DM10" i="6"/>
  <c r="DL14" i="6"/>
  <c r="DJ7" i="6" l="1"/>
  <c r="DK4" i="6"/>
  <c r="DN10" i="6"/>
  <c r="DM14" i="6"/>
  <c r="DK7" i="6" l="1"/>
  <c r="DL4" i="6"/>
  <c r="DN14" i="6"/>
  <c r="DO10" i="6"/>
  <c r="DL7" i="6" l="1"/>
  <c r="DM4" i="6"/>
  <c r="DP10" i="6"/>
  <c r="DO14" i="6"/>
  <c r="DM7" i="6" l="1"/>
  <c r="DN4" i="6"/>
  <c r="DQ10" i="6"/>
  <c r="DP14" i="6"/>
  <c r="DN7" i="6" l="1"/>
  <c r="DO4" i="6"/>
  <c r="DR10" i="6"/>
  <c r="DQ14" i="6"/>
  <c r="DO7" i="6" l="1"/>
  <c r="DP4" i="6"/>
  <c r="DS10" i="6"/>
  <c r="DR14" i="6"/>
  <c r="DQ4" i="6" l="1"/>
  <c r="DP7" i="6"/>
  <c r="DS14" i="6"/>
  <c r="DT10" i="6"/>
  <c r="DR4" i="6" l="1"/>
  <c r="DQ7" i="6"/>
  <c r="DU10" i="6"/>
  <c r="DT14" i="6"/>
  <c r="DR7" i="6" l="1"/>
  <c r="DS4" i="6"/>
  <c r="DU14" i="6"/>
  <c r="DV10" i="6"/>
  <c r="DS7" i="6" l="1"/>
  <c r="DT4" i="6"/>
  <c r="DW10" i="6"/>
  <c r="DV14" i="6"/>
  <c r="DT7" i="6" l="1"/>
  <c r="DU4" i="6"/>
  <c r="DW14" i="6"/>
  <c r="DX10" i="6"/>
  <c r="DU7" i="6" l="1"/>
  <c r="DV4" i="6"/>
  <c r="DY10" i="6"/>
  <c r="DX14" i="6"/>
  <c r="DV7" i="6" l="1"/>
  <c r="DW4" i="6"/>
  <c r="DZ10" i="6"/>
  <c r="DY14" i="6"/>
  <c r="DW7" i="6" l="1"/>
  <c r="DX4" i="6"/>
  <c r="EA10" i="6"/>
  <c r="DZ14" i="6"/>
  <c r="DX7" i="6" l="1"/>
  <c r="DY4" i="6"/>
  <c r="EB10" i="6"/>
  <c r="EA14" i="6"/>
  <c r="DY7" i="6" l="1"/>
  <c r="DZ4" i="6"/>
  <c r="EC10" i="6"/>
  <c r="EB14" i="6"/>
  <c r="DZ7" i="6" l="1"/>
  <c r="EA4" i="6"/>
  <c r="ED10" i="6"/>
  <c r="EC14" i="6"/>
  <c r="EB4" i="6" l="1"/>
  <c r="EA7" i="6"/>
  <c r="EE10" i="6"/>
  <c r="ED14" i="6"/>
  <c r="EB7" i="6" l="1"/>
  <c r="EC4" i="6"/>
  <c r="EF10" i="6"/>
  <c r="EE14" i="6"/>
  <c r="EC7" i="6" l="1"/>
  <c r="ED4" i="6"/>
  <c r="EG10" i="6"/>
  <c r="EF14" i="6"/>
  <c r="ED7" i="6" l="1"/>
  <c r="EE4" i="6"/>
  <c r="EH10" i="6"/>
  <c r="EG14" i="6"/>
  <c r="EE7" i="6" l="1"/>
  <c r="EF4" i="6"/>
  <c r="EH14" i="6"/>
  <c r="EI10" i="6"/>
  <c r="EF7" i="6" l="1"/>
  <c r="EG4" i="6"/>
  <c r="EJ10" i="6"/>
  <c r="EI14" i="6"/>
  <c r="EG7" i="6" l="1"/>
  <c r="EH4" i="6"/>
  <c r="EJ14" i="6"/>
  <c r="EK10" i="6"/>
  <c r="EH7" i="6" l="1"/>
  <c r="EI4" i="6"/>
  <c r="EL10" i="6"/>
  <c r="EK14" i="6"/>
  <c r="EI7" i="6" l="1"/>
  <c r="EJ4" i="6"/>
  <c r="EM10" i="6"/>
  <c r="EL14" i="6"/>
  <c r="EJ7" i="6" l="1"/>
  <c r="EK4" i="6"/>
  <c r="EN10" i="6"/>
  <c r="EM14" i="6"/>
  <c r="EK7" i="6" l="1"/>
  <c r="EL4" i="6"/>
  <c r="EO10" i="6"/>
  <c r="EN14" i="6"/>
  <c r="EL7" i="6" l="1"/>
  <c r="EM4" i="6"/>
  <c r="EP10" i="6"/>
  <c r="EO14" i="6"/>
  <c r="EN4" i="6" l="1"/>
  <c r="EM7" i="6"/>
  <c r="EQ10" i="6"/>
  <c r="EP14" i="6"/>
  <c r="EO4" i="6" l="1"/>
  <c r="EN7" i="6"/>
  <c r="ER10" i="6"/>
  <c r="EQ14" i="6"/>
  <c r="EO7" i="6" l="1"/>
  <c r="EP4" i="6"/>
  <c r="ES10" i="6"/>
  <c r="ER14" i="6"/>
  <c r="EP7" i="6" l="1"/>
  <c r="EQ4" i="6"/>
  <c r="ET10" i="6"/>
  <c r="ES14" i="6"/>
  <c r="EQ7" i="6" l="1"/>
  <c r="ER4" i="6"/>
  <c r="EU10" i="6"/>
  <c r="ET14" i="6"/>
  <c r="ER7" i="6" l="1"/>
  <c r="ES4" i="6"/>
  <c r="EV10" i="6"/>
  <c r="EU14" i="6"/>
  <c r="ES7" i="6" l="1"/>
  <c r="ET4" i="6"/>
  <c r="EW10" i="6"/>
  <c r="EV14" i="6"/>
  <c r="ET7" i="6" l="1"/>
  <c r="EU4" i="6"/>
  <c r="EX10" i="6"/>
  <c r="EW14" i="6"/>
  <c r="EV4" i="6" l="1"/>
  <c r="EU7" i="6"/>
  <c r="EY10" i="6"/>
  <c r="EX14" i="6"/>
  <c r="EW4" i="6" l="1"/>
  <c r="EV7" i="6"/>
  <c r="EZ10" i="6"/>
  <c r="EY14" i="6"/>
  <c r="EW7" i="6" l="1"/>
  <c r="EX4" i="6"/>
  <c r="EZ14" i="6"/>
  <c r="FA10" i="6"/>
  <c r="EX7" i="6" l="1"/>
  <c r="EY4" i="6"/>
  <c r="FB10" i="6"/>
  <c r="FA14" i="6"/>
  <c r="EY7" i="6" l="1"/>
  <c r="EZ4" i="6"/>
  <c r="FC10" i="6"/>
  <c r="FB14" i="6"/>
  <c r="EZ7" i="6" l="1"/>
  <c r="FA4" i="6"/>
  <c r="FD10" i="6"/>
  <c r="FC14" i="6"/>
  <c r="FA7" i="6" l="1"/>
  <c r="FB4" i="6"/>
  <c r="FE10" i="6"/>
  <c r="FD14" i="6"/>
  <c r="FB7" i="6" l="1"/>
  <c r="FC4" i="6"/>
  <c r="FF10" i="6"/>
  <c r="FE14" i="6"/>
  <c r="FC7" i="6" l="1"/>
  <c r="FD4" i="6"/>
  <c r="FG10" i="6"/>
  <c r="FF14" i="6"/>
  <c r="FD7" i="6" l="1"/>
  <c r="FE4" i="6"/>
  <c r="FH10" i="6"/>
  <c r="FG14" i="6"/>
  <c r="FF4" i="6" l="1"/>
  <c r="FE7" i="6"/>
  <c r="FI10" i="6"/>
  <c r="FH14" i="6"/>
  <c r="FF7" i="6" l="1"/>
  <c r="FG4" i="6"/>
  <c r="FJ10" i="6"/>
  <c r="FI14" i="6"/>
  <c r="FG7" i="6" l="1"/>
  <c r="FH4" i="6"/>
  <c r="FJ14" i="6"/>
  <c r="FK10" i="6"/>
  <c r="FH7" i="6" l="1"/>
  <c r="FI4" i="6"/>
  <c r="FL10" i="6"/>
  <c r="FK14" i="6"/>
  <c r="FI7" i="6" l="1"/>
  <c r="FJ4" i="6"/>
  <c r="FM10" i="6"/>
  <c r="FL14" i="6"/>
  <c r="FJ7" i="6" l="1"/>
  <c r="FK4" i="6"/>
  <c r="FN10" i="6"/>
  <c r="FM14" i="6"/>
  <c r="FL4" i="6" l="1"/>
  <c r="FK7" i="6"/>
  <c r="FN14" i="6"/>
  <c r="FO10" i="6"/>
  <c r="FL7" i="6" l="1"/>
  <c r="FM4" i="6"/>
  <c r="FP10" i="6"/>
  <c r="FO14" i="6"/>
  <c r="FN4" i="6" l="1"/>
  <c r="FM7" i="6"/>
  <c r="FQ10" i="6"/>
  <c r="FP14" i="6"/>
  <c r="FN7" i="6" l="1"/>
  <c r="FO4" i="6"/>
  <c r="FR10" i="6"/>
  <c r="FQ14" i="6"/>
  <c r="FO7" i="6" l="1"/>
  <c r="FP4" i="6"/>
  <c r="FR14" i="6"/>
  <c r="FS10" i="6"/>
  <c r="FP7" i="6" l="1"/>
  <c r="FQ4" i="6"/>
  <c r="FT10" i="6"/>
  <c r="FS14" i="6"/>
  <c r="FQ7" i="6" l="1"/>
  <c r="FR4" i="6"/>
  <c r="FU10" i="6"/>
  <c r="FT14" i="6"/>
  <c r="FR7" i="6" l="1"/>
  <c r="FS4" i="6"/>
  <c r="FV10" i="6"/>
  <c r="FU14" i="6"/>
  <c r="FT4" i="6" l="1"/>
  <c r="FS7" i="6"/>
  <c r="FW10" i="6"/>
  <c r="FV14" i="6"/>
  <c r="FU4" i="6" l="1"/>
  <c r="FT7" i="6"/>
  <c r="FX10" i="6"/>
  <c r="FW14" i="6"/>
  <c r="FU7" i="6" l="1"/>
  <c r="FV4" i="6"/>
  <c r="FY10" i="6"/>
  <c r="FX14" i="6"/>
  <c r="FV7" i="6" l="1"/>
  <c r="FW4" i="6"/>
  <c r="FZ10" i="6"/>
  <c r="FY14" i="6"/>
  <c r="FW7" i="6" l="1"/>
  <c r="FX4" i="6"/>
  <c r="GA10" i="6"/>
  <c r="FZ14" i="6"/>
  <c r="FX7" i="6" l="1"/>
  <c r="FY4" i="6"/>
  <c r="GB10" i="6"/>
  <c r="GA14" i="6"/>
  <c r="FZ4" i="6" l="1"/>
  <c r="FY7" i="6"/>
  <c r="GC10" i="6"/>
  <c r="GB14" i="6"/>
  <c r="FZ7" i="6" l="1"/>
  <c r="GA4" i="6"/>
  <c r="GD10" i="6"/>
  <c r="GC14" i="6"/>
  <c r="GA7" i="6" l="1"/>
  <c r="GB4" i="6"/>
  <c r="GE10" i="6"/>
  <c r="GD14" i="6"/>
  <c r="GC4" i="6" l="1"/>
  <c r="GB7" i="6"/>
  <c r="GF10" i="6"/>
  <c r="GE14" i="6"/>
  <c r="GD4" i="6" l="1"/>
  <c r="GC7" i="6"/>
  <c r="GF14" i="6"/>
  <c r="GG10" i="6"/>
  <c r="GD7" i="6" l="1"/>
  <c r="GE4" i="6"/>
  <c r="GH10" i="6"/>
  <c r="GG14" i="6"/>
  <c r="GE7" i="6" l="1"/>
  <c r="GF4" i="6"/>
  <c r="GI10" i="6"/>
  <c r="GH14" i="6"/>
  <c r="GF7" i="6" l="1"/>
  <c r="GG4" i="6"/>
  <c r="GJ10" i="6"/>
  <c r="GI14" i="6"/>
  <c r="GG7" i="6" l="1"/>
  <c r="GH4" i="6"/>
  <c r="GK10" i="6"/>
  <c r="GJ14" i="6"/>
  <c r="GH7" i="6" l="1"/>
  <c r="GI4" i="6"/>
  <c r="GL10" i="6"/>
  <c r="GK14" i="6"/>
  <c r="GJ4" i="6" l="1"/>
  <c r="GI7" i="6"/>
  <c r="GM10" i="6"/>
  <c r="GL14" i="6"/>
  <c r="GJ7" i="6" l="1"/>
  <c r="GK4" i="6"/>
  <c r="GN10" i="6"/>
  <c r="GM14" i="6"/>
  <c r="GL4" i="6" l="1"/>
  <c r="GK7" i="6"/>
  <c r="GO10" i="6"/>
  <c r="GN14" i="6"/>
  <c r="GL7" i="6" l="1"/>
  <c r="GM4" i="6"/>
  <c r="GP10" i="6"/>
  <c r="GO14" i="6"/>
  <c r="GM7" i="6" l="1"/>
  <c r="GN4" i="6"/>
  <c r="GQ10" i="6"/>
  <c r="GP14" i="6"/>
  <c r="GN7" i="6" l="1"/>
  <c r="GO4" i="6"/>
  <c r="GR10" i="6"/>
  <c r="GQ14" i="6"/>
  <c r="GO7" i="6" l="1"/>
  <c r="GP4" i="6"/>
  <c r="GS10" i="6"/>
  <c r="GR14" i="6"/>
  <c r="GP7" i="6" l="1"/>
  <c r="GQ4" i="6"/>
  <c r="GS14" i="6"/>
  <c r="GT10" i="6"/>
  <c r="GQ7" i="6" l="1"/>
  <c r="GR4" i="6"/>
  <c r="GU10" i="6"/>
  <c r="GT14" i="6"/>
  <c r="GR7" i="6" l="1"/>
  <c r="GS4" i="6"/>
  <c r="GU14" i="6"/>
  <c r="GV10" i="6"/>
  <c r="GS7" i="6" l="1"/>
  <c r="GT4" i="6"/>
  <c r="GV14" i="6"/>
  <c r="GW10" i="6"/>
  <c r="GT7" i="6" l="1"/>
  <c r="GU4" i="6"/>
  <c r="GX10" i="6"/>
  <c r="GW14" i="6"/>
  <c r="GU7" i="6" l="1"/>
  <c r="GV4" i="6"/>
  <c r="GY10" i="6"/>
  <c r="GX14" i="6"/>
  <c r="GV7" i="6" l="1"/>
  <c r="GW4" i="6"/>
  <c r="GZ10" i="6"/>
  <c r="GY14" i="6"/>
  <c r="GW7" i="6" l="1"/>
  <c r="GX4" i="6"/>
  <c r="HA10" i="6"/>
  <c r="GZ14" i="6"/>
  <c r="GX7" i="6" l="1"/>
  <c r="GY4" i="6"/>
  <c r="HB10" i="6"/>
  <c r="HA14" i="6"/>
  <c r="GZ4" i="6" l="1"/>
  <c r="GY7" i="6"/>
  <c r="HC10" i="6"/>
  <c r="HB14" i="6"/>
  <c r="HA4" i="6" l="1"/>
  <c r="GZ7" i="6"/>
  <c r="HD10" i="6"/>
  <c r="HC14" i="6"/>
  <c r="HA7" i="6" l="1"/>
  <c r="HB4" i="6"/>
  <c r="HD14" i="6"/>
  <c r="HE10" i="6"/>
  <c r="HB7" i="6" l="1"/>
  <c r="HC4" i="6"/>
  <c r="HF10" i="6"/>
  <c r="HE14" i="6"/>
  <c r="HC7" i="6" l="1"/>
  <c r="HD4" i="6"/>
  <c r="HG10" i="6"/>
  <c r="HF14" i="6"/>
  <c r="HD7" i="6" l="1"/>
  <c r="HE4" i="6"/>
  <c r="HG14" i="6"/>
  <c r="HH10" i="6"/>
  <c r="HE7" i="6" l="1"/>
  <c r="HF4" i="6"/>
  <c r="HI10" i="6"/>
  <c r="HH14" i="6"/>
  <c r="HF7" i="6" l="1"/>
  <c r="HG4" i="6"/>
  <c r="HJ10" i="6"/>
  <c r="HI14" i="6"/>
  <c r="HG7" i="6" l="1"/>
  <c r="HH4" i="6"/>
  <c r="HK10" i="6"/>
  <c r="HJ14" i="6"/>
  <c r="HI4" i="6" l="1"/>
  <c r="HH7" i="6"/>
  <c r="HK14" i="6"/>
  <c r="HL10" i="6"/>
  <c r="HJ4" i="6" l="1"/>
  <c r="HI7" i="6"/>
  <c r="HL14" i="6"/>
  <c r="HM10" i="6"/>
  <c r="HJ7" i="6" l="1"/>
  <c r="HK4" i="6"/>
  <c r="HN10" i="6"/>
  <c r="HM14" i="6"/>
  <c r="HK7" i="6" l="1"/>
  <c r="HL4" i="6"/>
  <c r="HN14" i="6"/>
  <c r="HO10" i="6"/>
  <c r="HL7" i="6" l="1"/>
  <c r="HM4" i="6"/>
  <c r="HP10" i="6"/>
  <c r="HO14" i="6"/>
  <c r="HM7" i="6" l="1"/>
  <c r="HN4" i="6"/>
  <c r="HQ10" i="6"/>
  <c r="HP14" i="6"/>
  <c r="HN7" i="6" l="1"/>
  <c r="HO4" i="6"/>
  <c r="HR10" i="6"/>
  <c r="HQ14" i="6"/>
  <c r="HO7" i="6" l="1"/>
  <c r="HP4" i="6"/>
  <c r="HS10" i="6"/>
  <c r="HR14" i="6"/>
  <c r="HP7" i="6" l="1"/>
  <c r="HQ4" i="6"/>
  <c r="HT10" i="6"/>
  <c r="HS14" i="6"/>
  <c r="HR4" i="6" l="1"/>
  <c r="HQ7" i="6"/>
  <c r="HU10" i="6"/>
  <c r="HT14" i="6"/>
  <c r="HR7" i="6" l="1"/>
  <c r="HS4" i="6"/>
  <c r="HV10" i="6"/>
  <c r="HU14" i="6"/>
  <c r="HS7" i="6" l="1"/>
  <c r="HT4" i="6"/>
  <c r="HW10" i="6"/>
  <c r="HV14" i="6"/>
  <c r="HT7" i="6" l="1"/>
  <c r="HU4" i="6"/>
  <c r="HX10" i="6"/>
  <c r="HW14" i="6"/>
  <c r="HU7" i="6" l="1"/>
  <c r="HV4" i="6"/>
  <c r="HY10" i="6"/>
  <c r="HX14" i="6"/>
  <c r="HV7" i="6" l="1"/>
  <c r="HW4" i="6"/>
  <c r="HZ10" i="6"/>
  <c r="HY14" i="6"/>
  <c r="HX4" i="6" l="1"/>
  <c r="HW7" i="6"/>
  <c r="IA10" i="6"/>
  <c r="HZ14" i="6"/>
  <c r="HX7" i="6" l="1"/>
  <c r="HY4" i="6"/>
  <c r="IB10" i="6"/>
  <c r="IA14" i="6"/>
  <c r="HY7" i="6" l="1"/>
  <c r="HZ4" i="6"/>
  <c r="IC10" i="6"/>
  <c r="IB14" i="6"/>
  <c r="HZ7" i="6" l="1"/>
  <c r="IA4" i="6"/>
  <c r="ID10" i="6"/>
  <c r="IC14" i="6"/>
  <c r="IA7" i="6" l="1"/>
  <c r="IB4" i="6"/>
  <c r="IE10" i="6"/>
  <c r="ID14" i="6"/>
  <c r="IB7" i="6" l="1"/>
  <c r="IC4" i="6"/>
  <c r="IF10" i="6"/>
  <c r="IE14" i="6"/>
  <c r="IC7" i="6" l="1"/>
  <c r="ID4" i="6"/>
  <c r="IG10" i="6"/>
  <c r="IF14" i="6"/>
  <c r="ID7" i="6" l="1"/>
  <c r="IE4" i="6"/>
  <c r="IH10" i="6"/>
  <c r="IG14" i="6"/>
  <c r="IF4" i="6" l="1"/>
  <c r="IE7" i="6"/>
  <c r="II10" i="6"/>
  <c r="IH14" i="6"/>
  <c r="IF7" i="6" l="1"/>
  <c r="IG4" i="6"/>
  <c r="IJ10" i="6"/>
  <c r="II14" i="6"/>
  <c r="IG7" i="6" l="1"/>
  <c r="IH4" i="6"/>
  <c r="IK10" i="6"/>
  <c r="IJ14" i="6"/>
  <c r="IH7" i="6" l="1"/>
  <c r="II4" i="6"/>
  <c r="IL10" i="6"/>
  <c r="IK14" i="6"/>
  <c r="II7" i="6" l="1"/>
  <c r="IJ4" i="6"/>
  <c r="IM10" i="6"/>
  <c r="IL14" i="6"/>
  <c r="IJ7" i="6" l="1"/>
  <c r="IK4" i="6"/>
  <c r="IN10" i="6"/>
  <c r="IM14" i="6"/>
  <c r="IK7" i="6" l="1"/>
  <c r="IL4" i="6"/>
  <c r="IO10" i="6"/>
  <c r="IN14" i="6"/>
  <c r="IM4" i="6" l="1"/>
  <c r="IL7" i="6"/>
  <c r="IP10" i="6"/>
  <c r="IO14" i="6"/>
  <c r="IM7" i="6" l="1"/>
  <c r="IN4" i="6"/>
  <c r="IQ10" i="6"/>
  <c r="IP14" i="6"/>
  <c r="IO4" i="6" l="1"/>
  <c r="IN7" i="6"/>
  <c r="IR10" i="6"/>
  <c r="IQ14" i="6"/>
  <c r="IP4" i="6" l="1"/>
  <c r="IO7" i="6"/>
  <c r="IS10" i="6"/>
  <c r="IR14" i="6"/>
  <c r="IP7" i="6" l="1"/>
  <c r="IQ4" i="6"/>
  <c r="IS14" i="6"/>
  <c r="IT10" i="6"/>
  <c r="IQ7" i="6" l="1"/>
  <c r="IR4" i="6"/>
  <c r="IT14" i="6"/>
  <c r="IU10" i="6"/>
  <c r="IR7" i="6" l="1"/>
  <c r="IS4" i="6"/>
  <c r="IV10" i="6"/>
  <c r="IU14" i="6"/>
  <c r="IS7" i="6" l="1"/>
  <c r="IT4" i="6"/>
  <c r="IW10" i="6"/>
  <c r="IV14" i="6"/>
  <c r="IT7" i="6" l="1"/>
  <c r="IU4" i="6"/>
  <c r="IX10" i="6"/>
  <c r="IW14" i="6"/>
  <c r="IU7" i="6" l="1"/>
  <c r="IV4" i="6"/>
  <c r="IY10" i="6"/>
  <c r="IX14" i="6"/>
  <c r="IV7" i="6" l="1"/>
  <c r="IW4" i="6"/>
  <c r="IZ10" i="6"/>
  <c r="IY14" i="6"/>
  <c r="IX4" i="6" l="1"/>
  <c r="IW7" i="6"/>
  <c r="JA10" i="6"/>
  <c r="IZ14" i="6"/>
  <c r="IX7" i="6" l="1"/>
  <c r="IY4" i="6"/>
  <c r="JB10" i="6"/>
  <c r="JA14" i="6"/>
  <c r="IY7" i="6" l="1"/>
  <c r="IZ4" i="6"/>
  <c r="JB14" i="6"/>
  <c r="JC10" i="6"/>
  <c r="JA4" i="6" l="1"/>
  <c r="IZ7" i="6"/>
  <c r="JC14" i="6"/>
  <c r="JD10" i="6"/>
  <c r="JA7" i="6" l="1"/>
  <c r="JB4" i="6"/>
  <c r="JE10" i="6"/>
  <c r="JD14" i="6"/>
  <c r="JB7" i="6" l="1"/>
  <c r="JC4" i="6"/>
  <c r="JF10" i="6"/>
  <c r="JE14" i="6"/>
  <c r="JD4" i="6" l="1"/>
  <c r="JC7" i="6"/>
  <c r="JG10" i="6"/>
  <c r="JF14" i="6"/>
  <c r="JE4" i="6" l="1"/>
  <c r="JD7" i="6"/>
  <c r="JH10" i="6"/>
  <c r="JG14" i="6"/>
  <c r="JE7" i="6" l="1"/>
  <c r="JF4" i="6"/>
  <c r="JI10" i="6"/>
  <c r="JH14" i="6"/>
  <c r="JF7" i="6" l="1"/>
  <c r="JG4" i="6"/>
  <c r="JJ10" i="6"/>
  <c r="JI14" i="6"/>
  <c r="JG7" i="6" l="1"/>
  <c r="JH4" i="6"/>
  <c r="JK10" i="6"/>
  <c r="JJ14" i="6"/>
  <c r="JH7" i="6" l="1"/>
  <c r="JI4" i="6"/>
  <c r="JL10" i="6"/>
  <c r="JK14" i="6"/>
  <c r="JI7" i="6" l="1"/>
  <c r="JJ4" i="6"/>
  <c r="JM10" i="6"/>
  <c r="JL14" i="6"/>
  <c r="JJ7" i="6" l="1"/>
  <c r="JK4" i="6"/>
  <c r="JN10" i="6"/>
  <c r="JM14" i="6"/>
  <c r="JL4" i="6" l="1"/>
  <c r="JK7" i="6"/>
  <c r="JO10" i="6"/>
  <c r="JN14" i="6"/>
  <c r="JM4" i="6" l="1"/>
  <c r="JL7" i="6"/>
  <c r="JP10" i="6"/>
  <c r="JO14" i="6"/>
  <c r="JM7" i="6" l="1"/>
  <c r="JN4" i="6"/>
  <c r="JQ10" i="6"/>
  <c r="JP14" i="6"/>
  <c r="JN7" i="6" l="1"/>
  <c r="JO4" i="6"/>
  <c r="JR10" i="6"/>
  <c r="JQ14" i="6"/>
  <c r="JO7" i="6" l="1"/>
  <c r="JP4" i="6"/>
  <c r="JS10" i="6"/>
  <c r="JR14" i="6"/>
  <c r="JP7" i="6" l="1"/>
  <c r="JQ4" i="6"/>
  <c r="JT10" i="6"/>
  <c r="JS14" i="6"/>
  <c r="JQ7" i="6" l="1"/>
  <c r="JR4" i="6"/>
  <c r="JT14" i="6"/>
  <c r="JU10" i="6"/>
  <c r="JR7" i="6" l="1"/>
  <c r="JS4" i="6"/>
  <c r="JU14" i="6"/>
  <c r="JV10" i="6"/>
  <c r="JT4" i="6" l="1"/>
  <c r="JS7" i="6"/>
  <c r="JW10" i="6"/>
  <c r="JV14" i="6"/>
  <c r="JU4" i="6" l="1"/>
  <c r="JT7" i="6"/>
  <c r="JX10" i="6"/>
  <c r="JW14" i="6"/>
  <c r="JU7" i="6" l="1"/>
  <c r="JV4" i="6"/>
  <c r="JX14" i="6"/>
  <c r="JY10" i="6"/>
  <c r="JV7" i="6" l="1"/>
  <c r="JW4" i="6"/>
  <c r="JY14" i="6"/>
  <c r="JZ10" i="6"/>
  <c r="JW7" i="6" l="1"/>
  <c r="JX4" i="6"/>
  <c r="KA10" i="6"/>
  <c r="JZ14" i="6"/>
  <c r="JX7" i="6" l="1"/>
  <c r="JY4" i="6"/>
  <c r="KB10" i="6"/>
  <c r="KA14" i="6"/>
  <c r="JY7" i="6" l="1"/>
  <c r="JZ4" i="6"/>
  <c r="KC10" i="6"/>
  <c r="KB14" i="6"/>
  <c r="KA4" i="6" l="1"/>
  <c r="JZ7" i="6"/>
  <c r="KD10" i="6"/>
  <c r="KC14" i="6"/>
  <c r="KA7" i="6" l="1"/>
  <c r="KB4" i="6"/>
  <c r="KE10" i="6"/>
  <c r="KD14" i="6"/>
  <c r="KB7" i="6" l="1"/>
  <c r="KC4" i="6"/>
  <c r="KF10" i="6"/>
  <c r="KF14" i="6" s="1"/>
  <c r="KE14" i="6"/>
  <c r="KD4" i="6" l="1"/>
  <c r="KC7" i="6"/>
  <c r="KD7" i="6" l="1"/>
  <c r="KE4" i="6"/>
  <c r="KE7" i="6" l="1"/>
  <c r="KF4" i="6"/>
  <c r="KF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  <author>tc={4761CD0E-2967-46F4-A568-6767BB8F4544}</author>
    <author>tc={6DD0D10D-EB49-40CD-A26D-9A8A1782F953}</author>
    <author>tc={6517F740-851C-4374-BECA-78E9E1396D55}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  <comment ref="T46" authorId="2" shapeId="0" xr:uid="{4761CD0E-2967-46F4-A568-6767BB8F454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requested invoice</t>
      </text>
    </comment>
    <comment ref="T93" authorId="3" shapeId="0" xr:uid="{6DD0D10D-EB49-40CD-A26D-9A8A1782F9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requested
</t>
      </text>
    </comment>
    <comment ref="Q121" authorId="4" shapeId="0" xr:uid="{6517F740-851C-4374-BECA-78E9E1396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60k </t>
      </text>
    </comment>
  </commentList>
</comments>
</file>

<file path=xl/sharedStrings.xml><?xml version="1.0" encoding="utf-8"?>
<sst xmlns="http://schemas.openxmlformats.org/spreadsheetml/2006/main" count="822" uniqueCount="468">
  <si>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</si>
  <si>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</si>
  <si>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</si>
  <si>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</si>
  <si>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</si>
  <si>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</si>
  <si>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</si>
  <si>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</si>
  <si>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</si>
  <si>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</si>
  <si>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</si>
  <si>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</si>
  <si>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</si>
  <si>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</si>
  <si>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</si>
  <si>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</si>
  <si>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</si>
  <si>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</si>
  <si>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</si>
  <si>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</si>
  <si>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</si>
  <si>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</si>
  <si>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</si>
  <si>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</si>
  <si>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</si>
  <si>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</si>
  <si>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</si>
  <si>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</si>
  <si>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</si>
  <si>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</si>
  <si>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</si>
  <si>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</si>
  <si>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</si>
  <si>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</si>
  <si>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</si>
  <si>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</si>
  <si>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</si>
  <si>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</si>
  <si>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</si>
  <si>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</si>
  <si>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</si>
  <si>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</si>
  <si>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</si>
  <si>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</si>
  <si>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</si>
  <si>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</si>
  <si>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</si>
  <si>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</si>
  <si>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</si>
  <si>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</si>
  <si>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</si>
  <si>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</si>
  <si>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</si>
  <si>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</si>
  <si>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</si>
  <si>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</si>
  <si>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</si>
  <si>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</si>
  <si>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</si>
  <si>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</si>
  <si>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</si>
  <si>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</si>
  <si>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</si>
  <si>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</si>
  <si>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</si>
  <si>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</si>
  <si>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</si>
  <si>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</si>
  <si>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</si>
  <si>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</si>
  <si>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</si>
  <si>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</si>
  <si>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</si>
  <si>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</si>
  <si>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</si>
  <si>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</si>
  <si>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</si>
  <si>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</si>
  <si>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</si>
  <si>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</si>
  <si>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</si>
  <si>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</si>
  <si>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</si>
  <si>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</si>
  <si>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</si>
  <si>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</si>
  <si>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</si>
  <si>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</si>
  <si>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</si>
  <si>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</si>
  <si>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</si>
  <si>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</si>
  <si>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</si>
  <si>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</si>
  <si>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</si>
  <si>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</si>
  <si>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</si>
  <si>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</si>
  <si>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</si>
  <si>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</si>
  <si>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</si>
  <si>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</si>
  <si>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</si>
  <si>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</si>
  <si>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</si>
  <si>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</si>
  <si>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</si>
  <si>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</si>
  <si>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</si>
  <si>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</si>
  <si>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</si>
  <si>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</si>
  <si>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</si>
  <si>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</si>
  <si>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</si>
  <si>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</si>
  <si>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</si>
  <si>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</si>
  <si>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</si>
  <si>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</si>
  <si>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</si>
  <si>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</si>
  <si>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</si>
  <si>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</si>
  <si>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</si>
  <si>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</si>
  <si>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</si>
  <si>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</si>
  <si>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</si>
  <si>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</si>
  <si>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</si>
  <si>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</si>
  <si>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</si>
  <si>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</si>
  <si>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</si>
  <si>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</si>
  <si>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</si>
  <si>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</si>
  <si>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</si>
  <si>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</si>
  <si>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</si>
  <si>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</si>
  <si>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</si>
  <si>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</si>
  <si>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</si>
  <si>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</si>
  <si>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</si>
  <si>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</si>
  <si>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</si>
  <si>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</si>
  <si>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</si>
  <si>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</si>
  <si>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</si>
  <si>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</si>
  <si>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</si>
  <si>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</si>
  <si>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</si>
  <si>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</si>
  <si>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</si>
  <si>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</si>
  <si>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</si>
  <si>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</si>
  <si>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</si>
  <si>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</si>
  <si>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</si>
  <si>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</si>
  <si>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</si>
  <si>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</si>
  <si>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</si>
  <si>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</si>
  <si>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</si>
  <si>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</si>
  <si>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</si>
  <si>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</si>
  <si>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</si>
  <si>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</si>
  <si>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</si>
  <si>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</si>
  <si>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</si>
  <si>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</si>
  <si>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</si>
  <si>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</si>
  <si>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</si>
  <si>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</si>
  <si>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</si>
  <si>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</si>
  <si>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</si>
  <si>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</si>
  <si>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</si>
  <si>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</si>
  <si>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</si>
  <si>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</si>
  <si>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</si>
  <si>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</si>
  <si>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</si>
  <si>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</si>
  <si>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</si>
  <si>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</si>
  <si>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</si>
  <si>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</si>
  <si>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</si>
  <si>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</si>
  <si>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</si>
  <si>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</si>
  <si>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</si>
  <si>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</si>
  <si>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</si>
  <si>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</si>
  <si>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</si>
  <si>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</si>
  <si>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</si>
  <si>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</si>
  <si>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</si>
  <si>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</si>
  <si>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</si>
  <si>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</si>
  <si>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</si>
  <si>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</si>
  <si>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</si>
  <si>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</si>
  <si>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</si>
  <si>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</si>
  <si>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</si>
  <si>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</si>
  <si>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</si>
  <si>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</si>
  <si>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</si>
  <si>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</si>
  <si>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</si>
  <si>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</si>
  <si>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</si>
  <si>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</si>
  <si>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</si>
  <si>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</si>
  <si>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</si>
  <si>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</si>
  <si>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</si>
  <si>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</si>
  <si>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</si>
  <si>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</si>
  <si>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</si>
  <si>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</si>
  <si>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</si>
  <si>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</si>
  <si>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</si>
  <si>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</si>
  <si>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</si>
  <si>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</si>
  <si>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</si>
  <si>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</si>
  <si>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</si>
  <si>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</si>
  <si>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</si>
  <si>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</si>
  <si>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</si>
  <si>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</si>
  <si>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</si>
  <si>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</si>
  <si>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</si>
  <si>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</si>
  <si>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</si>
  <si>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</si>
  <si>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</si>
  <si>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</si>
  <si>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</si>
  <si>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</si>
  <si>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</si>
  <si>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</si>
  <si>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</si>
  <si>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</si>
  <si>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</si>
  <si>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</si>
  <si>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</si>
  <si>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</si>
  <si>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</si>
  <si>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</si>
  <si>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</si>
  <si>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</si>
  <si>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</si>
  <si>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</si>
  <si>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</si>
  <si>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</si>
  <si>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</si>
  <si>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</si>
  <si>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</si>
  <si>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</si>
  <si>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</si>
  <si>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</si>
  <si>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</si>
  <si>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</si>
  <si>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</si>
  <si>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</si>
  <si>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</si>
  <si>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</si>
  <si>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</si>
  <si>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</si>
  <si>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</si>
  <si>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</si>
  <si>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</si>
  <si>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</si>
  <si>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</si>
  <si>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</si>
  <si>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</si>
  <si>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</si>
  <si>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</si>
  <si>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</si>
  <si>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</si>
  <si>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</si>
  <si>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</si>
  <si>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</si>
  <si>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250x Rapid cross connector 90 Pro</t>
  </si>
  <si>
    <t>Schletter - INV002650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</si>
  <si>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</si>
  <si>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</si>
  <si>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</si>
  <si>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</si>
  <si>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</si>
  <si>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</si>
  <si>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</si>
  <si>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</si>
  <si>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</si>
  <si>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</si>
  <si>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</si>
  <si>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</si>
  <si>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</si>
  <si>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</si>
  <si>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</si>
  <si>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Photon Solar INV-0168</t>
  </si>
  <si>
    <t>Logistics</t>
  </si>
  <si>
    <t>DC Installation Complete</t>
  </si>
  <si>
    <t>Photon Solar INV-0169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</si>
  <si>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</si>
  <si>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</si>
  <si>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</si>
  <si>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</si>
  <si>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</si>
  <si>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</si>
  <si>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</si>
  <si>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</si>
  <si>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</si>
  <si>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</si>
  <si>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</si>
  <si>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</si>
  <si>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</si>
  <si>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</si>
  <si>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Matriarch - INV-6577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</si>
  <si>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</si>
  <si>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</si>
  <si>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</si>
  <si>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</si>
  <si>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</si>
  <si>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</si>
  <si>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</si>
  <si>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</si>
  <si>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</si>
  <si>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</si>
  <si>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</si>
  <si>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</si>
  <si>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</si>
  <si>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</si>
  <si>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</si>
  <si>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Hisafe - CN00002</t>
  </si>
  <si>
    <t>Air Conditioner  -Equipment</t>
  </si>
  <si>
    <t>Aircon - Supply &amp; Install</t>
  </si>
  <si>
    <t>PO4639-7AP-2026223 - RV Approved</t>
  </si>
  <si>
    <t>AC Direct - ACQuote00075849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</si>
  <si>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</si>
  <si>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</si>
  <si>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</si>
  <si>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</si>
  <si>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</si>
  <si>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</si>
  <si>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</si>
  <si>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</si>
  <si>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</si>
  <si>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</si>
  <si>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</si>
  <si>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 Inv: E044</t>
  </si>
  <si>
    <t>Structural sign off</t>
  </si>
  <si>
    <t>Structural Sign Off</t>
  </si>
  <si>
    <t>L&amp;B Consulting - Inv 2124</t>
  </si>
  <si>
    <t>Scada for CoCT</t>
  </si>
  <si>
    <t>Rubicon - INVRED-0139196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</si>
  <si>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</si>
  <si>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</si>
  <si>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</si>
  <si>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</si>
  <si>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</si>
  <si>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</si>
  <si>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</si>
  <si>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</si>
  <si>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</si>
  <si>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</si>
  <si>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</si>
  <si>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</si>
  <si>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</si>
  <si>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</si>
  <si>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</si>
  <si>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</si>
  <si>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</si>
  <si>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</si>
  <si>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</si>
  <si>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</si>
  <si>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</si>
  <si>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</si>
  <si>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</si>
  <si>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</si>
  <si>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</si>
  <si>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</si>
  <si>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</si>
  <si>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</si>
  <si>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</si>
  <si>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</si>
  <si>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</si>
  <si>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</si>
  <si>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</si>
  <si>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</si>
  <si>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</si>
  <si>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</si>
  <si>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</si>
  <si>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</si>
  <si>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</si>
  <si>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</si>
  <si>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</si>
  <si>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</si>
  <si>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</si>
  <si>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</si>
  <si>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</si>
  <si>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</si>
  <si>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</si>
  <si>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</si>
  <si>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</si>
  <si>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</si>
  <si>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</si>
  <si>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</si>
  <si>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</si>
  <si>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</si>
  <si>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</si>
  <si>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</si>
  <si>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</si>
  <si>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</si>
  <si>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</si>
  <si>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</si>
  <si>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</si>
  <si>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</si>
  <si>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</si>
  <si>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</si>
  <si>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</si>
  <si>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</si>
  <si>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</si>
  <si>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</si>
  <si>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</si>
  <si>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</si>
  <si>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</si>
  <si>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</si>
  <si>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</si>
  <si>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</si>
  <si>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</si>
  <si>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</si>
  <si>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</si>
  <si>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</si>
  <si>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</si>
  <si>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</si>
  <si>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</si>
  <si>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</si>
  <si>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Aircon Install</t>
  </si>
  <si>
    <t>3.6</t>
  </si>
  <si>
    <t>install date not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</si>
</sst>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9" fillId="11" borderId="64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9" fillId="11" borderId="57" xfId="0" applyNumberFormat="1" applyFont="1" applyFill="1" applyBorder="1" applyAlignment="1" applyProtection="1">
      <alignment horizontal="center"/>
      <protection locked="0"/>
    </xf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7" fontId="5" fillId="4" borderId="0" xfId="0" applyNumberFormat="1" applyFont="1" applyFill="1" applyAlignment="1">
      <alignment horizontal="center" vertic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60</c:v>
                  </c:pt>
                  <c:pt idx="7">
                    <c:v>24</c:v>
                  </c:pt>
                  <c:pt idx="8">
                    <c:v>14</c:v>
                  </c:pt>
                  <c:pt idx="9">
                    <c:v>8</c:v>
                  </c:pt>
                  <c:pt idx="10">
                    <c:v>3</c:v>
                  </c:pt>
                  <c:pt idx="11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1033601.4673578634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285131.07999999996</c:v>
                </c:pt>
                <c:pt idx="16">
                  <c:v>285612.32999999996</c:v>
                </c:pt>
                <c:pt idx="17">
                  <c:v>352750.32999999996</c:v>
                </c:pt>
                <c:pt idx="18">
                  <c:v>473598.73</c:v>
                </c:pt>
                <c:pt idx="19">
                  <c:v>482348.73</c:v>
                </c:pt>
                <c:pt idx="20">
                  <c:v>1250011.0624399513</c:v>
                </c:pt>
                <c:pt idx="21">
                  <c:v>1263919.9124399514</c:v>
                </c:pt>
                <c:pt idx="22">
                  <c:v>1263919.9124399514</c:v>
                </c:pt>
                <c:pt idx="23">
                  <c:v>1263919.9124399514</c:v>
                </c:pt>
                <c:pt idx="24">
                  <c:v>1275088.9124399514</c:v>
                </c:pt>
                <c:pt idx="25">
                  <c:v>1275570.1624399514</c:v>
                </c:pt>
                <c:pt idx="26">
                  <c:v>1275570.1624399514</c:v>
                </c:pt>
                <c:pt idx="27">
                  <c:v>1275570.1624399514</c:v>
                </c:pt>
                <c:pt idx="28">
                  <c:v>1425570.1624399514</c:v>
                </c:pt>
                <c:pt idx="29">
                  <c:v>1425570.1624399514</c:v>
                </c:pt>
                <c:pt idx="30">
                  <c:v>1425570.1624399514</c:v>
                </c:pt>
                <c:pt idx="31">
                  <c:v>1425570.1624399514</c:v>
                </c:pt>
                <c:pt idx="32">
                  <c:v>1425570.1624399514</c:v>
                </c:pt>
                <c:pt idx="33">
                  <c:v>1425570.1624399514</c:v>
                </c:pt>
                <c:pt idx="34">
                  <c:v>1425570.1624399514</c:v>
                </c:pt>
                <c:pt idx="35">
                  <c:v>1425570.1624399514</c:v>
                </c:pt>
                <c:pt idx="36">
                  <c:v>1425570.1624399514</c:v>
                </c:pt>
                <c:pt idx="37">
                  <c:v>1425570.1624399514</c:v>
                </c:pt>
                <c:pt idx="38">
                  <c:v>1425570.1624399514</c:v>
                </c:pt>
                <c:pt idx="39">
                  <c:v>1425570.1624399514</c:v>
                </c:pt>
                <c:pt idx="40">
                  <c:v>1425570.1624399514</c:v>
                </c:pt>
                <c:pt idx="41">
                  <c:v>1425570.1624399514</c:v>
                </c:pt>
                <c:pt idx="42">
                  <c:v>1425570.1624399514</c:v>
                </c:pt>
                <c:pt idx="43">
                  <c:v>1425570.1624399514</c:v>
                </c:pt>
                <c:pt idx="44">
                  <c:v>1425570.1624399514</c:v>
                </c:pt>
                <c:pt idx="45">
                  <c:v>1425570.1624399514</c:v>
                </c:pt>
                <c:pt idx="46">
                  <c:v>1425570.1624399514</c:v>
                </c:pt>
                <c:pt idx="47">
                  <c:v>1425570.1624399514</c:v>
                </c:pt>
                <c:pt idx="48">
                  <c:v>1425570.1624399514</c:v>
                </c:pt>
                <c:pt idx="49">
                  <c:v>1425570.1624399514</c:v>
                </c:pt>
                <c:pt idx="50">
                  <c:v>1425570.1624399514</c:v>
                </c:pt>
                <c:pt idx="51">
                  <c:v>1425570.1624399514</c:v>
                </c:pt>
                <c:pt idx="52">
                  <c:v>1425570.1624399514</c:v>
                </c:pt>
                <c:pt idx="53">
                  <c:v>1425570.1624399514</c:v>
                </c:pt>
                <c:pt idx="54">
                  <c:v>1425570.1624399514</c:v>
                </c:pt>
                <c:pt idx="55">
                  <c:v>1425570.1624399514</c:v>
                </c:pt>
                <c:pt idx="56">
                  <c:v>1425570.1624399514</c:v>
                </c:pt>
                <c:pt idx="57">
                  <c:v>1425570.1624399514</c:v>
                </c:pt>
                <c:pt idx="58">
                  <c:v>1425570.1624399514</c:v>
                </c:pt>
                <c:pt idx="59">
                  <c:v>1425570.1624399514</c:v>
                </c:pt>
                <c:pt idx="60">
                  <c:v>1425570.1624399514</c:v>
                </c:pt>
                <c:pt idx="61">
                  <c:v>1425570.1624399514</c:v>
                </c:pt>
                <c:pt idx="62">
                  <c:v>1425570.1624399514</c:v>
                </c:pt>
                <c:pt idx="63">
                  <c:v>1425570.1624399514</c:v>
                </c:pt>
                <c:pt idx="64">
                  <c:v>1425570.1624399514</c:v>
                </c:pt>
                <c:pt idx="65">
                  <c:v>1425570.1624399514</c:v>
                </c:pt>
                <c:pt idx="66">
                  <c:v>1425570.1624399514</c:v>
                </c:pt>
                <c:pt idx="67">
                  <c:v>1425570.1624399514</c:v>
                </c:pt>
                <c:pt idx="68">
                  <c:v>1425570.1624399514</c:v>
                </c:pt>
                <c:pt idx="69">
                  <c:v>1425570.1624399514</c:v>
                </c:pt>
                <c:pt idx="70">
                  <c:v>1425570.1624399514</c:v>
                </c:pt>
                <c:pt idx="71">
                  <c:v>1425570.1624399514</c:v>
                </c:pt>
                <c:pt idx="72">
                  <c:v>1425570.1624399514</c:v>
                </c:pt>
                <c:pt idx="73">
                  <c:v>1425570.1624399514</c:v>
                </c:pt>
                <c:pt idx="74">
                  <c:v>1425570.1624399514</c:v>
                </c:pt>
                <c:pt idx="75">
                  <c:v>1425570.1624399514</c:v>
                </c:pt>
                <c:pt idx="76">
                  <c:v>1425570.1624399514</c:v>
                </c:pt>
                <c:pt idx="77">
                  <c:v>1425570.1624399514</c:v>
                </c:pt>
                <c:pt idx="78">
                  <c:v>1425570.1624399514</c:v>
                </c:pt>
                <c:pt idx="79">
                  <c:v>1425570.1624399514</c:v>
                </c:pt>
                <c:pt idx="80">
                  <c:v>1425570.1624399514</c:v>
                </c:pt>
                <c:pt idx="81">
                  <c:v>1425570.1624399514</c:v>
                </c:pt>
                <c:pt idx="82">
                  <c:v>1425570.1624399514</c:v>
                </c:pt>
                <c:pt idx="83">
                  <c:v>1425570.1624399514</c:v>
                </c:pt>
                <c:pt idx="84">
                  <c:v>1425570.1624399514</c:v>
                </c:pt>
                <c:pt idx="85">
                  <c:v>1425570.1624399514</c:v>
                </c:pt>
                <c:pt idx="86">
                  <c:v>1425570.1624399514</c:v>
                </c:pt>
                <c:pt idx="87">
                  <c:v>1425570.1624399514</c:v>
                </c:pt>
                <c:pt idx="88">
                  <c:v>1425570.1624399514</c:v>
                </c:pt>
                <c:pt idx="89">
                  <c:v>1425570.1624399514</c:v>
                </c:pt>
                <c:pt idx="90">
                  <c:v>1425570.1624399514</c:v>
                </c:pt>
                <c:pt idx="91">
                  <c:v>1425570.1624399514</c:v>
                </c:pt>
                <c:pt idx="92">
                  <c:v>1425570.1624399514</c:v>
                </c:pt>
                <c:pt idx="93">
                  <c:v>1425570.1624399514</c:v>
                </c:pt>
                <c:pt idx="94">
                  <c:v>1425570.1624399514</c:v>
                </c:pt>
                <c:pt idx="95">
                  <c:v>1425570.1624399514</c:v>
                </c:pt>
                <c:pt idx="96">
                  <c:v>1425570.1624399514</c:v>
                </c:pt>
                <c:pt idx="97">
                  <c:v>1425570.1624399514</c:v>
                </c:pt>
                <c:pt idx="98">
                  <c:v>1425570.1624399514</c:v>
                </c:pt>
                <c:pt idx="99">
                  <c:v>1425570.1624399514</c:v>
                </c:pt>
                <c:pt idx="100">
                  <c:v>1425570.1624399514</c:v>
                </c:pt>
                <c:pt idx="101">
                  <c:v>1425570.1624399514</c:v>
                </c:pt>
                <c:pt idx="102">
                  <c:v>1425570.1624399514</c:v>
                </c:pt>
                <c:pt idx="103">
                  <c:v>1425570.1624399514</c:v>
                </c:pt>
                <c:pt idx="104">
                  <c:v>1425570.1624399514</c:v>
                </c:pt>
                <c:pt idx="105">
                  <c:v>1425570.1624399514</c:v>
                </c:pt>
                <c:pt idx="106">
                  <c:v>1425570.1624399514</c:v>
                </c:pt>
                <c:pt idx="107">
                  <c:v>1425570.1624399514</c:v>
                </c:pt>
                <c:pt idx="108">
                  <c:v>1425570.1624399514</c:v>
                </c:pt>
                <c:pt idx="109">
                  <c:v>1425570.1624399514</c:v>
                </c:pt>
                <c:pt idx="110">
                  <c:v>1425570.1624399514</c:v>
                </c:pt>
                <c:pt idx="111">
                  <c:v>1425570.1624399514</c:v>
                </c:pt>
                <c:pt idx="112">
                  <c:v>1425570.1624399514</c:v>
                </c:pt>
                <c:pt idx="113">
                  <c:v>1425570.1624399514</c:v>
                </c:pt>
                <c:pt idx="114">
                  <c:v>1425570.1624399514</c:v>
                </c:pt>
                <c:pt idx="115">
                  <c:v>1425570.1624399514</c:v>
                </c:pt>
                <c:pt idx="116">
                  <c:v>1425570.1624399514</c:v>
                </c:pt>
                <c:pt idx="117">
                  <c:v>1425570.1624399514</c:v>
                </c:pt>
                <c:pt idx="118">
                  <c:v>1425570.1624399514</c:v>
                </c:pt>
                <c:pt idx="119">
                  <c:v>1425570.1624399514</c:v>
                </c:pt>
                <c:pt idx="120">
                  <c:v>1425570.1624399514</c:v>
                </c:pt>
                <c:pt idx="121">
                  <c:v>1425570.1624399514</c:v>
                </c:pt>
                <c:pt idx="122">
                  <c:v>1425570.1624399514</c:v>
                </c:pt>
                <c:pt idx="123">
                  <c:v>1425570.1624399514</c:v>
                </c:pt>
                <c:pt idx="124">
                  <c:v>1425570.1624399514</c:v>
                </c:pt>
                <c:pt idx="125">
                  <c:v>1425570.1624399514</c:v>
                </c:pt>
                <c:pt idx="126">
                  <c:v>1425570.1624399514</c:v>
                </c:pt>
                <c:pt idx="127">
                  <c:v>1425570.1624399514</c:v>
                </c:pt>
                <c:pt idx="128">
                  <c:v>1425570.1624399514</c:v>
                </c:pt>
                <c:pt idx="129">
                  <c:v>1425570.1624399514</c:v>
                </c:pt>
                <c:pt idx="130">
                  <c:v>1425570.1624399514</c:v>
                </c:pt>
                <c:pt idx="131">
                  <c:v>1425570.1624399514</c:v>
                </c:pt>
                <c:pt idx="132">
                  <c:v>1425570.1624399514</c:v>
                </c:pt>
                <c:pt idx="133">
                  <c:v>1425570.1624399514</c:v>
                </c:pt>
                <c:pt idx="134">
                  <c:v>1425570.1624399514</c:v>
                </c:pt>
                <c:pt idx="135">
                  <c:v>1425570.1624399514</c:v>
                </c:pt>
                <c:pt idx="136">
                  <c:v>1425570.1624399514</c:v>
                </c:pt>
                <c:pt idx="137">
                  <c:v>1425570.1624399514</c:v>
                </c:pt>
                <c:pt idx="138">
                  <c:v>1425570.1624399514</c:v>
                </c:pt>
                <c:pt idx="139">
                  <c:v>1425570.1624399514</c:v>
                </c:pt>
                <c:pt idx="140">
                  <c:v>1425570.1624399514</c:v>
                </c:pt>
                <c:pt idx="141">
                  <c:v>1425570.1624399514</c:v>
                </c:pt>
                <c:pt idx="142">
                  <c:v>1425570.1624399514</c:v>
                </c:pt>
                <c:pt idx="143">
                  <c:v>1425570.1624399514</c:v>
                </c:pt>
                <c:pt idx="144">
                  <c:v>1425570.1624399514</c:v>
                </c:pt>
                <c:pt idx="145">
                  <c:v>1425570.1624399514</c:v>
                </c:pt>
                <c:pt idx="146">
                  <c:v>1425570.1624399514</c:v>
                </c:pt>
                <c:pt idx="147">
                  <c:v>1425570.1624399514</c:v>
                </c:pt>
                <c:pt idx="148">
                  <c:v>1425570.1624399514</c:v>
                </c:pt>
                <c:pt idx="149">
                  <c:v>1425570.1624399514</c:v>
                </c:pt>
                <c:pt idx="150">
                  <c:v>1425570.1624399514</c:v>
                </c:pt>
                <c:pt idx="151">
                  <c:v>1425570.1624399514</c:v>
                </c:pt>
                <c:pt idx="152">
                  <c:v>1425570.1624399514</c:v>
                </c:pt>
                <c:pt idx="153">
                  <c:v>1425570.1624399514</c:v>
                </c:pt>
                <c:pt idx="154">
                  <c:v>1425570.1624399514</c:v>
                </c:pt>
                <c:pt idx="155">
                  <c:v>1425570.1624399514</c:v>
                </c:pt>
                <c:pt idx="156">
                  <c:v>1425570.1624399514</c:v>
                </c:pt>
                <c:pt idx="157">
                  <c:v>1425570.1624399514</c:v>
                </c:pt>
                <c:pt idx="158">
                  <c:v>1425570.1624399514</c:v>
                </c:pt>
                <c:pt idx="159">
                  <c:v>1425570.1624399514</c:v>
                </c:pt>
                <c:pt idx="160">
                  <c:v>1425570.1624399514</c:v>
                </c:pt>
                <c:pt idx="161">
                  <c:v>1425570.1624399514</c:v>
                </c:pt>
                <c:pt idx="162">
                  <c:v>1425570.1624399514</c:v>
                </c:pt>
                <c:pt idx="163">
                  <c:v>1425570.1624399514</c:v>
                </c:pt>
                <c:pt idx="164">
                  <c:v>1425570.1624399514</c:v>
                </c:pt>
                <c:pt idx="165">
                  <c:v>1425570.1624399514</c:v>
                </c:pt>
                <c:pt idx="166">
                  <c:v>1425570.1624399514</c:v>
                </c:pt>
                <c:pt idx="167">
                  <c:v>1425570.1624399514</c:v>
                </c:pt>
                <c:pt idx="168">
                  <c:v>1425570.1624399514</c:v>
                </c:pt>
                <c:pt idx="169">
                  <c:v>1425570.1624399514</c:v>
                </c:pt>
                <c:pt idx="170">
                  <c:v>1425570.1624399514</c:v>
                </c:pt>
                <c:pt idx="171">
                  <c:v>1425570.1624399514</c:v>
                </c:pt>
                <c:pt idx="172">
                  <c:v>1425570.1624399514</c:v>
                </c:pt>
                <c:pt idx="173">
                  <c:v>1425570.1624399514</c:v>
                </c:pt>
                <c:pt idx="174">
                  <c:v>1425570.1624399514</c:v>
                </c:pt>
                <c:pt idx="175">
                  <c:v>1425570.1624399514</c:v>
                </c:pt>
                <c:pt idx="176">
                  <c:v>1425570.1624399514</c:v>
                </c:pt>
                <c:pt idx="177">
                  <c:v>1425570.1624399514</c:v>
                </c:pt>
                <c:pt idx="178">
                  <c:v>1425570.1624399514</c:v>
                </c:pt>
                <c:pt idx="179">
                  <c:v>1425570.1624399514</c:v>
                </c:pt>
                <c:pt idx="180">
                  <c:v>1425570.1624399514</c:v>
                </c:pt>
                <c:pt idx="181">
                  <c:v>1425570.1624399514</c:v>
                </c:pt>
                <c:pt idx="182">
                  <c:v>1425570.1624399514</c:v>
                </c:pt>
                <c:pt idx="183">
                  <c:v>1425570.1624399514</c:v>
                </c:pt>
                <c:pt idx="184">
                  <c:v>1425570.1624399514</c:v>
                </c:pt>
                <c:pt idx="185">
                  <c:v>1425570.1624399514</c:v>
                </c:pt>
                <c:pt idx="186">
                  <c:v>1425570.1624399514</c:v>
                </c:pt>
                <c:pt idx="187">
                  <c:v>1425570.1624399514</c:v>
                </c:pt>
                <c:pt idx="188">
                  <c:v>1425570.1624399514</c:v>
                </c:pt>
                <c:pt idx="189">
                  <c:v>1425570.1624399514</c:v>
                </c:pt>
                <c:pt idx="190">
                  <c:v>1425570.1624399514</c:v>
                </c:pt>
                <c:pt idx="191">
                  <c:v>1425570.1624399514</c:v>
                </c:pt>
                <c:pt idx="192">
                  <c:v>1425570.1624399514</c:v>
                </c:pt>
                <c:pt idx="193">
                  <c:v>1425570.1624399514</c:v>
                </c:pt>
                <c:pt idx="194">
                  <c:v>1425570.1624399514</c:v>
                </c:pt>
                <c:pt idx="195">
                  <c:v>1425570.1624399514</c:v>
                </c:pt>
                <c:pt idx="196">
                  <c:v>1425570.1624399514</c:v>
                </c:pt>
                <c:pt idx="197">
                  <c:v>1425570.1624399514</c:v>
                </c:pt>
                <c:pt idx="198">
                  <c:v>1425570.1624399514</c:v>
                </c:pt>
                <c:pt idx="199">
                  <c:v>1425570.1624399514</c:v>
                </c:pt>
                <c:pt idx="200">
                  <c:v>1425570.1624399514</c:v>
                </c:pt>
                <c:pt idx="201">
                  <c:v>1425570.1624399514</c:v>
                </c:pt>
                <c:pt idx="202">
                  <c:v>1425570.1624399514</c:v>
                </c:pt>
                <c:pt idx="203">
                  <c:v>1425570.1624399514</c:v>
                </c:pt>
                <c:pt idx="204">
                  <c:v>1425570.1624399514</c:v>
                </c:pt>
                <c:pt idx="205">
                  <c:v>1425570.1624399514</c:v>
                </c:pt>
                <c:pt idx="206">
                  <c:v>1425570.1624399514</c:v>
                </c:pt>
                <c:pt idx="207">
                  <c:v>1425570.1624399514</c:v>
                </c:pt>
                <c:pt idx="208">
                  <c:v>1425570.1624399514</c:v>
                </c:pt>
                <c:pt idx="209">
                  <c:v>1425570.1624399514</c:v>
                </c:pt>
                <c:pt idx="210">
                  <c:v>1425570.1624399514</c:v>
                </c:pt>
                <c:pt idx="211">
                  <c:v>1425570.1624399514</c:v>
                </c:pt>
                <c:pt idx="212">
                  <c:v>1425570.1624399514</c:v>
                </c:pt>
                <c:pt idx="213">
                  <c:v>1425570.1624399514</c:v>
                </c:pt>
                <c:pt idx="214">
                  <c:v>1425570.1624399514</c:v>
                </c:pt>
                <c:pt idx="215">
                  <c:v>1425570.1624399514</c:v>
                </c:pt>
                <c:pt idx="216">
                  <c:v>1425570.1624399514</c:v>
                </c:pt>
                <c:pt idx="217">
                  <c:v>1425570.1624399514</c:v>
                </c:pt>
                <c:pt idx="218">
                  <c:v>1425570.1624399514</c:v>
                </c:pt>
                <c:pt idx="219">
                  <c:v>1425570.1624399514</c:v>
                </c:pt>
                <c:pt idx="220">
                  <c:v>1425570.1624399514</c:v>
                </c:pt>
                <c:pt idx="221">
                  <c:v>1425570.1624399514</c:v>
                </c:pt>
                <c:pt idx="222">
                  <c:v>1425570.1624399514</c:v>
                </c:pt>
                <c:pt idx="223">
                  <c:v>1425570.1624399514</c:v>
                </c:pt>
                <c:pt idx="224">
                  <c:v>1425570.1624399514</c:v>
                </c:pt>
                <c:pt idx="225">
                  <c:v>1425570.1624399514</c:v>
                </c:pt>
                <c:pt idx="226">
                  <c:v>1425570.1624399514</c:v>
                </c:pt>
                <c:pt idx="227">
                  <c:v>1425570.1624399514</c:v>
                </c:pt>
                <c:pt idx="228">
                  <c:v>1425570.1624399514</c:v>
                </c:pt>
                <c:pt idx="229">
                  <c:v>1425570.1624399514</c:v>
                </c:pt>
                <c:pt idx="230">
                  <c:v>1425570.1624399514</c:v>
                </c:pt>
                <c:pt idx="231">
                  <c:v>1425570.1624399514</c:v>
                </c:pt>
                <c:pt idx="232">
                  <c:v>1425570.1624399514</c:v>
                </c:pt>
                <c:pt idx="233">
                  <c:v>1425570.1624399514</c:v>
                </c:pt>
                <c:pt idx="234">
                  <c:v>1425570.1624399514</c:v>
                </c:pt>
                <c:pt idx="235">
                  <c:v>1425570.1624399514</c:v>
                </c:pt>
                <c:pt idx="236">
                  <c:v>1425570.1624399514</c:v>
                </c:pt>
                <c:pt idx="237">
                  <c:v>1425570.1624399514</c:v>
                </c:pt>
                <c:pt idx="238">
                  <c:v>1425570.1624399514</c:v>
                </c:pt>
                <c:pt idx="239">
                  <c:v>1425570.1624399514</c:v>
                </c:pt>
                <c:pt idx="240">
                  <c:v>1425570.1624399514</c:v>
                </c:pt>
                <c:pt idx="241">
                  <c:v>1425570.1624399514</c:v>
                </c:pt>
                <c:pt idx="242">
                  <c:v>1425570.1624399514</c:v>
                </c:pt>
                <c:pt idx="243">
                  <c:v>1425570.1624399514</c:v>
                </c:pt>
                <c:pt idx="244">
                  <c:v>1425570.1624399514</c:v>
                </c:pt>
                <c:pt idx="245">
                  <c:v>1425570.1624399514</c:v>
                </c:pt>
                <c:pt idx="246">
                  <c:v>1425570.1624399514</c:v>
                </c:pt>
                <c:pt idx="247">
                  <c:v>1425570.1624399514</c:v>
                </c:pt>
                <c:pt idx="248">
                  <c:v>1425570.1624399514</c:v>
                </c:pt>
                <c:pt idx="249">
                  <c:v>1425570.1624399514</c:v>
                </c:pt>
                <c:pt idx="250">
                  <c:v>1425570.1624399514</c:v>
                </c:pt>
                <c:pt idx="251">
                  <c:v>1425570.1624399514</c:v>
                </c:pt>
                <c:pt idx="252">
                  <c:v>1425570.1624399514</c:v>
                </c:pt>
                <c:pt idx="253">
                  <c:v>1425570.1624399514</c:v>
                </c:pt>
                <c:pt idx="254">
                  <c:v>1425570.1624399514</c:v>
                </c:pt>
                <c:pt idx="255">
                  <c:v>1425570.1624399514</c:v>
                </c:pt>
                <c:pt idx="256">
                  <c:v>1425570.1624399514</c:v>
                </c:pt>
                <c:pt idx="257">
                  <c:v>1425570.1624399514</c:v>
                </c:pt>
                <c:pt idx="258">
                  <c:v>1425570.1624399514</c:v>
                </c:pt>
                <c:pt idx="259">
                  <c:v>1425570.1624399514</c:v>
                </c:pt>
                <c:pt idx="260">
                  <c:v>1425570.1624399514</c:v>
                </c:pt>
                <c:pt idx="261">
                  <c:v>1425570.1624399514</c:v>
                </c:pt>
                <c:pt idx="262">
                  <c:v>1425570.1624399514</c:v>
                </c:pt>
                <c:pt idx="263">
                  <c:v>1425570.1624399514</c:v>
                </c:pt>
                <c:pt idx="264">
                  <c:v>1425570.1624399514</c:v>
                </c:pt>
                <c:pt idx="265">
                  <c:v>1425570.1624399514</c:v>
                </c:pt>
                <c:pt idx="266">
                  <c:v>1425570.1624399514</c:v>
                </c:pt>
                <c:pt idx="267">
                  <c:v>1425570.1624399514</c:v>
                </c:pt>
                <c:pt idx="268">
                  <c:v>1425570.1624399514</c:v>
                </c:pt>
                <c:pt idx="269">
                  <c:v>1425570.1624399514</c:v>
                </c:pt>
                <c:pt idx="270">
                  <c:v>1425570.1624399514</c:v>
                </c:pt>
                <c:pt idx="271">
                  <c:v>1425570.1624399514</c:v>
                </c:pt>
                <c:pt idx="272">
                  <c:v>1425570.1624399514</c:v>
                </c:pt>
                <c:pt idx="273">
                  <c:v>1425570.1624399514</c:v>
                </c:pt>
                <c:pt idx="274">
                  <c:v>1425570.1624399514</c:v>
                </c:pt>
                <c:pt idx="275">
                  <c:v>1425570.1624399514</c:v>
                </c:pt>
                <c:pt idx="276">
                  <c:v>1425570.1624399514</c:v>
                </c:pt>
                <c:pt idx="277">
                  <c:v>1425570.1624399514</c:v>
                </c:pt>
                <c:pt idx="278">
                  <c:v>1425570.1624399514</c:v>
                </c:pt>
                <c:pt idx="279">
                  <c:v>1425570.1624399514</c:v>
                </c:pt>
                <c:pt idx="280">
                  <c:v>1425570.1624399514</c:v>
                </c:pt>
                <c:pt idx="281">
                  <c:v>1425570.1624399514</c:v>
                </c:pt>
                <c:pt idx="282">
                  <c:v>1425570.1624399514</c:v>
                </c:pt>
                <c:pt idx="283">
                  <c:v>1425570.1624399514</c:v>
                </c:pt>
                <c:pt idx="284">
                  <c:v>1425570.1624399514</c:v>
                </c:pt>
                <c:pt idx="285">
                  <c:v>1425570.1624399514</c:v>
                </c:pt>
                <c:pt idx="286">
                  <c:v>1425570.1624399514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861708.47735786345</c:v>
                </c:pt>
                <c:pt idx="15">
                  <c:v>1312253.0059166979</c:v>
                </c:pt>
                <c:pt idx="16">
                  <c:v>1311771.7559166979</c:v>
                </c:pt>
                <c:pt idx="17">
                  <c:v>1244633.7559166979</c:v>
                </c:pt>
                <c:pt idx="18">
                  <c:v>1311712.8954363095</c:v>
                </c:pt>
                <c:pt idx="19">
                  <c:v>1396926.6651961152</c:v>
                </c:pt>
                <c:pt idx="20">
                  <c:v>629264.33275616379</c:v>
                </c:pt>
                <c:pt idx="21">
                  <c:v>615355.48275616369</c:v>
                </c:pt>
                <c:pt idx="22">
                  <c:v>615355.48275616369</c:v>
                </c:pt>
                <c:pt idx="23">
                  <c:v>615355.48275616369</c:v>
                </c:pt>
                <c:pt idx="24">
                  <c:v>604186.48275616369</c:v>
                </c:pt>
                <c:pt idx="25">
                  <c:v>603705.23275616369</c:v>
                </c:pt>
                <c:pt idx="26">
                  <c:v>603705.23275616369</c:v>
                </c:pt>
                <c:pt idx="27">
                  <c:v>603705.23275616369</c:v>
                </c:pt>
                <c:pt idx="28">
                  <c:v>453705.23275616369</c:v>
                </c:pt>
                <c:pt idx="29">
                  <c:v>453705.23275616369</c:v>
                </c:pt>
                <c:pt idx="30">
                  <c:v>453705.23275616369</c:v>
                </c:pt>
                <c:pt idx="31">
                  <c:v>453705.23275616369</c:v>
                </c:pt>
                <c:pt idx="32">
                  <c:v>453705.23275616369</c:v>
                </c:pt>
                <c:pt idx="33">
                  <c:v>453705.23275616369</c:v>
                </c:pt>
                <c:pt idx="34">
                  <c:v>453705.23275616369</c:v>
                </c:pt>
                <c:pt idx="35">
                  <c:v>453705.23275616369</c:v>
                </c:pt>
                <c:pt idx="36">
                  <c:v>453705.23275616369</c:v>
                </c:pt>
                <c:pt idx="37">
                  <c:v>453705.23275616369</c:v>
                </c:pt>
                <c:pt idx="38">
                  <c:v>453705.23275616369</c:v>
                </c:pt>
                <c:pt idx="39">
                  <c:v>453705.23275616369</c:v>
                </c:pt>
                <c:pt idx="40">
                  <c:v>453705.23275616369</c:v>
                </c:pt>
                <c:pt idx="41">
                  <c:v>453705.23275616369</c:v>
                </c:pt>
                <c:pt idx="42">
                  <c:v>453705.23275616369</c:v>
                </c:pt>
                <c:pt idx="43">
                  <c:v>453705.23275616369</c:v>
                </c:pt>
                <c:pt idx="44">
                  <c:v>453705.23275616369</c:v>
                </c:pt>
                <c:pt idx="45">
                  <c:v>453705.23275616369</c:v>
                </c:pt>
                <c:pt idx="46">
                  <c:v>453705.23275616369</c:v>
                </c:pt>
                <c:pt idx="47">
                  <c:v>453705.23275616369</c:v>
                </c:pt>
                <c:pt idx="48">
                  <c:v>453705.23275616369</c:v>
                </c:pt>
                <c:pt idx="49">
                  <c:v>453705.23275616369</c:v>
                </c:pt>
                <c:pt idx="50">
                  <c:v>453705.23275616369</c:v>
                </c:pt>
                <c:pt idx="51">
                  <c:v>453705.23275616369</c:v>
                </c:pt>
                <c:pt idx="52">
                  <c:v>453705.23275616369</c:v>
                </c:pt>
                <c:pt idx="53">
                  <c:v>453705.23275616369</c:v>
                </c:pt>
                <c:pt idx="54">
                  <c:v>453705.23275616369</c:v>
                </c:pt>
                <c:pt idx="55">
                  <c:v>453705.23275616369</c:v>
                </c:pt>
                <c:pt idx="56">
                  <c:v>453705.23275616369</c:v>
                </c:pt>
                <c:pt idx="57">
                  <c:v>453705.23275616369</c:v>
                </c:pt>
                <c:pt idx="58">
                  <c:v>453705.23275616369</c:v>
                </c:pt>
                <c:pt idx="59">
                  <c:v>453705.23275616369</c:v>
                </c:pt>
                <c:pt idx="60">
                  <c:v>453705.23275616369</c:v>
                </c:pt>
                <c:pt idx="61">
                  <c:v>453705.23275616369</c:v>
                </c:pt>
                <c:pt idx="62">
                  <c:v>453705.23275616369</c:v>
                </c:pt>
                <c:pt idx="63">
                  <c:v>453705.23275616369</c:v>
                </c:pt>
                <c:pt idx="64">
                  <c:v>453705.23275616369</c:v>
                </c:pt>
                <c:pt idx="65">
                  <c:v>453705.23275616369</c:v>
                </c:pt>
                <c:pt idx="66">
                  <c:v>453705.23275616369</c:v>
                </c:pt>
                <c:pt idx="67">
                  <c:v>453705.23275616369</c:v>
                </c:pt>
                <c:pt idx="68">
                  <c:v>453705.23275616369</c:v>
                </c:pt>
                <c:pt idx="69">
                  <c:v>453705.23275616369</c:v>
                </c:pt>
                <c:pt idx="70">
                  <c:v>453705.23275616369</c:v>
                </c:pt>
                <c:pt idx="71">
                  <c:v>453705.23275616369</c:v>
                </c:pt>
                <c:pt idx="72">
                  <c:v>453705.23275616369</c:v>
                </c:pt>
                <c:pt idx="73">
                  <c:v>453705.23275616369</c:v>
                </c:pt>
                <c:pt idx="74">
                  <c:v>453705.23275616369</c:v>
                </c:pt>
                <c:pt idx="75">
                  <c:v>453705.23275616369</c:v>
                </c:pt>
                <c:pt idx="76">
                  <c:v>453705.23275616369</c:v>
                </c:pt>
                <c:pt idx="77">
                  <c:v>453705.23275616369</c:v>
                </c:pt>
                <c:pt idx="78">
                  <c:v>453705.23275616369</c:v>
                </c:pt>
                <c:pt idx="79">
                  <c:v>453705.23275616369</c:v>
                </c:pt>
                <c:pt idx="80">
                  <c:v>453705.23275616369</c:v>
                </c:pt>
                <c:pt idx="81">
                  <c:v>453705.23275616369</c:v>
                </c:pt>
                <c:pt idx="82">
                  <c:v>453705.23275616369</c:v>
                </c:pt>
                <c:pt idx="83">
                  <c:v>453705.23275616369</c:v>
                </c:pt>
                <c:pt idx="84">
                  <c:v>453705.23275616369</c:v>
                </c:pt>
                <c:pt idx="85">
                  <c:v>453705.23275616369</c:v>
                </c:pt>
                <c:pt idx="86">
                  <c:v>453705.23275616369</c:v>
                </c:pt>
                <c:pt idx="87">
                  <c:v>453705.23275616369</c:v>
                </c:pt>
                <c:pt idx="88">
                  <c:v>453705.23275616369</c:v>
                </c:pt>
                <c:pt idx="89">
                  <c:v>453705.23275616369</c:v>
                </c:pt>
                <c:pt idx="90">
                  <c:v>453705.23275616369</c:v>
                </c:pt>
                <c:pt idx="91">
                  <c:v>453705.23275616369</c:v>
                </c:pt>
                <c:pt idx="92">
                  <c:v>453705.23275616369</c:v>
                </c:pt>
                <c:pt idx="93">
                  <c:v>453705.23275616369</c:v>
                </c:pt>
                <c:pt idx="94">
                  <c:v>453705.23275616369</c:v>
                </c:pt>
                <c:pt idx="95">
                  <c:v>453705.23275616369</c:v>
                </c:pt>
                <c:pt idx="96">
                  <c:v>453705.23275616369</c:v>
                </c:pt>
                <c:pt idx="97">
                  <c:v>453705.23275616369</c:v>
                </c:pt>
                <c:pt idx="98">
                  <c:v>453705.23275616369</c:v>
                </c:pt>
                <c:pt idx="99">
                  <c:v>453705.23275616369</c:v>
                </c:pt>
                <c:pt idx="100">
                  <c:v>453705.23275616369</c:v>
                </c:pt>
                <c:pt idx="101">
                  <c:v>453705.23275616369</c:v>
                </c:pt>
                <c:pt idx="102">
                  <c:v>453705.23275616369</c:v>
                </c:pt>
                <c:pt idx="103">
                  <c:v>453705.23275616369</c:v>
                </c:pt>
                <c:pt idx="104">
                  <c:v>453705.23275616369</c:v>
                </c:pt>
                <c:pt idx="105">
                  <c:v>453705.23275616369</c:v>
                </c:pt>
                <c:pt idx="106">
                  <c:v>453705.23275616369</c:v>
                </c:pt>
                <c:pt idx="107">
                  <c:v>453705.23275616369</c:v>
                </c:pt>
                <c:pt idx="108">
                  <c:v>453705.23275616369</c:v>
                </c:pt>
                <c:pt idx="109">
                  <c:v>453705.23275616369</c:v>
                </c:pt>
                <c:pt idx="110">
                  <c:v>453705.23275616369</c:v>
                </c:pt>
                <c:pt idx="111">
                  <c:v>453705.23275616369</c:v>
                </c:pt>
                <c:pt idx="112">
                  <c:v>453705.23275616369</c:v>
                </c:pt>
                <c:pt idx="113">
                  <c:v>453705.23275616369</c:v>
                </c:pt>
                <c:pt idx="114">
                  <c:v>453705.23275616369</c:v>
                </c:pt>
                <c:pt idx="115">
                  <c:v>453705.23275616369</c:v>
                </c:pt>
                <c:pt idx="116">
                  <c:v>453705.23275616369</c:v>
                </c:pt>
                <c:pt idx="117">
                  <c:v>453705.23275616369</c:v>
                </c:pt>
                <c:pt idx="118">
                  <c:v>453705.23275616369</c:v>
                </c:pt>
                <c:pt idx="119">
                  <c:v>453705.23275616369</c:v>
                </c:pt>
                <c:pt idx="120">
                  <c:v>453705.23275616369</c:v>
                </c:pt>
                <c:pt idx="121">
                  <c:v>453705.23275616369</c:v>
                </c:pt>
                <c:pt idx="122">
                  <c:v>453705.23275616369</c:v>
                </c:pt>
                <c:pt idx="123">
                  <c:v>453705.23275616369</c:v>
                </c:pt>
                <c:pt idx="124">
                  <c:v>453705.23275616369</c:v>
                </c:pt>
                <c:pt idx="125">
                  <c:v>453705.23275616369</c:v>
                </c:pt>
                <c:pt idx="126">
                  <c:v>453705.23275616369</c:v>
                </c:pt>
                <c:pt idx="127">
                  <c:v>453705.23275616369</c:v>
                </c:pt>
                <c:pt idx="128">
                  <c:v>453705.23275616369</c:v>
                </c:pt>
                <c:pt idx="129">
                  <c:v>453705.23275616369</c:v>
                </c:pt>
                <c:pt idx="130">
                  <c:v>453705.23275616369</c:v>
                </c:pt>
                <c:pt idx="131">
                  <c:v>453705.23275616369</c:v>
                </c:pt>
                <c:pt idx="132">
                  <c:v>453705.23275616369</c:v>
                </c:pt>
                <c:pt idx="133">
                  <c:v>453705.23275616369</c:v>
                </c:pt>
                <c:pt idx="134">
                  <c:v>453705.23275616369</c:v>
                </c:pt>
                <c:pt idx="135">
                  <c:v>453705.23275616369</c:v>
                </c:pt>
                <c:pt idx="136">
                  <c:v>453705.23275616369</c:v>
                </c:pt>
                <c:pt idx="137">
                  <c:v>453705.23275616369</c:v>
                </c:pt>
                <c:pt idx="138">
                  <c:v>453705.23275616369</c:v>
                </c:pt>
                <c:pt idx="139">
                  <c:v>453705.23275616369</c:v>
                </c:pt>
                <c:pt idx="140">
                  <c:v>453705.23275616369</c:v>
                </c:pt>
                <c:pt idx="141">
                  <c:v>453705.23275616369</c:v>
                </c:pt>
                <c:pt idx="142">
                  <c:v>453705.23275616369</c:v>
                </c:pt>
                <c:pt idx="143">
                  <c:v>453705.23275616369</c:v>
                </c:pt>
                <c:pt idx="144">
                  <c:v>453705.23275616369</c:v>
                </c:pt>
                <c:pt idx="145">
                  <c:v>453705.23275616369</c:v>
                </c:pt>
                <c:pt idx="146">
                  <c:v>453705.23275616369</c:v>
                </c:pt>
                <c:pt idx="147">
                  <c:v>453705.23275616369</c:v>
                </c:pt>
                <c:pt idx="148">
                  <c:v>453705.23275616369</c:v>
                </c:pt>
                <c:pt idx="149">
                  <c:v>453705.23275616369</c:v>
                </c:pt>
                <c:pt idx="150">
                  <c:v>453705.23275616369</c:v>
                </c:pt>
                <c:pt idx="151">
                  <c:v>453705.23275616369</c:v>
                </c:pt>
                <c:pt idx="152">
                  <c:v>453705.23275616369</c:v>
                </c:pt>
                <c:pt idx="153">
                  <c:v>453705.23275616369</c:v>
                </c:pt>
                <c:pt idx="154">
                  <c:v>453705.23275616369</c:v>
                </c:pt>
                <c:pt idx="155">
                  <c:v>453705.23275616369</c:v>
                </c:pt>
                <c:pt idx="156">
                  <c:v>453705.23275616369</c:v>
                </c:pt>
                <c:pt idx="157">
                  <c:v>453705.23275616369</c:v>
                </c:pt>
                <c:pt idx="158">
                  <c:v>453705.23275616369</c:v>
                </c:pt>
                <c:pt idx="159">
                  <c:v>453705.23275616369</c:v>
                </c:pt>
                <c:pt idx="160">
                  <c:v>453705.23275616369</c:v>
                </c:pt>
                <c:pt idx="161">
                  <c:v>453705.23275616369</c:v>
                </c:pt>
                <c:pt idx="162">
                  <c:v>453705.23275616369</c:v>
                </c:pt>
                <c:pt idx="163">
                  <c:v>453705.23275616369</c:v>
                </c:pt>
                <c:pt idx="164">
                  <c:v>453705.23275616369</c:v>
                </c:pt>
                <c:pt idx="165">
                  <c:v>453705.23275616369</c:v>
                </c:pt>
                <c:pt idx="166">
                  <c:v>453705.23275616369</c:v>
                </c:pt>
                <c:pt idx="167">
                  <c:v>453705.23275616369</c:v>
                </c:pt>
                <c:pt idx="168">
                  <c:v>453705.23275616369</c:v>
                </c:pt>
                <c:pt idx="169">
                  <c:v>453705.23275616369</c:v>
                </c:pt>
                <c:pt idx="170">
                  <c:v>453705.23275616369</c:v>
                </c:pt>
                <c:pt idx="171">
                  <c:v>453705.23275616369</c:v>
                </c:pt>
                <c:pt idx="172">
                  <c:v>453705.23275616369</c:v>
                </c:pt>
                <c:pt idx="173">
                  <c:v>453705.23275616369</c:v>
                </c:pt>
                <c:pt idx="174">
                  <c:v>453705.23275616369</c:v>
                </c:pt>
                <c:pt idx="175">
                  <c:v>453705.23275616369</c:v>
                </c:pt>
                <c:pt idx="176">
                  <c:v>453705.23275616369</c:v>
                </c:pt>
                <c:pt idx="177">
                  <c:v>453705.23275616369</c:v>
                </c:pt>
                <c:pt idx="178">
                  <c:v>453705.23275616369</c:v>
                </c:pt>
                <c:pt idx="179">
                  <c:v>453705.23275616369</c:v>
                </c:pt>
                <c:pt idx="180">
                  <c:v>453705.23275616369</c:v>
                </c:pt>
                <c:pt idx="181">
                  <c:v>453705.23275616369</c:v>
                </c:pt>
                <c:pt idx="182">
                  <c:v>453705.23275616369</c:v>
                </c:pt>
                <c:pt idx="183">
                  <c:v>453705.23275616369</c:v>
                </c:pt>
                <c:pt idx="184">
                  <c:v>453705.23275616369</c:v>
                </c:pt>
                <c:pt idx="185">
                  <c:v>453705.23275616369</c:v>
                </c:pt>
                <c:pt idx="186">
                  <c:v>453705.23275616369</c:v>
                </c:pt>
                <c:pt idx="187">
                  <c:v>453705.23275616369</c:v>
                </c:pt>
                <c:pt idx="188">
                  <c:v>453705.23275616369</c:v>
                </c:pt>
                <c:pt idx="189">
                  <c:v>453705.23275616369</c:v>
                </c:pt>
                <c:pt idx="190">
                  <c:v>453705.23275616369</c:v>
                </c:pt>
                <c:pt idx="191">
                  <c:v>453705.23275616369</c:v>
                </c:pt>
                <c:pt idx="192">
                  <c:v>453705.23275616369</c:v>
                </c:pt>
                <c:pt idx="193">
                  <c:v>453705.23275616369</c:v>
                </c:pt>
                <c:pt idx="194">
                  <c:v>453705.23275616369</c:v>
                </c:pt>
                <c:pt idx="195">
                  <c:v>453705.23275616369</c:v>
                </c:pt>
                <c:pt idx="196">
                  <c:v>453705.23275616369</c:v>
                </c:pt>
                <c:pt idx="197">
                  <c:v>453705.23275616369</c:v>
                </c:pt>
                <c:pt idx="198">
                  <c:v>453705.23275616369</c:v>
                </c:pt>
                <c:pt idx="199">
                  <c:v>453705.23275616369</c:v>
                </c:pt>
                <c:pt idx="200">
                  <c:v>453705.23275616369</c:v>
                </c:pt>
                <c:pt idx="201">
                  <c:v>453705.23275616369</c:v>
                </c:pt>
                <c:pt idx="202">
                  <c:v>453705.23275616369</c:v>
                </c:pt>
                <c:pt idx="203">
                  <c:v>453705.23275616369</c:v>
                </c:pt>
                <c:pt idx="204">
                  <c:v>453705.23275616369</c:v>
                </c:pt>
                <c:pt idx="205">
                  <c:v>453705.23275616369</c:v>
                </c:pt>
                <c:pt idx="206">
                  <c:v>453705.23275616369</c:v>
                </c:pt>
                <c:pt idx="207">
                  <c:v>453705.23275616369</c:v>
                </c:pt>
                <c:pt idx="208">
                  <c:v>453705.23275616369</c:v>
                </c:pt>
                <c:pt idx="209">
                  <c:v>453705.23275616369</c:v>
                </c:pt>
                <c:pt idx="210">
                  <c:v>453705.23275616369</c:v>
                </c:pt>
                <c:pt idx="211">
                  <c:v>453705.23275616369</c:v>
                </c:pt>
                <c:pt idx="212">
                  <c:v>453705.23275616369</c:v>
                </c:pt>
                <c:pt idx="213">
                  <c:v>453705.23275616369</c:v>
                </c:pt>
                <c:pt idx="214">
                  <c:v>453705.23275616369</c:v>
                </c:pt>
                <c:pt idx="215">
                  <c:v>453705.23275616369</c:v>
                </c:pt>
                <c:pt idx="216">
                  <c:v>453705.23275616369</c:v>
                </c:pt>
                <c:pt idx="217">
                  <c:v>453705.23275616369</c:v>
                </c:pt>
                <c:pt idx="218">
                  <c:v>453705.23275616369</c:v>
                </c:pt>
                <c:pt idx="219">
                  <c:v>453705.23275616369</c:v>
                </c:pt>
                <c:pt idx="220">
                  <c:v>453705.23275616369</c:v>
                </c:pt>
                <c:pt idx="221">
                  <c:v>453705.23275616369</c:v>
                </c:pt>
                <c:pt idx="222">
                  <c:v>453705.23275616369</c:v>
                </c:pt>
                <c:pt idx="223">
                  <c:v>453705.23275616369</c:v>
                </c:pt>
                <c:pt idx="224">
                  <c:v>453705.23275616369</c:v>
                </c:pt>
                <c:pt idx="225">
                  <c:v>453705.23275616369</c:v>
                </c:pt>
                <c:pt idx="226">
                  <c:v>453705.23275616369</c:v>
                </c:pt>
                <c:pt idx="227">
                  <c:v>453705.23275616369</c:v>
                </c:pt>
                <c:pt idx="228">
                  <c:v>453705.23275616369</c:v>
                </c:pt>
                <c:pt idx="229">
                  <c:v>453705.23275616369</c:v>
                </c:pt>
                <c:pt idx="230">
                  <c:v>453705.23275616369</c:v>
                </c:pt>
                <c:pt idx="231">
                  <c:v>453705.23275616369</c:v>
                </c:pt>
                <c:pt idx="232">
                  <c:v>453705.23275616369</c:v>
                </c:pt>
                <c:pt idx="233">
                  <c:v>453705.23275616369</c:v>
                </c:pt>
                <c:pt idx="234">
                  <c:v>453705.23275616369</c:v>
                </c:pt>
                <c:pt idx="235">
                  <c:v>453705.23275616369</c:v>
                </c:pt>
                <c:pt idx="236">
                  <c:v>453705.23275616369</c:v>
                </c:pt>
                <c:pt idx="237">
                  <c:v>453705.23275616369</c:v>
                </c:pt>
                <c:pt idx="238">
                  <c:v>453705.23275616369</c:v>
                </c:pt>
                <c:pt idx="239">
                  <c:v>453705.23275616369</c:v>
                </c:pt>
                <c:pt idx="240">
                  <c:v>453705.23275616369</c:v>
                </c:pt>
                <c:pt idx="241">
                  <c:v>453705.23275616369</c:v>
                </c:pt>
                <c:pt idx="242">
                  <c:v>453705.23275616369</c:v>
                </c:pt>
                <c:pt idx="243">
                  <c:v>453705.23275616369</c:v>
                </c:pt>
                <c:pt idx="244">
                  <c:v>453705.23275616369</c:v>
                </c:pt>
                <c:pt idx="245">
                  <c:v>453705.23275616369</c:v>
                </c:pt>
                <c:pt idx="246">
                  <c:v>453705.23275616369</c:v>
                </c:pt>
                <c:pt idx="247">
                  <c:v>453705.23275616369</c:v>
                </c:pt>
                <c:pt idx="248">
                  <c:v>453705.23275616369</c:v>
                </c:pt>
                <c:pt idx="249">
                  <c:v>453705.23275616369</c:v>
                </c:pt>
                <c:pt idx="250">
                  <c:v>453705.23275616369</c:v>
                </c:pt>
                <c:pt idx="251">
                  <c:v>453705.23275616369</c:v>
                </c:pt>
                <c:pt idx="252">
                  <c:v>453705.23275616369</c:v>
                </c:pt>
                <c:pt idx="253">
                  <c:v>453705.23275616369</c:v>
                </c:pt>
                <c:pt idx="254">
                  <c:v>453705.23275616369</c:v>
                </c:pt>
                <c:pt idx="255">
                  <c:v>453705.23275616369</c:v>
                </c:pt>
                <c:pt idx="256">
                  <c:v>453705.23275616369</c:v>
                </c:pt>
                <c:pt idx="257">
                  <c:v>453705.23275616369</c:v>
                </c:pt>
                <c:pt idx="258">
                  <c:v>453705.23275616369</c:v>
                </c:pt>
                <c:pt idx="259">
                  <c:v>453705.23275616369</c:v>
                </c:pt>
                <c:pt idx="260">
                  <c:v>453705.23275616369</c:v>
                </c:pt>
                <c:pt idx="261">
                  <c:v>453705.23275616369</c:v>
                </c:pt>
                <c:pt idx="262">
                  <c:v>453705.23275616369</c:v>
                </c:pt>
                <c:pt idx="263">
                  <c:v>453705.23275616369</c:v>
                </c:pt>
                <c:pt idx="264">
                  <c:v>453705.23275616369</c:v>
                </c:pt>
                <c:pt idx="265">
                  <c:v>453705.23275616369</c:v>
                </c:pt>
                <c:pt idx="266">
                  <c:v>453705.23275616369</c:v>
                </c:pt>
                <c:pt idx="267">
                  <c:v>453705.23275616369</c:v>
                </c:pt>
                <c:pt idx="268">
                  <c:v>453705.23275616369</c:v>
                </c:pt>
                <c:pt idx="269">
                  <c:v>453705.23275616369</c:v>
                </c:pt>
                <c:pt idx="270">
                  <c:v>453705.23275616369</c:v>
                </c:pt>
                <c:pt idx="271">
                  <c:v>453705.23275616369</c:v>
                </c:pt>
                <c:pt idx="272">
                  <c:v>453705.23275616369</c:v>
                </c:pt>
                <c:pt idx="273">
                  <c:v>453705.23275616369</c:v>
                </c:pt>
                <c:pt idx="274">
                  <c:v>453705.23275616369</c:v>
                </c:pt>
                <c:pt idx="275">
                  <c:v>453705.23275616369</c:v>
                </c:pt>
                <c:pt idx="276">
                  <c:v>453705.23275616369</c:v>
                </c:pt>
                <c:pt idx="277">
                  <c:v>453705.23275616369</c:v>
                </c:pt>
                <c:pt idx="278">
                  <c:v>453705.23275616369</c:v>
                </c:pt>
                <c:pt idx="279">
                  <c:v>453705.23275616369</c:v>
                </c:pt>
                <c:pt idx="280">
                  <c:v>453705.23275616369</c:v>
                </c:pt>
                <c:pt idx="281">
                  <c:v>453705.23275616369</c:v>
                </c:pt>
                <c:pt idx="282">
                  <c:v>453705.23275616369</c:v>
                </c:pt>
                <c:pt idx="283">
                  <c:v>453705.23275616369</c:v>
                </c:pt>
                <c:pt idx="284">
                  <c:v>453705.23275616369</c:v>
                </c:pt>
                <c:pt idx="285">
                  <c:v>453705.23275616369</c:v>
                </c:pt>
                <c:pt idx="286">
                  <c:v>453705.23275616369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1748991.1918524904</c:v>
                </c:pt>
                <c:pt idx="16">
                  <c:v>1748991.1918524904</c:v>
                </c:pt>
                <c:pt idx="17">
                  <c:v>1748991.1918524904</c:v>
                </c:pt>
                <c:pt idx="18">
                  <c:v>1748991.1918524904</c:v>
                </c:pt>
                <c:pt idx="19">
                  <c:v>1748991.1918524904</c:v>
                </c:pt>
                <c:pt idx="20">
                  <c:v>1870216.0231671233</c:v>
                </c:pt>
                <c:pt idx="21">
                  <c:v>1870216.0231671233</c:v>
                </c:pt>
                <c:pt idx="22">
                  <c:v>1870216.0231671233</c:v>
                </c:pt>
                <c:pt idx="23">
                  <c:v>1870216.0231671233</c:v>
                </c:pt>
                <c:pt idx="24">
                  <c:v>1870801.570935654</c:v>
                </c:pt>
                <c:pt idx="25">
                  <c:v>1870801.570935654</c:v>
                </c:pt>
                <c:pt idx="26">
                  <c:v>1870801.570935654</c:v>
                </c:pt>
                <c:pt idx="27">
                  <c:v>1870801.570935654</c:v>
                </c:pt>
                <c:pt idx="28">
                  <c:v>1870801.570935654</c:v>
                </c:pt>
                <c:pt idx="29">
                  <c:v>1870801.570935654</c:v>
                </c:pt>
                <c:pt idx="30">
                  <c:v>1870801.570935654</c:v>
                </c:pt>
                <c:pt idx="31">
                  <c:v>1870801.570935654</c:v>
                </c:pt>
                <c:pt idx="32">
                  <c:v>1870801.570935654</c:v>
                </c:pt>
                <c:pt idx="33">
                  <c:v>1870801.570935654</c:v>
                </c:pt>
                <c:pt idx="34">
                  <c:v>1870801.570935654</c:v>
                </c:pt>
                <c:pt idx="35">
                  <c:v>1870801.570935654</c:v>
                </c:pt>
                <c:pt idx="36">
                  <c:v>1870801.570935654</c:v>
                </c:pt>
                <c:pt idx="37">
                  <c:v>1870801.570935654</c:v>
                </c:pt>
                <c:pt idx="38">
                  <c:v>1870801.570935654</c:v>
                </c:pt>
                <c:pt idx="39">
                  <c:v>1870801.570935654</c:v>
                </c:pt>
                <c:pt idx="40">
                  <c:v>1870801.570935654</c:v>
                </c:pt>
                <c:pt idx="41">
                  <c:v>1870801.570935654</c:v>
                </c:pt>
                <c:pt idx="42">
                  <c:v>1870801.570935654</c:v>
                </c:pt>
                <c:pt idx="43">
                  <c:v>1870801.570935654</c:v>
                </c:pt>
                <c:pt idx="44">
                  <c:v>1870801.570935654</c:v>
                </c:pt>
                <c:pt idx="45">
                  <c:v>1870801.570935654</c:v>
                </c:pt>
                <c:pt idx="46">
                  <c:v>1870801.570935654</c:v>
                </c:pt>
                <c:pt idx="47">
                  <c:v>1870801.570935654</c:v>
                </c:pt>
                <c:pt idx="48">
                  <c:v>1870801.570935654</c:v>
                </c:pt>
                <c:pt idx="49">
                  <c:v>1870801.570935654</c:v>
                </c:pt>
                <c:pt idx="50">
                  <c:v>1870801.570935654</c:v>
                </c:pt>
                <c:pt idx="51">
                  <c:v>1870801.570935654</c:v>
                </c:pt>
                <c:pt idx="52">
                  <c:v>1870801.570935654</c:v>
                </c:pt>
                <c:pt idx="53">
                  <c:v>1870801.570935654</c:v>
                </c:pt>
                <c:pt idx="54">
                  <c:v>1870801.570935654</c:v>
                </c:pt>
                <c:pt idx="55">
                  <c:v>1870801.570935654</c:v>
                </c:pt>
                <c:pt idx="56">
                  <c:v>1870801.570935654</c:v>
                </c:pt>
                <c:pt idx="57">
                  <c:v>1870801.570935654</c:v>
                </c:pt>
                <c:pt idx="58">
                  <c:v>1870801.570935654</c:v>
                </c:pt>
                <c:pt idx="59">
                  <c:v>1870801.570935654</c:v>
                </c:pt>
                <c:pt idx="60">
                  <c:v>1870801.570935654</c:v>
                </c:pt>
                <c:pt idx="61">
                  <c:v>1870801.570935654</c:v>
                </c:pt>
                <c:pt idx="62">
                  <c:v>1870801.570935654</c:v>
                </c:pt>
                <c:pt idx="63">
                  <c:v>1870801.570935654</c:v>
                </c:pt>
                <c:pt idx="64">
                  <c:v>1870801.570935654</c:v>
                </c:pt>
                <c:pt idx="65">
                  <c:v>1870801.570935654</c:v>
                </c:pt>
                <c:pt idx="66">
                  <c:v>1870801.570935654</c:v>
                </c:pt>
                <c:pt idx="67">
                  <c:v>1870801.570935654</c:v>
                </c:pt>
                <c:pt idx="68">
                  <c:v>1870801.570935654</c:v>
                </c:pt>
                <c:pt idx="69">
                  <c:v>1870801.570935654</c:v>
                </c:pt>
                <c:pt idx="70">
                  <c:v>1870801.570935654</c:v>
                </c:pt>
                <c:pt idx="71">
                  <c:v>1870801.570935654</c:v>
                </c:pt>
                <c:pt idx="72">
                  <c:v>1870801.570935654</c:v>
                </c:pt>
                <c:pt idx="73">
                  <c:v>1870801.570935654</c:v>
                </c:pt>
                <c:pt idx="74">
                  <c:v>1870801.570935654</c:v>
                </c:pt>
                <c:pt idx="75">
                  <c:v>1870801.570935654</c:v>
                </c:pt>
                <c:pt idx="76">
                  <c:v>1870801.570935654</c:v>
                </c:pt>
                <c:pt idx="77">
                  <c:v>1870801.570935654</c:v>
                </c:pt>
                <c:pt idx="78">
                  <c:v>1870801.570935654</c:v>
                </c:pt>
                <c:pt idx="79">
                  <c:v>1870801.570935654</c:v>
                </c:pt>
                <c:pt idx="80">
                  <c:v>1870801.570935654</c:v>
                </c:pt>
                <c:pt idx="81">
                  <c:v>1870801.570935654</c:v>
                </c:pt>
                <c:pt idx="82">
                  <c:v>1870801.570935654</c:v>
                </c:pt>
                <c:pt idx="83">
                  <c:v>1870801.570935654</c:v>
                </c:pt>
                <c:pt idx="84">
                  <c:v>1870801.570935654</c:v>
                </c:pt>
                <c:pt idx="85">
                  <c:v>1870801.570935654</c:v>
                </c:pt>
                <c:pt idx="86">
                  <c:v>1870801.570935654</c:v>
                </c:pt>
                <c:pt idx="87">
                  <c:v>1870801.570935654</c:v>
                </c:pt>
                <c:pt idx="88">
                  <c:v>1870801.570935654</c:v>
                </c:pt>
                <c:pt idx="89">
                  <c:v>1870801.570935654</c:v>
                </c:pt>
                <c:pt idx="90">
                  <c:v>1870801.570935654</c:v>
                </c:pt>
                <c:pt idx="91">
                  <c:v>1870801.570935654</c:v>
                </c:pt>
                <c:pt idx="92">
                  <c:v>1870801.570935654</c:v>
                </c:pt>
                <c:pt idx="93">
                  <c:v>1870801.570935654</c:v>
                </c:pt>
                <c:pt idx="94">
                  <c:v>1870801.570935654</c:v>
                </c:pt>
                <c:pt idx="95">
                  <c:v>1870801.570935654</c:v>
                </c:pt>
                <c:pt idx="96">
                  <c:v>1870801.570935654</c:v>
                </c:pt>
                <c:pt idx="97">
                  <c:v>1870801.570935654</c:v>
                </c:pt>
                <c:pt idx="98">
                  <c:v>1870801.570935654</c:v>
                </c:pt>
                <c:pt idx="99">
                  <c:v>1870801.570935654</c:v>
                </c:pt>
                <c:pt idx="100">
                  <c:v>1870801.570935654</c:v>
                </c:pt>
                <c:pt idx="101">
                  <c:v>1870801.570935654</c:v>
                </c:pt>
                <c:pt idx="102">
                  <c:v>1870801.570935654</c:v>
                </c:pt>
                <c:pt idx="103">
                  <c:v>1870801.570935654</c:v>
                </c:pt>
                <c:pt idx="104">
                  <c:v>1870801.570935654</c:v>
                </c:pt>
                <c:pt idx="105">
                  <c:v>1870801.570935654</c:v>
                </c:pt>
                <c:pt idx="106">
                  <c:v>1870801.570935654</c:v>
                </c:pt>
                <c:pt idx="107">
                  <c:v>1870801.570935654</c:v>
                </c:pt>
                <c:pt idx="108">
                  <c:v>1870801.570935654</c:v>
                </c:pt>
                <c:pt idx="109">
                  <c:v>1870801.570935654</c:v>
                </c:pt>
                <c:pt idx="110">
                  <c:v>1870801.570935654</c:v>
                </c:pt>
                <c:pt idx="111">
                  <c:v>1870801.570935654</c:v>
                </c:pt>
                <c:pt idx="112">
                  <c:v>1870801.570935654</c:v>
                </c:pt>
                <c:pt idx="113">
                  <c:v>1870801.570935654</c:v>
                </c:pt>
                <c:pt idx="114">
                  <c:v>1870801.570935654</c:v>
                </c:pt>
                <c:pt idx="115">
                  <c:v>1870801.570935654</c:v>
                </c:pt>
                <c:pt idx="116">
                  <c:v>1870801.570935654</c:v>
                </c:pt>
                <c:pt idx="117">
                  <c:v>1870801.570935654</c:v>
                </c:pt>
                <c:pt idx="118">
                  <c:v>1870801.570935654</c:v>
                </c:pt>
                <c:pt idx="119">
                  <c:v>1870801.570935654</c:v>
                </c:pt>
                <c:pt idx="120">
                  <c:v>1870801.570935654</c:v>
                </c:pt>
                <c:pt idx="121">
                  <c:v>1870801.570935654</c:v>
                </c:pt>
                <c:pt idx="122">
                  <c:v>1870801.570935654</c:v>
                </c:pt>
                <c:pt idx="123">
                  <c:v>1870801.570935654</c:v>
                </c:pt>
                <c:pt idx="124">
                  <c:v>1870801.570935654</c:v>
                </c:pt>
                <c:pt idx="125">
                  <c:v>1870801.570935654</c:v>
                </c:pt>
                <c:pt idx="126">
                  <c:v>1870801.570935654</c:v>
                </c:pt>
                <c:pt idx="127">
                  <c:v>1870801.570935654</c:v>
                </c:pt>
                <c:pt idx="128">
                  <c:v>1870801.570935654</c:v>
                </c:pt>
                <c:pt idx="129">
                  <c:v>1870801.570935654</c:v>
                </c:pt>
                <c:pt idx="130">
                  <c:v>1870801.570935654</c:v>
                </c:pt>
                <c:pt idx="131">
                  <c:v>1870801.570935654</c:v>
                </c:pt>
                <c:pt idx="132">
                  <c:v>1870801.570935654</c:v>
                </c:pt>
                <c:pt idx="133">
                  <c:v>1870801.570935654</c:v>
                </c:pt>
                <c:pt idx="134">
                  <c:v>1870801.570935654</c:v>
                </c:pt>
                <c:pt idx="135">
                  <c:v>1870801.570935654</c:v>
                </c:pt>
                <c:pt idx="136">
                  <c:v>1870801.570935654</c:v>
                </c:pt>
                <c:pt idx="137">
                  <c:v>1870801.570935654</c:v>
                </c:pt>
                <c:pt idx="138">
                  <c:v>1870801.570935654</c:v>
                </c:pt>
                <c:pt idx="139">
                  <c:v>1870801.570935654</c:v>
                </c:pt>
                <c:pt idx="140">
                  <c:v>1870801.570935654</c:v>
                </c:pt>
                <c:pt idx="141">
                  <c:v>1870801.570935654</c:v>
                </c:pt>
                <c:pt idx="142">
                  <c:v>1870801.570935654</c:v>
                </c:pt>
                <c:pt idx="143">
                  <c:v>1870801.570935654</c:v>
                </c:pt>
                <c:pt idx="144">
                  <c:v>1870801.570935654</c:v>
                </c:pt>
                <c:pt idx="145">
                  <c:v>1870801.570935654</c:v>
                </c:pt>
                <c:pt idx="146">
                  <c:v>1870801.570935654</c:v>
                </c:pt>
                <c:pt idx="147">
                  <c:v>1870801.570935654</c:v>
                </c:pt>
                <c:pt idx="148">
                  <c:v>1870801.570935654</c:v>
                </c:pt>
                <c:pt idx="149">
                  <c:v>1870801.570935654</c:v>
                </c:pt>
                <c:pt idx="150">
                  <c:v>1870801.570935654</c:v>
                </c:pt>
                <c:pt idx="151">
                  <c:v>1870801.570935654</c:v>
                </c:pt>
                <c:pt idx="152">
                  <c:v>1870801.570935654</c:v>
                </c:pt>
                <c:pt idx="153">
                  <c:v>1870801.570935654</c:v>
                </c:pt>
                <c:pt idx="154">
                  <c:v>1870801.570935654</c:v>
                </c:pt>
                <c:pt idx="155">
                  <c:v>1870801.570935654</c:v>
                </c:pt>
                <c:pt idx="156">
                  <c:v>1870801.570935654</c:v>
                </c:pt>
                <c:pt idx="157">
                  <c:v>1870801.570935654</c:v>
                </c:pt>
                <c:pt idx="158">
                  <c:v>1870801.570935654</c:v>
                </c:pt>
                <c:pt idx="159">
                  <c:v>1870801.570935654</c:v>
                </c:pt>
                <c:pt idx="160">
                  <c:v>1870801.570935654</c:v>
                </c:pt>
                <c:pt idx="161">
                  <c:v>1870801.570935654</c:v>
                </c:pt>
                <c:pt idx="162">
                  <c:v>1870801.570935654</c:v>
                </c:pt>
                <c:pt idx="163">
                  <c:v>1870801.570935654</c:v>
                </c:pt>
                <c:pt idx="164">
                  <c:v>1870801.570935654</c:v>
                </c:pt>
                <c:pt idx="165">
                  <c:v>1870801.570935654</c:v>
                </c:pt>
                <c:pt idx="166">
                  <c:v>1870801.570935654</c:v>
                </c:pt>
                <c:pt idx="167">
                  <c:v>1870801.570935654</c:v>
                </c:pt>
                <c:pt idx="168">
                  <c:v>1870801.570935654</c:v>
                </c:pt>
                <c:pt idx="169">
                  <c:v>1870801.570935654</c:v>
                </c:pt>
                <c:pt idx="170">
                  <c:v>1870801.570935654</c:v>
                </c:pt>
                <c:pt idx="171">
                  <c:v>1870801.570935654</c:v>
                </c:pt>
                <c:pt idx="172">
                  <c:v>1870801.570935654</c:v>
                </c:pt>
                <c:pt idx="173">
                  <c:v>1870801.570935654</c:v>
                </c:pt>
                <c:pt idx="174">
                  <c:v>1870801.570935654</c:v>
                </c:pt>
                <c:pt idx="175">
                  <c:v>1870801.570935654</c:v>
                </c:pt>
                <c:pt idx="176">
                  <c:v>1870801.570935654</c:v>
                </c:pt>
                <c:pt idx="177">
                  <c:v>1870801.570935654</c:v>
                </c:pt>
                <c:pt idx="178">
                  <c:v>1870801.570935654</c:v>
                </c:pt>
                <c:pt idx="179">
                  <c:v>1870801.570935654</c:v>
                </c:pt>
                <c:pt idx="180">
                  <c:v>1870801.570935654</c:v>
                </c:pt>
                <c:pt idx="181">
                  <c:v>1870801.570935654</c:v>
                </c:pt>
                <c:pt idx="182">
                  <c:v>1870801.570935654</c:v>
                </c:pt>
                <c:pt idx="183">
                  <c:v>1870801.570935654</c:v>
                </c:pt>
                <c:pt idx="184">
                  <c:v>1870801.570935654</c:v>
                </c:pt>
                <c:pt idx="185">
                  <c:v>1870801.570935654</c:v>
                </c:pt>
                <c:pt idx="186">
                  <c:v>1870801.570935654</c:v>
                </c:pt>
                <c:pt idx="187">
                  <c:v>1870801.570935654</c:v>
                </c:pt>
                <c:pt idx="188">
                  <c:v>1870801.570935654</c:v>
                </c:pt>
                <c:pt idx="189">
                  <c:v>1870801.570935654</c:v>
                </c:pt>
                <c:pt idx="190">
                  <c:v>1870801.570935654</c:v>
                </c:pt>
                <c:pt idx="191">
                  <c:v>1870801.570935654</c:v>
                </c:pt>
                <c:pt idx="192">
                  <c:v>1870801.570935654</c:v>
                </c:pt>
                <c:pt idx="193">
                  <c:v>1870801.570935654</c:v>
                </c:pt>
                <c:pt idx="194">
                  <c:v>1870801.570935654</c:v>
                </c:pt>
                <c:pt idx="195">
                  <c:v>1870801.570935654</c:v>
                </c:pt>
                <c:pt idx="196">
                  <c:v>1870801.570935654</c:v>
                </c:pt>
                <c:pt idx="197">
                  <c:v>1870801.570935654</c:v>
                </c:pt>
                <c:pt idx="198">
                  <c:v>1870801.570935654</c:v>
                </c:pt>
                <c:pt idx="199">
                  <c:v>1870801.570935654</c:v>
                </c:pt>
                <c:pt idx="200">
                  <c:v>1870801.570935654</c:v>
                </c:pt>
                <c:pt idx="201">
                  <c:v>1870801.570935654</c:v>
                </c:pt>
                <c:pt idx="202">
                  <c:v>1870801.570935654</c:v>
                </c:pt>
                <c:pt idx="203">
                  <c:v>1870801.570935654</c:v>
                </c:pt>
                <c:pt idx="204">
                  <c:v>1870801.570935654</c:v>
                </c:pt>
                <c:pt idx="205">
                  <c:v>1870801.570935654</c:v>
                </c:pt>
                <c:pt idx="206">
                  <c:v>1870801.570935654</c:v>
                </c:pt>
                <c:pt idx="207">
                  <c:v>1870801.570935654</c:v>
                </c:pt>
                <c:pt idx="208">
                  <c:v>1870801.570935654</c:v>
                </c:pt>
                <c:pt idx="209">
                  <c:v>1870801.570935654</c:v>
                </c:pt>
                <c:pt idx="210">
                  <c:v>1870801.570935654</c:v>
                </c:pt>
                <c:pt idx="211">
                  <c:v>1870801.570935654</c:v>
                </c:pt>
                <c:pt idx="212">
                  <c:v>1870801.570935654</c:v>
                </c:pt>
                <c:pt idx="213">
                  <c:v>1870801.570935654</c:v>
                </c:pt>
                <c:pt idx="214">
                  <c:v>1870801.570935654</c:v>
                </c:pt>
                <c:pt idx="215">
                  <c:v>1870801.570935654</c:v>
                </c:pt>
                <c:pt idx="216">
                  <c:v>1870801.570935654</c:v>
                </c:pt>
                <c:pt idx="217">
                  <c:v>1870801.570935654</c:v>
                </c:pt>
                <c:pt idx="218">
                  <c:v>1870801.570935654</c:v>
                </c:pt>
                <c:pt idx="219">
                  <c:v>1870801.570935654</c:v>
                </c:pt>
                <c:pt idx="220">
                  <c:v>1870801.570935654</c:v>
                </c:pt>
                <c:pt idx="221">
                  <c:v>1870801.570935654</c:v>
                </c:pt>
                <c:pt idx="222">
                  <c:v>1870801.570935654</c:v>
                </c:pt>
                <c:pt idx="223">
                  <c:v>1870801.570935654</c:v>
                </c:pt>
                <c:pt idx="224">
                  <c:v>1870801.570935654</c:v>
                </c:pt>
                <c:pt idx="225">
                  <c:v>1870801.570935654</c:v>
                </c:pt>
                <c:pt idx="226">
                  <c:v>1870801.570935654</c:v>
                </c:pt>
                <c:pt idx="227">
                  <c:v>1870801.570935654</c:v>
                </c:pt>
                <c:pt idx="228">
                  <c:v>1870801.570935654</c:v>
                </c:pt>
                <c:pt idx="229">
                  <c:v>1870801.570935654</c:v>
                </c:pt>
                <c:pt idx="230">
                  <c:v>1870801.570935654</c:v>
                </c:pt>
                <c:pt idx="231">
                  <c:v>1870801.570935654</c:v>
                </c:pt>
                <c:pt idx="232">
                  <c:v>1870801.570935654</c:v>
                </c:pt>
                <c:pt idx="233">
                  <c:v>1870801.570935654</c:v>
                </c:pt>
                <c:pt idx="234">
                  <c:v>1870801.570935654</c:v>
                </c:pt>
                <c:pt idx="235">
                  <c:v>1870801.570935654</c:v>
                </c:pt>
                <c:pt idx="236">
                  <c:v>1870801.570935654</c:v>
                </c:pt>
                <c:pt idx="237">
                  <c:v>1870801.570935654</c:v>
                </c:pt>
                <c:pt idx="238">
                  <c:v>1870801.570935654</c:v>
                </c:pt>
                <c:pt idx="239">
                  <c:v>1870801.570935654</c:v>
                </c:pt>
                <c:pt idx="240">
                  <c:v>1870801.570935654</c:v>
                </c:pt>
                <c:pt idx="241">
                  <c:v>1870801.570935654</c:v>
                </c:pt>
                <c:pt idx="242">
                  <c:v>1870801.570935654</c:v>
                </c:pt>
                <c:pt idx="243">
                  <c:v>1870801.570935654</c:v>
                </c:pt>
                <c:pt idx="244">
                  <c:v>1870801.570935654</c:v>
                </c:pt>
                <c:pt idx="245">
                  <c:v>1870801.570935654</c:v>
                </c:pt>
                <c:pt idx="246">
                  <c:v>1870801.570935654</c:v>
                </c:pt>
                <c:pt idx="247">
                  <c:v>1870801.570935654</c:v>
                </c:pt>
                <c:pt idx="248">
                  <c:v>1870801.570935654</c:v>
                </c:pt>
                <c:pt idx="249">
                  <c:v>1870801.570935654</c:v>
                </c:pt>
                <c:pt idx="250">
                  <c:v>1870801.570935654</c:v>
                </c:pt>
                <c:pt idx="251">
                  <c:v>1870801.570935654</c:v>
                </c:pt>
                <c:pt idx="252">
                  <c:v>1870801.570935654</c:v>
                </c:pt>
                <c:pt idx="253">
                  <c:v>1870801.570935654</c:v>
                </c:pt>
                <c:pt idx="254">
                  <c:v>1870801.570935654</c:v>
                </c:pt>
                <c:pt idx="255">
                  <c:v>1870801.570935654</c:v>
                </c:pt>
                <c:pt idx="256">
                  <c:v>1870801.570935654</c:v>
                </c:pt>
                <c:pt idx="257">
                  <c:v>1870801.570935654</c:v>
                </c:pt>
                <c:pt idx="258">
                  <c:v>1870801.570935654</c:v>
                </c:pt>
                <c:pt idx="259">
                  <c:v>1870801.570935654</c:v>
                </c:pt>
                <c:pt idx="260">
                  <c:v>1870801.570935654</c:v>
                </c:pt>
                <c:pt idx="261">
                  <c:v>1870801.570935654</c:v>
                </c:pt>
                <c:pt idx="262">
                  <c:v>1870801.570935654</c:v>
                </c:pt>
                <c:pt idx="263">
                  <c:v>1870801.570935654</c:v>
                </c:pt>
                <c:pt idx="264">
                  <c:v>1870801.570935654</c:v>
                </c:pt>
                <c:pt idx="265">
                  <c:v>1870801.570935654</c:v>
                </c:pt>
                <c:pt idx="266">
                  <c:v>1870801.570935654</c:v>
                </c:pt>
                <c:pt idx="267">
                  <c:v>1870801.570935654</c:v>
                </c:pt>
                <c:pt idx="268">
                  <c:v>1870801.570935654</c:v>
                </c:pt>
                <c:pt idx="269">
                  <c:v>1870801.570935654</c:v>
                </c:pt>
                <c:pt idx="270">
                  <c:v>1870801.570935654</c:v>
                </c:pt>
                <c:pt idx="271">
                  <c:v>1870801.570935654</c:v>
                </c:pt>
                <c:pt idx="272">
                  <c:v>1870801.570935654</c:v>
                </c:pt>
                <c:pt idx="273">
                  <c:v>1870801.570935654</c:v>
                </c:pt>
                <c:pt idx="274">
                  <c:v>1870801.570935654</c:v>
                </c:pt>
                <c:pt idx="275">
                  <c:v>1870801.570935654</c:v>
                </c:pt>
                <c:pt idx="276">
                  <c:v>1870801.570935654</c:v>
                </c:pt>
                <c:pt idx="277">
                  <c:v>1870801.570935654</c:v>
                </c:pt>
                <c:pt idx="278">
                  <c:v>1870801.570935654</c:v>
                </c:pt>
                <c:pt idx="279">
                  <c:v>1870801.570935654</c:v>
                </c:pt>
                <c:pt idx="280">
                  <c:v>1870801.570935654</c:v>
                </c:pt>
                <c:pt idx="281">
                  <c:v>1870801.570935654</c:v>
                </c:pt>
                <c:pt idx="282">
                  <c:v>1870801.570935654</c:v>
                </c:pt>
                <c:pt idx="283">
                  <c:v>1870801.570935654</c:v>
                </c:pt>
                <c:pt idx="284">
                  <c:v>1870801.570935654</c:v>
                </c:pt>
                <c:pt idx="285">
                  <c:v>1870801.570935654</c:v>
                </c:pt>
                <c:pt idx="286">
                  <c:v>1870801.570935654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BC85669-99EB-4910-AD33-71B34F0CEC1C}">
    <Anchor>
      <Comment id="{4761CD0E-2967-46F4-A568-6767BB8F4544}"/>
    </Anchor>
    <History>
      <Event time="2026-02-25T18:44:31.19" id="{111813D2-B6F3-44E6-A8F7-4B28FE637941}">
        <Attribution userId="S::mizelda@emergentenergy.co.za::3a5c2ad2-993e-4fe1-a333-48e19c6adda8" userName="Mizelda Isaacs" userProvider="AD"/>
        <Anchor>
          <Comment id="{4761CD0E-2967-46F4-A568-6767BB8F4544}"/>
        </Anchor>
        <Create/>
      </Event>
      <Event time="2026-02-25T18:44:31.19" id="{212426A9-B6CA-46F4-B28A-D842E92A1CFF}">
        <Attribution userId="S::mizelda@emergentenergy.co.za::3a5c2ad2-993e-4fe1-a333-48e19c6adda8" userName="Mizelda Isaacs" userProvider="AD"/>
        <Anchor>
          <Comment id="{4761CD0E-2967-46F4-A568-6767BB8F4544}"/>
        </Anchor>
        <Assign userId="S::thami@emergentenergy.co.za::dcae580f-55a1-44d7-89b7-bae90a9ddc2e" userName="Thami Cambalele" userProvider="AD"/>
      </Event>
      <Event time="2026-02-25T18:44:31.19" id="{4C20FC27-3E7A-4AB4-91D5-E5A54543DF72}">
        <Attribution userId="S::mizelda@emergentenergy.co.za::3a5c2ad2-993e-4fe1-a333-48e19c6adda8" userName="Mizelda Isaacs" userProvider="AD"/>
        <Anchor>
          <Comment id="{4761CD0E-2967-46F4-A568-6767BB8F4544}"/>
        </Anchor>
        <SetTitle title="@Thami Cambalele requested invoice"/>
      </Event>
      <Event time="2026-02-27T12:32:41.87" id="{67495AA6-B194-40E0-9703-259ACEAF868C}">
        <Attribution userId="S::thami@emergentenergy.co.za::dcae580f-55a1-44d7-89b7-bae90a9ddc2e" userName="Thami Cambalele" userProvider="AD"/>
        <Progress percentComplete="100"/>
      </Event>
    </History>
  </Task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54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  <threadedComment ref="T46" dT="2026-02-25T18:44:31.19" personId="{CAB8A30A-8769-4AAD-8458-8D934A093CC0}" id="{4761CD0E-2967-46F4-A568-6767BB8F4544}" done="1">
    <text>@Thami Cambalele requested invoice</text>
    <mentions>
      <mention mentionpersonId="{260DC5C1-2E41-4210-9DEE-091916507D18}" mentionId="{70ADA376-37F1-44E8-8087-8AB7A339261C}" startIndex="0" length="16"/>
    </mentions>
  </threadedComment>
  <threadedComment ref="T93" dT="2026-02-25T18:43:44.22" personId="{CAB8A30A-8769-4AAD-8458-8D934A093CC0}" id="{6DD0D10D-EB49-40CD-A26D-9A8A1782F953}">
    <text xml:space="preserve">Invoice requested
</text>
  </threadedComment>
  <threadedComment ref="Q121" dT="2026-02-17T12:47:52.91" personId="{1F1A7524-9F9A-4AD8-B28B-167505E18F5B}" id="{6517F740-851C-4374-BECA-78E9E1396D55}">
    <text xml:space="preserve">Changed from 60k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44140625"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44140625" customWidth="1"/>
    <col min="6" max="6" width="5.5546875" customWidth="1"/>
  </cols>
  <sheetData>
    <row r="1" spans="2:15" ht="15" thickBot="1"/>
    <row r="2" spans="2:15" ht="18">
      <c r="B2" s="676" t="s">
        <v>0</v>
      </c>
      <c r="C2" s="676"/>
      <c r="D2" s="676"/>
      <c r="E2" s="676"/>
      <c r="H2" s="677" t="s">
        <v>1</v>
      </c>
      <c r="I2" s="678"/>
      <c r="J2" s="678"/>
      <c r="K2" s="678"/>
      <c r="L2" s="678"/>
      <c r="M2" s="678"/>
      <c r="N2" s="678"/>
      <c r="O2" s="679"/>
    </row>
    <row r="3" spans="2:15">
      <c r="B3" s="613"/>
      <c r="H3" s="680"/>
      <c r="I3" s="681"/>
      <c r="J3" s="681"/>
      <c r="K3" s="681"/>
      <c r="L3" s="681"/>
      <c r="M3" s="681"/>
      <c r="N3" s="681"/>
      <c r="O3" s="682"/>
    </row>
    <row r="4" spans="2:15">
      <c r="B4" s="614" t="s">
        <v>2</v>
      </c>
      <c r="C4" s="615" t="str">
        <f>'Project Plan'!E2</f>
        <v>7th Avenue Park</v>
      </c>
      <c r="H4" s="680"/>
      <c r="I4" s="681"/>
      <c r="J4" s="681"/>
      <c r="K4" s="681"/>
      <c r="L4" s="681"/>
      <c r="M4" s="681"/>
      <c r="N4" s="681"/>
      <c r="O4" s="682"/>
    </row>
    <row r="5" spans="2:15">
      <c r="B5" s="614" t="s">
        <v>3</v>
      </c>
      <c r="C5" s="615" t="s">
        <v>4</v>
      </c>
      <c r="H5" s="680"/>
      <c r="I5" s="681"/>
      <c r="J5" s="681"/>
      <c r="K5" s="681"/>
      <c r="L5" s="681"/>
      <c r="M5" s="681"/>
      <c r="N5" s="681"/>
      <c r="O5" s="682"/>
    </row>
    <row r="6" spans="2:15">
      <c r="B6" s="614" t="s">
        <v>5</v>
      </c>
      <c r="C6" s="615" t="s">
        <v>6</v>
      </c>
      <c r="H6" s="680"/>
      <c r="I6" s="681"/>
      <c r="J6" s="681"/>
      <c r="K6" s="681"/>
      <c r="L6" s="681"/>
      <c r="M6" s="681"/>
      <c r="N6" s="681"/>
      <c r="O6" s="682"/>
    </row>
    <row r="7" spans="2:15">
      <c r="B7" s="614" t="s">
        <v>7</v>
      </c>
      <c r="C7" s="615" t="s">
        <v>8</v>
      </c>
      <c r="H7" s="680"/>
      <c r="I7" s="681"/>
      <c r="J7" s="681"/>
      <c r="K7" s="681"/>
      <c r="L7" s="681"/>
      <c r="M7" s="681"/>
      <c r="N7" s="681"/>
      <c r="O7" s="682"/>
    </row>
    <row r="8" spans="2:15">
      <c r="B8" s="613"/>
      <c r="H8" s="680"/>
      <c r="I8" s="681"/>
      <c r="J8" s="681"/>
      <c r="K8" s="681"/>
      <c r="L8" s="681"/>
      <c r="M8" s="681"/>
      <c r="N8" s="681"/>
      <c r="O8" s="682"/>
    </row>
    <row r="9" spans="2:15">
      <c r="B9" s="686" t="s">
        <v>9</v>
      </c>
      <c r="C9" s="686"/>
      <c r="D9" s="686"/>
      <c r="E9" s="686"/>
      <c r="H9" s="680"/>
      <c r="I9" s="681"/>
      <c r="J9" s="681"/>
      <c r="K9" s="681"/>
      <c r="L9" s="681"/>
      <c r="M9" s="681"/>
      <c r="N9" s="681"/>
      <c r="O9" s="682"/>
    </row>
    <row r="10" spans="2:15" ht="15" thickBot="1">
      <c r="B10" s="686" t="s">
        <v>10</v>
      </c>
      <c r="C10" s="686"/>
      <c r="D10" s="686"/>
      <c r="E10" s="686"/>
      <c r="H10" s="683"/>
      <c r="I10" s="684"/>
      <c r="J10" s="684"/>
      <c r="K10" s="684"/>
      <c r="L10" s="684"/>
      <c r="M10" s="684"/>
      <c r="N10" s="684"/>
      <c r="O10" s="685"/>
    </row>
    <row r="11" spans="2:15">
      <c r="B11" s="616" t="s">
        <v>11</v>
      </c>
      <c r="C11" s="674"/>
      <c r="D11" s="674"/>
      <c r="E11" s="674"/>
    </row>
    <row r="12" spans="2:15">
      <c r="B12" s="616" t="s">
        <v>12</v>
      </c>
      <c r="C12" s="674"/>
      <c r="D12" s="674"/>
      <c r="E12" s="674"/>
    </row>
    <row r="13" spans="2:15">
      <c r="B13" s="616" t="s">
        <v>13</v>
      </c>
      <c r="C13" s="674"/>
      <c r="D13" s="674"/>
      <c r="E13" s="674"/>
    </row>
    <row r="14" spans="2:15">
      <c r="B14" s="616" t="s">
        <v>14</v>
      </c>
      <c r="C14" s="674"/>
      <c r="D14" s="674"/>
      <c r="E14" s="674"/>
    </row>
    <row r="15" spans="2:15">
      <c r="B15" s="616" t="s">
        <v>15</v>
      </c>
      <c r="C15" s="674"/>
      <c r="D15" s="674"/>
      <c r="E15" s="674"/>
    </row>
    <row r="16" spans="2:15" ht="15" customHeight="1">
      <c r="B16" s="616" t="s">
        <v>16</v>
      </c>
      <c r="C16" s="674"/>
      <c r="D16" s="674"/>
      <c r="E16" s="674"/>
    </row>
    <row r="17" spans="2:5">
      <c r="B17" s="613"/>
    </row>
    <row r="18" spans="2:5">
      <c r="B18" s="675" t="s">
        <v>17</v>
      </c>
      <c r="C18" s="675"/>
      <c r="D18" s="675"/>
      <c r="E18" s="675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44140625"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44140625" customWidth="1"/>
    <col min="6" max="6" width="5.5546875" customWidth="1"/>
  </cols>
  <sheetData>
    <row r="1" spans="2:15" ht="15" thickBot="1"/>
    <row r="2" spans="2:15" ht="18">
      <c r="B2" s="676" t="s">
        <v>22</v>
      </c>
      <c r="C2" s="676"/>
      <c r="D2" s="676"/>
      <c r="E2" s="676"/>
      <c r="H2" s="677" t="s">
        <v>23</v>
      </c>
      <c r="I2" s="678"/>
      <c r="J2" s="678"/>
      <c r="K2" s="678"/>
      <c r="L2" s="678"/>
      <c r="M2" s="678"/>
      <c r="N2" s="678"/>
      <c r="O2" s="679"/>
    </row>
    <row r="3" spans="2:15">
      <c r="B3" s="613"/>
      <c r="H3" s="680"/>
      <c r="I3" s="681"/>
      <c r="J3" s="681"/>
      <c r="K3" s="681"/>
      <c r="L3" s="681"/>
      <c r="M3" s="681"/>
      <c r="N3" s="681"/>
      <c r="O3" s="682"/>
    </row>
    <row r="4" spans="2:15">
      <c r="B4" s="614" t="s">
        <v>2</v>
      </c>
      <c r="C4" s="615" t="str">
        <f>'Project Plan'!E2</f>
        <v>7th Avenue Park</v>
      </c>
      <c r="H4" s="680"/>
      <c r="I4" s="681"/>
      <c r="J4" s="681"/>
      <c r="K4" s="681"/>
      <c r="L4" s="681"/>
      <c r="M4" s="681"/>
      <c r="N4" s="681"/>
      <c r="O4" s="682"/>
    </row>
    <row r="5" spans="2:15">
      <c r="B5" s="614" t="s">
        <v>24</v>
      </c>
      <c r="C5" s="615"/>
      <c r="H5" s="680"/>
      <c r="I5" s="681"/>
      <c r="J5" s="681"/>
      <c r="K5" s="681"/>
      <c r="L5" s="681"/>
      <c r="M5" s="681"/>
      <c r="N5" s="681"/>
      <c r="O5" s="682"/>
    </row>
    <row r="6" spans="2:15">
      <c r="B6" s="614" t="s">
        <v>5</v>
      </c>
      <c r="C6" s="615" t="s">
        <v>6</v>
      </c>
      <c r="H6" s="680"/>
      <c r="I6" s="681"/>
      <c r="J6" s="681"/>
      <c r="K6" s="681"/>
      <c r="L6" s="681"/>
      <c r="M6" s="681"/>
      <c r="N6" s="681"/>
      <c r="O6" s="682"/>
    </row>
    <row r="7" spans="2:15">
      <c r="B7" s="614" t="s">
        <v>25</v>
      </c>
      <c r="C7" s="615" t="str">
        <f>'Project Plan'!E5</f>
        <v>Justin Franke</v>
      </c>
      <c r="H7" s="680"/>
      <c r="I7" s="681"/>
      <c r="J7" s="681"/>
      <c r="K7" s="681"/>
      <c r="L7" s="681"/>
      <c r="M7" s="681"/>
      <c r="N7" s="681"/>
      <c r="O7" s="682"/>
    </row>
    <row r="8" spans="2:15">
      <c r="B8" s="614" t="s">
        <v>26</v>
      </c>
      <c r="C8" s="615"/>
      <c r="H8" s="680"/>
      <c r="I8" s="681"/>
      <c r="J8" s="681"/>
      <c r="K8" s="681"/>
      <c r="L8" s="681"/>
      <c r="M8" s="681"/>
      <c r="N8" s="681"/>
      <c r="O8" s="682"/>
    </row>
    <row r="9" spans="2:15">
      <c r="B9" s="613"/>
      <c r="H9" s="680"/>
      <c r="I9" s="681"/>
      <c r="J9" s="681"/>
      <c r="K9" s="681"/>
      <c r="L9" s="681"/>
      <c r="M9" s="681"/>
      <c r="N9" s="681"/>
      <c r="O9" s="682"/>
    </row>
    <row r="10" spans="2:15">
      <c r="B10" s="686" t="s">
        <v>9</v>
      </c>
      <c r="C10" s="686"/>
      <c r="D10" s="686"/>
      <c r="E10" s="686"/>
      <c r="H10" s="680"/>
      <c r="I10" s="681"/>
      <c r="J10" s="681"/>
      <c r="K10" s="681"/>
      <c r="L10" s="681"/>
      <c r="M10" s="681"/>
      <c r="N10" s="681"/>
      <c r="O10" s="682"/>
    </row>
    <row r="11" spans="2:15" ht="15" thickBot="1">
      <c r="B11" s="686" t="s">
        <v>10</v>
      </c>
      <c r="C11" s="686"/>
      <c r="D11" s="686"/>
      <c r="E11" s="686"/>
      <c r="H11" s="683"/>
      <c r="I11" s="684"/>
      <c r="J11" s="684"/>
      <c r="K11" s="684"/>
      <c r="L11" s="684"/>
      <c r="M11" s="684"/>
      <c r="N11" s="684"/>
      <c r="O11" s="685"/>
    </row>
    <row r="12" spans="2:15" ht="26.4">
      <c r="B12" s="616" t="s">
        <v>27</v>
      </c>
      <c r="C12" s="674"/>
      <c r="D12" s="674"/>
      <c r="E12" s="674"/>
    </row>
    <row r="13" spans="2:15">
      <c r="B13" s="616" t="s">
        <v>28</v>
      </c>
      <c r="C13" s="674"/>
      <c r="D13" s="674"/>
      <c r="E13" s="674"/>
    </row>
    <row r="14" spans="2:15">
      <c r="B14" s="616" t="s">
        <v>29</v>
      </c>
      <c r="C14" s="674"/>
      <c r="D14" s="674"/>
      <c r="E14" s="674"/>
    </row>
    <row r="15" spans="2:15">
      <c r="B15" s="616" t="s">
        <v>30</v>
      </c>
      <c r="C15" s="674"/>
      <c r="D15" s="674"/>
      <c r="E15" s="674"/>
    </row>
    <row r="16" spans="2:15" ht="26.4">
      <c r="B16" s="616" t="s">
        <v>31</v>
      </c>
      <c r="C16" s="674"/>
      <c r="D16" s="674"/>
      <c r="E16" s="674"/>
    </row>
    <row r="17" spans="2:5">
      <c r="B17" s="616" t="s">
        <v>32</v>
      </c>
      <c r="C17" s="674"/>
      <c r="D17" s="674"/>
      <c r="E17" s="674"/>
    </row>
    <row r="18" spans="2:5">
      <c r="B18" s="616" t="s">
        <v>33</v>
      </c>
      <c r="C18" s="674"/>
      <c r="D18" s="674"/>
      <c r="E18" s="674"/>
    </row>
    <row r="19" spans="2:5">
      <c r="B19" s="616" t="s">
        <v>34</v>
      </c>
      <c r="C19" s="674"/>
      <c r="D19" s="674"/>
      <c r="E19" s="674"/>
    </row>
    <row r="20" spans="2:5">
      <c r="B20" s="616" t="s">
        <v>35</v>
      </c>
      <c r="C20" s="674"/>
      <c r="D20" s="674"/>
      <c r="E20" s="674"/>
    </row>
    <row r="21" spans="2:5">
      <c r="B21" s="616" t="s">
        <v>36</v>
      </c>
      <c r="C21" s="674"/>
      <c r="D21" s="674"/>
      <c r="E21" s="674"/>
    </row>
    <row r="22" spans="2:5" ht="15" customHeight="1">
      <c r="B22" s="616" t="s">
        <v>16</v>
      </c>
      <c r="C22" s="674"/>
      <c r="D22" s="674"/>
      <c r="E22" s="674"/>
    </row>
    <row r="23" spans="2:5">
      <c r="B23" s="613"/>
    </row>
    <row r="24" spans="2:5">
      <c r="B24" s="675" t="s">
        <v>17</v>
      </c>
      <c r="C24" s="675"/>
      <c r="D24" s="675"/>
      <c r="E24" s="675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689"/>
      <c r="C1" s="690"/>
      <c r="D1" s="690"/>
      <c r="E1" s="690"/>
      <c r="F1" s="687" t="s">
        <v>37</v>
      </c>
      <c r="G1" s="687"/>
      <c r="H1" s="687"/>
      <c r="I1" s="687"/>
      <c r="J1" s="687"/>
      <c r="K1" s="688"/>
      <c r="L1" s="13"/>
      <c r="M1" s="13"/>
      <c r="N1" s="13"/>
      <c r="O1" s="13"/>
    </row>
    <row r="2" spans="2:15" ht="6.75" customHeight="1"/>
    <row r="3" spans="2:15" s="620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4140625" defaultRowHeight="13.8"/>
  <cols>
    <col min="1" max="1" width="1.44140625" style="4" customWidth="1"/>
    <col min="2" max="2" width="30.44140625" style="4" bestFit="1" customWidth="1"/>
    <col min="3" max="3" width="19.5546875" style="4" customWidth="1"/>
    <col min="4" max="4" width="32.5546875" style="4" customWidth="1"/>
    <col min="5" max="5" width="9.4414062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44140625" customWidth="1"/>
    <col min="6" max="6" width="33.44140625" customWidth="1"/>
  </cols>
  <sheetData>
    <row r="1" spans="2:10" ht="15" thickBot="1"/>
    <row r="2" spans="2:10" ht="15.6" thickTop="1" thickBot="1">
      <c r="B2" s="691" t="s">
        <v>105</v>
      </c>
      <c r="C2" s="692"/>
      <c r="D2" s="692"/>
      <c r="E2" s="692"/>
      <c r="F2" s="693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91" t="s">
        <v>114</v>
      </c>
      <c r="C16" s="692"/>
      <c r="D16" s="692"/>
      <c r="E16" s="692"/>
      <c r="F16" s="693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21"/>
  <sheetViews>
    <sheetView topLeftCell="B1" zoomScale="85" zoomScaleNormal="85" workbookViewId="0">
      <selection activeCell="N30" sqref="N30"/>
    </sheetView>
  </sheetViews>
  <sheetFormatPr defaultColWidth="8.44140625" defaultRowHeight="14.4"/>
  <cols>
    <col min="1" max="1" width="5.5546875" style="24" customWidth="1"/>
    <col min="2" max="2" width="5.5546875" style="45" customWidth="1"/>
    <col min="3" max="3" width="28.5546875" style="43" customWidth="1"/>
    <col min="4" max="4" width="18.44140625" style="43" customWidth="1"/>
    <col min="5" max="5" width="6.44140625" style="43" customWidth="1"/>
    <col min="6" max="6" width="16.44140625" style="43" customWidth="1"/>
    <col min="7" max="7" width="12" style="43" customWidth="1"/>
    <col min="8" max="8" width="19.5546875" style="43" bestFit="1" customWidth="1"/>
    <col min="9" max="9" width="1.44140625" style="43" customWidth="1"/>
    <col min="10" max="10" width="3.44140625" style="24" customWidth="1"/>
    <col min="11" max="11" width="1.44140625" style="87" customWidth="1"/>
    <col min="12" max="12" width="29.44140625" style="24" customWidth="1"/>
    <col min="13" max="13" width="1.44140625" style="43" customWidth="1"/>
    <col min="14" max="14" width="29.44140625" style="43" customWidth="1"/>
    <col min="15" max="15" width="1.44140625" style="43" customWidth="1"/>
    <col min="16" max="16" width="16.5546875" style="43" customWidth="1"/>
    <col min="17" max="17" width="5.5546875" style="43" customWidth="1"/>
    <col min="18" max="18" width="112.44140625" style="43" bestFit="1" customWidth="1"/>
    <col min="19" max="19" width="112.44140625" style="43" customWidth="1"/>
    <col min="20" max="20" width="4.44140625" style="43" customWidth="1"/>
    <col min="21" max="21" width="18.5546875" style="43" bestFit="1" customWidth="1"/>
    <col min="22" max="22" width="15.5546875" style="24" bestFit="1" customWidth="1"/>
    <col min="23" max="23" width="17.44140625" style="24" bestFit="1" customWidth="1"/>
    <col min="24" max="24" width="14.5546875" style="24" bestFit="1" customWidth="1"/>
    <col min="25" max="25" width="5.5546875" style="24" bestFit="1" customWidth="1"/>
    <col min="26" max="26" width="14.44140625" style="24" bestFit="1" customWidth="1"/>
    <col min="27" max="27" width="8.44140625" style="24"/>
    <col min="28" max="28" width="14.44140625" style="24" bestFit="1" customWidth="1"/>
    <col min="29" max="29" width="8.44140625" style="43"/>
    <col min="30" max="30" width="12.5546875" style="43" bestFit="1" customWidth="1"/>
    <col min="31" max="41" width="8.44140625" style="43"/>
    <col min="42" max="42" width="9.44140625" style="43" bestFit="1" customWidth="1"/>
    <col min="43" max="16384" width="8.44140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118</v>
      </c>
      <c r="V2" s="622" t="s">
        <v>119</v>
      </c>
      <c r="W2" s="622" t="s">
        <v>120</v>
      </c>
      <c r="X2" s="622" t="s">
        <v>121</v>
      </c>
    </row>
    <row r="3" spans="1:42" s="24" customFormat="1" ht="13.2">
      <c r="B3" s="31"/>
      <c r="D3" s="39" t="s">
        <v>122</v>
      </c>
      <c r="F3" s="39" t="s">
        <v>123</v>
      </c>
      <c r="J3" s="53"/>
      <c r="L3" s="310" t="s">
        <v>124</v>
      </c>
      <c r="N3" s="310" t="s">
        <v>125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1748405.6440839597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1164069.8699999999</v>
      </c>
    </row>
    <row r="4" spans="1:42" s="24" customFormat="1" ht="13.2">
      <c r="B4" s="256">
        <v>1</v>
      </c>
      <c r="C4" s="257" t="s">
        <v>126</v>
      </c>
      <c r="D4" s="258">
        <f>'Project Plan'!E6</f>
        <v>1879275.3951961147</v>
      </c>
      <c r="E4" s="259"/>
      <c r="F4" s="258">
        <f>F24</f>
        <v>1879275.3951961147</v>
      </c>
      <c r="J4" s="53"/>
      <c r="L4" s="276"/>
      <c r="N4" s="276" t="s">
        <v>127</v>
      </c>
      <c r="Q4" s="44"/>
      <c r="T4" s="53"/>
    </row>
    <row r="5" spans="1:42" s="24" customFormat="1" ht="15" customHeight="1">
      <c r="B5" s="256">
        <v>2</v>
      </c>
      <c r="C5" s="257" t="s">
        <v>128</v>
      </c>
      <c r="D5" s="258">
        <f>+'Expenditure Tracking'!F5</f>
        <v>1533654.4012312251</v>
      </c>
      <c r="E5" s="259"/>
      <c r="F5" s="258">
        <f>+'Expenditure Tracking'!H5</f>
        <v>1425570.1624399514</v>
      </c>
      <c r="G5" s="640" t="s">
        <v>129</v>
      </c>
      <c r="H5" s="640" t="s">
        <v>130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131</v>
      </c>
      <c r="D6" s="258">
        <f>+D4-D5</f>
        <v>345620.99396488955</v>
      </c>
      <c r="E6" s="259"/>
      <c r="F6" s="258">
        <f>+F4-F5</f>
        <v>453705.23275616323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132</v>
      </c>
      <c r="T6" s="53"/>
    </row>
    <row r="7" spans="1:42" s="24" customFormat="1" ht="15" customHeight="1" thickBot="1">
      <c r="B7" s="256">
        <v>4</v>
      </c>
      <c r="C7" s="257" t="s">
        <v>133</v>
      </c>
      <c r="D7" s="260">
        <f>+D6/D4</f>
        <v>0.18391183902496724</v>
      </c>
      <c r="E7" s="259"/>
      <c r="F7" s="260">
        <f>+F6/F4</f>
        <v>0.24142562283098276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134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">
      <c r="B12" s="46" t="s">
        <v>135</v>
      </c>
      <c r="C12" s="47" t="s">
        <v>136</v>
      </c>
      <c r="D12" s="48"/>
      <c r="E12" s="46" t="s">
        <v>137</v>
      </c>
      <c r="F12" s="46" t="s">
        <v>138</v>
      </c>
      <c r="H12" s="261" t="s">
        <v>139</v>
      </c>
      <c r="J12" s="53"/>
      <c r="L12" s="78" t="s">
        <v>140</v>
      </c>
      <c r="M12" s="49"/>
      <c r="N12" s="78" t="s">
        <v>141</v>
      </c>
      <c r="O12" s="49"/>
      <c r="P12" s="78" t="s">
        <v>142</v>
      </c>
      <c r="R12" s="279" t="s">
        <v>143</v>
      </c>
      <c r="S12" s="636" t="s">
        <v>144</v>
      </c>
      <c r="T12" s="53"/>
    </row>
    <row r="13" spans="1:42" s="24" customFormat="1" ht="13.2">
      <c r="B13" s="587">
        <v>1</v>
      </c>
      <c r="C13" s="696" t="s">
        <v>145</v>
      </c>
      <c r="D13" s="697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146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2">
      <c r="B14" s="587">
        <v>1</v>
      </c>
      <c r="C14" s="624" t="s">
        <v>145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146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2">
      <c r="B15" s="597">
        <v>2</v>
      </c>
      <c r="C15" s="696" t="s">
        <v>147</v>
      </c>
      <c r="D15" s="697"/>
      <c r="E15" s="588">
        <v>0.5</v>
      </c>
      <c r="F15" s="589">
        <f>($D$4*E15)/2</f>
        <v>469818.84879902867</v>
      </c>
      <c r="G15" s="598"/>
      <c r="H15" s="591">
        <f>'Project Plan'!G41+7</f>
        <v>46070</v>
      </c>
      <c r="I15" s="592"/>
      <c r="J15" s="593"/>
      <c r="K15" s="592"/>
      <c r="L15" s="594" t="s">
        <v>148</v>
      </c>
      <c r="M15" s="592"/>
      <c r="N15" s="591">
        <v>46065</v>
      </c>
      <c r="O15" s="592"/>
      <c r="P15" s="626">
        <v>46073</v>
      </c>
      <c r="R15" s="280"/>
      <c r="S15" s="637" t="b">
        <v>0</v>
      </c>
      <c r="T15" s="53"/>
    </row>
    <row r="16" spans="1:42" s="24" customFormat="1" ht="13.2">
      <c r="B16" s="597">
        <v>2</v>
      </c>
      <c r="C16" s="624" t="s">
        <v>147</v>
      </c>
      <c r="D16" s="625"/>
      <c r="E16" s="588"/>
      <c r="F16" s="589">
        <v>469818.84879902867</v>
      </c>
      <c r="G16" s="598"/>
      <c r="H16" s="591">
        <v>46070</v>
      </c>
      <c r="I16" s="592"/>
      <c r="J16" s="593"/>
      <c r="K16" s="592"/>
      <c r="L16" s="594" t="s">
        <v>148</v>
      </c>
      <c r="M16" s="592"/>
      <c r="N16" s="591">
        <v>46065</v>
      </c>
      <c r="O16" s="592"/>
      <c r="P16" s="591">
        <v>46077</v>
      </c>
      <c r="R16" s="280"/>
      <c r="S16" s="637" t="b">
        <v>0</v>
      </c>
      <c r="T16" s="53"/>
    </row>
    <row r="17" spans="2:20" s="24" customFormat="1" ht="13.2">
      <c r="B17" s="587">
        <v>3</v>
      </c>
      <c r="C17" s="696" t="s">
        <v>149</v>
      </c>
      <c r="D17" s="697"/>
      <c r="E17" s="588">
        <v>9.9999999999999992E-2</v>
      </c>
      <c r="F17" s="589">
        <f>($D$4*E17)/2</f>
        <v>93963.769759805728</v>
      </c>
      <c r="G17" s="598"/>
      <c r="H17" s="591">
        <v>46070</v>
      </c>
      <c r="I17" s="592"/>
      <c r="J17" s="593"/>
      <c r="K17" s="592"/>
      <c r="L17" s="594" t="s">
        <v>148</v>
      </c>
      <c r="M17" s="592"/>
      <c r="N17" s="591">
        <v>46065</v>
      </c>
      <c r="O17" s="592"/>
      <c r="P17" s="626">
        <v>46073</v>
      </c>
      <c r="R17" s="280"/>
      <c r="S17" s="637" t="b">
        <v>0</v>
      </c>
      <c r="T17" s="53"/>
    </row>
    <row r="18" spans="2:20" s="24" customFormat="1" ht="13.2">
      <c r="B18" s="587">
        <v>3</v>
      </c>
      <c r="C18" s="624" t="s">
        <v>149</v>
      </c>
      <c r="D18" s="625"/>
      <c r="E18" s="588"/>
      <c r="F18" s="589">
        <v>93963.769759805728</v>
      </c>
      <c r="G18" s="598"/>
      <c r="H18" s="591">
        <v>46070</v>
      </c>
      <c r="I18" s="592"/>
      <c r="J18" s="593"/>
      <c r="K18" s="592"/>
      <c r="L18" s="594" t="s">
        <v>148</v>
      </c>
      <c r="M18" s="592"/>
      <c r="N18" s="591">
        <v>46065</v>
      </c>
      <c r="O18" s="592"/>
      <c r="P18" s="591">
        <v>46077</v>
      </c>
      <c r="R18" s="280"/>
      <c r="S18" s="637" t="b">
        <v>0</v>
      </c>
      <c r="T18" s="53"/>
    </row>
    <row r="19" spans="2:20" s="24" customFormat="1" ht="13.2">
      <c r="B19" s="587">
        <v>4</v>
      </c>
      <c r="C19" s="694" t="s">
        <v>150</v>
      </c>
      <c r="D19" s="695"/>
      <c r="E19" s="588">
        <v>0.1</v>
      </c>
      <c r="F19" s="589">
        <f t="shared" ref="F19:F21" si="0">$D$4*E19</f>
        <v>187927.53951961148</v>
      </c>
      <c r="G19" s="598"/>
      <c r="H19" s="591">
        <f>'Project Plan'!G44+7</f>
        <v>46098</v>
      </c>
      <c r="I19" s="592"/>
      <c r="J19" s="593"/>
      <c r="K19" s="592"/>
      <c r="L19" s="594"/>
      <c r="M19" s="599"/>
      <c r="N19" s="591"/>
      <c r="O19" s="599"/>
      <c r="P19" s="596">
        <f>'Project Plan'!K44+7</f>
        <v>46101</v>
      </c>
      <c r="R19" s="280"/>
      <c r="S19" s="637" t="b">
        <v>0</v>
      </c>
      <c r="T19" s="53"/>
    </row>
    <row r="20" spans="2:20" s="24" customFormat="1" ht="13.2">
      <c r="B20" s="587">
        <v>5</v>
      </c>
      <c r="C20" s="694" t="s">
        <v>151</v>
      </c>
      <c r="D20" s="695"/>
      <c r="E20" s="588">
        <v>0.05</v>
      </c>
      <c r="F20" s="589">
        <f t="shared" si="0"/>
        <v>93963.769759805742</v>
      </c>
      <c r="G20" s="598"/>
      <c r="H20" s="591">
        <f>'Project Plan'!G55+7</f>
        <v>46106</v>
      </c>
      <c r="I20" s="592"/>
      <c r="J20" s="593"/>
      <c r="K20" s="592"/>
      <c r="L20" s="594"/>
      <c r="M20" s="592"/>
      <c r="N20" s="591"/>
      <c r="O20" s="592"/>
      <c r="P20" s="596">
        <f>'Project Plan'!K55+7</f>
        <v>46106</v>
      </c>
      <c r="R20" s="280"/>
      <c r="S20" s="638" t="b">
        <v>0</v>
      </c>
      <c r="T20" s="53"/>
    </row>
    <row r="21" spans="2:20" s="24" customFormat="1" ht="13.2">
      <c r="B21" s="587">
        <v>6</v>
      </c>
      <c r="C21" s="694" t="s">
        <v>152</v>
      </c>
      <c r="D21" s="695"/>
      <c r="E21" s="588">
        <v>0</v>
      </c>
      <c r="F21" s="589">
        <f t="shared" si="0"/>
        <v>0</v>
      </c>
      <c r="G21" s="598"/>
      <c r="H21" s="591"/>
      <c r="I21" s="592"/>
      <c r="J21" s="593"/>
      <c r="K21" s="592"/>
      <c r="L21" s="594"/>
      <c r="M21" s="590"/>
      <c r="N21" s="591"/>
      <c r="O21" s="590"/>
      <c r="P21" s="596"/>
      <c r="R21" s="280"/>
      <c r="S21" s="637" t="b">
        <v>0</v>
      </c>
      <c r="T21" s="53"/>
    </row>
    <row r="22" spans="2:20" s="24" customFormat="1" ht="13.2">
      <c r="B22" s="587">
        <v>7</v>
      </c>
      <c r="C22" s="696" t="s">
        <v>152</v>
      </c>
      <c r="D22" s="697"/>
      <c r="E22" s="588">
        <v>0</v>
      </c>
      <c r="F22" s="589">
        <f t="shared" ref="F22" si="1">$D$4*E22</f>
        <v>0</v>
      </c>
      <c r="G22" s="598"/>
      <c r="H22" s="591"/>
      <c r="I22" s="592"/>
      <c r="J22" s="593"/>
      <c r="K22" s="592"/>
      <c r="L22" s="596"/>
      <c r="M22" s="592"/>
      <c r="N22" s="596"/>
      <c r="O22" s="592"/>
      <c r="P22" s="596"/>
      <c r="R22" s="280"/>
      <c r="S22" s="635"/>
      <c r="T22" s="53"/>
    </row>
    <row r="23" spans="2:20" s="24" customFormat="1" ht="9" customHeight="1">
      <c r="B23" s="31"/>
      <c r="E23" s="52"/>
      <c r="F23" s="30"/>
      <c r="H23" s="262"/>
      <c r="J23" s="53"/>
      <c r="T23" s="53"/>
    </row>
    <row r="24" spans="2:20" s="24" customFormat="1" ht="13.2">
      <c r="B24" s="31"/>
      <c r="E24" s="263">
        <f>SUM(E13:E22)</f>
        <v>1</v>
      </c>
      <c r="F24" s="264">
        <f>SUM(F13:F22)</f>
        <v>1879275.3951961147</v>
      </c>
      <c r="J24" s="53"/>
      <c r="T24" s="53"/>
    </row>
    <row r="25" spans="2:20" s="53" customFormat="1" ht="25.5" customHeight="1">
      <c r="B25" s="54"/>
      <c r="F25" s="55"/>
    </row>
    <row r="26" spans="2:20" s="24" customFormat="1" ht="24.75" customHeight="1">
      <c r="B26" s="56" t="s">
        <v>153</v>
      </c>
      <c r="C26" s="57" t="s">
        <v>154</v>
      </c>
      <c r="D26" s="57"/>
      <c r="F26" s="58"/>
      <c r="H26" s="30"/>
    </row>
    <row r="27" spans="2:20" s="24" customFormat="1" ht="13.2">
      <c r="C27" s="59" t="s">
        <v>155</v>
      </c>
      <c r="D27" s="60"/>
      <c r="F27" s="61"/>
      <c r="L27" s="541"/>
    </row>
    <row r="28" spans="2:20" s="24" customFormat="1" ht="13.2">
      <c r="C28" s="59" t="s">
        <v>156</v>
      </c>
      <c r="D28" s="60"/>
    </row>
    <row r="29" spans="2:20" s="24" customFormat="1" ht="13.2">
      <c r="C29" s="62" t="s">
        <v>157</v>
      </c>
      <c r="D29" s="63"/>
    </row>
    <row r="30" spans="2:20" s="24" customFormat="1" ht="13.2">
      <c r="C30" s="64" t="s">
        <v>158</v>
      </c>
      <c r="D30" s="60"/>
    </row>
    <row r="31" spans="2:20" s="24" customFormat="1" ht="13.2">
      <c r="B31" s="31"/>
      <c r="C31" s="64" t="s">
        <v>159</v>
      </c>
      <c r="D31" s="60"/>
    </row>
    <row r="32" spans="2:20" s="24" customFormat="1" ht="13.2">
      <c r="B32" s="31"/>
      <c r="C32" s="24" t="s">
        <v>160</v>
      </c>
    </row>
    <row r="33" spans="2:14" s="24" customFormat="1" ht="27.75" customHeight="1">
      <c r="B33" s="31"/>
      <c r="C33" s="65" t="s">
        <v>161</v>
      </c>
      <c r="D33" s="65"/>
      <c r="F33" s="61"/>
    </row>
    <row r="34" spans="2:14" s="24" customFormat="1" ht="13.2">
      <c r="B34" s="31"/>
      <c r="F34" s="58"/>
      <c r="N34" s="541"/>
    </row>
    <row r="35" spans="2:14" s="24" customFormat="1" ht="13.2">
      <c r="B35" s="31"/>
      <c r="F35" s="58"/>
    </row>
    <row r="36" spans="2:14" s="24" customFormat="1" ht="13.2">
      <c r="B36" s="31"/>
      <c r="F36" s="58"/>
    </row>
    <row r="37" spans="2:14" s="24" customFormat="1" ht="13.2">
      <c r="B37" s="31"/>
      <c r="F37" s="58"/>
    </row>
    <row r="38" spans="2:14" s="24" customFormat="1" ht="13.2">
      <c r="B38" s="31"/>
    </row>
    <row r="39" spans="2:14" s="24" customFormat="1" ht="13.2">
      <c r="B39" s="31"/>
    </row>
    <row r="40" spans="2:14" s="24" customFormat="1" ht="13.2">
      <c r="B40" s="31"/>
    </row>
    <row r="41" spans="2:14" s="24" customFormat="1" ht="12.75" hidden="1" customHeight="1">
      <c r="B41" s="31"/>
    </row>
    <row r="42" spans="2:14" s="24" customFormat="1" ht="12.75" hidden="1" customHeight="1">
      <c r="B42" s="31"/>
    </row>
    <row r="43" spans="2:14" s="24" customFormat="1" ht="13.5" hidden="1" customHeight="1">
      <c r="B43" s="46" t="s">
        <v>135</v>
      </c>
      <c r="C43" s="47" t="s">
        <v>136</v>
      </c>
      <c r="D43" s="48"/>
      <c r="E43" s="46" t="s">
        <v>137</v>
      </c>
      <c r="F43" s="46" t="s">
        <v>138</v>
      </c>
    </row>
    <row r="44" spans="2:14" s="24" customFormat="1" ht="12.75" hidden="1" customHeight="1">
      <c r="B44" s="66">
        <v>1</v>
      </c>
      <c r="C44" s="67" t="s">
        <v>162</v>
      </c>
      <c r="D44" s="67"/>
      <c r="E44" s="50">
        <v>0.35</v>
      </c>
      <c r="F44" s="51">
        <f>$F$50*E44</f>
        <v>657746.38831864006</v>
      </c>
    </row>
    <row r="45" spans="2:14" s="24" customFormat="1" ht="12.75" hidden="1" customHeight="1">
      <c r="B45" s="66">
        <v>2</v>
      </c>
      <c r="C45" s="67" t="s">
        <v>147</v>
      </c>
      <c r="D45" s="67"/>
      <c r="E45" s="50">
        <v>0.3</v>
      </c>
      <c r="F45" s="51">
        <f t="shared" ref="F45:F48" si="2">$F$50*E45</f>
        <v>563782.61855883442</v>
      </c>
    </row>
    <row r="46" spans="2:14" s="24" customFormat="1" ht="12.75" hidden="1" customHeight="1">
      <c r="B46" s="66">
        <v>3</v>
      </c>
      <c r="C46" s="67" t="s">
        <v>149</v>
      </c>
      <c r="D46" s="67"/>
      <c r="E46" s="50">
        <v>0.2</v>
      </c>
      <c r="F46" s="51">
        <f t="shared" si="2"/>
        <v>375855.07903922297</v>
      </c>
    </row>
    <row r="47" spans="2:14" s="24" customFormat="1" ht="12.75" hidden="1" customHeight="1">
      <c r="B47" s="66">
        <v>4</v>
      </c>
      <c r="C47" s="67" t="s">
        <v>163</v>
      </c>
      <c r="D47" s="67"/>
      <c r="E47" s="50">
        <v>0.1</v>
      </c>
      <c r="F47" s="51">
        <f t="shared" si="2"/>
        <v>187927.53951961148</v>
      </c>
    </row>
    <row r="48" spans="2:14" s="24" customFormat="1" ht="13.5" hidden="1" customHeight="1" thickBot="1">
      <c r="B48" s="68">
        <v>5</v>
      </c>
      <c r="C48" s="69" t="s">
        <v>151</v>
      </c>
      <c r="D48" s="69"/>
      <c r="E48" s="70">
        <v>0.05</v>
      </c>
      <c r="F48" s="71">
        <f t="shared" si="2"/>
        <v>93963.769759805742</v>
      </c>
    </row>
    <row r="49" spans="2:6" s="24" customFormat="1" ht="13.5" hidden="1" customHeight="1" thickBot="1">
      <c r="B49" s="72"/>
      <c r="C49" s="73" t="s">
        <v>164</v>
      </c>
      <c r="D49" s="73"/>
      <c r="E49" s="74">
        <f>SUM(E44:E48)</f>
        <v>0.99999999999999989</v>
      </c>
      <c r="F49" s="75">
        <f>SUM(F44:F48)</f>
        <v>1879275.3951961147</v>
      </c>
    </row>
    <row r="50" spans="2:6" s="24" customFormat="1" ht="12.75" hidden="1" customHeight="1">
      <c r="B50" s="31"/>
      <c r="E50" s="52">
        <f>SUM(E44:E48)</f>
        <v>0.99999999999999989</v>
      </c>
      <c r="F50" s="30">
        <f>F24</f>
        <v>1879275.3951961147</v>
      </c>
    </row>
    <row r="51" spans="2:6" s="24" customFormat="1" ht="12.75" hidden="1" customHeight="1">
      <c r="B51" s="31"/>
    </row>
    <row r="52" spans="2:6" s="24" customFormat="1" ht="13.2">
      <c r="B52" s="31"/>
    </row>
    <row r="53" spans="2:6" s="24" customFormat="1" ht="13.2">
      <c r="B53" s="31"/>
    </row>
    <row r="54" spans="2:6" s="24" customFormat="1" ht="13.2">
      <c r="B54" s="31"/>
    </row>
    <row r="55" spans="2:6" s="24" customFormat="1" ht="13.2">
      <c r="B55" s="31"/>
    </row>
    <row r="56" spans="2:6" s="24" customFormat="1" ht="13.2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2:N22 P22" name="Range1"/>
    <protectedRange algorithmName="SHA-512" hashValue="j+J/mkM11pEvvijaHO5iUaruLLhC+RSVAwxUkpdaj8w4JbnfejNcvtHn72PbQbDuFDX4JCXvt3S335YosPtFPw==" saltValue="EsOtAVk3La2RofAAR7kZEA==" spinCount="100000" sqref="P13:P21 L13:N21" name="Range1_1"/>
  </protectedRanges>
  <mergeCells count="7">
    <mergeCell ref="C19:D19"/>
    <mergeCell ref="C22:D22"/>
    <mergeCell ref="C13:D13"/>
    <mergeCell ref="C15:D15"/>
    <mergeCell ref="C17:D17"/>
    <mergeCell ref="C20:D20"/>
    <mergeCell ref="C21:D21"/>
  </mergeCells>
  <conditionalFormatting sqref="F24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9:B20 F19:G20 T19:XFD1048576 I15:K15 I19:O20 O15 T2:T3 Y2:XFD3 Q19:R20 Q13:R13 A21:R26 I4:R10 A11:R12 A1:R3 I17:K17 M17 O17 Q15:R15 T15:XFD15 G15 A15:B15 Q17:R17 T17:XFD17 G17 A17:B17 A28:R1048576 A27:K27 M27:R27" unlocked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5"/>
  <sheetViews>
    <sheetView topLeftCell="A28" zoomScale="85" zoomScaleNormal="85" workbookViewId="0">
      <selection activeCell="O28" sqref="O28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44140625" style="26" customWidth="1"/>
    <col min="5" max="5" width="14.44140625" style="4" customWidth="1"/>
    <col min="6" max="6" width="10.44140625" style="80" customWidth="1"/>
    <col min="7" max="7" width="13.4414062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4414062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/>
    <col min="19" max="19" width="21.44140625" style="26" customWidth="1"/>
    <col min="20" max="22" width="12.5546875" style="26" customWidth="1"/>
    <col min="23" max="23" width="8.44140625" style="26"/>
    <col min="24" max="25" width="10.4414062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165</v>
      </c>
      <c r="D2" s="90"/>
      <c r="E2" s="564" t="s">
        <v>166</v>
      </c>
      <c r="F2" s="565"/>
      <c r="G2" s="565"/>
      <c r="H2" s="566"/>
      <c r="I2" s="667" t="s">
        <v>167</v>
      </c>
      <c r="J2" s="668"/>
      <c r="K2" s="585">
        <f>NETWORKDAYS(I22,K44,Data!C3:C60)</f>
        <v>25</v>
      </c>
      <c r="N2" s="306">
        <v>0</v>
      </c>
      <c r="O2" s="306">
        <v>1</v>
      </c>
    </row>
    <row r="3" spans="2:28" s="26" customFormat="1" ht="14.4" thickBot="1">
      <c r="B3" s="91"/>
      <c r="C3" s="92" t="s">
        <v>168</v>
      </c>
      <c r="D3" s="90"/>
      <c r="E3" s="312">
        <v>178</v>
      </c>
      <c r="F3" s="93"/>
      <c r="G3" s="94"/>
      <c r="H3" s="94"/>
      <c r="I3" s="667" t="s">
        <v>169</v>
      </c>
      <c r="J3" s="668"/>
      <c r="K3" s="585">
        <f>K2/5</f>
        <v>5</v>
      </c>
      <c r="Q3" s="1"/>
    </row>
    <row r="4" spans="2:28" s="26" customFormat="1" ht="14.4" thickBot="1">
      <c r="B4" s="91"/>
      <c r="C4" s="92" t="s">
        <v>170</v>
      </c>
      <c r="D4" s="90"/>
      <c r="E4" s="563" t="s">
        <v>171</v>
      </c>
      <c r="F4" s="94"/>
      <c r="G4" s="94"/>
      <c r="H4" s="94"/>
      <c r="I4" s="667" t="s">
        <v>172</v>
      </c>
      <c r="J4" s="668"/>
      <c r="K4" s="586">
        <f>E3/K3</f>
        <v>35.6</v>
      </c>
      <c r="Q4" s="1"/>
    </row>
    <row r="5" spans="2:28" s="26" customFormat="1">
      <c r="B5" s="91"/>
      <c r="C5" s="92" t="s">
        <v>173</v>
      </c>
      <c r="D5" s="90"/>
      <c r="E5" s="563" t="s">
        <v>174</v>
      </c>
      <c r="F5" s="94"/>
      <c r="G5" s="94"/>
      <c r="H5" s="94"/>
      <c r="I5" s="26" t="s">
        <v>175</v>
      </c>
      <c r="K5" s="26" t="s">
        <v>176</v>
      </c>
      <c r="Q5" s="1"/>
    </row>
    <row r="6" spans="2:28">
      <c r="B6" s="95"/>
      <c r="C6" s="96" t="s">
        <v>177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178</v>
      </c>
      <c r="E7" s="627" t="s">
        <v>179</v>
      </c>
      <c r="F7" s="80"/>
      <c r="G7" s="97"/>
      <c r="J7" s="27"/>
      <c r="Q7" s="1"/>
    </row>
    <row r="8" spans="2:28" ht="30" customHeight="1">
      <c r="B8" s="671" t="s">
        <v>135</v>
      </c>
      <c r="C8" s="672" t="s">
        <v>180</v>
      </c>
      <c r="D8" s="126"/>
      <c r="E8" s="673" t="s">
        <v>181</v>
      </c>
      <c r="F8" s="148" t="s">
        <v>182</v>
      </c>
      <c r="G8" s="673" t="s">
        <v>183</v>
      </c>
      <c r="H8" s="149"/>
      <c r="I8" s="673" t="s">
        <v>184</v>
      </c>
      <c r="J8" s="148" t="s">
        <v>182</v>
      </c>
      <c r="K8" s="673" t="s">
        <v>185</v>
      </c>
      <c r="M8" s="582" t="s">
        <v>44</v>
      </c>
      <c r="N8" s="583" t="s">
        <v>186</v>
      </c>
      <c r="O8" s="669" t="s">
        <v>187</v>
      </c>
      <c r="Z8" s="26"/>
      <c r="AA8" s="26"/>
      <c r="AB8" s="26"/>
    </row>
    <row r="9" spans="2:28">
      <c r="B9" s="671"/>
      <c r="C9" s="672"/>
      <c r="D9" s="126"/>
      <c r="E9" s="673"/>
      <c r="F9" s="40">
        <f>G44-E23</f>
        <v>29</v>
      </c>
      <c r="G9" s="673"/>
      <c r="H9" s="149"/>
      <c r="I9" s="673"/>
      <c r="J9" s="41">
        <f>K44-I23</f>
        <v>32</v>
      </c>
      <c r="K9" s="673"/>
      <c r="M9" s="265">
        <f>AVERAGE(M11,M22,M25,M33,M40,M44,M53,M49)</f>
        <v>0.58454730576441105</v>
      </c>
      <c r="N9" s="265">
        <f ca="1">AVERAGE(N11,N22,N25,N33,N40,N44,N53,N49)</f>
        <v>0.59612762968026134</v>
      </c>
      <c r="O9" s="670"/>
      <c r="S9" s="584">
        <f ca="1">TODAY()</f>
        <v>46083</v>
      </c>
      <c r="T9" s="584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188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v>1</v>
      </c>
      <c r="N11" s="573">
        <v>1</v>
      </c>
      <c r="O11" s="33"/>
      <c r="P11" s="26"/>
      <c r="Q11" s="34"/>
    </row>
    <row r="12" spans="2:28" s="26" customFormat="1">
      <c r="B12" s="157" t="s">
        <v>189</v>
      </c>
      <c r="C12" s="158" t="s">
        <v>190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191</v>
      </c>
      <c r="T12" s="535" t="s">
        <v>127</v>
      </c>
      <c r="U12" s="535" t="s">
        <v>182</v>
      </c>
      <c r="V12" s="535" t="s">
        <v>192</v>
      </c>
    </row>
    <row r="13" spans="2:28" s="26" customFormat="1">
      <c r="B13" s="157" t="s">
        <v>193</v>
      </c>
      <c r="C13" s="158" t="s">
        <v>194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195</v>
      </c>
      <c r="C14" s="158" t="s">
        <v>196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197</v>
      </c>
      <c r="C15" s="158" t="s">
        <v>198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60</v>
      </c>
      <c r="V15" s="536">
        <f>K25</f>
        <v>46090</v>
      </c>
    </row>
    <row r="16" spans="2:28" s="26" customFormat="1">
      <c r="B16" s="157" t="s">
        <v>199</v>
      </c>
      <c r="C16" s="645" t="s">
        <v>200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201</v>
      </c>
      <c r="C17" s="645" t="s">
        <v>202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203</v>
      </c>
      <c r="C18" s="645" t="s">
        <v>204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205</v>
      </c>
      <c r="C19" s="158" t="s">
        <v>206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>
        <v>1</v>
      </c>
      <c r="N19" s="577">
        <f t="shared" ca="1" si="0"/>
        <v>1</v>
      </c>
      <c r="O19" s="36"/>
      <c r="Q19" s="1"/>
      <c r="S19" s="534"/>
      <c r="T19" s="536"/>
      <c r="U19" s="537"/>
      <c r="V19" s="536"/>
    </row>
    <row r="20" spans="2:28" s="26" customFormat="1">
      <c r="B20" s="157" t="s">
        <v>207</v>
      </c>
      <c r="C20" s="158" t="s">
        <v>208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C33</f>
        <v>DC Works</v>
      </c>
      <c r="T20" s="536">
        <f>I33</f>
        <v>46063</v>
      </c>
      <c r="U20" s="537">
        <f>J33</f>
        <v>24</v>
      </c>
      <c r="V20" s="536">
        <f>K33</f>
        <v>46087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C40</f>
        <v>Module installation</v>
      </c>
      <c r="T21" s="536">
        <f>I40</f>
        <v>46062</v>
      </c>
      <c r="U21" s="537">
        <f>J40</f>
        <v>14</v>
      </c>
      <c r="V21" s="536">
        <f>K40</f>
        <v>46076</v>
      </c>
    </row>
    <row r="22" spans="2:28" s="28" customFormat="1">
      <c r="B22" s="155">
        <v>2</v>
      </c>
      <c r="C22" s="156" t="s">
        <v>209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C44</f>
        <v>Commissioning</v>
      </c>
      <c r="T22" s="536">
        <f>I44</f>
        <v>46086</v>
      </c>
      <c r="U22" s="537">
        <f>J44</f>
        <v>8</v>
      </c>
      <c r="V22" s="536">
        <f>K44</f>
        <v>46094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210</v>
      </c>
      <c r="C23" s="158" t="s">
        <v>211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C49</f>
        <v>QA Inspections</v>
      </c>
      <c r="T23" s="536">
        <f>I49</f>
        <v>46087</v>
      </c>
      <c r="U23" s="537">
        <f>J49</f>
        <v>3</v>
      </c>
      <c r="V23" s="536">
        <f>K49</f>
        <v>46090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C53</f>
        <v>Project Closure</v>
      </c>
      <c r="T24" s="536">
        <f>I53</f>
        <v>46088</v>
      </c>
      <c r="U24" s="537">
        <f>J53</f>
        <v>11</v>
      </c>
      <c r="V24" s="536">
        <f>K53</f>
        <v>46099</v>
      </c>
    </row>
    <row r="25" spans="2:28" s="28" customFormat="1">
      <c r="B25" s="155">
        <v>3</v>
      </c>
      <c r="C25" s="156" t="s">
        <v>212</v>
      </c>
      <c r="D25" s="130"/>
      <c r="E25" s="569">
        <f>MIN(E26:E32)</f>
        <v>46030</v>
      </c>
      <c r="F25" s="570">
        <f>G25-E25</f>
        <v>40</v>
      </c>
      <c r="G25" s="569">
        <f>MAX(G26:G32)</f>
        <v>46070</v>
      </c>
      <c r="H25" s="579"/>
      <c r="I25" s="569">
        <f>MIN(I26:I32)</f>
        <v>46030</v>
      </c>
      <c r="J25" s="570">
        <f>K25-I25</f>
        <v>60</v>
      </c>
      <c r="K25" s="569">
        <f>MAX(K26:K32)</f>
        <v>46090</v>
      </c>
      <c r="L25" s="572"/>
      <c r="M25" s="573">
        <f>(J26*M26+J27*M27+J28*M28+J29*M29+J30*M30)/SUM(J26:J30)</f>
        <v>0.93690476190476191</v>
      </c>
      <c r="N25" s="573">
        <f ca="1">(J26*N26+J27*N27+J28*N28+J29*N29+J30*N30)/SUM(J26:J30)</f>
        <v>0.94126984126984126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213</v>
      </c>
      <c r="C26" s="158" t="s">
        <v>214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215</v>
      </c>
      <c r="C27" s="158" t="s">
        <v>216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1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217</v>
      </c>
      <c r="C28" s="158" t="s">
        <v>218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219</v>
      </c>
      <c r="C29" s="158" t="s">
        <v>220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11</v>
      </c>
      <c r="K29" s="574">
        <f>WORKDAY.INTL(I29,J29,1,Data!$C$3:$C$60)</f>
        <v>46085</v>
      </c>
      <c r="L29" s="77"/>
      <c r="M29" s="577">
        <v>0.85</v>
      </c>
      <c r="N29" s="577">
        <f t="shared" ca="1" si="1"/>
        <v>0.8666666666666667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221</v>
      </c>
      <c r="C30" s="158" t="s">
        <v>222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466</v>
      </c>
      <c r="C31" s="645" t="s">
        <v>465</v>
      </c>
      <c r="D31" s="663"/>
      <c r="E31" s="664"/>
      <c r="F31" s="665"/>
      <c r="G31" s="664"/>
      <c r="H31" s="666"/>
      <c r="I31" s="664">
        <v>46083</v>
      </c>
      <c r="J31" s="665">
        <v>5</v>
      </c>
      <c r="K31" s="664">
        <f>WORKDAY.INTL(I31,J31,1,Data!$C$3:$C$60)</f>
        <v>46090</v>
      </c>
      <c r="L31" s="664"/>
      <c r="M31" s="664"/>
      <c r="N31" s="664"/>
      <c r="O31" s="33" t="s">
        <v>467</v>
      </c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ht="4.5" customHeight="1">
      <c r="B32" s="150"/>
      <c r="C32" s="126"/>
      <c r="D32" s="126"/>
      <c r="E32" s="578"/>
      <c r="F32" s="578"/>
      <c r="G32" s="578"/>
      <c r="H32" s="576"/>
      <c r="I32" s="578"/>
      <c r="J32" s="578"/>
      <c r="K32" s="578"/>
      <c r="L32" s="77"/>
      <c r="M32" s="77"/>
      <c r="N32" s="77"/>
      <c r="Q32" s="1"/>
    </row>
    <row r="33" spans="2:28" s="26" customFormat="1">
      <c r="B33" s="155">
        <v>4</v>
      </c>
      <c r="C33" s="156" t="s">
        <v>223</v>
      </c>
      <c r="D33" s="130"/>
      <c r="E33" s="569">
        <f>MIN(E35:E39)</f>
        <v>46062</v>
      </c>
      <c r="F33" s="570">
        <f>G33-E33</f>
        <v>18</v>
      </c>
      <c r="G33" s="569">
        <f>MAX(G35:G39)</f>
        <v>46080</v>
      </c>
      <c r="H33" s="579"/>
      <c r="I33" s="569">
        <f>MIN(I35:I39)</f>
        <v>46063</v>
      </c>
      <c r="J33" s="570">
        <f>K33-I33</f>
        <v>24</v>
      </c>
      <c r="K33" s="569">
        <f>MAX(K35:K39)</f>
        <v>46087</v>
      </c>
      <c r="L33" s="572"/>
      <c r="M33" s="573">
        <f>(J35*M35+J36*M36+J37*M37+J38*M38)/SUM(J35:J38)</f>
        <v>0.73947368421052639</v>
      </c>
      <c r="N33" s="573">
        <f ca="1">(J35*N35+J36*N36+J37*N37+J38*N38)/SUM(J35:J38)</f>
        <v>0.82775119617224879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 hidden="1">
      <c r="B34" s="157"/>
      <c r="C34" s="158"/>
      <c r="D34" s="126"/>
      <c r="E34" s="574"/>
      <c r="F34" s="575"/>
      <c r="G34" s="574"/>
      <c r="H34" s="576"/>
      <c r="I34" s="574"/>
      <c r="J34" s="575"/>
      <c r="K34" s="574"/>
      <c r="L34" s="77"/>
      <c r="M34" s="577"/>
      <c r="N34" s="577"/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224</v>
      </c>
      <c r="C35" s="158" t="s">
        <v>225</v>
      </c>
      <c r="D35" s="126"/>
      <c r="E35" s="574">
        <f>E23</f>
        <v>46062</v>
      </c>
      <c r="F35" s="575">
        <v>1</v>
      </c>
      <c r="G35" s="574">
        <f>WORKDAY.INTL(E35,F35,1,Data!$C$3:$C$60)</f>
        <v>46063</v>
      </c>
      <c r="H35" s="576"/>
      <c r="I35" s="574">
        <v>46063</v>
      </c>
      <c r="J35" s="575">
        <v>1</v>
      </c>
      <c r="K35" s="574">
        <f>WORKDAY.INTL(I35,J35,1,Data!$C$3:$C$60)</f>
        <v>46064</v>
      </c>
      <c r="L35" s="77"/>
      <c r="M35" s="577">
        <v>1</v>
      </c>
      <c r="N35" s="577">
        <f t="shared" ref="N35:N38" ca="1" si="2">_xlfn.LET(
  _xlpm.s,VALUE($I35),
  _xlpm.e,VALUE($K35),
  IF(OR(_xlpm.s="",_xlpm.e=""),"", IF(_xlpm.e&lt;=_xlpm.s, IF(TODAY()&gt;=_xlpm.e,1,0), MAX(0,MIN(1,(TODAY()-_xlpm.s)/(_xlpm.e-_xlpm.s)))))
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226</v>
      </c>
      <c r="C36" s="158" t="s">
        <v>227</v>
      </c>
      <c r="D36" s="126"/>
      <c r="E36" s="574">
        <f>WORKDAY.INTL(G35,0,1,Data!$C$3:$C$60)</f>
        <v>46063</v>
      </c>
      <c r="F36" s="575">
        <v>3</v>
      </c>
      <c r="G36" s="574">
        <f>WORKDAY.INTL(E36,F36,1,Data!$C$3:$C$60)</f>
        <v>46066</v>
      </c>
      <c r="H36" s="576"/>
      <c r="I36" s="574">
        <f>WORKDAY.INTL(K35,0,1,Data!$C$3:$C$60)</f>
        <v>46064</v>
      </c>
      <c r="J36" s="575">
        <v>8</v>
      </c>
      <c r="K36" s="574">
        <f>WORKDAY.INTL(I36,J36,1,Data!$C$3:$C$60)</f>
        <v>46076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228</v>
      </c>
      <c r="C37" s="158" t="s">
        <v>229</v>
      </c>
      <c r="D37" s="126"/>
      <c r="E37" s="574">
        <f>E35</f>
        <v>46062</v>
      </c>
      <c r="F37" s="575">
        <v>1</v>
      </c>
      <c r="G37" s="574">
        <f>WORKDAY.INTL(E37,F37,1,Data!$C$3:$C$60)</f>
        <v>46063</v>
      </c>
      <c r="H37" s="576"/>
      <c r="I37" s="574">
        <v>46063</v>
      </c>
      <c r="J37" s="575">
        <v>1</v>
      </c>
      <c r="K37" s="574">
        <f>WORKDAY.INTL(I37,J37,1,Data!$C$3:$C$60)</f>
        <v>46064</v>
      </c>
      <c r="L37" s="77"/>
      <c r="M37" s="577">
        <v>1</v>
      </c>
      <c r="N37" s="577">
        <f t="shared" ca="1" si="2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ht="14.4">
      <c r="B38" s="157" t="s">
        <v>230</v>
      </c>
      <c r="C38" s="154" t="s">
        <v>231</v>
      </c>
      <c r="D38" s="126"/>
      <c r="E38" s="580">
        <f>WORKDAY.INTL(G42,0,1,Data!$C$3:$C$60)-3</f>
        <v>46076</v>
      </c>
      <c r="F38" s="575">
        <v>4</v>
      </c>
      <c r="G38" s="580">
        <f>WORKDAY.INTL(E38,F38,1,Data!$C$3:$C$60)</f>
        <v>46080</v>
      </c>
      <c r="H38" s="576"/>
      <c r="I38" s="580">
        <f>K36</f>
        <v>46076</v>
      </c>
      <c r="J38" s="575">
        <v>9</v>
      </c>
      <c r="K38" s="580">
        <f>WORKDAY.INTL(I38,J38,1,Data!$C$3:$C$60)</f>
        <v>46087</v>
      </c>
      <c r="L38" s="77"/>
      <c r="M38" s="577">
        <v>0.45</v>
      </c>
      <c r="N38" s="577">
        <f t="shared" ca="1" si="2"/>
        <v>0.63636363636363635</v>
      </c>
      <c r="O38" s="36"/>
      <c r="U38"/>
      <c r="Y38" s="4"/>
    </row>
    <row r="39" spans="2:28" s="26" customFormat="1" ht="4.5" customHeight="1">
      <c r="B39" s="150"/>
      <c r="C39" s="126"/>
      <c r="D39" s="126"/>
      <c r="E39" s="578"/>
      <c r="F39" s="578"/>
      <c r="G39" s="578"/>
      <c r="H39" s="576"/>
      <c r="I39" s="578"/>
      <c r="J39" s="578"/>
      <c r="K39" s="578"/>
      <c r="L39" s="77"/>
      <c r="M39" s="77"/>
      <c r="N39" s="77"/>
      <c r="Q39" s="1"/>
    </row>
    <row r="40" spans="2:28" s="26" customFormat="1">
      <c r="B40" s="155">
        <v>5</v>
      </c>
      <c r="C40" s="156" t="s">
        <v>232</v>
      </c>
      <c r="D40" s="130"/>
      <c r="E40" s="569">
        <f>MIN(E41:E43)</f>
        <v>46062</v>
      </c>
      <c r="F40" s="570">
        <f>G40-E40</f>
        <v>17</v>
      </c>
      <c r="G40" s="569">
        <f>MAX(G41:G43)</f>
        <v>46079</v>
      </c>
      <c r="H40" s="571"/>
      <c r="I40" s="569">
        <f>MIN(I41:I43)</f>
        <v>46062</v>
      </c>
      <c r="J40" s="570">
        <f>K40-I40</f>
        <v>14</v>
      </c>
      <c r="K40" s="569">
        <f>MAX(K41:K43)</f>
        <v>46076</v>
      </c>
      <c r="L40" s="572"/>
      <c r="M40" s="573">
        <f>(J41*M41+J42*M42)/SUM(J41:J42)</f>
        <v>1</v>
      </c>
      <c r="N40" s="573">
        <f>(J41*M41+J42*M42)/SUM(J41:J42)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233</v>
      </c>
      <c r="C41" s="158" t="s">
        <v>234</v>
      </c>
      <c r="D41" s="126"/>
      <c r="E41" s="580">
        <f>WORKDAY.INTL(E23,0,1,Data!$C$3:$C$60)</f>
        <v>46062</v>
      </c>
      <c r="F41" s="575">
        <v>1</v>
      </c>
      <c r="G41" s="574">
        <f>WORKDAY.INTL(E41,F41,1,Data!$C$3:$C$60)</f>
        <v>46063</v>
      </c>
      <c r="H41" s="576"/>
      <c r="I41" s="580">
        <v>46063</v>
      </c>
      <c r="J41" s="575">
        <v>1</v>
      </c>
      <c r="K41" s="574">
        <f>WORKDAY.INTL(I41,J41,1,Data!$C$3:$C$60)</f>
        <v>46064</v>
      </c>
      <c r="L41" s="77"/>
      <c r="M41" s="577">
        <v>1</v>
      </c>
      <c r="N41" s="577">
        <f t="shared" ref="N41:N42" ca="1" si="3">_xlfn.LET(
  _xlpm.s,VALUE($I41),
  _xlpm.e,VALUE($K41),
  IF(OR(_xlpm.s="",_xlpm.e=""),"", IF(_xlpm.e&lt;=_xlpm.s, IF(TODAY()&gt;=_xlpm.e,1,0), MAX(0,MIN(1,(TODAY()-_xlpm.s)/(_xlpm.e-_xlpm.s)))))
)</f>
        <v>1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>
      <c r="B42" s="157" t="s">
        <v>235</v>
      </c>
      <c r="C42" s="158" t="s">
        <v>236</v>
      </c>
      <c r="D42" s="126"/>
      <c r="E42" s="580">
        <f>G36</f>
        <v>46066</v>
      </c>
      <c r="F42" s="575">
        <v>9</v>
      </c>
      <c r="G42" s="574">
        <f>WORKDAY.INTL(E42,F42,1,Data!$C$3:$C$60)</f>
        <v>46079</v>
      </c>
      <c r="H42" s="576"/>
      <c r="I42" s="580">
        <v>46062</v>
      </c>
      <c r="J42" s="575">
        <v>10</v>
      </c>
      <c r="K42" s="574">
        <f>WORKDAY.INTL(I42,J42,1,Data!$C$3:$C$60)</f>
        <v>46076</v>
      </c>
      <c r="L42" s="77"/>
      <c r="M42" s="577">
        <v>1</v>
      </c>
      <c r="N42" s="577">
        <f t="shared" ca="1" si="3"/>
        <v>1</v>
      </c>
      <c r="O42" s="36"/>
      <c r="Q42" s="38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>
      <c r="B44" s="155">
        <v>6</v>
      </c>
      <c r="C44" s="156" t="s">
        <v>237</v>
      </c>
      <c r="D44" s="130"/>
      <c r="E44" s="569">
        <f>MIN(E45:E48)</f>
        <v>46080</v>
      </c>
      <c r="F44" s="570">
        <f>G44-E44</f>
        <v>11</v>
      </c>
      <c r="G44" s="569">
        <f>MAX(G45:G48)</f>
        <v>46091</v>
      </c>
      <c r="H44" s="571"/>
      <c r="I44" s="569">
        <f>MIN(I45:I48)</f>
        <v>46086</v>
      </c>
      <c r="J44" s="570">
        <f>K44-I44</f>
        <v>8</v>
      </c>
      <c r="K44" s="569">
        <f>MAX(K45:K48)</f>
        <v>46094</v>
      </c>
      <c r="L44" s="572"/>
      <c r="M44" s="573">
        <f>(J45*M45+J46*M46+J47*M47)/SUM(J45:J47)</f>
        <v>0</v>
      </c>
      <c r="N44" s="573">
        <f ca="1">(K45*N45+K46*N46)/SUM(K45:K46)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238</v>
      </c>
      <c r="C45" s="154" t="s">
        <v>237</v>
      </c>
      <c r="D45" s="126"/>
      <c r="E45" s="580">
        <f>WORKDAY.INTL(MAX(G25,G33,G40),0,1,Data!$C$3:$C$60)</f>
        <v>46080</v>
      </c>
      <c r="F45" s="575">
        <v>1</v>
      </c>
      <c r="G45" s="580">
        <f>WORKDAY.INTL(E45,F45,1,Data!$C$3:$C$60)</f>
        <v>46083</v>
      </c>
      <c r="H45" s="576"/>
      <c r="I45" s="580">
        <v>46086</v>
      </c>
      <c r="J45" s="575">
        <v>1</v>
      </c>
      <c r="K45" s="580">
        <f>WORKDAY.INTL(I45,J45,1,Data!$C$3:$C$60)</f>
        <v>46087</v>
      </c>
      <c r="L45" s="77"/>
      <c r="M45" s="577">
        <v>0</v>
      </c>
      <c r="N45" s="577">
        <f t="shared" ref="N45:N47" ca="1" si="4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239</v>
      </c>
      <c r="C46" s="154" t="s">
        <v>150</v>
      </c>
      <c r="D46" s="126"/>
      <c r="E46" s="580">
        <f>WORKDAY.INTL(G45,0,1,Data!$C$3:$C$60)</f>
        <v>46083</v>
      </c>
      <c r="F46" s="575">
        <v>1</v>
      </c>
      <c r="G46" s="580">
        <f>WORKDAY.INTL(E46,F46,1,Data!$C$3:$C$60)</f>
        <v>46084</v>
      </c>
      <c r="H46" s="576"/>
      <c r="I46" s="580">
        <f>WORKDAY.INTL(K45,0,1,Data!$C$3:$C$60)</f>
        <v>46087</v>
      </c>
      <c r="J46" s="575">
        <v>1</v>
      </c>
      <c r="K46" s="580">
        <f>WORKDAY.INTL(I46,J46,1,Data!$C$3:$C$60)</f>
        <v>46090</v>
      </c>
      <c r="L46" s="77"/>
      <c r="M46" s="577">
        <v>0</v>
      </c>
      <c r="N46" s="577">
        <f t="shared" ca="1" si="4"/>
        <v>0</v>
      </c>
      <c r="O46" s="36"/>
      <c r="Y46" s="4"/>
    </row>
    <row r="47" spans="2:28">
      <c r="B47" s="157" t="s">
        <v>240</v>
      </c>
      <c r="C47" s="154" t="s">
        <v>241</v>
      </c>
      <c r="D47" s="126"/>
      <c r="E47" s="580">
        <f>WORKDAY.INTL(G46,0,1,Data!$C$3:$C$60)</f>
        <v>46084</v>
      </c>
      <c r="F47" s="575">
        <v>5</v>
      </c>
      <c r="G47" s="580">
        <f>WORKDAY.INTL(E47,F47,1,Data!$C$3:$C$60)</f>
        <v>46091</v>
      </c>
      <c r="H47" s="576"/>
      <c r="I47" s="580">
        <v>46087</v>
      </c>
      <c r="J47" s="575">
        <v>5</v>
      </c>
      <c r="K47" s="580">
        <f>WORKDAY.INTL(I47,J47,1,Data!$C$3:$C$60)</f>
        <v>46094</v>
      </c>
      <c r="L47" s="77"/>
      <c r="M47" s="577">
        <v>0</v>
      </c>
      <c r="N47" s="577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78"/>
      <c r="F48" s="578"/>
      <c r="G48" s="578"/>
      <c r="H48" s="576"/>
      <c r="I48" s="578"/>
      <c r="J48" s="578"/>
      <c r="K48" s="578"/>
      <c r="L48" s="77"/>
      <c r="M48" s="77"/>
      <c r="N48" s="77"/>
      <c r="Q48" s="1"/>
    </row>
    <row r="49" spans="2:28" s="26" customFormat="1">
      <c r="B49" s="155">
        <v>7</v>
      </c>
      <c r="C49" s="156" t="s">
        <v>242</v>
      </c>
      <c r="D49" s="130"/>
      <c r="E49" s="569">
        <f>MIN(E50:E52)</f>
        <v>46084</v>
      </c>
      <c r="F49" s="570">
        <f>G49-E49</f>
        <v>8</v>
      </c>
      <c r="G49" s="569">
        <f>MAX(G50:G52)</f>
        <v>46092</v>
      </c>
      <c r="H49" s="571"/>
      <c r="I49" s="569">
        <f>MIN(I50:I52)</f>
        <v>46087</v>
      </c>
      <c r="J49" s="570">
        <f>K49-I49</f>
        <v>3</v>
      </c>
      <c r="K49" s="569">
        <f>MAX(K50:K52)</f>
        <v>46090</v>
      </c>
      <c r="L49" s="572"/>
      <c r="M49" s="573">
        <f>(J50*M50+J51*M51)/SUM(J50:J51)</f>
        <v>0</v>
      </c>
      <c r="N49" s="573">
        <f ca="1">(K50*N50)/SUM(K50)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243</v>
      </c>
      <c r="C50" s="154" t="s">
        <v>244</v>
      </c>
      <c r="D50" s="126"/>
      <c r="E50" s="580">
        <f>WORKDAY.INTL(E47,0,1,Data!$C$3:$C$60)</f>
        <v>46084</v>
      </c>
      <c r="F50" s="575">
        <v>3</v>
      </c>
      <c r="G50" s="580">
        <f>WORKDAY.INTL(E50,F50,1,Data!$C$3:$C$60)</f>
        <v>46087</v>
      </c>
      <c r="H50" s="576"/>
      <c r="I50" s="580">
        <f>WORKDAY.INTL(I47,0,1,Data!$C$3:$C$60)</f>
        <v>46087</v>
      </c>
      <c r="J50" s="575">
        <v>1</v>
      </c>
      <c r="K50" s="580">
        <f>WORKDAY.INTL(I50,J50,1,Data!$C$3:$C$60)</f>
        <v>46090</v>
      </c>
      <c r="L50" s="77"/>
      <c r="M50" s="577">
        <v>0</v>
      </c>
      <c r="N50" s="577">
        <f t="shared" ref="N50:N51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245</v>
      </c>
      <c r="C51" s="154" t="s">
        <v>246</v>
      </c>
      <c r="D51" s="126"/>
      <c r="E51" s="580">
        <f>G50</f>
        <v>46087</v>
      </c>
      <c r="F51" s="575">
        <v>3</v>
      </c>
      <c r="G51" s="580">
        <f>WORKDAY.INTL(E51,F51,1,Data!$C$3:$C$60)</f>
        <v>46092</v>
      </c>
      <c r="H51" s="576"/>
      <c r="I51" s="580">
        <v>46088</v>
      </c>
      <c r="J51" s="575">
        <v>1</v>
      </c>
      <c r="K51" s="580">
        <f>WORKDAY.INTL(I51,J51,1,Data!$C$3:$C$60)</f>
        <v>46090</v>
      </c>
      <c r="L51" s="77"/>
      <c r="M51" s="577">
        <v>0</v>
      </c>
      <c r="N51" s="577">
        <f t="shared" ca="1" si="5"/>
        <v>0</v>
      </c>
      <c r="O51" s="36"/>
      <c r="Y51" s="4"/>
    </row>
    <row r="52" spans="2:28" s="26" customFormat="1" ht="4.5" customHeight="1">
      <c r="B52" s="150"/>
      <c r="C52" s="126"/>
      <c r="D52" s="126"/>
      <c r="E52" s="578"/>
      <c r="F52" s="578"/>
      <c r="G52" s="578"/>
      <c r="H52" s="576"/>
      <c r="I52" s="578"/>
      <c r="J52" s="578"/>
      <c r="K52" s="578"/>
      <c r="L52" s="77"/>
      <c r="M52" s="77"/>
      <c r="N52" s="77"/>
      <c r="Q52" s="1"/>
    </row>
    <row r="53" spans="2:28" s="26" customFormat="1">
      <c r="B53" s="155">
        <v>8</v>
      </c>
      <c r="C53" s="156" t="s">
        <v>247</v>
      </c>
      <c r="D53" s="130"/>
      <c r="E53" s="569">
        <f>MIN(E54:E56)</f>
        <v>46087</v>
      </c>
      <c r="F53" s="570">
        <f>G53-E53</f>
        <v>18</v>
      </c>
      <c r="G53" s="569">
        <f>MAX(G54:G56)</f>
        <v>46105</v>
      </c>
      <c r="H53" s="571"/>
      <c r="I53" s="569">
        <f>MIN(I54:I56)</f>
        <v>46088</v>
      </c>
      <c r="J53" s="570">
        <f>K53-I53</f>
        <v>11</v>
      </c>
      <c r="K53" s="569">
        <f>MAX(K54:K56)</f>
        <v>46099</v>
      </c>
      <c r="L53" s="572"/>
      <c r="M53" s="573">
        <f>(J54*M54+J55*M55+J56*M56)/SUM(J54:J56)</f>
        <v>0</v>
      </c>
      <c r="N53" s="573">
        <f ca="1">(K51*N51+K47*N47+K54*N54+K55*N55+K56*N56)/SUM(K51:K56)</f>
        <v>0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>
      <c r="B54" s="157" t="s">
        <v>248</v>
      </c>
      <c r="C54" s="154" t="s">
        <v>249</v>
      </c>
      <c r="D54" s="126"/>
      <c r="E54" s="580">
        <f>WORKDAY.INTL(E51,0,1,Data!$C$3:$C$60)</f>
        <v>46087</v>
      </c>
      <c r="F54" s="575">
        <v>7</v>
      </c>
      <c r="G54" s="580">
        <f>WORKDAY.INTL(E54,F54,1,Data!$C$3:$C$60)</f>
        <v>46098</v>
      </c>
      <c r="H54" s="576"/>
      <c r="I54" s="580">
        <f>WORKDAY.INTL(I51,0,1,Data!$C$3:$C$60)</f>
        <v>46088</v>
      </c>
      <c r="J54" s="575">
        <v>2</v>
      </c>
      <c r="K54" s="580">
        <f>WORKDAY.INTL(I54,J54,1,Data!$C$3:$C$60)</f>
        <v>46091</v>
      </c>
      <c r="L54" s="77"/>
      <c r="M54" s="577">
        <v>0</v>
      </c>
      <c r="N54" s="577">
        <f t="shared" ref="N54:N56" ca="1" si="6">_xlfn.LET(
  _xlpm.s,VALUE($I54),
  _xlpm.e,VALUE($K54),
  IF(OR(_xlpm.s="",_xlpm.e=""),"", IF(_xlpm.e&lt;=_xlpm.s, IF(TODAY()&gt;=_xlpm.e,1,0), MAX(0,MIN(1,(TODAY()-_xlpm.s)/(_xlpm.e-_xlpm.s)))))
)</f>
        <v>0</v>
      </c>
      <c r="O54" s="36"/>
      <c r="Y54" s="4"/>
    </row>
    <row r="55" spans="2:28">
      <c r="B55" s="157" t="s">
        <v>250</v>
      </c>
      <c r="C55" s="154" t="s">
        <v>251</v>
      </c>
      <c r="D55" s="126"/>
      <c r="E55" s="580">
        <f>WORKDAY.INTL(G54,0,1,Data!$C$3:$C$60)</f>
        <v>46098</v>
      </c>
      <c r="F55" s="575">
        <v>1</v>
      </c>
      <c r="G55" s="580">
        <f>WORKDAY.INTL(E55,F55,1,Data!$C$3:$C$60)</f>
        <v>46099</v>
      </c>
      <c r="H55" s="576"/>
      <c r="I55" s="580">
        <v>46098</v>
      </c>
      <c r="J55" s="575">
        <v>1</v>
      </c>
      <c r="K55" s="580">
        <f>WORKDAY.INTL(I55,J55,1,Data!$C$3:$C$60)</f>
        <v>46099</v>
      </c>
      <c r="L55" s="77"/>
      <c r="M55" s="577">
        <v>0</v>
      </c>
      <c r="N55" s="577">
        <f t="shared" ca="1" si="6"/>
        <v>0</v>
      </c>
      <c r="O55" s="36"/>
      <c r="Y55" s="4"/>
    </row>
    <row r="56" spans="2:28">
      <c r="B56" s="157" t="s">
        <v>252</v>
      </c>
      <c r="C56" s="154" t="s">
        <v>253</v>
      </c>
      <c r="D56" s="126"/>
      <c r="E56" s="580">
        <f>WORKDAY.INTL(G54,0,1,Data!$C$3:$C$60)</f>
        <v>46098</v>
      </c>
      <c r="F56" s="575">
        <v>5</v>
      </c>
      <c r="G56" s="580">
        <f>WORKDAY.INTL(E56,F56,1,Data!$C$3:$C$60)</f>
        <v>46105</v>
      </c>
      <c r="H56" s="576"/>
      <c r="I56" s="580">
        <f>WORKDAY.INTL(K54,0,1,Data!$C$3:$C$60)</f>
        <v>46091</v>
      </c>
      <c r="J56" s="575">
        <v>5</v>
      </c>
      <c r="K56" s="580">
        <f>WORKDAY.INTL(I56,J56,1,Data!$C$3:$C$60)</f>
        <v>46098</v>
      </c>
      <c r="L56" s="77"/>
      <c r="M56" s="577">
        <v>0</v>
      </c>
      <c r="N56" s="577">
        <f t="shared" ca="1" si="6"/>
        <v>0</v>
      </c>
      <c r="O56" s="36"/>
      <c r="Y56" s="4"/>
    </row>
    <row r="57" spans="2:28" s="26" customFormat="1" ht="4.5" customHeight="1">
      <c r="B57" s="150"/>
      <c r="C57" s="126"/>
      <c r="D57" s="126"/>
      <c r="E57" s="581"/>
      <c r="F57" s="581"/>
      <c r="G57" s="581"/>
      <c r="H57" s="581"/>
      <c r="I57" s="581"/>
      <c r="J57" s="581"/>
      <c r="K57" s="581"/>
      <c r="L57" s="581"/>
      <c r="M57" s="581"/>
      <c r="N57" s="581"/>
      <c r="O57" s="126"/>
      <c r="Q57" s="38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spans="2:28" s="1" customFormat="1">
      <c r="B58" s="81"/>
      <c r="E58" s="82"/>
      <c r="F58" s="25"/>
      <c r="J58" s="25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7 M58:P1048576 N1:O2 N6:O7 M1:M7 P1:P7 O8:P56" name="Range1"/>
    <protectedRange algorithmName="SHA-512" hashValue="0fHuZEaiYGK5sqlV/38Hfc0T7yH0tOTbdy5iYtX6c3lYp4VF2ar7IMEIVGfLLUnhvJzWsmOZSDZnUiLySCBxdg==" saltValue="oeJbzSFL5Q9rgT2MjiMjew==" spinCount="100000" sqref="M8:N56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4:N56 M50:N51 M45:N47 M23:N23 M26:N30 M34:N38 M41:N42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98"/>
      <c r="C4" s="698"/>
      <c r="D4" s="698"/>
      <c r="E4" s="313"/>
      <c r="F4" s="131" t="s">
        <v>122</v>
      </c>
      <c r="G4" s="126"/>
      <c r="H4" s="131" t="s">
        <v>123</v>
      </c>
      <c r="I4" s="126"/>
      <c r="J4" s="132" t="s">
        <v>255</v>
      </c>
      <c r="K4" s="26"/>
      <c r="L4" s="26"/>
    </row>
    <row r="5" spans="1:12" ht="14.4" thickBot="1">
      <c r="A5" s="126"/>
      <c r="B5" s="699" t="s">
        <v>256</v>
      </c>
      <c r="C5" s="699"/>
      <c r="D5" s="699"/>
      <c r="E5" s="313"/>
      <c r="F5" s="133">
        <f>SUM(F9:F23)</f>
        <v>1533654.4012312251</v>
      </c>
      <c r="G5" s="128"/>
      <c r="H5" s="133">
        <f>SUM(H9:H23)</f>
        <v>1425570.1624399514</v>
      </c>
      <c r="I5" s="126"/>
      <c r="J5" s="134">
        <f>SUM(J9:J23)</f>
        <v>108084.23879127388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135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159371.72</v>
      </c>
      <c r="I11" s="23"/>
      <c r="J11" s="143">
        <f t="shared" si="0"/>
        <v>-8297.7200000000012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33751.839999999997</v>
      </c>
      <c r="I13" s="23"/>
      <c r="J13" s="143">
        <f t="shared" si="0"/>
        <v>15248.160000000003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74263.89</v>
      </c>
      <c r="I16" s="23"/>
      <c r="J16" s="143">
        <f t="shared" si="0"/>
        <v>56827.11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73322.5</v>
      </c>
      <c r="I19" s="23"/>
      <c r="J19" s="143">
        <f t="shared" si="0"/>
        <v>15677.5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L1" zoomScale="70" zoomScaleNormal="70" workbookViewId="0">
      <pane ySplit="4" topLeftCell="A26" activePane="bottomLeft" state="frozen"/>
      <selection activeCell="X33" sqref="X33"/>
      <selection pane="bottomLeft" activeCell="R48" sqref="R48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44140625" style="4" customWidth="1"/>
    <col min="5" max="5" width="13" style="6" customWidth="1"/>
    <col min="6" max="6" width="16.44140625" style="372" customWidth="1"/>
    <col min="7" max="8" width="17.44140625" style="4" customWidth="1"/>
    <col min="9" max="10" width="22.44140625" style="254" customWidth="1"/>
    <col min="11" max="12" width="5.5546875" style="26" customWidth="1"/>
    <col min="13" max="13" width="25.44140625" style="26" customWidth="1"/>
    <col min="14" max="14" width="48.44140625" style="26" customWidth="1"/>
    <col min="15" max="15" width="15.44140625" style="26" customWidth="1"/>
    <col min="16" max="16" width="14.44140625" style="26" customWidth="1"/>
    <col min="17" max="17" width="17.44140625" style="26" customWidth="1"/>
    <col min="18" max="18" width="37.44140625" style="27" bestFit="1" customWidth="1"/>
    <col min="19" max="19" width="29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44140625" style="26" customWidth="1"/>
    <col min="25" max="26" width="29.4414062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2" t="s">
        <v>262</v>
      </c>
      <c r="C2" s="703"/>
      <c r="D2" s="703"/>
      <c r="E2" s="703"/>
      <c r="F2" s="703"/>
      <c r="G2" s="703"/>
      <c r="H2" s="395"/>
      <c r="I2" s="162">
        <f>SUM(I6:I160)</f>
        <v>1533654.4012312251</v>
      </c>
      <c r="J2" s="162">
        <f>SUM(J6:J160)</f>
        <v>1879275.3951961147</v>
      </c>
      <c r="L2" s="704" t="s">
        <v>263</v>
      </c>
      <c r="M2" s="705"/>
      <c r="N2" s="705"/>
      <c r="O2" s="705"/>
      <c r="P2" s="705"/>
      <c r="Q2" s="705"/>
      <c r="R2" s="712" t="s">
        <v>264</v>
      </c>
      <c r="S2" s="713"/>
      <c r="T2" s="713"/>
      <c r="U2" s="713"/>
      <c r="V2" s="713"/>
      <c r="W2" s="714"/>
      <c r="X2" s="162">
        <f>SUM(X6:X160)</f>
        <v>1425570.1624399514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140</v>
      </c>
      <c r="T4" s="520" t="s">
        <v>141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Plan'!E41+60</f>
        <v>46122</v>
      </c>
      <c r="I6" s="706">
        <f>SUM(G6:G11)</f>
        <v>461648.54000000004</v>
      </c>
      <c r="J6" s="709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718">
        <f>J6-SUM(U6:U11)</f>
        <v>0</v>
      </c>
      <c r="W6" s="453">
        <v>46111</v>
      </c>
      <c r="X6" s="706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707"/>
      <c r="J7" s="710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19"/>
      <c r="W7" s="454"/>
      <c r="X7" s="707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707"/>
      <c r="J8" s="710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19"/>
      <c r="W8" s="454"/>
      <c r="X8" s="707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707"/>
      <c r="J9" s="710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19"/>
      <c r="W9" s="455"/>
      <c r="X9" s="70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707"/>
      <c r="J10" s="710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19"/>
      <c r="W10" s="455"/>
      <c r="X10" s="70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708"/>
      <c r="J11" s="711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20"/>
      <c r="W11" s="456"/>
      <c r="X11" s="708"/>
      <c r="Y11" s="605" t="s">
        <v>285</v>
      </c>
      <c r="Z11" s="486" t="s">
        <v>286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725">
        <f>SUM(G13:G19)</f>
        <v>140000</v>
      </c>
      <c r="J13" s="728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21">
        <f>J13-SUM(U13:U19)</f>
        <v>0</v>
      </c>
      <c r="W13" s="458"/>
      <c r="X13" s="725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26"/>
      <c r="J14" s="729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722"/>
      <c r="W14" s="459">
        <f>W6</f>
        <v>46111</v>
      </c>
      <c r="X14" s="726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26"/>
      <c r="J15" s="729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22"/>
      <c r="W15" s="459"/>
      <c r="X15" s="726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26"/>
      <c r="J16" s="729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22"/>
      <c r="W16" s="459"/>
      <c r="X16" s="726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26"/>
      <c r="J17" s="729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22"/>
      <c r="W17" s="459"/>
      <c r="X17" s="726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26"/>
      <c r="J18" s="729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22"/>
      <c r="W18" s="459"/>
      <c r="X18" s="726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27"/>
      <c r="J19" s="730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23"/>
      <c r="W19" s="460"/>
      <c r="X19" s="727"/>
      <c r="Y19" s="606" t="s">
        <v>297</v>
      </c>
      <c r="Z19" s="487">
        <v>0</v>
      </c>
    </row>
    <row r="20" spans="1:27" ht="14.4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Plan'!E35+30</f>
        <v>46092</v>
      </c>
      <c r="I21" s="706">
        <f>SUM(G21:G26)</f>
        <v>151074</v>
      </c>
      <c r="J21" s="709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18">
        <f>J21-SUM(U21:U26)</f>
        <v>-1.3637534284498543E-3</v>
      </c>
      <c r="W21" s="461"/>
      <c r="X21" s="706">
        <f>SUM(Q21:Q26)</f>
        <v>159371.72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707"/>
      <c r="J22" s="710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719"/>
      <c r="W22" s="630">
        <v>46053</v>
      </c>
      <c r="X22" s="707"/>
      <c r="Y22" s="606" t="s">
        <v>164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707"/>
      <c r="J23" s="710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>(Q23/$X$21*$J$21)-1202.59</f>
        <v>41063.097552659907</v>
      </c>
      <c r="V23" s="719"/>
      <c r="W23" s="454">
        <f>T23+30</f>
        <v>46111</v>
      </c>
      <c r="X23" s="707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707"/>
      <c r="J24" s="710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101107.43403306059</v>
      </c>
      <c r="V24" s="719"/>
      <c r="W24" s="454">
        <f>T24+30</f>
        <v>46111</v>
      </c>
      <c r="X24" s="707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707"/>
      <c r="J25" s="710"/>
      <c r="K25" s="192"/>
      <c r="L25" s="215">
        <v>3</v>
      </c>
      <c r="M25" s="322" t="s">
        <v>301</v>
      </c>
      <c r="N25" s="286" t="s">
        <v>310</v>
      </c>
      <c r="O25" s="434"/>
      <c r="P25" s="343"/>
      <c r="Q25" s="287">
        <v>5052.5</v>
      </c>
      <c r="R25" s="471"/>
      <c r="S25" s="501" t="s">
        <v>311</v>
      </c>
      <c r="T25" s="549">
        <v>46081</v>
      </c>
      <c r="U25" s="397">
        <f t="shared" si="3"/>
        <v>5986.8007401187615</v>
      </c>
      <c r="V25" s="719"/>
      <c r="W25" s="455">
        <v>46111</v>
      </c>
      <c r="X25" s="70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708"/>
      <c r="J26" s="711"/>
      <c r="K26" s="193"/>
      <c r="L26" s="220">
        <v>3</v>
      </c>
      <c r="M26" s="323" t="s">
        <v>301</v>
      </c>
      <c r="N26" s="233" t="s">
        <v>312</v>
      </c>
      <c r="O26" s="435"/>
      <c r="P26" s="358"/>
      <c r="Q26" s="234">
        <v>28948.57</v>
      </c>
      <c r="R26" s="472" t="s">
        <v>313</v>
      </c>
      <c r="S26" s="502" t="s">
        <v>314</v>
      </c>
      <c r="T26" s="550">
        <v>46053</v>
      </c>
      <c r="U26" s="652">
        <v>37994.451499238232</v>
      </c>
      <c r="V26" s="720"/>
      <c r="W26" s="646">
        <v>46058</v>
      </c>
      <c r="X26" s="708"/>
      <c r="Y26" s="608" t="s">
        <v>123</v>
      </c>
      <c r="Z26" s="491" t="s">
        <v>315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316</v>
      </c>
      <c r="E28" s="268">
        <v>2813</v>
      </c>
      <c r="F28" s="355"/>
      <c r="G28" s="200">
        <v>39382</v>
      </c>
      <c r="H28" s="552">
        <f>'Project Plan'!E37+60</f>
        <v>46122</v>
      </c>
      <c r="I28" s="725">
        <f>SUM(G28:G42)</f>
        <v>119324.7</v>
      </c>
      <c r="J28" s="728">
        <f>F164</f>
        <v>149155.875</v>
      </c>
      <c r="K28" s="201"/>
      <c r="L28" s="197">
        <v>4</v>
      </c>
      <c r="M28" s="324" t="s">
        <v>317</v>
      </c>
      <c r="N28" s="198" t="s">
        <v>318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721">
        <f>J28-SUM(U28:U42)</f>
        <v>0</v>
      </c>
      <c r="W28" s="458">
        <f>W6</f>
        <v>46111</v>
      </c>
      <c r="X28" s="725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319</v>
      </c>
      <c r="E29" s="295"/>
      <c r="F29" s="351"/>
      <c r="G29" s="516">
        <f>D164-G28</f>
        <v>79942.7</v>
      </c>
      <c r="H29" s="543">
        <f>'Project Plan'!G33</f>
        <v>46080</v>
      </c>
      <c r="I29" s="726"/>
      <c r="J29" s="729"/>
      <c r="K29" s="205"/>
      <c r="L29" s="202">
        <v>4</v>
      </c>
      <c r="M29" s="325" t="s">
        <v>317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22"/>
      <c r="W29" s="459"/>
      <c r="X29" s="726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26"/>
      <c r="J30" s="729"/>
      <c r="K30" s="205"/>
      <c r="L30" s="202">
        <v>4</v>
      </c>
      <c r="M30" s="325" t="s">
        <v>317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22"/>
      <c r="W30" s="459"/>
      <c r="X30" s="726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26"/>
      <c r="J31" s="729"/>
      <c r="K31" s="205"/>
      <c r="L31" s="202">
        <v>4</v>
      </c>
      <c r="M31" s="325" t="s">
        <v>317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22"/>
      <c r="W31" s="459"/>
      <c r="X31" s="726"/>
      <c r="Y31" s="609" t="s">
        <v>320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26"/>
      <c r="J32" s="729"/>
      <c r="K32" s="205"/>
      <c r="L32" s="202">
        <v>4</v>
      </c>
      <c r="M32" s="325" t="s">
        <v>317</v>
      </c>
      <c r="N32" s="309" t="s">
        <v>321</v>
      </c>
      <c r="O32" s="447">
        <f>Z28</f>
        <v>69550</v>
      </c>
      <c r="P32" s="448">
        <v>0.1</v>
      </c>
      <c r="Q32" s="204">
        <f>$O$32*P32</f>
        <v>6955</v>
      </c>
      <c r="R32" s="700"/>
      <c r="S32" s="505" t="s">
        <v>322</v>
      </c>
      <c r="T32" s="543">
        <v>46053</v>
      </c>
      <c r="U32" s="653">
        <v>8262.6771057347669</v>
      </c>
      <c r="V32" s="722"/>
      <c r="W32" s="647">
        <f>W91</f>
        <v>46058</v>
      </c>
      <c r="X32" s="726"/>
      <c r="Y32" s="609" t="s">
        <v>323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26"/>
      <c r="J33" s="729"/>
      <c r="K33" s="205"/>
      <c r="L33" s="202">
        <v>4</v>
      </c>
      <c r="M33" s="325" t="s">
        <v>317</v>
      </c>
      <c r="N33" s="309" t="s">
        <v>209</v>
      </c>
      <c r="O33" s="438"/>
      <c r="P33" s="448">
        <v>0.15</v>
      </c>
      <c r="Q33" s="204">
        <f t="shared" ref="Q33:Q39" si="5">$O$32*P33</f>
        <v>10432.5</v>
      </c>
      <c r="R33" s="724"/>
      <c r="S33" s="505" t="s">
        <v>324</v>
      </c>
      <c r="T33" s="543">
        <f t="shared" ref="T33:T39" si="6">T92</f>
        <v>46081</v>
      </c>
      <c r="U33" s="401">
        <f t="shared" si="4"/>
        <v>12394.015658602149</v>
      </c>
      <c r="V33" s="722"/>
      <c r="W33" s="647">
        <f t="shared" ref="W33:W39" si="7">W92</f>
        <v>46066</v>
      </c>
      <c r="X33" s="726"/>
      <c r="Y33" s="609" t="s">
        <v>325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26"/>
      <c r="J34" s="729"/>
      <c r="K34" s="205"/>
      <c r="L34" s="202">
        <v>4</v>
      </c>
      <c r="M34" s="325" t="s">
        <v>317</v>
      </c>
      <c r="N34" s="309" t="s">
        <v>326</v>
      </c>
      <c r="O34" s="438"/>
      <c r="P34" s="448">
        <v>0.2</v>
      </c>
      <c r="Q34" s="204">
        <f t="shared" si="5"/>
        <v>13910</v>
      </c>
      <c r="R34" s="724"/>
      <c r="S34" s="505" t="s">
        <v>327</v>
      </c>
      <c r="T34" s="543">
        <f t="shared" si="6"/>
        <v>46081</v>
      </c>
      <c r="U34" s="401">
        <f t="shared" si="4"/>
        <v>16525.354211469534</v>
      </c>
      <c r="V34" s="722"/>
      <c r="W34" s="459">
        <f t="shared" si="7"/>
        <v>46097</v>
      </c>
      <c r="X34" s="726"/>
      <c r="Y34" s="609" t="s">
        <v>328</v>
      </c>
      <c r="Z34" s="492">
        <v>0</v>
      </c>
    </row>
    <row r="35" spans="1:26" ht="14.1" customHeight="1">
      <c r="B35" s="224">
        <v>4</v>
      </c>
      <c r="C35" s="309"/>
      <c r="D35" s="309"/>
      <c r="E35" s="295"/>
      <c r="F35" s="351"/>
      <c r="G35" s="204"/>
      <c r="H35" s="543"/>
      <c r="I35" s="726"/>
      <c r="J35" s="729"/>
      <c r="K35" s="205"/>
      <c r="L35" s="202">
        <v>4</v>
      </c>
      <c r="M35" s="325" t="s">
        <v>317</v>
      </c>
      <c r="N35" s="309" t="s">
        <v>329</v>
      </c>
      <c r="O35" s="438"/>
      <c r="P35" s="448">
        <v>0.25</v>
      </c>
      <c r="Q35" s="204">
        <f t="shared" si="5"/>
        <v>17387.5</v>
      </c>
      <c r="R35" s="724"/>
      <c r="S35" s="505" t="s">
        <v>330</v>
      </c>
      <c r="T35" s="543">
        <f t="shared" si="6"/>
        <v>46081</v>
      </c>
      <c r="U35" s="401">
        <f t="shared" si="4"/>
        <v>20656.692764336916</v>
      </c>
      <c r="V35" s="722"/>
      <c r="W35" s="459">
        <f t="shared" si="7"/>
        <v>46094</v>
      </c>
      <c r="X35" s="726"/>
      <c r="Y35" s="609" t="s">
        <v>331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26"/>
      <c r="J36" s="729"/>
      <c r="K36" s="205"/>
      <c r="L36" s="202">
        <v>4</v>
      </c>
      <c r="M36" s="325" t="s">
        <v>317</v>
      </c>
      <c r="N36" s="309" t="s">
        <v>332</v>
      </c>
      <c r="O36" s="438"/>
      <c r="P36" s="448">
        <v>0.1</v>
      </c>
      <c r="Q36" s="204">
        <f t="shared" si="5"/>
        <v>6955</v>
      </c>
      <c r="R36" s="724"/>
      <c r="S36" s="505"/>
      <c r="T36" s="416">
        <f t="shared" si="6"/>
        <v>46112</v>
      </c>
      <c r="U36" s="401">
        <f t="shared" si="4"/>
        <v>8262.6771057347669</v>
      </c>
      <c r="V36" s="722"/>
      <c r="W36" s="459">
        <f t="shared" si="7"/>
        <v>46101</v>
      </c>
      <c r="X36" s="726"/>
      <c r="Y36" s="609" t="s">
        <v>333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26"/>
      <c r="J37" s="729"/>
      <c r="K37" s="205"/>
      <c r="L37" s="202">
        <v>4</v>
      </c>
      <c r="M37" s="325" t="s">
        <v>317</v>
      </c>
      <c r="N37" s="309" t="s">
        <v>334</v>
      </c>
      <c r="O37" s="438"/>
      <c r="P37" s="448">
        <v>0.1</v>
      </c>
      <c r="Q37" s="204">
        <f t="shared" si="5"/>
        <v>6955</v>
      </c>
      <c r="R37" s="724"/>
      <c r="S37" s="505"/>
      <c r="T37" s="416">
        <f t="shared" si="6"/>
        <v>46112</v>
      </c>
      <c r="U37" s="401">
        <f t="shared" si="4"/>
        <v>8262.6771057347669</v>
      </c>
      <c r="V37" s="722"/>
      <c r="W37" s="459">
        <f t="shared" si="7"/>
        <v>46097</v>
      </c>
      <c r="X37" s="726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26"/>
      <c r="J38" s="729"/>
      <c r="K38" s="205"/>
      <c r="L38" s="202">
        <v>4</v>
      </c>
      <c r="M38" s="325" t="s">
        <v>317</v>
      </c>
      <c r="N38" s="309" t="s">
        <v>335</v>
      </c>
      <c r="O38" s="438"/>
      <c r="P38" s="448">
        <v>0.05</v>
      </c>
      <c r="Q38" s="204">
        <f t="shared" si="5"/>
        <v>3477.5</v>
      </c>
      <c r="R38" s="724"/>
      <c r="S38" s="505"/>
      <c r="T38" s="416">
        <f t="shared" si="6"/>
        <v>46112</v>
      </c>
      <c r="U38" s="401">
        <f t="shared" si="4"/>
        <v>4131.3385528673834</v>
      </c>
      <c r="V38" s="722"/>
      <c r="W38" s="459">
        <f t="shared" si="7"/>
        <v>46097</v>
      </c>
      <c r="X38" s="726"/>
      <c r="Y38" s="609" t="s">
        <v>164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26"/>
      <c r="J39" s="729"/>
      <c r="K39" s="205"/>
      <c r="L39" s="202">
        <v>4</v>
      </c>
      <c r="M39" s="325" t="s">
        <v>317</v>
      </c>
      <c r="N39" s="309" t="s">
        <v>336</v>
      </c>
      <c r="O39" s="438"/>
      <c r="P39" s="448">
        <v>0.05</v>
      </c>
      <c r="Q39" s="204">
        <f t="shared" si="5"/>
        <v>3477.5</v>
      </c>
      <c r="R39" s="701"/>
      <c r="S39" s="505"/>
      <c r="T39" s="416">
        <f t="shared" si="6"/>
        <v>46112</v>
      </c>
      <c r="U39" s="401">
        <f t="shared" si="4"/>
        <v>4131.3385528673834</v>
      </c>
      <c r="V39" s="722"/>
      <c r="W39" s="459">
        <f t="shared" si="7"/>
        <v>46120</v>
      </c>
      <c r="X39" s="726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26"/>
      <c r="J40" s="729"/>
      <c r="K40" s="205"/>
      <c r="L40" s="202">
        <v>4</v>
      </c>
      <c r="M40" s="325" t="s">
        <v>317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22"/>
      <c r="W40" s="459"/>
      <c r="X40" s="72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26"/>
      <c r="J41" s="729"/>
      <c r="K41" s="205"/>
      <c r="L41" s="202">
        <v>4</v>
      </c>
      <c r="M41" s="325" t="s">
        <v>317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22"/>
      <c r="W41" s="459"/>
      <c r="X41" s="72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27"/>
      <c r="J42" s="730"/>
      <c r="K42" s="210"/>
      <c r="L42" s="206">
        <v>4</v>
      </c>
      <c r="M42" s="326" t="s">
        <v>317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23"/>
      <c r="W42" s="460"/>
      <c r="X42" s="727"/>
    </row>
    <row r="43" spans="1:26" ht="14.4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337</v>
      </c>
      <c r="D44" s="231" t="s">
        <v>338</v>
      </c>
      <c r="E44" s="187"/>
      <c r="F44" s="336"/>
      <c r="G44" s="188">
        <v>26000</v>
      </c>
      <c r="H44" s="540">
        <f>H52</f>
        <v>46095</v>
      </c>
      <c r="I44" s="706">
        <f>D166</f>
        <v>49000</v>
      </c>
      <c r="J44" s="709">
        <f>F166</f>
        <v>61250</v>
      </c>
      <c r="K44" s="189"/>
      <c r="L44" s="185">
        <v>5</v>
      </c>
      <c r="M44" s="321" t="s">
        <v>339</v>
      </c>
      <c r="N44" s="231" t="s">
        <v>338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15603.544132705065</v>
      </c>
      <c r="V44" s="718">
        <f>J44-SUM(U44:U50)</f>
        <v>2586.8910579509684</v>
      </c>
      <c r="W44" s="461">
        <f>W14</f>
        <v>46111</v>
      </c>
      <c r="X44" s="706">
        <f>SUM(Q44:Q50)</f>
        <v>33751.839999999997</v>
      </c>
    </row>
    <row r="45" spans="1:26" ht="14.25" customHeight="1">
      <c r="B45" s="190">
        <v>5</v>
      </c>
      <c r="C45" s="214"/>
      <c r="D45" s="217" t="s">
        <v>340</v>
      </c>
      <c r="E45" s="349"/>
      <c r="F45" s="350"/>
      <c r="G45" s="219">
        <v>8000</v>
      </c>
      <c r="H45" s="539">
        <f>H44</f>
        <v>46095</v>
      </c>
      <c r="I45" s="707"/>
      <c r="J45" s="710"/>
      <c r="K45" s="192"/>
      <c r="L45" s="190">
        <v>5</v>
      </c>
      <c r="M45" s="327" t="s">
        <v>339</v>
      </c>
      <c r="N45" s="191" t="s">
        <v>341</v>
      </c>
      <c r="O45" s="440"/>
      <c r="P45" s="350"/>
      <c r="Q45" s="219">
        <v>13984.5</v>
      </c>
      <c r="R45" s="470" t="s">
        <v>342</v>
      </c>
      <c r="S45" s="500" t="s">
        <v>343</v>
      </c>
      <c r="T45" s="629">
        <v>46053</v>
      </c>
      <c r="U45" s="654">
        <v>22791.003154631213</v>
      </c>
      <c r="V45" s="719"/>
      <c r="W45" s="630">
        <v>46079</v>
      </c>
      <c r="X45" s="707"/>
    </row>
    <row r="46" spans="1:26" ht="14.25" customHeight="1">
      <c r="B46" s="190">
        <v>5</v>
      </c>
      <c r="C46" s="214"/>
      <c r="D46" s="288" t="s">
        <v>344</v>
      </c>
      <c r="E46" s="218"/>
      <c r="F46" s="357"/>
      <c r="G46" s="219">
        <v>15000</v>
      </c>
      <c r="H46" s="539">
        <f>H45</f>
        <v>46095</v>
      </c>
      <c r="I46" s="707"/>
      <c r="J46" s="710"/>
      <c r="K46" s="192"/>
      <c r="L46" s="190">
        <v>5</v>
      </c>
      <c r="M46" s="327" t="s">
        <v>339</v>
      </c>
      <c r="N46" s="217" t="s">
        <v>344</v>
      </c>
      <c r="O46" s="433"/>
      <c r="P46" s="357"/>
      <c r="Q46" s="219">
        <v>11169</v>
      </c>
      <c r="R46" s="470"/>
      <c r="S46" s="500" t="s">
        <v>345</v>
      </c>
      <c r="T46" s="661">
        <v>46081</v>
      </c>
      <c r="U46" s="396">
        <f t="shared" ref="U46:U50" si="8">(Q46/$X$44*$J$44)</f>
        <v>20268.561654712754</v>
      </c>
      <c r="V46" s="719"/>
      <c r="W46" s="454">
        <v>46142</v>
      </c>
      <c r="X46" s="707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707"/>
      <c r="J47" s="710"/>
      <c r="K47" s="192"/>
      <c r="L47" s="215">
        <v>5</v>
      </c>
      <c r="M47" s="327" t="s">
        <v>339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719"/>
      <c r="W47" s="454"/>
      <c r="X47" s="70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707"/>
      <c r="J48" s="710"/>
      <c r="K48" s="192"/>
      <c r="L48" s="215">
        <v>5</v>
      </c>
      <c r="M48" s="327" t="s">
        <v>339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719"/>
      <c r="W48" s="455"/>
      <c r="X48" s="70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707"/>
      <c r="J49" s="710"/>
      <c r="K49" s="192"/>
      <c r="L49" s="215">
        <v>5</v>
      </c>
      <c r="M49" s="327" t="s">
        <v>339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719"/>
      <c r="W49" s="455"/>
      <c r="X49" s="70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708"/>
      <c r="J50" s="711"/>
      <c r="K50" s="193"/>
      <c r="L50" s="220">
        <v>5</v>
      </c>
      <c r="M50" s="323" t="s">
        <v>339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720"/>
      <c r="W50" s="456"/>
      <c r="X50" s="708"/>
    </row>
    <row r="51" spans="1:24" ht="14.4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346</v>
      </c>
      <c r="E52" s="373"/>
      <c r="F52" s="355"/>
      <c r="G52" s="200">
        <f>D165</f>
        <v>211265.42608695652</v>
      </c>
      <c r="H52" s="552">
        <f>'Project Plan'!G28+30</f>
        <v>46095</v>
      </c>
      <c r="I52" s="725">
        <f>SUM(G52:G68)</f>
        <v>211265.42608695652</v>
      </c>
      <c r="J52" s="728">
        <f>F165</f>
        <v>264081.78260869568</v>
      </c>
      <c r="K52" s="201"/>
      <c r="L52" s="197">
        <v>6</v>
      </c>
      <c r="M52" s="330" t="s">
        <v>347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721">
        <f>J52-SUM(U52:U68)</f>
        <v>0</v>
      </c>
      <c r="W52" s="458"/>
      <c r="X52" s="725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26"/>
      <c r="J53" s="729"/>
      <c r="K53" s="205"/>
      <c r="L53" s="202">
        <v>6</v>
      </c>
      <c r="M53" s="328" t="s">
        <v>347</v>
      </c>
      <c r="N53" s="342" t="s">
        <v>98</v>
      </c>
      <c r="O53" s="438"/>
      <c r="P53" s="351"/>
      <c r="Q53" s="225">
        <v>89859.36</v>
      </c>
      <c r="R53" s="475" t="s">
        <v>348</v>
      </c>
      <c r="S53" s="505" t="s">
        <v>349</v>
      </c>
      <c r="T53" s="543">
        <v>46081</v>
      </c>
      <c r="U53" s="401">
        <f t="shared" si="9"/>
        <v>217088.32433222423</v>
      </c>
      <c r="V53" s="722"/>
      <c r="W53" s="662">
        <v>46079</v>
      </c>
      <c r="X53" s="72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26"/>
      <c r="J54" s="729"/>
      <c r="K54" s="205"/>
      <c r="L54" s="202">
        <v>6</v>
      </c>
      <c r="M54" s="328" t="s">
        <v>347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722"/>
      <c r="W54" s="459"/>
      <c r="X54" s="72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26"/>
      <c r="J55" s="729"/>
      <c r="K55" s="205"/>
      <c r="L55" s="202">
        <v>6</v>
      </c>
      <c r="M55" s="328" t="s">
        <v>347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722"/>
      <c r="W55" s="459"/>
      <c r="X55" s="72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26"/>
      <c r="J56" s="729"/>
      <c r="K56" s="205"/>
      <c r="L56" s="202">
        <v>6</v>
      </c>
      <c r="M56" s="328" t="s">
        <v>347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722"/>
      <c r="W56" s="459"/>
      <c r="X56" s="72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26"/>
      <c r="J57" s="729"/>
      <c r="K57" s="205"/>
      <c r="L57" s="202">
        <v>6</v>
      </c>
      <c r="M57" s="328" t="s">
        <v>347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722"/>
      <c r="W57" s="459"/>
      <c r="X57" s="72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26"/>
      <c r="J58" s="729"/>
      <c r="K58" s="205"/>
      <c r="L58" s="202">
        <v>6</v>
      </c>
      <c r="M58" s="328" t="s">
        <v>347</v>
      </c>
      <c r="N58" s="309" t="s">
        <v>321</v>
      </c>
      <c r="O58" s="447">
        <f>Z27</f>
        <v>19452</v>
      </c>
      <c r="P58" s="448">
        <v>0.1</v>
      </c>
      <c r="Q58" s="204">
        <f>$O$58*P58</f>
        <v>1945.2</v>
      </c>
      <c r="R58" s="700"/>
      <c r="S58" s="505" t="s">
        <v>322</v>
      </c>
      <c r="T58" s="558">
        <f>T91</f>
        <v>46053</v>
      </c>
      <c r="U58" s="653">
        <v>4699.3458276471429</v>
      </c>
      <c r="V58" s="722"/>
      <c r="W58" s="647">
        <f>W91</f>
        <v>46058</v>
      </c>
      <c r="X58" s="72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26"/>
      <c r="J59" s="729"/>
      <c r="K59" s="205"/>
      <c r="L59" s="202">
        <v>6</v>
      </c>
      <c r="M59" s="329" t="s">
        <v>347</v>
      </c>
      <c r="N59" s="309" t="s">
        <v>209</v>
      </c>
      <c r="O59" s="438"/>
      <c r="P59" s="448">
        <v>0.15</v>
      </c>
      <c r="Q59" s="204">
        <f t="shared" ref="Q59:Q65" si="10">$O$58*P59</f>
        <v>2917.7999999999997</v>
      </c>
      <c r="R59" s="724"/>
      <c r="S59" s="505" t="s">
        <v>324</v>
      </c>
      <c r="T59" s="558">
        <f t="shared" si="1"/>
        <v>46081</v>
      </c>
      <c r="U59" s="401">
        <f t="shared" si="9"/>
        <v>7049.0187414707143</v>
      </c>
      <c r="V59" s="722"/>
      <c r="W59" s="647">
        <f t="shared" ref="W59:W65" si="11">W92</f>
        <v>46066</v>
      </c>
      <c r="X59" s="72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26"/>
      <c r="J60" s="729"/>
      <c r="K60" s="205"/>
      <c r="L60" s="202">
        <v>6</v>
      </c>
      <c r="M60" s="329" t="s">
        <v>347</v>
      </c>
      <c r="N60" s="309" t="s">
        <v>326</v>
      </c>
      <c r="O60" s="438"/>
      <c r="P60" s="448">
        <v>0.2</v>
      </c>
      <c r="Q60" s="204">
        <f t="shared" si="10"/>
        <v>3890.4</v>
      </c>
      <c r="R60" s="724"/>
      <c r="S60" s="505" t="s">
        <v>327</v>
      </c>
      <c r="T60" s="558">
        <v>46081</v>
      </c>
      <c r="U60" s="401">
        <f t="shared" si="9"/>
        <v>9398.6916552942857</v>
      </c>
      <c r="V60" s="722"/>
      <c r="W60" s="459">
        <f t="shared" si="11"/>
        <v>46097</v>
      </c>
      <c r="X60" s="72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26"/>
      <c r="J61" s="729"/>
      <c r="K61" s="205"/>
      <c r="L61" s="202">
        <v>6</v>
      </c>
      <c r="M61" s="329" t="s">
        <v>347</v>
      </c>
      <c r="N61" s="309" t="s">
        <v>329</v>
      </c>
      <c r="O61" s="438"/>
      <c r="P61" s="448">
        <v>0.25</v>
      </c>
      <c r="Q61" s="204">
        <f t="shared" si="10"/>
        <v>4863</v>
      </c>
      <c r="R61" s="724"/>
      <c r="S61" s="505" t="s">
        <v>330</v>
      </c>
      <c r="T61" s="558">
        <v>46081</v>
      </c>
      <c r="U61" s="401">
        <f t="shared" si="9"/>
        <v>11748.364569117859</v>
      </c>
      <c r="V61" s="722"/>
      <c r="W61" s="459">
        <f t="shared" si="11"/>
        <v>46094</v>
      </c>
      <c r="X61" s="72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26"/>
      <c r="J62" s="729"/>
      <c r="K62" s="205"/>
      <c r="L62" s="202">
        <v>6</v>
      </c>
      <c r="M62" s="329" t="s">
        <v>347</v>
      </c>
      <c r="N62" s="309" t="s">
        <v>332</v>
      </c>
      <c r="O62" s="438"/>
      <c r="P62" s="448">
        <v>0.1</v>
      </c>
      <c r="Q62" s="204">
        <f t="shared" si="10"/>
        <v>1945.2</v>
      </c>
      <c r="R62" s="724"/>
      <c r="S62" s="505"/>
      <c r="T62" s="419">
        <f t="shared" si="1"/>
        <v>46112</v>
      </c>
      <c r="U62" s="401">
        <f t="shared" si="9"/>
        <v>4699.3458276471429</v>
      </c>
      <c r="V62" s="722"/>
      <c r="W62" s="459">
        <f t="shared" si="11"/>
        <v>46101</v>
      </c>
      <c r="X62" s="72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26"/>
      <c r="J63" s="729"/>
      <c r="K63" s="205"/>
      <c r="L63" s="202">
        <v>6</v>
      </c>
      <c r="M63" s="329" t="s">
        <v>347</v>
      </c>
      <c r="N63" s="309" t="s">
        <v>334</v>
      </c>
      <c r="O63" s="438"/>
      <c r="P63" s="448">
        <v>0.1</v>
      </c>
      <c r="Q63" s="204">
        <f t="shared" si="10"/>
        <v>1945.2</v>
      </c>
      <c r="R63" s="724"/>
      <c r="S63" s="509"/>
      <c r="T63" s="419">
        <f t="shared" si="1"/>
        <v>46112</v>
      </c>
      <c r="U63" s="406">
        <f t="shared" si="9"/>
        <v>4699.3458276471429</v>
      </c>
      <c r="V63" s="722"/>
      <c r="W63" s="459">
        <f t="shared" si="11"/>
        <v>46097</v>
      </c>
      <c r="X63" s="72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26"/>
      <c r="J64" s="729"/>
      <c r="K64" s="205"/>
      <c r="L64" s="202">
        <v>6</v>
      </c>
      <c r="M64" s="329" t="s">
        <v>347</v>
      </c>
      <c r="N64" s="309" t="s">
        <v>335</v>
      </c>
      <c r="O64" s="438"/>
      <c r="P64" s="448">
        <v>0.05</v>
      </c>
      <c r="Q64" s="204">
        <f t="shared" si="10"/>
        <v>972.6</v>
      </c>
      <c r="R64" s="724"/>
      <c r="S64" s="509"/>
      <c r="T64" s="419">
        <f t="shared" si="1"/>
        <v>46112</v>
      </c>
      <c r="U64" s="406">
        <f t="shared" si="9"/>
        <v>2349.6729138235714</v>
      </c>
      <c r="V64" s="722"/>
      <c r="W64" s="459">
        <f t="shared" si="11"/>
        <v>46097</v>
      </c>
      <c r="X64" s="72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26"/>
      <c r="J65" s="729"/>
      <c r="K65" s="205"/>
      <c r="L65" s="202">
        <v>6</v>
      </c>
      <c r="M65" s="329" t="s">
        <v>347</v>
      </c>
      <c r="N65" s="309" t="s">
        <v>336</v>
      </c>
      <c r="O65" s="438"/>
      <c r="P65" s="448">
        <v>0.05</v>
      </c>
      <c r="Q65" s="204">
        <f t="shared" si="10"/>
        <v>972.6</v>
      </c>
      <c r="R65" s="701"/>
      <c r="S65" s="509"/>
      <c r="T65" s="419">
        <v>46112</v>
      </c>
      <c r="U65" s="406">
        <f t="shared" si="9"/>
        <v>2349.6729138235714</v>
      </c>
      <c r="V65" s="722"/>
      <c r="W65" s="459">
        <f t="shared" si="11"/>
        <v>46120</v>
      </c>
      <c r="X65" s="72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26"/>
      <c r="J66" s="729"/>
      <c r="K66" s="205"/>
      <c r="L66" s="202">
        <v>6</v>
      </c>
      <c r="M66" s="329" t="s">
        <v>347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722"/>
      <c r="W66" s="462"/>
      <c r="X66" s="72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26"/>
      <c r="J67" s="729"/>
      <c r="K67" s="205"/>
      <c r="L67" s="202">
        <v>6</v>
      </c>
      <c r="M67" s="329" t="s">
        <v>347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722"/>
      <c r="W67" s="462"/>
      <c r="X67" s="72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27"/>
      <c r="J68" s="730"/>
      <c r="K68" s="210"/>
      <c r="L68" s="206">
        <v>6</v>
      </c>
      <c r="M68" s="331" t="s">
        <v>347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23"/>
      <c r="W68" s="460"/>
      <c r="X68" s="727"/>
    </row>
    <row r="69" spans="1:24" ht="14.4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350</v>
      </c>
      <c r="D70" s="282"/>
      <c r="E70" s="360"/>
      <c r="F70" s="366"/>
      <c r="G70" s="283"/>
      <c r="H70" s="556"/>
      <c r="I70" s="706">
        <f>SUM(G70:G77)</f>
        <v>0</v>
      </c>
      <c r="J70" s="709">
        <v>0</v>
      </c>
      <c r="K70" s="189"/>
      <c r="L70" s="281">
        <v>7</v>
      </c>
      <c r="M70" s="213" t="s">
        <v>351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715">
        <f>J70-SUM(U70:U77)</f>
        <v>0</v>
      </c>
      <c r="W70" s="464"/>
      <c r="X70" s="70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707"/>
      <c r="J71" s="710"/>
      <c r="K71" s="192"/>
      <c r="L71" s="284">
        <v>7</v>
      </c>
      <c r="M71" s="285" t="s">
        <v>351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716"/>
      <c r="W71" s="455"/>
      <c r="X71" s="70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707"/>
      <c r="J72" s="710"/>
      <c r="K72" s="192"/>
      <c r="L72" s="284">
        <v>7</v>
      </c>
      <c r="M72" s="285" t="s">
        <v>351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716"/>
      <c r="W72" s="455"/>
      <c r="X72" s="70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707"/>
      <c r="J73" s="710"/>
      <c r="K73" s="192"/>
      <c r="L73" s="284">
        <v>7</v>
      </c>
      <c r="M73" s="285" t="s">
        <v>351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716"/>
      <c r="W73" s="455"/>
      <c r="X73" s="70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707"/>
      <c r="J74" s="710"/>
      <c r="K74" s="192"/>
      <c r="L74" s="284">
        <v>7</v>
      </c>
      <c r="M74" s="285" t="s">
        <v>351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716"/>
      <c r="W74" s="455"/>
      <c r="X74" s="70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707"/>
      <c r="J75" s="710"/>
      <c r="K75" s="192"/>
      <c r="L75" s="284">
        <v>7</v>
      </c>
      <c r="M75" s="285" t="s">
        <v>351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716"/>
      <c r="W75" s="455"/>
      <c r="X75" s="70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707"/>
      <c r="J76" s="710"/>
      <c r="K76" s="192"/>
      <c r="L76" s="284">
        <v>7</v>
      </c>
      <c r="M76" s="285" t="s">
        <v>351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716"/>
      <c r="W76" s="455"/>
      <c r="X76" s="70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708"/>
      <c r="J77" s="711"/>
      <c r="K77" s="193"/>
      <c r="L77" s="220">
        <v>7</v>
      </c>
      <c r="M77" s="241" t="s">
        <v>351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717"/>
      <c r="W77" s="456"/>
      <c r="X77" s="708"/>
    </row>
    <row r="78" spans="1:24" ht="14.4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352</v>
      </c>
      <c r="D79" s="237" t="s">
        <v>353</v>
      </c>
      <c r="E79" s="361"/>
      <c r="F79" s="315"/>
      <c r="G79" s="238">
        <v>28591</v>
      </c>
      <c r="H79" s="552">
        <f>H90</f>
        <v>46077</v>
      </c>
      <c r="I79" s="725">
        <f>SUM(G79:G88)</f>
        <v>131091</v>
      </c>
      <c r="J79" s="728">
        <f>F169+F170+F184</f>
        <v>163169.30555555556</v>
      </c>
      <c r="K79" s="201"/>
      <c r="L79" s="236">
        <v>8</v>
      </c>
      <c r="M79" s="324" t="s">
        <v>354</v>
      </c>
      <c r="N79" s="237" t="s">
        <v>353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43">
        <f>J79-SUM(U79:U88)</f>
        <v>5313.3547320833895</v>
      </c>
      <c r="W79" s="458"/>
      <c r="X79" s="725">
        <f>SUM(Q79:Q88)</f>
        <v>74263.89</v>
      </c>
    </row>
    <row r="80" spans="1:24" ht="14.25" customHeight="1">
      <c r="B80" s="226">
        <v>8</v>
      </c>
      <c r="C80" s="227"/>
      <c r="D80" s="239" t="s">
        <v>206</v>
      </c>
      <c r="E80" s="314"/>
      <c r="F80" s="359"/>
      <c r="G80" s="228">
        <v>87500</v>
      </c>
      <c r="H80" s="543">
        <f>H79</f>
        <v>46077</v>
      </c>
      <c r="I80" s="726"/>
      <c r="J80" s="729"/>
      <c r="K80" s="205"/>
      <c r="L80" s="226">
        <v>8</v>
      </c>
      <c r="M80" s="332" t="s">
        <v>354</v>
      </c>
      <c r="N80" s="239" t="s">
        <v>355</v>
      </c>
      <c r="O80" s="634">
        <v>62264.76</v>
      </c>
      <c r="P80" s="531">
        <v>0.5</v>
      </c>
      <c r="Q80" s="228">
        <f>O80*P80</f>
        <v>31132.38</v>
      </c>
      <c r="R80" s="700" t="s">
        <v>356</v>
      </c>
      <c r="S80" s="505" t="s">
        <v>357</v>
      </c>
      <c r="T80" s="543">
        <v>46053</v>
      </c>
      <c r="U80" s="653">
        <v>65745.99888605965</v>
      </c>
      <c r="V80" s="744"/>
      <c r="W80" s="642">
        <v>46051</v>
      </c>
      <c r="X80" s="726"/>
    </row>
    <row r="81" spans="1:24" ht="14.25" customHeight="1">
      <c r="B81" s="226">
        <v>8</v>
      </c>
      <c r="C81" s="227"/>
      <c r="D81" s="239" t="s">
        <v>358</v>
      </c>
      <c r="E81" s="314"/>
      <c r="F81" s="359"/>
      <c r="G81" s="228">
        <f>D184</f>
        <v>5000</v>
      </c>
      <c r="H81" s="543">
        <v>46081</v>
      </c>
      <c r="I81" s="726"/>
      <c r="J81" s="729"/>
      <c r="K81" s="205"/>
      <c r="L81" s="226">
        <v>8</v>
      </c>
      <c r="M81" s="332" t="s">
        <v>354</v>
      </c>
      <c r="N81" s="239" t="s">
        <v>359</v>
      </c>
      <c r="O81" s="314"/>
      <c r="P81" s="531">
        <v>0.5</v>
      </c>
      <c r="Q81" s="228">
        <v>33737.279999999999</v>
      </c>
      <c r="R81" s="701"/>
      <c r="S81" s="505" t="s">
        <v>357</v>
      </c>
      <c r="T81" s="543">
        <v>46053</v>
      </c>
      <c r="U81" s="653">
        <v>65745.99888605965</v>
      </c>
      <c r="V81" s="744"/>
      <c r="W81" s="642">
        <v>46051</v>
      </c>
      <c r="X81" s="726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26"/>
      <c r="J82" s="729"/>
      <c r="K82" s="205"/>
      <c r="L82" s="226">
        <v>8</v>
      </c>
      <c r="M82" s="332" t="s">
        <v>354</v>
      </c>
      <c r="N82" s="239" t="s">
        <v>360</v>
      </c>
      <c r="O82" s="314"/>
      <c r="P82" s="531"/>
      <c r="Q82" s="657">
        <f>O80-(Q80+Q81)</f>
        <v>-2604.9000000000015</v>
      </c>
      <c r="R82" s="656"/>
      <c r="S82" s="505" t="s">
        <v>361</v>
      </c>
      <c r="T82" s="543">
        <v>46081</v>
      </c>
      <c r="U82" s="653"/>
      <c r="V82" s="744"/>
      <c r="W82" s="458">
        <v>46081</v>
      </c>
      <c r="X82" s="726"/>
    </row>
    <row r="83" spans="1:24" ht="14.25" customHeight="1">
      <c r="B83" s="226">
        <v>8</v>
      </c>
      <c r="C83" s="227"/>
      <c r="D83" s="239" t="s">
        <v>362</v>
      </c>
      <c r="E83" s="314"/>
      <c r="F83" s="359"/>
      <c r="G83" s="228">
        <v>10000</v>
      </c>
      <c r="H83" s="543">
        <v>46081</v>
      </c>
      <c r="I83" s="726"/>
      <c r="J83" s="729"/>
      <c r="K83" s="205"/>
      <c r="L83" s="226">
        <v>8</v>
      </c>
      <c r="M83" s="332" t="s">
        <v>354</v>
      </c>
      <c r="N83" s="239" t="s">
        <v>363</v>
      </c>
      <c r="O83" s="634">
        <v>11999.13</v>
      </c>
      <c r="P83" s="531"/>
      <c r="Q83" s="228">
        <v>11999.13</v>
      </c>
      <c r="R83" s="475" t="s">
        <v>364</v>
      </c>
      <c r="S83" s="505" t="s">
        <v>365</v>
      </c>
      <c r="T83" s="543">
        <v>46081</v>
      </c>
      <c r="U83" s="401">
        <f t="shared" ref="U83:U88" si="13">(Q83/$X$79*$J$79)</f>
        <v>26363.953051352863</v>
      </c>
      <c r="V83" s="744"/>
      <c r="W83" s="660">
        <v>46079</v>
      </c>
      <c r="X83" s="72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26"/>
      <c r="J84" s="729"/>
      <c r="K84" s="205"/>
      <c r="L84" s="226">
        <v>8</v>
      </c>
      <c r="M84" s="332" t="s">
        <v>354</v>
      </c>
      <c r="N84" s="239"/>
      <c r="O84" s="314"/>
      <c r="P84" s="531"/>
      <c r="Q84" s="228"/>
      <c r="R84" s="475"/>
      <c r="S84" s="505"/>
      <c r="T84" s="416"/>
      <c r="U84" s="401">
        <f t="shared" si="13"/>
        <v>0</v>
      </c>
      <c r="V84" s="744"/>
      <c r="W84" s="458"/>
      <c r="X84" s="72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26"/>
      <c r="J85" s="729"/>
      <c r="K85" s="205"/>
      <c r="L85" s="226">
        <v>8</v>
      </c>
      <c r="M85" s="332" t="s">
        <v>354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44"/>
      <c r="W85" s="459"/>
      <c r="X85" s="72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26"/>
      <c r="J86" s="729"/>
      <c r="K86" s="205"/>
      <c r="L86" s="226">
        <v>8</v>
      </c>
      <c r="M86" s="332" t="s">
        <v>354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44"/>
      <c r="W86" s="459"/>
      <c r="X86" s="726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26"/>
      <c r="J87" s="729"/>
      <c r="K87" s="205"/>
      <c r="L87" s="226">
        <v>8</v>
      </c>
      <c r="M87" s="332" t="s">
        <v>354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44"/>
      <c r="W87" s="462"/>
      <c r="X87" s="726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27"/>
      <c r="J88" s="730"/>
      <c r="K88" s="210"/>
      <c r="L88" s="206">
        <v>8</v>
      </c>
      <c r="M88" s="331" t="s">
        <v>354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45"/>
      <c r="W88" s="460"/>
      <c r="X88" s="727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366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367</v>
      </c>
      <c r="D90" s="231" t="s">
        <v>368</v>
      </c>
      <c r="E90" s="218"/>
      <c r="F90" s="336"/>
      <c r="G90" s="495">
        <f>D174</f>
        <v>44530</v>
      </c>
      <c r="H90" s="540">
        <f>'Project Plan'!G25+7</f>
        <v>46077</v>
      </c>
      <c r="I90" s="737">
        <f>SUM(G90:G101)</f>
        <v>136510</v>
      </c>
      <c r="J90" s="709">
        <f>F174+F175</f>
        <v>151677.77777777778</v>
      </c>
      <c r="K90" s="192"/>
      <c r="L90" s="215">
        <v>9</v>
      </c>
      <c r="M90" s="322" t="s">
        <v>369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718">
        <f>J90-SUM(U90:U101)</f>
        <v>0</v>
      </c>
      <c r="W90" s="461"/>
      <c r="X90" s="706">
        <f>SUM(Q90:Q101)</f>
        <v>152000</v>
      </c>
    </row>
    <row r="91" spans="1:24" ht="15" customHeight="1">
      <c r="B91" s="215">
        <v>9</v>
      </c>
      <c r="C91" s="341"/>
      <c r="D91" s="232" t="s">
        <v>370</v>
      </c>
      <c r="E91" s="218"/>
      <c r="F91" s="357"/>
      <c r="G91" s="495">
        <f>D175</f>
        <v>91980</v>
      </c>
      <c r="H91" s="539">
        <f>'Project Plan'!G33+7</f>
        <v>46087</v>
      </c>
      <c r="I91" s="738"/>
      <c r="J91" s="710"/>
      <c r="K91" s="192"/>
      <c r="L91" s="215">
        <v>9</v>
      </c>
      <c r="M91" s="322" t="s">
        <v>369</v>
      </c>
      <c r="N91" s="232" t="s">
        <v>321</v>
      </c>
      <c r="O91" s="450">
        <f>Z30+Z29</f>
        <v>152000</v>
      </c>
      <c r="P91" s="451">
        <v>0.1</v>
      </c>
      <c r="Q91" s="219">
        <f>$O$91*P91</f>
        <v>15200</v>
      </c>
      <c r="R91" s="749"/>
      <c r="S91" s="500" t="s">
        <v>322</v>
      </c>
      <c r="T91" s="549">
        <v>46053</v>
      </c>
      <c r="U91" s="631">
        <v>15167.777777777779</v>
      </c>
      <c r="V91" s="719"/>
      <c r="W91" s="648">
        <f>'Project Plan'!K14+13</f>
        <v>46058</v>
      </c>
      <c r="X91" s="70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38"/>
      <c r="J92" s="710"/>
      <c r="K92" s="192"/>
      <c r="L92" s="284">
        <v>9</v>
      </c>
      <c r="M92" s="394" t="s">
        <v>369</v>
      </c>
      <c r="N92" s="286" t="s">
        <v>209</v>
      </c>
      <c r="O92" s="434"/>
      <c r="P92" s="449">
        <v>0.15</v>
      </c>
      <c r="Q92" s="219">
        <f t="shared" ref="Q92:Q98" si="15">$O$91*P92</f>
        <v>22800</v>
      </c>
      <c r="R92" s="750"/>
      <c r="S92" s="500" t="s">
        <v>324</v>
      </c>
      <c r="T92" s="549">
        <v>46081</v>
      </c>
      <c r="U92" s="397">
        <f t="shared" si="14"/>
        <v>22751.666666666668</v>
      </c>
      <c r="V92" s="719"/>
      <c r="W92" s="659">
        <v>46066</v>
      </c>
      <c r="X92" s="70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38"/>
      <c r="J93" s="710"/>
      <c r="K93" s="192"/>
      <c r="L93" s="284">
        <v>9</v>
      </c>
      <c r="M93" s="394" t="s">
        <v>369</v>
      </c>
      <c r="N93" s="286" t="s">
        <v>326</v>
      </c>
      <c r="O93" s="434"/>
      <c r="P93" s="449">
        <v>0.2</v>
      </c>
      <c r="Q93" s="219">
        <f t="shared" si="15"/>
        <v>30400</v>
      </c>
      <c r="R93" s="750"/>
      <c r="S93" s="501" t="s">
        <v>327</v>
      </c>
      <c r="T93" s="549">
        <v>46081</v>
      </c>
      <c r="U93" s="397">
        <f t="shared" si="14"/>
        <v>30335.555555555558</v>
      </c>
      <c r="V93" s="719"/>
      <c r="W93" s="455">
        <f>'Project Plan'!K25+7</f>
        <v>46097</v>
      </c>
      <c r="X93" s="70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38"/>
      <c r="J94" s="710"/>
      <c r="K94" s="192"/>
      <c r="L94" s="284">
        <v>9</v>
      </c>
      <c r="M94" s="394" t="s">
        <v>369</v>
      </c>
      <c r="N94" s="286" t="s">
        <v>329</v>
      </c>
      <c r="O94" s="434"/>
      <c r="P94" s="449">
        <v>0.25</v>
      </c>
      <c r="Q94" s="219">
        <f t="shared" si="15"/>
        <v>38000</v>
      </c>
      <c r="R94" s="750"/>
      <c r="S94" s="501" t="s">
        <v>330</v>
      </c>
      <c r="T94" s="549">
        <v>46081</v>
      </c>
      <c r="U94" s="397">
        <f t="shared" si="14"/>
        <v>37919.444444444445</v>
      </c>
      <c r="V94" s="719"/>
      <c r="W94" s="455">
        <f>'Project Plan'!K33+7</f>
        <v>46094</v>
      </c>
      <c r="X94" s="70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38"/>
      <c r="J95" s="710"/>
      <c r="K95" s="192"/>
      <c r="L95" s="284">
        <v>9</v>
      </c>
      <c r="M95" s="394" t="s">
        <v>369</v>
      </c>
      <c r="N95" s="286" t="s">
        <v>332</v>
      </c>
      <c r="O95" s="434"/>
      <c r="P95" s="449">
        <v>0.1</v>
      </c>
      <c r="Q95" s="219">
        <f t="shared" si="15"/>
        <v>15200</v>
      </c>
      <c r="R95" s="750"/>
      <c r="S95" s="501"/>
      <c r="T95" s="412">
        <f t="shared" si="12"/>
        <v>46112</v>
      </c>
      <c r="U95" s="397">
        <f t="shared" si="14"/>
        <v>15167.777777777779</v>
      </c>
      <c r="V95" s="719"/>
      <c r="W95" s="455">
        <f>'Project Plan'!K44+7</f>
        <v>46101</v>
      </c>
      <c r="X95" s="70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38"/>
      <c r="J96" s="710"/>
      <c r="K96" s="192"/>
      <c r="L96" s="284">
        <v>9</v>
      </c>
      <c r="M96" s="394" t="s">
        <v>369</v>
      </c>
      <c r="N96" s="286" t="s">
        <v>334</v>
      </c>
      <c r="O96" s="434"/>
      <c r="P96" s="449">
        <v>0.1</v>
      </c>
      <c r="Q96" s="219">
        <f t="shared" si="15"/>
        <v>15200</v>
      </c>
      <c r="R96" s="750"/>
      <c r="S96" s="501"/>
      <c r="T96" s="412">
        <f t="shared" si="12"/>
        <v>46112</v>
      </c>
      <c r="U96" s="397">
        <f t="shared" si="14"/>
        <v>15167.777777777779</v>
      </c>
      <c r="V96" s="719"/>
      <c r="W96" s="455">
        <f>'Project Plan'!K51+7</f>
        <v>46097</v>
      </c>
      <c r="X96" s="70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38"/>
      <c r="J97" s="710"/>
      <c r="K97" s="192"/>
      <c r="L97" s="284">
        <v>9</v>
      </c>
      <c r="M97" s="394" t="s">
        <v>369</v>
      </c>
      <c r="N97" s="286" t="s">
        <v>335</v>
      </c>
      <c r="O97" s="434"/>
      <c r="P97" s="449">
        <v>0.05</v>
      </c>
      <c r="Q97" s="219">
        <f t="shared" si="15"/>
        <v>7600</v>
      </c>
      <c r="R97" s="750"/>
      <c r="S97" s="501"/>
      <c r="T97" s="412">
        <f t="shared" si="12"/>
        <v>46112</v>
      </c>
      <c r="U97" s="397">
        <f t="shared" si="14"/>
        <v>7583.8888888888896</v>
      </c>
      <c r="V97" s="719"/>
      <c r="W97" s="455">
        <f>'Project Plan'!K51+7</f>
        <v>46097</v>
      </c>
      <c r="X97" s="70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38"/>
      <c r="J98" s="710"/>
      <c r="K98" s="192"/>
      <c r="L98" s="284">
        <v>9</v>
      </c>
      <c r="M98" s="394" t="s">
        <v>369</v>
      </c>
      <c r="N98" s="286" t="s">
        <v>336</v>
      </c>
      <c r="O98" s="434"/>
      <c r="P98" s="449">
        <v>0.05</v>
      </c>
      <c r="Q98" s="219">
        <f t="shared" si="15"/>
        <v>7600</v>
      </c>
      <c r="R98" s="751"/>
      <c r="S98" s="501"/>
      <c r="T98" s="412">
        <f>T97</f>
        <v>46112</v>
      </c>
      <c r="U98" s="397">
        <f t="shared" si="14"/>
        <v>7583.8888888888896</v>
      </c>
      <c r="V98" s="719"/>
      <c r="W98" s="455">
        <f>'Project Plan'!K51+30</f>
        <v>46120</v>
      </c>
      <c r="X98" s="70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38"/>
      <c r="J99" s="710"/>
      <c r="K99" s="192"/>
      <c r="L99" s="284">
        <v>9</v>
      </c>
      <c r="M99" s="394" t="s">
        <v>369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719"/>
      <c r="W99" s="455"/>
      <c r="X99" s="707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38"/>
      <c r="J100" s="710"/>
      <c r="K100" s="192"/>
      <c r="L100" s="284">
        <v>9</v>
      </c>
      <c r="M100" s="394" t="s">
        <v>369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719"/>
      <c r="W100" s="455"/>
      <c r="X100" s="707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39"/>
      <c r="J101" s="711"/>
      <c r="K101" s="267"/>
      <c r="L101" s="220">
        <v>9</v>
      </c>
      <c r="M101" s="340" t="s">
        <v>369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720"/>
      <c r="W101" s="456"/>
      <c r="X101" s="708"/>
    </row>
    <row r="102" spans="1:24" ht="14.4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371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731">
        <f>SUM(G103:G117)</f>
        <v>25523.90303030303</v>
      </c>
      <c r="J103" s="734">
        <f>F178+F181+F182+F180+F179</f>
        <v>28359.892255892257</v>
      </c>
      <c r="K103" s="243"/>
      <c r="L103" s="173">
        <v>10</v>
      </c>
      <c r="M103" s="333" t="s">
        <v>372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40">
        <f>J103-SUM(U103:U117)</f>
        <v>0</v>
      </c>
      <c r="W103" s="465"/>
      <c r="X103" s="731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732"/>
      <c r="J104" s="735"/>
      <c r="K104" s="176"/>
      <c r="L104" s="244">
        <v>10</v>
      </c>
      <c r="M104" s="334" t="s">
        <v>372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41"/>
      <c r="W104" s="466"/>
      <c r="X104" s="732"/>
    </row>
    <row r="105" spans="1:24" ht="14.25" customHeight="1">
      <c r="B105" s="244">
        <v>10</v>
      </c>
      <c r="C105" s="245"/>
      <c r="D105" s="245" t="s">
        <v>373</v>
      </c>
      <c r="E105" s="246"/>
      <c r="F105" s="369"/>
      <c r="G105" s="247">
        <f>D181</f>
        <v>0</v>
      </c>
      <c r="H105" s="560">
        <f>H90</f>
        <v>46077</v>
      </c>
      <c r="I105" s="732"/>
      <c r="J105" s="735"/>
      <c r="K105" s="176"/>
      <c r="L105" s="244">
        <v>10</v>
      </c>
      <c r="M105" s="334" t="s">
        <v>372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41"/>
      <c r="W105" s="466"/>
      <c r="X105" s="732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732"/>
      <c r="J106" s="735"/>
      <c r="K106" s="176"/>
      <c r="L106" s="244">
        <v>10</v>
      </c>
      <c r="M106" s="334" t="s">
        <v>372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41"/>
      <c r="W106" s="466"/>
      <c r="X106" s="732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32"/>
      <c r="J107" s="735"/>
      <c r="K107" s="176"/>
      <c r="L107" s="244">
        <v>10</v>
      </c>
      <c r="M107" s="334" t="s">
        <v>372</v>
      </c>
      <c r="N107" s="245" t="s">
        <v>321</v>
      </c>
      <c r="O107" s="494">
        <f>SUM(Z31:Z36)</f>
        <v>27550</v>
      </c>
      <c r="P107" s="452">
        <v>0.1</v>
      </c>
      <c r="Q107" s="247">
        <f>$O$107*P107</f>
        <v>2755</v>
      </c>
      <c r="R107" s="746"/>
      <c r="S107" s="514" t="s">
        <v>322</v>
      </c>
      <c r="T107" s="561">
        <f>T91</f>
        <v>46053</v>
      </c>
      <c r="U107" s="655">
        <v>2835.989225589226</v>
      </c>
      <c r="V107" s="741"/>
      <c r="W107" s="649">
        <f>W91</f>
        <v>46058</v>
      </c>
      <c r="X107" s="732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32"/>
      <c r="J108" s="735"/>
      <c r="K108" s="176"/>
      <c r="L108" s="244">
        <v>10</v>
      </c>
      <c r="M108" s="334" t="s">
        <v>372</v>
      </c>
      <c r="N108" s="245" t="s">
        <v>209</v>
      </c>
      <c r="O108" s="445"/>
      <c r="P108" s="452">
        <v>0.15</v>
      </c>
      <c r="Q108" s="247">
        <f t="shared" ref="Q108:Q114" si="17">$O$107*P108</f>
        <v>4132.5</v>
      </c>
      <c r="R108" s="747"/>
      <c r="S108" s="518" t="s">
        <v>324</v>
      </c>
      <c r="T108" s="561">
        <f t="shared" ref="T108:T114" si="18">T92</f>
        <v>46081</v>
      </c>
      <c r="U108" s="409">
        <f t="shared" si="16"/>
        <v>4253.9838383838387</v>
      </c>
      <c r="V108" s="741"/>
      <c r="W108" s="649">
        <f t="shared" ref="W108:W114" si="19">W92</f>
        <v>46066</v>
      </c>
      <c r="X108" s="73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32"/>
      <c r="J109" s="735"/>
      <c r="K109" s="176"/>
      <c r="L109" s="244">
        <v>10</v>
      </c>
      <c r="M109" s="334" t="s">
        <v>372</v>
      </c>
      <c r="N109" s="245" t="s">
        <v>326</v>
      </c>
      <c r="O109" s="445"/>
      <c r="P109" s="452">
        <v>0.2</v>
      </c>
      <c r="Q109" s="247">
        <f t="shared" si="17"/>
        <v>5510</v>
      </c>
      <c r="R109" s="747"/>
      <c r="S109" s="514" t="s">
        <v>327</v>
      </c>
      <c r="T109" s="561">
        <v>46081</v>
      </c>
      <c r="U109" s="409">
        <f t="shared" si="16"/>
        <v>5671.9784511784519</v>
      </c>
      <c r="V109" s="741"/>
      <c r="W109" s="467">
        <f t="shared" si="19"/>
        <v>46097</v>
      </c>
      <c r="X109" s="73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32"/>
      <c r="J110" s="735"/>
      <c r="K110" s="176"/>
      <c r="L110" s="244">
        <v>10</v>
      </c>
      <c r="M110" s="334" t="s">
        <v>372</v>
      </c>
      <c r="N110" s="245" t="s">
        <v>329</v>
      </c>
      <c r="O110" s="445"/>
      <c r="P110" s="452">
        <v>0.25</v>
      </c>
      <c r="Q110" s="247">
        <f t="shared" si="17"/>
        <v>6887.5</v>
      </c>
      <c r="R110" s="747"/>
      <c r="S110" s="514" t="s">
        <v>330</v>
      </c>
      <c r="T110" s="561">
        <v>46081</v>
      </c>
      <c r="U110" s="409">
        <f t="shared" si="16"/>
        <v>7089.9730639730642</v>
      </c>
      <c r="V110" s="741"/>
      <c r="W110" s="467">
        <f t="shared" si="19"/>
        <v>46094</v>
      </c>
      <c r="X110" s="73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32"/>
      <c r="J111" s="735"/>
      <c r="K111" s="176"/>
      <c r="L111" s="244">
        <v>10</v>
      </c>
      <c r="M111" s="334" t="s">
        <v>372</v>
      </c>
      <c r="N111" s="245" t="s">
        <v>332</v>
      </c>
      <c r="O111" s="445"/>
      <c r="P111" s="452">
        <v>0.1</v>
      </c>
      <c r="Q111" s="247">
        <f t="shared" si="17"/>
        <v>2755</v>
      </c>
      <c r="R111" s="747"/>
      <c r="S111" s="514"/>
      <c r="T111" s="425">
        <f t="shared" si="18"/>
        <v>46112</v>
      </c>
      <c r="U111" s="409">
        <f t="shared" si="16"/>
        <v>2835.989225589226</v>
      </c>
      <c r="V111" s="741"/>
      <c r="W111" s="467">
        <f t="shared" si="19"/>
        <v>46101</v>
      </c>
      <c r="X111" s="73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32"/>
      <c r="J112" s="735"/>
      <c r="K112" s="176"/>
      <c r="L112" s="244">
        <v>10</v>
      </c>
      <c r="M112" s="334" t="s">
        <v>372</v>
      </c>
      <c r="N112" s="245" t="s">
        <v>334</v>
      </c>
      <c r="O112" s="445"/>
      <c r="P112" s="452">
        <v>0.1</v>
      </c>
      <c r="Q112" s="247">
        <f t="shared" si="17"/>
        <v>2755</v>
      </c>
      <c r="R112" s="747"/>
      <c r="S112" s="514"/>
      <c r="T112" s="425">
        <f t="shared" si="18"/>
        <v>46112</v>
      </c>
      <c r="U112" s="409">
        <f t="shared" si="16"/>
        <v>2835.989225589226</v>
      </c>
      <c r="V112" s="741"/>
      <c r="W112" s="467">
        <f t="shared" si="19"/>
        <v>46097</v>
      </c>
      <c r="X112" s="73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32"/>
      <c r="J113" s="735"/>
      <c r="K113" s="176"/>
      <c r="L113" s="244">
        <v>10</v>
      </c>
      <c r="M113" s="334" t="s">
        <v>372</v>
      </c>
      <c r="N113" s="245" t="s">
        <v>335</v>
      </c>
      <c r="O113" s="445"/>
      <c r="P113" s="452">
        <v>0.05</v>
      </c>
      <c r="Q113" s="247">
        <f t="shared" si="17"/>
        <v>1377.5</v>
      </c>
      <c r="R113" s="747"/>
      <c r="S113" s="514"/>
      <c r="T113" s="425">
        <f t="shared" si="18"/>
        <v>46112</v>
      </c>
      <c r="U113" s="409">
        <f t="shared" si="16"/>
        <v>1417.994612794613</v>
      </c>
      <c r="V113" s="741"/>
      <c r="W113" s="467">
        <f t="shared" si="19"/>
        <v>46097</v>
      </c>
      <c r="X113" s="73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32"/>
      <c r="J114" s="735"/>
      <c r="K114" s="176"/>
      <c r="L114" s="244">
        <v>10</v>
      </c>
      <c r="M114" s="334" t="s">
        <v>372</v>
      </c>
      <c r="N114" s="245" t="s">
        <v>336</v>
      </c>
      <c r="O114" s="445"/>
      <c r="P114" s="452">
        <v>0.05</v>
      </c>
      <c r="Q114" s="247">
        <f t="shared" si="17"/>
        <v>1377.5</v>
      </c>
      <c r="R114" s="748"/>
      <c r="S114" s="514"/>
      <c r="T114" s="425">
        <f t="shared" si="18"/>
        <v>46112</v>
      </c>
      <c r="U114" s="409">
        <f t="shared" si="16"/>
        <v>1417.994612794613</v>
      </c>
      <c r="V114" s="741"/>
      <c r="W114" s="467">
        <f t="shared" si="19"/>
        <v>46120</v>
      </c>
      <c r="X114" s="73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32"/>
      <c r="J115" s="735"/>
      <c r="K115" s="176"/>
      <c r="L115" s="244">
        <v>10</v>
      </c>
      <c r="M115" s="334" t="s">
        <v>372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41"/>
      <c r="W115" s="467"/>
      <c r="X115" s="73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732"/>
      <c r="J116" s="735"/>
      <c r="K116" s="176"/>
      <c r="L116" s="244">
        <v>10</v>
      </c>
      <c r="M116" s="334" t="s">
        <v>372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41"/>
      <c r="W116" s="467"/>
      <c r="X116" s="732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33"/>
      <c r="J117" s="736"/>
      <c r="K117" s="179"/>
      <c r="L117" s="177">
        <v>10</v>
      </c>
      <c r="M117" s="335" t="s">
        <v>372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42"/>
      <c r="W117" s="468"/>
      <c r="X117" s="733"/>
    </row>
    <row r="118" spans="1:24" ht="14.4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374</v>
      </c>
      <c r="D119" s="255" t="s">
        <v>375</v>
      </c>
      <c r="E119" s="187"/>
      <c r="F119" s="336"/>
      <c r="G119" s="188">
        <v>11000</v>
      </c>
      <c r="H119" s="540">
        <f>'Project Plan'!G44</f>
        <v>46091</v>
      </c>
      <c r="I119" s="706">
        <f>SUM(G119:G123)</f>
        <v>89000</v>
      </c>
      <c r="J119" s="709">
        <f>F177</f>
        <v>98888.888888888891</v>
      </c>
      <c r="K119" s="189"/>
      <c r="L119" s="185">
        <v>11</v>
      </c>
      <c r="M119" s="255" t="s">
        <v>376</v>
      </c>
      <c r="N119" s="255" t="s">
        <v>375</v>
      </c>
      <c r="O119" s="187"/>
      <c r="P119" s="336"/>
      <c r="Q119" s="188">
        <v>8750</v>
      </c>
      <c r="R119" s="533"/>
      <c r="S119" s="507" t="s">
        <v>377</v>
      </c>
      <c r="T119" s="418">
        <v>46081</v>
      </c>
      <c r="U119" s="397">
        <f>(Q119/$X$119*$J$119)+1260.82</f>
        <v>13061.805751683014</v>
      </c>
      <c r="V119" s="718">
        <f>J119-SUM(U119:U123)</f>
        <v>573.57983417983633</v>
      </c>
      <c r="W119" s="461">
        <f>'Project Plan'!K44+14</f>
        <v>46108</v>
      </c>
      <c r="X119" s="706">
        <f>SUM(Q119:Q123)</f>
        <v>73322.5</v>
      </c>
    </row>
    <row r="120" spans="1:24" ht="15" customHeight="1">
      <c r="B120" s="215">
        <v>11</v>
      </c>
      <c r="C120" s="217"/>
      <c r="D120" s="217" t="s">
        <v>378</v>
      </c>
      <c r="E120" s="218"/>
      <c r="F120" s="357"/>
      <c r="G120" s="219">
        <v>18000</v>
      </c>
      <c r="H120" s="540">
        <f>H119</f>
        <v>46091</v>
      </c>
      <c r="I120" s="707"/>
      <c r="J120" s="710"/>
      <c r="K120" s="192"/>
      <c r="L120" s="215">
        <v>11</v>
      </c>
      <c r="M120" s="290" t="s">
        <v>376</v>
      </c>
      <c r="N120" s="217" t="s">
        <v>379</v>
      </c>
      <c r="O120" s="218"/>
      <c r="P120" s="357"/>
      <c r="Q120" s="219">
        <v>8572.5</v>
      </c>
      <c r="R120" s="470"/>
      <c r="S120" s="500" t="s">
        <v>380</v>
      </c>
      <c r="T120" s="629">
        <v>46022</v>
      </c>
      <c r="U120" s="631">
        <v>9727.1944922547336</v>
      </c>
      <c r="V120" s="719"/>
      <c r="W120" s="630">
        <v>45974</v>
      </c>
      <c r="X120" s="707"/>
    </row>
    <row r="121" spans="1:24" ht="15" customHeight="1">
      <c r="B121" s="215">
        <v>11</v>
      </c>
      <c r="C121" s="217"/>
      <c r="D121" s="217" t="s">
        <v>381</v>
      </c>
      <c r="E121" s="218"/>
      <c r="F121" s="357"/>
      <c r="G121" s="219">
        <v>60000</v>
      </c>
      <c r="H121" s="540">
        <f>H120</f>
        <v>46091</v>
      </c>
      <c r="I121" s="707"/>
      <c r="J121" s="710"/>
      <c r="K121" s="192"/>
      <c r="L121" s="215">
        <v>11</v>
      </c>
      <c r="M121" s="290" t="s">
        <v>376</v>
      </c>
      <c r="N121" s="217" t="s">
        <v>381</v>
      </c>
      <c r="O121" s="218"/>
      <c r="P121" s="357"/>
      <c r="Q121" s="219">
        <v>50000</v>
      </c>
      <c r="R121" s="470"/>
      <c r="S121" s="500" t="s">
        <v>382</v>
      </c>
      <c r="T121" s="539">
        <v>46081</v>
      </c>
      <c r="U121" s="397">
        <f>(Q121/$X$119*$J$119)</f>
        <v>67434.20429533151</v>
      </c>
      <c r="V121" s="719"/>
      <c r="W121" s="454">
        <f>W122</f>
        <v>46111</v>
      </c>
      <c r="X121" s="707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707"/>
      <c r="J122" s="710"/>
      <c r="K122" s="192"/>
      <c r="L122" s="215">
        <v>11</v>
      </c>
      <c r="M122" s="290" t="s">
        <v>376</v>
      </c>
      <c r="N122" s="288" t="s">
        <v>383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8092.1045154397816</v>
      </c>
      <c r="V122" s="719"/>
      <c r="W122" s="455">
        <v>46111</v>
      </c>
      <c r="X122" s="707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708"/>
      <c r="J123" s="711"/>
      <c r="K123" s="193"/>
      <c r="L123" s="220">
        <v>11</v>
      </c>
      <c r="M123" s="318" t="s">
        <v>376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720"/>
      <c r="W123" s="456"/>
      <c r="X123" s="708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384</v>
      </c>
      <c r="D125" s="174" t="s">
        <v>385</v>
      </c>
      <c r="E125" s="175"/>
      <c r="F125" s="368"/>
      <c r="G125" s="242">
        <v>0</v>
      </c>
      <c r="H125" s="559"/>
      <c r="I125" s="731">
        <f>SUM(G125:G126)</f>
        <v>0</v>
      </c>
      <c r="J125" s="734">
        <v>0</v>
      </c>
      <c r="K125" s="752"/>
      <c r="L125" s="173">
        <v>12</v>
      </c>
      <c r="M125" s="174" t="s">
        <v>386</v>
      </c>
      <c r="N125" s="174" t="s">
        <v>385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731">
        <f>SUM(Q125:Q126)</f>
        <v>0</v>
      </c>
    </row>
    <row r="126" spans="1:24" ht="15" customHeight="1" thickBot="1">
      <c r="B126" s="177">
        <v>12</v>
      </c>
      <c r="C126" s="248" t="s">
        <v>384</v>
      </c>
      <c r="D126" s="248"/>
      <c r="E126" s="249"/>
      <c r="F126" s="370"/>
      <c r="G126" s="178"/>
      <c r="H126" s="562"/>
      <c r="I126" s="733"/>
      <c r="J126" s="736"/>
      <c r="K126" s="753"/>
      <c r="L126" s="177">
        <v>12</v>
      </c>
      <c r="M126" s="248" t="s">
        <v>386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733"/>
    </row>
    <row r="127" spans="1:24" ht="14.4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387</v>
      </c>
      <c r="D128" s="255" t="s">
        <v>388</v>
      </c>
      <c r="E128" s="187"/>
      <c r="F128" s="336"/>
      <c r="G128" s="188">
        <f>D176</f>
        <v>17291.832113965746</v>
      </c>
      <c r="H128" s="540">
        <f>'Project Plan'!G53</f>
        <v>46105</v>
      </c>
      <c r="I128" s="706">
        <f>SUM(G128:G132)</f>
        <v>17291.832113965746</v>
      </c>
      <c r="J128" s="709">
        <f>F176</f>
        <v>19649.80922041562</v>
      </c>
      <c r="K128" s="189"/>
      <c r="L128" s="185">
        <v>13</v>
      </c>
      <c r="M128" s="255" t="s">
        <v>389</v>
      </c>
      <c r="N128" s="255" t="s">
        <v>390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718">
        <f>J128-SUM(U128:U133)</f>
        <v>0</v>
      </c>
      <c r="W128" s="461">
        <v>46112</v>
      </c>
      <c r="X128" s="706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707"/>
      <c r="J129" s="710"/>
      <c r="K129" s="192"/>
      <c r="L129" s="215">
        <v>13</v>
      </c>
      <c r="M129" s="290" t="s">
        <v>389</v>
      </c>
      <c r="N129" s="217" t="s">
        <v>391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719"/>
      <c r="W129" s="454">
        <f>W128</f>
        <v>46112</v>
      </c>
      <c r="X129" s="70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707"/>
      <c r="J130" s="710"/>
      <c r="K130" s="192"/>
      <c r="L130" s="215">
        <v>13</v>
      </c>
      <c r="M130" s="290" t="s">
        <v>389</v>
      </c>
      <c r="N130" s="217" t="s">
        <v>392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719"/>
      <c r="W130" s="454">
        <f t="shared" ref="W130:W132" si="21">W129</f>
        <v>46112</v>
      </c>
      <c r="X130" s="707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707"/>
      <c r="J131" s="710"/>
      <c r="K131" s="192"/>
      <c r="L131" s="215">
        <v>13</v>
      </c>
      <c r="M131" s="290" t="s">
        <v>389</v>
      </c>
      <c r="N131" s="217" t="s">
        <v>393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719"/>
      <c r="W131" s="454">
        <f t="shared" si="21"/>
        <v>46112</v>
      </c>
      <c r="X131" s="707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707"/>
      <c r="J132" s="710"/>
      <c r="K132" s="192"/>
      <c r="L132" s="215">
        <v>13</v>
      </c>
      <c r="M132" s="290" t="s">
        <v>389</v>
      </c>
      <c r="N132" s="217" t="s">
        <v>394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719"/>
      <c r="W132" s="454">
        <f t="shared" si="21"/>
        <v>46112</v>
      </c>
      <c r="X132" s="707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708"/>
      <c r="J133" s="711"/>
      <c r="K133" s="267"/>
      <c r="L133" s="220">
        <v>13</v>
      </c>
      <c r="M133" s="318" t="s">
        <v>389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720"/>
      <c r="W133" s="456"/>
      <c r="X133" s="708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395</v>
      </c>
      <c r="D135" s="174" t="s">
        <v>396</v>
      </c>
      <c r="E135" s="175"/>
      <c r="F135" s="368"/>
      <c r="G135" s="242">
        <f>D187</f>
        <v>1925</v>
      </c>
      <c r="H135" s="559">
        <f>'Project Plan'!G53</f>
        <v>46105</v>
      </c>
      <c r="I135" s="731">
        <f>SUM(G135:G146)</f>
        <v>1925</v>
      </c>
      <c r="J135" s="734">
        <f>F187</f>
        <v>2138.8888888888887</v>
      </c>
      <c r="K135" s="243"/>
      <c r="L135" s="173">
        <v>14</v>
      </c>
      <c r="M135" s="333" t="s">
        <v>397</v>
      </c>
      <c r="N135" s="174" t="s">
        <v>398</v>
      </c>
      <c r="O135" s="444"/>
      <c r="P135" s="525"/>
      <c r="Q135" s="530">
        <v>314.16000000000003</v>
      </c>
      <c r="R135" s="527"/>
      <c r="S135" s="517" t="s">
        <v>399</v>
      </c>
      <c r="T135" s="650">
        <v>46053</v>
      </c>
      <c r="U135" s="658">
        <v>382.24558329683163</v>
      </c>
      <c r="V135" s="740">
        <f>J135-SUM(U135:U146)</f>
        <v>0</v>
      </c>
      <c r="W135" s="651">
        <v>46058</v>
      </c>
      <c r="X135" s="731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32"/>
      <c r="J136" s="735"/>
      <c r="K136" s="176"/>
      <c r="L136" s="244">
        <v>14</v>
      </c>
      <c r="M136" s="334" t="s">
        <v>397</v>
      </c>
      <c r="N136" s="245" t="s">
        <v>398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41"/>
      <c r="W136" s="467">
        <f>T136+7</f>
        <v>46088</v>
      </c>
      <c r="X136" s="732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32"/>
      <c r="J137" s="735"/>
      <c r="K137" s="176"/>
      <c r="L137" s="244">
        <v>14</v>
      </c>
      <c r="M137" s="334" t="s">
        <v>397</v>
      </c>
      <c r="N137" s="245" t="s">
        <v>398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41"/>
      <c r="W137" s="467">
        <f>T137+7</f>
        <v>46119</v>
      </c>
      <c r="X137" s="732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32"/>
      <c r="J138" s="735"/>
      <c r="K138" s="176"/>
      <c r="L138" s="244">
        <v>14</v>
      </c>
      <c r="M138" s="334" t="s">
        <v>397</v>
      </c>
      <c r="N138" s="245" t="s">
        <v>398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41"/>
      <c r="W138" s="467">
        <f>T138+7</f>
        <v>46149</v>
      </c>
      <c r="X138" s="73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32"/>
      <c r="J139" s="735"/>
      <c r="K139" s="176"/>
      <c r="L139" s="244">
        <v>14</v>
      </c>
      <c r="M139" s="334" t="s">
        <v>397</v>
      </c>
      <c r="N139" s="245" t="s">
        <v>398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41"/>
      <c r="W139" s="467"/>
      <c r="X139" s="73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32"/>
      <c r="J140" s="735"/>
      <c r="K140" s="176"/>
      <c r="L140" s="244">
        <v>14</v>
      </c>
      <c r="M140" s="334" t="s">
        <v>397</v>
      </c>
      <c r="N140" s="245" t="s">
        <v>398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41"/>
      <c r="W140" s="467"/>
      <c r="X140" s="73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32"/>
      <c r="J141" s="735"/>
      <c r="K141" s="176"/>
      <c r="L141" s="244">
        <v>14</v>
      </c>
      <c r="M141" s="334" t="s">
        <v>397</v>
      </c>
      <c r="N141" s="245" t="s">
        <v>398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41"/>
      <c r="W141" s="467"/>
      <c r="X141" s="73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32"/>
      <c r="J142" s="735"/>
      <c r="K142" s="176"/>
      <c r="L142" s="244">
        <v>14</v>
      </c>
      <c r="M142" s="334" t="s">
        <v>397</v>
      </c>
      <c r="N142" s="245" t="s">
        <v>398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41"/>
      <c r="W142" s="467"/>
      <c r="X142" s="73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32"/>
      <c r="J143" s="735"/>
      <c r="K143" s="176"/>
      <c r="L143" s="244">
        <v>14</v>
      </c>
      <c r="M143" s="334" t="s">
        <v>397</v>
      </c>
      <c r="N143" s="245" t="s">
        <v>398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41"/>
      <c r="W143" s="467"/>
      <c r="X143" s="73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32"/>
      <c r="J144" s="735"/>
      <c r="K144" s="176"/>
      <c r="L144" s="244">
        <v>14</v>
      </c>
      <c r="M144" s="334" t="s">
        <v>397</v>
      </c>
      <c r="N144" s="245" t="s">
        <v>398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41"/>
      <c r="W144" s="467"/>
      <c r="X144" s="73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732"/>
      <c r="J145" s="735"/>
      <c r="K145" s="176"/>
      <c r="L145" s="244">
        <v>14</v>
      </c>
      <c r="M145" s="334" t="s">
        <v>397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41"/>
      <c r="W145" s="467"/>
      <c r="X145" s="732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33"/>
      <c r="J146" s="736"/>
      <c r="K146" s="179"/>
      <c r="L146" s="177">
        <v>14</v>
      </c>
      <c r="M146" s="335" t="s">
        <v>397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42"/>
      <c r="W146" s="468"/>
      <c r="X146" s="733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400</v>
      </c>
      <c r="D148" s="186"/>
      <c r="E148" s="187"/>
      <c r="F148" s="336"/>
      <c r="G148" s="188"/>
      <c r="H148" s="540"/>
      <c r="I148" s="706">
        <f>SUM(G148:G159)</f>
        <v>0</v>
      </c>
      <c r="J148" s="709">
        <v>0</v>
      </c>
      <c r="K148" s="189"/>
      <c r="L148" s="185">
        <v>15</v>
      </c>
      <c r="M148" s="255" t="s">
        <v>401</v>
      </c>
      <c r="N148" s="186" t="s">
        <v>402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18">
        <v>0</v>
      </c>
      <c r="W148" s="461">
        <v>46173</v>
      </c>
      <c r="X148" s="706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707"/>
      <c r="J149" s="710"/>
      <c r="K149" s="192"/>
      <c r="L149" s="215">
        <v>15</v>
      </c>
      <c r="M149" s="290" t="s">
        <v>401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719"/>
      <c r="W149" s="454"/>
      <c r="X149" s="707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707"/>
      <c r="J150" s="710"/>
      <c r="K150" s="192"/>
      <c r="L150" s="215">
        <v>15</v>
      </c>
      <c r="M150" s="290" t="s">
        <v>401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719"/>
      <c r="W150" s="454"/>
      <c r="X150" s="707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707"/>
      <c r="J151" s="710"/>
      <c r="K151" s="192"/>
      <c r="L151" s="215">
        <v>15</v>
      </c>
      <c r="M151" s="290" t="s">
        <v>401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719"/>
      <c r="W151" s="454"/>
      <c r="X151" s="707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707"/>
      <c r="J152" s="710"/>
      <c r="K152" s="192"/>
      <c r="L152" s="215">
        <v>15</v>
      </c>
      <c r="M152" s="290" t="s">
        <v>401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719"/>
      <c r="W152" s="454"/>
      <c r="X152" s="707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707"/>
      <c r="J153" s="710"/>
      <c r="K153" s="192"/>
      <c r="L153" s="215">
        <v>15</v>
      </c>
      <c r="M153" s="290" t="s">
        <v>401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719"/>
      <c r="W153" s="454"/>
      <c r="X153" s="707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707"/>
      <c r="J154" s="710"/>
      <c r="K154" s="192"/>
      <c r="L154" s="215">
        <v>15</v>
      </c>
      <c r="M154" s="290" t="s">
        <v>401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719"/>
      <c r="W154" s="454"/>
      <c r="X154" s="707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707"/>
      <c r="J155" s="710"/>
      <c r="K155" s="192"/>
      <c r="L155" s="215">
        <v>15</v>
      </c>
      <c r="M155" s="290" t="s">
        <v>401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719"/>
      <c r="W155" s="454"/>
      <c r="X155" s="707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707"/>
      <c r="J156" s="710"/>
      <c r="K156" s="192"/>
      <c r="L156" s="215">
        <v>15</v>
      </c>
      <c r="M156" s="290" t="s">
        <v>401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719"/>
      <c r="W156" s="454"/>
      <c r="X156" s="707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707"/>
      <c r="J157" s="710"/>
      <c r="K157" s="192"/>
      <c r="L157" s="215">
        <v>15</v>
      </c>
      <c r="M157" s="290" t="s">
        <v>401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719"/>
      <c r="W157" s="454"/>
      <c r="X157" s="707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707"/>
      <c r="J158" s="710"/>
      <c r="K158" s="192"/>
      <c r="L158" s="215">
        <v>15</v>
      </c>
      <c r="M158" s="290" t="s">
        <v>401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719"/>
      <c r="W158" s="454"/>
      <c r="X158" s="707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708"/>
      <c r="J159" s="711"/>
      <c r="K159" s="193"/>
      <c r="L159" s="220">
        <v>15</v>
      </c>
      <c r="M159" s="318" t="s">
        <v>401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720"/>
      <c r="W159" s="456"/>
      <c r="X159" s="708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403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404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405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319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346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406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407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408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409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410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411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412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413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414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415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416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417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418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419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420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421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422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409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423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424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topRight" activeCell="X33" sqref="X33"/>
      <selection pane="bottomLeft" activeCell="X33" sqref="X33"/>
      <selection pane="bottomRight" activeCell="S11" sqref="S1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425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4" t="s">
        <v>426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5"/>
      <c r="B3" s="106" t="s">
        <v>126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Tracking'!$F$13:$F$22, 'Revenue Tracking'!$H$13:$H$22, "&gt;="&amp;F1,'Revenue Tracking'!$H$13:$H$22, "&lt;"&amp;G1)</f>
        <v>0</v>
      </c>
      <c r="G3" s="109">
        <f>SUMIFS('Revenue Tracking'!$F$13:$F$22, 'Revenue Tracking'!$H$13:$H$22, "&gt;="&amp;G1,'Revenue Tracking'!$H$13:$H$22, "&lt;"&amp;H1)</f>
        <v>0</v>
      </c>
      <c r="H3" s="109">
        <f>SUMIFS('Revenue Tracking'!$F$13:$F$22, 'Revenue Tracking'!$H$13:$H$22, "&gt;="&amp;H1,'Revenue Tracking'!$H$13:$H$22, "&lt;"&amp;I1)</f>
        <v>0</v>
      </c>
      <c r="I3" s="109">
        <f>SUMIFS('Revenue Tracking'!$F$13:$F$22, 'Revenue Tracking'!$H$13:$H$22, "&gt;="&amp;I1,'Revenue Tracking'!$H$13:$H$22, "&lt;"&amp;J1)</f>
        <v>0</v>
      </c>
      <c r="J3" s="109">
        <f>SUMIFS('Revenue Tracking'!$F$13:$F$22, 'Revenue Tracking'!$H$13:$H$22, "&gt;="&amp;J1,'Revenue Tracking'!$H$13:$H$22, "&lt;"&amp;K1)</f>
        <v>469818.84879902902</v>
      </c>
      <c r="K3" s="109">
        <f>SUMIFS('Revenue Tracking'!$F$13:$F$22, 'Revenue Tracking'!$H$13:$H$22, "&gt;="&amp;K1,'Revenue Tracking'!$H$13:$H$22, "&lt;"&amp;L1)</f>
        <v>0</v>
      </c>
      <c r="L3" s="109">
        <f>SUMIFS('Revenue Tracking'!$F$13:$F$22, 'Revenue Tracking'!$H$13:$H$22, "&gt;="&amp;L1,'Revenue Tracking'!$H$13:$H$22, "&lt;"&amp;M1)</f>
        <v>0</v>
      </c>
      <c r="M3" s="109">
        <f>SUMIFS('Revenue Tracking'!$F$13:$F$22, 'Revenue Tracking'!$H$13:$H$22, "&gt;="&amp;M1,'Revenue Tracking'!$H$13:$H$22, "&lt;"&amp;N1)</f>
        <v>0</v>
      </c>
      <c r="N3" s="109">
        <f>SUMIFS('Revenue Tracking'!$F$13:$F$22, 'Revenue Tracking'!$H$13:$H$22, "&gt;="&amp;N1,'Revenue Tracking'!$H$13:$H$22, "&lt;"&amp;O1)</f>
        <v>0</v>
      </c>
      <c r="O3" s="109">
        <f>SUMIFS('Revenue Tracking'!$F$13:$F$22, 'Revenue Tracking'!$H$13:$H$22, "&gt;="&amp;O1,'Revenue Tracking'!$H$13:$H$22, "&lt;"&amp;P1)</f>
        <v>0</v>
      </c>
      <c r="P3" s="109">
        <f>SUMIFS('Revenue Tracking'!$F$13:$F$22, 'Revenue Tracking'!$H$13:$H$22, "&gt;="&amp;P1,'Revenue Tracking'!$H$13:$H$22, "&lt;"&amp;Q1)</f>
        <v>0</v>
      </c>
      <c r="Q3" s="109">
        <f>SUMIFS('Revenue Tracking'!$F$13:$F$22, 'Revenue Tracking'!$H$13:$H$22, "&gt;="&amp;Q1,'Revenue Tracking'!$H$13:$H$22, "&lt;"&amp;R1)</f>
        <v>0</v>
      </c>
      <c r="R3" s="109">
        <f>SUMIFS('Revenue Tracking'!$F$13:$F$22, 'Revenue Tracking'!$H$13:$H$22, "&gt;="&amp;R1,'Revenue Tracking'!$H$13:$H$22, "&lt;"&amp;S1)</f>
        <v>0</v>
      </c>
      <c r="S3" s="109">
        <f>SUMIFS('Revenue Tracking'!$F$13:$F$22, 'Revenue Tracking'!$H$13:$H$22, "&gt;="&amp;S1,'Revenue Tracking'!$H$13:$H$22, "&lt;"&amp;T1)</f>
        <v>0</v>
      </c>
      <c r="T3" s="109">
        <f>SUMIFS('Revenue Tracking'!$F$13:$F$22, 'Revenue Tracking'!$H$13:$H$22, "&gt;="&amp;T1,'Revenue Tracking'!$H$13:$H$22, "&lt;"&amp;U1)</f>
        <v>1127565.2371176688</v>
      </c>
      <c r="U3" s="109">
        <f>SUMIFS('Revenue Tracking'!$F$13:$F$22, 'Revenue Tracking'!$H$13:$H$22, "&gt;="&amp;U1,'Revenue Tracking'!$H$13:$H$22, "&lt;"&amp;V1)</f>
        <v>0</v>
      </c>
      <c r="V3" s="109">
        <f>SUMIFS('Revenue Tracking'!$F$13:$F$22, 'Revenue Tracking'!$H$13:$H$22, "&gt;="&amp;V1,'Revenue Tracking'!$H$13:$H$22, "&lt;"&amp;W1)</f>
        <v>0</v>
      </c>
      <c r="W3" s="109">
        <f>SUMIFS('Revenue Tracking'!$F$13:$F$22, 'Revenue Tracking'!$H$13:$H$22, "&gt;="&amp;W1,'Revenue Tracking'!$H$13:$H$22, "&lt;"&amp;X1)</f>
        <v>0</v>
      </c>
      <c r="X3" s="109">
        <f>SUMIFS('Revenue Tracking'!$F$13:$F$22, 'Revenue Tracking'!$H$13:$H$22, "&gt;="&amp;X1,'Revenue Tracking'!$H$13:$H$22, "&lt;"&amp;Y1)</f>
        <v>187927.53951961148</v>
      </c>
      <c r="Y3" s="109">
        <f>SUMIFS('Revenue Tracking'!$F$13:$F$22, 'Revenue Tracking'!$H$13:$H$22, "&gt;="&amp;Y1,'Revenue Tracking'!$H$13:$H$22, "&lt;"&amp;Z1)</f>
        <v>93963.769759805742</v>
      </c>
      <c r="Z3" s="109">
        <f>SUMIFS('Revenue Tracking'!$F$13:$F$22, 'Revenue Tracking'!$H$13:$H$22, "&gt;="&amp;Z1,'Revenue Tracking'!$H$13:$H$22, "&lt;"&amp;AA1)</f>
        <v>0</v>
      </c>
      <c r="AA3" s="109">
        <f>SUMIFS('Revenue Tracking'!$F$13:$F$22, 'Revenue Tracking'!$H$13:$H$22, "&gt;="&amp;AA1,'Revenue Tracking'!$H$13:$H$22, "&lt;"&amp;AB1)</f>
        <v>0</v>
      </c>
      <c r="AB3" s="109">
        <f>SUMIFS('Revenue Tracking'!$F$13:$F$22, 'Revenue Tracking'!$H$13:$H$22, "&gt;="&amp;AB1,'Revenue Tracking'!$H$13:$H$22, "&lt;"&amp;AC1)</f>
        <v>0</v>
      </c>
      <c r="AC3" s="109">
        <f>SUMIFS('Revenue Tracking'!$F$13:$F$22, 'Revenue Tracking'!$H$13:$H$22, "&gt;="&amp;AC1,'Revenue Tracking'!$H$13:$H$22, "&lt;"&amp;AD1)</f>
        <v>0</v>
      </c>
      <c r="AD3" s="109">
        <f>SUMIFS('Revenue Tracking'!$F$13:$F$22, 'Revenue Tracking'!$H$13:$H$22, "&gt;="&amp;AD1,'Revenue Tracking'!$H$13:$H$22, "&lt;"&amp;AE1)</f>
        <v>0</v>
      </c>
      <c r="AE3" s="109">
        <f>SUMIFS('Revenue Tracking'!$F$13:$F$22, 'Revenue Tracking'!$H$13:$H$22, "&gt;="&amp;AE1,'Revenue Tracking'!$H$13:$H$22, "&lt;"&amp;AF1)</f>
        <v>0</v>
      </c>
      <c r="AF3" s="109">
        <f>SUMIFS('Revenue Tracking'!$F$13:$F$22, 'Revenue Tracking'!$H$13:$H$22, "&gt;="&amp;AF1,'Revenue Tracking'!$H$13:$H$22, "&lt;"&amp;AG1)</f>
        <v>0</v>
      </c>
      <c r="AG3" s="109">
        <f>SUMIFS('Revenue Tracking'!$F$13:$F$22, 'Revenue Tracking'!$H$13:$H$22, "&gt;="&amp;AG1,'Revenue Tracking'!$H$13:$H$22, "&lt;"&amp;AH1)</f>
        <v>0</v>
      </c>
      <c r="AH3" s="109">
        <f>SUMIFS('Revenue Tracking'!$F$13:$F$22, 'Revenue Tracking'!$H$13:$H$22, "&gt;="&amp;AH1,'Revenue Tracking'!$H$13:$H$22, "&lt;"&amp;AI1)</f>
        <v>0</v>
      </c>
      <c r="AI3" s="109">
        <f>SUMIFS('Revenue Tracking'!$F$13:$F$22, 'Revenue Tracking'!$H$13:$H$22, "&gt;="&amp;AI1,'Revenue Tracking'!$H$13:$H$22, "&lt;"&amp;AJ1)</f>
        <v>0</v>
      </c>
      <c r="AJ3" s="109">
        <f>SUMIFS('Revenue Tracking'!$F$13:$F$22, 'Revenue Tracking'!$H$13:$H$22, "&gt;="&amp;AJ1,'Revenue Tracking'!$H$13:$H$22, "&lt;"&amp;AK1)</f>
        <v>0</v>
      </c>
      <c r="AK3" s="109">
        <f>SUMIFS('Revenue Tracking'!$F$13:$F$22, 'Revenue Tracking'!$H$13:$H$22, "&gt;="&amp;AK1,'Revenue Tracking'!$H$13:$H$22, "&lt;"&amp;AL1)</f>
        <v>0</v>
      </c>
      <c r="AL3" s="109">
        <f>SUMIFS('Revenue Tracking'!$F$13:$F$22, 'Revenue Tracking'!$H$13:$H$22, "&gt;="&amp;AL1,'Revenue Tracking'!$H$13:$H$22, "&lt;"&amp;AM1)</f>
        <v>0</v>
      </c>
      <c r="AM3" s="109">
        <f>SUMIFS('Revenue Tracking'!$F$13:$F$22, 'Revenue Tracking'!$H$13:$H$22, "&gt;="&amp;AM1,'Revenue Tracking'!$H$13:$H$22, "&lt;"&amp;AN1)</f>
        <v>0</v>
      </c>
      <c r="AN3" s="109">
        <f>SUMIFS('Revenue Tracking'!$F$13:$F$22, 'Revenue Tracking'!$H$13:$H$22, "&gt;="&amp;AN1,'Revenue Tracking'!$H$13:$H$22, "&lt;"&amp;AO1)</f>
        <v>0</v>
      </c>
      <c r="AO3" s="109">
        <f>SUMIFS('Revenue Tracking'!$F$13:$F$22, 'Revenue Tracking'!$H$13:$H$22, "&gt;="&amp;AO1,'Revenue Tracking'!$H$13:$H$22, "&lt;"&amp;AP1)</f>
        <v>0</v>
      </c>
      <c r="AP3" s="109">
        <f>SUMIFS('Revenue Tracking'!$F$13:$F$22, 'Revenue Tracking'!$H$13:$H$22, "&gt;="&amp;AP1,'Revenue Tracking'!$H$13:$H$22, "&lt;"&amp;AQ1)</f>
        <v>0</v>
      </c>
      <c r="AQ3" s="109">
        <f>SUMIFS('Revenue Tracking'!$F$13:$F$22, 'Revenue Tracking'!$H$13:$H$22, "&gt;="&amp;AQ1,'Revenue Tracking'!$H$13:$H$22, "&lt;"&amp;AR1)</f>
        <v>0</v>
      </c>
      <c r="AR3" s="109">
        <f>SUMIFS('Revenue Tracking'!$F$13:$F$22, 'Revenue Tracking'!$H$13:$H$22, "&gt;="&amp;AR1,'Revenue Tracking'!$H$13:$H$22, "&lt;"&amp;AS1)</f>
        <v>0</v>
      </c>
      <c r="AS3" s="109">
        <f>SUMIFS('Revenue Tracking'!$F$13:$F$22, 'Revenue Tracking'!$H$13:$H$22, "&gt;="&amp;AS1,'Revenue Tracking'!$H$13:$H$22, "&lt;"&amp;AT1)</f>
        <v>0</v>
      </c>
      <c r="AT3" s="109">
        <f>SUMIFS('Revenue Tracking'!$F$13:$F$22, 'Revenue Tracking'!$H$13:$H$22, "&gt;="&amp;AT1,'Revenue Tracking'!$H$13:$H$22, "&lt;"&amp;AU1)</f>
        <v>0</v>
      </c>
      <c r="AU3" s="109">
        <f>SUMIFS('Revenue Tracking'!$F$13:$F$22, 'Revenue Tracking'!$H$13:$H$22, "&gt;="&amp;AU1,'Revenue Tracking'!$H$13:$H$22, "&lt;"&amp;AV1)</f>
        <v>0</v>
      </c>
      <c r="AV3" s="109">
        <f>SUMIFS('Revenue Tracking'!$F$13:$F$22, 'Revenue Tracking'!$H$13:$H$22, "&gt;="&amp;AV1,'Revenue Tracking'!$H$13:$H$22, "&lt;"&amp;AW1)</f>
        <v>0</v>
      </c>
      <c r="AW3" s="109">
        <f>SUMIFS('Revenue Tracking'!$F$13:$F$22, 'Revenue Tracking'!$H$13:$H$22, "&gt;="&amp;AW1,'Revenue Tracking'!$H$13:$H$22, "&lt;"&amp;AX1)</f>
        <v>0</v>
      </c>
      <c r="AX3" s="109">
        <f>SUMIFS('Revenue Tracking'!$F$13:$F$22, 'Revenue Tracking'!$H$13:$H$22, "&gt;="&amp;AX1,'Revenue Tracking'!$H$13:$H$22, "&lt;"&amp;AY1)</f>
        <v>0</v>
      </c>
      <c r="AY3" s="109">
        <f>SUMIFS('Revenue Tracking'!$F$13:$F$22, 'Revenue Tracking'!$H$13:$H$22, "&gt;="&amp;AY1,'Revenue Tracking'!$H$13:$H$22, "&lt;"&amp;AZ1)</f>
        <v>0</v>
      </c>
      <c r="AZ3" s="109">
        <f>SUMIFS('Revenue Tracking'!$F$13:$F$22, 'Revenue Tracking'!$H$13:$H$22, "&gt;="&amp;AZ1,'Revenue Tracking'!$H$13:$H$22, "&lt;"&amp;BA1)</f>
        <v>0</v>
      </c>
      <c r="BA3" s="109">
        <f>SUMIFS('Revenue Tracking'!$F$13:$F$22, 'Revenue Tracking'!$H$13:$H$22, "&gt;="&amp;BA1,'Revenue Tracking'!$H$13:$H$22, "&lt;"&amp;BB1)</f>
        <v>0</v>
      </c>
      <c r="BB3" s="109">
        <f>SUMIFS('Revenue Tracking'!$F$13:$F$22, 'Revenue Tracking'!$H$13:$H$22, "&gt;="&amp;BB1,'Revenue Tracking'!$H$13:$H$22, "&lt;"&amp;BC1)</f>
        <v>0</v>
      </c>
      <c r="BC3" s="109">
        <f>SUMIFS('Revenue Tracking'!$F$13:$F$22, 'Revenue Tracking'!$H$13:$H$22, "&gt;="&amp;BC1,'Revenue Tracking'!$H$13:$H$22, "&lt;"&amp;BD1)</f>
        <v>0</v>
      </c>
      <c r="BD3" s="109">
        <f>SUMIFS('Revenue Tracking'!$F$13:$F$22, 'Revenue Tracking'!$H$13:$H$22, "&gt;="&amp;BD1,'Revenue Tracking'!$H$13:$H$22, "&lt;"&amp;BE1)</f>
        <v>0</v>
      </c>
      <c r="BE3" s="109">
        <f>SUMIFS('Revenue Tracking'!$F$13:$F$22, 'Revenue Tracking'!$H$13:$H$22, "&gt;="&amp;BE1,'Revenue Tracking'!$H$13:$H$22, "&lt;"&amp;BF1)</f>
        <v>0</v>
      </c>
      <c r="BF3" s="109">
        <f>SUMIFS('Revenue Tracking'!$F$13:$F$22, 'Revenue Tracking'!$H$13:$H$22, "&gt;="&amp;BF1,'Revenue Tracking'!$H$13:$H$22, "&lt;"&amp;BG1)</f>
        <v>0</v>
      </c>
      <c r="BG3" s="109">
        <f>SUMIFS('Revenue Tracking'!$F$13:$F$22, 'Revenue Tracking'!$H$13:$H$22, "&gt;="&amp;BG1,'Revenue Tracking'!$H$13:$H$22, "&lt;"&amp;BH1)</f>
        <v>0</v>
      </c>
      <c r="BH3" s="109">
        <f>SUMIFS('Revenue Tracking'!$F$13:$F$22, 'Revenue Tracking'!$H$13:$H$22, "&gt;="&amp;BH1,'Revenue Tracking'!$H$13:$H$22, "&lt;"&amp;BI1)</f>
        <v>0</v>
      </c>
      <c r="BI3" s="109">
        <f>SUMIFS('Revenue Tracking'!$F$13:$F$22, 'Revenue Tracking'!$H$13:$H$22, "&gt;="&amp;BI1,'Revenue Tracking'!$H$13:$H$22, "&lt;"&amp;BJ1)</f>
        <v>0</v>
      </c>
      <c r="BJ3" s="109">
        <f>SUMIFS('Revenue Tracking'!$F$13:$F$22, 'Revenue Tracking'!$H$13:$H$22, "&gt;="&amp;BJ1,'Revenue Tracking'!$H$13:$H$22, "&lt;"&amp;BK1)</f>
        <v>0</v>
      </c>
      <c r="BK3" s="109">
        <f>SUMIFS('Revenue Tracking'!$F$13:$F$22, 'Revenue Tracking'!$H$13:$H$22, "&gt;="&amp;BK1,'Revenue Tracking'!$H$13:$H$22, "&lt;"&amp;BL1)</f>
        <v>0</v>
      </c>
      <c r="BL3" s="109">
        <f>SUMIFS('Revenue Tracking'!$F$13:$F$22, 'Revenue Tracking'!$H$13:$H$22, "&gt;="&amp;BL1,'Revenue Tracking'!$H$13:$H$22, "&lt;"&amp;BM1)</f>
        <v>0</v>
      </c>
      <c r="BM3" s="109">
        <f>SUMIFS('Revenue Tracking'!$F$13:$F$22, 'Revenue Tracking'!$H$13:$H$22, "&gt;="&amp;BM1,'Revenue Tracking'!$H$13:$H$22, "&lt;"&amp;BN1)</f>
        <v>0</v>
      </c>
      <c r="BN3" s="109">
        <f>SUMIFS('Revenue Tracking'!$F$13:$F$22, 'Revenue Tracking'!$H$13:$H$22, "&gt;="&amp;BN1,'Revenue Tracking'!$H$13:$H$22, "&lt;"&amp;BO1)</f>
        <v>0</v>
      </c>
      <c r="BO3" s="109">
        <f>SUMIFS('Revenue Tracking'!$F$13:$F$22, 'Revenue Tracking'!$H$13:$H$22, "&gt;="&amp;BO1,'Revenue Tracking'!$H$13:$H$22, "&lt;"&amp;BP1)</f>
        <v>0</v>
      </c>
      <c r="BP3" s="109">
        <f>SUMIFS('Revenue Tracking'!$F$13:$F$22, 'Revenue Tracking'!$H$13:$H$22, "&gt;="&amp;BP1,'Revenue Tracking'!$H$13:$H$22, "&lt;"&amp;BQ1)</f>
        <v>0</v>
      </c>
      <c r="BQ3" s="109">
        <f>SUMIFS('Revenue Tracking'!$F$13:$F$22, 'Revenue Tracking'!$H$13:$H$22, "&gt;="&amp;BQ1,'Revenue Tracking'!$H$13:$H$22, "&lt;"&amp;BR1)</f>
        <v>0</v>
      </c>
      <c r="BR3" s="109">
        <f>SUMIFS('Revenue Tracking'!$F$13:$F$22, 'Revenue Tracking'!$H$13:$H$22, "&gt;="&amp;BR1,'Revenue Tracking'!$H$13:$H$22, "&lt;"&amp;BS1)</f>
        <v>0</v>
      </c>
      <c r="BS3" s="109">
        <f>SUMIFS('Revenue Tracking'!$F$13:$F$22, 'Revenue Tracking'!$H$13:$H$22, "&gt;="&amp;BS1,'Revenue Tracking'!$H$13:$H$22, "&lt;"&amp;BT1)</f>
        <v>0</v>
      </c>
      <c r="BT3" s="109">
        <f>SUMIFS('Revenue Tracking'!$F$13:$F$22, 'Revenue Tracking'!$H$13:$H$22, "&gt;="&amp;BT1,'Revenue Tracking'!$H$13:$H$22, "&lt;"&amp;BU1)</f>
        <v>0</v>
      </c>
      <c r="BU3" s="109">
        <f>SUMIFS('Revenue Tracking'!$F$13:$F$22, 'Revenue Tracking'!$H$13:$H$22, "&gt;="&amp;BU1,'Revenue Tracking'!$H$13:$H$22, "&lt;"&amp;BV1)</f>
        <v>0</v>
      </c>
      <c r="BV3" s="109">
        <f>SUMIFS('Revenue Tracking'!$F$13:$F$22, 'Revenue Tracking'!$H$13:$H$22, "&gt;="&amp;BV1,'Revenue Tracking'!$H$13:$H$22, "&lt;"&amp;BW1)</f>
        <v>0</v>
      </c>
      <c r="BW3" s="109">
        <f>SUMIFS('Revenue Tracking'!$F$13:$F$22, 'Revenue Tracking'!$H$13:$H$22, "&gt;="&amp;BW1,'Revenue Tracking'!$H$13:$H$22, "&lt;"&amp;BX1)</f>
        <v>0</v>
      </c>
      <c r="BX3" s="109">
        <f>SUMIFS('Revenue Tracking'!$F$13:$F$22, 'Revenue Tracking'!$H$13:$H$22, "&gt;="&amp;BX1,'Revenue Tracking'!$H$13:$H$22, "&lt;"&amp;BY1)</f>
        <v>0</v>
      </c>
      <c r="BY3" s="109">
        <f>SUMIFS('Revenue Tracking'!$F$13:$F$22, 'Revenue Tracking'!$H$13:$H$22, "&gt;="&amp;BY1,'Revenue Tracking'!$H$13:$H$22, "&lt;"&amp;BZ1)</f>
        <v>0</v>
      </c>
      <c r="BZ3" s="109">
        <f>SUMIFS('Revenue Tracking'!$F$13:$F$22, 'Revenue Tracking'!$H$13:$H$22, "&gt;="&amp;BZ1,'Revenue Tracking'!$H$13:$H$22, "&lt;"&amp;CA1)</f>
        <v>0</v>
      </c>
      <c r="CA3" s="109">
        <f>SUMIFS('Revenue Tracking'!$F$13:$F$22, 'Revenue Tracking'!$H$13:$H$22, "&gt;="&amp;CA1,'Revenue Tracking'!$H$13:$H$22, "&lt;"&amp;CB1)</f>
        <v>0</v>
      </c>
      <c r="CB3" s="109">
        <f>SUMIFS('Revenue Tracking'!$F$13:$F$22, 'Revenue Tracking'!$H$13:$H$22, "&gt;="&amp;CB1,'Revenue Tracking'!$H$13:$H$22, "&lt;"&amp;CC1)</f>
        <v>0</v>
      </c>
      <c r="CC3" s="109">
        <f>SUMIFS('Revenue Tracking'!$F$13:$F$22, 'Revenue Tracking'!$H$13:$H$22, "&gt;="&amp;CC1,'Revenue Tracking'!$H$13:$H$22, "&lt;"&amp;CD1)</f>
        <v>0</v>
      </c>
      <c r="CD3" s="109">
        <f>SUMIFS('Revenue Tracking'!$F$13:$F$22, 'Revenue Tracking'!$H$13:$H$22, "&gt;="&amp;CD1,'Revenue Tracking'!$H$13:$H$22, "&lt;"&amp;CE1)</f>
        <v>0</v>
      </c>
      <c r="CE3" s="109">
        <f>SUMIFS('Revenue Tracking'!$F$13:$F$22, 'Revenue Tracking'!$H$13:$H$22, "&gt;="&amp;CE1,'Revenue Tracking'!$H$13:$H$22, "&lt;"&amp;CF1)</f>
        <v>0</v>
      </c>
      <c r="CF3" s="109">
        <f>SUMIFS('Revenue Tracking'!$F$13:$F$22, 'Revenue Tracking'!$H$13:$H$22, "&gt;="&amp;CF1,'Revenue Tracking'!$H$13:$H$22, "&lt;"&amp;CG1)</f>
        <v>0</v>
      </c>
      <c r="CG3" s="109">
        <f>SUMIFS('Revenue Tracking'!$F$13:$F$22, 'Revenue Tracking'!$H$13:$H$22, "&gt;="&amp;CG1,'Revenue Tracking'!$H$13:$H$22, "&lt;"&amp;CH1)</f>
        <v>0</v>
      </c>
      <c r="CH3" s="109">
        <f>SUMIFS('Revenue Tracking'!$F$13:$F$22, 'Revenue Tracking'!$H$13:$H$22, "&gt;="&amp;CH1,'Revenue Tracking'!$H$13:$H$22, "&lt;"&amp;CI1)</f>
        <v>0</v>
      </c>
      <c r="CI3" s="109">
        <f>SUMIFS('Revenue Tracking'!$F$13:$F$22, 'Revenue Tracking'!$H$13:$H$22, "&gt;="&amp;CI1,'Revenue Tracking'!$H$13:$H$22, "&lt;"&amp;CJ1)</f>
        <v>0</v>
      </c>
      <c r="CJ3" s="109">
        <f>SUMIFS('Revenue Tracking'!$F$13:$F$22, 'Revenue Tracking'!$H$13:$H$22, "&gt;="&amp;CJ1,'Revenue Tracking'!$H$13:$H$22, "&lt;"&amp;CK1)</f>
        <v>0</v>
      </c>
      <c r="CK3" s="109">
        <f>SUMIFS('Revenue Tracking'!$F$13:$F$22, 'Revenue Tracking'!$H$13:$H$22, "&gt;="&amp;CK1,'Revenue Tracking'!$H$13:$H$22, "&lt;"&amp;CL1)</f>
        <v>0</v>
      </c>
      <c r="CL3" s="109">
        <f>SUMIFS('Revenue Tracking'!$F$13:$F$22, 'Revenue Tracking'!$H$13:$H$22, "&gt;="&amp;CL1,'Revenue Tracking'!$H$13:$H$22, "&lt;"&amp;CM1)</f>
        <v>0</v>
      </c>
      <c r="CM3" s="109">
        <f>SUMIFS('Revenue Tracking'!$F$13:$F$22, 'Revenue Tracking'!$H$13:$H$22, "&gt;="&amp;CM1,'Revenue Tracking'!$H$13:$H$22, "&lt;"&amp;CN1)</f>
        <v>0</v>
      </c>
      <c r="CN3" s="109">
        <f>SUMIFS('Revenue Tracking'!$F$13:$F$22, 'Revenue Tracking'!$H$13:$H$22, "&gt;="&amp;CN1,'Revenue Tracking'!$H$13:$H$22, "&lt;"&amp;CO1)</f>
        <v>0</v>
      </c>
      <c r="CO3" s="109">
        <f>SUMIFS('Revenue Tracking'!$F$13:$F$22, 'Revenue Tracking'!$H$13:$H$22, "&gt;="&amp;CO1,'Revenue Tracking'!$H$13:$H$22, "&lt;"&amp;CP1)</f>
        <v>0</v>
      </c>
      <c r="CP3" s="109">
        <f>SUMIFS('Revenue Tracking'!$F$13:$F$22, 'Revenue Tracking'!$H$13:$H$22, "&gt;="&amp;CP1,'Revenue Tracking'!$H$13:$H$22, "&lt;"&amp;CQ1)</f>
        <v>0</v>
      </c>
      <c r="CQ3" s="109">
        <f>SUMIFS('Revenue Tracking'!$F$13:$F$22, 'Revenue Tracking'!$H$13:$H$22, "&gt;="&amp;CQ1,'Revenue Tracking'!$H$13:$H$22, "&lt;"&amp;CR1)</f>
        <v>0</v>
      </c>
      <c r="CR3" s="109">
        <f>SUMIFS('Revenue Tracking'!$F$13:$F$22, 'Revenue Tracking'!$H$13:$H$22, "&gt;="&amp;CR1,'Revenue Tracking'!$H$13:$H$22, "&lt;"&amp;CS1)</f>
        <v>0</v>
      </c>
      <c r="CS3" s="109">
        <f>SUMIFS('Revenue Tracking'!$F$13:$F$22, 'Revenue Tracking'!$H$13:$H$22, "&gt;="&amp;CS1,'Revenue Tracking'!$H$13:$H$22, "&lt;"&amp;CT1)</f>
        <v>0</v>
      </c>
      <c r="CT3" s="109">
        <f>SUMIFS('Revenue Tracking'!$F$13:$F$22, 'Revenue Tracking'!$H$13:$H$22, "&gt;="&amp;CT1,'Revenue Tracking'!$H$13:$H$22, "&lt;"&amp;CU1)</f>
        <v>0</v>
      </c>
      <c r="CU3" s="109">
        <f>SUMIFS('Revenue Tracking'!$F$13:$F$22, 'Revenue Tracking'!$H$13:$H$22, "&gt;="&amp;CU1,'Revenue Tracking'!$H$13:$H$22, "&lt;"&amp;CV1)</f>
        <v>0</v>
      </c>
      <c r="CV3" s="109">
        <f>SUMIFS('Revenue Tracking'!$F$13:$F$22, 'Revenue Tracking'!$H$13:$H$22, "&gt;="&amp;CV1,'Revenue Tracking'!$H$13:$H$22, "&lt;"&amp;CW1)</f>
        <v>0</v>
      </c>
      <c r="CW3" s="109">
        <f>SUMIFS('Revenue Tracking'!$F$13:$F$22, 'Revenue Tracking'!$H$13:$H$22, "&gt;="&amp;CW1,'Revenue Tracking'!$H$13:$H$22, "&lt;"&amp;CX1)</f>
        <v>0</v>
      </c>
      <c r="CX3" s="109">
        <f>SUMIFS('Revenue Tracking'!$F$13:$F$22, 'Revenue Tracking'!$H$13:$H$22, "&gt;="&amp;CX1,'Revenue Tracking'!$H$13:$H$22, "&lt;"&amp;CY1)</f>
        <v>0</v>
      </c>
      <c r="CY3" s="109">
        <f>SUMIFS('Revenue Tracking'!$F$13:$F$22, 'Revenue Tracking'!$H$13:$H$22, "&gt;="&amp;CY1,'Revenue Tracking'!$H$13:$H$22, "&lt;"&amp;CZ1)</f>
        <v>0</v>
      </c>
      <c r="CZ3" s="109">
        <f>SUMIFS('Revenue Tracking'!$F$13:$F$22, 'Revenue Tracking'!$H$13:$H$22, "&gt;="&amp;CZ1,'Revenue Tracking'!$H$13:$H$22, "&lt;"&amp;DA1)</f>
        <v>0</v>
      </c>
      <c r="DA3" s="109">
        <f>SUMIFS('Revenue Tracking'!$F$13:$F$22, 'Revenue Tracking'!$H$13:$H$22, "&gt;="&amp;DA1,'Revenue Tracking'!$H$13:$H$22, "&lt;"&amp;DB1)</f>
        <v>0</v>
      </c>
      <c r="DB3" s="109">
        <f>SUMIFS('Revenue Tracking'!$F$13:$F$22, 'Revenue Tracking'!$H$13:$H$22, "&gt;="&amp;DB1,'Revenue Tracking'!$H$13:$H$22, "&lt;"&amp;DC1)</f>
        <v>0</v>
      </c>
      <c r="DC3" s="109">
        <f>SUMIFS('Revenue Tracking'!$F$13:$F$22, 'Revenue Tracking'!$H$13:$H$22, "&gt;="&amp;DC1,'Revenue Tracking'!$H$13:$H$22, "&lt;"&amp;DD1)</f>
        <v>0</v>
      </c>
      <c r="DD3" s="109">
        <f>SUMIFS('Revenue Tracking'!$F$13:$F$22, 'Revenue Tracking'!$H$13:$H$22, "&gt;="&amp;DD1,'Revenue Tracking'!$H$13:$H$22, "&lt;"&amp;DE1)</f>
        <v>0</v>
      </c>
      <c r="DE3" s="109">
        <f>SUMIFS('Revenue Tracking'!$F$13:$F$22, 'Revenue Tracking'!$H$13:$H$22, "&gt;="&amp;DE1,'Revenue Tracking'!$H$13:$H$22, "&lt;"&amp;DF1)</f>
        <v>0</v>
      </c>
      <c r="DF3" s="109">
        <f>SUMIFS('Revenue Tracking'!$F$13:$F$22, 'Revenue Tracking'!$H$13:$H$22, "&gt;="&amp;DF1,'Revenue Tracking'!$H$13:$H$22, "&lt;"&amp;DG1)</f>
        <v>0</v>
      </c>
      <c r="DG3" s="109">
        <f>SUMIFS('Revenue Tracking'!$F$13:$F$22, 'Revenue Tracking'!$H$13:$H$22, "&gt;="&amp;DG1,'Revenue Tracking'!$H$13:$H$22, "&lt;"&amp;DH1)</f>
        <v>0</v>
      </c>
      <c r="DH3" s="109">
        <f>SUMIFS('Revenue Tracking'!$F$13:$F$22, 'Revenue Tracking'!$H$13:$H$22, "&gt;="&amp;DH1,'Revenue Tracking'!$H$13:$H$22, "&lt;"&amp;DI1)</f>
        <v>0</v>
      </c>
      <c r="DI3" s="109">
        <f>SUMIFS('Revenue Tracking'!$F$13:$F$22, 'Revenue Tracking'!$H$13:$H$22, "&gt;="&amp;DI1,'Revenue Tracking'!$H$13:$H$22, "&lt;"&amp;DJ1)</f>
        <v>0</v>
      </c>
      <c r="DJ3" s="109">
        <f>SUMIFS('Revenue Tracking'!$F$13:$F$22, 'Revenue Tracking'!$H$13:$H$22, "&gt;="&amp;DJ1,'Revenue Tracking'!$H$13:$H$22, "&lt;"&amp;DK1)</f>
        <v>0</v>
      </c>
      <c r="DK3" s="109">
        <f>SUMIFS('Revenue Tracking'!$F$13:$F$22, 'Revenue Tracking'!$H$13:$H$22, "&gt;="&amp;DK1,'Revenue Tracking'!$H$13:$H$22, "&lt;"&amp;DL1)</f>
        <v>0</v>
      </c>
      <c r="DL3" s="109">
        <f>SUMIFS('Revenue Tracking'!$F$13:$F$22, 'Revenue Tracking'!$H$13:$H$22, "&gt;="&amp;DL1,'Revenue Tracking'!$H$13:$H$22, "&lt;"&amp;DM1)</f>
        <v>0</v>
      </c>
      <c r="DM3" s="109">
        <f>SUMIFS('Revenue Tracking'!$F$13:$F$22, 'Revenue Tracking'!$H$13:$H$22, "&gt;="&amp;DM1,'Revenue Tracking'!$H$13:$H$22, "&lt;"&amp;DN1)</f>
        <v>0</v>
      </c>
      <c r="DN3" s="109">
        <f>SUMIFS('Revenue Tracking'!$F$13:$F$22, 'Revenue Tracking'!$H$13:$H$22, "&gt;="&amp;DN1,'Revenue Tracking'!$H$13:$H$22, "&lt;"&amp;DO1)</f>
        <v>0</v>
      </c>
      <c r="DO3" s="109">
        <f>SUMIFS('Revenue Tracking'!$F$13:$F$22, 'Revenue Tracking'!$H$13:$H$22, "&gt;="&amp;DO1,'Revenue Tracking'!$H$13:$H$22, "&lt;"&amp;DP1)</f>
        <v>0</v>
      </c>
      <c r="DP3" s="109">
        <f>SUMIFS('Revenue Tracking'!$F$13:$F$22, 'Revenue Tracking'!$H$13:$H$22, "&gt;="&amp;DP1,'Revenue Tracking'!$H$13:$H$22, "&lt;"&amp;DQ1)</f>
        <v>0</v>
      </c>
      <c r="DQ3" s="109">
        <f>SUMIFS('Revenue Tracking'!$F$13:$F$22, 'Revenue Tracking'!$H$13:$H$22, "&gt;="&amp;DQ1,'Revenue Tracking'!$H$13:$H$22, "&lt;"&amp;DR1)</f>
        <v>0</v>
      </c>
      <c r="DR3" s="109">
        <f>SUMIFS('Revenue Tracking'!$F$13:$F$22, 'Revenue Tracking'!$H$13:$H$22, "&gt;="&amp;DR1,'Revenue Tracking'!$H$13:$H$22, "&lt;"&amp;DS1)</f>
        <v>0</v>
      </c>
      <c r="DS3" s="109">
        <f>SUMIFS('Revenue Tracking'!$F$13:$F$22, 'Revenue Tracking'!$H$13:$H$22, "&gt;="&amp;DS1,'Revenue Tracking'!$H$13:$H$22, "&lt;"&amp;DT1)</f>
        <v>0</v>
      </c>
      <c r="DT3" s="109">
        <f>SUMIFS('Revenue Tracking'!$F$13:$F$22, 'Revenue Tracking'!$H$13:$H$22, "&gt;="&amp;DT1,'Revenue Tracking'!$H$13:$H$22, "&lt;"&amp;DU1)</f>
        <v>0</v>
      </c>
      <c r="DU3" s="109">
        <f>SUMIFS('Revenue Tracking'!$F$13:$F$22, 'Revenue Tracking'!$H$13:$H$22, "&gt;="&amp;DU1,'Revenue Tracking'!$H$13:$H$22, "&lt;"&amp;DV1)</f>
        <v>0</v>
      </c>
      <c r="DV3" s="109">
        <f>SUMIFS('Revenue Tracking'!$F$13:$F$22, 'Revenue Tracking'!$H$13:$H$22, "&gt;="&amp;DV1,'Revenue Tracking'!$H$13:$H$22, "&lt;"&amp;DW1)</f>
        <v>0</v>
      </c>
      <c r="DW3" s="109">
        <f>SUMIFS('Revenue Tracking'!$F$13:$F$22, 'Revenue Tracking'!$H$13:$H$22, "&gt;="&amp;DW1,'Revenue Tracking'!$H$13:$H$22, "&lt;"&amp;DX1)</f>
        <v>0</v>
      </c>
      <c r="DX3" s="109">
        <f>SUMIFS('Revenue Tracking'!$F$13:$F$22, 'Revenue Tracking'!$H$13:$H$22, "&gt;="&amp;DX1,'Revenue Tracking'!$H$13:$H$22, "&lt;"&amp;DY1)</f>
        <v>0</v>
      </c>
      <c r="DY3" s="109">
        <f>SUMIFS('Revenue Tracking'!$F$13:$F$22, 'Revenue Tracking'!$H$13:$H$22, "&gt;="&amp;DY1,'Revenue Tracking'!$H$13:$H$22, "&lt;"&amp;DZ1)</f>
        <v>0</v>
      </c>
      <c r="DZ3" s="109">
        <f>SUMIFS('Revenue Tracking'!$F$13:$F$22, 'Revenue Tracking'!$H$13:$H$22, "&gt;="&amp;DZ1,'Revenue Tracking'!$H$13:$H$22, "&lt;"&amp;EA1)</f>
        <v>0</v>
      </c>
      <c r="EA3" s="109">
        <f>SUMIFS('Revenue Tracking'!$F$13:$F$22, 'Revenue Tracking'!$H$13:$H$22, "&gt;="&amp;EA1,'Revenue Tracking'!$H$13:$H$22, "&lt;"&amp;EB1)</f>
        <v>0</v>
      </c>
      <c r="EB3" s="109">
        <f>SUMIFS('Revenue Tracking'!$F$13:$F$22, 'Revenue Tracking'!$H$13:$H$22, "&gt;="&amp;EB1,'Revenue Tracking'!$H$13:$H$22, "&lt;"&amp;EC1)</f>
        <v>0</v>
      </c>
      <c r="EC3" s="109">
        <f>SUMIFS('Revenue Tracking'!$F$13:$F$22, 'Revenue Tracking'!$H$13:$H$22, "&gt;="&amp;EC1,'Revenue Tracking'!$H$13:$H$22, "&lt;"&amp;ED1)</f>
        <v>0</v>
      </c>
      <c r="ED3" s="109">
        <f>SUMIFS('Revenue Tracking'!$F$13:$F$22, 'Revenue Tracking'!$H$13:$H$22, "&gt;="&amp;ED1,'Revenue Tracking'!$H$13:$H$22, "&lt;"&amp;EE1)</f>
        <v>0</v>
      </c>
      <c r="EE3" s="109">
        <f>SUMIFS('Revenue Tracking'!$F$13:$F$22, 'Revenue Tracking'!$H$13:$H$22, "&gt;="&amp;EE1,'Revenue Tracking'!$H$13:$H$22, "&lt;"&amp;EF1)</f>
        <v>0</v>
      </c>
      <c r="EF3" s="109">
        <f>SUMIFS('Revenue Tracking'!$F$13:$F$22, 'Revenue Tracking'!$H$13:$H$22, "&gt;="&amp;EF1,'Revenue Tracking'!$H$13:$H$22, "&lt;"&amp;EG1)</f>
        <v>0</v>
      </c>
      <c r="EG3" s="109">
        <f>SUMIFS('Revenue Tracking'!$F$13:$F$22, 'Revenue Tracking'!$H$13:$H$22, "&gt;="&amp;EG1,'Revenue Tracking'!$H$13:$H$22, "&lt;"&amp;EH1)</f>
        <v>0</v>
      </c>
      <c r="EH3" s="109">
        <f>SUMIFS('Revenue Tracking'!$F$13:$F$22, 'Revenue Tracking'!$H$13:$H$22, "&gt;="&amp;EH1,'Revenue Tracking'!$H$13:$H$22, "&lt;"&amp;EI1)</f>
        <v>0</v>
      </c>
      <c r="EI3" s="109">
        <f>SUMIFS('Revenue Tracking'!$F$13:$F$22, 'Revenue Tracking'!$H$13:$H$22, "&gt;="&amp;EI1,'Revenue Tracking'!$H$13:$H$22, "&lt;"&amp;EJ1)</f>
        <v>0</v>
      </c>
      <c r="EJ3" s="109">
        <f>SUMIFS('Revenue Tracking'!$F$13:$F$22, 'Revenue Tracking'!$H$13:$H$22, "&gt;="&amp;EJ1,'Revenue Tracking'!$H$13:$H$22, "&lt;"&amp;EK1)</f>
        <v>0</v>
      </c>
      <c r="EK3" s="109">
        <f>SUMIFS('Revenue Tracking'!$F$13:$F$22, 'Revenue Tracking'!$H$13:$H$22, "&gt;="&amp;EK1,'Revenue Tracking'!$H$13:$H$22, "&lt;"&amp;EL1)</f>
        <v>0</v>
      </c>
      <c r="EL3" s="109">
        <f>SUMIFS('Revenue Tracking'!$F$13:$F$22, 'Revenue Tracking'!$H$13:$H$22, "&gt;="&amp;EL1,'Revenue Tracking'!$H$13:$H$22, "&lt;"&amp;EM1)</f>
        <v>0</v>
      </c>
      <c r="EM3" s="109">
        <f>SUMIFS('Revenue Tracking'!$F$13:$F$22, 'Revenue Tracking'!$H$13:$H$22, "&gt;="&amp;EM1,'Revenue Tracking'!$H$13:$H$22, "&lt;"&amp;EN1)</f>
        <v>0</v>
      </c>
      <c r="EN3" s="109">
        <f>SUMIFS('Revenue Tracking'!$F$13:$F$22, 'Revenue Tracking'!$H$13:$H$22, "&gt;="&amp;EN1,'Revenue Tracking'!$H$13:$H$22, "&lt;"&amp;EO1)</f>
        <v>0</v>
      </c>
      <c r="EO3" s="109">
        <f>SUMIFS('Revenue Tracking'!$F$13:$F$22, 'Revenue Tracking'!$H$13:$H$22, "&gt;="&amp;EO1,'Revenue Tracking'!$H$13:$H$22, "&lt;"&amp;EP1)</f>
        <v>0</v>
      </c>
      <c r="EP3" s="109">
        <f>SUMIFS('Revenue Tracking'!$F$13:$F$22, 'Revenue Tracking'!$H$13:$H$22, "&gt;="&amp;EP1,'Revenue Tracking'!$H$13:$H$22, "&lt;"&amp;EQ1)</f>
        <v>0</v>
      </c>
      <c r="EQ3" s="109">
        <f>SUMIFS('Revenue Tracking'!$F$13:$F$22, 'Revenue Tracking'!$H$13:$H$22, "&gt;="&amp;EQ1,'Revenue Tracking'!$H$13:$H$22, "&lt;"&amp;ER1)</f>
        <v>0</v>
      </c>
      <c r="ER3" s="109">
        <f>SUMIFS('Revenue Tracking'!$F$13:$F$22, 'Revenue Tracking'!$H$13:$H$22, "&gt;="&amp;ER1,'Revenue Tracking'!$H$13:$H$22, "&lt;"&amp;ES1)</f>
        <v>0</v>
      </c>
      <c r="ES3" s="109">
        <f>SUMIFS('Revenue Tracking'!$F$13:$F$22, 'Revenue Tracking'!$H$13:$H$22, "&gt;="&amp;ES1,'Revenue Tracking'!$H$13:$H$22, "&lt;"&amp;ET1)</f>
        <v>0</v>
      </c>
      <c r="ET3" s="109">
        <f>SUMIFS('Revenue Tracking'!$F$13:$F$22, 'Revenue Tracking'!$H$13:$H$22, "&gt;="&amp;ET1,'Revenue Tracking'!$H$13:$H$22, "&lt;"&amp;EU1)</f>
        <v>0</v>
      </c>
      <c r="EU3" s="109">
        <f>SUMIFS('Revenue Tracking'!$F$13:$F$22, 'Revenue Tracking'!$H$13:$H$22, "&gt;="&amp;EU1,'Revenue Tracking'!$H$13:$H$22, "&lt;"&amp;EV1)</f>
        <v>0</v>
      </c>
      <c r="EV3" s="109">
        <f>SUMIFS('Revenue Tracking'!$F$13:$F$22, 'Revenue Tracking'!$H$13:$H$22, "&gt;="&amp;EV1,'Revenue Tracking'!$H$13:$H$22, "&lt;"&amp;EW1)</f>
        <v>0</v>
      </c>
      <c r="EW3" s="109">
        <f>SUMIFS('Revenue Tracking'!$F$13:$F$22, 'Revenue Tracking'!$H$13:$H$22, "&gt;="&amp;EW1,'Revenue Tracking'!$H$13:$H$22, "&lt;"&amp;EX1)</f>
        <v>0</v>
      </c>
      <c r="EX3" s="109">
        <f>SUMIFS('Revenue Tracking'!$F$13:$F$22, 'Revenue Tracking'!$H$13:$H$22, "&gt;="&amp;EX1,'Revenue Tracking'!$H$13:$H$22, "&lt;"&amp;EY1)</f>
        <v>0</v>
      </c>
      <c r="EY3" s="109">
        <f>SUMIFS('Revenue Tracking'!$F$13:$F$22, 'Revenue Tracking'!$H$13:$H$22, "&gt;="&amp;EY1,'Revenue Tracking'!$H$13:$H$22, "&lt;"&amp;EZ1)</f>
        <v>0</v>
      </c>
      <c r="EZ3" s="109">
        <f>SUMIFS('Revenue Tracking'!$F$13:$F$22, 'Revenue Tracking'!$H$13:$H$22, "&gt;="&amp;EZ1,'Revenue Tracking'!$H$13:$H$22, "&lt;"&amp;FA1)</f>
        <v>0</v>
      </c>
      <c r="FA3" s="109">
        <f>SUMIFS('Revenue Tracking'!$F$13:$F$22, 'Revenue Tracking'!$H$13:$H$22, "&gt;="&amp;FA1,'Revenue Tracking'!$H$13:$H$22, "&lt;"&amp;FB1)</f>
        <v>0</v>
      </c>
      <c r="FB3" s="109">
        <f>SUMIFS('Revenue Tracking'!$F$13:$F$22, 'Revenue Tracking'!$H$13:$H$22, "&gt;="&amp;FB1,'Revenue Tracking'!$H$13:$H$22, "&lt;"&amp;FC1)</f>
        <v>0</v>
      </c>
      <c r="FC3" s="109">
        <f>SUMIFS('Revenue Tracking'!$F$13:$F$22, 'Revenue Tracking'!$H$13:$H$22, "&gt;="&amp;FC1,'Revenue Tracking'!$H$13:$H$22, "&lt;"&amp;FD1)</f>
        <v>0</v>
      </c>
      <c r="FD3" s="109">
        <f>SUMIFS('Revenue Tracking'!$F$13:$F$22, 'Revenue Tracking'!$H$13:$H$22, "&gt;="&amp;FD1,'Revenue Tracking'!$H$13:$H$22, "&lt;"&amp;FE1)</f>
        <v>0</v>
      </c>
      <c r="FE3" s="109">
        <f>SUMIFS('Revenue Tracking'!$F$13:$F$22, 'Revenue Tracking'!$H$13:$H$22, "&gt;="&amp;FE1,'Revenue Tracking'!$H$13:$H$22, "&lt;"&amp;FF1)</f>
        <v>0</v>
      </c>
      <c r="FF3" s="109">
        <f>SUMIFS('Revenue Tracking'!$F$13:$F$22, 'Revenue Tracking'!$H$13:$H$22, "&gt;="&amp;FF1,'Revenue Tracking'!$H$13:$H$22, "&lt;"&amp;FG1)</f>
        <v>0</v>
      </c>
      <c r="FG3" s="109">
        <f>SUMIFS('Revenue Tracking'!$F$13:$F$22, 'Revenue Tracking'!$H$13:$H$22, "&gt;="&amp;FG1,'Revenue Tracking'!$H$13:$H$22, "&lt;"&amp;FH1)</f>
        <v>0</v>
      </c>
      <c r="FH3" s="109">
        <f>SUMIFS('Revenue Tracking'!$F$13:$F$22, 'Revenue Tracking'!$H$13:$H$22, "&gt;="&amp;FH1,'Revenue Tracking'!$H$13:$H$22, "&lt;"&amp;FI1)</f>
        <v>0</v>
      </c>
      <c r="FI3" s="109">
        <f>SUMIFS('Revenue Tracking'!$F$13:$F$22, 'Revenue Tracking'!$H$13:$H$22, "&gt;="&amp;FI1,'Revenue Tracking'!$H$13:$H$22, "&lt;"&amp;FJ1)</f>
        <v>0</v>
      </c>
      <c r="FJ3" s="109">
        <f>SUMIFS('Revenue Tracking'!$F$13:$F$22, 'Revenue Tracking'!$H$13:$H$22, "&gt;="&amp;FJ1,'Revenue Tracking'!$H$13:$H$22, "&lt;"&amp;FK1)</f>
        <v>0</v>
      </c>
      <c r="FK3" s="109">
        <f>SUMIFS('Revenue Tracking'!$F$13:$F$22, 'Revenue Tracking'!$H$13:$H$22, "&gt;="&amp;FK1,'Revenue Tracking'!$H$13:$H$22, "&lt;"&amp;FL1)</f>
        <v>0</v>
      </c>
      <c r="FL3" s="109">
        <f>SUMIFS('Revenue Tracking'!$F$13:$F$22, 'Revenue Tracking'!$H$13:$H$22, "&gt;="&amp;FL1,'Revenue Tracking'!$H$13:$H$22, "&lt;"&amp;FM1)</f>
        <v>0</v>
      </c>
      <c r="FM3" s="109">
        <f>SUMIFS('Revenue Tracking'!$F$13:$F$22, 'Revenue Tracking'!$H$13:$H$22, "&gt;="&amp;FM1,'Revenue Tracking'!$H$13:$H$22, "&lt;"&amp;FN1)</f>
        <v>0</v>
      </c>
      <c r="FN3" s="109">
        <f>SUMIFS('Revenue Tracking'!$F$13:$F$22, 'Revenue Tracking'!$H$13:$H$22, "&gt;="&amp;FN1,'Revenue Tracking'!$H$13:$H$22, "&lt;"&amp;FO1)</f>
        <v>0</v>
      </c>
      <c r="FO3" s="109">
        <f>SUMIFS('Revenue Tracking'!$F$13:$F$22, 'Revenue Tracking'!$H$13:$H$22, "&gt;="&amp;FO1,'Revenue Tracking'!$H$13:$H$22, "&lt;"&amp;FP1)</f>
        <v>0</v>
      </c>
      <c r="FP3" s="109">
        <f>SUMIFS('Revenue Tracking'!$F$13:$F$22, 'Revenue Tracking'!$H$13:$H$22, "&gt;="&amp;FP1,'Revenue Tracking'!$H$13:$H$22, "&lt;"&amp;FQ1)</f>
        <v>0</v>
      </c>
      <c r="FQ3" s="109">
        <f>SUMIFS('Revenue Tracking'!$F$13:$F$22, 'Revenue Tracking'!$H$13:$H$22, "&gt;="&amp;FQ1,'Revenue Tracking'!$H$13:$H$22, "&lt;"&amp;FR1)</f>
        <v>0</v>
      </c>
      <c r="FR3" s="109">
        <f>SUMIFS('Revenue Tracking'!$F$13:$F$22, 'Revenue Tracking'!$H$13:$H$22, "&gt;="&amp;FR1,'Revenue Tracking'!$H$13:$H$22, "&lt;"&amp;FS1)</f>
        <v>0</v>
      </c>
      <c r="FS3" s="109">
        <f>SUMIFS('Revenue Tracking'!$F$13:$F$22, 'Revenue Tracking'!$H$13:$H$22, "&gt;="&amp;FS1,'Revenue Tracking'!$H$13:$H$22, "&lt;"&amp;FT1)</f>
        <v>0</v>
      </c>
      <c r="FT3" s="109">
        <f>SUMIFS('Revenue Tracking'!$F$13:$F$22, 'Revenue Tracking'!$H$13:$H$22, "&gt;="&amp;FT1,'Revenue Tracking'!$H$13:$H$22, "&lt;"&amp;FU1)</f>
        <v>0</v>
      </c>
      <c r="FU3" s="109">
        <f>SUMIFS('Revenue Tracking'!$F$13:$F$22, 'Revenue Tracking'!$H$13:$H$22, "&gt;="&amp;FU1,'Revenue Tracking'!$H$13:$H$22, "&lt;"&amp;FV1)</f>
        <v>0</v>
      </c>
      <c r="FV3" s="109">
        <f>SUMIFS('Revenue Tracking'!$F$13:$F$22, 'Revenue Tracking'!$H$13:$H$22, "&gt;="&amp;FV1,'Revenue Tracking'!$H$13:$H$22, "&lt;"&amp;FW1)</f>
        <v>0</v>
      </c>
      <c r="FW3" s="109">
        <f>SUMIFS('Revenue Tracking'!$F$13:$F$22, 'Revenue Tracking'!$H$13:$H$22, "&gt;="&amp;FW1,'Revenue Tracking'!$H$13:$H$22, "&lt;"&amp;FX1)</f>
        <v>0</v>
      </c>
      <c r="FX3" s="109">
        <f>SUMIFS('Revenue Tracking'!$F$13:$F$22, 'Revenue Tracking'!$H$13:$H$22, "&gt;="&amp;FX1,'Revenue Tracking'!$H$13:$H$22, "&lt;"&amp;FY1)</f>
        <v>0</v>
      </c>
      <c r="FY3" s="109">
        <f>SUMIFS('Revenue Tracking'!$F$13:$F$22, 'Revenue Tracking'!$H$13:$H$22, "&gt;="&amp;FY1,'Revenue Tracking'!$H$13:$H$22, "&lt;"&amp;FZ1)</f>
        <v>0</v>
      </c>
      <c r="FZ3" s="109">
        <f>SUMIFS('Revenue Tracking'!$F$13:$F$22, 'Revenue Tracking'!$H$13:$H$22, "&gt;="&amp;FZ1,'Revenue Tracking'!$H$13:$H$22, "&lt;"&amp;GA1)</f>
        <v>0</v>
      </c>
      <c r="GA3" s="109">
        <f>SUMIFS('Revenue Tracking'!$F$13:$F$22, 'Revenue Tracking'!$H$13:$H$22, "&gt;="&amp;GA1,'Revenue Tracking'!$H$13:$H$22, "&lt;"&amp;GB1)</f>
        <v>0</v>
      </c>
      <c r="GB3" s="109">
        <f>SUMIFS('Revenue Tracking'!$F$13:$F$22, 'Revenue Tracking'!$H$13:$H$22, "&gt;="&amp;GB1,'Revenue Tracking'!$H$13:$H$22, "&lt;"&amp;GC1)</f>
        <v>0</v>
      </c>
      <c r="GC3" s="109">
        <f>SUMIFS('Revenue Tracking'!$F$13:$F$22, 'Revenue Tracking'!$H$13:$H$22, "&gt;="&amp;GC1,'Revenue Tracking'!$H$13:$H$22, "&lt;"&amp;GD1)</f>
        <v>0</v>
      </c>
      <c r="GD3" s="109">
        <f>SUMIFS('Revenue Tracking'!$F$13:$F$22, 'Revenue Tracking'!$H$13:$H$22, "&gt;="&amp;GD1,'Revenue Tracking'!$H$13:$H$22, "&lt;"&amp;GE1)</f>
        <v>0</v>
      </c>
      <c r="GE3" s="109">
        <f>SUMIFS('Revenue Tracking'!$F$13:$F$22, 'Revenue Tracking'!$H$13:$H$22, "&gt;="&amp;GE1,'Revenue Tracking'!$H$13:$H$22, "&lt;"&amp;GF1)</f>
        <v>0</v>
      </c>
      <c r="GF3" s="109">
        <f>SUMIFS('Revenue Tracking'!$F$13:$F$22, 'Revenue Tracking'!$H$13:$H$22, "&gt;="&amp;GF1,'Revenue Tracking'!$H$13:$H$22, "&lt;"&amp;GG1)</f>
        <v>0</v>
      </c>
      <c r="GG3" s="109">
        <f>SUMIFS('Revenue Tracking'!$F$13:$F$22, 'Revenue Tracking'!$H$13:$H$22, "&gt;="&amp;GG1,'Revenue Tracking'!$H$13:$H$22, "&lt;"&amp;GH1)</f>
        <v>0</v>
      </c>
      <c r="GH3" s="109">
        <f>SUMIFS('Revenue Tracking'!$F$13:$F$22, 'Revenue Tracking'!$H$13:$H$22, "&gt;="&amp;GH1,'Revenue Tracking'!$H$13:$H$22, "&lt;"&amp;GI1)</f>
        <v>0</v>
      </c>
      <c r="GI3" s="109">
        <f>SUMIFS('Revenue Tracking'!$F$13:$F$22, 'Revenue Tracking'!$H$13:$H$22, "&gt;="&amp;GI1,'Revenue Tracking'!$H$13:$H$22, "&lt;"&amp;GJ1)</f>
        <v>0</v>
      </c>
      <c r="GJ3" s="109">
        <f>SUMIFS('Revenue Tracking'!$F$13:$F$22, 'Revenue Tracking'!$H$13:$H$22, "&gt;="&amp;GJ1,'Revenue Tracking'!$H$13:$H$22, "&lt;"&amp;GK1)</f>
        <v>0</v>
      </c>
      <c r="GK3" s="109">
        <f>SUMIFS('Revenue Tracking'!$F$13:$F$22, 'Revenue Tracking'!$H$13:$H$22, "&gt;="&amp;GK1,'Revenue Tracking'!$H$13:$H$22, "&lt;"&amp;GL1)</f>
        <v>0</v>
      </c>
      <c r="GL3" s="109">
        <f>SUMIFS('Revenue Tracking'!$F$13:$F$22, 'Revenue Tracking'!$H$13:$H$22, "&gt;="&amp;GL1,'Revenue Tracking'!$H$13:$H$22, "&lt;"&amp;GM1)</f>
        <v>0</v>
      </c>
      <c r="GM3" s="109">
        <f>SUMIFS('Revenue Tracking'!$F$13:$F$22, 'Revenue Tracking'!$H$13:$H$22, "&gt;="&amp;GM1,'Revenue Tracking'!$H$13:$H$22, "&lt;"&amp;GN1)</f>
        <v>0</v>
      </c>
      <c r="GN3" s="109">
        <f>SUMIFS('Revenue Tracking'!$F$13:$F$22, 'Revenue Tracking'!$H$13:$H$22, "&gt;="&amp;GN1,'Revenue Tracking'!$H$13:$H$22, "&lt;"&amp;GO1)</f>
        <v>0</v>
      </c>
      <c r="GO3" s="109">
        <f>SUMIFS('Revenue Tracking'!$F$13:$F$22, 'Revenue Tracking'!$H$13:$H$22, "&gt;="&amp;GO1,'Revenue Tracking'!$H$13:$H$22, "&lt;"&amp;GP1)</f>
        <v>0</v>
      </c>
      <c r="GP3" s="109">
        <f>SUMIFS('Revenue Tracking'!$F$13:$F$22, 'Revenue Tracking'!$H$13:$H$22, "&gt;="&amp;GP1,'Revenue Tracking'!$H$13:$H$22, "&lt;"&amp;GQ1)</f>
        <v>0</v>
      </c>
      <c r="GQ3" s="109">
        <f>SUMIFS('Revenue Tracking'!$F$13:$F$22, 'Revenue Tracking'!$H$13:$H$22, "&gt;="&amp;GQ1,'Revenue Tracking'!$H$13:$H$22, "&lt;"&amp;GR1)</f>
        <v>0</v>
      </c>
      <c r="GR3" s="109">
        <f>SUMIFS('Revenue Tracking'!$F$13:$F$22, 'Revenue Tracking'!$H$13:$H$22, "&gt;="&amp;GR1,'Revenue Tracking'!$H$13:$H$22, "&lt;"&amp;GS1)</f>
        <v>0</v>
      </c>
      <c r="GS3" s="109">
        <f>SUMIFS('Revenue Tracking'!$F$13:$F$22, 'Revenue Tracking'!$H$13:$H$22, "&gt;="&amp;GS1,'Revenue Tracking'!$H$13:$H$22, "&lt;"&amp;GT1)</f>
        <v>0</v>
      </c>
      <c r="GT3" s="109">
        <f>SUMIFS('Revenue Tracking'!$F$13:$F$22, 'Revenue Tracking'!$H$13:$H$22, "&gt;="&amp;GT1,'Revenue Tracking'!$H$13:$H$22, "&lt;"&amp;GU1)</f>
        <v>0</v>
      </c>
      <c r="GU3" s="109">
        <f>SUMIFS('Revenue Tracking'!$F$13:$F$22, 'Revenue Tracking'!$H$13:$H$22, "&gt;="&amp;GU1,'Revenue Tracking'!$H$13:$H$22, "&lt;"&amp;GV1)</f>
        <v>0</v>
      </c>
      <c r="GV3" s="109">
        <f>SUMIFS('Revenue Tracking'!$F$13:$F$22, 'Revenue Tracking'!$H$13:$H$22, "&gt;="&amp;GV1,'Revenue Tracking'!$H$13:$H$22, "&lt;"&amp;GW1)</f>
        <v>0</v>
      </c>
      <c r="GW3" s="109">
        <f>SUMIFS('Revenue Tracking'!$F$13:$F$22, 'Revenue Tracking'!$H$13:$H$22, "&gt;="&amp;GW1,'Revenue Tracking'!$H$13:$H$22, "&lt;"&amp;GX1)</f>
        <v>0</v>
      </c>
      <c r="GX3" s="109">
        <f>SUMIFS('Revenue Tracking'!$F$13:$F$22, 'Revenue Tracking'!$H$13:$H$22, "&gt;="&amp;GX1,'Revenue Tracking'!$H$13:$H$22, "&lt;"&amp;GY1)</f>
        <v>0</v>
      </c>
      <c r="GY3" s="109">
        <f>SUMIFS('Revenue Tracking'!$F$13:$F$22, 'Revenue Tracking'!$H$13:$H$22, "&gt;="&amp;GY1,'Revenue Tracking'!$H$13:$H$22, "&lt;"&amp;GZ1)</f>
        <v>0</v>
      </c>
      <c r="GZ3" s="109">
        <f>SUMIFS('Revenue Tracking'!$F$13:$F$22, 'Revenue Tracking'!$H$13:$H$22, "&gt;="&amp;GZ1,'Revenue Tracking'!$H$13:$H$22, "&lt;"&amp;HA1)</f>
        <v>0</v>
      </c>
      <c r="HA3" s="109">
        <f>SUMIFS('Revenue Tracking'!$F$13:$F$22, 'Revenue Tracking'!$H$13:$H$22, "&gt;="&amp;HA1,'Revenue Tracking'!$H$13:$H$22, "&lt;"&amp;HB1)</f>
        <v>0</v>
      </c>
      <c r="HB3" s="109">
        <f>SUMIFS('Revenue Tracking'!$F$13:$F$22, 'Revenue Tracking'!$H$13:$H$22, "&gt;="&amp;HB1,'Revenue Tracking'!$H$13:$H$22, "&lt;"&amp;HC1)</f>
        <v>0</v>
      </c>
      <c r="HC3" s="109">
        <f>SUMIFS('Revenue Tracking'!$F$13:$F$22, 'Revenue Tracking'!$H$13:$H$22, "&gt;="&amp;HC1,'Revenue Tracking'!$H$13:$H$22, "&lt;"&amp;HD1)</f>
        <v>0</v>
      </c>
      <c r="HD3" s="109">
        <f>SUMIFS('Revenue Tracking'!$F$13:$F$22, 'Revenue Tracking'!$H$13:$H$22, "&gt;="&amp;HD1,'Revenue Tracking'!$H$13:$H$22, "&lt;"&amp;HE1)</f>
        <v>0</v>
      </c>
      <c r="HE3" s="109">
        <f>SUMIFS('Revenue Tracking'!$F$13:$F$22, 'Revenue Tracking'!$H$13:$H$22, "&gt;="&amp;HE1,'Revenue Tracking'!$H$13:$H$22, "&lt;"&amp;HF1)</f>
        <v>0</v>
      </c>
      <c r="HF3" s="109">
        <f>SUMIFS('Revenue Tracking'!$F$13:$F$22, 'Revenue Tracking'!$H$13:$H$22, "&gt;="&amp;HF1,'Revenue Tracking'!$H$13:$H$22, "&lt;"&amp;HG1)</f>
        <v>0</v>
      </c>
      <c r="HG3" s="109">
        <f>SUMIFS('Revenue Tracking'!$F$13:$F$22, 'Revenue Tracking'!$H$13:$H$22, "&gt;="&amp;HG1,'Revenue Tracking'!$H$13:$H$22, "&lt;"&amp;HH1)</f>
        <v>0</v>
      </c>
      <c r="HH3" s="109">
        <f>SUMIFS('Revenue Tracking'!$F$13:$F$22, 'Revenue Tracking'!$H$13:$H$22, "&gt;="&amp;HH1,'Revenue Tracking'!$H$13:$H$22, "&lt;"&amp;HI1)</f>
        <v>0</v>
      </c>
      <c r="HI3" s="109">
        <f>SUMIFS('Revenue Tracking'!$F$13:$F$22, 'Revenue Tracking'!$H$13:$H$22, "&gt;="&amp;HI1,'Revenue Tracking'!$H$13:$H$22, "&lt;"&amp;HJ1)</f>
        <v>0</v>
      </c>
      <c r="HJ3" s="109">
        <f>SUMIFS('Revenue Tracking'!$F$13:$F$22, 'Revenue Tracking'!$H$13:$H$22, "&gt;="&amp;HJ1,'Revenue Tracking'!$H$13:$H$22, "&lt;"&amp;HK1)</f>
        <v>0</v>
      </c>
      <c r="HK3" s="109">
        <f>SUMIFS('Revenue Tracking'!$F$13:$F$22, 'Revenue Tracking'!$H$13:$H$22, "&gt;="&amp;HK1,'Revenue Tracking'!$H$13:$H$22, "&lt;"&amp;HL1)</f>
        <v>0</v>
      </c>
      <c r="HL3" s="109">
        <f>SUMIFS('Revenue Tracking'!$F$13:$F$22, 'Revenue Tracking'!$H$13:$H$22, "&gt;="&amp;HL1,'Revenue Tracking'!$H$13:$H$22, "&lt;"&amp;HM1)</f>
        <v>0</v>
      </c>
      <c r="HM3" s="109">
        <f>SUMIFS('Revenue Tracking'!$F$13:$F$22, 'Revenue Tracking'!$H$13:$H$22, "&gt;="&amp;HM1,'Revenue Tracking'!$H$13:$H$22, "&lt;"&amp;HN1)</f>
        <v>0</v>
      </c>
      <c r="HN3" s="109">
        <f>SUMIFS('Revenue Tracking'!$F$13:$F$22, 'Revenue Tracking'!$H$13:$H$22, "&gt;="&amp;HN1,'Revenue Tracking'!$H$13:$H$22, "&lt;"&amp;HO1)</f>
        <v>0</v>
      </c>
      <c r="HO3" s="109">
        <f>SUMIFS('Revenue Tracking'!$F$13:$F$22, 'Revenue Tracking'!$H$13:$H$22, "&gt;="&amp;HO1,'Revenue Tracking'!$H$13:$H$22, "&lt;"&amp;HP1)</f>
        <v>0</v>
      </c>
      <c r="HP3" s="109">
        <f>SUMIFS('Revenue Tracking'!$F$13:$F$22, 'Revenue Tracking'!$H$13:$H$22, "&gt;="&amp;HP1,'Revenue Tracking'!$H$13:$H$22, "&lt;"&amp;HQ1)</f>
        <v>0</v>
      </c>
      <c r="HQ3" s="109">
        <f>SUMIFS('Revenue Tracking'!$F$13:$F$22, 'Revenue Tracking'!$H$13:$H$22, "&gt;="&amp;HQ1,'Revenue Tracking'!$H$13:$H$22, "&lt;"&amp;HR1)</f>
        <v>0</v>
      </c>
      <c r="HR3" s="109">
        <f>SUMIFS('Revenue Tracking'!$F$13:$F$22, 'Revenue Tracking'!$H$13:$H$22, "&gt;="&amp;HR1,'Revenue Tracking'!$H$13:$H$22, "&lt;"&amp;HS1)</f>
        <v>0</v>
      </c>
      <c r="HS3" s="109">
        <f>SUMIFS('Revenue Tracking'!$F$13:$F$22, 'Revenue Tracking'!$H$13:$H$22, "&gt;="&amp;HS1,'Revenue Tracking'!$H$13:$H$22, "&lt;"&amp;HT1)</f>
        <v>0</v>
      </c>
      <c r="HT3" s="109">
        <f>SUMIFS('Revenue Tracking'!$F$13:$F$22, 'Revenue Tracking'!$H$13:$H$22, "&gt;="&amp;HT1,'Revenue Tracking'!$H$13:$H$22, "&lt;"&amp;HU1)</f>
        <v>0</v>
      </c>
      <c r="HU3" s="109">
        <f>SUMIFS('Revenue Tracking'!$F$13:$F$22, 'Revenue Tracking'!$H$13:$H$22, "&gt;="&amp;HU1,'Revenue Tracking'!$H$13:$H$22, "&lt;"&amp;HV1)</f>
        <v>0</v>
      </c>
      <c r="HV3" s="109">
        <f>SUMIFS('Revenue Tracking'!$F$13:$F$22, 'Revenue Tracking'!$H$13:$H$22, "&gt;="&amp;HV1,'Revenue Tracking'!$H$13:$H$22, "&lt;"&amp;HW1)</f>
        <v>0</v>
      </c>
      <c r="HW3" s="109">
        <f>SUMIFS('Revenue Tracking'!$F$13:$F$22, 'Revenue Tracking'!$H$13:$H$22, "&gt;="&amp;HW1,'Revenue Tracking'!$H$13:$H$22, "&lt;"&amp;HX1)</f>
        <v>0</v>
      </c>
      <c r="HX3" s="109">
        <f>SUMIFS('Revenue Tracking'!$F$13:$F$22, 'Revenue Tracking'!$H$13:$H$22, "&gt;="&amp;HX1,'Revenue Tracking'!$H$13:$H$22, "&lt;"&amp;HY1)</f>
        <v>0</v>
      </c>
      <c r="HY3" s="109">
        <f>SUMIFS('Revenue Tracking'!$F$13:$F$22, 'Revenue Tracking'!$H$13:$H$22, "&gt;="&amp;HY1,'Revenue Tracking'!$H$13:$H$22, "&lt;"&amp;HZ1)</f>
        <v>0</v>
      </c>
      <c r="HZ3" s="109">
        <f>SUMIFS('Revenue Tracking'!$F$13:$F$22, 'Revenue Tracking'!$H$13:$H$22, "&gt;="&amp;HZ1,'Revenue Tracking'!$H$13:$H$22, "&lt;"&amp;IA1)</f>
        <v>0</v>
      </c>
      <c r="IA3" s="109">
        <f>SUMIFS('Revenue Tracking'!$F$13:$F$22, 'Revenue Tracking'!$H$13:$H$22, "&gt;="&amp;IA1,'Revenue Tracking'!$H$13:$H$22, "&lt;"&amp;IB1)</f>
        <v>0</v>
      </c>
      <c r="IB3" s="109">
        <f>SUMIFS('Revenue Tracking'!$F$13:$F$22, 'Revenue Tracking'!$H$13:$H$22, "&gt;="&amp;IB1,'Revenue Tracking'!$H$13:$H$22, "&lt;"&amp;IC1)</f>
        <v>0</v>
      </c>
      <c r="IC3" s="109">
        <f>SUMIFS('Revenue Tracking'!$F$13:$F$22, 'Revenue Tracking'!$H$13:$H$22, "&gt;="&amp;IC1,'Revenue Tracking'!$H$13:$H$22, "&lt;"&amp;ID1)</f>
        <v>0</v>
      </c>
      <c r="ID3" s="109">
        <f>SUMIFS('Revenue Tracking'!$F$13:$F$22, 'Revenue Tracking'!$H$13:$H$22, "&gt;="&amp;ID1,'Revenue Tracking'!$H$13:$H$22, "&lt;"&amp;IE1)</f>
        <v>0</v>
      </c>
      <c r="IE3" s="109">
        <f>SUMIFS('Revenue Tracking'!$F$13:$F$22, 'Revenue Tracking'!$H$13:$H$22, "&gt;="&amp;IE1,'Revenue Tracking'!$H$13:$H$22, "&lt;"&amp;IF1)</f>
        <v>0</v>
      </c>
      <c r="IF3" s="109">
        <f>SUMIFS('Revenue Tracking'!$F$13:$F$22, 'Revenue Tracking'!$H$13:$H$22, "&gt;="&amp;IF1,'Revenue Tracking'!$H$13:$H$22, "&lt;"&amp;IG1)</f>
        <v>0</v>
      </c>
      <c r="IG3" s="109">
        <f>SUMIFS('Revenue Tracking'!$F$13:$F$22, 'Revenue Tracking'!$H$13:$H$22, "&gt;="&amp;IG1,'Revenue Tracking'!$H$13:$H$22, "&lt;"&amp;IH1)</f>
        <v>0</v>
      </c>
      <c r="IH3" s="109">
        <f>SUMIFS('Revenue Tracking'!$F$13:$F$22, 'Revenue Tracking'!$H$13:$H$22, "&gt;="&amp;IH1,'Revenue Tracking'!$H$13:$H$22, "&lt;"&amp;II1)</f>
        <v>0</v>
      </c>
      <c r="II3" s="109">
        <f>SUMIFS('Revenue Tracking'!$F$13:$F$22, 'Revenue Tracking'!$H$13:$H$22, "&gt;="&amp;II1,'Revenue Tracking'!$H$13:$H$22, "&lt;"&amp;IJ1)</f>
        <v>0</v>
      </c>
      <c r="IJ3" s="109">
        <f>SUMIFS('Revenue Tracking'!$F$13:$F$22, 'Revenue Tracking'!$H$13:$H$22, "&gt;="&amp;IJ1,'Revenue Tracking'!$H$13:$H$22, "&lt;"&amp;IK1)</f>
        <v>0</v>
      </c>
      <c r="IK3" s="109">
        <f>SUMIFS('Revenue Tracking'!$F$13:$F$22, 'Revenue Tracking'!$H$13:$H$22, "&gt;="&amp;IK1,'Revenue Tracking'!$H$13:$H$22, "&lt;"&amp;IL1)</f>
        <v>0</v>
      </c>
      <c r="IL3" s="109">
        <f>SUMIFS('Revenue Tracking'!$F$13:$F$22, 'Revenue Tracking'!$H$13:$H$22, "&gt;="&amp;IL1,'Revenue Tracking'!$H$13:$H$22, "&lt;"&amp;IM1)</f>
        <v>0</v>
      </c>
      <c r="IM3" s="109">
        <f>SUMIFS('Revenue Tracking'!$F$13:$F$22, 'Revenue Tracking'!$H$13:$H$22, "&gt;="&amp;IM1,'Revenue Tracking'!$H$13:$H$22, "&lt;"&amp;IN1)</f>
        <v>0</v>
      </c>
      <c r="IN3" s="109">
        <f>SUMIFS('Revenue Tracking'!$F$13:$F$22, 'Revenue Tracking'!$H$13:$H$22, "&gt;="&amp;IN1,'Revenue Tracking'!$H$13:$H$22, "&lt;"&amp;IO1)</f>
        <v>0</v>
      </c>
      <c r="IO3" s="109">
        <f>SUMIFS('Revenue Tracking'!$F$13:$F$22, 'Revenue Tracking'!$H$13:$H$22, "&gt;="&amp;IO1,'Revenue Tracking'!$H$13:$H$22, "&lt;"&amp;IP1)</f>
        <v>0</v>
      </c>
      <c r="IP3" s="109">
        <f>SUMIFS('Revenue Tracking'!$F$13:$F$22, 'Revenue Tracking'!$H$13:$H$22, "&gt;="&amp;IP1,'Revenue Tracking'!$H$13:$H$22, "&lt;"&amp;IQ1)</f>
        <v>0</v>
      </c>
      <c r="IQ3" s="109">
        <f>SUMIFS('Revenue Tracking'!$F$13:$F$22, 'Revenue Tracking'!$H$13:$H$22, "&gt;="&amp;IQ1,'Revenue Tracking'!$H$13:$H$22, "&lt;"&amp;IR1)</f>
        <v>0</v>
      </c>
      <c r="IR3" s="109">
        <f>SUMIFS('Revenue Tracking'!$F$13:$F$22, 'Revenue Tracking'!$H$13:$H$22, "&gt;="&amp;IR1,'Revenue Tracking'!$H$13:$H$22, "&lt;"&amp;IS1)</f>
        <v>0</v>
      </c>
      <c r="IS3" s="109">
        <f>SUMIFS('Revenue Tracking'!$F$13:$F$22, 'Revenue Tracking'!$H$13:$H$22, "&gt;="&amp;IS1,'Revenue Tracking'!$H$13:$H$22, "&lt;"&amp;IT1)</f>
        <v>0</v>
      </c>
      <c r="IT3" s="109">
        <f>SUMIFS('Revenue Tracking'!$F$13:$F$22, 'Revenue Tracking'!$H$13:$H$22, "&gt;="&amp;IT1,'Revenue Tracking'!$H$13:$H$22, "&lt;"&amp;IU1)</f>
        <v>0</v>
      </c>
      <c r="IU3" s="109">
        <f>SUMIFS('Revenue Tracking'!$F$13:$F$22, 'Revenue Tracking'!$H$13:$H$22, "&gt;="&amp;IU1,'Revenue Tracking'!$H$13:$H$22, "&lt;"&amp;IV1)</f>
        <v>0</v>
      </c>
      <c r="IV3" s="109">
        <f>SUMIFS('Revenue Tracking'!$F$13:$F$22, 'Revenue Tracking'!$H$13:$H$22, "&gt;="&amp;IV1,'Revenue Tracking'!$H$13:$H$22, "&lt;"&amp;IW1)</f>
        <v>0</v>
      </c>
      <c r="IW3" s="109">
        <f>SUMIFS('Revenue Tracking'!$F$13:$F$22, 'Revenue Tracking'!$H$13:$H$22, "&gt;="&amp;IW1,'Revenue Tracking'!$H$13:$H$22, "&lt;"&amp;IX1)</f>
        <v>0</v>
      </c>
      <c r="IX3" s="109">
        <f>SUMIFS('Revenue Tracking'!$F$13:$F$22, 'Revenue Tracking'!$H$13:$H$22, "&gt;="&amp;IX1,'Revenue Tracking'!$H$13:$H$22, "&lt;"&amp;IY1)</f>
        <v>0</v>
      </c>
      <c r="IY3" s="109">
        <f>SUMIFS('Revenue Tracking'!$F$13:$F$22, 'Revenue Tracking'!$H$13:$H$22, "&gt;="&amp;IY1,'Revenue Tracking'!$H$13:$H$22, "&lt;"&amp;IZ1)</f>
        <v>0</v>
      </c>
      <c r="IZ3" s="109">
        <f>SUMIFS('Revenue Tracking'!$F$13:$F$22, 'Revenue Tracking'!$H$13:$H$22, "&gt;="&amp;IZ1,'Revenue Tracking'!$H$13:$H$22, "&lt;"&amp;JA1)</f>
        <v>0</v>
      </c>
      <c r="JA3" s="109">
        <f>SUMIFS('Revenue Tracking'!$F$13:$F$22, 'Revenue Tracking'!$H$13:$H$22, "&gt;="&amp;JA1,'Revenue Tracking'!$H$13:$H$22, "&lt;"&amp;JB1)</f>
        <v>0</v>
      </c>
      <c r="JB3" s="109">
        <f>SUMIFS('Revenue Tracking'!$F$13:$F$22, 'Revenue Tracking'!$H$13:$H$22, "&gt;="&amp;JB1,'Revenue Tracking'!$H$13:$H$22, "&lt;"&amp;JC1)</f>
        <v>0</v>
      </c>
      <c r="JC3" s="109">
        <f>SUMIFS('Revenue Tracking'!$F$13:$F$22, 'Revenue Tracking'!$H$13:$H$22, "&gt;="&amp;JC1,'Revenue Tracking'!$H$13:$H$22, "&lt;"&amp;JD1)</f>
        <v>0</v>
      </c>
      <c r="JD3" s="109">
        <f>SUMIFS('Revenue Tracking'!$F$13:$F$22, 'Revenue Tracking'!$H$13:$H$22, "&gt;="&amp;JD1,'Revenue Tracking'!$H$13:$H$22, "&lt;"&amp;JE1)</f>
        <v>0</v>
      </c>
      <c r="JE3" s="109">
        <f>SUMIFS('Revenue Tracking'!$F$13:$F$22, 'Revenue Tracking'!$H$13:$H$22, "&gt;="&amp;JE1,'Revenue Tracking'!$H$13:$H$22, "&lt;"&amp;JF1)</f>
        <v>0</v>
      </c>
      <c r="JF3" s="109">
        <f>SUMIFS('Revenue Tracking'!$F$13:$F$22, 'Revenue Tracking'!$H$13:$H$22, "&gt;="&amp;JF1,'Revenue Tracking'!$H$13:$H$22, "&lt;"&amp;JG1)</f>
        <v>0</v>
      </c>
      <c r="JG3" s="109">
        <f>SUMIFS('Revenue Tracking'!$F$13:$F$22, 'Revenue Tracking'!$H$13:$H$22, "&gt;="&amp;JG1,'Revenue Tracking'!$H$13:$H$22, "&lt;"&amp;JH1)</f>
        <v>0</v>
      </c>
      <c r="JH3" s="109">
        <f>SUMIFS('Revenue Tracking'!$F$13:$F$22, 'Revenue Tracking'!$H$13:$H$22, "&gt;="&amp;JH1,'Revenue Tracking'!$H$13:$H$22, "&lt;"&amp;JI1)</f>
        <v>0</v>
      </c>
      <c r="JI3" s="109">
        <f>SUMIFS('Revenue Tracking'!$F$13:$F$22, 'Revenue Tracking'!$H$13:$H$22, "&gt;="&amp;JI1,'Revenue Tracking'!$H$13:$H$22, "&lt;"&amp;JJ1)</f>
        <v>0</v>
      </c>
      <c r="JJ3" s="109">
        <f>SUMIFS('Revenue Tracking'!$F$13:$F$22, 'Revenue Tracking'!$H$13:$H$22, "&gt;="&amp;JJ1,'Revenue Tracking'!$H$13:$H$22, "&lt;"&amp;JK1)</f>
        <v>0</v>
      </c>
      <c r="JK3" s="109">
        <f>SUMIFS('Revenue Tracking'!$F$13:$F$22, 'Revenue Tracking'!$H$13:$H$22, "&gt;="&amp;JK1,'Revenue Tracking'!$H$13:$H$22, "&lt;"&amp;JL1)</f>
        <v>0</v>
      </c>
      <c r="JL3" s="109">
        <f>SUMIFS('Revenue Tracking'!$F$13:$F$22, 'Revenue Tracking'!$H$13:$H$22, "&gt;="&amp;JL1,'Revenue Tracking'!$H$13:$H$22, "&lt;"&amp;JM1)</f>
        <v>0</v>
      </c>
      <c r="JM3" s="109">
        <f>SUMIFS('Revenue Tracking'!$F$13:$F$22, 'Revenue Tracking'!$H$13:$H$22, "&gt;="&amp;JM1,'Revenue Tracking'!$H$13:$H$22, "&lt;"&amp;JN1)</f>
        <v>0</v>
      </c>
      <c r="JN3" s="109">
        <f>SUMIFS('Revenue Tracking'!$F$13:$F$22, 'Revenue Tracking'!$H$13:$H$22, "&gt;="&amp;JN1,'Revenue Tracking'!$H$13:$H$22, "&lt;"&amp;JO1)</f>
        <v>0</v>
      </c>
      <c r="JO3" s="109">
        <f>SUMIFS('Revenue Tracking'!$F$13:$F$22, 'Revenue Tracking'!$H$13:$H$22, "&gt;="&amp;JO1,'Revenue Tracking'!$H$13:$H$22, "&lt;"&amp;JP1)</f>
        <v>0</v>
      </c>
      <c r="JP3" s="109">
        <f>SUMIFS('Revenue Tracking'!$F$13:$F$22, 'Revenue Tracking'!$H$13:$H$22, "&gt;="&amp;JP1,'Revenue Tracking'!$H$13:$H$22, "&lt;"&amp;JQ1)</f>
        <v>0</v>
      </c>
      <c r="JQ3" s="109">
        <f>SUMIFS('Revenue Tracking'!$F$13:$F$22, 'Revenue Tracking'!$H$13:$H$22, "&gt;="&amp;JQ1,'Revenue Tracking'!$H$13:$H$22, "&lt;"&amp;JR1)</f>
        <v>0</v>
      </c>
      <c r="JR3" s="109">
        <f>SUMIFS('Revenue Tracking'!$F$13:$F$22, 'Revenue Tracking'!$H$13:$H$22, "&gt;="&amp;JR1,'Revenue Tracking'!$H$13:$H$22, "&lt;"&amp;JS1)</f>
        <v>0</v>
      </c>
      <c r="JS3" s="109">
        <f>SUMIFS('Revenue Tracking'!$F$13:$F$22, 'Revenue Tracking'!$H$13:$H$22, "&gt;="&amp;JS1,'Revenue Tracking'!$H$13:$H$22, "&lt;"&amp;JT1)</f>
        <v>0</v>
      </c>
      <c r="JT3" s="109">
        <f>SUMIFS('Revenue Tracking'!$F$13:$F$22, 'Revenue Tracking'!$H$13:$H$22, "&gt;="&amp;JT1,'Revenue Tracking'!$H$13:$H$22, "&lt;"&amp;JU1)</f>
        <v>0</v>
      </c>
      <c r="JU3" s="109">
        <f>SUMIFS('Revenue Tracking'!$F$13:$F$22, 'Revenue Tracking'!$H$13:$H$22, "&gt;="&amp;JU1,'Revenue Tracking'!$H$13:$H$22, "&lt;"&amp;JV1)</f>
        <v>0</v>
      </c>
      <c r="JV3" s="109">
        <f>SUMIFS('Revenue Tracking'!$F$13:$F$22, 'Revenue Tracking'!$H$13:$H$22, "&gt;="&amp;JV1,'Revenue Tracking'!$H$13:$H$22, "&lt;"&amp;JW1)</f>
        <v>0</v>
      </c>
      <c r="JW3" s="109">
        <f>SUMIFS('Revenue Tracking'!$F$13:$F$22, 'Revenue Tracking'!$H$13:$H$22, "&gt;="&amp;JW1,'Revenue Tracking'!$H$13:$H$22, "&lt;"&amp;JX1)</f>
        <v>0</v>
      </c>
      <c r="JX3" s="109">
        <f>SUMIFS('Revenue Tracking'!$F$13:$F$22, 'Revenue Tracking'!$H$13:$H$22, "&gt;="&amp;JX1,'Revenue Tracking'!$H$13:$H$22, "&lt;"&amp;JY1)</f>
        <v>0</v>
      </c>
      <c r="JY3" s="109">
        <f>SUMIFS('Revenue Tracking'!$F$13:$F$22, 'Revenue Tracking'!$H$13:$H$22, "&gt;="&amp;JY1,'Revenue Tracking'!$H$13:$H$22, "&lt;"&amp;JZ1)</f>
        <v>0</v>
      </c>
      <c r="JZ3" s="109">
        <f>SUMIFS('Revenue Tracking'!$F$13:$F$22, 'Revenue Tracking'!$H$13:$H$22, "&gt;="&amp;JZ1,'Revenue Tracking'!$H$13:$H$22, "&lt;"&amp;KA1)</f>
        <v>0</v>
      </c>
      <c r="KA3" s="109">
        <f>SUMIFS('Revenue Tracking'!$F$13:$F$22, 'Revenue Tracking'!$H$13:$H$22, "&gt;="&amp;KA1,'Revenue Tracking'!$H$13:$H$22, "&lt;"&amp;KB1)</f>
        <v>0</v>
      </c>
      <c r="KB3" s="109">
        <f>SUMIFS('Revenue Tracking'!$F$13:$F$22, 'Revenue Tracking'!$H$13:$H$22, "&gt;="&amp;KB1,'Revenue Tracking'!$H$13:$H$22, "&lt;"&amp;KC1)</f>
        <v>0</v>
      </c>
      <c r="KC3" s="109">
        <f>SUMIFS('Revenue Tracking'!$F$13:$F$22, 'Revenue Tracking'!$H$13:$H$22, "&gt;="&amp;KC1,'Revenue Tracking'!$H$13:$H$22, "&lt;"&amp;KD1)</f>
        <v>0</v>
      </c>
      <c r="KD3" s="109">
        <f>SUMIFS('Revenue Tracking'!$F$13:$F$22, 'Revenue Tracking'!$H$13:$H$22, "&gt;="&amp;KD1,'Revenue Tracking'!$H$13:$H$22, "&lt;"&amp;KE1)</f>
        <v>0</v>
      </c>
      <c r="KE3" s="109">
        <f>SUMIFS('Revenue Tracking'!$F$13:$F$22, 'Revenue Tracking'!$H$13:$H$22, "&gt;="&amp;KE1,'Revenue Tracking'!$H$13:$H$22, "&lt;"&amp;KF1)</f>
        <v>0</v>
      </c>
      <c r="KF3" s="109">
        <f>SUMIFS('Revenue Tracking'!$F$13:$F$22, 'Revenue Tracking'!$H$13:$H$22, "&gt;="&amp;KF1,'Revenue Tracking'!$H$13:$H$22, "&lt;"&amp;#REF!)</f>
        <v>0</v>
      </c>
    </row>
    <row r="4" spans="1:770">
      <c r="A4" s="755"/>
      <c r="B4" s="106" t="s">
        <v>427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55"/>
      <c r="B5" s="110" t="s">
        <v>128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55"/>
      <c r="B6" s="110" t="s">
        <v>428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55"/>
      <c r="B7" s="115" t="s">
        <v>429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54" t="s">
        <v>123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5"/>
      <c r="B9" s="120" t="s">
        <v>430</v>
      </c>
      <c r="C9" s="121">
        <f>'Revenue Tracking'!F4</f>
        <v>1879275.3951961147</v>
      </c>
      <c r="D9" s="121">
        <f>SUM(F9:KF9)</f>
        <v>1879275.3951961151</v>
      </c>
      <c r="E9" s="108"/>
      <c r="F9" s="122">
        <f>SUMIFS('Revenue Tracking'!$F$13:$F$22, 'Revenue Tracking'!$P$13:$P$22, "&gt;="&amp;F1,'Revenue Tracking'!$P$13:$P$22, "&lt;"&amp;G1)</f>
        <v>0</v>
      </c>
      <c r="G9" s="122">
        <f>SUMIFS('Revenue Tracking'!$F$13:$F$22, 'Revenue Tracking'!$P$13:$P$22, "&gt;="&amp;G1,'Revenue Tracking'!$P$13:$P$22, "&lt;"&amp;H1)</f>
        <v>0</v>
      </c>
      <c r="H9" s="122">
        <f>SUMIFS('Revenue Tracking'!$F$13:$F$22, 'Revenue Tracking'!$P$13:$P$22, "&gt;="&amp;H1,'Revenue Tracking'!$P$13:$P$22, "&lt;"&amp;I1)</f>
        <v>0</v>
      </c>
      <c r="I9" s="122">
        <f>SUMIFS('Revenue Tracking'!$F$13:$F$22, 'Revenue Tracking'!$P$13:$P$22, "&gt;="&amp;I1,'Revenue Tracking'!$P$13:$P$22, "&lt;"&amp;J1)</f>
        <v>0</v>
      </c>
      <c r="J9" s="122">
        <f>SUMIFS('Revenue Tracking'!$F$13:$F$22, 'Revenue Tracking'!$P$13:$P$22, "&gt;="&amp;J1,'Revenue Tracking'!$P$13:$P$22, "&lt;"&amp;K1)</f>
        <v>869.56521739130437</v>
      </c>
      <c r="K9" s="122">
        <f>SUMIFS('Revenue Tracking'!$F$13:$F$22, 'Revenue Tracking'!$P$13:$P$22, "&gt;="&amp;K1,'Revenue Tracking'!$P$13:$P$22, "&lt;"&amp;L1)</f>
        <v>0</v>
      </c>
      <c r="L9" s="122">
        <f>SUMIFS('Revenue Tracking'!$F$13:$F$22, 'Revenue Tracking'!$P$13:$P$22, "&gt;="&amp;L1,'Revenue Tracking'!$P$13:$P$22, "&lt;"&amp;M1)</f>
        <v>0</v>
      </c>
      <c r="M9" s="122">
        <f>SUMIFS('Revenue Tracking'!$F$13:$F$22, 'Revenue Tracking'!$P$13:$P$22, "&gt;="&amp;M1,'Revenue Tracking'!$P$13:$P$22, "&lt;"&amp;N1)</f>
        <v>0</v>
      </c>
      <c r="N9" s="122">
        <f>SUMIFS('Revenue Tracking'!$F$13:$F$22, 'Revenue Tracking'!$P$13:$P$22, "&gt;="&amp;N1,'Revenue Tracking'!$P$13:$P$22, "&lt;"&amp;O1)</f>
        <v>0</v>
      </c>
      <c r="O9" s="122">
        <f>SUMIFS('Revenue Tracking'!$F$13:$F$22, 'Revenue Tracking'!$P$13:$P$22, "&gt;="&amp;O1,'Revenue Tracking'!$P$13:$P$22, "&lt;"&amp;P1)</f>
        <v>468949.28358163772</v>
      </c>
      <c r="P9" s="122">
        <f>SUMIFS('Revenue Tracking'!$F$13:$F$22, 'Revenue Tracking'!$P$13:$P$22, "&gt;="&amp;P1,'Revenue Tracking'!$P$13:$P$22, "&lt;"&amp;Q1)</f>
        <v>0</v>
      </c>
      <c r="Q9" s="122">
        <f>SUMIFS('Revenue Tracking'!$F$13:$F$22, 'Revenue Tracking'!$P$13:$P$22, "&gt;="&amp;Q1,'Revenue Tracking'!$P$13:$P$22, "&lt;"&amp;R1)</f>
        <v>0</v>
      </c>
      <c r="R9" s="122">
        <f>SUMIFS('Revenue Tracking'!$F$13:$F$22, 'Revenue Tracking'!$P$13:$P$22, "&gt;="&amp;R1,'Revenue Tracking'!$P$13:$P$22, "&lt;"&amp;S1)</f>
        <v>0</v>
      </c>
      <c r="S9" s="122">
        <f>SUMIFS('Revenue Tracking'!$F$13:$F$22, 'Revenue Tracking'!$P$13:$P$22, "&gt;="&amp;S1,'Revenue Tracking'!$P$13:$P$22, "&lt;"&amp;T1)</f>
        <v>0</v>
      </c>
      <c r="T9" s="122">
        <f>SUMIFS('Revenue Tracking'!$F$13:$F$22, 'Revenue Tracking'!$P$13:$P$22, "&gt;="&amp;T1,'Revenue Tracking'!$P$13:$P$22, "&lt;"&amp;U1)</f>
        <v>563782.61855883442</v>
      </c>
      <c r="U9" s="122">
        <f>SUMIFS('Revenue Tracking'!$F$13:$F$22, 'Revenue Tracking'!$P$13:$P$22, "&gt;="&amp;U1,'Revenue Tracking'!$P$13:$P$22, "&lt;"&amp;V1)</f>
        <v>563782.61855883442</v>
      </c>
      <c r="V9" s="122">
        <f>SUMIFS('Revenue Tracking'!$F$13:$F$22, 'Revenue Tracking'!$P$13:$P$22, "&gt;="&amp;V1,'Revenue Tracking'!$P$13:$P$22, "&lt;"&amp;W1)</f>
        <v>0</v>
      </c>
      <c r="W9" s="122">
        <f>SUMIFS('Revenue Tracking'!$F$13:$F$22, 'Revenue Tracking'!$P$13:$P$22, "&gt;="&amp;W1,'Revenue Tracking'!$P$13:$P$22, "&lt;"&amp;X1)</f>
        <v>0</v>
      </c>
      <c r="X9" s="122">
        <f>SUMIFS('Revenue Tracking'!$F$13:$F$22, 'Revenue Tracking'!$P$13:$P$22, "&gt;="&amp;X1,'Revenue Tracking'!$P$13:$P$22, "&lt;"&amp;Y1)</f>
        <v>187927.53951961148</v>
      </c>
      <c r="Y9" s="122">
        <f>SUMIFS('Revenue Tracking'!$F$13:$F$22, 'Revenue Tracking'!$P$13:$P$22, "&gt;="&amp;Y1,'Revenue Tracking'!$P$13:$P$22, "&lt;"&amp;Z1)</f>
        <v>93963.769759805742</v>
      </c>
      <c r="Z9" s="122">
        <f>SUMIFS('Revenue Tracking'!$F$13:$F$22, 'Revenue Tracking'!$P$13:$P$22, "&gt;="&amp;Z1,'Revenue Tracking'!$P$13:$P$22, "&lt;"&amp;AA1)</f>
        <v>0</v>
      </c>
      <c r="AA9" s="122">
        <f>SUMIFS('Revenue Tracking'!$F$13:$F$22, 'Revenue Tracking'!$P$13:$P$22, "&gt;="&amp;AA1,'Revenue Tracking'!$P$13:$P$22, "&lt;"&amp;AB1)</f>
        <v>0</v>
      </c>
      <c r="AB9" s="122">
        <f>SUMIFS('Revenue Tracking'!$F$13:$F$22, 'Revenue Tracking'!$P$13:$P$22, "&gt;="&amp;AB1,'Revenue Tracking'!$P$13:$P$22, "&lt;"&amp;AC1)</f>
        <v>0</v>
      </c>
      <c r="AC9" s="122">
        <f>SUMIFS('Revenue Tracking'!$F$13:$F$22, 'Revenue Tracking'!$P$13:$P$22, "&gt;="&amp;AC1,'Revenue Tracking'!$P$13:$P$22, "&lt;"&amp;AD1)</f>
        <v>0</v>
      </c>
      <c r="AD9" s="122">
        <f>SUMIFS('Revenue Tracking'!$F$13:$F$22, 'Revenue Tracking'!$P$13:$P$22, "&gt;="&amp;AD1,'Revenue Tracking'!$P$13:$P$22, "&lt;"&amp;AE1)</f>
        <v>0</v>
      </c>
      <c r="AE9" s="122">
        <f>SUMIFS('Revenue Tracking'!$F$13:$F$22, 'Revenue Tracking'!$P$13:$P$22, "&gt;="&amp;AE1,'Revenue Tracking'!$P$13:$P$22, "&lt;"&amp;AF1)</f>
        <v>0</v>
      </c>
      <c r="AF9" s="122">
        <f>SUMIFS('Revenue Tracking'!$F$13:$F$22, 'Revenue Tracking'!$P$13:$P$22, "&gt;="&amp;AF1,'Revenue Tracking'!$P$13:$P$22, "&lt;"&amp;AG1)</f>
        <v>0</v>
      </c>
      <c r="AG9" s="122">
        <f>SUMIFS('Revenue Tracking'!$F$13:$F$22, 'Revenue Tracking'!$P$13:$P$22, "&gt;="&amp;AG1,'Revenue Tracking'!$P$13:$P$22, "&lt;"&amp;AH1)</f>
        <v>0</v>
      </c>
      <c r="AH9" s="122">
        <f>SUMIFS('Revenue Tracking'!$F$13:$F$22, 'Revenue Tracking'!$P$13:$P$22, "&gt;="&amp;AH1,'Revenue Tracking'!$P$13:$P$22, "&lt;"&amp;AI1)</f>
        <v>0</v>
      </c>
      <c r="AI9" s="122">
        <f>SUMIFS('Revenue Tracking'!$F$13:$F$22, 'Revenue Tracking'!$P$13:$P$22, "&gt;="&amp;AI1,'Revenue Tracking'!$P$13:$P$22, "&lt;"&amp;AJ1)</f>
        <v>0</v>
      </c>
      <c r="AJ9" s="122">
        <f>SUMIFS('Revenue Tracking'!$F$13:$F$22, 'Revenue Tracking'!$P$13:$P$22, "&gt;="&amp;AJ1,'Revenue Tracking'!$P$13:$P$22, "&lt;"&amp;AK1)</f>
        <v>0</v>
      </c>
      <c r="AK9" s="122">
        <f>SUMIFS('Revenue Tracking'!$F$13:$F$22, 'Revenue Tracking'!$P$13:$P$22, "&gt;="&amp;AK1,'Revenue Tracking'!$P$13:$P$22, "&lt;"&amp;AL1)</f>
        <v>0</v>
      </c>
      <c r="AL9" s="122">
        <f>SUMIFS('Revenue Tracking'!$F$13:$F$22, 'Revenue Tracking'!$P$13:$P$22, "&gt;="&amp;AL1,'Revenue Tracking'!$P$13:$P$22, "&lt;"&amp;AM1)</f>
        <v>0</v>
      </c>
      <c r="AM9" s="122">
        <f>SUMIFS('Revenue Tracking'!$F$13:$F$22, 'Revenue Tracking'!$P$13:$P$22, "&gt;="&amp;AM1,'Revenue Tracking'!$P$13:$P$22, "&lt;"&amp;AN1)</f>
        <v>0</v>
      </c>
      <c r="AN9" s="122">
        <f>SUMIFS('Revenue Tracking'!$F$13:$F$22, 'Revenue Tracking'!$P$13:$P$22, "&gt;="&amp;AN1,'Revenue Tracking'!$P$13:$P$22, "&lt;"&amp;AO1)</f>
        <v>0</v>
      </c>
      <c r="AO9" s="122">
        <f>SUMIFS('Revenue Tracking'!$F$13:$F$22, 'Revenue Tracking'!$P$13:$P$22, "&gt;="&amp;AO1,'Revenue Tracking'!$P$13:$P$22, "&lt;"&amp;AP1)</f>
        <v>0</v>
      </c>
      <c r="AP9" s="122">
        <f>SUMIFS('Revenue Tracking'!$F$13:$F$22, 'Revenue Tracking'!$P$13:$P$22, "&gt;="&amp;AP1,'Revenue Tracking'!$P$13:$P$22, "&lt;"&amp;AQ1)</f>
        <v>0</v>
      </c>
      <c r="AQ9" s="122">
        <f>SUMIFS('Revenue Tracking'!$F$13:$F$22, 'Revenue Tracking'!$P$13:$P$22, "&gt;="&amp;AQ1,'Revenue Tracking'!$P$13:$P$22, "&lt;"&amp;AR1)</f>
        <v>0</v>
      </c>
      <c r="AR9" s="122">
        <f>SUMIFS('Revenue Tracking'!$F$13:$F$22, 'Revenue Tracking'!$P$13:$P$22, "&gt;="&amp;AR1,'Revenue Tracking'!$P$13:$P$22, "&lt;"&amp;AS1)</f>
        <v>0</v>
      </c>
      <c r="AS9" s="122">
        <f>SUMIFS('Revenue Tracking'!$F$13:$F$22, 'Revenue Tracking'!$P$13:$P$22, "&gt;="&amp;AS1,'Revenue Tracking'!$P$13:$P$22, "&lt;"&amp;AT1)</f>
        <v>0</v>
      </c>
      <c r="AT9" s="122">
        <f>SUMIFS('Revenue Tracking'!$F$13:$F$22, 'Revenue Tracking'!$P$13:$P$22, "&gt;="&amp;AT1,'Revenue Tracking'!$P$13:$P$22, "&lt;"&amp;AU1)</f>
        <v>0</v>
      </c>
      <c r="AU9" s="122">
        <f>SUMIFS('Revenue Tracking'!$F$13:$F$22, 'Revenue Tracking'!$P$13:$P$22, "&gt;="&amp;AU1,'Revenue Tracking'!$P$13:$P$22, "&lt;"&amp;AV1)</f>
        <v>0</v>
      </c>
      <c r="AV9" s="122">
        <f>SUMIFS('Revenue Tracking'!$F$13:$F$22, 'Revenue Tracking'!$P$13:$P$22, "&gt;="&amp;AV1,'Revenue Tracking'!$P$13:$P$22, "&lt;"&amp;AW1)</f>
        <v>0</v>
      </c>
      <c r="AW9" s="122">
        <f>SUMIFS('Revenue Tracking'!$F$13:$F$22, 'Revenue Tracking'!$P$13:$P$22, "&gt;="&amp;AW1,'Revenue Tracking'!$P$13:$P$22, "&lt;"&amp;AX1)</f>
        <v>0</v>
      </c>
      <c r="AX9" s="122">
        <f>SUMIFS('Revenue Tracking'!$F$13:$F$22, 'Revenue Tracking'!$P$13:$P$22, "&gt;="&amp;AX1,'Revenue Tracking'!$P$13:$P$22, "&lt;"&amp;AY1)</f>
        <v>0</v>
      </c>
      <c r="AY9" s="122">
        <f>SUMIFS('Revenue Tracking'!$F$13:$F$22, 'Revenue Tracking'!$P$13:$P$22, "&gt;="&amp;AY1,'Revenue Tracking'!$P$13:$P$22, "&lt;"&amp;AZ1)</f>
        <v>0</v>
      </c>
      <c r="AZ9" s="122">
        <f>SUMIFS('Revenue Tracking'!$F$13:$F$22, 'Revenue Tracking'!$P$13:$P$22, "&gt;="&amp;AZ1,'Revenue Tracking'!$P$13:$P$22, "&lt;"&amp;BA1)</f>
        <v>0</v>
      </c>
      <c r="BA9" s="122">
        <f>SUMIFS('Revenue Tracking'!$F$13:$F$22, 'Revenue Tracking'!$P$13:$P$22, "&gt;="&amp;BA1,'Revenue Tracking'!$P$13:$P$22, "&lt;"&amp;BB1)</f>
        <v>0</v>
      </c>
      <c r="BB9" s="122">
        <f>SUMIFS('Revenue Tracking'!$F$13:$F$22, 'Revenue Tracking'!$P$13:$P$22, "&gt;="&amp;BB1,'Revenue Tracking'!$P$13:$P$22, "&lt;"&amp;BC1)</f>
        <v>0</v>
      </c>
      <c r="BC9" s="122">
        <f>SUMIFS('Revenue Tracking'!$F$13:$F$22, 'Revenue Tracking'!$P$13:$P$22, "&gt;="&amp;BC1,'Revenue Tracking'!$P$13:$P$22, "&lt;"&amp;BD1)</f>
        <v>0</v>
      </c>
      <c r="BD9" s="122">
        <f>SUMIFS('Revenue Tracking'!$F$13:$F$22, 'Revenue Tracking'!$P$13:$P$22, "&gt;="&amp;BD1,'Revenue Tracking'!$P$13:$P$22, "&lt;"&amp;BE1)</f>
        <v>0</v>
      </c>
      <c r="BE9" s="122">
        <f>SUMIFS('Revenue Tracking'!$F$13:$F$22, 'Revenue Tracking'!$P$13:$P$22, "&gt;="&amp;BE1,'Revenue Tracking'!$P$13:$P$22, "&lt;"&amp;BF1)</f>
        <v>0</v>
      </c>
      <c r="BF9" s="122">
        <f>SUMIFS('Revenue Tracking'!$F$13:$F$22, 'Revenue Tracking'!$P$13:$P$22, "&gt;="&amp;BF1,'Revenue Tracking'!$P$13:$P$22, "&lt;"&amp;BG1)</f>
        <v>0</v>
      </c>
      <c r="BG9" s="122">
        <f>SUMIFS('Revenue Tracking'!$F$13:$F$22, 'Revenue Tracking'!$P$13:$P$22, "&gt;="&amp;BG1,'Revenue Tracking'!$P$13:$P$22, "&lt;"&amp;BH1)</f>
        <v>0</v>
      </c>
      <c r="BH9" s="122">
        <f>SUMIFS('Revenue Tracking'!$F$13:$F$22, 'Revenue Tracking'!$P$13:$P$22, "&gt;="&amp;BH1,'Revenue Tracking'!$P$13:$P$22, "&lt;"&amp;BI1)</f>
        <v>0</v>
      </c>
      <c r="BI9" s="122">
        <f>SUMIFS('Revenue Tracking'!$F$13:$F$22, 'Revenue Tracking'!$P$13:$P$22, "&gt;="&amp;BI1,'Revenue Tracking'!$P$13:$P$22, "&lt;"&amp;BJ1)</f>
        <v>0</v>
      </c>
      <c r="BJ9" s="122">
        <f>SUMIFS('Revenue Tracking'!$F$13:$F$22, 'Revenue Tracking'!$P$13:$P$22, "&gt;="&amp;BJ1,'Revenue Tracking'!$P$13:$P$22, "&lt;"&amp;BK1)</f>
        <v>0</v>
      </c>
      <c r="BK9" s="122">
        <f>SUMIFS('Revenue Tracking'!$F$13:$F$22, 'Revenue Tracking'!$P$13:$P$22, "&gt;="&amp;BK1,'Revenue Tracking'!$P$13:$P$22, "&lt;"&amp;BL1)</f>
        <v>0</v>
      </c>
      <c r="BL9" s="122">
        <f>SUMIFS('Revenue Tracking'!$F$13:$F$22, 'Revenue Tracking'!$P$13:$P$22, "&gt;="&amp;BL1,'Revenue Tracking'!$P$13:$P$22, "&lt;"&amp;BM1)</f>
        <v>0</v>
      </c>
      <c r="BM9" s="122">
        <f>SUMIFS('Revenue Tracking'!$F$13:$F$22, 'Revenue Tracking'!$P$13:$P$22, "&gt;="&amp;BM1,'Revenue Tracking'!$P$13:$P$22, "&lt;"&amp;BN1)</f>
        <v>0</v>
      </c>
      <c r="BN9" s="122">
        <f>SUMIFS('Revenue Tracking'!$F$13:$F$22, 'Revenue Tracking'!$P$13:$P$22, "&gt;="&amp;BN1,'Revenue Tracking'!$P$13:$P$22, "&lt;"&amp;BO1)</f>
        <v>0</v>
      </c>
      <c r="BO9" s="122">
        <f>SUMIFS('Revenue Tracking'!$F$13:$F$22, 'Revenue Tracking'!$P$13:$P$22, "&gt;="&amp;BO1,'Revenue Tracking'!$P$13:$P$22, "&lt;"&amp;BP1)</f>
        <v>0</v>
      </c>
      <c r="BP9" s="122">
        <f>SUMIFS('Revenue Tracking'!$F$13:$F$22, 'Revenue Tracking'!$P$13:$P$22, "&gt;="&amp;BP1,'Revenue Tracking'!$P$13:$P$22, "&lt;"&amp;BQ1)</f>
        <v>0</v>
      </c>
      <c r="BQ9" s="122">
        <f>SUMIFS('Revenue Tracking'!$F$13:$F$22, 'Revenue Tracking'!$P$13:$P$22, "&gt;="&amp;BQ1,'Revenue Tracking'!$P$13:$P$22, "&lt;"&amp;BR1)</f>
        <v>0</v>
      </c>
      <c r="BR9" s="122">
        <f>SUMIFS('Revenue Tracking'!$F$13:$F$22, 'Revenue Tracking'!$P$13:$P$22, "&gt;="&amp;BR1,'Revenue Tracking'!$P$13:$P$22, "&lt;"&amp;BS1)</f>
        <v>0</v>
      </c>
      <c r="BS9" s="122">
        <f>SUMIFS('Revenue Tracking'!$F$13:$F$22, 'Revenue Tracking'!$P$13:$P$22, "&gt;="&amp;BS1,'Revenue Tracking'!$P$13:$P$22, "&lt;"&amp;BT1)</f>
        <v>0</v>
      </c>
      <c r="BT9" s="122">
        <f>SUMIFS('Revenue Tracking'!$F$13:$F$22, 'Revenue Tracking'!$P$13:$P$22, "&gt;="&amp;BT1,'Revenue Tracking'!$P$13:$P$22, "&lt;"&amp;BU1)</f>
        <v>0</v>
      </c>
      <c r="BU9" s="122">
        <f>SUMIFS('Revenue Tracking'!$F$13:$F$22, 'Revenue Tracking'!$P$13:$P$22, "&gt;="&amp;BU1,'Revenue Tracking'!$P$13:$P$22, "&lt;"&amp;BV1)</f>
        <v>0</v>
      </c>
      <c r="BV9" s="122">
        <f>SUMIFS('Revenue Tracking'!$F$13:$F$22, 'Revenue Tracking'!$P$13:$P$22, "&gt;="&amp;BV1,'Revenue Tracking'!$P$13:$P$22, "&lt;"&amp;BW1)</f>
        <v>0</v>
      </c>
      <c r="BW9" s="122">
        <f>SUMIFS('Revenue Tracking'!$F$13:$F$22, 'Revenue Tracking'!$P$13:$P$22, "&gt;="&amp;BW1,'Revenue Tracking'!$P$13:$P$22, "&lt;"&amp;BX1)</f>
        <v>0</v>
      </c>
      <c r="BX9" s="122">
        <f>SUMIFS('Revenue Tracking'!$F$13:$F$22, 'Revenue Tracking'!$P$13:$P$22, "&gt;="&amp;BX1,'Revenue Tracking'!$P$13:$P$22, "&lt;"&amp;BY1)</f>
        <v>0</v>
      </c>
      <c r="BY9" s="122">
        <f>SUMIFS('Revenue Tracking'!$F$13:$F$22, 'Revenue Tracking'!$P$13:$P$22, "&gt;="&amp;BY1,'Revenue Tracking'!$P$13:$P$22, "&lt;"&amp;BZ1)</f>
        <v>0</v>
      </c>
      <c r="BZ9" s="122">
        <f>SUMIFS('Revenue Tracking'!$F$13:$F$22, 'Revenue Tracking'!$P$13:$P$22, "&gt;="&amp;BZ1,'Revenue Tracking'!$P$13:$P$22, "&lt;"&amp;CA1)</f>
        <v>0</v>
      </c>
      <c r="CA9" s="122">
        <f>SUMIFS('Revenue Tracking'!$F$13:$F$22, 'Revenue Tracking'!$P$13:$P$22, "&gt;="&amp;CA1,'Revenue Tracking'!$P$13:$P$22, "&lt;"&amp;CB1)</f>
        <v>0</v>
      </c>
      <c r="CB9" s="122">
        <f>SUMIFS('Revenue Tracking'!$F$13:$F$22, 'Revenue Tracking'!$P$13:$P$22, "&gt;="&amp;CB1,'Revenue Tracking'!$P$13:$P$22, "&lt;"&amp;CC1)</f>
        <v>0</v>
      </c>
      <c r="CC9" s="122">
        <f>SUMIFS('Revenue Tracking'!$F$13:$F$22, 'Revenue Tracking'!$P$13:$P$22, "&gt;="&amp;CC1,'Revenue Tracking'!$P$13:$P$22, "&lt;"&amp;CD1)</f>
        <v>0</v>
      </c>
      <c r="CD9" s="122">
        <f>SUMIFS('Revenue Tracking'!$F$13:$F$22, 'Revenue Tracking'!$P$13:$P$22, "&gt;="&amp;CD1,'Revenue Tracking'!$P$13:$P$22, "&lt;"&amp;CE1)</f>
        <v>0</v>
      </c>
      <c r="CE9" s="122">
        <f>SUMIFS('Revenue Tracking'!$F$13:$F$22, 'Revenue Tracking'!$P$13:$P$22, "&gt;="&amp;CE1,'Revenue Tracking'!$P$13:$P$22, "&lt;"&amp;CF1)</f>
        <v>0</v>
      </c>
      <c r="CF9" s="122">
        <f>SUMIFS('Revenue Tracking'!$F$13:$F$22, 'Revenue Tracking'!$P$13:$P$22, "&gt;="&amp;CF1,'Revenue Tracking'!$P$13:$P$22, "&lt;"&amp;CG1)</f>
        <v>0</v>
      </c>
      <c r="CG9" s="122">
        <f>SUMIFS('Revenue Tracking'!$F$13:$F$22, 'Revenue Tracking'!$P$13:$P$22, "&gt;="&amp;CG1,'Revenue Tracking'!$P$13:$P$22, "&lt;"&amp;CH1)</f>
        <v>0</v>
      </c>
      <c r="CH9" s="122">
        <f>SUMIFS('Revenue Tracking'!$F$13:$F$22, 'Revenue Tracking'!$P$13:$P$22, "&gt;="&amp;CH1,'Revenue Tracking'!$P$13:$P$22, "&lt;"&amp;CI1)</f>
        <v>0</v>
      </c>
      <c r="CI9" s="122">
        <f>SUMIFS('Revenue Tracking'!$F$13:$F$22, 'Revenue Tracking'!$P$13:$P$22, "&gt;="&amp;CI1,'Revenue Tracking'!$P$13:$P$22, "&lt;"&amp;CJ1)</f>
        <v>0</v>
      </c>
      <c r="CJ9" s="122">
        <f>SUMIFS('Revenue Tracking'!$F$13:$F$22, 'Revenue Tracking'!$P$13:$P$22, "&gt;="&amp;CJ1,'Revenue Tracking'!$P$13:$P$22, "&lt;"&amp;CK1)</f>
        <v>0</v>
      </c>
      <c r="CK9" s="122">
        <f>SUMIFS('Revenue Tracking'!$F$13:$F$22, 'Revenue Tracking'!$P$13:$P$22, "&gt;="&amp;CK1,'Revenue Tracking'!$P$13:$P$22, "&lt;"&amp;CL1)</f>
        <v>0</v>
      </c>
      <c r="CL9" s="122">
        <f>SUMIFS('Revenue Tracking'!$F$13:$F$22, 'Revenue Tracking'!$P$13:$P$22, "&gt;="&amp;CL1,'Revenue Tracking'!$P$13:$P$22, "&lt;"&amp;CM1)</f>
        <v>0</v>
      </c>
      <c r="CM9" s="122">
        <f>SUMIFS('Revenue Tracking'!$F$13:$F$22, 'Revenue Tracking'!$P$13:$P$22, "&gt;="&amp;CM1,'Revenue Tracking'!$P$13:$P$22, "&lt;"&amp;CN1)</f>
        <v>0</v>
      </c>
      <c r="CN9" s="122">
        <f>SUMIFS('Revenue Tracking'!$F$13:$F$22, 'Revenue Tracking'!$P$13:$P$22, "&gt;="&amp;CN1,'Revenue Tracking'!$P$13:$P$22, "&lt;"&amp;CO1)</f>
        <v>0</v>
      </c>
      <c r="CO9" s="122">
        <f>SUMIFS('Revenue Tracking'!$F$13:$F$22, 'Revenue Tracking'!$P$13:$P$22, "&gt;="&amp;CO1,'Revenue Tracking'!$P$13:$P$22, "&lt;"&amp;CP1)</f>
        <v>0</v>
      </c>
      <c r="CP9" s="122">
        <f>SUMIFS('Revenue Tracking'!$F$13:$F$22, 'Revenue Tracking'!$P$13:$P$22, "&gt;="&amp;CP1,'Revenue Tracking'!$P$13:$P$22, "&lt;"&amp;CQ1)</f>
        <v>0</v>
      </c>
      <c r="CQ9" s="122">
        <f>SUMIFS('Revenue Tracking'!$F$13:$F$22, 'Revenue Tracking'!$P$13:$P$22, "&gt;="&amp;CQ1,'Revenue Tracking'!$P$13:$P$22, "&lt;"&amp;CR1)</f>
        <v>0</v>
      </c>
      <c r="CR9" s="122">
        <f>SUMIFS('Revenue Tracking'!$F$13:$F$22, 'Revenue Tracking'!$P$13:$P$22, "&gt;="&amp;CR1,'Revenue Tracking'!$P$13:$P$22, "&lt;"&amp;CS1)</f>
        <v>0</v>
      </c>
      <c r="CS9" s="122">
        <f>SUMIFS('Revenue Tracking'!$F$13:$F$22, 'Revenue Tracking'!$P$13:$P$22, "&gt;="&amp;CS1,'Revenue Tracking'!$P$13:$P$22, "&lt;"&amp;CT1)</f>
        <v>0</v>
      </c>
      <c r="CT9" s="122">
        <f>SUMIFS('Revenue Tracking'!$F$13:$F$22, 'Revenue Tracking'!$P$13:$P$22, "&gt;="&amp;CT1,'Revenue Tracking'!$P$13:$P$22, "&lt;"&amp;CU1)</f>
        <v>0</v>
      </c>
      <c r="CU9" s="122">
        <f>SUMIFS('Revenue Tracking'!$F$13:$F$22, 'Revenue Tracking'!$P$13:$P$22, "&gt;="&amp;CU1,'Revenue Tracking'!$P$13:$P$22, "&lt;"&amp;CV1)</f>
        <v>0</v>
      </c>
      <c r="CV9" s="122">
        <f>SUMIFS('Revenue Tracking'!$F$13:$F$22, 'Revenue Tracking'!$P$13:$P$22, "&gt;="&amp;CV1,'Revenue Tracking'!$P$13:$P$22, "&lt;"&amp;CW1)</f>
        <v>0</v>
      </c>
      <c r="CW9" s="122">
        <f>SUMIFS('Revenue Tracking'!$F$13:$F$22, 'Revenue Tracking'!$P$13:$P$22, "&gt;="&amp;CW1,'Revenue Tracking'!$P$13:$P$22, "&lt;"&amp;CX1)</f>
        <v>0</v>
      </c>
      <c r="CX9" s="122">
        <f>SUMIFS('Revenue Tracking'!$F$13:$F$22, 'Revenue Tracking'!$P$13:$P$22, "&gt;="&amp;CX1,'Revenue Tracking'!$P$13:$P$22, "&lt;"&amp;CY1)</f>
        <v>0</v>
      </c>
      <c r="CY9" s="122">
        <f>SUMIFS('Revenue Tracking'!$F$13:$F$22, 'Revenue Tracking'!$P$13:$P$22, "&gt;="&amp;CY1,'Revenue Tracking'!$P$13:$P$22, "&lt;"&amp;CZ1)</f>
        <v>0</v>
      </c>
      <c r="CZ9" s="122">
        <f>SUMIFS('Revenue Tracking'!$F$13:$F$22, 'Revenue Tracking'!$P$13:$P$22, "&gt;="&amp;CZ1,'Revenue Tracking'!$P$13:$P$22, "&lt;"&amp;DA1)</f>
        <v>0</v>
      </c>
      <c r="DA9" s="122">
        <f>SUMIFS('Revenue Tracking'!$F$13:$F$22, 'Revenue Tracking'!$P$13:$P$22, "&gt;="&amp;DA1,'Revenue Tracking'!$P$13:$P$22, "&lt;"&amp;DB1)</f>
        <v>0</v>
      </c>
      <c r="DB9" s="122">
        <f>SUMIFS('Revenue Tracking'!$F$13:$F$22, 'Revenue Tracking'!$P$13:$P$22, "&gt;="&amp;DB1,'Revenue Tracking'!$P$13:$P$22, "&lt;"&amp;DC1)</f>
        <v>0</v>
      </c>
      <c r="DC9" s="122">
        <f>SUMIFS('Revenue Tracking'!$F$13:$F$22, 'Revenue Tracking'!$P$13:$P$22, "&gt;="&amp;DC1,'Revenue Tracking'!$P$13:$P$22, "&lt;"&amp;DD1)</f>
        <v>0</v>
      </c>
      <c r="DD9" s="122">
        <f>SUMIFS('Revenue Tracking'!$F$13:$F$22, 'Revenue Tracking'!$P$13:$P$22, "&gt;="&amp;DD1,'Revenue Tracking'!$P$13:$P$22, "&lt;"&amp;DE1)</f>
        <v>0</v>
      </c>
      <c r="DE9" s="122">
        <f>SUMIFS('Revenue Tracking'!$F$13:$F$22, 'Revenue Tracking'!$P$13:$P$22, "&gt;="&amp;DE1,'Revenue Tracking'!$P$13:$P$22, "&lt;"&amp;DF1)</f>
        <v>0</v>
      </c>
      <c r="DF9" s="122">
        <f>SUMIFS('Revenue Tracking'!$F$13:$F$22, 'Revenue Tracking'!$P$13:$P$22, "&gt;="&amp;DF1,'Revenue Tracking'!$P$13:$P$22, "&lt;"&amp;DG1)</f>
        <v>0</v>
      </c>
      <c r="DG9" s="122">
        <f>SUMIFS('Revenue Tracking'!$F$13:$F$22, 'Revenue Tracking'!$P$13:$P$22, "&gt;="&amp;DG1,'Revenue Tracking'!$P$13:$P$22, "&lt;"&amp;DH1)</f>
        <v>0</v>
      </c>
      <c r="DH9" s="122">
        <f>SUMIFS('Revenue Tracking'!$F$13:$F$22, 'Revenue Tracking'!$P$13:$P$22, "&gt;="&amp;DH1,'Revenue Tracking'!$P$13:$P$22, "&lt;"&amp;DI1)</f>
        <v>0</v>
      </c>
      <c r="DI9" s="122">
        <f>SUMIFS('Revenue Tracking'!$F$13:$F$22, 'Revenue Tracking'!$P$13:$P$22, "&gt;="&amp;DI1,'Revenue Tracking'!$P$13:$P$22, "&lt;"&amp;DJ1)</f>
        <v>0</v>
      </c>
      <c r="DJ9" s="122">
        <f>SUMIFS('Revenue Tracking'!$F$13:$F$22, 'Revenue Tracking'!$P$13:$P$22, "&gt;="&amp;DJ1,'Revenue Tracking'!$P$13:$P$22, "&lt;"&amp;DK1)</f>
        <v>0</v>
      </c>
      <c r="DK9" s="122">
        <f>SUMIFS('Revenue Tracking'!$F$13:$F$22, 'Revenue Tracking'!$P$13:$P$22, "&gt;="&amp;DK1,'Revenue Tracking'!$P$13:$P$22, "&lt;"&amp;DL1)</f>
        <v>0</v>
      </c>
      <c r="DL9" s="122">
        <f>SUMIFS('Revenue Tracking'!$F$13:$F$22, 'Revenue Tracking'!$P$13:$P$22, "&gt;="&amp;DL1,'Revenue Tracking'!$P$13:$P$22, "&lt;"&amp;DM1)</f>
        <v>0</v>
      </c>
      <c r="DM9" s="122">
        <f>SUMIFS('Revenue Tracking'!$F$13:$F$22, 'Revenue Tracking'!$P$13:$P$22, "&gt;="&amp;DM1,'Revenue Tracking'!$P$13:$P$22, "&lt;"&amp;DN1)</f>
        <v>0</v>
      </c>
      <c r="DN9" s="122">
        <f>SUMIFS('Revenue Tracking'!$F$13:$F$22, 'Revenue Tracking'!$P$13:$P$22, "&gt;="&amp;DN1,'Revenue Tracking'!$P$13:$P$22, "&lt;"&amp;DO1)</f>
        <v>0</v>
      </c>
      <c r="DO9" s="122">
        <f>SUMIFS('Revenue Tracking'!$F$13:$F$22, 'Revenue Tracking'!$P$13:$P$22, "&gt;="&amp;DO1,'Revenue Tracking'!$P$13:$P$22, "&lt;"&amp;DP1)</f>
        <v>0</v>
      </c>
      <c r="DP9" s="122">
        <f>SUMIFS('Revenue Tracking'!$F$13:$F$22, 'Revenue Tracking'!$P$13:$P$22, "&gt;="&amp;DP1,'Revenue Tracking'!$P$13:$P$22, "&lt;"&amp;DQ1)</f>
        <v>0</v>
      </c>
      <c r="DQ9" s="122">
        <f>SUMIFS('Revenue Tracking'!$F$13:$F$22, 'Revenue Tracking'!$P$13:$P$22, "&gt;="&amp;DQ1,'Revenue Tracking'!$P$13:$P$22, "&lt;"&amp;DR1)</f>
        <v>0</v>
      </c>
      <c r="DR9" s="122">
        <f>SUMIFS('Revenue Tracking'!$F$13:$F$22, 'Revenue Tracking'!$P$13:$P$22, "&gt;="&amp;DR1,'Revenue Tracking'!$P$13:$P$22, "&lt;"&amp;DS1)</f>
        <v>0</v>
      </c>
      <c r="DS9" s="122">
        <f>SUMIFS('Revenue Tracking'!$F$13:$F$22, 'Revenue Tracking'!$P$13:$P$22, "&gt;="&amp;DS1,'Revenue Tracking'!$P$13:$P$22, "&lt;"&amp;DT1)</f>
        <v>0</v>
      </c>
      <c r="DT9" s="122">
        <f>SUMIFS('Revenue Tracking'!$F$13:$F$22, 'Revenue Tracking'!$P$13:$P$22, "&gt;="&amp;DT1,'Revenue Tracking'!$P$13:$P$22, "&lt;"&amp;DU1)</f>
        <v>0</v>
      </c>
      <c r="DU9" s="122">
        <f>SUMIFS('Revenue Tracking'!$F$13:$F$22, 'Revenue Tracking'!$P$13:$P$22, "&gt;="&amp;DU1,'Revenue Tracking'!$P$13:$P$22, "&lt;"&amp;DV1)</f>
        <v>0</v>
      </c>
      <c r="DV9" s="122">
        <f>SUMIFS('Revenue Tracking'!$F$13:$F$22, 'Revenue Tracking'!$P$13:$P$22, "&gt;="&amp;DV1,'Revenue Tracking'!$P$13:$P$22, "&lt;"&amp;DW1)</f>
        <v>0</v>
      </c>
      <c r="DW9" s="122">
        <f>SUMIFS('Revenue Tracking'!$F$13:$F$22, 'Revenue Tracking'!$P$13:$P$22, "&gt;="&amp;DW1,'Revenue Tracking'!$P$13:$P$22, "&lt;"&amp;DX1)</f>
        <v>0</v>
      </c>
      <c r="DX9" s="122">
        <f>SUMIFS('Revenue Tracking'!$F$13:$F$22, 'Revenue Tracking'!$P$13:$P$22, "&gt;="&amp;DX1,'Revenue Tracking'!$P$13:$P$22, "&lt;"&amp;DY1)</f>
        <v>0</v>
      </c>
      <c r="DY9" s="122">
        <f>SUMIFS('Revenue Tracking'!$F$13:$F$22, 'Revenue Tracking'!$P$13:$P$22, "&gt;="&amp;DY1,'Revenue Tracking'!$P$13:$P$22, "&lt;"&amp;DZ1)</f>
        <v>0</v>
      </c>
      <c r="DZ9" s="122">
        <f>SUMIFS('Revenue Tracking'!$F$13:$F$22, 'Revenue Tracking'!$P$13:$P$22, "&gt;="&amp;DZ1,'Revenue Tracking'!$P$13:$P$22, "&lt;"&amp;EA1)</f>
        <v>0</v>
      </c>
      <c r="EA9" s="122">
        <f>SUMIFS('Revenue Tracking'!$F$13:$F$22, 'Revenue Tracking'!$P$13:$P$22, "&gt;="&amp;EA1,'Revenue Tracking'!$P$13:$P$22, "&lt;"&amp;EB1)</f>
        <v>0</v>
      </c>
      <c r="EB9" s="122">
        <f>SUMIFS('Revenue Tracking'!$F$13:$F$22, 'Revenue Tracking'!$P$13:$P$22, "&gt;="&amp;EB1,'Revenue Tracking'!$P$13:$P$22, "&lt;"&amp;EC1)</f>
        <v>0</v>
      </c>
      <c r="EC9" s="122">
        <f>SUMIFS('Revenue Tracking'!$F$13:$F$22, 'Revenue Tracking'!$P$13:$P$22, "&gt;="&amp;EC1,'Revenue Tracking'!$P$13:$P$22, "&lt;"&amp;ED1)</f>
        <v>0</v>
      </c>
      <c r="ED9" s="122">
        <f>SUMIFS('Revenue Tracking'!$F$13:$F$22, 'Revenue Tracking'!$P$13:$P$22, "&gt;="&amp;ED1,'Revenue Tracking'!$P$13:$P$22, "&lt;"&amp;EE1)</f>
        <v>0</v>
      </c>
      <c r="EE9" s="122">
        <f>SUMIFS('Revenue Tracking'!$F$13:$F$22, 'Revenue Tracking'!$P$13:$P$22, "&gt;="&amp;EE1,'Revenue Tracking'!$P$13:$P$22, "&lt;"&amp;EF1)</f>
        <v>0</v>
      </c>
      <c r="EF9" s="122">
        <f>SUMIFS('Revenue Tracking'!$F$13:$F$22, 'Revenue Tracking'!$P$13:$P$22, "&gt;="&amp;EF1,'Revenue Tracking'!$P$13:$P$22, "&lt;"&amp;EG1)</f>
        <v>0</v>
      </c>
      <c r="EG9" s="122">
        <f>SUMIFS('Revenue Tracking'!$F$13:$F$22, 'Revenue Tracking'!$P$13:$P$22, "&gt;="&amp;EG1,'Revenue Tracking'!$P$13:$P$22, "&lt;"&amp;EH1)</f>
        <v>0</v>
      </c>
      <c r="EH9" s="122">
        <f>SUMIFS('Revenue Tracking'!$F$13:$F$22, 'Revenue Tracking'!$P$13:$P$22, "&gt;="&amp;EH1,'Revenue Tracking'!$P$13:$P$22, "&lt;"&amp;EI1)</f>
        <v>0</v>
      </c>
      <c r="EI9" s="122">
        <f>SUMIFS('Revenue Tracking'!$F$13:$F$22, 'Revenue Tracking'!$P$13:$P$22, "&gt;="&amp;EI1,'Revenue Tracking'!$P$13:$P$22, "&lt;"&amp;EJ1)</f>
        <v>0</v>
      </c>
      <c r="EJ9" s="122">
        <f>SUMIFS('Revenue Tracking'!$F$13:$F$22, 'Revenue Tracking'!$P$13:$P$22, "&gt;="&amp;EJ1,'Revenue Tracking'!$P$13:$P$22, "&lt;"&amp;EK1)</f>
        <v>0</v>
      </c>
      <c r="EK9" s="122">
        <f>SUMIFS('Revenue Tracking'!$F$13:$F$22, 'Revenue Tracking'!$P$13:$P$22, "&gt;="&amp;EK1,'Revenue Tracking'!$P$13:$P$22, "&lt;"&amp;EL1)</f>
        <v>0</v>
      </c>
      <c r="EL9" s="122">
        <f>SUMIFS('Revenue Tracking'!$F$13:$F$22, 'Revenue Tracking'!$P$13:$P$22, "&gt;="&amp;EL1,'Revenue Tracking'!$P$13:$P$22, "&lt;"&amp;EM1)</f>
        <v>0</v>
      </c>
      <c r="EM9" s="122">
        <f>SUMIFS('Revenue Tracking'!$F$13:$F$22, 'Revenue Tracking'!$P$13:$P$22, "&gt;="&amp;EM1,'Revenue Tracking'!$P$13:$P$22, "&lt;"&amp;EN1)</f>
        <v>0</v>
      </c>
      <c r="EN9" s="122">
        <f>SUMIFS('Revenue Tracking'!$F$13:$F$22, 'Revenue Tracking'!$P$13:$P$22, "&gt;="&amp;EN1,'Revenue Tracking'!$P$13:$P$22, "&lt;"&amp;EO1)</f>
        <v>0</v>
      </c>
      <c r="EO9" s="122">
        <f>SUMIFS('Revenue Tracking'!$F$13:$F$22, 'Revenue Tracking'!$P$13:$P$22, "&gt;="&amp;EO1,'Revenue Tracking'!$P$13:$P$22, "&lt;"&amp;EP1)</f>
        <v>0</v>
      </c>
      <c r="EP9" s="122">
        <f>SUMIFS('Revenue Tracking'!$F$13:$F$22, 'Revenue Tracking'!$P$13:$P$22, "&gt;="&amp;EP1,'Revenue Tracking'!$P$13:$P$22, "&lt;"&amp;EQ1)</f>
        <v>0</v>
      </c>
      <c r="EQ9" s="122">
        <f>SUMIFS('Revenue Tracking'!$F$13:$F$22, 'Revenue Tracking'!$P$13:$P$22, "&gt;="&amp;EQ1,'Revenue Tracking'!$P$13:$P$22, "&lt;"&amp;ER1)</f>
        <v>0</v>
      </c>
      <c r="ER9" s="122">
        <f>SUMIFS('Revenue Tracking'!$F$13:$F$22, 'Revenue Tracking'!$P$13:$P$22, "&gt;="&amp;ER1,'Revenue Tracking'!$P$13:$P$22, "&lt;"&amp;ES1)</f>
        <v>0</v>
      </c>
      <c r="ES9" s="122">
        <f>SUMIFS('Revenue Tracking'!$F$13:$F$22, 'Revenue Tracking'!$P$13:$P$22, "&gt;="&amp;ES1,'Revenue Tracking'!$P$13:$P$22, "&lt;"&amp;ET1)</f>
        <v>0</v>
      </c>
      <c r="ET9" s="122">
        <f>SUMIFS('Revenue Tracking'!$F$13:$F$22, 'Revenue Tracking'!$P$13:$P$22, "&gt;="&amp;ET1,'Revenue Tracking'!$P$13:$P$22, "&lt;"&amp;EU1)</f>
        <v>0</v>
      </c>
      <c r="EU9" s="122">
        <f>SUMIFS('Revenue Tracking'!$F$13:$F$22, 'Revenue Tracking'!$P$13:$P$22, "&gt;="&amp;EU1,'Revenue Tracking'!$P$13:$P$22, "&lt;"&amp;EV1)</f>
        <v>0</v>
      </c>
      <c r="EV9" s="122">
        <f>SUMIFS('Revenue Tracking'!$F$13:$F$22, 'Revenue Tracking'!$P$13:$P$22, "&gt;="&amp;EV1,'Revenue Tracking'!$P$13:$P$22, "&lt;"&amp;EW1)</f>
        <v>0</v>
      </c>
      <c r="EW9" s="122">
        <f>SUMIFS('Revenue Tracking'!$F$13:$F$22, 'Revenue Tracking'!$P$13:$P$22, "&gt;="&amp;EW1,'Revenue Tracking'!$P$13:$P$22, "&lt;"&amp;EX1)</f>
        <v>0</v>
      </c>
      <c r="EX9" s="122">
        <f>SUMIFS('Revenue Tracking'!$F$13:$F$22, 'Revenue Tracking'!$P$13:$P$22, "&gt;="&amp;EX1,'Revenue Tracking'!$P$13:$P$22, "&lt;"&amp;EY1)</f>
        <v>0</v>
      </c>
      <c r="EY9" s="122">
        <f>SUMIFS('Revenue Tracking'!$F$13:$F$22, 'Revenue Tracking'!$P$13:$P$22, "&gt;="&amp;EY1,'Revenue Tracking'!$P$13:$P$22, "&lt;"&amp;EZ1)</f>
        <v>0</v>
      </c>
      <c r="EZ9" s="122">
        <f>SUMIFS('Revenue Tracking'!$F$13:$F$22, 'Revenue Tracking'!$P$13:$P$22, "&gt;="&amp;EZ1,'Revenue Tracking'!$P$13:$P$22, "&lt;"&amp;FA1)</f>
        <v>0</v>
      </c>
      <c r="FA9" s="122">
        <f>SUMIFS('Revenue Tracking'!$F$13:$F$22, 'Revenue Tracking'!$P$13:$P$22, "&gt;="&amp;FA1,'Revenue Tracking'!$P$13:$P$22, "&lt;"&amp;FB1)</f>
        <v>0</v>
      </c>
      <c r="FB9" s="122">
        <f>SUMIFS('Revenue Tracking'!$F$13:$F$22, 'Revenue Tracking'!$P$13:$P$22, "&gt;="&amp;FB1,'Revenue Tracking'!$P$13:$P$22, "&lt;"&amp;FC1)</f>
        <v>0</v>
      </c>
      <c r="FC9" s="122">
        <f>SUMIFS('Revenue Tracking'!$F$13:$F$22, 'Revenue Tracking'!$P$13:$P$22, "&gt;="&amp;FC1,'Revenue Tracking'!$P$13:$P$22, "&lt;"&amp;FD1)</f>
        <v>0</v>
      </c>
      <c r="FD9" s="122">
        <f>SUMIFS('Revenue Tracking'!$F$13:$F$22, 'Revenue Tracking'!$P$13:$P$22, "&gt;="&amp;FD1,'Revenue Tracking'!$P$13:$P$22, "&lt;"&amp;FE1)</f>
        <v>0</v>
      </c>
      <c r="FE9" s="122">
        <f>SUMIFS('Revenue Tracking'!$F$13:$F$22, 'Revenue Tracking'!$P$13:$P$22, "&gt;="&amp;FE1,'Revenue Tracking'!$P$13:$P$22, "&lt;"&amp;FF1)</f>
        <v>0</v>
      </c>
      <c r="FF9" s="122">
        <f>SUMIFS('Revenue Tracking'!$F$13:$F$22, 'Revenue Tracking'!$P$13:$P$22, "&gt;="&amp;FF1,'Revenue Tracking'!$P$13:$P$22, "&lt;"&amp;FG1)</f>
        <v>0</v>
      </c>
      <c r="FG9" s="122">
        <f>SUMIFS('Revenue Tracking'!$F$13:$F$22, 'Revenue Tracking'!$P$13:$P$22, "&gt;="&amp;FG1,'Revenue Tracking'!$P$13:$P$22, "&lt;"&amp;FH1)</f>
        <v>0</v>
      </c>
      <c r="FH9" s="122">
        <f>SUMIFS('Revenue Tracking'!$F$13:$F$22, 'Revenue Tracking'!$P$13:$P$22, "&gt;="&amp;FH1,'Revenue Tracking'!$P$13:$P$22, "&lt;"&amp;FI1)</f>
        <v>0</v>
      </c>
      <c r="FI9" s="122">
        <f>SUMIFS('Revenue Tracking'!$F$13:$F$22, 'Revenue Tracking'!$P$13:$P$22, "&gt;="&amp;FI1,'Revenue Tracking'!$P$13:$P$22, "&lt;"&amp;FJ1)</f>
        <v>0</v>
      </c>
      <c r="FJ9" s="122">
        <f>SUMIFS('Revenue Tracking'!$F$13:$F$22, 'Revenue Tracking'!$P$13:$P$22, "&gt;="&amp;FJ1,'Revenue Tracking'!$P$13:$P$22, "&lt;"&amp;FK1)</f>
        <v>0</v>
      </c>
      <c r="FK9" s="122">
        <f>SUMIFS('Revenue Tracking'!$F$13:$F$22, 'Revenue Tracking'!$P$13:$P$22, "&gt;="&amp;FK1,'Revenue Tracking'!$P$13:$P$22, "&lt;"&amp;FL1)</f>
        <v>0</v>
      </c>
      <c r="FL9" s="122">
        <f>SUMIFS('Revenue Tracking'!$F$13:$F$22, 'Revenue Tracking'!$P$13:$P$22, "&gt;="&amp;FL1,'Revenue Tracking'!$P$13:$P$22, "&lt;"&amp;FM1)</f>
        <v>0</v>
      </c>
      <c r="FM9" s="122">
        <f>SUMIFS('Revenue Tracking'!$F$13:$F$22, 'Revenue Tracking'!$P$13:$P$22, "&gt;="&amp;FM1,'Revenue Tracking'!$P$13:$P$22, "&lt;"&amp;FN1)</f>
        <v>0</v>
      </c>
      <c r="FN9" s="122">
        <f>SUMIFS('Revenue Tracking'!$F$13:$F$22, 'Revenue Tracking'!$P$13:$P$22, "&gt;="&amp;FN1,'Revenue Tracking'!$P$13:$P$22, "&lt;"&amp;FO1)</f>
        <v>0</v>
      </c>
      <c r="FO9" s="122">
        <f>SUMIFS('Revenue Tracking'!$F$13:$F$22, 'Revenue Tracking'!$P$13:$P$22, "&gt;="&amp;FO1,'Revenue Tracking'!$P$13:$P$22, "&lt;"&amp;FP1)</f>
        <v>0</v>
      </c>
      <c r="FP9" s="122">
        <f>SUMIFS('Revenue Tracking'!$F$13:$F$22, 'Revenue Tracking'!$P$13:$P$22, "&gt;="&amp;FP1,'Revenue Tracking'!$P$13:$P$22, "&lt;"&amp;FQ1)</f>
        <v>0</v>
      </c>
      <c r="FQ9" s="122">
        <f>SUMIFS('Revenue Tracking'!$F$13:$F$22, 'Revenue Tracking'!$P$13:$P$22, "&gt;="&amp;FQ1,'Revenue Tracking'!$P$13:$P$22, "&lt;"&amp;FR1)</f>
        <v>0</v>
      </c>
      <c r="FR9" s="122">
        <f>SUMIFS('Revenue Tracking'!$F$13:$F$22, 'Revenue Tracking'!$P$13:$P$22, "&gt;="&amp;FR1,'Revenue Tracking'!$P$13:$P$22, "&lt;"&amp;FS1)</f>
        <v>0</v>
      </c>
      <c r="FS9" s="122">
        <f>SUMIFS('Revenue Tracking'!$F$13:$F$22, 'Revenue Tracking'!$P$13:$P$22, "&gt;="&amp;FS1,'Revenue Tracking'!$P$13:$P$22, "&lt;"&amp;FT1)</f>
        <v>0</v>
      </c>
      <c r="FT9" s="122">
        <f>SUMIFS('Revenue Tracking'!$F$13:$F$22, 'Revenue Tracking'!$P$13:$P$22, "&gt;="&amp;FT1,'Revenue Tracking'!$P$13:$P$22, "&lt;"&amp;FU1)</f>
        <v>0</v>
      </c>
      <c r="FU9" s="122">
        <f>SUMIFS('Revenue Tracking'!$F$13:$F$22, 'Revenue Tracking'!$P$13:$P$22, "&gt;="&amp;FU1,'Revenue Tracking'!$P$13:$P$22, "&lt;"&amp;FV1)</f>
        <v>0</v>
      </c>
      <c r="FV9" s="122">
        <f>SUMIFS('Revenue Tracking'!$F$13:$F$22, 'Revenue Tracking'!$P$13:$P$22, "&gt;="&amp;FV1,'Revenue Tracking'!$P$13:$P$22, "&lt;"&amp;FW1)</f>
        <v>0</v>
      </c>
      <c r="FW9" s="122">
        <f>SUMIFS('Revenue Tracking'!$F$13:$F$22, 'Revenue Tracking'!$P$13:$P$22, "&gt;="&amp;FW1,'Revenue Tracking'!$P$13:$P$22, "&lt;"&amp;FX1)</f>
        <v>0</v>
      </c>
      <c r="FX9" s="122">
        <f>SUMIFS('Revenue Tracking'!$F$13:$F$22, 'Revenue Tracking'!$P$13:$P$22, "&gt;="&amp;FX1,'Revenue Tracking'!$P$13:$P$22, "&lt;"&amp;FY1)</f>
        <v>0</v>
      </c>
      <c r="FY9" s="122">
        <f>SUMIFS('Revenue Tracking'!$F$13:$F$22, 'Revenue Tracking'!$P$13:$P$22, "&gt;="&amp;FY1,'Revenue Tracking'!$P$13:$P$22, "&lt;"&amp;FZ1)</f>
        <v>0</v>
      </c>
      <c r="FZ9" s="122">
        <f>SUMIFS('Revenue Tracking'!$F$13:$F$22, 'Revenue Tracking'!$P$13:$P$22, "&gt;="&amp;FZ1,'Revenue Tracking'!$P$13:$P$22, "&lt;"&amp;GA1)</f>
        <v>0</v>
      </c>
      <c r="GA9" s="122">
        <f>SUMIFS('Revenue Tracking'!$F$13:$F$22, 'Revenue Tracking'!$P$13:$P$22, "&gt;="&amp;GA1,'Revenue Tracking'!$P$13:$P$22, "&lt;"&amp;GB1)</f>
        <v>0</v>
      </c>
      <c r="GB9" s="122">
        <f>SUMIFS('Revenue Tracking'!$F$13:$F$22, 'Revenue Tracking'!$P$13:$P$22, "&gt;="&amp;GB1,'Revenue Tracking'!$P$13:$P$22, "&lt;"&amp;GC1)</f>
        <v>0</v>
      </c>
      <c r="GC9" s="122">
        <f>SUMIFS('Revenue Tracking'!$F$13:$F$22, 'Revenue Tracking'!$P$13:$P$22, "&gt;="&amp;GC1,'Revenue Tracking'!$P$13:$P$22, "&lt;"&amp;GD1)</f>
        <v>0</v>
      </c>
      <c r="GD9" s="122">
        <f>SUMIFS('Revenue Tracking'!$F$13:$F$22, 'Revenue Tracking'!$P$13:$P$22, "&gt;="&amp;GD1,'Revenue Tracking'!$P$13:$P$22, "&lt;"&amp;GE1)</f>
        <v>0</v>
      </c>
      <c r="GE9" s="122">
        <f>SUMIFS('Revenue Tracking'!$F$13:$F$22, 'Revenue Tracking'!$P$13:$P$22, "&gt;="&amp;GE1,'Revenue Tracking'!$P$13:$P$22, "&lt;"&amp;GF1)</f>
        <v>0</v>
      </c>
      <c r="GF9" s="122">
        <f>SUMIFS('Revenue Tracking'!$F$13:$F$22, 'Revenue Tracking'!$P$13:$P$22, "&gt;="&amp;GF1,'Revenue Tracking'!$P$13:$P$22, "&lt;"&amp;GG1)</f>
        <v>0</v>
      </c>
      <c r="GG9" s="122">
        <f>SUMIFS('Revenue Tracking'!$F$13:$F$22, 'Revenue Tracking'!$P$13:$P$22, "&gt;="&amp;GG1,'Revenue Tracking'!$P$13:$P$22, "&lt;"&amp;GH1)</f>
        <v>0</v>
      </c>
      <c r="GH9" s="122">
        <f>SUMIFS('Revenue Tracking'!$F$13:$F$22, 'Revenue Tracking'!$P$13:$P$22, "&gt;="&amp;GH1,'Revenue Tracking'!$P$13:$P$22, "&lt;"&amp;GI1)</f>
        <v>0</v>
      </c>
      <c r="GI9" s="122">
        <f>SUMIFS('Revenue Tracking'!$F$13:$F$22, 'Revenue Tracking'!$P$13:$P$22, "&gt;="&amp;GI1,'Revenue Tracking'!$P$13:$P$22, "&lt;"&amp;GJ1)</f>
        <v>0</v>
      </c>
      <c r="GJ9" s="122">
        <f>SUMIFS('Revenue Tracking'!$F$13:$F$22, 'Revenue Tracking'!$P$13:$P$22, "&gt;="&amp;GJ1,'Revenue Tracking'!$P$13:$P$22, "&lt;"&amp;GK1)</f>
        <v>0</v>
      </c>
      <c r="GK9" s="122">
        <f>SUMIFS('Revenue Tracking'!$F$13:$F$22, 'Revenue Tracking'!$P$13:$P$22, "&gt;="&amp;GK1,'Revenue Tracking'!$P$13:$P$22, "&lt;"&amp;GL1)</f>
        <v>0</v>
      </c>
      <c r="GL9" s="122">
        <f>SUMIFS('Revenue Tracking'!$F$13:$F$22, 'Revenue Tracking'!$P$13:$P$22, "&gt;="&amp;GL1,'Revenue Tracking'!$P$13:$P$22, "&lt;"&amp;GM1)</f>
        <v>0</v>
      </c>
      <c r="GM9" s="122">
        <f>SUMIFS('Revenue Tracking'!$F$13:$F$22, 'Revenue Tracking'!$P$13:$P$22, "&gt;="&amp;GM1,'Revenue Tracking'!$P$13:$P$22, "&lt;"&amp;GN1)</f>
        <v>0</v>
      </c>
      <c r="GN9" s="122">
        <f>SUMIFS('Revenue Tracking'!$F$13:$F$22, 'Revenue Tracking'!$P$13:$P$22, "&gt;="&amp;GN1,'Revenue Tracking'!$P$13:$P$22, "&lt;"&amp;GO1)</f>
        <v>0</v>
      </c>
      <c r="GO9" s="122">
        <f>SUMIFS('Revenue Tracking'!$F$13:$F$22, 'Revenue Tracking'!$P$13:$P$22, "&gt;="&amp;GO1,'Revenue Tracking'!$P$13:$P$22, "&lt;"&amp;GP1)</f>
        <v>0</v>
      </c>
      <c r="GP9" s="122">
        <f>SUMIFS('Revenue Tracking'!$F$13:$F$22, 'Revenue Tracking'!$P$13:$P$22, "&gt;="&amp;GP1,'Revenue Tracking'!$P$13:$P$22, "&lt;"&amp;GQ1)</f>
        <v>0</v>
      </c>
      <c r="GQ9" s="122">
        <f>SUMIFS('Revenue Tracking'!$F$13:$F$22, 'Revenue Tracking'!$P$13:$P$22, "&gt;="&amp;GQ1,'Revenue Tracking'!$P$13:$P$22, "&lt;"&amp;GR1)</f>
        <v>0</v>
      </c>
      <c r="GR9" s="122">
        <f>SUMIFS('Revenue Tracking'!$F$13:$F$22, 'Revenue Tracking'!$P$13:$P$22, "&gt;="&amp;GR1,'Revenue Tracking'!$P$13:$P$22, "&lt;"&amp;GS1)</f>
        <v>0</v>
      </c>
      <c r="GS9" s="122">
        <f>SUMIFS('Revenue Tracking'!$F$13:$F$22, 'Revenue Tracking'!$P$13:$P$22, "&gt;="&amp;GS1,'Revenue Tracking'!$P$13:$P$22, "&lt;"&amp;GT1)</f>
        <v>0</v>
      </c>
      <c r="GT9" s="122">
        <f>SUMIFS('Revenue Tracking'!$F$13:$F$22, 'Revenue Tracking'!$P$13:$P$22, "&gt;="&amp;GT1,'Revenue Tracking'!$P$13:$P$22, "&lt;"&amp;GU1)</f>
        <v>0</v>
      </c>
      <c r="GU9" s="122">
        <f>SUMIFS('Revenue Tracking'!$F$13:$F$22, 'Revenue Tracking'!$P$13:$P$22, "&gt;="&amp;GU1,'Revenue Tracking'!$P$13:$P$22, "&lt;"&amp;GV1)</f>
        <v>0</v>
      </c>
      <c r="GV9" s="122">
        <f>SUMIFS('Revenue Tracking'!$F$13:$F$22, 'Revenue Tracking'!$P$13:$P$22, "&gt;="&amp;GV1,'Revenue Tracking'!$P$13:$P$22, "&lt;"&amp;GW1)</f>
        <v>0</v>
      </c>
      <c r="GW9" s="122">
        <f>SUMIFS('Revenue Tracking'!$F$13:$F$22, 'Revenue Tracking'!$P$13:$P$22, "&gt;="&amp;GW1,'Revenue Tracking'!$P$13:$P$22, "&lt;"&amp;GX1)</f>
        <v>0</v>
      </c>
      <c r="GX9" s="122">
        <f>SUMIFS('Revenue Tracking'!$F$13:$F$22, 'Revenue Tracking'!$P$13:$P$22, "&gt;="&amp;GX1,'Revenue Tracking'!$P$13:$P$22, "&lt;"&amp;GY1)</f>
        <v>0</v>
      </c>
      <c r="GY9" s="122">
        <f>SUMIFS('Revenue Tracking'!$F$13:$F$22, 'Revenue Tracking'!$P$13:$P$22, "&gt;="&amp;GY1,'Revenue Tracking'!$P$13:$P$22, "&lt;"&amp;GZ1)</f>
        <v>0</v>
      </c>
      <c r="GZ9" s="122">
        <f>SUMIFS('Revenue Tracking'!$F$13:$F$22, 'Revenue Tracking'!$P$13:$P$22, "&gt;="&amp;GZ1,'Revenue Tracking'!$P$13:$P$22, "&lt;"&amp;HA1)</f>
        <v>0</v>
      </c>
      <c r="HA9" s="122">
        <f>SUMIFS('Revenue Tracking'!$F$13:$F$22, 'Revenue Tracking'!$P$13:$P$22, "&gt;="&amp;HA1,'Revenue Tracking'!$P$13:$P$22, "&lt;"&amp;HB1)</f>
        <v>0</v>
      </c>
      <c r="HB9" s="122">
        <f>SUMIFS('Revenue Tracking'!$F$13:$F$22, 'Revenue Tracking'!$P$13:$P$22, "&gt;="&amp;HB1,'Revenue Tracking'!$P$13:$P$22, "&lt;"&amp;HC1)</f>
        <v>0</v>
      </c>
      <c r="HC9" s="122">
        <f>SUMIFS('Revenue Tracking'!$F$13:$F$22, 'Revenue Tracking'!$P$13:$P$22, "&gt;="&amp;HC1,'Revenue Tracking'!$P$13:$P$22, "&lt;"&amp;HD1)</f>
        <v>0</v>
      </c>
      <c r="HD9" s="122">
        <f>SUMIFS('Revenue Tracking'!$F$13:$F$22, 'Revenue Tracking'!$P$13:$P$22, "&gt;="&amp;HD1,'Revenue Tracking'!$P$13:$P$22, "&lt;"&amp;HE1)</f>
        <v>0</v>
      </c>
      <c r="HE9" s="122">
        <f>SUMIFS('Revenue Tracking'!$F$13:$F$22, 'Revenue Tracking'!$P$13:$P$22, "&gt;="&amp;HE1,'Revenue Tracking'!$P$13:$P$22, "&lt;"&amp;HF1)</f>
        <v>0</v>
      </c>
      <c r="HF9" s="122">
        <f>SUMIFS('Revenue Tracking'!$F$13:$F$22, 'Revenue Tracking'!$P$13:$P$22, "&gt;="&amp;HF1,'Revenue Tracking'!$P$13:$P$22, "&lt;"&amp;HG1)</f>
        <v>0</v>
      </c>
      <c r="HG9" s="122">
        <f>SUMIFS('Revenue Tracking'!$F$13:$F$22, 'Revenue Tracking'!$P$13:$P$22, "&gt;="&amp;HG1,'Revenue Tracking'!$P$13:$P$22, "&lt;"&amp;HH1)</f>
        <v>0</v>
      </c>
      <c r="HH9" s="122">
        <f>SUMIFS('Revenue Tracking'!$F$13:$F$22, 'Revenue Tracking'!$P$13:$P$22, "&gt;="&amp;HH1,'Revenue Tracking'!$P$13:$P$22, "&lt;"&amp;HI1)</f>
        <v>0</v>
      </c>
      <c r="HI9" s="122">
        <f>SUMIFS('Revenue Tracking'!$F$13:$F$22, 'Revenue Tracking'!$P$13:$P$22, "&gt;="&amp;HI1,'Revenue Tracking'!$P$13:$P$22, "&lt;"&amp;HJ1)</f>
        <v>0</v>
      </c>
      <c r="HJ9" s="122">
        <f>SUMIFS('Revenue Tracking'!$F$13:$F$22, 'Revenue Tracking'!$P$13:$P$22, "&gt;="&amp;HJ1,'Revenue Tracking'!$P$13:$P$22, "&lt;"&amp;HK1)</f>
        <v>0</v>
      </c>
      <c r="HK9" s="122">
        <f>SUMIFS('Revenue Tracking'!$F$13:$F$22, 'Revenue Tracking'!$P$13:$P$22, "&gt;="&amp;HK1,'Revenue Tracking'!$P$13:$P$22, "&lt;"&amp;HL1)</f>
        <v>0</v>
      </c>
      <c r="HL9" s="122">
        <f>SUMIFS('Revenue Tracking'!$F$13:$F$22, 'Revenue Tracking'!$P$13:$P$22, "&gt;="&amp;HL1,'Revenue Tracking'!$P$13:$P$22, "&lt;"&amp;HM1)</f>
        <v>0</v>
      </c>
      <c r="HM9" s="122">
        <f>SUMIFS('Revenue Tracking'!$F$13:$F$22, 'Revenue Tracking'!$P$13:$P$22, "&gt;="&amp;HM1,'Revenue Tracking'!$P$13:$P$22, "&lt;"&amp;HN1)</f>
        <v>0</v>
      </c>
      <c r="HN9" s="122">
        <f>SUMIFS('Revenue Tracking'!$F$13:$F$22, 'Revenue Tracking'!$P$13:$P$22, "&gt;="&amp;HN1,'Revenue Tracking'!$P$13:$P$22, "&lt;"&amp;HO1)</f>
        <v>0</v>
      </c>
      <c r="HO9" s="122">
        <f>SUMIFS('Revenue Tracking'!$F$13:$F$22, 'Revenue Tracking'!$P$13:$P$22, "&gt;="&amp;HO1,'Revenue Tracking'!$P$13:$P$22, "&lt;"&amp;HP1)</f>
        <v>0</v>
      </c>
      <c r="HP9" s="122">
        <f>SUMIFS('Revenue Tracking'!$F$13:$F$22, 'Revenue Tracking'!$P$13:$P$22, "&gt;="&amp;HP1,'Revenue Tracking'!$P$13:$P$22, "&lt;"&amp;HQ1)</f>
        <v>0</v>
      </c>
      <c r="HQ9" s="122">
        <f>SUMIFS('Revenue Tracking'!$F$13:$F$22, 'Revenue Tracking'!$P$13:$P$22, "&gt;="&amp;HQ1,'Revenue Tracking'!$P$13:$P$22, "&lt;"&amp;HR1)</f>
        <v>0</v>
      </c>
      <c r="HR9" s="122">
        <f>SUMIFS('Revenue Tracking'!$F$13:$F$22, 'Revenue Tracking'!$P$13:$P$22, "&gt;="&amp;HR1,'Revenue Tracking'!$P$13:$P$22, "&lt;"&amp;HS1)</f>
        <v>0</v>
      </c>
      <c r="HS9" s="122">
        <f>SUMIFS('Revenue Tracking'!$F$13:$F$22, 'Revenue Tracking'!$P$13:$P$22, "&gt;="&amp;HS1,'Revenue Tracking'!$P$13:$P$22, "&lt;"&amp;HT1)</f>
        <v>0</v>
      </c>
      <c r="HT9" s="122">
        <f>SUMIFS('Revenue Tracking'!$F$13:$F$22, 'Revenue Tracking'!$P$13:$P$22, "&gt;="&amp;HT1,'Revenue Tracking'!$P$13:$P$22, "&lt;"&amp;HU1)</f>
        <v>0</v>
      </c>
      <c r="HU9" s="122">
        <f>SUMIFS('Revenue Tracking'!$F$13:$F$22, 'Revenue Tracking'!$P$13:$P$22, "&gt;="&amp;HU1,'Revenue Tracking'!$P$13:$P$22, "&lt;"&amp;HV1)</f>
        <v>0</v>
      </c>
      <c r="HV9" s="122">
        <f>SUMIFS('Revenue Tracking'!$F$13:$F$22, 'Revenue Tracking'!$P$13:$P$22, "&gt;="&amp;HV1,'Revenue Tracking'!$P$13:$P$22, "&lt;"&amp;HW1)</f>
        <v>0</v>
      </c>
      <c r="HW9" s="122">
        <f>SUMIFS('Revenue Tracking'!$F$13:$F$22, 'Revenue Tracking'!$P$13:$P$22, "&gt;="&amp;HW1,'Revenue Tracking'!$P$13:$P$22, "&lt;"&amp;HX1)</f>
        <v>0</v>
      </c>
      <c r="HX9" s="122">
        <f>SUMIFS('Revenue Tracking'!$F$13:$F$22, 'Revenue Tracking'!$P$13:$P$22, "&gt;="&amp;HX1,'Revenue Tracking'!$P$13:$P$22, "&lt;"&amp;HY1)</f>
        <v>0</v>
      </c>
      <c r="HY9" s="122">
        <f>SUMIFS('Revenue Tracking'!$F$13:$F$22, 'Revenue Tracking'!$P$13:$P$22, "&gt;="&amp;HY1,'Revenue Tracking'!$P$13:$P$22, "&lt;"&amp;HZ1)</f>
        <v>0</v>
      </c>
      <c r="HZ9" s="122">
        <f>SUMIFS('Revenue Tracking'!$F$13:$F$22, 'Revenue Tracking'!$P$13:$P$22, "&gt;="&amp;HZ1,'Revenue Tracking'!$P$13:$P$22, "&lt;"&amp;IA1)</f>
        <v>0</v>
      </c>
      <c r="IA9" s="122">
        <f>SUMIFS('Revenue Tracking'!$F$13:$F$22, 'Revenue Tracking'!$P$13:$P$22, "&gt;="&amp;IA1,'Revenue Tracking'!$P$13:$P$22, "&lt;"&amp;IB1)</f>
        <v>0</v>
      </c>
      <c r="IB9" s="122">
        <f>SUMIFS('Revenue Tracking'!$F$13:$F$22, 'Revenue Tracking'!$P$13:$P$22, "&gt;="&amp;IB1,'Revenue Tracking'!$P$13:$P$22, "&lt;"&amp;IC1)</f>
        <v>0</v>
      </c>
      <c r="IC9" s="122">
        <f>SUMIFS('Revenue Tracking'!$F$13:$F$22, 'Revenue Tracking'!$P$13:$P$22, "&gt;="&amp;IC1,'Revenue Tracking'!$P$13:$P$22, "&lt;"&amp;ID1)</f>
        <v>0</v>
      </c>
      <c r="ID9" s="122">
        <f>SUMIFS('Revenue Tracking'!$F$13:$F$22, 'Revenue Tracking'!$P$13:$P$22, "&gt;="&amp;ID1,'Revenue Tracking'!$P$13:$P$22, "&lt;"&amp;IE1)</f>
        <v>0</v>
      </c>
      <c r="IE9" s="122">
        <f>SUMIFS('Revenue Tracking'!$F$13:$F$22, 'Revenue Tracking'!$P$13:$P$22, "&gt;="&amp;IE1,'Revenue Tracking'!$P$13:$P$22, "&lt;"&amp;IF1)</f>
        <v>0</v>
      </c>
      <c r="IF9" s="122">
        <f>SUMIFS('Revenue Tracking'!$F$13:$F$22, 'Revenue Tracking'!$P$13:$P$22, "&gt;="&amp;IF1,'Revenue Tracking'!$P$13:$P$22, "&lt;"&amp;IG1)</f>
        <v>0</v>
      </c>
      <c r="IG9" s="122">
        <f>SUMIFS('Revenue Tracking'!$F$13:$F$22, 'Revenue Tracking'!$P$13:$P$22, "&gt;="&amp;IG1,'Revenue Tracking'!$P$13:$P$22, "&lt;"&amp;IH1)</f>
        <v>0</v>
      </c>
      <c r="IH9" s="122">
        <f>SUMIFS('Revenue Tracking'!$F$13:$F$22, 'Revenue Tracking'!$P$13:$P$22, "&gt;="&amp;IH1,'Revenue Tracking'!$P$13:$P$22, "&lt;"&amp;II1)</f>
        <v>0</v>
      </c>
      <c r="II9" s="122">
        <f>SUMIFS('Revenue Tracking'!$F$13:$F$22, 'Revenue Tracking'!$P$13:$P$22, "&gt;="&amp;II1,'Revenue Tracking'!$P$13:$P$22, "&lt;"&amp;IJ1)</f>
        <v>0</v>
      </c>
      <c r="IJ9" s="122">
        <f>SUMIFS('Revenue Tracking'!$F$13:$F$22, 'Revenue Tracking'!$P$13:$P$22, "&gt;="&amp;IJ1,'Revenue Tracking'!$P$13:$P$22, "&lt;"&amp;IK1)</f>
        <v>0</v>
      </c>
      <c r="IK9" s="122">
        <f>SUMIFS('Revenue Tracking'!$F$13:$F$22, 'Revenue Tracking'!$P$13:$P$22, "&gt;="&amp;IK1,'Revenue Tracking'!$P$13:$P$22, "&lt;"&amp;IL1)</f>
        <v>0</v>
      </c>
      <c r="IL9" s="122">
        <f>SUMIFS('Revenue Tracking'!$F$13:$F$22, 'Revenue Tracking'!$P$13:$P$22, "&gt;="&amp;IL1,'Revenue Tracking'!$P$13:$P$22, "&lt;"&amp;IM1)</f>
        <v>0</v>
      </c>
      <c r="IM9" s="122">
        <f>SUMIFS('Revenue Tracking'!$F$13:$F$22, 'Revenue Tracking'!$P$13:$P$22, "&gt;="&amp;IM1,'Revenue Tracking'!$P$13:$P$22, "&lt;"&amp;IN1)</f>
        <v>0</v>
      </c>
      <c r="IN9" s="122">
        <f>SUMIFS('Revenue Tracking'!$F$13:$F$22, 'Revenue Tracking'!$P$13:$P$22, "&gt;="&amp;IN1,'Revenue Tracking'!$P$13:$P$22, "&lt;"&amp;IO1)</f>
        <v>0</v>
      </c>
      <c r="IO9" s="122">
        <f>SUMIFS('Revenue Tracking'!$F$13:$F$22, 'Revenue Tracking'!$P$13:$P$22, "&gt;="&amp;IO1,'Revenue Tracking'!$P$13:$P$22, "&lt;"&amp;IP1)</f>
        <v>0</v>
      </c>
      <c r="IP9" s="122">
        <f>SUMIFS('Revenue Tracking'!$F$13:$F$22, 'Revenue Tracking'!$P$13:$P$22, "&gt;="&amp;IP1,'Revenue Tracking'!$P$13:$P$22, "&lt;"&amp;IQ1)</f>
        <v>0</v>
      </c>
      <c r="IQ9" s="122">
        <f>SUMIFS('Revenue Tracking'!$F$13:$F$22, 'Revenue Tracking'!$P$13:$P$22, "&gt;="&amp;IQ1,'Revenue Tracking'!$P$13:$P$22, "&lt;"&amp;IR1)</f>
        <v>0</v>
      </c>
      <c r="IR9" s="122">
        <f>SUMIFS('Revenue Tracking'!$F$13:$F$22, 'Revenue Tracking'!$P$13:$P$22, "&gt;="&amp;IR1,'Revenue Tracking'!$P$13:$P$22, "&lt;"&amp;IS1)</f>
        <v>0</v>
      </c>
      <c r="IS9" s="122">
        <f>SUMIFS('Revenue Tracking'!$F$13:$F$22, 'Revenue Tracking'!$P$13:$P$22, "&gt;="&amp;IS1,'Revenue Tracking'!$P$13:$P$22, "&lt;"&amp;IT1)</f>
        <v>0</v>
      </c>
      <c r="IT9" s="122">
        <f>SUMIFS('Revenue Tracking'!$F$13:$F$22, 'Revenue Tracking'!$P$13:$P$22, "&gt;="&amp;IT1,'Revenue Tracking'!$P$13:$P$22, "&lt;"&amp;IU1)</f>
        <v>0</v>
      </c>
      <c r="IU9" s="122">
        <f>SUMIFS('Revenue Tracking'!$F$13:$F$22, 'Revenue Tracking'!$P$13:$P$22, "&gt;="&amp;IU1,'Revenue Tracking'!$P$13:$P$22, "&lt;"&amp;IV1)</f>
        <v>0</v>
      </c>
      <c r="IV9" s="122">
        <f>SUMIFS('Revenue Tracking'!$F$13:$F$22, 'Revenue Tracking'!$P$13:$P$22, "&gt;="&amp;IV1,'Revenue Tracking'!$P$13:$P$22, "&lt;"&amp;IW1)</f>
        <v>0</v>
      </c>
      <c r="IW9" s="122">
        <f>SUMIFS('Revenue Tracking'!$F$13:$F$22, 'Revenue Tracking'!$P$13:$P$22, "&gt;="&amp;IW1,'Revenue Tracking'!$P$13:$P$22, "&lt;"&amp;IX1)</f>
        <v>0</v>
      </c>
      <c r="IX9" s="122">
        <f>SUMIFS('Revenue Tracking'!$F$13:$F$22, 'Revenue Tracking'!$P$13:$P$22, "&gt;="&amp;IX1,'Revenue Tracking'!$P$13:$P$22, "&lt;"&amp;IY1)</f>
        <v>0</v>
      </c>
      <c r="IY9" s="122">
        <f>SUMIFS('Revenue Tracking'!$F$13:$F$22, 'Revenue Tracking'!$P$13:$P$22, "&gt;="&amp;IY1,'Revenue Tracking'!$P$13:$P$22, "&lt;"&amp;IZ1)</f>
        <v>0</v>
      </c>
      <c r="IZ9" s="122">
        <f>SUMIFS('Revenue Tracking'!$F$13:$F$22, 'Revenue Tracking'!$P$13:$P$22, "&gt;="&amp;IZ1,'Revenue Tracking'!$P$13:$P$22, "&lt;"&amp;JA1)</f>
        <v>0</v>
      </c>
      <c r="JA9" s="122">
        <f>SUMIFS('Revenue Tracking'!$F$13:$F$22, 'Revenue Tracking'!$P$13:$P$22, "&gt;="&amp;JA1,'Revenue Tracking'!$P$13:$P$22, "&lt;"&amp;JB1)</f>
        <v>0</v>
      </c>
      <c r="JB9" s="122">
        <f>SUMIFS('Revenue Tracking'!$F$13:$F$22, 'Revenue Tracking'!$P$13:$P$22, "&gt;="&amp;JB1,'Revenue Tracking'!$P$13:$P$22, "&lt;"&amp;JC1)</f>
        <v>0</v>
      </c>
      <c r="JC9" s="122">
        <f>SUMIFS('Revenue Tracking'!$F$13:$F$22, 'Revenue Tracking'!$P$13:$P$22, "&gt;="&amp;JC1,'Revenue Tracking'!$P$13:$P$22, "&lt;"&amp;JD1)</f>
        <v>0</v>
      </c>
      <c r="JD9" s="122">
        <f>SUMIFS('Revenue Tracking'!$F$13:$F$22, 'Revenue Tracking'!$P$13:$P$22, "&gt;="&amp;JD1,'Revenue Tracking'!$P$13:$P$22, "&lt;"&amp;JE1)</f>
        <v>0</v>
      </c>
      <c r="JE9" s="122">
        <f>SUMIFS('Revenue Tracking'!$F$13:$F$22, 'Revenue Tracking'!$P$13:$P$22, "&gt;="&amp;JE1,'Revenue Tracking'!$P$13:$P$22, "&lt;"&amp;JF1)</f>
        <v>0</v>
      </c>
      <c r="JF9" s="122">
        <f>SUMIFS('Revenue Tracking'!$F$13:$F$22, 'Revenue Tracking'!$P$13:$P$22, "&gt;="&amp;JF1,'Revenue Tracking'!$P$13:$P$22, "&lt;"&amp;JG1)</f>
        <v>0</v>
      </c>
      <c r="JG9" s="122">
        <f>SUMIFS('Revenue Tracking'!$F$13:$F$22, 'Revenue Tracking'!$P$13:$P$22, "&gt;="&amp;JG1,'Revenue Tracking'!$P$13:$P$22, "&lt;"&amp;JH1)</f>
        <v>0</v>
      </c>
      <c r="JH9" s="122">
        <f>SUMIFS('Revenue Tracking'!$F$13:$F$22, 'Revenue Tracking'!$P$13:$P$22, "&gt;="&amp;JH1,'Revenue Tracking'!$P$13:$P$22, "&lt;"&amp;JI1)</f>
        <v>0</v>
      </c>
      <c r="JI9" s="122">
        <f>SUMIFS('Revenue Tracking'!$F$13:$F$22, 'Revenue Tracking'!$P$13:$P$22, "&gt;="&amp;JI1,'Revenue Tracking'!$P$13:$P$22, "&lt;"&amp;JJ1)</f>
        <v>0</v>
      </c>
      <c r="JJ9" s="122">
        <f>SUMIFS('Revenue Tracking'!$F$13:$F$22, 'Revenue Tracking'!$P$13:$P$22, "&gt;="&amp;JJ1,'Revenue Tracking'!$P$13:$P$22, "&lt;"&amp;JK1)</f>
        <v>0</v>
      </c>
      <c r="JK9" s="122">
        <f>SUMIFS('Revenue Tracking'!$F$13:$F$22, 'Revenue Tracking'!$P$13:$P$22, "&gt;="&amp;JK1,'Revenue Tracking'!$P$13:$P$22, "&lt;"&amp;JL1)</f>
        <v>0</v>
      </c>
      <c r="JL9" s="122">
        <f>SUMIFS('Revenue Tracking'!$F$13:$F$22, 'Revenue Tracking'!$P$13:$P$22, "&gt;="&amp;JL1,'Revenue Tracking'!$P$13:$P$22, "&lt;"&amp;JM1)</f>
        <v>0</v>
      </c>
      <c r="JM9" s="122">
        <f>SUMIFS('Revenue Tracking'!$F$13:$F$22, 'Revenue Tracking'!$P$13:$P$22, "&gt;="&amp;JM1,'Revenue Tracking'!$P$13:$P$22, "&lt;"&amp;JN1)</f>
        <v>0</v>
      </c>
      <c r="JN9" s="122">
        <f>SUMIFS('Revenue Tracking'!$F$13:$F$22, 'Revenue Tracking'!$P$13:$P$22, "&gt;="&amp;JN1,'Revenue Tracking'!$P$13:$P$22, "&lt;"&amp;JO1)</f>
        <v>0</v>
      </c>
      <c r="JO9" s="122">
        <f>SUMIFS('Revenue Tracking'!$F$13:$F$22, 'Revenue Tracking'!$P$13:$P$22, "&gt;="&amp;JO1,'Revenue Tracking'!$P$13:$P$22, "&lt;"&amp;JP1)</f>
        <v>0</v>
      </c>
      <c r="JP9" s="122">
        <f>SUMIFS('Revenue Tracking'!$F$13:$F$22, 'Revenue Tracking'!$P$13:$P$22, "&gt;="&amp;JP1,'Revenue Tracking'!$P$13:$P$22, "&lt;"&amp;JQ1)</f>
        <v>0</v>
      </c>
      <c r="JQ9" s="122">
        <f>SUMIFS('Revenue Tracking'!$F$13:$F$22, 'Revenue Tracking'!$P$13:$P$22, "&gt;="&amp;JQ1,'Revenue Tracking'!$P$13:$P$22, "&lt;"&amp;JR1)</f>
        <v>0</v>
      </c>
      <c r="JR9" s="122">
        <f>SUMIFS('Revenue Tracking'!$F$13:$F$22, 'Revenue Tracking'!$P$13:$P$22, "&gt;="&amp;JR1,'Revenue Tracking'!$P$13:$P$22, "&lt;"&amp;JS1)</f>
        <v>0</v>
      </c>
      <c r="JS9" s="122">
        <f>SUMIFS('Revenue Tracking'!$F$13:$F$22, 'Revenue Tracking'!$P$13:$P$22, "&gt;="&amp;JS1,'Revenue Tracking'!$P$13:$P$22, "&lt;"&amp;JT1)</f>
        <v>0</v>
      </c>
      <c r="JT9" s="122">
        <f>SUMIFS('Revenue Tracking'!$F$13:$F$22, 'Revenue Tracking'!$P$13:$P$22, "&gt;="&amp;JT1,'Revenue Tracking'!$P$13:$P$22, "&lt;"&amp;JU1)</f>
        <v>0</v>
      </c>
      <c r="JU9" s="122">
        <f>SUMIFS('Revenue Tracking'!$F$13:$F$22, 'Revenue Tracking'!$P$13:$P$22, "&gt;="&amp;JU1,'Revenue Tracking'!$P$13:$P$22, "&lt;"&amp;JV1)</f>
        <v>0</v>
      </c>
      <c r="JV9" s="122">
        <f>SUMIFS('Revenue Tracking'!$F$13:$F$22, 'Revenue Tracking'!$P$13:$P$22, "&gt;="&amp;JV1,'Revenue Tracking'!$P$13:$P$22, "&lt;"&amp;JW1)</f>
        <v>0</v>
      </c>
      <c r="JW9" s="122">
        <f>SUMIFS('Revenue Tracking'!$F$13:$F$22, 'Revenue Tracking'!$P$13:$P$22, "&gt;="&amp;JW1,'Revenue Tracking'!$P$13:$P$22, "&lt;"&amp;JX1)</f>
        <v>0</v>
      </c>
      <c r="JX9" s="122">
        <f>SUMIFS('Revenue Tracking'!$F$13:$F$22, 'Revenue Tracking'!$P$13:$P$22, "&gt;="&amp;JX1,'Revenue Tracking'!$P$13:$P$22, "&lt;"&amp;JY1)</f>
        <v>0</v>
      </c>
      <c r="JY9" s="122">
        <f>SUMIFS('Revenue Tracking'!$F$13:$F$22, 'Revenue Tracking'!$P$13:$P$22, "&gt;="&amp;JY1,'Revenue Tracking'!$P$13:$P$22, "&lt;"&amp;JZ1)</f>
        <v>0</v>
      </c>
      <c r="JZ9" s="122">
        <f>SUMIFS('Revenue Tracking'!$F$13:$F$22, 'Revenue Tracking'!$P$13:$P$22, "&gt;="&amp;JZ1,'Revenue Tracking'!$P$13:$P$22, "&lt;"&amp;KA1)</f>
        <v>0</v>
      </c>
      <c r="KA9" s="122">
        <f>SUMIFS('Revenue Tracking'!$F$13:$F$22, 'Revenue Tracking'!$P$13:$P$22, "&gt;="&amp;KA1,'Revenue Tracking'!$P$13:$P$22, "&lt;"&amp;KB1)</f>
        <v>0</v>
      </c>
      <c r="KB9" s="122">
        <f>SUMIFS('Revenue Tracking'!$F$13:$F$22, 'Revenue Tracking'!$P$13:$P$22, "&gt;="&amp;KB1,'Revenue Tracking'!$P$13:$P$22, "&lt;"&amp;KC1)</f>
        <v>0</v>
      </c>
      <c r="KC9" s="122">
        <f>SUMIFS('Revenue Tracking'!$F$13:$F$22, 'Revenue Tracking'!$P$13:$P$22, "&gt;="&amp;KC1,'Revenue Tracking'!$P$13:$P$22, "&lt;"&amp;KD1)</f>
        <v>0</v>
      </c>
      <c r="KD9" s="122">
        <f>SUMIFS('Revenue Tracking'!$F$13:$F$22, 'Revenue Tracking'!$P$13:$P$22, "&gt;="&amp;KD1,'Revenue Tracking'!$P$13:$P$22, "&lt;"&amp;KE1)</f>
        <v>0</v>
      </c>
      <c r="KE9" s="122">
        <f>SUMIFS('Revenue Tracking'!$F$13:$F$22, 'Revenue Tracking'!$P$13:$P$22, "&gt;="&amp;KE1,'Revenue Tracking'!$P$13:$P$22, "&lt;"&amp;KF1)</f>
        <v>0</v>
      </c>
      <c r="KF9" s="122">
        <f>SUMIFS('Revenue Tracking'!$F$13:$F$22, 'Revenue Tracking'!$P$13:$P$22, "&gt;="&amp;KF1,'Revenue Tracking'!$P$13:$P$22, "&lt;"&amp;#REF!)</f>
        <v>0</v>
      </c>
    </row>
    <row r="10" spans="1:770">
      <c r="A10" s="755"/>
      <c r="B10" s="120" t="s">
        <v>431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1033601.4673578634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1785311.6254363095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55"/>
      <c r="B11" s="123" t="s">
        <v>432</v>
      </c>
      <c r="C11" s="124">
        <f>'Revenue Tracking'!F5</f>
        <v>1425570.1624399514</v>
      </c>
      <c r="D11" s="124">
        <f>SUM(F11:KF11)</f>
        <v>1425570.1624399514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113238.09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67138</v>
      </c>
      <c r="X11" s="125">
        <f>SUMIFS('Expenditure Breakdown'!$Q$6:$Q$167, 'Expenditure Breakdown'!$W$6:$W$167, "&gt;="&amp;X1,'Expenditure Breakdown'!$W$6:$W$167, "&lt;"&amp;Y1)</f>
        <v>120848.4</v>
      </c>
      <c r="Y11" s="125">
        <f>SUMIFS('Expenditure Breakdown'!$Q$6:$Q$167, 'Expenditure Breakdown'!$W$6:$W$167, "&gt;="&amp;Y1,'Expenditure Breakdown'!$W$6:$W$167, "&lt;"&amp;Z1)</f>
        <v>8750</v>
      </c>
      <c r="Z11" s="125">
        <f>SUMIFS('Expenditure Breakdown'!$Q$6:$Q$167, 'Expenditure Breakdown'!$W$6:$W$167, "&gt;="&amp;Z1,'Expenditure Breakdown'!$W$6:$W$167, "&lt;"&amp;AA1)</f>
        <v>767662.33243995137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11169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55"/>
      <c r="B12" s="123" t="s">
        <v>433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285131.07999999996</v>
      </c>
      <c r="V12" s="125">
        <f t="shared" si="26"/>
        <v>285612.32999999996</v>
      </c>
      <c r="W12" s="125">
        <f t="shared" si="26"/>
        <v>352750.32999999996</v>
      </c>
      <c r="X12" s="125">
        <f t="shared" si="26"/>
        <v>473598.73</v>
      </c>
      <c r="Y12" s="125">
        <f t="shared" si="26"/>
        <v>482348.73</v>
      </c>
      <c r="Z12" s="125">
        <f t="shared" si="26"/>
        <v>1250011.0624399513</v>
      </c>
      <c r="AA12" s="125">
        <f t="shared" si="26"/>
        <v>1263919.9124399514</v>
      </c>
      <c r="AB12" s="125">
        <f t="shared" si="26"/>
        <v>1263919.9124399514</v>
      </c>
      <c r="AC12" s="125">
        <f t="shared" si="26"/>
        <v>1263919.9124399514</v>
      </c>
      <c r="AD12" s="125">
        <f>AC12+AD11</f>
        <v>1275088.9124399514</v>
      </c>
      <c r="AE12" s="125">
        <f t="shared" si="26"/>
        <v>1275570.1624399514</v>
      </c>
      <c r="AF12" s="125">
        <f t="shared" si="26"/>
        <v>1275570.1624399514</v>
      </c>
      <c r="AG12" s="125">
        <f t="shared" si="26"/>
        <v>1275570.1624399514</v>
      </c>
      <c r="AH12" s="125">
        <f t="shared" si="26"/>
        <v>1425570.1624399514</v>
      </c>
      <c r="AI12" s="125">
        <f t="shared" si="26"/>
        <v>1425570.1624399514</v>
      </c>
      <c r="AJ12" s="125">
        <f t="shared" si="26"/>
        <v>1425570.1624399514</v>
      </c>
      <c r="AK12" s="125">
        <f t="shared" si="26"/>
        <v>1425570.1624399514</v>
      </c>
      <c r="AL12" s="125">
        <f t="shared" si="26"/>
        <v>1425570.1624399514</v>
      </c>
      <c r="AM12" s="125">
        <f t="shared" si="26"/>
        <v>1425570.1624399514</v>
      </c>
      <c r="AN12" s="125">
        <f t="shared" si="26"/>
        <v>1425570.1624399514</v>
      </c>
      <c r="AO12" s="125">
        <f t="shared" si="26"/>
        <v>1425570.1624399514</v>
      </c>
      <c r="AP12" s="125">
        <f t="shared" si="26"/>
        <v>1425570.1624399514</v>
      </c>
      <c r="AQ12" s="125">
        <f t="shared" si="26"/>
        <v>1425570.1624399514</v>
      </c>
      <c r="AR12" s="125">
        <f t="shared" si="26"/>
        <v>1425570.1624399514</v>
      </c>
      <c r="AS12" s="125">
        <f t="shared" si="26"/>
        <v>1425570.1624399514</v>
      </c>
      <c r="AT12" s="125">
        <f t="shared" si="26"/>
        <v>1425570.1624399514</v>
      </c>
      <c r="AU12" s="125">
        <f t="shared" si="26"/>
        <v>1425570.1624399514</v>
      </c>
      <c r="AV12" s="125">
        <f t="shared" si="26"/>
        <v>1425570.1624399514</v>
      </c>
      <c r="AW12" s="125">
        <f t="shared" si="26"/>
        <v>1425570.1624399514</v>
      </c>
      <c r="AX12" s="125">
        <f t="shared" si="26"/>
        <v>1425570.1624399514</v>
      </c>
      <c r="AY12" s="125">
        <f t="shared" si="26"/>
        <v>1425570.1624399514</v>
      </c>
      <c r="AZ12" s="125">
        <f t="shared" si="26"/>
        <v>1425570.1624399514</v>
      </c>
      <c r="BA12" s="125">
        <f t="shared" si="26"/>
        <v>1425570.1624399514</v>
      </c>
      <c r="BB12" s="125">
        <f t="shared" si="26"/>
        <v>1425570.1624399514</v>
      </c>
      <c r="BC12" s="125">
        <f t="shared" si="26"/>
        <v>1425570.1624399514</v>
      </c>
      <c r="BD12" s="125">
        <f t="shared" si="26"/>
        <v>1425570.1624399514</v>
      </c>
      <c r="BE12" s="125">
        <f t="shared" si="26"/>
        <v>1425570.1624399514</v>
      </c>
      <c r="BF12" s="125">
        <f t="shared" si="26"/>
        <v>1425570.1624399514</v>
      </c>
      <c r="BG12" s="125">
        <f t="shared" si="26"/>
        <v>1425570.1624399514</v>
      </c>
      <c r="BH12" s="125">
        <f t="shared" si="26"/>
        <v>1425570.1624399514</v>
      </c>
      <c r="BI12" s="125">
        <f t="shared" si="26"/>
        <v>1425570.1624399514</v>
      </c>
      <c r="BJ12" s="125">
        <f t="shared" si="26"/>
        <v>1425570.1624399514</v>
      </c>
      <c r="BK12" s="125">
        <f t="shared" si="26"/>
        <v>1425570.1624399514</v>
      </c>
      <c r="BL12" s="125">
        <f t="shared" si="26"/>
        <v>1425570.1624399514</v>
      </c>
      <c r="BM12" s="125">
        <f t="shared" si="26"/>
        <v>1425570.1624399514</v>
      </c>
      <c r="BN12" s="125">
        <f t="shared" si="26"/>
        <v>1425570.1624399514</v>
      </c>
      <c r="BO12" s="125">
        <f t="shared" si="26"/>
        <v>1425570.1624399514</v>
      </c>
      <c r="BP12" s="125">
        <f t="shared" si="26"/>
        <v>1425570.1624399514</v>
      </c>
      <c r="BQ12" s="125">
        <f t="shared" si="26"/>
        <v>1425570.1624399514</v>
      </c>
      <c r="BR12" s="125">
        <f t="shared" si="26"/>
        <v>1425570.1624399514</v>
      </c>
      <c r="BS12" s="125">
        <f t="shared" si="26"/>
        <v>1425570.1624399514</v>
      </c>
      <c r="BT12" s="125">
        <f t="shared" si="26"/>
        <v>1425570.1624399514</v>
      </c>
      <c r="BU12" s="125">
        <f t="shared" ref="BU12:EF12" si="27">BT12+BU11</f>
        <v>1425570.1624399514</v>
      </c>
      <c r="BV12" s="125">
        <f t="shared" si="27"/>
        <v>1425570.1624399514</v>
      </c>
      <c r="BW12" s="125">
        <f t="shared" si="27"/>
        <v>1425570.1624399514</v>
      </c>
      <c r="BX12" s="125">
        <f t="shared" si="27"/>
        <v>1425570.1624399514</v>
      </c>
      <c r="BY12" s="125">
        <f t="shared" si="27"/>
        <v>1425570.1624399514</v>
      </c>
      <c r="BZ12" s="125">
        <f t="shared" si="27"/>
        <v>1425570.1624399514</v>
      </c>
      <c r="CA12" s="125">
        <f t="shared" si="27"/>
        <v>1425570.1624399514</v>
      </c>
      <c r="CB12" s="125">
        <f t="shared" si="27"/>
        <v>1425570.1624399514</v>
      </c>
      <c r="CC12" s="125">
        <f t="shared" si="27"/>
        <v>1425570.1624399514</v>
      </c>
      <c r="CD12" s="125">
        <f t="shared" si="27"/>
        <v>1425570.1624399514</v>
      </c>
      <c r="CE12" s="125">
        <f t="shared" si="27"/>
        <v>1425570.1624399514</v>
      </c>
      <c r="CF12" s="125">
        <f t="shared" si="27"/>
        <v>1425570.1624399514</v>
      </c>
      <c r="CG12" s="125">
        <f t="shared" si="27"/>
        <v>1425570.1624399514</v>
      </c>
      <c r="CH12" s="125">
        <f t="shared" si="27"/>
        <v>1425570.1624399514</v>
      </c>
      <c r="CI12" s="125">
        <f t="shared" si="27"/>
        <v>1425570.1624399514</v>
      </c>
      <c r="CJ12" s="125">
        <f t="shared" si="27"/>
        <v>1425570.1624399514</v>
      </c>
      <c r="CK12" s="125">
        <f t="shared" si="27"/>
        <v>1425570.1624399514</v>
      </c>
      <c r="CL12" s="125">
        <f t="shared" si="27"/>
        <v>1425570.1624399514</v>
      </c>
      <c r="CM12" s="125">
        <f t="shared" si="27"/>
        <v>1425570.1624399514</v>
      </c>
      <c r="CN12" s="125">
        <f t="shared" si="27"/>
        <v>1425570.1624399514</v>
      </c>
      <c r="CO12" s="125">
        <f t="shared" si="27"/>
        <v>1425570.1624399514</v>
      </c>
      <c r="CP12" s="125">
        <f t="shared" si="27"/>
        <v>1425570.1624399514</v>
      </c>
      <c r="CQ12" s="125">
        <f t="shared" si="27"/>
        <v>1425570.1624399514</v>
      </c>
      <c r="CR12" s="125">
        <f t="shared" si="27"/>
        <v>1425570.1624399514</v>
      </c>
      <c r="CS12" s="125">
        <f t="shared" si="27"/>
        <v>1425570.1624399514</v>
      </c>
      <c r="CT12" s="125">
        <f t="shared" si="27"/>
        <v>1425570.1624399514</v>
      </c>
      <c r="CU12" s="125">
        <f t="shared" si="27"/>
        <v>1425570.1624399514</v>
      </c>
      <c r="CV12" s="125">
        <f t="shared" si="27"/>
        <v>1425570.1624399514</v>
      </c>
      <c r="CW12" s="125">
        <f t="shared" si="27"/>
        <v>1425570.1624399514</v>
      </c>
      <c r="CX12" s="125">
        <f t="shared" si="27"/>
        <v>1425570.1624399514</v>
      </c>
      <c r="CY12" s="125">
        <f t="shared" si="27"/>
        <v>1425570.1624399514</v>
      </c>
      <c r="CZ12" s="125">
        <f t="shared" si="27"/>
        <v>1425570.1624399514</v>
      </c>
      <c r="DA12" s="125">
        <f t="shared" si="27"/>
        <v>1425570.1624399514</v>
      </c>
      <c r="DB12" s="125">
        <f t="shared" si="27"/>
        <v>1425570.1624399514</v>
      </c>
      <c r="DC12" s="125">
        <f t="shared" si="27"/>
        <v>1425570.1624399514</v>
      </c>
      <c r="DD12" s="125">
        <f t="shared" si="27"/>
        <v>1425570.1624399514</v>
      </c>
      <c r="DE12" s="125">
        <f t="shared" si="27"/>
        <v>1425570.1624399514</v>
      </c>
      <c r="DF12" s="125">
        <f t="shared" si="27"/>
        <v>1425570.1624399514</v>
      </c>
      <c r="DG12" s="125">
        <f t="shared" si="27"/>
        <v>1425570.1624399514</v>
      </c>
      <c r="DH12" s="125">
        <f t="shared" si="27"/>
        <v>1425570.1624399514</v>
      </c>
      <c r="DI12" s="125">
        <f t="shared" si="27"/>
        <v>1425570.1624399514</v>
      </c>
      <c r="DJ12" s="125">
        <f t="shared" si="27"/>
        <v>1425570.1624399514</v>
      </c>
      <c r="DK12" s="125">
        <f t="shared" si="27"/>
        <v>1425570.1624399514</v>
      </c>
      <c r="DL12" s="125">
        <f t="shared" si="27"/>
        <v>1425570.1624399514</v>
      </c>
      <c r="DM12" s="125">
        <f t="shared" si="27"/>
        <v>1425570.1624399514</v>
      </c>
      <c r="DN12" s="125">
        <f t="shared" si="27"/>
        <v>1425570.1624399514</v>
      </c>
      <c r="DO12" s="125">
        <f t="shared" si="27"/>
        <v>1425570.1624399514</v>
      </c>
      <c r="DP12" s="125">
        <f t="shared" si="27"/>
        <v>1425570.1624399514</v>
      </c>
      <c r="DQ12" s="125">
        <f t="shared" si="27"/>
        <v>1425570.1624399514</v>
      </c>
      <c r="DR12" s="125">
        <f t="shared" si="27"/>
        <v>1425570.1624399514</v>
      </c>
      <c r="DS12" s="125">
        <f t="shared" si="27"/>
        <v>1425570.1624399514</v>
      </c>
      <c r="DT12" s="125">
        <f t="shared" si="27"/>
        <v>1425570.1624399514</v>
      </c>
      <c r="DU12" s="125">
        <f t="shared" si="27"/>
        <v>1425570.1624399514</v>
      </c>
      <c r="DV12" s="125">
        <f t="shared" si="27"/>
        <v>1425570.1624399514</v>
      </c>
      <c r="DW12" s="125">
        <f t="shared" si="27"/>
        <v>1425570.1624399514</v>
      </c>
      <c r="DX12" s="125">
        <f t="shared" si="27"/>
        <v>1425570.1624399514</v>
      </c>
      <c r="DY12" s="125">
        <f t="shared" si="27"/>
        <v>1425570.1624399514</v>
      </c>
      <c r="DZ12" s="125">
        <f t="shared" si="27"/>
        <v>1425570.1624399514</v>
      </c>
      <c r="EA12" s="125">
        <f t="shared" si="27"/>
        <v>1425570.1624399514</v>
      </c>
      <c r="EB12" s="125">
        <f t="shared" si="27"/>
        <v>1425570.1624399514</v>
      </c>
      <c r="EC12" s="125">
        <f t="shared" si="27"/>
        <v>1425570.1624399514</v>
      </c>
      <c r="ED12" s="125">
        <f t="shared" si="27"/>
        <v>1425570.1624399514</v>
      </c>
      <c r="EE12" s="125">
        <f t="shared" si="27"/>
        <v>1425570.1624399514</v>
      </c>
      <c r="EF12" s="125">
        <f t="shared" si="27"/>
        <v>1425570.1624399514</v>
      </c>
      <c r="EG12" s="125">
        <f t="shared" ref="EG12:GR12" si="28">EF12+EG11</f>
        <v>1425570.1624399514</v>
      </c>
      <c r="EH12" s="125">
        <f t="shared" si="28"/>
        <v>1425570.1624399514</v>
      </c>
      <c r="EI12" s="125">
        <f t="shared" si="28"/>
        <v>1425570.1624399514</v>
      </c>
      <c r="EJ12" s="125">
        <f t="shared" si="28"/>
        <v>1425570.1624399514</v>
      </c>
      <c r="EK12" s="125">
        <f t="shared" si="28"/>
        <v>1425570.1624399514</v>
      </c>
      <c r="EL12" s="125">
        <f t="shared" si="28"/>
        <v>1425570.1624399514</v>
      </c>
      <c r="EM12" s="125">
        <f t="shared" si="28"/>
        <v>1425570.1624399514</v>
      </c>
      <c r="EN12" s="125">
        <f t="shared" si="28"/>
        <v>1425570.1624399514</v>
      </c>
      <c r="EO12" s="125">
        <f t="shared" si="28"/>
        <v>1425570.1624399514</v>
      </c>
      <c r="EP12" s="125">
        <f t="shared" si="28"/>
        <v>1425570.1624399514</v>
      </c>
      <c r="EQ12" s="125">
        <f t="shared" si="28"/>
        <v>1425570.1624399514</v>
      </c>
      <c r="ER12" s="125">
        <f t="shared" si="28"/>
        <v>1425570.1624399514</v>
      </c>
      <c r="ES12" s="125">
        <f t="shared" si="28"/>
        <v>1425570.1624399514</v>
      </c>
      <c r="ET12" s="125">
        <f t="shared" si="28"/>
        <v>1425570.1624399514</v>
      </c>
      <c r="EU12" s="125">
        <f t="shared" si="28"/>
        <v>1425570.1624399514</v>
      </c>
      <c r="EV12" s="125">
        <f t="shared" si="28"/>
        <v>1425570.1624399514</v>
      </c>
      <c r="EW12" s="125">
        <f t="shared" si="28"/>
        <v>1425570.1624399514</v>
      </c>
      <c r="EX12" s="125">
        <f t="shared" si="28"/>
        <v>1425570.1624399514</v>
      </c>
      <c r="EY12" s="125">
        <f t="shared" si="28"/>
        <v>1425570.1624399514</v>
      </c>
      <c r="EZ12" s="125">
        <f t="shared" si="28"/>
        <v>1425570.1624399514</v>
      </c>
      <c r="FA12" s="125">
        <f t="shared" si="28"/>
        <v>1425570.1624399514</v>
      </c>
      <c r="FB12" s="125">
        <f t="shared" si="28"/>
        <v>1425570.1624399514</v>
      </c>
      <c r="FC12" s="125">
        <f t="shared" si="28"/>
        <v>1425570.1624399514</v>
      </c>
      <c r="FD12" s="125">
        <f t="shared" si="28"/>
        <v>1425570.1624399514</v>
      </c>
      <c r="FE12" s="125">
        <f t="shared" si="28"/>
        <v>1425570.1624399514</v>
      </c>
      <c r="FF12" s="125">
        <f t="shared" si="28"/>
        <v>1425570.1624399514</v>
      </c>
      <c r="FG12" s="125">
        <f t="shared" si="28"/>
        <v>1425570.1624399514</v>
      </c>
      <c r="FH12" s="125">
        <f t="shared" si="28"/>
        <v>1425570.1624399514</v>
      </c>
      <c r="FI12" s="125">
        <f t="shared" si="28"/>
        <v>1425570.1624399514</v>
      </c>
      <c r="FJ12" s="125">
        <f t="shared" si="28"/>
        <v>1425570.1624399514</v>
      </c>
      <c r="FK12" s="125">
        <f t="shared" si="28"/>
        <v>1425570.1624399514</v>
      </c>
      <c r="FL12" s="125">
        <f t="shared" si="28"/>
        <v>1425570.1624399514</v>
      </c>
      <c r="FM12" s="125">
        <f t="shared" si="28"/>
        <v>1425570.1624399514</v>
      </c>
      <c r="FN12" s="125">
        <f t="shared" si="28"/>
        <v>1425570.1624399514</v>
      </c>
      <c r="FO12" s="125">
        <f t="shared" si="28"/>
        <v>1425570.1624399514</v>
      </c>
      <c r="FP12" s="125">
        <f t="shared" si="28"/>
        <v>1425570.1624399514</v>
      </c>
      <c r="FQ12" s="125">
        <f t="shared" si="28"/>
        <v>1425570.1624399514</v>
      </c>
      <c r="FR12" s="125">
        <f t="shared" si="28"/>
        <v>1425570.1624399514</v>
      </c>
      <c r="FS12" s="125">
        <f t="shared" si="28"/>
        <v>1425570.1624399514</v>
      </c>
      <c r="FT12" s="125">
        <f t="shared" si="28"/>
        <v>1425570.1624399514</v>
      </c>
      <c r="FU12" s="125">
        <f t="shared" si="28"/>
        <v>1425570.1624399514</v>
      </c>
      <c r="FV12" s="125">
        <f t="shared" si="28"/>
        <v>1425570.1624399514</v>
      </c>
      <c r="FW12" s="125">
        <f t="shared" si="28"/>
        <v>1425570.1624399514</v>
      </c>
      <c r="FX12" s="125">
        <f t="shared" si="28"/>
        <v>1425570.1624399514</v>
      </c>
      <c r="FY12" s="125">
        <f t="shared" si="28"/>
        <v>1425570.1624399514</v>
      </c>
      <c r="FZ12" s="125">
        <f t="shared" si="28"/>
        <v>1425570.1624399514</v>
      </c>
      <c r="GA12" s="125">
        <f t="shared" si="28"/>
        <v>1425570.1624399514</v>
      </c>
      <c r="GB12" s="125">
        <f t="shared" si="28"/>
        <v>1425570.1624399514</v>
      </c>
      <c r="GC12" s="125">
        <f t="shared" si="28"/>
        <v>1425570.1624399514</v>
      </c>
      <c r="GD12" s="125">
        <f t="shared" si="28"/>
        <v>1425570.1624399514</v>
      </c>
      <c r="GE12" s="125">
        <f t="shared" si="28"/>
        <v>1425570.1624399514</v>
      </c>
      <c r="GF12" s="125">
        <f t="shared" si="28"/>
        <v>1425570.1624399514</v>
      </c>
      <c r="GG12" s="125">
        <f t="shared" si="28"/>
        <v>1425570.1624399514</v>
      </c>
      <c r="GH12" s="125">
        <f t="shared" si="28"/>
        <v>1425570.1624399514</v>
      </c>
      <c r="GI12" s="125">
        <f t="shared" si="28"/>
        <v>1425570.1624399514</v>
      </c>
      <c r="GJ12" s="125">
        <f t="shared" si="28"/>
        <v>1425570.1624399514</v>
      </c>
      <c r="GK12" s="125">
        <f t="shared" si="28"/>
        <v>1425570.1624399514</v>
      </c>
      <c r="GL12" s="125">
        <f t="shared" si="28"/>
        <v>1425570.1624399514</v>
      </c>
      <c r="GM12" s="125">
        <f t="shared" si="28"/>
        <v>1425570.1624399514</v>
      </c>
      <c r="GN12" s="125">
        <f t="shared" si="28"/>
        <v>1425570.1624399514</v>
      </c>
      <c r="GO12" s="125">
        <f t="shared" si="28"/>
        <v>1425570.1624399514</v>
      </c>
      <c r="GP12" s="125">
        <f t="shared" si="28"/>
        <v>1425570.1624399514</v>
      </c>
      <c r="GQ12" s="125">
        <f t="shared" si="28"/>
        <v>1425570.1624399514</v>
      </c>
      <c r="GR12" s="125">
        <f t="shared" si="28"/>
        <v>1425570.1624399514</v>
      </c>
      <c r="GS12" s="125">
        <f t="shared" ref="GS12:JD12" si="29">GR12+GS11</f>
        <v>1425570.1624399514</v>
      </c>
      <c r="GT12" s="125">
        <f t="shared" si="29"/>
        <v>1425570.1624399514</v>
      </c>
      <c r="GU12" s="125">
        <f t="shared" si="29"/>
        <v>1425570.1624399514</v>
      </c>
      <c r="GV12" s="125">
        <f t="shared" si="29"/>
        <v>1425570.1624399514</v>
      </c>
      <c r="GW12" s="125">
        <f t="shared" si="29"/>
        <v>1425570.1624399514</v>
      </c>
      <c r="GX12" s="125">
        <f t="shared" si="29"/>
        <v>1425570.1624399514</v>
      </c>
      <c r="GY12" s="125">
        <f t="shared" si="29"/>
        <v>1425570.1624399514</v>
      </c>
      <c r="GZ12" s="125">
        <f t="shared" si="29"/>
        <v>1425570.1624399514</v>
      </c>
      <c r="HA12" s="125">
        <f t="shared" si="29"/>
        <v>1425570.1624399514</v>
      </c>
      <c r="HB12" s="125">
        <f t="shared" si="29"/>
        <v>1425570.1624399514</v>
      </c>
      <c r="HC12" s="125">
        <f t="shared" si="29"/>
        <v>1425570.1624399514</v>
      </c>
      <c r="HD12" s="125">
        <f t="shared" si="29"/>
        <v>1425570.1624399514</v>
      </c>
      <c r="HE12" s="125">
        <f t="shared" si="29"/>
        <v>1425570.1624399514</v>
      </c>
      <c r="HF12" s="125">
        <f t="shared" si="29"/>
        <v>1425570.1624399514</v>
      </c>
      <c r="HG12" s="125">
        <f t="shared" si="29"/>
        <v>1425570.1624399514</v>
      </c>
      <c r="HH12" s="125">
        <f t="shared" si="29"/>
        <v>1425570.1624399514</v>
      </c>
      <c r="HI12" s="125">
        <f t="shared" si="29"/>
        <v>1425570.1624399514</v>
      </c>
      <c r="HJ12" s="125">
        <f t="shared" si="29"/>
        <v>1425570.1624399514</v>
      </c>
      <c r="HK12" s="125">
        <f t="shared" si="29"/>
        <v>1425570.1624399514</v>
      </c>
      <c r="HL12" s="125">
        <f t="shared" si="29"/>
        <v>1425570.1624399514</v>
      </c>
      <c r="HM12" s="125">
        <f t="shared" si="29"/>
        <v>1425570.1624399514</v>
      </c>
      <c r="HN12" s="125">
        <f t="shared" si="29"/>
        <v>1425570.1624399514</v>
      </c>
      <c r="HO12" s="125">
        <f t="shared" si="29"/>
        <v>1425570.1624399514</v>
      </c>
      <c r="HP12" s="125">
        <f t="shared" si="29"/>
        <v>1425570.1624399514</v>
      </c>
      <c r="HQ12" s="125">
        <f t="shared" si="29"/>
        <v>1425570.1624399514</v>
      </c>
      <c r="HR12" s="125">
        <f t="shared" si="29"/>
        <v>1425570.1624399514</v>
      </c>
      <c r="HS12" s="125">
        <f t="shared" si="29"/>
        <v>1425570.1624399514</v>
      </c>
      <c r="HT12" s="125">
        <f t="shared" si="29"/>
        <v>1425570.1624399514</v>
      </c>
      <c r="HU12" s="125">
        <f t="shared" si="29"/>
        <v>1425570.1624399514</v>
      </c>
      <c r="HV12" s="125">
        <f t="shared" si="29"/>
        <v>1425570.1624399514</v>
      </c>
      <c r="HW12" s="125">
        <f t="shared" si="29"/>
        <v>1425570.1624399514</v>
      </c>
      <c r="HX12" s="125">
        <f t="shared" si="29"/>
        <v>1425570.1624399514</v>
      </c>
      <c r="HY12" s="125">
        <f t="shared" si="29"/>
        <v>1425570.1624399514</v>
      </c>
      <c r="HZ12" s="125">
        <f t="shared" si="29"/>
        <v>1425570.1624399514</v>
      </c>
      <c r="IA12" s="125">
        <f t="shared" si="29"/>
        <v>1425570.1624399514</v>
      </c>
      <c r="IB12" s="125">
        <f t="shared" si="29"/>
        <v>1425570.1624399514</v>
      </c>
      <c r="IC12" s="125">
        <f t="shared" si="29"/>
        <v>1425570.1624399514</v>
      </c>
      <c r="ID12" s="125">
        <f t="shared" si="29"/>
        <v>1425570.1624399514</v>
      </c>
      <c r="IE12" s="125">
        <f t="shared" si="29"/>
        <v>1425570.1624399514</v>
      </c>
      <c r="IF12" s="125">
        <f t="shared" si="29"/>
        <v>1425570.1624399514</v>
      </c>
      <c r="IG12" s="125">
        <f t="shared" si="29"/>
        <v>1425570.1624399514</v>
      </c>
      <c r="IH12" s="125">
        <f t="shared" si="29"/>
        <v>1425570.1624399514</v>
      </c>
      <c r="II12" s="125">
        <f t="shared" si="29"/>
        <v>1425570.1624399514</v>
      </c>
      <c r="IJ12" s="125">
        <f t="shared" si="29"/>
        <v>1425570.1624399514</v>
      </c>
      <c r="IK12" s="125">
        <f t="shared" si="29"/>
        <v>1425570.1624399514</v>
      </c>
      <c r="IL12" s="125">
        <f t="shared" si="29"/>
        <v>1425570.1624399514</v>
      </c>
      <c r="IM12" s="125">
        <f t="shared" si="29"/>
        <v>1425570.1624399514</v>
      </c>
      <c r="IN12" s="125">
        <f t="shared" si="29"/>
        <v>1425570.1624399514</v>
      </c>
      <c r="IO12" s="125">
        <f t="shared" si="29"/>
        <v>1425570.1624399514</v>
      </c>
      <c r="IP12" s="125">
        <f t="shared" si="29"/>
        <v>1425570.1624399514</v>
      </c>
      <c r="IQ12" s="125">
        <f t="shared" si="29"/>
        <v>1425570.1624399514</v>
      </c>
      <c r="IR12" s="125">
        <f t="shared" si="29"/>
        <v>1425570.1624399514</v>
      </c>
      <c r="IS12" s="125">
        <f t="shared" si="29"/>
        <v>1425570.1624399514</v>
      </c>
      <c r="IT12" s="125">
        <f t="shared" si="29"/>
        <v>1425570.1624399514</v>
      </c>
      <c r="IU12" s="125">
        <f t="shared" si="29"/>
        <v>1425570.1624399514</v>
      </c>
      <c r="IV12" s="125">
        <f t="shared" si="29"/>
        <v>1425570.1624399514</v>
      </c>
      <c r="IW12" s="125">
        <f t="shared" si="29"/>
        <v>1425570.1624399514</v>
      </c>
      <c r="IX12" s="125">
        <f t="shared" si="29"/>
        <v>1425570.1624399514</v>
      </c>
      <c r="IY12" s="125">
        <f t="shared" si="29"/>
        <v>1425570.1624399514</v>
      </c>
      <c r="IZ12" s="125">
        <f t="shared" si="29"/>
        <v>1425570.1624399514</v>
      </c>
      <c r="JA12" s="125">
        <f t="shared" si="29"/>
        <v>1425570.1624399514</v>
      </c>
      <c r="JB12" s="125">
        <f t="shared" si="29"/>
        <v>1425570.1624399514</v>
      </c>
      <c r="JC12" s="125">
        <f t="shared" si="29"/>
        <v>1425570.1624399514</v>
      </c>
      <c r="JD12" s="125">
        <f t="shared" si="29"/>
        <v>1425570.1624399514</v>
      </c>
      <c r="JE12" s="125">
        <f t="shared" ref="JE12:KF12" si="30">JD12+JE11</f>
        <v>1425570.1624399514</v>
      </c>
      <c r="JF12" s="125">
        <f t="shared" si="30"/>
        <v>1425570.1624399514</v>
      </c>
      <c r="JG12" s="125">
        <f t="shared" si="30"/>
        <v>1425570.1624399514</v>
      </c>
      <c r="JH12" s="125">
        <f t="shared" si="30"/>
        <v>1425570.1624399514</v>
      </c>
      <c r="JI12" s="125">
        <f t="shared" si="30"/>
        <v>1425570.1624399514</v>
      </c>
      <c r="JJ12" s="125">
        <f t="shared" si="30"/>
        <v>1425570.1624399514</v>
      </c>
      <c r="JK12" s="125">
        <f t="shared" si="30"/>
        <v>1425570.1624399514</v>
      </c>
      <c r="JL12" s="125">
        <f t="shared" si="30"/>
        <v>1425570.1624399514</v>
      </c>
      <c r="JM12" s="125">
        <f t="shared" si="30"/>
        <v>1425570.1624399514</v>
      </c>
      <c r="JN12" s="125">
        <f t="shared" si="30"/>
        <v>1425570.1624399514</v>
      </c>
      <c r="JO12" s="125">
        <f t="shared" si="30"/>
        <v>1425570.1624399514</v>
      </c>
      <c r="JP12" s="125">
        <f t="shared" si="30"/>
        <v>1425570.1624399514</v>
      </c>
      <c r="JQ12" s="125">
        <f t="shared" si="30"/>
        <v>1425570.1624399514</v>
      </c>
      <c r="JR12" s="125">
        <f t="shared" si="30"/>
        <v>1425570.1624399514</v>
      </c>
      <c r="JS12" s="125">
        <f t="shared" si="30"/>
        <v>1425570.1624399514</v>
      </c>
      <c r="JT12" s="125">
        <f t="shared" si="30"/>
        <v>1425570.1624399514</v>
      </c>
      <c r="JU12" s="125">
        <f t="shared" si="30"/>
        <v>1425570.1624399514</v>
      </c>
      <c r="JV12" s="125">
        <f t="shared" si="30"/>
        <v>1425570.1624399514</v>
      </c>
      <c r="JW12" s="125">
        <f t="shared" si="30"/>
        <v>1425570.1624399514</v>
      </c>
      <c r="JX12" s="125">
        <f t="shared" si="30"/>
        <v>1425570.1624399514</v>
      </c>
      <c r="JY12" s="125">
        <f t="shared" si="30"/>
        <v>1425570.1624399514</v>
      </c>
      <c r="JZ12" s="125">
        <f t="shared" si="30"/>
        <v>1425570.1624399514</v>
      </c>
      <c r="KA12" s="125">
        <f t="shared" si="30"/>
        <v>1425570.1624399514</v>
      </c>
      <c r="KB12" s="125">
        <f t="shared" si="30"/>
        <v>1425570.1624399514</v>
      </c>
      <c r="KC12" s="125">
        <f t="shared" si="30"/>
        <v>1425570.1624399514</v>
      </c>
      <c r="KD12" s="125">
        <f t="shared" si="30"/>
        <v>1425570.1624399514</v>
      </c>
      <c r="KE12" s="125">
        <f t="shared" si="30"/>
        <v>1425570.1624399514</v>
      </c>
      <c r="KF12" s="125">
        <f t="shared" si="30"/>
        <v>1425570.1624399514</v>
      </c>
      <c r="KG12" s="102"/>
      <c r="KH12" s="113"/>
    </row>
    <row r="13" spans="1:770" s="102" customFormat="1">
      <c r="A13" s="75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5"/>
      <c r="B14" s="115" t="s">
        <v>434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861708.47735786345</v>
      </c>
      <c r="U14" s="118">
        <f t="shared" si="32"/>
        <v>1312253.0059166979</v>
      </c>
      <c r="V14" s="118">
        <f t="shared" si="32"/>
        <v>1311771.7559166979</v>
      </c>
      <c r="W14" s="118">
        <f t="shared" si="32"/>
        <v>1244633.7559166979</v>
      </c>
      <c r="X14" s="118">
        <f t="shared" si="32"/>
        <v>1311712.8954363095</v>
      </c>
      <c r="Y14" s="118">
        <f t="shared" si="32"/>
        <v>1396926.6651961152</v>
      </c>
      <c r="Z14" s="118">
        <f t="shared" si="32"/>
        <v>629264.33275616379</v>
      </c>
      <c r="AA14" s="118">
        <f t="shared" si="32"/>
        <v>615355.48275616369</v>
      </c>
      <c r="AB14" s="118">
        <f t="shared" si="32"/>
        <v>615355.48275616369</v>
      </c>
      <c r="AC14" s="118">
        <f t="shared" si="32"/>
        <v>615355.48275616369</v>
      </c>
      <c r="AD14" s="118">
        <f t="shared" si="32"/>
        <v>604186.48275616369</v>
      </c>
      <c r="AE14" s="118">
        <f t="shared" si="32"/>
        <v>603705.23275616369</v>
      </c>
      <c r="AF14" s="118">
        <f t="shared" si="32"/>
        <v>603705.23275616369</v>
      </c>
      <c r="AG14" s="118">
        <f t="shared" si="32"/>
        <v>603705.23275616369</v>
      </c>
      <c r="AH14" s="118">
        <f t="shared" si="32"/>
        <v>453705.23275616369</v>
      </c>
      <c r="AI14" s="118">
        <f t="shared" si="32"/>
        <v>453705.23275616369</v>
      </c>
      <c r="AJ14" s="118">
        <f t="shared" si="32"/>
        <v>453705.23275616369</v>
      </c>
      <c r="AK14" s="118">
        <f t="shared" si="32"/>
        <v>453705.23275616369</v>
      </c>
      <c r="AL14" s="118">
        <f t="shared" si="32"/>
        <v>453705.23275616369</v>
      </c>
      <c r="AM14" s="118">
        <f t="shared" si="32"/>
        <v>453705.23275616369</v>
      </c>
      <c r="AN14" s="118">
        <f t="shared" si="32"/>
        <v>453705.23275616369</v>
      </c>
      <c r="AO14" s="118">
        <f t="shared" si="32"/>
        <v>453705.23275616369</v>
      </c>
      <c r="AP14" s="118">
        <f t="shared" si="32"/>
        <v>453705.23275616369</v>
      </c>
      <c r="AQ14" s="118">
        <f t="shared" si="32"/>
        <v>453705.23275616369</v>
      </c>
      <c r="AR14" s="118">
        <f t="shared" si="32"/>
        <v>453705.23275616369</v>
      </c>
      <c r="AS14" s="118">
        <f t="shared" si="32"/>
        <v>453705.23275616369</v>
      </c>
      <c r="AT14" s="118">
        <f t="shared" si="32"/>
        <v>453705.23275616369</v>
      </c>
      <c r="AU14" s="118">
        <f t="shared" si="32"/>
        <v>453705.23275616369</v>
      </c>
      <c r="AV14" s="118">
        <f t="shared" si="32"/>
        <v>453705.23275616369</v>
      </c>
      <c r="AW14" s="118">
        <f t="shared" si="32"/>
        <v>453705.23275616369</v>
      </c>
      <c r="AX14" s="118">
        <f t="shared" si="32"/>
        <v>453705.23275616369</v>
      </c>
      <c r="AY14" s="118">
        <f t="shared" si="32"/>
        <v>453705.23275616369</v>
      </c>
      <c r="AZ14" s="118">
        <f t="shared" si="32"/>
        <v>453705.23275616369</v>
      </c>
      <c r="BA14" s="118">
        <f t="shared" si="32"/>
        <v>453705.23275616369</v>
      </c>
      <c r="BB14" s="118">
        <f t="shared" si="32"/>
        <v>453705.23275616369</v>
      </c>
      <c r="BC14" s="118">
        <f t="shared" si="32"/>
        <v>453705.23275616369</v>
      </c>
      <c r="BD14" s="118">
        <f t="shared" si="32"/>
        <v>453705.23275616369</v>
      </c>
      <c r="BE14" s="118">
        <f t="shared" si="32"/>
        <v>453705.23275616369</v>
      </c>
      <c r="BF14" s="118">
        <f t="shared" si="32"/>
        <v>453705.23275616369</v>
      </c>
      <c r="BG14" s="118">
        <f t="shared" si="32"/>
        <v>453705.23275616369</v>
      </c>
      <c r="BH14" s="118">
        <f t="shared" si="32"/>
        <v>453705.23275616369</v>
      </c>
      <c r="BI14" s="118">
        <f t="shared" si="32"/>
        <v>453705.23275616369</v>
      </c>
      <c r="BJ14" s="118">
        <f t="shared" si="32"/>
        <v>453705.23275616369</v>
      </c>
      <c r="BK14" s="118">
        <f t="shared" si="32"/>
        <v>453705.23275616369</v>
      </c>
      <c r="BL14" s="118">
        <f t="shared" si="32"/>
        <v>453705.23275616369</v>
      </c>
      <c r="BM14" s="118">
        <f t="shared" si="32"/>
        <v>453705.23275616369</v>
      </c>
      <c r="BN14" s="118">
        <f t="shared" si="32"/>
        <v>453705.23275616369</v>
      </c>
      <c r="BO14" s="118">
        <f t="shared" si="32"/>
        <v>453705.23275616369</v>
      </c>
      <c r="BP14" s="118">
        <f t="shared" si="32"/>
        <v>453705.23275616369</v>
      </c>
      <c r="BQ14" s="118">
        <f t="shared" si="32"/>
        <v>453705.23275616369</v>
      </c>
      <c r="BR14" s="118">
        <f t="shared" si="32"/>
        <v>453705.23275616369</v>
      </c>
      <c r="BS14" s="118">
        <f t="shared" si="32"/>
        <v>453705.23275616369</v>
      </c>
      <c r="BT14" s="118">
        <f t="shared" si="32"/>
        <v>453705.23275616369</v>
      </c>
      <c r="BU14" s="118">
        <f t="shared" ref="BU14:EF14" si="33">BU10-BU12</f>
        <v>453705.23275616369</v>
      </c>
      <c r="BV14" s="118">
        <f t="shared" si="33"/>
        <v>453705.23275616369</v>
      </c>
      <c r="BW14" s="118">
        <f t="shared" si="33"/>
        <v>453705.23275616369</v>
      </c>
      <c r="BX14" s="118">
        <f t="shared" si="33"/>
        <v>453705.23275616369</v>
      </c>
      <c r="BY14" s="118">
        <f t="shared" si="33"/>
        <v>453705.23275616369</v>
      </c>
      <c r="BZ14" s="118">
        <f t="shared" si="33"/>
        <v>453705.23275616369</v>
      </c>
      <c r="CA14" s="118">
        <f t="shared" si="33"/>
        <v>453705.23275616369</v>
      </c>
      <c r="CB14" s="118">
        <f t="shared" si="33"/>
        <v>453705.23275616369</v>
      </c>
      <c r="CC14" s="118">
        <f t="shared" si="33"/>
        <v>453705.23275616369</v>
      </c>
      <c r="CD14" s="118">
        <f t="shared" si="33"/>
        <v>453705.23275616369</v>
      </c>
      <c r="CE14" s="118">
        <f t="shared" si="33"/>
        <v>453705.23275616369</v>
      </c>
      <c r="CF14" s="118">
        <f t="shared" si="33"/>
        <v>453705.23275616369</v>
      </c>
      <c r="CG14" s="118">
        <f t="shared" si="33"/>
        <v>453705.23275616369</v>
      </c>
      <c r="CH14" s="118">
        <f t="shared" si="33"/>
        <v>453705.23275616369</v>
      </c>
      <c r="CI14" s="118">
        <f t="shared" si="33"/>
        <v>453705.23275616369</v>
      </c>
      <c r="CJ14" s="118">
        <f t="shared" si="33"/>
        <v>453705.23275616369</v>
      </c>
      <c r="CK14" s="118">
        <f t="shared" si="33"/>
        <v>453705.23275616369</v>
      </c>
      <c r="CL14" s="118">
        <f t="shared" si="33"/>
        <v>453705.23275616369</v>
      </c>
      <c r="CM14" s="118">
        <f t="shared" si="33"/>
        <v>453705.23275616369</v>
      </c>
      <c r="CN14" s="118">
        <f t="shared" si="33"/>
        <v>453705.23275616369</v>
      </c>
      <c r="CO14" s="118">
        <f t="shared" si="33"/>
        <v>453705.23275616369</v>
      </c>
      <c r="CP14" s="118">
        <f t="shared" si="33"/>
        <v>453705.23275616369</v>
      </c>
      <c r="CQ14" s="118">
        <f t="shared" si="33"/>
        <v>453705.23275616369</v>
      </c>
      <c r="CR14" s="118">
        <f t="shared" si="33"/>
        <v>453705.23275616369</v>
      </c>
      <c r="CS14" s="118">
        <f t="shared" si="33"/>
        <v>453705.23275616369</v>
      </c>
      <c r="CT14" s="118">
        <f t="shared" si="33"/>
        <v>453705.23275616369</v>
      </c>
      <c r="CU14" s="118">
        <f t="shared" si="33"/>
        <v>453705.23275616369</v>
      </c>
      <c r="CV14" s="118">
        <f t="shared" si="33"/>
        <v>453705.23275616369</v>
      </c>
      <c r="CW14" s="118">
        <f t="shared" si="33"/>
        <v>453705.23275616369</v>
      </c>
      <c r="CX14" s="118">
        <f t="shared" si="33"/>
        <v>453705.23275616369</v>
      </c>
      <c r="CY14" s="118">
        <f t="shared" si="33"/>
        <v>453705.23275616369</v>
      </c>
      <c r="CZ14" s="118">
        <f t="shared" si="33"/>
        <v>453705.23275616369</v>
      </c>
      <c r="DA14" s="118">
        <f t="shared" si="33"/>
        <v>453705.23275616369</v>
      </c>
      <c r="DB14" s="118">
        <f t="shared" si="33"/>
        <v>453705.23275616369</v>
      </c>
      <c r="DC14" s="118">
        <f t="shared" si="33"/>
        <v>453705.23275616369</v>
      </c>
      <c r="DD14" s="118">
        <f t="shared" si="33"/>
        <v>453705.23275616369</v>
      </c>
      <c r="DE14" s="118">
        <f t="shared" si="33"/>
        <v>453705.23275616369</v>
      </c>
      <c r="DF14" s="118">
        <f t="shared" si="33"/>
        <v>453705.23275616369</v>
      </c>
      <c r="DG14" s="118">
        <f t="shared" si="33"/>
        <v>453705.23275616369</v>
      </c>
      <c r="DH14" s="118">
        <f t="shared" si="33"/>
        <v>453705.23275616369</v>
      </c>
      <c r="DI14" s="118">
        <f t="shared" si="33"/>
        <v>453705.23275616369</v>
      </c>
      <c r="DJ14" s="118">
        <f t="shared" si="33"/>
        <v>453705.23275616369</v>
      </c>
      <c r="DK14" s="118">
        <f t="shared" si="33"/>
        <v>453705.23275616369</v>
      </c>
      <c r="DL14" s="118">
        <f t="shared" si="33"/>
        <v>453705.23275616369</v>
      </c>
      <c r="DM14" s="118">
        <f t="shared" si="33"/>
        <v>453705.23275616369</v>
      </c>
      <c r="DN14" s="118">
        <f t="shared" si="33"/>
        <v>453705.23275616369</v>
      </c>
      <c r="DO14" s="118">
        <f t="shared" si="33"/>
        <v>453705.23275616369</v>
      </c>
      <c r="DP14" s="118">
        <f t="shared" si="33"/>
        <v>453705.23275616369</v>
      </c>
      <c r="DQ14" s="118">
        <f t="shared" si="33"/>
        <v>453705.23275616369</v>
      </c>
      <c r="DR14" s="118">
        <f t="shared" si="33"/>
        <v>453705.23275616369</v>
      </c>
      <c r="DS14" s="118">
        <f t="shared" si="33"/>
        <v>453705.23275616369</v>
      </c>
      <c r="DT14" s="118">
        <f t="shared" si="33"/>
        <v>453705.23275616369</v>
      </c>
      <c r="DU14" s="118">
        <f t="shared" si="33"/>
        <v>453705.23275616369</v>
      </c>
      <c r="DV14" s="118">
        <f t="shared" si="33"/>
        <v>453705.23275616369</v>
      </c>
      <c r="DW14" s="118">
        <f t="shared" si="33"/>
        <v>453705.23275616369</v>
      </c>
      <c r="DX14" s="118">
        <f t="shared" si="33"/>
        <v>453705.23275616369</v>
      </c>
      <c r="DY14" s="118">
        <f t="shared" si="33"/>
        <v>453705.23275616369</v>
      </c>
      <c r="DZ14" s="118">
        <f t="shared" si="33"/>
        <v>453705.23275616369</v>
      </c>
      <c r="EA14" s="118">
        <f t="shared" si="33"/>
        <v>453705.23275616369</v>
      </c>
      <c r="EB14" s="118">
        <f t="shared" si="33"/>
        <v>453705.23275616369</v>
      </c>
      <c r="EC14" s="118">
        <f t="shared" si="33"/>
        <v>453705.23275616369</v>
      </c>
      <c r="ED14" s="118">
        <f t="shared" si="33"/>
        <v>453705.23275616369</v>
      </c>
      <c r="EE14" s="118">
        <f t="shared" si="33"/>
        <v>453705.23275616369</v>
      </c>
      <c r="EF14" s="118">
        <f t="shared" si="33"/>
        <v>453705.23275616369</v>
      </c>
      <c r="EG14" s="118">
        <f t="shared" ref="EG14:GR14" si="34">EG10-EG12</f>
        <v>453705.23275616369</v>
      </c>
      <c r="EH14" s="118">
        <f t="shared" si="34"/>
        <v>453705.23275616369</v>
      </c>
      <c r="EI14" s="118">
        <f t="shared" si="34"/>
        <v>453705.23275616369</v>
      </c>
      <c r="EJ14" s="118">
        <f t="shared" si="34"/>
        <v>453705.23275616369</v>
      </c>
      <c r="EK14" s="118">
        <f t="shared" si="34"/>
        <v>453705.23275616369</v>
      </c>
      <c r="EL14" s="118">
        <f t="shared" si="34"/>
        <v>453705.23275616369</v>
      </c>
      <c r="EM14" s="118">
        <f t="shared" si="34"/>
        <v>453705.23275616369</v>
      </c>
      <c r="EN14" s="118">
        <f t="shared" si="34"/>
        <v>453705.23275616369</v>
      </c>
      <c r="EO14" s="118">
        <f t="shared" si="34"/>
        <v>453705.23275616369</v>
      </c>
      <c r="EP14" s="118">
        <f t="shared" si="34"/>
        <v>453705.23275616369</v>
      </c>
      <c r="EQ14" s="118">
        <f t="shared" si="34"/>
        <v>453705.23275616369</v>
      </c>
      <c r="ER14" s="118">
        <f t="shared" si="34"/>
        <v>453705.23275616369</v>
      </c>
      <c r="ES14" s="118">
        <f t="shared" si="34"/>
        <v>453705.23275616369</v>
      </c>
      <c r="ET14" s="118">
        <f t="shared" si="34"/>
        <v>453705.23275616369</v>
      </c>
      <c r="EU14" s="118">
        <f t="shared" si="34"/>
        <v>453705.23275616369</v>
      </c>
      <c r="EV14" s="118">
        <f t="shared" si="34"/>
        <v>453705.23275616369</v>
      </c>
      <c r="EW14" s="118">
        <f t="shared" si="34"/>
        <v>453705.23275616369</v>
      </c>
      <c r="EX14" s="118">
        <f t="shared" si="34"/>
        <v>453705.23275616369</v>
      </c>
      <c r="EY14" s="118">
        <f t="shared" si="34"/>
        <v>453705.23275616369</v>
      </c>
      <c r="EZ14" s="118">
        <f t="shared" si="34"/>
        <v>453705.23275616369</v>
      </c>
      <c r="FA14" s="118">
        <f t="shared" si="34"/>
        <v>453705.23275616369</v>
      </c>
      <c r="FB14" s="118">
        <f t="shared" si="34"/>
        <v>453705.23275616369</v>
      </c>
      <c r="FC14" s="118">
        <f t="shared" si="34"/>
        <v>453705.23275616369</v>
      </c>
      <c r="FD14" s="118">
        <f t="shared" si="34"/>
        <v>453705.23275616369</v>
      </c>
      <c r="FE14" s="118">
        <f t="shared" si="34"/>
        <v>453705.23275616369</v>
      </c>
      <c r="FF14" s="118">
        <f t="shared" si="34"/>
        <v>453705.23275616369</v>
      </c>
      <c r="FG14" s="118">
        <f t="shared" si="34"/>
        <v>453705.23275616369</v>
      </c>
      <c r="FH14" s="118">
        <f t="shared" si="34"/>
        <v>453705.23275616369</v>
      </c>
      <c r="FI14" s="118">
        <f t="shared" si="34"/>
        <v>453705.23275616369</v>
      </c>
      <c r="FJ14" s="118">
        <f t="shared" si="34"/>
        <v>453705.23275616369</v>
      </c>
      <c r="FK14" s="118">
        <f t="shared" si="34"/>
        <v>453705.23275616369</v>
      </c>
      <c r="FL14" s="118">
        <f t="shared" si="34"/>
        <v>453705.23275616369</v>
      </c>
      <c r="FM14" s="118">
        <f t="shared" si="34"/>
        <v>453705.23275616369</v>
      </c>
      <c r="FN14" s="118">
        <f t="shared" si="34"/>
        <v>453705.23275616369</v>
      </c>
      <c r="FO14" s="118">
        <f t="shared" si="34"/>
        <v>453705.23275616369</v>
      </c>
      <c r="FP14" s="118">
        <f t="shared" si="34"/>
        <v>453705.23275616369</v>
      </c>
      <c r="FQ14" s="118">
        <f t="shared" si="34"/>
        <v>453705.23275616369</v>
      </c>
      <c r="FR14" s="118">
        <f t="shared" si="34"/>
        <v>453705.23275616369</v>
      </c>
      <c r="FS14" s="118">
        <f t="shared" si="34"/>
        <v>453705.23275616369</v>
      </c>
      <c r="FT14" s="118">
        <f t="shared" si="34"/>
        <v>453705.23275616369</v>
      </c>
      <c r="FU14" s="118">
        <f t="shared" si="34"/>
        <v>453705.23275616369</v>
      </c>
      <c r="FV14" s="118">
        <f t="shared" si="34"/>
        <v>453705.23275616369</v>
      </c>
      <c r="FW14" s="118">
        <f t="shared" si="34"/>
        <v>453705.23275616369</v>
      </c>
      <c r="FX14" s="118">
        <f t="shared" si="34"/>
        <v>453705.23275616369</v>
      </c>
      <c r="FY14" s="118">
        <f t="shared" si="34"/>
        <v>453705.23275616369</v>
      </c>
      <c r="FZ14" s="118">
        <f t="shared" si="34"/>
        <v>453705.23275616369</v>
      </c>
      <c r="GA14" s="118">
        <f t="shared" si="34"/>
        <v>453705.23275616369</v>
      </c>
      <c r="GB14" s="118">
        <f t="shared" si="34"/>
        <v>453705.23275616369</v>
      </c>
      <c r="GC14" s="118">
        <f t="shared" si="34"/>
        <v>453705.23275616369</v>
      </c>
      <c r="GD14" s="118">
        <f t="shared" si="34"/>
        <v>453705.23275616369</v>
      </c>
      <c r="GE14" s="118">
        <f t="shared" si="34"/>
        <v>453705.23275616369</v>
      </c>
      <c r="GF14" s="118">
        <f t="shared" si="34"/>
        <v>453705.23275616369</v>
      </c>
      <c r="GG14" s="118">
        <f t="shared" si="34"/>
        <v>453705.23275616369</v>
      </c>
      <c r="GH14" s="118">
        <f t="shared" si="34"/>
        <v>453705.23275616369</v>
      </c>
      <c r="GI14" s="118">
        <f t="shared" si="34"/>
        <v>453705.23275616369</v>
      </c>
      <c r="GJ14" s="118">
        <f t="shared" si="34"/>
        <v>453705.23275616369</v>
      </c>
      <c r="GK14" s="118">
        <f t="shared" si="34"/>
        <v>453705.23275616369</v>
      </c>
      <c r="GL14" s="118">
        <f t="shared" si="34"/>
        <v>453705.23275616369</v>
      </c>
      <c r="GM14" s="118">
        <f t="shared" si="34"/>
        <v>453705.23275616369</v>
      </c>
      <c r="GN14" s="118">
        <f t="shared" si="34"/>
        <v>453705.23275616369</v>
      </c>
      <c r="GO14" s="118">
        <f t="shared" si="34"/>
        <v>453705.23275616369</v>
      </c>
      <c r="GP14" s="118">
        <f t="shared" si="34"/>
        <v>453705.23275616369</v>
      </c>
      <c r="GQ14" s="118">
        <f t="shared" si="34"/>
        <v>453705.23275616369</v>
      </c>
      <c r="GR14" s="118">
        <f t="shared" si="34"/>
        <v>453705.23275616369</v>
      </c>
      <c r="GS14" s="118">
        <f t="shared" ref="GS14:JD14" si="35">GS10-GS12</f>
        <v>453705.23275616369</v>
      </c>
      <c r="GT14" s="118">
        <f t="shared" si="35"/>
        <v>453705.23275616369</v>
      </c>
      <c r="GU14" s="118">
        <f t="shared" si="35"/>
        <v>453705.23275616369</v>
      </c>
      <c r="GV14" s="118">
        <f t="shared" si="35"/>
        <v>453705.23275616369</v>
      </c>
      <c r="GW14" s="118">
        <f t="shared" si="35"/>
        <v>453705.23275616369</v>
      </c>
      <c r="GX14" s="118">
        <f t="shared" si="35"/>
        <v>453705.23275616369</v>
      </c>
      <c r="GY14" s="118">
        <f t="shared" si="35"/>
        <v>453705.23275616369</v>
      </c>
      <c r="GZ14" s="118">
        <f t="shared" si="35"/>
        <v>453705.23275616369</v>
      </c>
      <c r="HA14" s="118">
        <f t="shared" si="35"/>
        <v>453705.23275616369</v>
      </c>
      <c r="HB14" s="118">
        <f t="shared" si="35"/>
        <v>453705.23275616369</v>
      </c>
      <c r="HC14" s="118">
        <f t="shared" si="35"/>
        <v>453705.23275616369</v>
      </c>
      <c r="HD14" s="118">
        <f t="shared" si="35"/>
        <v>453705.23275616369</v>
      </c>
      <c r="HE14" s="118">
        <f t="shared" si="35"/>
        <v>453705.23275616369</v>
      </c>
      <c r="HF14" s="118">
        <f t="shared" si="35"/>
        <v>453705.23275616369</v>
      </c>
      <c r="HG14" s="118">
        <f t="shared" si="35"/>
        <v>453705.23275616369</v>
      </c>
      <c r="HH14" s="118">
        <f t="shared" si="35"/>
        <v>453705.23275616369</v>
      </c>
      <c r="HI14" s="118">
        <f t="shared" si="35"/>
        <v>453705.23275616369</v>
      </c>
      <c r="HJ14" s="118">
        <f t="shared" si="35"/>
        <v>453705.23275616369</v>
      </c>
      <c r="HK14" s="118">
        <f t="shared" si="35"/>
        <v>453705.23275616369</v>
      </c>
      <c r="HL14" s="118">
        <f t="shared" si="35"/>
        <v>453705.23275616369</v>
      </c>
      <c r="HM14" s="118">
        <f t="shared" si="35"/>
        <v>453705.23275616369</v>
      </c>
      <c r="HN14" s="118">
        <f t="shared" si="35"/>
        <v>453705.23275616369</v>
      </c>
      <c r="HO14" s="118">
        <f t="shared" si="35"/>
        <v>453705.23275616369</v>
      </c>
      <c r="HP14" s="118">
        <f t="shared" si="35"/>
        <v>453705.23275616369</v>
      </c>
      <c r="HQ14" s="118">
        <f t="shared" si="35"/>
        <v>453705.23275616369</v>
      </c>
      <c r="HR14" s="118">
        <f t="shared" si="35"/>
        <v>453705.23275616369</v>
      </c>
      <c r="HS14" s="118">
        <f t="shared" si="35"/>
        <v>453705.23275616369</v>
      </c>
      <c r="HT14" s="118">
        <f t="shared" si="35"/>
        <v>453705.23275616369</v>
      </c>
      <c r="HU14" s="118">
        <f t="shared" si="35"/>
        <v>453705.23275616369</v>
      </c>
      <c r="HV14" s="118">
        <f t="shared" si="35"/>
        <v>453705.23275616369</v>
      </c>
      <c r="HW14" s="118">
        <f t="shared" si="35"/>
        <v>453705.23275616369</v>
      </c>
      <c r="HX14" s="118">
        <f t="shared" si="35"/>
        <v>453705.23275616369</v>
      </c>
      <c r="HY14" s="118">
        <f t="shared" si="35"/>
        <v>453705.23275616369</v>
      </c>
      <c r="HZ14" s="118">
        <f t="shared" si="35"/>
        <v>453705.23275616369</v>
      </c>
      <c r="IA14" s="118">
        <f t="shared" si="35"/>
        <v>453705.23275616369</v>
      </c>
      <c r="IB14" s="118">
        <f t="shared" si="35"/>
        <v>453705.23275616369</v>
      </c>
      <c r="IC14" s="118">
        <f t="shared" si="35"/>
        <v>453705.23275616369</v>
      </c>
      <c r="ID14" s="118">
        <f t="shared" si="35"/>
        <v>453705.23275616369</v>
      </c>
      <c r="IE14" s="118">
        <f t="shared" si="35"/>
        <v>453705.23275616369</v>
      </c>
      <c r="IF14" s="118">
        <f t="shared" si="35"/>
        <v>453705.23275616369</v>
      </c>
      <c r="IG14" s="118">
        <f t="shared" si="35"/>
        <v>453705.23275616369</v>
      </c>
      <c r="IH14" s="118">
        <f t="shared" si="35"/>
        <v>453705.23275616369</v>
      </c>
      <c r="II14" s="118">
        <f t="shared" si="35"/>
        <v>453705.23275616369</v>
      </c>
      <c r="IJ14" s="118">
        <f t="shared" si="35"/>
        <v>453705.23275616369</v>
      </c>
      <c r="IK14" s="118">
        <f t="shared" si="35"/>
        <v>453705.23275616369</v>
      </c>
      <c r="IL14" s="118">
        <f t="shared" si="35"/>
        <v>453705.23275616369</v>
      </c>
      <c r="IM14" s="118">
        <f t="shared" si="35"/>
        <v>453705.23275616369</v>
      </c>
      <c r="IN14" s="118">
        <f t="shared" si="35"/>
        <v>453705.23275616369</v>
      </c>
      <c r="IO14" s="118">
        <f t="shared" si="35"/>
        <v>453705.23275616369</v>
      </c>
      <c r="IP14" s="118">
        <f t="shared" si="35"/>
        <v>453705.23275616369</v>
      </c>
      <c r="IQ14" s="118">
        <f t="shared" si="35"/>
        <v>453705.23275616369</v>
      </c>
      <c r="IR14" s="118">
        <f t="shared" si="35"/>
        <v>453705.23275616369</v>
      </c>
      <c r="IS14" s="118">
        <f t="shared" si="35"/>
        <v>453705.23275616369</v>
      </c>
      <c r="IT14" s="118">
        <f t="shared" si="35"/>
        <v>453705.23275616369</v>
      </c>
      <c r="IU14" s="118">
        <f t="shared" si="35"/>
        <v>453705.23275616369</v>
      </c>
      <c r="IV14" s="118">
        <f t="shared" si="35"/>
        <v>453705.23275616369</v>
      </c>
      <c r="IW14" s="118">
        <f t="shared" si="35"/>
        <v>453705.23275616369</v>
      </c>
      <c r="IX14" s="118">
        <f t="shared" si="35"/>
        <v>453705.23275616369</v>
      </c>
      <c r="IY14" s="118">
        <f t="shared" si="35"/>
        <v>453705.23275616369</v>
      </c>
      <c r="IZ14" s="118">
        <f t="shared" si="35"/>
        <v>453705.23275616369</v>
      </c>
      <c r="JA14" s="118">
        <f t="shared" si="35"/>
        <v>453705.23275616369</v>
      </c>
      <c r="JB14" s="118">
        <f t="shared" si="35"/>
        <v>453705.23275616369</v>
      </c>
      <c r="JC14" s="118">
        <f t="shared" si="35"/>
        <v>453705.23275616369</v>
      </c>
      <c r="JD14" s="118">
        <f t="shared" si="35"/>
        <v>453705.23275616369</v>
      </c>
      <c r="JE14" s="118">
        <f t="shared" ref="JE14:KF14" si="36">JE10-JE12</f>
        <v>453705.23275616369</v>
      </c>
      <c r="JF14" s="118">
        <f t="shared" si="36"/>
        <v>453705.23275616369</v>
      </c>
      <c r="JG14" s="118">
        <f t="shared" si="36"/>
        <v>453705.23275616369</v>
      </c>
      <c r="JH14" s="118">
        <f t="shared" si="36"/>
        <v>453705.23275616369</v>
      </c>
      <c r="JI14" s="118">
        <f t="shared" si="36"/>
        <v>453705.23275616369</v>
      </c>
      <c r="JJ14" s="118">
        <f t="shared" si="36"/>
        <v>453705.23275616369</v>
      </c>
      <c r="JK14" s="118">
        <f t="shared" si="36"/>
        <v>453705.23275616369</v>
      </c>
      <c r="JL14" s="118">
        <f t="shared" si="36"/>
        <v>453705.23275616369</v>
      </c>
      <c r="JM14" s="118">
        <f t="shared" si="36"/>
        <v>453705.23275616369</v>
      </c>
      <c r="JN14" s="118">
        <f t="shared" si="36"/>
        <v>453705.23275616369</v>
      </c>
      <c r="JO14" s="118">
        <f t="shared" si="36"/>
        <v>453705.23275616369</v>
      </c>
      <c r="JP14" s="118">
        <f t="shared" si="36"/>
        <v>453705.23275616369</v>
      </c>
      <c r="JQ14" s="118">
        <f t="shared" si="36"/>
        <v>453705.23275616369</v>
      </c>
      <c r="JR14" s="118">
        <f t="shared" si="36"/>
        <v>453705.23275616369</v>
      </c>
      <c r="JS14" s="118">
        <f t="shared" si="36"/>
        <v>453705.23275616369</v>
      </c>
      <c r="JT14" s="118">
        <f t="shared" si="36"/>
        <v>453705.23275616369</v>
      </c>
      <c r="JU14" s="118">
        <f t="shared" si="36"/>
        <v>453705.23275616369</v>
      </c>
      <c r="JV14" s="118">
        <f t="shared" si="36"/>
        <v>453705.23275616369</v>
      </c>
      <c r="JW14" s="118">
        <f t="shared" si="36"/>
        <v>453705.23275616369</v>
      </c>
      <c r="JX14" s="118">
        <f t="shared" si="36"/>
        <v>453705.23275616369</v>
      </c>
      <c r="JY14" s="118">
        <f t="shared" si="36"/>
        <v>453705.23275616369</v>
      </c>
      <c r="JZ14" s="118">
        <f t="shared" si="36"/>
        <v>453705.23275616369</v>
      </c>
      <c r="KA14" s="118">
        <f t="shared" si="36"/>
        <v>453705.23275616369</v>
      </c>
      <c r="KB14" s="118">
        <f t="shared" si="36"/>
        <v>453705.23275616369</v>
      </c>
      <c r="KC14" s="118">
        <f t="shared" si="36"/>
        <v>453705.23275616369</v>
      </c>
      <c r="KD14" s="118">
        <f t="shared" si="36"/>
        <v>453705.23275616369</v>
      </c>
      <c r="KE14" s="118">
        <f t="shared" si="36"/>
        <v>453705.23275616369</v>
      </c>
      <c r="KF14" s="118">
        <f t="shared" si="36"/>
        <v>453705.23275616369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56"/>
      <c r="B17" s="106" t="s">
        <v>435</v>
      </c>
      <c r="C17" s="275">
        <f>C3-D17</f>
        <v>8473.8242604606785</v>
      </c>
      <c r="D17" s="107">
        <f>SUM(F17:KF17)</f>
        <v>1870801.570935654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1512947.7918755251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121224.83131463283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585.54776853068563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56"/>
      <c r="B18" s="106" t="s">
        <v>436</v>
      </c>
      <c r="C18" s="275">
        <f>D17-D18</f>
        <v>0</v>
      </c>
      <c r="D18" s="107">
        <f>MAX(F18:KF18)</f>
        <v>1870801.570935654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1748991.1918524904</v>
      </c>
      <c r="V18" s="125">
        <f t="shared" si="37"/>
        <v>1748991.1918524904</v>
      </c>
      <c r="W18" s="125">
        <f t="shared" si="37"/>
        <v>1748991.1918524904</v>
      </c>
      <c r="X18" s="125">
        <f t="shared" si="37"/>
        <v>1748991.1918524904</v>
      </c>
      <c r="Y18" s="125">
        <f t="shared" si="37"/>
        <v>1748991.1918524904</v>
      </c>
      <c r="Z18" s="125">
        <f t="shared" si="37"/>
        <v>1870216.0231671233</v>
      </c>
      <c r="AA18" s="125">
        <f t="shared" si="37"/>
        <v>1870216.0231671233</v>
      </c>
      <c r="AB18" s="125">
        <f t="shared" si="37"/>
        <v>1870216.0231671233</v>
      </c>
      <c r="AC18" s="125">
        <f t="shared" si="37"/>
        <v>1870216.0231671233</v>
      </c>
      <c r="AD18" s="125">
        <f>AC18+AD17</f>
        <v>1870801.570935654</v>
      </c>
      <c r="AE18" s="125">
        <f t="shared" si="37"/>
        <v>1870801.570935654</v>
      </c>
      <c r="AF18" s="125">
        <f t="shared" si="37"/>
        <v>1870801.570935654</v>
      </c>
      <c r="AG18" s="125">
        <f t="shared" si="37"/>
        <v>1870801.570935654</v>
      </c>
      <c r="AH18" s="125">
        <f t="shared" si="37"/>
        <v>1870801.570935654</v>
      </c>
      <c r="AI18" s="125">
        <f t="shared" si="37"/>
        <v>1870801.570935654</v>
      </c>
      <c r="AJ18" s="125">
        <f t="shared" si="37"/>
        <v>1870801.570935654</v>
      </c>
      <c r="AK18" s="125">
        <f t="shared" si="37"/>
        <v>1870801.570935654</v>
      </c>
      <c r="AL18" s="125">
        <f t="shared" si="37"/>
        <v>1870801.570935654</v>
      </c>
      <c r="AM18" s="125">
        <f t="shared" si="37"/>
        <v>1870801.570935654</v>
      </c>
      <c r="AN18" s="125">
        <f t="shared" si="37"/>
        <v>1870801.570935654</v>
      </c>
      <c r="AO18" s="125">
        <f t="shared" si="37"/>
        <v>1870801.570935654</v>
      </c>
      <c r="AP18" s="125">
        <f t="shared" si="37"/>
        <v>1870801.570935654</v>
      </c>
      <c r="AQ18" s="125">
        <f t="shared" si="37"/>
        <v>1870801.570935654</v>
      </c>
      <c r="AR18" s="125">
        <f t="shared" si="37"/>
        <v>1870801.570935654</v>
      </c>
      <c r="AS18" s="125">
        <f t="shared" si="37"/>
        <v>1870801.570935654</v>
      </c>
      <c r="AT18" s="125">
        <f t="shared" si="37"/>
        <v>1870801.570935654</v>
      </c>
      <c r="AU18" s="125">
        <f t="shared" si="37"/>
        <v>1870801.570935654</v>
      </c>
      <c r="AV18" s="125">
        <f t="shared" si="37"/>
        <v>1870801.570935654</v>
      </c>
      <c r="AW18" s="125">
        <f t="shared" si="37"/>
        <v>1870801.570935654</v>
      </c>
      <c r="AX18" s="125">
        <f t="shared" si="37"/>
        <v>1870801.570935654</v>
      </c>
      <c r="AY18" s="125">
        <f t="shared" si="37"/>
        <v>1870801.570935654</v>
      </c>
      <c r="AZ18" s="125">
        <f t="shared" si="37"/>
        <v>1870801.570935654</v>
      </c>
      <c r="BA18" s="125">
        <f t="shared" si="37"/>
        <v>1870801.570935654</v>
      </c>
      <c r="BB18" s="125">
        <f t="shared" si="37"/>
        <v>1870801.570935654</v>
      </c>
      <c r="BC18" s="125">
        <f t="shared" si="37"/>
        <v>1870801.570935654</v>
      </c>
      <c r="BD18" s="125">
        <f t="shared" si="37"/>
        <v>1870801.570935654</v>
      </c>
      <c r="BE18" s="125">
        <f t="shared" si="37"/>
        <v>1870801.570935654</v>
      </c>
      <c r="BF18" s="125">
        <f t="shared" si="37"/>
        <v>1870801.570935654</v>
      </c>
      <c r="BG18" s="125">
        <f t="shared" si="37"/>
        <v>1870801.570935654</v>
      </c>
      <c r="BH18" s="125">
        <f t="shared" si="37"/>
        <v>1870801.570935654</v>
      </c>
      <c r="BI18" s="125">
        <f t="shared" si="37"/>
        <v>1870801.570935654</v>
      </c>
      <c r="BJ18" s="125">
        <f t="shared" si="37"/>
        <v>1870801.570935654</v>
      </c>
      <c r="BK18" s="125">
        <f t="shared" si="37"/>
        <v>1870801.570935654</v>
      </c>
      <c r="BL18" s="125">
        <f t="shared" si="37"/>
        <v>1870801.570935654</v>
      </c>
      <c r="BM18" s="125">
        <f t="shared" si="37"/>
        <v>1870801.570935654</v>
      </c>
      <c r="BN18" s="125">
        <f t="shared" si="37"/>
        <v>1870801.570935654</v>
      </c>
      <c r="BO18" s="125">
        <f t="shared" si="37"/>
        <v>1870801.570935654</v>
      </c>
      <c r="BP18" s="125">
        <f t="shared" si="37"/>
        <v>1870801.570935654</v>
      </c>
      <c r="BQ18" s="125">
        <f t="shared" si="37"/>
        <v>1870801.570935654</v>
      </c>
      <c r="BR18" s="125">
        <f t="shared" si="37"/>
        <v>1870801.570935654</v>
      </c>
      <c r="BS18" s="125">
        <f t="shared" si="37"/>
        <v>1870801.570935654</v>
      </c>
      <c r="BT18" s="125">
        <f t="shared" si="37"/>
        <v>1870801.570935654</v>
      </c>
      <c r="BU18" s="125">
        <f t="shared" ref="BU18:EF18" si="38">BT18+BU17</f>
        <v>1870801.570935654</v>
      </c>
      <c r="BV18" s="125">
        <f t="shared" si="38"/>
        <v>1870801.570935654</v>
      </c>
      <c r="BW18" s="125">
        <f t="shared" si="38"/>
        <v>1870801.570935654</v>
      </c>
      <c r="BX18" s="125">
        <f t="shared" si="38"/>
        <v>1870801.570935654</v>
      </c>
      <c r="BY18" s="125">
        <f t="shared" si="38"/>
        <v>1870801.570935654</v>
      </c>
      <c r="BZ18" s="125">
        <f t="shared" si="38"/>
        <v>1870801.570935654</v>
      </c>
      <c r="CA18" s="125">
        <f t="shared" si="38"/>
        <v>1870801.570935654</v>
      </c>
      <c r="CB18" s="125">
        <f t="shared" si="38"/>
        <v>1870801.570935654</v>
      </c>
      <c r="CC18" s="125">
        <f t="shared" si="38"/>
        <v>1870801.570935654</v>
      </c>
      <c r="CD18" s="125">
        <f t="shared" si="38"/>
        <v>1870801.570935654</v>
      </c>
      <c r="CE18" s="125">
        <f t="shared" si="38"/>
        <v>1870801.570935654</v>
      </c>
      <c r="CF18" s="125">
        <f t="shared" si="38"/>
        <v>1870801.570935654</v>
      </c>
      <c r="CG18" s="125">
        <f t="shared" si="38"/>
        <v>1870801.570935654</v>
      </c>
      <c r="CH18" s="125">
        <f t="shared" si="38"/>
        <v>1870801.570935654</v>
      </c>
      <c r="CI18" s="125">
        <f t="shared" si="38"/>
        <v>1870801.570935654</v>
      </c>
      <c r="CJ18" s="125">
        <f t="shared" si="38"/>
        <v>1870801.570935654</v>
      </c>
      <c r="CK18" s="125">
        <f t="shared" si="38"/>
        <v>1870801.570935654</v>
      </c>
      <c r="CL18" s="125">
        <f t="shared" si="38"/>
        <v>1870801.570935654</v>
      </c>
      <c r="CM18" s="125">
        <f t="shared" si="38"/>
        <v>1870801.570935654</v>
      </c>
      <c r="CN18" s="125">
        <f t="shared" si="38"/>
        <v>1870801.570935654</v>
      </c>
      <c r="CO18" s="125">
        <f t="shared" si="38"/>
        <v>1870801.570935654</v>
      </c>
      <c r="CP18" s="125">
        <f t="shared" si="38"/>
        <v>1870801.570935654</v>
      </c>
      <c r="CQ18" s="125">
        <f t="shared" si="38"/>
        <v>1870801.570935654</v>
      </c>
      <c r="CR18" s="125">
        <f t="shared" si="38"/>
        <v>1870801.570935654</v>
      </c>
      <c r="CS18" s="125">
        <f t="shared" si="38"/>
        <v>1870801.570935654</v>
      </c>
      <c r="CT18" s="125">
        <f t="shared" si="38"/>
        <v>1870801.570935654</v>
      </c>
      <c r="CU18" s="125">
        <f t="shared" si="38"/>
        <v>1870801.570935654</v>
      </c>
      <c r="CV18" s="125">
        <f t="shared" si="38"/>
        <v>1870801.570935654</v>
      </c>
      <c r="CW18" s="125">
        <f t="shared" si="38"/>
        <v>1870801.570935654</v>
      </c>
      <c r="CX18" s="125">
        <f t="shared" si="38"/>
        <v>1870801.570935654</v>
      </c>
      <c r="CY18" s="125">
        <f t="shared" si="38"/>
        <v>1870801.570935654</v>
      </c>
      <c r="CZ18" s="125">
        <f t="shared" si="38"/>
        <v>1870801.570935654</v>
      </c>
      <c r="DA18" s="125">
        <f t="shared" si="38"/>
        <v>1870801.570935654</v>
      </c>
      <c r="DB18" s="125">
        <f t="shared" si="38"/>
        <v>1870801.570935654</v>
      </c>
      <c r="DC18" s="125">
        <f t="shared" si="38"/>
        <v>1870801.570935654</v>
      </c>
      <c r="DD18" s="125">
        <f t="shared" si="38"/>
        <v>1870801.570935654</v>
      </c>
      <c r="DE18" s="125">
        <f t="shared" si="38"/>
        <v>1870801.570935654</v>
      </c>
      <c r="DF18" s="125">
        <f t="shared" si="38"/>
        <v>1870801.570935654</v>
      </c>
      <c r="DG18" s="125">
        <f t="shared" si="38"/>
        <v>1870801.570935654</v>
      </c>
      <c r="DH18" s="125">
        <f t="shared" si="38"/>
        <v>1870801.570935654</v>
      </c>
      <c r="DI18" s="125">
        <f t="shared" si="38"/>
        <v>1870801.570935654</v>
      </c>
      <c r="DJ18" s="125">
        <f t="shared" si="38"/>
        <v>1870801.570935654</v>
      </c>
      <c r="DK18" s="125">
        <f t="shared" si="38"/>
        <v>1870801.570935654</v>
      </c>
      <c r="DL18" s="125">
        <f t="shared" si="38"/>
        <v>1870801.570935654</v>
      </c>
      <c r="DM18" s="125">
        <f t="shared" si="38"/>
        <v>1870801.570935654</v>
      </c>
      <c r="DN18" s="125">
        <f t="shared" si="38"/>
        <v>1870801.570935654</v>
      </c>
      <c r="DO18" s="125">
        <f t="shared" si="38"/>
        <v>1870801.570935654</v>
      </c>
      <c r="DP18" s="125">
        <f t="shared" si="38"/>
        <v>1870801.570935654</v>
      </c>
      <c r="DQ18" s="125">
        <f t="shared" si="38"/>
        <v>1870801.570935654</v>
      </c>
      <c r="DR18" s="125">
        <f t="shared" si="38"/>
        <v>1870801.570935654</v>
      </c>
      <c r="DS18" s="125">
        <f t="shared" si="38"/>
        <v>1870801.570935654</v>
      </c>
      <c r="DT18" s="125">
        <f t="shared" si="38"/>
        <v>1870801.570935654</v>
      </c>
      <c r="DU18" s="125">
        <f t="shared" si="38"/>
        <v>1870801.570935654</v>
      </c>
      <c r="DV18" s="125">
        <f t="shared" si="38"/>
        <v>1870801.570935654</v>
      </c>
      <c r="DW18" s="125">
        <f t="shared" si="38"/>
        <v>1870801.570935654</v>
      </c>
      <c r="DX18" s="125">
        <f t="shared" si="38"/>
        <v>1870801.570935654</v>
      </c>
      <c r="DY18" s="125">
        <f t="shared" si="38"/>
        <v>1870801.570935654</v>
      </c>
      <c r="DZ18" s="125">
        <f t="shared" si="38"/>
        <v>1870801.570935654</v>
      </c>
      <c r="EA18" s="125">
        <f t="shared" si="38"/>
        <v>1870801.570935654</v>
      </c>
      <c r="EB18" s="125">
        <f t="shared" si="38"/>
        <v>1870801.570935654</v>
      </c>
      <c r="EC18" s="125">
        <f t="shared" si="38"/>
        <v>1870801.570935654</v>
      </c>
      <c r="ED18" s="125">
        <f t="shared" si="38"/>
        <v>1870801.570935654</v>
      </c>
      <c r="EE18" s="125">
        <f t="shared" si="38"/>
        <v>1870801.570935654</v>
      </c>
      <c r="EF18" s="125">
        <f t="shared" si="38"/>
        <v>1870801.570935654</v>
      </c>
      <c r="EG18" s="125">
        <f t="shared" ref="EG18:GR18" si="39">EF18+EG17</f>
        <v>1870801.570935654</v>
      </c>
      <c r="EH18" s="125">
        <f t="shared" si="39"/>
        <v>1870801.570935654</v>
      </c>
      <c r="EI18" s="125">
        <f t="shared" si="39"/>
        <v>1870801.570935654</v>
      </c>
      <c r="EJ18" s="125">
        <f t="shared" si="39"/>
        <v>1870801.570935654</v>
      </c>
      <c r="EK18" s="125">
        <f t="shared" si="39"/>
        <v>1870801.570935654</v>
      </c>
      <c r="EL18" s="125">
        <f t="shared" si="39"/>
        <v>1870801.570935654</v>
      </c>
      <c r="EM18" s="125">
        <f t="shared" si="39"/>
        <v>1870801.570935654</v>
      </c>
      <c r="EN18" s="125">
        <f t="shared" si="39"/>
        <v>1870801.570935654</v>
      </c>
      <c r="EO18" s="125">
        <f t="shared" si="39"/>
        <v>1870801.570935654</v>
      </c>
      <c r="EP18" s="125">
        <f t="shared" si="39"/>
        <v>1870801.570935654</v>
      </c>
      <c r="EQ18" s="125">
        <f t="shared" si="39"/>
        <v>1870801.570935654</v>
      </c>
      <c r="ER18" s="125">
        <f t="shared" si="39"/>
        <v>1870801.570935654</v>
      </c>
      <c r="ES18" s="125">
        <f t="shared" si="39"/>
        <v>1870801.570935654</v>
      </c>
      <c r="ET18" s="125">
        <f t="shared" si="39"/>
        <v>1870801.570935654</v>
      </c>
      <c r="EU18" s="125">
        <f t="shared" si="39"/>
        <v>1870801.570935654</v>
      </c>
      <c r="EV18" s="125">
        <f t="shared" si="39"/>
        <v>1870801.570935654</v>
      </c>
      <c r="EW18" s="125">
        <f t="shared" si="39"/>
        <v>1870801.570935654</v>
      </c>
      <c r="EX18" s="125">
        <f t="shared" si="39"/>
        <v>1870801.570935654</v>
      </c>
      <c r="EY18" s="125">
        <f t="shared" si="39"/>
        <v>1870801.570935654</v>
      </c>
      <c r="EZ18" s="125">
        <f t="shared" si="39"/>
        <v>1870801.570935654</v>
      </c>
      <c r="FA18" s="125">
        <f t="shared" si="39"/>
        <v>1870801.570935654</v>
      </c>
      <c r="FB18" s="125">
        <f t="shared" si="39"/>
        <v>1870801.570935654</v>
      </c>
      <c r="FC18" s="125">
        <f t="shared" si="39"/>
        <v>1870801.570935654</v>
      </c>
      <c r="FD18" s="125">
        <f t="shared" si="39"/>
        <v>1870801.570935654</v>
      </c>
      <c r="FE18" s="125">
        <f t="shared" si="39"/>
        <v>1870801.570935654</v>
      </c>
      <c r="FF18" s="125">
        <f t="shared" si="39"/>
        <v>1870801.570935654</v>
      </c>
      <c r="FG18" s="125">
        <f t="shared" si="39"/>
        <v>1870801.570935654</v>
      </c>
      <c r="FH18" s="125">
        <f t="shared" si="39"/>
        <v>1870801.570935654</v>
      </c>
      <c r="FI18" s="125">
        <f t="shared" si="39"/>
        <v>1870801.570935654</v>
      </c>
      <c r="FJ18" s="125">
        <f t="shared" si="39"/>
        <v>1870801.570935654</v>
      </c>
      <c r="FK18" s="125">
        <f t="shared" si="39"/>
        <v>1870801.570935654</v>
      </c>
      <c r="FL18" s="125">
        <f t="shared" si="39"/>
        <v>1870801.570935654</v>
      </c>
      <c r="FM18" s="125">
        <f t="shared" si="39"/>
        <v>1870801.570935654</v>
      </c>
      <c r="FN18" s="125">
        <f t="shared" si="39"/>
        <v>1870801.570935654</v>
      </c>
      <c r="FO18" s="125">
        <f t="shared" si="39"/>
        <v>1870801.570935654</v>
      </c>
      <c r="FP18" s="125">
        <f t="shared" si="39"/>
        <v>1870801.570935654</v>
      </c>
      <c r="FQ18" s="125">
        <f t="shared" si="39"/>
        <v>1870801.570935654</v>
      </c>
      <c r="FR18" s="125">
        <f t="shared" si="39"/>
        <v>1870801.570935654</v>
      </c>
      <c r="FS18" s="125">
        <f t="shared" si="39"/>
        <v>1870801.570935654</v>
      </c>
      <c r="FT18" s="125">
        <f t="shared" si="39"/>
        <v>1870801.570935654</v>
      </c>
      <c r="FU18" s="125">
        <f t="shared" si="39"/>
        <v>1870801.570935654</v>
      </c>
      <c r="FV18" s="125">
        <f t="shared" si="39"/>
        <v>1870801.570935654</v>
      </c>
      <c r="FW18" s="125">
        <f t="shared" si="39"/>
        <v>1870801.570935654</v>
      </c>
      <c r="FX18" s="125">
        <f t="shared" si="39"/>
        <v>1870801.570935654</v>
      </c>
      <c r="FY18" s="125">
        <f t="shared" si="39"/>
        <v>1870801.570935654</v>
      </c>
      <c r="FZ18" s="125">
        <f t="shared" si="39"/>
        <v>1870801.570935654</v>
      </c>
      <c r="GA18" s="125">
        <f t="shared" si="39"/>
        <v>1870801.570935654</v>
      </c>
      <c r="GB18" s="125">
        <f t="shared" si="39"/>
        <v>1870801.570935654</v>
      </c>
      <c r="GC18" s="125">
        <f t="shared" si="39"/>
        <v>1870801.570935654</v>
      </c>
      <c r="GD18" s="125">
        <f t="shared" si="39"/>
        <v>1870801.570935654</v>
      </c>
      <c r="GE18" s="125">
        <f t="shared" si="39"/>
        <v>1870801.570935654</v>
      </c>
      <c r="GF18" s="125">
        <f t="shared" si="39"/>
        <v>1870801.570935654</v>
      </c>
      <c r="GG18" s="125">
        <f t="shared" si="39"/>
        <v>1870801.570935654</v>
      </c>
      <c r="GH18" s="125">
        <f t="shared" si="39"/>
        <v>1870801.570935654</v>
      </c>
      <c r="GI18" s="125">
        <f t="shared" si="39"/>
        <v>1870801.570935654</v>
      </c>
      <c r="GJ18" s="125">
        <f t="shared" si="39"/>
        <v>1870801.570935654</v>
      </c>
      <c r="GK18" s="125">
        <f t="shared" si="39"/>
        <v>1870801.570935654</v>
      </c>
      <c r="GL18" s="125">
        <f t="shared" si="39"/>
        <v>1870801.570935654</v>
      </c>
      <c r="GM18" s="125">
        <f t="shared" si="39"/>
        <v>1870801.570935654</v>
      </c>
      <c r="GN18" s="125">
        <f t="shared" si="39"/>
        <v>1870801.570935654</v>
      </c>
      <c r="GO18" s="125">
        <f t="shared" si="39"/>
        <v>1870801.570935654</v>
      </c>
      <c r="GP18" s="125">
        <f t="shared" si="39"/>
        <v>1870801.570935654</v>
      </c>
      <c r="GQ18" s="125">
        <f t="shared" si="39"/>
        <v>1870801.570935654</v>
      </c>
      <c r="GR18" s="125">
        <f t="shared" si="39"/>
        <v>1870801.570935654</v>
      </c>
      <c r="GS18" s="125">
        <f t="shared" ref="GS18:JD18" si="40">GR18+GS17</f>
        <v>1870801.570935654</v>
      </c>
      <c r="GT18" s="125">
        <f t="shared" si="40"/>
        <v>1870801.570935654</v>
      </c>
      <c r="GU18" s="125">
        <f t="shared" si="40"/>
        <v>1870801.570935654</v>
      </c>
      <c r="GV18" s="125">
        <f t="shared" si="40"/>
        <v>1870801.570935654</v>
      </c>
      <c r="GW18" s="125">
        <f t="shared" si="40"/>
        <v>1870801.570935654</v>
      </c>
      <c r="GX18" s="125">
        <f t="shared" si="40"/>
        <v>1870801.570935654</v>
      </c>
      <c r="GY18" s="125">
        <f t="shared" si="40"/>
        <v>1870801.570935654</v>
      </c>
      <c r="GZ18" s="125">
        <f t="shared" si="40"/>
        <v>1870801.570935654</v>
      </c>
      <c r="HA18" s="125">
        <f t="shared" si="40"/>
        <v>1870801.570935654</v>
      </c>
      <c r="HB18" s="125">
        <f t="shared" si="40"/>
        <v>1870801.570935654</v>
      </c>
      <c r="HC18" s="125">
        <f t="shared" si="40"/>
        <v>1870801.570935654</v>
      </c>
      <c r="HD18" s="125">
        <f t="shared" si="40"/>
        <v>1870801.570935654</v>
      </c>
      <c r="HE18" s="125">
        <f t="shared" si="40"/>
        <v>1870801.570935654</v>
      </c>
      <c r="HF18" s="125">
        <f t="shared" si="40"/>
        <v>1870801.570935654</v>
      </c>
      <c r="HG18" s="125">
        <f t="shared" si="40"/>
        <v>1870801.570935654</v>
      </c>
      <c r="HH18" s="125">
        <f t="shared" si="40"/>
        <v>1870801.570935654</v>
      </c>
      <c r="HI18" s="125">
        <f t="shared" si="40"/>
        <v>1870801.570935654</v>
      </c>
      <c r="HJ18" s="125">
        <f t="shared" si="40"/>
        <v>1870801.570935654</v>
      </c>
      <c r="HK18" s="125">
        <f t="shared" si="40"/>
        <v>1870801.570935654</v>
      </c>
      <c r="HL18" s="125">
        <f t="shared" si="40"/>
        <v>1870801.570935654</v>
      </c>
      <c r="HM18" s="125">
        <f t="shared" si="40"/>
        <v>1870801.570935654</v>
      </c>
      <c r="HN18" s="125">
        <f t="shared" si="40"/>
        <v>1870801.570935654</v>
      </c>
      <c r="HO18" s="125">
        <f t="shared" si="40"/>
        <v>1870801.570935654</v>
      </c>
      <c r="HP18" s="125">
        <f t="shared" si="40"/>
        <v>1870801.570935654</v>
      </c>
      <c r="HQ18" s="125">
        <f t="shared" si="40"/>
        <v>1870801.570935654</v>
      </c>
      <c r="HR18" s="125">
        <f t="shared" si="40"/>
        <v>1870801.570935654</v>
      </c>
      <c r="HS18" s="125">
        <f t="shared" si="40"/>
        <v>1870801.570935654</v>
      </c>
      <c r="HT18" s="125">
        <f t="shared" si="40"/>
        <v>1870801.570935654</v>
      </c>
      <c r="HU18" s="125">
        <f t="shared" si="40"/>
        <v>1870801.570935654</v>
      </c>
      <c r="HV18" s="125">
        <f t="shared" si="40"/>
        <v>1870801.570935654</v>
      </c>
      <c r="HW18" s="125">
        <f t="shared" si="40"/>
        <v>1870801.570935654</v>
      </c>
      <c r="HX18" s="125">
        <f t="shared" si="40"/>
        <v>1870801.570935654</v>
      </c>
      <c r="HY18" s="125">
        <f t="shared" si="40"/>
        <v>1870801.570935654</v>
      </c>
      <c r="HZ18" s="125">
        <f t="shared" si="40"/>
        <v>1870801.570935654</v>
      </c>
      <c r="IA18" s="125">
        <f t="shared" si="40"/>
        <v>1870801.570935654</v>
      </c>
      <c r="IB18" s="125">
        <f t="shared" si="40"/>
        <v>1870801.570935654</v>
      </c>
      <c r="IC18" s="125">
        <f t="shared" si="40"/>
        <v>1870801.570935654</v>
      </c>
      <c r="ID18" s="125">
        <f t="shared" si="40"/>
        <v>1870801.570935654</v>
      </c>
      <c r="IE18" s="125">
        <f t="shared" si="40"/>
        <v>1870801.570935654</v>
      </c>
      <c r="IF18" s="125">
        <f t="shared" si="40"/>
        <v>1870801.570935654</v>
      </c>
      <c r="IG18" s="125">
        <f t="shared" si="40"/>
        <v>1870801.570935654</v>
      </c>
      <c r="IH18" s="125">
        <f t="shared" si="40"/>
        <v>1870801.570935654</v>
      </c>
      <c r="II18" s="125">
        <f t="shared" si="40"/>
        <v>1870801.570935654</v>
      </c>
      <c r="IJ18" s="125">
        <f t="shared" si="40"/>
        <v>1870801.570935654</v>
      </c>
      <c r="IK18" s="125">
        <f t="shared" si="40"/>
        <v>1870801.570935654</v>
      </c>
      <c r="IL18" s="125">
        <f t="shared" si="40"/>
        <v>1870801.570935654</v>
      </c>
      <c r="IM18" s="125">
        <f t="shared" si="40"/>
        <v>1870801.570935654</v>
      </c>
      <c r="IN18" s="125">
        <f t="shared" si="40"/>
        <v>1870801.570935654</v>
      </c>
      <c r="IO18" s="125">
        <f t="shared" si="40"/>
        <v>1870801.570935654</v>
      </c>
      <c r="IP18" s="125">
        <f t="shared" si="40"/>
        <v>1870801.570935654</v>
      </c>
      <c r="IQ18" s="125">
        <f t="shared" si="40"/>
        <v>1870801.570935654</v>
      </c>
      <c r="IR18" s="125">
        <f t="shared" si="40"/>
        <v>1870801.570935654</v>
      </c>
      <c r="IS18" s="125">
        <f t="shared" si="40"/>
        <v>1870801.570935654</v>
      </c>
      <c r="IT18" s="125">
        <f t="shared" si="40"/>
        <v>1870801.570935654</v>
      </c>
      <c r="IU18" s="125">
        <f t="shared" si="40"/>
        <v>1870801.570935654</v>
      </c>
      <c r="IV18" s="125">
        <f t="shared" si="40"/>
        <v>1870801.570935654</v>
      </c>
      <c r="IW18" s="125">
        <f t="shared" si="40"/>
        <v>1870801.570935654</v>
      </c>
      <c r="IX18" s="125">
        <f t="shared" si="40"/>
        <v>1870801.570935654</v>
      </c>
      <c r="IY18" s="125">
        <f t="shared" si="40"/>
        <v>1870801.570935654</v>
      </c>
      <c r="IZ18" s="125">
        <f t="shared" si="40"/>
        <v>1870801.570935654</v>
      </c>
      <c r="JA18" s="125">
        <f t="shared" si="40"/>
        <v>1870801.570935654</v>
      </c>
      <c r="JB18" s="125">
        <f t="shared" si="40"/>
        <v>1870801.570935654</v>
      </c>
      <c r="JC18" s="125">
        <f t="shared" si="40"/>
        <v>1870801.570935654</v>
      </c>
      <c r="JD18" s="125">
        <f t="shared" si="40"/>
        <v>1870801.570935654</v>
      </c>
      <c r="JE18" s="125">
        <f t="shared" ref="JE18:KF18" si="41">JD18+JE17</f>
        <v>1870801.570935654</v>
      </c>
      <c r="JF18" s="125">
        <f t="shared" si="41"/>
        <v>1870801.570935654</v>
      </c>
      <c r="JG18" s="125">
        <f t="shared" si="41"/>
        <v>1870801.570935654</v>
      </c>
      <c r="JH18" s="125">
        <f t="shared" si="41"/>
        <v>1870801.570935654</v>
      </c>
      <c r="JI18" s="125">
        <f t="shared" si="41"/>
        <v>1870801.570935654</v>
      </c>
      <c r="JJ18" s="125">
        <f t="shared" si="41"/>
        <v>1870801.570935654</v>
      </c>
      <c r="JK18" s="125">
        <f t="shared" si="41"/>
        <v>1870801.570935654</v>
      </c>
      <c r="JL18" s="125">
        <f t="shared" si="41"/>
        <v>1870801.570935654</v>
      </c>
      <c r="JM18" s="125">
        <f t="shared" si="41"/>
        <v>1870801.570935654</v>
      </c>
      <c r="JN18" s="125">
        <f t="shared" si="41"/>
        <v>1870801.570935654</v>
      </c>
      <c r="JO18" s="125">
        <f t="shared" si="41"/>
        <v>1870801.570935654</v>
      </c>
      <c r="JP18" s="125">
        <f t="shared" si="41"/>
        <v>1870801.570935654</v>
      </c>
      <c r="JQ18" s="125">
        <f t="shared" si="41"/>
        <v>1870801.570935654</v>
      </c>
      <c r="JR18" s="125">
        <f t="shared" si="41"/>
        <v>1870801.570935654</v>
      </c>
      <c r="JS18" s="125">
        <f t="shared" si="41"/>
        <v>1870801.570935654</v>
      </c>
      <c r="JT18" s="125">
        <f t="shared" si="41"/>
        <v>1870801.570935654</v>
      </c>
      <c r="JU18" s="125">
        <f t="shared" si="41"/>
        <v>1870801.570935654</v>
      </c>
      <c r="JV18" s="125">
        <f t="shared" si="41"/>
        <v>1870801.570935654</v>
      </c>
      <c r="JW18" s="125">
        <f t="shared" si="41"/>
        <v>1870801.570935654</v>
      </c>
      <c r="JX18" s="125">
        <f t="shared" si="41"/>
        <v>1870801.570935654</v>
      </c>
      <c r="JY18" s="125">
        <f t="shared" si="41"/>
        <v>1870801.570935654</v>
      </c>
      <c r="JZ18" s="125">
        <f t="shared" si="41"/>
        <v>1870801.570935654</v>
      </c>
      <c r="KA18" s="125">
        <f t="shared" si="41"/>
        <v>1870801.570935654</v>
      </c>
      <c r="KB18" s="125">
        <f t="shared" si="41"/>
        <v>1870801.570935654</v>
      </c>
      <c r="KC18" s="125">
        <f t="shared" si="41"/>
        <v>1870801.570935654</v>
      </c>
      <c r="KD18" s="125">
        <f t="shared" si="41"/>
        <v>1870801.570935654</v>
      </c>
      <c r="KE18" s="125">
        <f t="shared" si="41"/>
        <v>1870801.570935654</v>
      </c>
      <c r="KF18" s="125">
        <f t="shared" si="41"/>
        <v>1870801.570935654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5546875" defaultRowHeight="14.4"/>
  <cols>
    <col min="1" max="1" width="36.5546875" style="269" bestFit="1" customWidth="1"/>
    <col min="2" max="2" width="15.5546875" style="270" bestFit="1" customWidth="1"/>
    <col min="3" max="3" width="11.44140625" style="269" bestFit="1" customWidth="1"/>
    <col min="4" max="4" width="6.44140625" style="269" bestFit="1" customWidth="1"/>
    <col min="5" max="5" width="12.88671875" style="269" bestFit="1" customWidth="1"/>
    <col min="6" max="6" width="14.5546875" style="269" bestFit="1" customWidth="1"/>
    <col min="7" max="7" width="12.88671875" style="269" bestFit="1" customWidth="1"/>
    <col min="8" max="9" width="11.5546875" style="269" bestFit="1" customWidth="1"/>
    <col min="10" max="10" width="11.44140625" style="269" bestFit="1" customWidth="1"/>
    <col min="11" max="11" width="14.5546875" style="269" bestFit="1" customWidth="1"/>
    <col min="12" max="12" width="6.44140625" style="269" bestFit="1" customWidth="1"/>
    <col min="13" max="13" width="14.44140625" style="269" bestFit="1" customWidth="1"/>
    <col min="14" max="14" width="13.44140625" style="269" bestFit="1" customWidth="1"/>
    <col min="15" max="18" width="11.44140625" style="269" bestFit="1" customWidth="1"/>
    <col min="19" max="19" width="13.44140625" style="269" bestFit="1" customWidth="1"/>
    <col min="20" max="16384" width="12.554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437</v>
      </c>
      <c r="B3" s="538" t="s">
        <v>438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439</v>
      </c>
      <c r="B4" t="s">
        <v>440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441</v>
      </c>
      <c r="L4"/>
      <c r="M4"/>
      <c r="N4"/>
      <c r="O4"/>
      <c r="P4"/>
      <c r="Q4"/>
      <c r="R4"/>
      <c r="S4"/>
      <c r="T4"/>
    </row>
    <row r="5" spans="1:20">
      <c r="A5" s="345" t="s">
        <v>440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317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339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347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354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369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372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376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389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397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401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386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351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441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0.44140625" bestFit="1" customWidth="1"/>
    <col min="2" max="2" width="15.5546875" style="308" bestFit="1" customWidth="1"/>
    <col min="3" max="3" width="11.44140625" style="308" bestFit="1" customWidth="1"/>
    <col min="4" max="4" width="6.44140625" style="308" bestFit="1" customWidth="1"/>
    <col min="5" max="7" width="12.88671875" style="308" bestFit="1" customWidth="1"/>
    <col min="8" max="9" width="11.5546875" style="308" bestFit="1" customWidth="1"/>
    <col min="10" max="10" width="12.88671875" bestFit="1" customWidth="1"/>
    <col min="11" max="11" width="14.5546875" bestFit="1" customWidth="1"/>
    <col min="12" max="12" width="10.44140625" bestFit="1" customWidth="1"/>
    <col min="13" max="13" width="14" bestFit="1" customWidth="1"/>
    <col min="14" max="14" width="13.44140625" bestFit="1" customWidth="1"/>
    <col min="15" max="15" width="11.44140625" bestFit="1" customWidth="1"/>
    <col min="16" max="16" width="10.44140625" bestFit="1" customWidth="1"/>
    <col min="17" max="18" width="11.44140625" bestFit="1" customWidth="1"/>
    <col min="19" max="19" width="13.44140625" bestFit="1" customWidth="1"/>
  </cols>
  <sheetData>
    <row r="3" spans="1:11">
      <c r="A3" s="538" t="s">
        <v>442</v>
      </c>
      <c r="B3" s="538" t="s">
        <v>438</v>
      </c>
      <c r="C3"/>
      <c r="D3"/>
      <c r="E3"/>
      <c r="F3"/>
      <c r="G3"/>
      <c r="H3"/>
      <c r="I3"/>
    </row>
    <row r="4" spans="1:11">
      <c r="A4" s="538" t="s">
        <v>439</v>
      </c>
      <c r="B4" t="s">
        <v>440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441</v>
      </c>
    </row>
    <row r="5" spans="1:11">
      <c r="A5" s="345" t="s">
        <v>440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317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339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347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354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369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372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376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389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397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401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386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351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441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443</v>
      </c>
      <c r="F2" s="19" t="s">
        <v>444</v>
      </c>
    </row>
    <row r="3" spans="3:8">
      <c r="C3" s="15">
        <v>45658</v>
      </c>
      <c r="D3" s="9" t="s">
        <v>445</v>
      </c>
      <c r="F3" s="17" t="s">
        <v>446</v>
      </c>
    </row>
    <row r="4" spans="3:8">
      <c r="C4" s="15">
        <v>45737</v>
      </c>
      <c r="D4" s="9" t="s">
        <v>447</v>
      </c>
      <c r="F4" s="17" t="s">
        <v>448</v>
      </c>
    </row>
    <row r="5" spans="3:8">
      <c r="C5" s="15">
        <v>45765</v>
      </c>
      <c r="D5" s="9" t="s">
        <v>449</v>
      </c>
      <c r="F5" s="17" t="s">
        <v>450</v>
      </c>
    </row>
    <row r="6" spans="3:8" ht="13.8" thickBot="1">
      <c r="C6" s="15">
        <v>45768</v>
      </c>
      <c r="D6" s="9" t="s">
        <v>451</v>
      </c>
      <c r="F6" s="18" t="s">
        <v>452</v>
      </c>
    </row>
    <row r="7" spans="3:8">
      <c r="C7" s="15">
        <v>45774</v>
      </c>
      <c r="D7" s="9" t="s">
        <v>453</v>
      </c>
    </row>
    <row r="8" spans="3:8">
      <c r="C8" s="15">
        <v>45765</v>
      </c>
      <c r="D8" s="9" t="s">
        <v>454</v>
      </c>
    </row>
    <row r="9" spans="3:8">
      <c r="C9" s="15">
        <v>45778</v>
      </c>
      <c r="D9" s="9" t="s">
        <v>455</v>
      </c>
    </row>
    <row r="10" spans="3:8">
      <c r="C10" s="15">
        <v>45824</v>
      </c>
      <c r="D10" s="9" t="s">
        <v>456</v>
      </c>
    </row>
    <row r="11" spans="3:8">
      <c r="C11" s="15">
        <v>45878</v>
      </c>
      <c r="D11" s="9" t="s">
        <v>457</v>
      </c>
    </row>
    <row r="12" spans="3:8">
      <c r="C12" s="15">
        <v>45924</v>
      </c>
      <c r="D12" s="9" t="s">
        <v>458</v>
      </c>
    </row>
    <row r="13" spans="3:8">
      <c r="C13" s="15">
        <v>46007</v>
      </c>
      <c r="D13" s="9" t="s">
        <v>459</v>
      </c>
      <c r="F13" s="20"/>
      <c r="H13" s="9" t="s">
        <v>460</v>
      </c>
    </row>
    <row r="14" spans="3:8">
      <c r="C14" s="15">
        <v>46016</v>
      </c>
      <c r="D14" s="9" t="s">
        <v>461</v>
      </c>
    </row>
    <row r="15" spans="3:8">
      <c r="C15" s="15">
        <v>46017</v>
      </c>
      <c r="D15" s="9" t="s">
        <v>462</v>
      </c>
    </row>
    <row r="16" spans="3:8">
      <c r="C16" s="15">
        <v>46006</v>
      </c>
      <c r="D16" s="9" t="s">
        <v>463</v>
      </c>
    </row>
    <row r="17" spans="3:4">
      <c r="C17" s="15">
        <v>46007</v>
      </c>
      <c r="D17" s="9" t="s">
        <v>463</v>
      </c>
    </row>
    <row r="18" spans="3:4">
      <c r="C18" s="15">
        <v>46008</v>
      </c>
      <c r="D18" s="9" t="s">
        <v>463</v>
      </c>
    </row>
    <row r="19" spans="3:4">
      <c r="C19" s="15">
        <v>46009</v>
      </c>
      <c r="D19" s="9" t="s">
        <v>463</v>
      </c>
    </row>
    <row r="20" spans="3:4">
      <c r="C20" s="15">
        <v>46010</v>
      </c>
      <c r="D20" s="9" t="s">
        <v>463</v>
      </c>
    </row>
    <row r="21" spans="3:4">
      <c r="C21" s="15">
        <v>46011</v>
      </c>
      <c r="D21" s="9" t="s">
        <v>463</v>
      </c>
    </row>
    <row r="22" spans="3:4">
      <c r="C22" s="15">
        <v>46012</v>
      </c>
      <c r="D22" s="9" t="s">
        <v>463</v>
      </c>
    </row>
    <row r="23" spans="3:4">
      <c r="C23" s="15">
        <v>46013</v>
      </c>
      <c r="D23" s="9" t="s">
        <v>463</v>
      </c>
    </row>
    <row r="24" spans="3:4">
      <c r="C24" s="15">
        <v>46014</v>
      </c>
      <c r="D24" s="9" t="s">
        <v>463</v>
      </c>
    </row>
    <row r="25" spans="3:4">
      <c r="C25" s="15">
        <v>46015</v>
      </c>
      <c r="D25" s="9" t="s">
        <v>463</v>
      </c>
    </row>
    <row r="26" spans="3:4">
      <c r="C26" s="15">
        <v>46016</v>
      </c>
      <c r="D26" s="9" t="s">
        <v>463</v>
      </c>
    </row>
    <row r="27" spans="3:4">
      <c r="C27" s="15">
        <v>46017</v>
      </c>
      <c r="D27" s="9" t="s">
        <v>463</v>
      </c>
    </row>
    <row r="28" spans="3:4">
      <c r="C28" s="15">
        <v>46018</v>
      </c>
      <c r="D28" s="9" t="s">
        <v>463</v>
      </c>
    </row>
    <row r="29" spans="3:4">
      <c r="C29" s="15">
        <v>46019</v>
      </c>
      <c r="D29" s="9" t="s">
        <v>463</v>
      </c>
    </row>
    <row r="30" spans="3:4">
      <c r="C30" s="15">
        <v>46020</v>
      </c>
      <c r="D30" s="9" t="s">
        <v>463</v>
      </c>
    </row>
    <row r="31" spans="3:4">
      <c r="C31" s="15">
        <v>46021</v>
      </c>
      <c r="D31" s="9" t="s">
        <v>463</v>
      </c>
    </row>
    <row r="32" spans="3:4">
      <c r="C32" s="15">
        <v>46022</v>
      </c>
      <c r="D32" s="9" t="s">
        <v>463</v>
      </c>
    </row>
    <row r="33" spans="3:4">
      <c r="C33" s="15">
        <v>46023</v>
      </c>
      <c r="D33" s="9" t="s">
        <v>463</v>
      </c>
    </row>
    <row r="34" spans="3:4">
      <c r="C34" s="15">
        <v>46024</v>
      </c>
      <c r="D34" s="9" t="s">
        <v>463</v>
      </c>
    </row>
    <row r="35" spans="3:4">
      <c r="C35" s="15">
        <v>46025</v>
      </c>
      <c r="D35" s="9" t="s">
        <v>463</v>
      </c>
    </row>
    <row r="36" spans="3:4">
      <c r="C36" s="15">
        <v>46026</v>
      </c>
      <c r="D36" s="9" t="s">
        <v>463</v>
      </c>
    </row>
    <row r="37" spans="3:4">
      <c r="C37" s="15">
        <v>46027</v>
      </c>
      <c r="D37" s="9" t="s">
        <v>463</v>
      </c>
    </row>
    <row r="38" spans="3:4">
      <c r="C38" s="15">
        <v>46028</v>
      </c>
      <c r="D38" s="9" t="s">
        <v>463</v>
      </c>
    </row>
    <row r="39" spans="3:4">
      <c r="C39" s="15">
        <v>46029</v>
      </c>
      <c r="D39" s="9" t="s">
        <v>463</v>
      </c>
    </row>
    <row r="40" spans="3:4">
      <c r="C40" s="15">
        <v>46030</v>
      </c>
      <c r="D40" s="9" t="s">
        <v>463</v>
      </c>
    </row>
    <row r="41" spans="3:4">
      <c r="C41" s="15"/>
      <c r="D41" s="9" t="s">
        <v>463</v>
      </c>
    </row>
    <row r="42" spans="3:4">
      <c r="C42" s="15"/>
      <c r="D42" s="9" t="s">
        <v>463</v>
      </c>
    </row>
    <row r="43" spans="3:4">
      <c r="C43" s="15"/>
      <c r="D43" s="9" t="s">
        <v>463</v>
      </c>
    </row>
    <row r="44" spans="3:4">
      <c r="C44" s="15"/>
      <c r="D44" s="9" t="s">
        <v>463</v>
      </c>
    </row>
    <row r="45" spans="3:4">
      <c r="C45" s="15"/>
      <c r="D45" s="9" t="s">
        <v>463</v>
      </c>
    </row>
    <row r="46" spans="3:4">
      <c r="C46" s="15"/>
      <c r="D46" s="9" t="s">
        <v>463</v>
      </c>
    </row>
    <row r="47" spans="3:4">
      <c r="C47" s="15"/>
      <c r="D47" s="9" t="s">
        <v>463</v>
      </c>
    </row>
    <row r="48" spans="3:4">
      <c r="C48" s="15"/>
      <c r="D48" s="9" t="s">
        <v>463</v>
      </c>
    </row>
    <row r="49" spans="3:4">
      <c r="C49" s="15">
        <v>46102</v>
      </c>
      <c r="D49" s="9" t="s">
        <v>447</v>
      </c>
    </row>
    <row r="50" spans="3:4">
      <c r="C50" s="15">
        <v>46115</v>
      </c>
      <c r="D50" s="9" t="s">
        <v>449</v>
      </c>
    </row>
    <row r="51" spans="3:4">
      <c r="C51" s="15">
        <v>46118</v>
      </c>
      <c r="D51" s="9" t="s">
        <v>451</v>
      </c>
    </row>
    <row r="52" spans="3:4">
      <c r="C52" s="15">
        <v>46139</v>
      </c>
      <c r="D52" s="9" t="s">
        <v>453</v>
      </c>
    </row>
    <row r="53" spans="3:4">
      <c r="C53" s="15">
        <v>46143</v>
      </c>
      <c r="D53" s="9" t="s">
        <v>455</v>
      </c>
    </row>
    <row r="54" spans="3:4">
      <c r="C54" s="15">
        <v>46189</v>
      </c>
      <c r="D54" s="9" t="s">
        <v>456</v>
      </c>
    </row>
    <row r="55" spans="3:4">
      <c r="C55" s="15">
        <v>46243</v>
      </c>
      <c r="D55" s="9" t="s">
        <v>457</v>
      </c>
    </row>
    <row r="56" spans="3:4">
      <c r="C56" s="15">
        <v>46244</v>
      </c>
      <c r="D56" s="9" t="s">
        <v>464</v>
      </c>
    </row>
    <row r="57" spans="3:4">
      <c r="C57" s="15">
        <v>46289</v>
      </c>
      <c r="D57" s="9" t="s">
        <v>458</v>
      </c>
    </row>
    <row r="58" spans="3:4">
      <c r="C58" s="15">
        <v>46372</v>
      </c>
      <c r="D58" s="9" t="s">
        <v>459</v>
      </c>
    </row>
    <row r="59" spans="3:4">
      <c r="C59" s="15">
        <v>46381</v>
      </c>
      <c r="D59" s="9" t="s">
        <v>461</v>
      </c>
    </row>
    <row r="60" spans="3:4" ht="13.8" thickBot="1">
      <c r="C60" s="16">
        <v>46382</v>
      </c>
      <c r="D60" s="9" t="s">
        <v>462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2026-03-02T10:02:33Z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