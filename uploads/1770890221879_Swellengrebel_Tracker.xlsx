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7" documentId="13_ncr:1_{6DFCE840-3A14-475C-AE54-82253AC5B1E1}" xr6:coauthVersionLast="47" xr6:coauthVersionMax="47" xr10:uidLastSave="{8708DFC9-FBE0-4F63-AC4E-41EAF88AF238}"/>
  <bookViews>
    <workbookView minimized="1" xWindow="-24015" yWindow="3240" windowWidth="16125" windowHeight="8715" tabRatio="805" firstSheet="3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3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P6" i="18"/>
  <c r="K13" i="2"/>
  <c r="N13" i="2" s="1"/>
  <c r="I13" i="2" l="1"/>
  <c r="O58" i="18"/>
  <c r="H6" i="5"/>
  <c r="X3" i="5"/>
  <c r="W3" i="5"/>
  <c r="V3" i="5"/>
  <c r="W82" i="18" l="1"/>
  <c r="W81" i="18"/>
  <c r="W80" i="18"/>
  <c r="W53" i="18"/>
  <c r="W45" i="18"/>
  <c r="T44" i="18"/>
  <c r="T28" i="18"/>
  <c r="W21" i="18"/>
  <c r="O6" i="18"/>
  <c r="K12" i="2"/>
  <c r="I16" i="2" l="1"/>
  <c r="K14" i="2"/>
  <c r="I15" i="2" l="1"/>
  <c r="K15" i="2" s="1"/>
  <c r="N14" i="2"/>
  <c r="K16" i="2"/>
  <c r="I17" i="2"/>
  <c r="K17" i="2" s="1"/>
  <c r="K11" i="2" l="1"/>
  <c r="I20" i="2" s="1"/>
  <c r="I11" i="2"/>
  <c r="J11" i="2" s="1"/>
  <c r="W90" i="18" l="1"/>
  <c r="K20" i="2"/>
  <c r="K19" i="2" s="1"/>
  <c r="I19" i="2"/>
  <c r="X102" i="18"/>
  <c r="U87" i="18"/>
  <c r="U86" i="18"/>
  <c r="U85" i="18"/>
  <c r="U84" i="18"/>
  <c r="U83" i="18"/>
  <c r="U82" i="18"/>
  <c r="U81" i="18"/>
  <c r="U80" i="18"/>
  <c r="U79" i="18"/>
  <c r="J19" i="2" l="1"/>
  <c r="N19" i="2"/>
  <c r="M19" i="2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E40" i="2"/>
  <c r="U1" i="6"/>
  <c r="F40" i="2" l="1"/>
  <c r="G46" i="2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I25" i="2" l="1"/>
  <c r="K25" i="2" l="1"/>
  <c r="I37" i="2" l="1"/>
  <c r="W91" i="18"/>
  <c r="I31" i="2"/>
  <c r="K37" i="2" l="1"/>
  <c r="W6" i="18" s="1"/>
  <c r="W28" i="18" s="1"/>
  <c r="I23" i="2"/>
  <c r="I26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7" i="18" l="1"/>
  <c r="W124" i="18" s="1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J127" i="18" l="1"/>
  <c r="G127" i="18"/>
  <c r="H14" i="5" l="1"/>
  <c r="W128" i="18"/>
  <c r="W129" i="18" s="1"/>
  <c r="W130" i="18" s="1"/>
  <c r="W131" i="18" s="1"/>
  <c r="T119" i="18"/>
  <c r="T120" i="18"/>
  <c r="W46" i="18"/>
  <c r="W14" i="18"/>
  <c r="W44" i="18" s="1"/>
  <c r="I44" i="18"/>
  <c r="X118" i="18" l="1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E46" i="5"/>
  <c r="E47" i="5"/>
  <c r="E21" i="5"/>
  <c r="I118" i="18"/>
  <c r="X21" i="18"/>
  <c r="F13" i="5" l="1"/>
  <c r="Z33" i="18"/>
  <c r="O90" i="18"/>
  <c r="I13" i="18"/>
  <c r="F10" i="3" s="1"/>
  <c r="Z12" i="18"/>
  <c r="Z27" i="18" s="1"/>
  <c r="Z13" i="18"/>
  <c r="Z28" i="18" s="1"/>
  <c r="O32" i="18" s="1"/>
  <c r="Q35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62" i="18" l="1"/>
  <c r="Z22" i="18"/>
  <c r="Z23" i="18" s="1"/>
  <c r="Z24" i="18" s="1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79" i="18"/>
  <c r="V44" i="18"/>
  <c r="V21" i="18"/>
  <c r="Q64" i="18" l="1"/>
  <c r="Q58" i="18"/>
  <c r="U142" i="18"/>
  <c r="Q60" i="18"/>
  <c r="Q59" i="18"/>
  <c r="Q61" i="18"/>
  <c r="U109" i="18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6" i="5" l="1"/>
  <c r="X52" i="18"/>
  <c r="U68" i="18" s="1"/>
  <c r="U107" i="18"/>
  <c r="U110" i="18"/>
  <c r="V134" i="18"/>
  <c r="F25" i="3"/>
  <c r="F41" i="5"/>
  <c r="F44" i="5"/>
  <c r="C5" i="6"/>
  <c r="F42" i="5"/>
  <c r="F43" i="5"/>
  <c r="N17" i="2"/>
  <c r="V102" i="18"/>
  <c r="V28" i="18"/>
  <c r="V89" i="18"/>
  <c r="D7" i="5" l="1"/>
  <c r="G6" i="5"/>
  <c r="U63" i="18"/>
  <c r="X2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 l="1"/>
  <c r="J5" i="3" s="1"/>
  <c r="H5" i="3"/>
  <c r="V52" i="18"/>
  <c r="W58" i="18"/>
  <c r="T90" i="18"/>
  <c r="W106" i="18"/>
  <c r="W32" i="18"/>
  <c r="W59" i="18"/>
  <c r="T59" i="18" s="1"/>
  <c r="W107" i="18"/>
  <c r="W33" i="18"/>
  <c r="T91" i="18"/>
  <c r="N20" i="2"/>
  <c r="H21" i="18"/>
  <c r="H13" i="18"/>
  <c r="T15" i="2"/>
  <c r="F5" i="5" l="1"/>
  <c r="H25" i="3"/>
  <c r="T107" i="18"/>
  <c r="T33" i="18"/>
  <c r="T58" i="18"/>
  <c r="T106" i="18"/>
  <c r="T32" i="18"/>
  <c r="N33" i="2"/>
  <c r="N31" i="2"/>
  <c r="N32" i="2"/>
  <c r="H28" i="18"/>
  <c r="V15" i="2"/>
  <c r="F6" i="5" l="1"/>
  <c r="F7" i="5" s="1"/>
  <c r="C11" i="6"/>
  <c r="H89" i="18"/>
  <c r="N24" i="2"/>
  <c r="N23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 s="1"/>
  <c r="P16" i="5"/>
  <c r="J9" i="2"/>
  <c r="H90" i="18"/>
  <c r="H29" i="18"/>
  <c r="T18" i="2"/>
  <c r="U16" i="2"/>
  <c r="V16" i="2"/>
  <c r="W92" i="18"/>
  <c r="W60" i="18" l="1"/>
  <c r="T60" i="18" s="1"/>
  <c r="W108" i="18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H124" i="18" s="1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T38" i="18" l="1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9" i="2"/>
  <c r="V21" i="2"/>
  <c r="U21" i="2"/>
  <c r="K4" i="6" l="1"/>
  <c r="J7" i="6"/>
  <c r="O10" i="6"/>
  <c r="T118" i="18"/>
  <c r="T121" i="18"/>
  <c r="T127" i="18"/>
  <c r="U3" i="5" s="1"/>
  <c r="P10" i="6" l="1"/>
  <c r="L4" i="6"/>
  <c r="K7" i="6"/>
  <c r="M4" i="6" l="1"/>
  <c r="L7" i="6"/>
  <c r="Q10" i="6"/>
  <c r="R10" i="6" l="1"/>
  <c r="N4" i="6"/>
  <c r="M7" i="6"/>
  <c r="O4" i="6" l="1"/>
  <c r="N7" i="6"/>
  <c r="S10" i="6"/>
  <c r="T10" i="6" l="1"/>
  <c r="O7" i="6"/>
  <c r="P4" i="6"/>
  <c r="P7" i="6" l="1"/>
  <c r="Q4" i="6"/>
  <c r="U10" i="6"/>
  <c r="V10" i="6" l="1"/>
  <c r="R4" i="6"/>
  <c r="Q7" i="6"/>
  <c r="R7" i="6" l="1"/>
  <c r="S4" i="6"/>
  <c r="W10" i="6"/>
  <c r="X10" i="6" l="1"/>
  <c r="T4" i="6"/>
  <c r="S7" i="6"/>
  <c r="U4" i="6" l="1"/>
  <c r="T7" i="6"/>
  <c r="Y10" i="6"/>
  <c r="Z10" i="6" l="1"/>
  <c r="V4" i="6"/>
  <c r="U7" i="6"/>
  <c r="W4" i="6" l="1"/>
  <c r="V7" i="6"/>
  <c r="AA10" i="6"/>
  <c r="AB10" i="6" l="1"/>
  <c r="X4" i="6"/>
  <c r="W7" i="6"/>
  <c r="X7" i="6" l="1"/>
  <c r="Y4" i="6"/>
  <c r="AC10" i="6"/>
  <c r="AD10" i="6" l="1"/>
  <c r="Y7" i="6"/>
  <c r="Z4" i="6"/>
  <c r="Z7" i="6" l="1"/>
  <c r="AA4" i="6"/>
  <c r="AE10" i="6"/>
  <c r="AF10" i="6" l="1"/>
  <c r="AA7" i="6"/>
  <c r="AB4" i="6"/>
  <c r="AC4" i="6" l="1"/>
  <c r="AB7" i="6"/>
  <c r="AG10" i="6"/>
  <c r="AH10" i="6" l="1"/>
  <c r="AD4" i="6"/>
  <c r="AC7" i="6"/>
  <c r="AD7" i="6" l="1"/>
  <c r="AE4" i="6"/>
  <c r="AI10" i="6"/>
  <c r="AJ10" i="6" l="1"/>
  <c r="AE7" i="6"/>
  <c r="AF4" i="6"/>
  <c r="AF7" i="6" l="1"/>
  <c r="AG4" i="6"/>
  <c r="AK10" i="6"/>
  <c r="AL10" i="6" l="1"/>
  <c r="AH4" i="6"/>
  <c r="AG7" i="6"/>
  <c r="AI4" i="6" l="1"/>
  <c r="AH7" i="6"/>
  <c r="AM10" i="6"/>
  <c r="AN10" i="6" l="1"/>
  <c r="AJ4" i="6"/>
  <c r="AI7" i="6"/>
  <c r="AJ7" i="6" l="1"/>
  <c r="AK4" i="6"/>
  <c r="AO10" i="6"/>
  <c r="AP10" i="6" l="1"/>
  <c r="AL4" i="6"/>
  <c r="AK7" i="6"/>
  <c r="AM4" i="6" l="1"/>
  <c r="AL7" i="6"/>
  <c r="AQ10" i="6"/>
  <c r="AR10" i="6" l="1"/>
  <c r="AN4" i="6"/>
  <c r="AM7" i="6"/>
  <c r="AN7" i="6" l="1"/>
  <c r="AO4" i="6"/>
  <c r="AS10" i="6"/>
  <c r="AT10" i="6" l="1"/>
  <c r="AP4" i="6"/>
  <c r="AO7" i="6"/>
  <c r="AQ4" i="6" l="1"/>
  <c r="AP7" i="6"/>
  <c r="AU10" i="6"/>
  <c r="AV10" i="6" l="1"/>
  <c r="AQ7" i="6"/>
  <c r="AR4" i="6"/>
  <c r="AS4" i="6" l="1"/>
  <c r="AR7" i="6"/>
  <c r="AW10" i="6"/>
  <c r="AX10" i="6" l="1"/>
  <c r="AT4" i="6"/>
  <c r="AS7" i="6"/>
  <c r="AT7" i="6" l="1"/>
  <c r="AU4" i="6"/>
  <c r="AY10" i="6"/>
  <c r="AZ10" i="6" l="1"/>
  <c r="AU7" i="6"/>
  <c r="AV4" i="6"/>
  <c r="AW4" i="6" l="1"/>
  <c r="AV7" i="6"/>
  <c r="BA10" i="6"/>
  <c r="BB10" i="6" l="1"/>
  <c r="AW7" i="6"/>
  <c r="AX4" i="6"/>
  <c r="AX7" i="6" l="1"/>
  <c r="AY4" i="6"/>
  <c r="BC10" i="6"/>
  <c r="BD10" i="6" l="1"/>
  <c r="AY7" i="6"/>
  <c r="AZ4" i="6"/>
  <c r="BA4" i="6" l="1"/>
  <c r="AZ7" i="6"/>
  <c r="BE10" i="6"/>
  <c r="BF10" i="6" l="1"/>
  <c r="BB4" i="6"/>
  <c r="BA7" i="6"/>
  <c r="BC4" i="6" l="1"/>
  <c r="BB7" i="6"/>
  <c r="BG10" i="6"/>
  <c r="BH10" i="6" l="1"/>
  <c r="BD4" i="6"/>
  <c r="BC7" i="6"/>
  <c r="BE4" i="6" l="1"/>
  <c r="BD7" i="6"/>
  <c r="BI10" i="6"/>
  <c r="BJ10" i="6" l="1"/>
  <c r="BF4" i="6"/>
  <c r="BE7" i="6"/>
  <c r="BG4" i="6" l="1"/>
  <c r="BF7" i="6"/>
  <c r="BK10" i="6"/>
  <c r="BL10" i="6" l="1"/>
  <c r="BH4" i="6"/>
  <c r="BG7" i="6"/>
  <c r="BH7" i="6" l="1"/>
  <c r="BI4" i="6"/>
  <c r="BM10" i="6"/>
  <c r="BJ4" i="6" l="1"/>
  <c r="BI7" i="6"/>
  <c r="BN10" i="6"/>
  <c r="BO10" i="6" l="1"/>
  <c r="BJ7" i="6"/>
  <c r="BK4" i="6"/>
  <c r="BL4" i="6" l="1"/>
  <c r="BK7" i="6"/>
  <c r="BP10" i="6"/>
  <c r="BQ10" i="6" l="1"/>
  <c r="BM4" i="6"/>
  <c r="BL7" i="6"/>
  <c r="BN4" i="6" l="1"/>
  <c r="BM7" i="6"/>
  <c r="BR10" i="6"/>
  <c r="BS10" i="6" l="1"/>
  <c r="BO4" i="6"/>
  <c r="BN7" i="6"/>
  <c r="BP4" i="6" l="1"/>
  <c r="BO7" i="6"/>
  <c r="BT10" i="6"/>
  <c r="BU10" i="6" l="1"/>
  <c r="BP7" i="6"/>
  <c r="BQ4" i="6"/>
  <c r="BQ7" i="6" l="1"/>
  <c r="BR4" i="6"/>
  <c r="BV10" i="6"/>
  <c r="BW10" i="6" l="1"/>
  <c r="BR7" i="6"/>
  <c r="BS4" i="6"/>
  <c r="BS7" i="6" l="1"/>
  <c r="BT4" i="6"/>
  <c r="BX10" i="6"/>
  <c r="BY10" i="6" l="1"/>
  <c r="BT7" i="6"/>
  <c r="BU4" i="6"/>
  <c r="BU7" i="6" l="1"/>
  <c r="BV4" i="6"/>
  <c r="BZ10" i="6"/>
  <c r="CA10" i="6" l="1"/>
  <c r="BV7" i="6"/>
  <c r="BW4" i="6"/>
  <c r="BW7" i="6" l="1"/>
  <c r="BX4" i="6"/>
  <c r="CB10" i="6"/>
  <c r="CC10" i="6" l="1"/>
  <c r="BX7" i="6"/>
  <c r="BY4" i="6"/>
  <c r="CD10" i="6" l="1"/>
  <c r="BZ4" i="6"/>
  <c r="BY7" i="6"/>
  <c r="CE10" i="6" l="1"/>
  <c r="CA4" i="6"/>
  <c r="BZ7" i="6"/>
  <c r="CB4" i="6" l="1"/>
  <c r="CA7" i="6"/>
  <c r="CF10" i="6"/>
  <c r="CG10" i="6" l="1"/>
  <c r="CB7" i="6"/>
  <c r="CC4" i="6"/>
  <c r="CD4" i="6" l="1"/>
  <c r="CC7" i="6"/>
  <c r="CH10" i="6"/>
  <c r="CI10" i="6" l="1"/>
  <c r="CD7" i="6"/>
  <c r="CE4" i="6"/>
  <c r="CF4" i="6" l="1"/>
  <c r="CE7" i="6"/>
  <c r="CJ10" i="6"/>
  <c r="CK10" i="6" l="1"/>
  <c r="CF7" i="6"/>
  <c r="CG4" i="6"/>
  <c r="CH4" i="6" l="1"/>
  <c r="CG7" i="6"/>
  <c r="CL10" i="6"/>
  <c r="CM10" i="6" l="1"/>
  <c r="CH7" i="6"/>
  <c r="CI4" i="6"/>
  <c r="CJ4" i="6" l="1"/>
  <c r="CI7" i="6"/>
  <c r="CN10" i="6"/>
  <c r="CO10" i="6" l="1"/>
  <c r="CK4" i="6"/>
  <c r="CJ7" i="6"/>
  <c r="CL4" i="6" l="1"/>
  <c r="CK7" i="6"/>
  <c r="CP10" i="6"/>
  <c r="CQ10" i="6" l="1"/>
  <c r="CL7" i="6"/>
  <c r="CM4" i="6"/>
  <c r="CM7" i="6" l="1"/>
  <c r="CN4" i="6"/>
  <c r="CR10" i="6"/>
  <c r="CS10" i="6" l="1"/>
  <c r="CO4" i="6"/>
  <c r="CN7" i="6"/>
  <c r="CP4" i="6" l="1"/>
  <c r="CO7" i="6"/>
  <c r="CT10" i="6"/>
  <c r="CU10" i="6" l="1"/>
  <c r="CQ4" i="6"/>
  <c r="CP7" i="6"/>
  <c r="CR4" i="6" l="1"/>
  <c r="CQ7" i="6"/>
  <c r="CV10" i="6"/>
  <c r="CW10" i="6" l="1"/>
  <c r="CS4" i="6"/>
  <c r="CR7" i="6"/>
  <c r="CT4" i="6" l="1"/>
  <c r="CS7" i="6"/>
  <c r="CX10" i="6"/>
  <c r="CY10" i="6" l="1"/>
  <c r="CU4" i="6"/>
  <c r="CT7" i="6"/>
  <c r="CV4" i="6" l="1"/>
  <c r="CU7" i="6"/>
  <c r="CZ10" i="6"/>
  <c r="DA10" i="6" l="1"/>
  <c r="CW4" i="6"/>
  <c r="CV7" i="6"/>
  <c r="CX4" i="6" l="1"/>
  <c r="CW7" i="6"/>
  <c r="DB10" i="6"/>
  <c r="DC10" i="6" l="1"/>
  <c r="CX7" i="6"/>
  <c r="CY4" i="6"/>
  <c r="CY7" i="6" l="1"/>
  <c r="CZ4" i="6"/>
  <c r="DD10" i="6"/>
  <c r="DE10" i="6" l="1"/>
  <c r="CZ7" i="6"/>
  <c r="DA4" i="6"/>
  <c r="DB4" i="6" l="1"/>
  <c r="DA7" i="6"/>
  <c r="DF10" i="6"/>
  <c r="DG10" i="6" l="1"/>
  <c r="DB7" i="6"/>
  <c r="DC4" i="6"/>
  <c r="DC7" i="6" l="1"/>
  <c r="DD4" i="6"/>
  <c r="DH10" i="6"/>
  <c r="DI10" i="6" l="1"/>
  <c r="DD7" i="6"/>
  <c r="DE4" i="6"/>
  <c r="DE7" i="6" l="1"/>
  <c r="DF4" i="6"/>
  <c r="DJ10" i="6"/>
  <c r="DK10" i="6" l="1"/>
  <c r="DF7" i="6"/>
  <c r="DG4" i="6"/>
  <c r="DG7" i="6" l="1"/>
  <c r="DH4" i="6"/>
  <c r="DL10" i="6"/>
  <c r="DM10" i="6" l="1"/>
  <c r="DH7" i="6"/>
  <c r="DI4" i="6"/>
  <c r="DI7" i="6" l="1"/>
  <c r="DJ4" i="6"/>
  <c r="DN10" i="6"/>
  <c r="DO10" i="6" l="1"/>
  <c r="DJ7" i="6"/>
  <c r="DK4" i="6"/>
  <c r="DK7" i="6" l="1"/>
  <c r="DL4" i="6"/>
  <c r="DP10" i="6"/>
  <c r="DQ10" i="6" l="1"/>
  <c r="DL7" i="6"/>
  <c r="DM4" i="6"/>
  <c r="DN4" i="6" l="1"/>
  <c r="DM7" i="6"/>
  <c r="DR10" i="6"/>
  <c r="DS10" i="6" l="1"/>
  <c r="DO4" i="6"/>
  <c r="DN7" i="6"/>
  <c r="DP4" i="6" l="1"/>
  <c r="DO7" i="6"/>
  <c r="DT10" i="6"/>
  <c r="DU10" i="6" l="1"/>
  <c r="DQ4" i="6"/>
  <c r="DP7" i="6"/>
  <c r="DR4" i="6" l="1"/>
  <c r="DQ7" i="6"/>
  <c r="DV10" i="6"/>
  <c r="DW10" i="6" l="1"/>
  <c r="DS4" i="6"/>
  <c r="DR7" i="6"/>
  <c r="DT4" i="6" l="1"/>
  <c r="DS7" i="6"/>
  <c r="DX10" i="6"/>
  <c r="DY10" i="6" l="1"/>
  <c r="DU4" i="6"/>
  <c r="DT7" i="6"/>
  <c r="DV4" i="6" l="1"/>
  <c r="DU7" i="6"/>
  <c r="DZ10" i="6"/>
  <c r="EA10" i="6" l="1"/>
  <c r="DW4" i="6"/>
  <c r="DV7" i="6"/>
  <c r="DX4" i="6" l="1"/>
  <c r="DW7" i="6"/>
  <c r="EB10" i="6"/>
  <c r="EC10" i="6" l="1"/>
  <c r="DX7" i="6"/>
  <c r="DY4" i="6"/>
  <c r="DY7" i="6" l="1"/>
  <c r="DZ4" i="6"/>
  <c r="ED10" i="6"/>
  <c r="EE10" i="6" l="1"/>
  <c r="DZ7" i="6"/>
  <c r="EA4" i="6"/>
  <c r="EA7" i="6" l="1"/>
  <c r="EB4" i="6"/>
  <c r="EF10" i="6"/>
  <c r="EG10" i="6" l="1"/>
  <c r="EB7" i="6"/>
  <c r="EC4" i="6"/>
  <c r="ED4" i="6" l="1"/>
  <c r="EC7" i="6"/>
  <c r="EH10" i="6"/>
  <c r="EI10" i="6" l="1"/>
  <c r="ED7" i="6"/>
  <c r="EE4" i="6"/>
  <c r="EE7" i="6" l="1"/>
  <c r="EF4" i="6"/>
  <c r="EJ10" i="6"/>
  <c r="EK10" i="6" l="1"/>
  <c r="EG4" i="6"/>
  <c r="EF7" i="6"/>
  <c r="EH4" i="6" l="1"/>
  <c r="EG7" i="6"/>
  <c r="EL10" i="6"/>
  <c r="EM10" i="6" l="1"/>
  <c r="EH7" i="6"/>
  <c r="EI4" i="6"/>
  <c r="EN10" i="6" l="1"/>
  <c r="EJ4" i="6"/>
  <c r="EI7" i="6"/>
  <c r="EJ7" i="6" l="1"/>
  <c r="EK4" i="6"/>
  <c r="EO10" i="6"/>
  <c r="EK7" i="6" l="1"/>
  <c r="EL4" i="6"/>
  <c r="EP10" i="6"/>
  <c r="EQ10" i="6" l="1"/>
  <c r="EL7" i="6"/>
  <c r="EM4" i="6"/>
  <c r="EN4" i="6" l="1"/>
  <c r="EM7" i="6"/>
  <c r="ER10" i="6"/>
  <c r="ES10" i="6" l="1"/>
  <c r="EO4" i="6"/>
  <c r="EN7" i="6"/>
  <c r="EP4" i="6" l="1"/>
  <c r="EO7" i="6"/>
  <c r="ET10" i="6"/>
  <c r="EU10" i="6" l="1"/>
  <c r="EP7" i="6"/>
  <c r="EQ4" i="6"/>
  <c r="EQ7" i="6" l="1"/>
  <c r="ER4" i="6"/>
  <c r="EV10" i="6"/>
  <c r="EW10" i="6" l="1"/>
  <c r="ES4" i="6"/>
  <c r="ER7" i="6"/>
  <c r="EX10" i="6" l="1"/>
  <c r="ET4" i="6"/>
  <c r="ES7" i="6"/>
  <c r="ET7" i="6" l="1"/>
  <c r="EU4" i="6"/>
  <c r="EY10" i="6"/>
  <c r="EZ10" i="6" l="1"/>
  <c r="EV4" i="6"/>
  <c r="EU7" i="6"/>
  <c r="EW4" i="6" l="1"/>
  <c r="EV7" i="6"/>
  <c r="FA10" i="6"/>
  <c r="FB10" i="6" l="1"/>
  <c r="EX4" i="6"/>
  <c r="EW7" i="6"/>
  <c r="EY4" i="6" l="1"/>
  <c r="EX7" i="6"/>
  <c r="FC10" i="6"/>
  <c r="FD10" i="6" l="1"/>
  <c r="EZ4" i="6"/>
  <c r="EY7" i="6"/>
  <c r="EZ7" i="6" l="1"/>
  <c r="FA4" i="6"/>
  <c r="FE10" i="6"/>
  <c r="FF10" i="6" l="1"/>
  <c r="FA7" i="6"/>
  <c r="FB4" i="6"/>
  <c r="FB7" i="6" l="1"/>
  <c r="FC4" i="6"/>
  <c r="FG10" i="6"/>
  <c r="FH10" i="6" l="1"/>
  <c r="FC7" i="6"/>
  <c r="FD4" i="6"/>
  <c r="FD7" i="6" l="1"/>
  <c r="FE4" i="6"/>
  <c r="FI10" i="6"/>
  <c r="FJ10" i="6" l="1"/>
  <c r="FF4" i="6"/>
  <c r="FE7" i="6"/>
  <c r="FG4" i="6" l="1"/>
  <c r="FF7" i="6"/>
  <c r="FK10" i="6"/>
  <c r="FL10" i="6" l="1"/>
  <c r="FG7" i="6"/>
  <c r="FH4" i="6"/>
  <c r="FH7" i="6" l="1"/>
  <c r="FI4" i="6"/>
  <c r="FM10" i="6"/>
  <c r="FN10" i="6" l="1"/>
  <c r="FJ4" i="6"/>
  <c r="FI7" i="6"/>
  <c r="FK4" i="6" l="1"/>
  <c r="FJ7" i="6"/>
  <c r="FO10" i="6"/>
  <c r="FP10" i="6" l="1"/>
  <c r="FL4" i="6"/>
  <c r="FK7" i="6"/>
  <c r="FM4" i="6" l="1"/>
  <c r="FL7" i="6"/>
  <c r="FQ10" i="6"/>
  <c r="FR10" i="6" l="1"/>
  <c r="FM7" i="6"/>
  <c r="FN4" i="6"/>
  <c r="FN7" i="6" l="1"/>
  <c r="FO4" i="6"/>
  <c r="FS10" i="6"/>
  <c r="FT10" i="6" l="1"/>
  <c r="FP4" i="6"/>
  <c r="FO7" i="6"/>
  <c r="FU10" i="6" l="1"/>
  <c r="FP7" i="6"/>
  <c r="FQ4" i="6"/>
  <c r="FQ7" i="6" l="1"/>
  <c r="FR4" i="6"/>
  <c r="FV10" i="6"/>
  <c r="FW10" i="6" l="1"/>
  <c r="FR7" i="6"/>
  <c r="FS4" i="6"/>
  <c r="FX10" i="6" l="1"/>
  <c r="FS7" i="6"/>
  <c r="FT4" i="6"/>
  <c r="FT7" i="6" l="1"/>
  <c r="FU4" i="6"/>
  <c r="FY10" i="6"/>
  <c r="FZ10" i="6" l="1"/>
  <c r="FV4" i="6"/>
  <c r="FU7" i="6"/>
  <c r="FV7" i="6" l="1"/>
  <c r="FW4" i="6"/>
  <c r="GA10" i="6"/>
  <c r="GB10" i="6" l="1"/>
  <c r="FW7" i="6"/>
  <c r="FX4" i="6"/>
  <c r="FY4" i="6" l="1"/>
  <c r="FX7" i="6"/>
  <c r="GC10" i="6"/>
  <c r="GD10" i="6" l="1"/>
  <c r="FZ4" i="6"/>
  <c r="FY7" i="6"/>
  <c r="GE10" i="6" l="1"/>
  <c r="GA4" i="6"/>
  <c r="FZ7" i="6"/>
  <c r="GA7" i="6" l="1"/>
  <c r="GB4" i="6"/>
  <c r="GF10" i="6"/>
  <c r="GG10" i="6" l="1"/>
  <c r="GB7" i="6"/>
  <c r="GC4" i="6"/>
  <c r="GD4" i="6" l="1"/>
  <c r="GC7" i="6"/>
  <c r="GH10" i="6"/>
  <c r="GI10" i="6" l="1"/>
  <c r="GE4" i="6"/>
  <c r="GD7" i="6"/>
  <c r="GF4" i="6" l="1"/>
  <c r="GE7" i="6"/>
  <c r="GJ10" i="6"/>
  <c r="GK10" i="6" l="1"/>
  <c r="GG4" i="6"/>
  <c r="GF7" i="6"/>
  <c r="GH4" i="6" l="1"/>
  <c r="GG7" i="6"/>
  <c r="GL10" i="6"/>
  <c r="GM10" i="6" l="1"/>
  <c r="GI4" i="6"/>
  <c r="GH7" i="6"/>
  <c r="GJ4" i="6" l="1"/>
  <c r="GI7" i="6"/>
  <c r="GN10" i="6"/>
  <c r="GO10" i="6" l="1"/>
  <c r="GK4" i="6"/>
  <c r="GJ7" i="6"/>
  <c r="GL4" i="6" l="1"/>
  <c r="GK7" i="6"/>
  <c r="GP10" i="6"/>
  <c r="GQ10" i="6" l="1"/>
  <c r="GL7" i="6"/>
  <c r="GM4" i="6"/>
  <c r="GN4" i="6" l="1"/>
  <c r="GM7" i="6"/>
  <c r="GR10" i="6"/>
  <c r="GS10" i="6" l="1"/>
  <c r="GO4" i="6"/>
  <c r="GN7" i="6"/>
  <c r="GP4" i="6" l="1"/>
  <c r="GO7" i="6"/>
  <c r="GT10" i="6"/>
  <c r="GU10" i="6" l="1"/>
  <c r="GQ4" i="6"/>
  <c r="GP7" i="6"/>
  <c r="GQ7" i="6" l="1"/>
  <c r="GR4" i="6"/>
  <c r="GV10" i="6"/>
  <c r="GR7" i="6" l="1"/>
  <c r="GS4" i="6"/>
  <c r="GW10" i="6"/>
  <c r="GX10" i="6" l="1"/>
  <c r="GS7" i="6"/>
  <c r="GT4" i="6"/>
  <c r="GT7" i="6" l="1"/>
  <c r="GU4" i="6"/>
  <c r="GY10" i="6"/>
  <c r="GZ10" i="6" l="1"/>
  <c r="GU7" i="6"/>
  <c r="GV4" i="6"/>
  <c r="GV7" i="6" l="1"/>
  <c r="GW4" i="6"/>
  <c r="HA10" i="6"/>
  <c r="HB10" i="6" l="1"/>
  <c r="GW7" i="6"/>
  <c r="GX4" i="6"/>
  <c r="GX7" i="6" l="1"/>
  <c r="GY4" i="6"/>
  <c r="HC10" i="6"/>
  <c r="HD10" i="6" l="1"/>
  <c r="GZ4" i="6"/>
  <c r="GY7" i="6"/>
  <c r="HA4" i="6" l="1"/>
  <c r="GZ7" i="6"/>
  <c r="HE10" i="6"/>
  <c r="HF10" i="6" l="1"/>
  <c r="HB4" i="6"/>
  <c r="HA7" i="6"/>
  <c r="HC4" i="6" l="1"/>
  <c r="HB7" i="6"/>
  <c r="HG10" i="6"/>
  <c r="HH10" i="6" l="1"/>
  <c r="HD4" i="6"/>
  <c r="HC7" i="6"/>
  <c r="HE4" i="6" l="1"/>
  <c r="HD7" i="6"/>
  <c r="HI10" i="6"/>
  <c r="HJ10" i="6" l="1"/>
  <c r="HE7" i="6"/>
  <c r="HF4" i="6"/>
  <c r="HF7" i="6" l="1"/>
  <c r="HG4" i="6"/>
  <c r="HK10" i="6"/>
  <c r="HL10" i="6" l="1"/>
  <c r="HH4" i="6"/>
  <c r="HG7" i="6"/>
  <c r="HH7" i="6" l="1"/>
  <c r="HI4" i="6"/>
  <c r="HM10" i="6"/>
  <c r="HN10" i="6" l="1"/>
  <c r="HJ4" i="6"/>
  <c r="HI7" i="6"/>
  <c r="HK4" i="6" l="1"/>
  <c r="HJ7" i="6"/>
  <c r="HO10" i="6"/>
  <c r="HP10" i="6" l="1"/>
  <c r="HL4" i="6"/>
  <c r="HK7" i="6"/>
  <c r="HM4" i="6" l="1"/>
  <c r="HL7" i="6"/>
  <c r="HQ10" i="6"/>
  <c r="HR10" i="6" l="1"/>
  <c r="HN4" i="6"/>
  <c r="HM7" i="6"/>
  <c r="HN7" i="6" l="1"/>
  <c r="HO4" i="6"/>
  <c r="HS10" i="6"/>
  <c r="HT10" i="6" l="1"/>
  <c r="HO7" i="6"/>
  <c r="HP4" i="6"/>
  <c r="HQ4" i="6" l="1"/>
  <c r="HP7" i="6"/>
  <c r="HU10" i="6"/>
  <c r="HV10" i="6" l="1"/>
  <c r="HR4" i="6"/>
  <c r="HQ7" i="6"/>
  <c r="HS4" i="6" l="1"/>
  <c r="HR7" i="6"/>
  <c r="HW10" i="6"/>
  <c r="HX10" i="6" l="1"/>
  <c r="HT4" i="6"/>
  <c r="HS7" i="6"/>
  <c r="HU4" i="6" l="1"/>
  <c r="HT7" i="6"/>
  <c r="HY10" i="6"/>
  <c r="HZ10" i="6" l="1"/>
  <c r="HV4" i="6"/>
  <c r="HU7" i="6"/>
  <c r="HW4" i="6" l="1"/>
  <c r="HV7" i="6"/>
  <c r="IA10" i="6"/>
  <c r="IB10" i="6" l="1"/>
  <c r="HX4" i="6"/>
  <c r="HW7" i="6"/>
  <c r="HY4" i="6" l="1"/>
  <c r="HX7" i="6"/>
  <c r="IC10" i="6"/>
  <c r="ID10" i="6" l="1"/>
  <c r="HZ4" i="6"/>
  <c r="HY7" i="6"/>
  <c r="HZ7" i="6" l="1"/>
  <c r="IA4" i="6"/>
  <c r="IE10" i="6"/>
  <c r="IF10" i="6" l="1"/>
  <c r="IA7" i="6"/>
  <c r="IB4" i="6"/>
  <c r="IB7" i="6" l="1"/>
  <c r="IC4" i="6"/>
  <c r="IG10" i="6"/>
  <c r="IH10" i="6" l="1"/>
  <c r="ID4" i="6"/>
  <c r="IC7" i="6"/>
  <c r="II10" i="6" l="1"/>
  <c r="ID7" i="6"/>
  <c r="IE4" i="6"/>
  <c r="IF4" i="6" l="1"/>
  <c r="IE7" i="6"/>
  <c r="IJ10" i="6"/>
  <c r="IK10" i="6" l="1"/>
  <c r="IG4" i="6"/>
  <c r="IF7" i="6"/>
  <c r="IH4" i="6" l="1"/>
  <c r="IG7" i="6"/>
  <c r="IL10" i="6"/>
  <c r="IM10" i="6" l="1"/>
  <c r="IH7" i="6"/>
  <c r="II4" i="6"/>
  <c r="IJ4" i="6" l="1"/>
  <c r="II7" i="6"/>
  <c r="IN10" i="6"/>
  <c r="IO10" i="6" l="1"/>
  <c r="IJ7" i="6"/>
  <c r="IK4" i="6"/>
  <c r="IK7" i="6" l="1"/>
  <c r="IL4" i="6"/>
  <c r="IP10" i="6"/>
  <c r="IQ10" i="6" l="1"/>
  <c r="IM4" i="6"/>
  <c r="IL7" i="6"/>
  <c r="IM7" i="6" l="1"/>
  <c r="IN4" i="6"/>
  <c r="IR10" i="6"/>
  <c r="IN7" i="6" l="1"/>
  <c r="IO4" i="6"/>
  <c r="IS10" i="6"/>
  <c r="IT10" i="6" l="1"/>
  <c r="IP4" i="6"/>
  <c r="IO7" i="6"/>
  <c r="IQ4" i="6" l="1"/>
  <c r="IP7" i="6"/>
  <c r="IU10" i="6"/>
  <c r="IV10" i="6" l="1"/>
  <c r="IR4" i="6"/>
  <c r="IQ7" i="6"/>
  <c r="IS4" i="6" l="1"/>
  <c r="IR7" i="6"/>
  <c r="IW10" i="6"/>
  <c r="IX10" i="6" l="1"/>
  <c r="IT4" i="6"/>
  <c r="IS7" i="6"/>
  <c r="IU4" i="6" l="1"/>
  <c r="IT7" i="6"/>
  <c r="IY10" i="6"/>
  <c r="IZ10" i="6" l="1"/>
  <c r="IV4" i="6"/>
  <c r="IU7" i="6"/>
  <c r="IW4" i="6" l="1"/>
  <c r="IV7" i="6"/>
  <c r="JA10" i="6"/>
  <c r="JB10" i="6" l="1"/>
  <c r="IX4" i="6"/>
  <c r="IW7" i="6"/>
  <c r="IX7" i="6" l="1"/>
  <c r="IY4" i="6"/>
  <c r="JC10" i="6"/>
  <c r="JD10" i="6" l="1"/>
  <c r="IZ4" i="6"/>
  <c r="IY7" i="6"/>
  <c r="IZ7" i="6" l="1"/>
  <c r="JA4" i="6"/>
  <c r="JE10" i="6"/>
  <c r="JF10" i="6" l="1"/>
  <c r="JB4" i="6"/>
  <c r="JA7" i="6"/>
  <c r="JB7" i="6" l="1"/>
  <c r="JC4" i="6"/>
  <c r="JG10" i="6"/>
  <c r="JH10" i="6" l="1"/>
  <c r="JC7" i="6"/>
  <c r="JD4" i="6"/>
  <c r="JD7" i="6" l="1"/>
  <c r="JE4" i="6"/>
  <c r="JI10" i="6"/>
  <c r="JJ10" i="6" l="1"/>
  <c r="JE7" i="6"/>
  <c r="JF4" i="6"/>
  <c r="JF7" i="6" l="1"/>
  <c r="JG4" i="6"/>
  <c r="JK10" i="6"/>
  <c r="JL10" i="6" l="1"/>
  <c r="JG7" i="6"/>
  <c r="JH4" i="6"/>
  <c r="JI4" i="6" l="1"/>
  <c r="JH7" i="6"/>
  <c r="JM10" i="6"/>
  <c r="JN10" i="6" l="1"/>
  <c r="JJ4" i="6"/>
  <c r="JI7" i="6"/>
  <c r="JK4" i="6" l="1"/>
  <c r="JJ7" i="6"/>
  <c r="JO10" i="6"/>
  <c r="JP10" i="6" l="1"/>
  <c r="JL4" i="6"/>
  <c r="JK7" i="6"/>
  <c r="JM4" i="6" l="1"/>
  <c r="JL7" i="6"/>
  <c r="JQ10" i="6"/>
  <c r="JR10" i="6" l="1"/>
  <c r="JN4" i="6"/>
  <c r="JM7" i="6"/>
  <c r="JS10" i="6" l="1"/>
  <c r="JO4" i="6"/>
  <c r="JN7" i="6"/>
  <c r="JP4" i="6" l="1"/>
  <c r="JO7" i="6"/>
  <c r="JT10" i="6"/>
  <c r="JU10" i="6" l="1"/>
  <c r="JQ4" i="6"/>
  <c r="JP7" i="6"/>
  <c r="JR4" i="6" l="1"/>
  <c r="JQ7" i="6"/>
  <c r="JV10" i="6"/>
  <c r="JW10" i="6" l="1"/>
  <c r="JR7" i="6"/>
  <c r="JS4" i="6"/>
  <c r="JT4" i="6" l="1"/>
  <c r="JS7" i="6"/>
  <c r="JX10" i="6"/>
  <c r="JY10" i="6" l="1"/>
  <c r="JU4" i="6"/>
  <c r="JT7" i="6"/>
  <c r="JV4" i="6" l="1"/>
  <c r="JU7" i="6"/>
  <c r="JZ10" i="6"/>
  <c r="KA10" i="6" l="1"/>
  <c r="JV7" i="6"/>
  <c r="JW4" i="6"/>
  <c r="JX4" i="6" l="1"/>
  <c r="JW7" i="6"/>
  <c r="KB10" i="6"/>
  <c r="KC10" i="6" l="1"/>
  <c r="JY4" i="6"/>
  <c r="JX7" i="6"/>
  <c r="JZ4" i="6" l="1"/>
  <c r="JY7" i="6"/>
  <c r="KD10" i="6"/>
  <c r="KE10" i="6" l="1"/>
  <c r="KA4" i="6"/>
  <c r="JZ7" i="6"/>
  <c r="KB4" i="6" l="1"/>
  <c r="KA7" i="6"/>
  <c r="KB7" i="6" l="1"/>
  <c r="KC4" i="6"/>
  <c r="KC7" i="6" l="1"/>
  <c r="KD4" i="6"/>
  <c r="KD7" i="6" l="1"/>
  <c r="KE4" i="6"/>
  <c r="KE7" i="6" l="1"/>
  <c r="F11" i="6" l="1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AH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 l="1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AN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AI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D11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AE17" i="6"/>
  <c r="FU17" i="6"/>
  <c r="AA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2" i="6"/>
  <c r="D17" i="6" l="1"/>
  <c r="F18" i="6"/>
  <c r="F14" i="6"/>
  <c r="G12" i="6"/>
  <c r="G14" i="6" l="1"/>
  <c r="H12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C17" i="6"/>
  <c r="D18" i="6" l="1"/>
  <c r="C18" i="6" s="1"/>
  <c r="H14" i="6"/>
  <c r="I12" i="6"/>
  <c r="I14" i="6" l="1"/>
  <c r="J12" i="6"/>
  <c r="J14" i="6" l="1"/>
  <c r="K12" i="6"/>
  <c r="L12" i="6" l="1"/>
  <c r="K14" i="6"/>
  <c r="M12" i="6" l="1"/>
  <c r="L14" i="6"/>
  <c r="M14" i="6" l="1"/>
  <c r="N12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X14" i="6" l="1"/>
  <c r="Y12" i="6"/>
  <c r="Z12" i="6" l="1"/>
  <c r="Y14" i="6"/>
  <c r="AA12" i="6" l="1"/>
  <c r="Z14" i="6"/>
  <c r="AB12" i="6" l="1"/>
  <c r="AA14" i="6"/>
  <c r="AB14" i="6" l="1"/>
  <c r="AC12" i="6"/>
  <c r="AD12" i="6" l="1"/>
  <c r="AC14" i="6"/>
  <c r="AD14" i="6" l="1"/>
  <c r="AE12" i="6"/>
  <c r="AF12" i="6" l="1"/>
  <c r="AE14" i="6"/>
  <c r="AG12" i="6" l="1"/>
  <c r="AF14" i="6"/>
  <c r="AH12" i="6" l="1"/>
  <c r="AG14" i="6"/>
  <c r="AI12" i="6" l="1"/>
  <c r="AH14" i="6"/>
  <c r="AI14" i="6" l="1"/>
  <c r="AJ12" i="6"/>
  <c r="AK12" i="6" l="1"/>
  <c r="AJ14" i="6"/>
  <c r="AL12" i="6" l="1"/>
  <c r="AK14" i="6"/>
  <c r="AM12" i="6" l="1"/>
  <c r="AL14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V12" i="6" l="1"/>
  <c r="AU14" i="6"/>
  <c r="AW12" i="6" l="1"/>
  <c r="AV14" i="6"/>
  <c r="AX12" i="6" l="1"/>
  <c r="AW14" i="6"/>
  <c r="AX14" i="6" l="1"/>
  <c r="AY12" i="6"/>
  <c r="AY14" i="6" l="1"/>
  <c r="AZ12" i="6"/>
  <c r="BA12" i="6" l="1"/>
  <c r="AZ14" i="6"/>
  <c r="BA14" i="6" l="1"/>
  <c r="BB12" i="6"/>
  <c r="BB14" i="6" l="1"/>
  <c r="BC12" i="6"/>
  <c r="BD12" i="6" l="1"/>
  <c r="BC14" i="6"/>
  <c r="BE12" i="6" l="1"/>
  <c r="BD14" i="6"/>
  <c r="BE14" i="6" l="1"/>
  <c r="BF12" i="6"/>
  <c r="BG12" i="6" l="1"/>
  <c r="BF14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N12" i="6" l="1"/>
  <c r="BM14" i="6"/>
  <c r="BO12" i="6" l="1"/>
  <c r="BN14" i="6"/>
  <c r="BP12" i="6" l="1"/>
  <c r="BO14" i="6"/>
  <c r="BP14" i="6" l="1"/>
  <c r="BQ12" i="6"/>
  <c r="BR12" i="6" l="1"/>
  <c r="BQ14" i="6"/>
  <c r="BS12" i="6" l="1"/>
  <c r="BR14" i="6"/>
  <c r="BT12" i="6" l="1"/>
  <c r="BS14" i="6"/>
  <c r="BT14" i="6" l="1"/>
  <c r="BU12" i="6"/>
  <c r="BV12" i="6" l="1"/>
  <c r="BU14" i="6"/>
  <c r="BW12" i="6" l="1"/>
  <c r="BV14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O12" i="6" l="1"/>
  <c r="CN14" i="6"/>
  <c r="CP12" i="6" l="1"/>
  <c r="CO14" i="6"/>
  <c r="CP14" i="6" l="1"/>
  <c r="CQ12" i="6"/>
  <c r="CR12" i="6" l="1"/>
  <c r="CQ14" i="6"/>
  <c r="CR14" i="6" l="1"/>
  <c r="CS12" i="6"/>
  <c r="CS14" i="6" l="1"/>
  <c r="CT12" i="6"/>
  <c r="CU12" i="6" l="1"/>
  <c r="CT14" i="6"/>
  <c r="CV12" i="6" l="1"/>
  <c r="CU14" i="6"/>
  <c r="CW12" i="6" l="1"/>
  <c r="CV14" i="6"/>
  <c r="CW14" i="6" l="1"/>
  <c r="CX12" i="6"/>
  <c r="CY12" i="6" l="1"/>
  <c r="CX14" i="6"/>
  <c r="CZ12" i="6" l="1"/>
  <c r="CY14" i="6"/>
  <c r="DA12" i="6" l="1"/>
  <c r="CZ14" i="6"/>
  <c r="DA14" i="6" l="1"/>
  <c r="DB12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L12" i="6" l="1"/>
  <c r="DK14" i="6"/>
  <c r="DL14" i="6" l="1"/>
  <c r="DM12" i="6"/>
  <c r="DM14" i="6" l="1"/>
  <c r="DN12" i="6"/>
  <c r="DN14" i="6" l="1"/>
  <c r="DO12" i="6"/>
  <c r="DP12" i="6" l="1"/>
  <c r="DO14" i="6"/>
  <c r="DQ12" i="6" l="1"/>
  <c r="DP14" i="6"/>
  <c r="DR12" i="6" l="1"/>
  <c r="DQ14" i="6"/>
  <c r="DS12" i="6" l="1"/>
  <c r="DR14" i="6"/>
  <c r="DS14" i="6" l="1"/>
  <c r="DT12" i="6"/>
  <c r="DU12" i="6" l="1"/>
  <c r="DT14" i="6"/>
  <c r="DV12" i="6" l="1"/>
  <c r="DU14" i="6"/>
  <c r="DW12" i="6" l="1"/>
  <c r="DV14" i="6"/>
  <c r="DW14" i="6" l="1"/>
  <c r="DX12" i="6"/>
  <c r="DY12" i="6" l="1"/>
  <c r="DX14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F12" i="6" l="1"/>
  <c r="EE14" i="6"/>
  <c r="EG12" i="6" l="1"/>
  <c r="EF14" i="6"/>
  <c r="EH12" i="6" l="1"/>
  <c r="EG14" i="6"/>
  <c r="EH14" i="6" l="1"/>
  <c r="EI12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S14" i="6" l="1"/>
  <c r="ET12" i="6"/>
  <c r="EU12" i="6" l="1"/>
  <c r="ET14" i="6"/>
  <c r="EU14" i="6" l="1"/>
  <c r="EV12" i="6"/>
  <c r="EW12" i="6" l="1"/>
  <c r="EV14" i="6"/>
  <c r="EX12" i="6" l="1"/>
  <c r="EW14" i="6"/>
  <c r="EY12" i="6" l="1"/>
  <c r="EX14" i="6"/>
  <c r="EZ12" i="6" l="1"/>
  <c r="EY14" i="6"/>
  <c r="EZ14" i="6" l="1"/>
  <c r="FA12" i="6"/>
  <c r="FB12" i="6" l="1"/>
  <c r="FA14" i="6"/>
  <c r="FC12" i="6" l="1"/>
  <c r="FB14" i="6"/>
  <c r="FD12" i="6" l="1"/>
  <c r="FC14" i="6"/>
  <c r="FD14" i="6" l="1"/>
  <c r="FE12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K14" i="6" l="1"/>
  <c r="FL12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V12" i="6" l="1"/>
  <c r="FU14" i="6"/>
  <c r="FV14" i="6" l="1"/>
  <c r="FW12" i="6"/>
  <c r="FX12" i="6" l="1"/>
  <c r="FW14" i="6"/>
  <c r="FY12" i="6" l="1"/>
  <c r="FX14" i="6"/>
  <c r="FZ12" i="6" l="1"/>
  <c r="FY14" i="6"/>
  <c r="FZ14" i="6" l="1"/>
  <c r="GA12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G14" i="6" l="1"/>
  <c r="GH12" i="6"/>
  <c r="GI12" i="6" l="1"/>
  <c r="GH14" i="6"/>
  <c r="GJ12" i="6" l="1"/>
  <c r="GI14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Q12" i="6" l="1"/>
  <c r="GP14" i="6"/>
  <c r="GR12" i="6" l="1"/>
  <c r="GQ14" i="6"/>
  <c r="GR14" i="6" l="1"/>
  <c r="GS12" i="6"/>
  <c r="GT12" i="6" l="1"/>
  <c r="GS14" i="6"/>
  <c r="GU12" i="6" l="1"/>
  <c r="GT14" i="6"/>
  <c r="GV12" i="6" l="1"/>
  <c r="GU14" i="6"/>
  <c r="GV14" i="6" l="1"/>
  <c r="GW12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C14" i="6" l="1"/>
  <c r="HD12" i="6"/>
  <c r="HE12" i="6" l="1"/>
  <c r="HD14" i="6"/>
  <c r="HF12" i="6" l="1"/>
  <c r="HE14" i="6"/>
  <c r="HG12" i="6" l="1"/>
  <c r="HF14" i="6"/>
  <c r="HG14" i="6" l="1"/>
  <c r="HH12" i="6"/>
  <c r="HH14" i="6" l="1"/>
  <c r="HI12" i="6"/>
  <c r="HI14" i="6" l="1"/>
  <c r="HJ12" i="6"/>
  <c r="HJ14" i="6" l="1"/>
  <c r="HK12" i="6"/>
  <c r="HL12" i="6" l="1"/>
  <c r="HK14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R14" i="6" l="1"/>
  <c r="HS12" i="6"/>
  <c r="HS14" i="6" l="1"/>
  <c r="HT12" i="6"/>
  <c r="HU12" i="6" l="1"/>
  <c r="HT14" i="6"/>
  <c r="HV12" i="6" l="1"/>
  <c r="HU14" i="6"/>
  <c r="HV14" i="6" l="1"/>
  <c r="HW12" i="6"/>
  <c r="HX12" i="6" l="1"/>
  <c r="HW14" i="6"/>
  <c r="HY12" i="6" l="1"/>
  <c r="HX14" i="6"/>
  <c r="HY14" i="6" l="1"/>
  <c r="HZ12" i="6"/>
  <c r="IA12" i="6" l="1"/>
  <c r="HZ14" i="6"/>
  <c r="IB12" i="6" l="1"/>
  <c r="IA14" i="6"/>
  <c r="IC12" i="6" l="1"/>
  <c r="IB14" i="6"/>
  <c r="IC14" i="6" l="1"/>
  <c r="ID12" i="6"/>
  <c r="ID14" i="6" l="1"/>
  <c r="IE12" i="6"/>
  <c r="IE14" i="6" l="1"/>
  <c r="IF12" i="6"/>
  <c r="IF14" i="6" l="1"/>
  <c r="IG12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P12" i="6" l="1"/>
  <c r="IO14" i="6"/>
  <c r="IQ12" i="6" l="1"/>
  <c r="IP14" i="6"/>
  <c r="IQ14" i="6" l="1"/>
  <c r="IR12" i="6"/>
  <c r="IS12" i="6" l="1"/>
  <c r="IR14" i="6"/>
  <c r="IT12" i="6" l="1"/>
  <c r="IS14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IZ14" i="6" l="1"/>
  <c r="JA12" i="6"/>
  <c r="JB12" i="6" l="1"/>
  <c r="JA14" i="6"/>
  <c r="JC12" i="6" l="1"/>
  <c r="JB14" i="6"/>
  <c r="JD12" i="6" l="1"/>
  <c r="JC14" i="6"/>
  <c r="JE12" i="6" l="1"/>
  <c r="JD14" i="6"/>
  <c r="JF12" i="6" l="1"/>
  <c r="JE14" i="6"/>
  <c r="JF14" i="6" l="1"/>
  <c r="JG12" i="6"/>
  <c r="JH12" i="6" l="1"/>
  <c r="JG14" i="6"/>
  <c r="JI12" i="6" l="1"/>
  <c r="JH14" i="6"/>
  <c r="JJ12" i="6" l="1"/>
  <c r="JI14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V14" i="6" l="1"/>
  <c r="JW12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D12" i="6" l="1"/>
  <c r="KC14" i="6"/>
  <c r="KE12" i="6" l="1"/>
  <c r="KE14" i="6" s="1"/>
  <c r="KD14" i="6"/>
</calcChain>
</file>

<file path=xl/sharedStrings.xml><?xml version="1.0" encoding="utf-8"?>
<sst xmlns="http://schemas.openxmlformats.org/spreadsheetml/2006/main" count="743" uniqueCount="417">
  <si>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</si>
  <si>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</si>
  <si>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</si>
  <si>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</si>
  <si>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</si>
  <si>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</si>
  <si>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</si>
  <si>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</si>
  <si>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</si>
  <si>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</si>
  <si>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</si>
  <si>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</si>
  <si>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</si>
  <si>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</si>
  <si>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</si>
  <si>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</si>
  <si>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</si>
  <si>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</si>
  <si>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</si>
  <si>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</si>
  <si>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</si>
  <si>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</si>
  <si>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</si>
  <si>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</si>
  <si>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</si>
  <si>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</si>
  <si>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</si>
  <si>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</si>
  <si>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</si>
  <si>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</si>
  <si>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</si>
  <si>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</si>
  <si>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</si>
  <si>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</si>
  <si>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</si>
  <si>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</si>
  <si>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</si>
  <si>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</si>
  <si>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</si>
  <si>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</si>
  <si>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</si>
  <si>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</si>
  <si>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</si>
  <si>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</si>
  <si>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</si>
  <si>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</si>
  <si>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</si>
  <si>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</si>
  <si>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</si>
  <si>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</si>
  <si>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</si>
  <si>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</si>
  <si>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</si>
  <si>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</si>
  <si>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</si>
  <si>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</si>
  <si>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</si>
  <si>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</si>
  <si>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</si>
  <si>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</si>
  <si>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</si>
  <si>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</si>
  <si>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</si>
  <si>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</si>
  <si>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</si>
  <si>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</si>
  <si>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</si>
  <si>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</si>
  <si>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</si>
  <si>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</si>
  <si>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</si>
  <si>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</si>
  <si>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</si>
  <si>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</si>
  <si>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</si>
  <si>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</si>
  <si>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</si>
  <si>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</si>
  <si>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</si>
  <si>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</si>
  <si>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</si>
  <si>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</si>
  <si>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</si>
  <si>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</si>
  <si>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</si>
  <si>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</si>
  <si>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</si>
  <si>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</si>
  <si>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</si>
  <si>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</si>
  <si>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</si>
  <si>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</si>
  <si>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</si>
  <si>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</si>
  <si>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</si>
  <si>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</si>
  <si>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</si>
  <si>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</si>
  <si>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</si>
  <si>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</si>
  <si>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</si>
  <si>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</si>
  <si>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</si>
  <si>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</si>
  <si>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</si>
  <si>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</si>
  <si>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</si>
  <si>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</si>
  <si>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</si>
  <si>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</si>
  <si>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</si>
  <si>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</si>
  <si>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</si>
  <si>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</si>
  <si>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</si>
  <si>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</si>
  <si>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</si>
  <si>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</si>
  <si>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</si>
  <si>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</si>
  <si>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</si>
  <si>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</si>
  <si>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</si>
  <si>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</si>
  <si>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</si>
  <si>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</si>
  <si>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</si>
  <si>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</si>
  <si>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</si>
  <si>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</si>
  <si>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</si>
  <si>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</si>
  <si>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</si>
  <si>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</si>
  <si>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</si>
  <si>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</si>
  <si>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</si>
  <si>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</si>
  <si>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</si>
  <si>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</si>
  <si>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</si>
  <si>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</si>
  <si>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</si>
  <si>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</si>
  <si>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</si>
  <si>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</si>
  <si>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</si>
  <si>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</si>
  <si>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</si>
  <si>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</si>
  <si>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</si>
  <si>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</si>
  <si>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</si>
  <si>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</si>
  <si>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</si>
  <si>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</si>
  <si>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</si>
  <si>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</si>
  <si>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</si>
  <si>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</si>
  <si>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</si>
  <si>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</si>
  <si>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</si>
  <si>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</si>
  <si>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</si>
  <si>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</si>
  <si>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</si>
  <si>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</si>
  <si>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</si>
  <si>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</si>
  <si>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</si>
  <si>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</si>
  <si>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</si>
  <si>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</si>
  <si>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</si>
  <si>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</si>
  <si>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</si>
  <si>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</si>
  <si>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</si>
  <si>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</si>
  <si>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</si>
  <si>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</si>
  <si>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</si>
  <si>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</si>
  <si>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</si>
  <si>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</si>
  <si>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</si>
  <si>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</si>
  <si>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</si>
  <si>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</si>
  <si>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</si>
  <si>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</si>
  <si>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</si>
  <si>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</si>
  <si>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</si>
  <si>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</si>
  <si>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</si>
  <si>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</si>
  <si>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</si>
  <si>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</si>
  <si>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</si>
  <si>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</si>
  <si>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</si>
  <si>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</si>
  <si>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</si>
  <si>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</si>
  <si>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</si>
  <si>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</si>
  <si>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</si>
  <si>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</si>
  <si>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</si>
  <si>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</si>
  <si>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</si>
  <si>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</si>
  <si>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</si>
  <si>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</si>
  <si>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</si>
  <si>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</si>
  <si>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</si>
  <si>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</si>
  <si>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</si>
  <si>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</si>
  <si>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</si>
  <si>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</si>
  <si>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</si>
  <si>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</si>
  <si>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</si>
  <si>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</si>
  <si>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</si>
  <si>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</si>
  <si>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</si>
  <si>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</si>
  <si>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</si>
  <si>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</si>
  <si>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</si>
  <si>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</si>
  <si>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</si>
  <si>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</si>
  <si>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</si>
  <si>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</si>
  <si>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</si>
  <si>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</si>
  <si>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</si>
  <si>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</si>
  <si>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</si>
  <si>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</si>
  <si>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</si>
  <si>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</si>
  <si>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</si>
  <si>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</si>
  <si>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</si>
  <si>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</si>
  <si>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</si>
  <si>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</si>
  <si>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</si>
  <si>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</si>
  <si>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</si>
  <si>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</si>
  <si>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</si>
  <si>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</si>
  <si>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</si>
  <si>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</si>
  <si>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</si>
  <si>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</si>
  <si>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</si>
  <si>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</si>
  <si>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</si>
  <si>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</si>
  <si>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- 620W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</si>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</sst>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8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69</c:v>
                  </c:pt>
                  <c:pt idx="1">
                    <c:v>1</c:v>
                  </c:pt>
                  <c:pt idx="2">
                    <c:v>43</c:v>
                  </c:pt>
                  <c:pt idx="3">
                    <c:v>29</c:v>
                  </c:pt>
                  <c:pt idx="4">
                    <c:v>21</c:v>
                  </c:pt>
                  <c:pt idx="5">
                    <c:v>13</c:v>
                  </c:pt>
                  <c:pt idx="6">
                    <c:v>12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46105</c:v>
                </c:pt>
                <c:pt idx="2">
                  <c:v>46086</c:v>
                </c:pt>
                <c:pt idx="3">
                  <c:v>46105</c:v>
                </c:pt>
                <c:pt idx="4">
                  <c:v>46105</c:v>
                </c:pt>
                <c:pt idx="5">
                  <c:v>46134</c:v>
                </c:pt>
                <c:pt idx="6">
                  <c:v>46136</c:v>
                </c:pt>
                <c:pt idx="7">
                  <c:v>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2310470.0445605665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2582290.049802986</c:v>
                </c:pt>
                <c:pt idx="24">
                  <c:v>2582290.049802986</c:v>
                </c:pt>
                <c:pt idx="25">
                  <c:v>2582290.049802986</c:v>
                </c:pt>
                <c:pt idx="26">
                  <c:v>2582290.049802986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137134.9</c:v>
                </c:pt>
                <c:pt idx="21">
                  <c:v>1204248.8685990337</c:v>
                </c:pt>
                <c:pt idx="22">
                  <c:v>1233248.8685990337</c:v>
                </c:pt>
                <c:pt idx="23">
                  <c:v>1233248.8685990337</c:v>
                </c:pt>
                <c:pt idx="24">
                  <c:v>1307787.8105380361</c:v>
                </c:pt>
                <c:pt idx="25">
                  <c:v>2371126.2425380358</c:v>
                </c:pt>
                <c:pt idx="26">
                  <c:v>2371126.2425380358</c:v>
                </c:pt>
                <c:pt idx="27">
                  <c:v>2371126.2425380358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2173335.1445605666</c:v>
                </c:pt>
                <c:pt idx="21">
                  <c:v>1106221.1759615329</c:v>
                </c:pt>
                <c:pt idx="22">
                  <c:v>1077221.1759615329</c:v>
                </c:pt>
                <c:pt idx="23">
                  <c:v>1349041.1812039523</c:v>
                </c:pt>
                <c:pt idx="24">
                  <c:v>1274502.2392649499</c:v>
                </c:pt>
                <c:pt idx="25">
                  <c:v>211163.80726495013</c:v>
                </c:pt>
                <c:pt idx="26">
                  <c:v>211163.80726495013</c:v>
                </c:pt>
                <c:pt idx="27">
                  <c:v>211163.80726495013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347073.80988615984</c:v>
                </c:pt>
                <c:pt idx="76">
                  <c:v>347073.80988615984</c:v>
                </c:pt>
                <c:pt idx="77">
                  <c:v>347073.80988615984</c:v>
                </c:pt>
                <c:pt idx="78">
                  <c:v>347073.80988615984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2310470.0445605661</c:v>
                </c:pt>
                <c:pt idx="22">
                  <c:v>2310470.0445605661</c:v>
                </c:pt>
                <c:pt idx="23">
                  <c:v>2310470.0445605661</c:v>
                </c:pt>
                <c:pt idx="24">
                  <c:v>2310470.0445605661</c:v>
                </c:pt>
                <c:pt idx="25">
                  <c:v>2310470.0445605661</c:v>
                </c:pt>
                <c:pt idx="26">
                  <c:v>2310470.0445605661</c:v>
                </c:pt>
                <c:pt idx="27">
                  <c:v>2582290.0498029855</c:v>
                </c:pt>
                <c:pt idx="28">
                  <c:v>2582290.0498029855</c:v>
                </c:pt>
                <c:pt idx="29">
                  <c:v>2582290.0498029855</c:v>
                </c:pt>
                <c:pt idx="30">
                  <c:v>2582290.0498029855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2718200.0524241952</c:v>
                </c:pt>
                <c:pt idx="80">
                  <c:v>2718200.0524241952</c:v>
                </c:pt>
                <c:pt idx="81">
                  <c:v>2718200.0524241952</c:v>
                </c:pt>
                <c:pt idx="82">
                  <c:v>2718200.0524241952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273832.50457729469</c:v>
                </c:pt>
                <c:pt idx="21">
                  <c:v>273832.50457729469</c:v>
                </c:pt>
                <c:pt idx="22">
                  <c:v>276956.25457729469</c:v>
                </c:pt>
                <c:pt idx="23">
                  <c:v>276956.25457729469</c:v>
                </c:pt>
                <c:pt idx="24">
                  <c:v>365523.25823913043</c:v>
                </c:pt>
                <c:pt idx="25">
                  <c:v>731467.33281642513</c:v>
                </c:pt>
                <c:pt idx="26">
                  <c:v>821905.18415324215</c:v>
                </c:pt>
                <c:pt idx="27">
                  <c:v>932613.93873053684</c:v>
                </c:pt>
                <c:pt idx="28">
                  <c:v>2083347.809698279</c:v>
                </c:pt>
                <c:pt idx="29">
                  <c:v>2083347.809698279</c:v>
                </c:pt>
                <c:pt idx="30">
                  <c:v>2108613.3106137379</c:v>
                </c:pt>
                <c:pt idx="31">
                  <c:v>2108613.3106137379</c:v>
                </c:pt>
                <c:pt idx="32">
                  <c:v>2108613.3106137379</c:v>
                </c:pt>
                <c:pt idx="33">
                  <c:v>2108613.3106137379</c:v>
                </c:pt>
                <c:pt idx="34">
                  <c:v>2108613.3106137379</c:v>
                </c:pt>
                <c:pt idx="35">
                  <c:v>2108613.3106137379</c:v>
                </c:pt>
                <c:pt idx="36">
                  <c:v>2108613.3106137379</c:v>
                </c:pt>
                <c:pt idx="37">
                  <c:v>2108613.3106137379</c:v>
                </c:pt>
                <c:pt idx="38">
                  <c:v>2108613.3106137379</c:v>
                </c:pt>
                <c:pt idx="39">
                  <c:v>2108613.3106137379</c:v>
                </c:pt>
                <c:pt idx="40">
                  <c:v>2108613.3106137379</c:v>
                </c:pt>
                <c:pt idx="41">
                  <c:v>2108613.3106137379</c:v>
                </c:pt>
                <c:pt idx="42">
                  <c:v>2108613.3106137379</c:v>
                </c:pt>
                <c:pt idx="43">
                  <c:v>2108613.3106137379</c:v>
                </c:pt>
                <c:pt idx="44">
                  <c:v>2108613.3106137379</c:v>
                </c:pt>
                <c:pt idx="45">
                  <c:v>2108613.3106137379</c:v>
                </c:pt>
                <c:pt idx="46">
                  <c:v>2108613.3106137379</c:v>
                </c:pt>
                <c:pt idx="47">
                  <c:v>2108613.3106137379</c:v>
                </c:pt>
                <c:pt idx="48">
                  <c:v>2108613.3106137379</c:v>
                </c:pt>
                <c:pt idx="49">
                  <c:v>2108613.3106137379</c:v>
                </c:pt>
                <c:pt idx="50">
                  <c:v>2108613.3106137379</c:v>
                </c:pt>
                <c:pt idx="51">
                  <c:v>2108613.3106137379</c:v>
                </c:pt>
                <c:pt idx="52">
                  <c:v>2108613.3106137379</c:v>
                </c:pt>
                <c:pt idx="53">
                  <c:v>2108613.3106137379</c:v>
                </c:pt>
                <c:pt idx="54">
                  <c:v>2108613.3106137379</c:v>
                </c:pt>
                <c:pt idx="55">
                  <c:v>2108613.3106137379</c:v>
                </c:pt>
                <c:pt idx="56">
                  <c:v>2108613.3106137379</c:v>
                </c:pt>
                <c:pt idx="57">
                  <c:v>2108613.3106137379</c:v>
                </c:pt>
                <c:pt idx="58">
                  <c:v>2108613.3106137379</c:v>
                </c:pt>
                <c:pt idx="59">
                  <c:v>2108613.3106137379</c:v>
                </c:pt>
                <c:pt idx="60">
                  <c:v>2108613.3106137379</c:v>
                </c:pt>
                <c:pt idx="61">
                  <c:v>2108613.3106137379</c:v>
                </c:pt>
                <c:pt idx="62">
                  <c:v>2108613.3106137379</c:v>
                </c:pt>
                <c:pt idx="63">
                  <c:v>2108613.3106137379</c:v>
                </c:pt>
                <c:pt idx="64">
                  <c:v>2108613.3106137379</c:v>
                </c:pt>
                <c:pt idx="65">
                  <c:v>2108613.3106137379</c:v>
                </c:pt>
                <c:pt idx="66">
                  <c:v>2108613.3106137379</c:v>
                </c:pt>
                <c:pt idx="67">
                  <c:v>2108613.3106137379</c:v>
                </c:pt>
                <c:pt idx="68">
                  <c:v>2108613.3106137379</c:v>
                </c:pt>
                <c:pt idx="69">
                  <c:v>2108613.3106137379</c:v>
                </c:pt>
                <c:pt idx="70">
                  <c:v>2108613.3106137379</c:v>
                </c:pt>
                <c:pt idx="71">
                  <c:v>2108613.3106137379</c:v>
                </c:pt>
                <c:pt idx="72">
                  <c:v>2108613.3106137379</c:v>
                </c:pt>
                <c:pt idx="73">
                  <c:v>2108613.3106137379</c:v>
                </c:pt>
                <c:pt idx="74">
                  <c:v>2108613.3106137379</c:v>
                </c:pt>
                <c:pt idx="75">
                  <c:v>2108613.3106137379</c:v>
                </c:pt>
                <c:pt idx="76">
                  <c:v>2108613.3106137379</c:v>
                </c:pt>
                <c:pt idx="77">
                  <c:v>2108613.3106137379</c:v>
                </c:pt>
                <c:pt idx="78">
                  <c:v>2108613.3106137379</c:v>
                </c:pt>
                <c:pt idx="79">
                  <c:v>2108613.3106137379</c:v>
                </c:pt>
                <c:pt idx="80">
                  <c:v>2108613.3106137379</c:v>
                </c:pt>
                <c:pt idx="81">
                  <c:v>2108613.3106137379</c:v>
                </c:pt>
                <c:pt idx="82">
                  <c:v>2108613.3106137379</c:v>
                </c:pt>
                <c:pt idx="83">
                  <c:v>2108613.3106137379</c:v>
                </c:pt>
                <c:pt idx="84">
                  <c:v>2108613.3106137379</c:v>
                </c:pt>
                <c:pt idx="85">
                  <c:v>2108613.3106137379</c:v>
                </c:pt>
                <c:pt idx="86">
                  <c:v>2108613.3106137379</c:v>
                </c:pt>
                <c:pt idx="87">
                  <c:v>2108613.3106137379</c:v>
                </c:pt>
                <c:pt idx="88">
                  <c:v>2108613.3106137379</c:v>
                </c:pt>
                <c:pt idx="89">
                  <c:v>2108613.3106137379</c:v>
                </c:pt>
                <c:pt idx="90">
                  <c:v>2108613.3106137379</c:v>
                </c:pt>
                <c:pt idx="91">
                  <c:v>2108613.3106137379</c:v>
                </c:pt>
                <c:pt idx="92">
                  <c:v>2108613.3106137379</c:v>
                </c:pt>
                <c:pt idx="93">
                  <c:v>2108613.3106137379</c:v>
                </c:pt>
                <c:pt idx="94">
                  <c:v>2108613.3106137379</c:v>
                </c:pt>
                <c:pt idx="95">
                  <c:v>2108613.3106137379</c:v>
                </c:pt>
                <c:pt idx="96">
                  <c:v>2108613.3106137379</c:v>
                </c:pt>
                <c:pt idx="97">
                  <c:v>2108613.3106137379</c:v>
                </c:pt>
                <c:pt idx="98">
                  <c:v>2108613.3106137379</c:v>
                </c:pt>
                <c:pt idx="99">
                  <c:v>2108613.3106137379</c:v>
                </c:pt>
                <c:pt idx="100">
                  <c:v>2108613.3106137379</c:v>
                </c:pt>
                <c:pt idx="101">
                  <c:v>2108613.3106137379</c:v>
                </c:pt>
                <c:pt idx="102">
                  <c:v>2108613.3106137379</c:v>
                </c:pt>
                <c:pt idx="103">
                  <c:v>2108613.3106137379</c:v>
                </c:pt>
                <c:pt idx="104">
                  <c:v>2108613.3106137379</c:v>
                </c:pt>
                <c:pt idx="105">
                  <c:v>2108613.3106137379</c:v>
                </c:pt>
                <c:pt idx="106">
                  <c:v>2108613.3106137379</c:v>
                </c:pt>
                <c:pt idx="107">
                  <c:v>2108613.3106137379</c:v>
                </c:pt>
                <c:pt idx="108">
                  <c:v>2108613.3106137379</c:v>
                </c:pt>
                <c:pt idx="109">
                  <c:v>2108613.3106137379</c:v>
                </c:pt>
                <c:pt idx="110">
                  <c:v>2108613.3106137379</c:v>
                </c:pt>
                <c:pt idx="111">
                  <c:v>2108613.3106137379</c:v>
                </c:pt>
                <c:pt idx="112">
                  <c:v>2108613.3106137379</c:v>
                </c:pt>
                <c:pt idx="113">
                  <c:v>2108613.3106137379</c:v>
                </c:pt>
                <c:pt idx="114">
                  <c:v>2108613.3106137379</c:v>
                </c:pt>
                <c:pt idx="115">
                  <c:v>2108613.3106137379</c:v>
                </c:pt>
                <c:pt idx="116">
                  <c:v>2108613.3106137379</c:v>
                </c:pt>
                <c:pt idx="117">
                  <c:v>2108613.3106137379</c:v>
                </c:pt>
                <c:pt idx="118">
                  <c:v>2108613.3106137379</c:v>
                </c:pt>
                <c:pt idx="119">
                  <c:v>2108613.3106137379</c:v>
                </c:pt>
                <c:pt idx="120">
                  <c:v>2108613.3106137379</c:v>
                </c:pt>
                <c:pt idx="121">
                  <c:v>2108613.3106137379</c:v>
                </c:pt>
                <c:pt idx="122">
                  <c:v>2108613.3106137379</c:v>
                </c:pt>
                <c:pt idx="123">
                  <c:v>2108613.3106137379</c:v>
                </c:pt>
                <c:pt idx="124">
                  <c:v>2108613.3106137379</c:v>
                </c:pt>
                <c:pt idx="125">
                  <c:v>2108613.3106137379</c:v>
                </c:pt>
                <c:pt idx="126">
                  <c:v>2108613.3106137379</c:v>
                </c:pt>
                <c:pt idx="127">
                  <c:v>2108613.3106137379</c:v>
                </c:pt>
                <c:pt idx="128">
                  <c:v>2108613.3106137379</c:v>
                </c:pt>
                <c:pt idx="129">
                  <c:v>2108613.3106137379</c:v>
                </c:pt>
                <c:pt idx="130">
                  <c:v>2108613.3106137379</c:v>
                </c:pt>
                <c:pt idx="131">
                  <c:v>2108613.3106137379</c:v>
                </c:pt>
                <c:pt idx="132">
                  <c:v>2108613.3106137379</c:v>
                </c:pt>
                <c:pt idx="133">
                  <c:v>2108613.3106137379</c:v>
                </c:pt>
                <c:pt idx="134">
                  <c:v>2108613.3106137379</c:v>
                </c:pt>
                <c:pt idx="135">
                  <c:v>2108613.3106137379</c:v>
                </c:pt>
                <c:pt idx="136">
                  <c:v>2108613.3106137379</c:v>
                </c:pt>
                <c:pt idx="137">
                  <c:v>2108613.3106137379</c:v>
                </c:pt>
                <c:pt idx="138">
                  <c:v>2108613.3106137379</c:v>
                </c:pt>
                <c:pt idx="139">
                  <c:v>2108613.3106137379</c:v>
                </c:pt>
                <c:pt idx="140">
                  <c:v>2108613.3106137379</c:v>
                </c:pt>
                <c:pt idx="141">
                  <c:v>2108613.3106137379</c:v>
                </c:pt>
                <c:pt idx="142">
                  <c:v>2108613.3106137379</c:v>
                </c:pt>
                <c:pt idx="143">
                  <c:v>2108613.3106137379</c:v>
                </c:pt>
                <c:pt idx="144">
                  <c:v>2108613.3106137379</c:v>
                </c:pt>
                <c:pt idx="145">
                  <c:v>2108613.3106137379</c:v>
                </c:pt>
                <c:pt idx="146">
                  <c:v>2108613.3106137379</c:v>
                </c:pt>
                <c:pt idx="147">
                  <c:v>2108613.3106137379</c:v>
                </c:pt>
                <c:pt idx="148">
                  <c:v>2108613.3106137379</c:v>
                </c:pt>
                <c:pt idx="149">
                  <c:v>2108613.3106137379</c:v>
                </c:pt>
                <c:pt idx="150">
                  <c:v>2108613.3106137379</c:v>
                </c:pt>
                <c:pt idx="151">
                  <c:v>2108613.3106137379</c:v>
                </c:pt>
                <c:pt idx="152">
                  <c:v>2108613.3106137379</c:v>
                </c:pt>
                <c:pt idx="153">
                  <c:v>2108613.3106137379</c:v>
                </c:pt>
                <c:pt idx="154">
                  <c:v>2108613.3106137379</c:v>
                </c:pt>
                <c:pt idx="155">
                  <c:v>2108613.3106137379</c:v>
                </c:pt>
                <c:pt idx="156">
                  <c:v>2108613.3106137379</c:v>
                </c:pt>
                <c:pt idx="157">
                  <c:v>2108613.3106137379</c:v>
                </c:pt>
                <c:pt idx="158">
                  <c:v>2108613.3106137379</c:v>
                </c:pt>
                <c:pt idx="159">
                  <c:v>2108613.3106137379</c:v>
                </c:pt>
                <c:pt idx="160">
                  <c:v>2108613.3106137379</c:v>
                </c:pt>
                <c:pt idx="161">
                  <c:v>2108613.3106137379</c:v>
                </c:pt>
                <c:pt idx="162">
                  <c:v>2108613.3106137379</c:v>
                </c:pt>
                <c:pt idx="163">
                  <c:v>2108613.3106137379</c:v>
                </c:pt>
                <c:pt idx="164">
                  <c:v>2108613.3106137379</c:v>
                </c:pt>
                <c:pt idx="165">
                  <c:v>2108613.3106137379</c:v>
                </c:pt>
                <c:pt idx="166">
                  <c:v>2108613.3106137379</c:v>
                </c:pt>
                <c:pt idx="167">
                  <c:v>2108613.3106137379</c:v>
                </c:pt>
                <c:pt idx="168">
                  <c:v>2108613.3106137379</c:v>
                </c:pt>
                <c:pt idx="169">
                  <c:v>2108613.3106137379</c:v>
                </c:pt>
                <c:pt idx="170">
                  <c:v>2108613.3106137379</c:v>
                </c:pt>
                <c:pt idx="171">
                  <c:v>2108613.3106137379</c:v>
                </c:pt>
                <c:pt idx="172">
                  <c:v>2108613.3106137379</c:v>
                </c:pt>
                <c:pt idx="173">
                  <c:v>2108613.3106137379</c:v>
                </c:pt>
                <c:pt idx="174">
                  <c:v>2108613.3106137379</c:v>
                </c:pt>
                <c:pt idx="175">
                  <c:v>2108613.3106137379</c:v>
                </c:pt>
                <c:pt idx="176">
                  <c:v>2108613.3106137379</c:v>
                </c:pt>
                <c:pt idx="177">
                  <c:v>2108613.3106137379</c:v>
                </c:pt>
                <c:pt idx="178">
                  <c:v>2108613.3106137379</c:v>
                </c:pt>
                <c:pt idx="179">
                  <c:v>2108613.3106137379</c:v>
                </c:pt>
                <c:pt idx="180">
                  <c:v>2108613.3106137379</c:v>
                </c:pt>
                <c:pt idx="181">
                  <c:v>2108613.3106137379</c:v>
                </c:pt>
                <c:pt idx="182">
                  <c:v>2108613.3106137379</c:v>
                </c:pt>
                <c:pt idx="183">
                  <c:v>2108613.3106137379</c:v>
                </c:pt>
                <c:pt idx="184">
                  <c:v>2108613.3106137379</c:v>
                </c:pt>
                <c:pt idx="185">
                  <c:v>2108613.3106137379</c:v>
                </c:pt>
                <c:pt idx="186">
                  <c:v>2108613.3106137379</c:v>
                </c:pt>
                <c:pt idx="187">
                  <c:v>2108613.3106137379</c:v>
                </c:pt>
                <c:pt idx="188">
                  <c:v>2108613.3106137379</c:v>
                </c:pt>
                <c:pt idx="189">
                  <c:v>2108613.3106137379</c:v>
                </c:pt>
                <c:pt idx="190">
                  <c:v>2108613.3106137379</c:v>
                </c:pt>
                <c:pt idx="191">
                  <c:v>2108613.3106137379</c:v>
                </c:pt>
                <c:pt idx="192">
                  <c:v>2108613.3106137379</c:v>
                </c:pt>
                <c:pt idx="193">
                  <c:v>2108613.3106137379</c:v>
                </c:pt>
                <c:pt idx="194">
                  <c:v>2108613.3106137379</c:v>
                </c:pt>
                <c:pt idx="195">
                  <c:v>2108613.3106137379</c:v>
                </c:pt>
                <c:pt idx="196">
                  <c:v>2108613.3106137379</c:v>
                </c:pt>
                <c:pt idx="197">
                  <c:v>2108613.3106137379</c:v>
                </c:pt>
                <c:pt idx="198">
                  <c:v>2108613.3106137379</c:v>
                </c:pt>
                <c:pt idx="199">
                  <c:v>2108613.3106137379</c:v>
                </c:pt>
                <c:pt idx="200">
                  <c:v>2108613.3106137379</c:v>
                </c:pt>
                <c:pt idx="201">
                  <c:v>2108613.3106137379</c:v>
                </c:pt>
                <c:pt idx="202">
                  <c:v>2108613.3106137379</c:v>
                </c:pt>
                <c:pt idx="203">
                  <c:v>2108613.3106137379</c:v>
                </c:pt>
                <c:pt idx="204">
                  <c:v>2108613.3106137379</c:v>
                </c:pt>
                <c:pt idx="205">
                  <c:v>2108613.3106137379</c:v>
                </c:pt>
                <c:pt idx="206">
                  <c:v>2108613.3106137379</c:v>
                </c:pt>
                <c:pt idx="207">
                  <c:v>2108613.3106137379</c:v>
                </c:pt>
                <c:pt idx="208">
                  <c:v>2108613.3106137379</c:v>
                </c:pt>
                <c:pt idx="209">
                  <c:v>2108613.3106137379</c:v>
                </c:pt>
                <c:pt idx="210">
                  <c:v>2108613.3106137379</c:v>
                </c:pt>
                <c:pt idx="211">
                  <c:v>2108613.3106137379</c:v>
                </c:pt>
                <c:pt idx="212">
                  <c:v>2108613.3106137379</c:v>
                </c:pt>
                <c:pt idx="213">
                  <c:v>2108613.3106137379</c:v>
                </c:pt>
                <c:pt idx="214">
                  <c:v>2108613.3106137379</c:v>
                </c:pt>
                <c:pt idx="215">
                  <c:v>2108613.3106137379</c:v>
                </c:pt>
                <c:pt idx="216">
                  <c:v>2108613.3106137379</c:v>
                </c:pt>
                <c:pt idx="217">
                  <c:v>2108613.3106137379</c:v>
                </c:pt>
                <c:pt idx="218">
                  <c:v>2108613.3106137379</c:v>
                </c:pt>
                <c:pt idx="219">
                  <c:v>2108613.3106137379</c:v>
                </c:pt>
                <c:pt idx="220">
                  <c:v>2108613.3106137379</c:v>
                </c:pt>
                <c:pt idx="221">
                  <c:v>2108613.3106137379</c:v>
                </c:pt>
                <c:pt idx="222">
                  <c:v>2108613.3106137379</c:v>
                </c:pt>
                <c:pt idx="223">
                  <c:v>2108613.3106137379</c:v>
                </c:pt>
                <c:pt idx="224">
                  <c:v>2108613.3106137379</c:v>
                </c:pt>
                <c:pt idx="225">
                  <c:v>2108613.3106137379</c:v>
                </c:pt>
                <c:pt idx="226">
                  <c:v>2108613.3106137379</c:v>
                </c:pt>
                <c:pt idx="227">
                  <c:v>2108613.3106137379</c:v>
                </c:pt>
                <c:pt idx="228">
                  <c:v>2108613.3106137379</c:v>
                </c:pt>
                <c:pt idx="229">
                  <c:v>2108613.3106137379</c:v>
                </c:pt>
                <c:pt idx="230">
                  <c:v>2108613.3106137379</c:v>
                </c:pt>
                <c:pt idx="231">
                  <c:v>2108613.3106137379</c:v>
                </c:pt>
                <c:pt idx="232">
                  <c:v>2108613.3106137379</c:v>
                </c:pt>
                <c:pt idx="233">
                  <c:v>2108613.3106137379</c:v>
                </c:pt>
                <c:pt idx="234">
                  <c:v>2108613.3106137379</c:v>
                </c:pt>
                <c:pt idx="235">
                  <c:v>2108613.3106137379</c:v>
                </c:pt>
                <c:pt idx="236">
                  <c:v>2108613.3106137379</c:v>
                </c:pt>
                <c:pt idx="237">
                  <c:v>2108613.3106137379</c:v>
                </c:pt>
                <c:pt idx="238">
                  <c:v>2108613.3106137379</c:v>
                </c:pt>
                <c:pt idx="239">
                  <c:v>2108613.3106137379</c:v>
                </c:pt>
                <c:pt idx="240">
                  <c:v>2108613.3106137379</c:v>
                </c:pt>
                <c:pt idx="241">
                  <c:v>2108613.3106137379</c:v>
                </c:pt>
                <c:pt idx="242">
                  <c:v>2108613.3106137379</c:v>
                </c:pt>
                <c:pt idx="243">
                  <c:v>2108613.3106137379</c:v>
                </c:pt>
                <c:pt idx="244">
                  <c:v>2108613.3106137379</c:v>
                </c:pt>
                <c:pt idx="245">
                  <c:v>2108613.3106137379</c:v>
                </c:pt>
                <c:pt idx="246">
                  <c:v>2108613.3106137379</c:v>
                </c:pt>
                <c:pt idx="247">
                  <c:v>2108613.3106137379</c:v>
                </c:pt>
                <c:pt idx="248">
                  <c:v>2108613.3106137379</c:v>
                </c:pt>
                <c:pt idx="249">
                  <c:v>2108613.3106137379</c:v>
                </c:pt>
                <c:pt idx="250">
                  <c:v>2108613.3106137379</c:v>
                </c:pt>
                <c:pt idx="251">
                  <c:v>2108613.3106137379</c:v>
                </c:pt>
                <c:pt idx="252">
                  <c:v>2108613.3106137379</c:v>
                </c:pt>
                <c:pt idx="253">
                  <c:v>2108613.3106137379</c:v>
                </c:pt>
                <c:pt idx="254">
                  <c:v>2108613.3106137379</c:v>
                </c:pt>
                <c:pt idx="255">
                  <c:v>2108613.3106137379</c:v>
                </c:pt>
                <c:pt idx="256">
                  <c:v>2108613.3106137379</c:v>
                </c:pt>
                <c:pt idx="257">
                  <c:v>2108613.3106137379</c:v>
                </c:pt>
                <c:pt idx="258">
                  <c:v>2108613.3106137379</c:v>
                </c:pt>
                <c:pt idx="259">
                  <c:v>2108613.3106137379</c:v>
                </c:pt>
                <c:pt idx="260">
                  <c:v>2108613.3106137379</c:v>
                </c:pt>
                <c:pt idx="261">
                  <c:v>2108613.3106137379</c:v>
                </c:pt>
                <c:pt idx="262">
                  <c:v>2108613.3106137379</c:v>
                </c:pt>
                <c:pt idx="263">
                  <c:v>2108613.3106137379</c:v>
                </c:pt>
                <c:pt idx="264">
                  <c:v>2108613.3106137379</c:v>
                </c:pt>
                <c:pt idx="265">
                  <c:v>2108613.3106137379</c:v>
                </c:pt>
                <c:pt idx="266">
                  <c:v>2108613.3106137379</c:v>
                </c:pt>
                <c:pt idx="267">
                  <c:v>2108613.3106137379</c:v>
                </c:pt>
                <c:pt idx="268">
                  <c:v>2108613.3106137379</c:v>
                </c:pt>
                <c:pt idx="269">
                  <c:v>2108613.3106137379</c:v>
                </c:pt>
                <c:pt idx="270">
                  <c:v>2108613.3106137379</c:v>
                </c:pt>
                <c:pt idx="271">
                  <c:v>2108613.3106137379</c:v>
                </c:pt>
                <c:pt idx="272">
                  <c:v>2108613.3106137379</c:v>
                </c:pt>
                <c:pt idx="273">
                  <c:v>2108613.3106137379</c:v>
                </c:pt>
                <c:pt idx="274">
                  <c:v>2108613.3106137379</c:v>
                </c:pt>
                <c:pt idx="275">
                  <c:v>2108613.3106137379</c:v>
                </c:pt>
                <c:pt idx="276">
                  <c:v>2108613.3106137379</c:v>
                </c:pt>
                <c:pt idx="277">
                  <c:v>2108613.3106137379</c:v>
                </c:pt>
                <c:pt idx="278">
                  <c:v>2108613.3106137379</c:v>
                </c:pt>
                <c:pt idx="279">
                  <c:v>2108613.3106137379</c:v>
                </c:pt>
                <c:pt idx="280">
                  <c:v>2108613.3106137379</c:v>
                </c:pt>
                <c:pt idx="281">
                  <c:v>2108613.3106137379</c:v>
                </c:pt>
                <c:pt idx="282">
                  <c:v>2108613.3106137379</c:v>
                </c:pt>
                <c:pt idx="283">
                  <c:v>2108613.3106137379</c:v>
                </c:pt>
                <c:pt idx="284">
                  <c:v>2108613.3106137379</c:v>
                </c:pt>
                <c:pt idx="285">
                  <c:v>2108613.3106137379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-273832.50457729469</c:v>
                </c:pt>
                <c:pt idx="21">
                  <c:v>2036637.5399832714</c:v>
                </c:pt>
                <c:pt idx="22">
                  <c:v>2033513.7899832714</c:v>
                </c:pt>
                <c:pt idx="23">
                  <c:v>2033513.7899832714</c:v>
                </c:pt>
                <c:pt idx="24">
                  <c:v>1944946.7863214356</c:v>
                </c:pt>
                <c:pt idx="25">
                  <c:v>1579002.7117441408</c:v>
                </c:pt>
                <c:pt idx="26">
                  <c:v>1488564.860407324</c:v>
                </c:pt>
                <c:pt idx="27">
                  <c:v>1649676.1110724485</c:v>
                </c:pt>
                <c:pt idx="28">
                  <c:v>498942.24010470649</c:v>
                </c:pt>
                <c:pt idx="29">
                  <c:v>498942.24010470649</c:v>
                </c:pt>
                <c:pt idx="30">
                  <c:v>473676.7391892476</c:v>
                </c:pt>
                <c:pt idx="31">
                  <c:v>473676.7391892476</c:v>
                </c:pt>
                <c:pt idx="32">
                  <c:v>473676.7391892476</c:v>
                </c:pt>
                <c:pt idx="33">
                  <c:v>473676.7391892476</c:v>
                </c:pt>
                <c:pt idx="34">
                  <c:v>473676.7391892476</c:v>
                </c:pt>
                <c:pt idx="35">
                  <c:v>473676.7391892476</c:v>
                </c:pt>
                <c:pt idx="36">
                  <c:v>473676.7391892476</c:v>
                </c:pt>
                <c:pt idx="37">
                  <c:v>473676.7391892476</c:v>
                </c:pt>
                <c:pt idx="38">
                  <c:v>473676.7391892476</c:v>
                </c:pt>
                <c:pt idx="39">
                  <c:v>473676.7391892476</c:v>
                </c:pt>
                <c:pt idx="40">
                  <c:v>473676.7391892476</c:v>
                </c:pt>
                <c:pt idx="41">
                  <c:v>473676.7391892476</c:v>
                </c:pt>
                <c:pt idx="42">
                  <c:v>473676.7391892476</c:v>
                </c:pt>
                <c:pt idx="43">
                  <c:v>473676.7391892476</c:v>
                </c:pt>
                <c:pt idx="44">
                  <c:v>473676.7391892476</c:v>
                </c:pt>
                <c:pt idx="45">
                  <c:v>473676.7391892476</c:v>
                </c:pt>
                <c:pt idx="46">
                  <c:v>473676.7391892476</c:v>
                </c:pt>
                <c:pt idx="47">
                  <c:v>473676.7391892476</c:v>
                </c:pt>
                <c:pt idx="48">
                  <c:v>473676.7391892476</c:v>
                </c:pt>
                <c:pt idx="49">
                  <c:v>473676.7391892476</c:v>
                </c:pt>
                <c:pt idx="50">
                  <c:v>473676.7391892476</c:v>
                </c:pt>
                <c:pt idx="51">
                  <c:v>473676.7391892476</c:v>
                </c:pt>
                <c:pt idx="52">
                  <c:v>473676.7391892476</c:v>
                </c:pt>
                <c:pt idx="53">
                  <c:v>473676.7391892476</c:v>
                </c:pt>
                <c:pt idx="54">
                  <c:v>473676.7391892476</c:v>
                </c:pt>
                <c:pt idx="55">
                  <c:v>473676.7391892476</c:v>
                </c:pt>
                <c:pt idx="56">
                  <c:v>473676.7391892476</c:v>
                </c:pt>
                <c:pt idx="57">
                  <c:v>473676.7391892476</c:v>
                </c:pt>
                <c:pt idx="58">
                  <c:v>473676.7391892476</c:v>
                </c:pt>
                <c:pt idx="59">
                  <c:v>473676.7391892476</c:v>
                </c:pt>
                <c:pt idx="60">
                  <c:v>473676.7391892476</c:v>
                </c:pt>
                <c:pt idx="61">
                  <c:v>473676.7391892476</c:v>
                </c:pt>
                <c:pt idx="62">
                  <c:v>473676.7391892476</c:v>
                </c:pt>
                <c:pt idx="63">
                  <c:v>473676.7391892476</c:v>
                </c:pt>
                <c:pt idx="64">
                  <c:v>473676.7391892476</c:v>
                </c:pt>
                <c:pt idx="65">
                  <c:v>473676.7391892476</c:v>
                </c:pt>
                <c:pt idx="66">
                  <c:v>473676.7391892476</c:v>
                </c:pt>
                <c:pt idx="67">
                  <c:v>473676.7391892476</c:v>
                </c:pt>
                <c:pt idx="68">
                  <c:v>473676.7391892476</c:v>
                </c:pt>
                <c:pt idx="69">
                  <c:v>473676.7391892476</c:v>
                </c:pt>
                <c:pt idx="70">
                  <c:v>473676.7391892476</c:v>
                </c:pt>
                <c:pt idx="71">
                  <c:v>473676.7391892476</c:v>
                </c:pt>
                <c:pt idx="72">
                  <c:v>473676.7391892476</c:v>
                </c:pt>
                <c:pt idx="73">
                  <c:v>473676.7391892476</c:v>
                </c:pt>
                <c:pt idx="74">
                  <c:v>473676.7391892476</c:v>
                </c:pt>
                <c:pt idx="75">
                  <c:v>473676.7391892476</c:v>
                </c:pt>
                <c:pt idx="76">
                  <c:v>473676.7391892476</c:v>
                </c:pt>
                <c:pt idx="77">
                  <c:v>473676.7391892476</c:v>
                </c:pt>
                <c:pt idx="78">
                  <c:v>473676.7391892476</c:v>
                </c:pt>
                <c:pt idx="79">
                  <c:v>609586.74181045732</c:v>
                </c:pt>
                <c:pt idx="80">
                  <c:v>609586.74181045732</c:v>
                </c:pt>
                <c:pt idx="81">
                  <c:v>609586.74181045732</c:v>
                </c:pt>
                <c:pt idx="82">
                  <c:v>609586.74181045732</c:v>
                </c:pt>
                <c:pt idx="83">
                  <c:v>609586.74181045732</c:v>
                </c:pt>
                <c:pt idx="84">
                  <c:v>609586.74181045732</c:v>
                </c:pt>
                <c:pt idx="85">
                  <c:v>609586.74181045732</c:v>
                </c:pt>
                <c:pt idx="86">
                  <c:v>609586.74181045732</c:v>
                </c:pt>
                <c:pt idx="87">
                  <c:v>609586.74181045732</c:v>
                </c:pt>
                <c:pt idx="88">
                  <c:v>609586.74181045732</c:v>
                </c:pt>
                <c:pt idx="89">
                  <c:v>609586.74181045732</c:v>
                </c:pt>
                <c:pt idx="90">
                  <c:v>609586.74181045732</c:v>
                </c:pt>
                <c:pt idx="91">
                  <c:v>609586.74181045732</c:v>
                </c:pt>
                <c:pt idx="92">
                  <c:v>609586.74181045732</c:v>
                </c:pt>
                <c:pt idx="93">
                  <c:v>609586.74181045732</c:v>
                </c:pt>
                <c:pt idx="94">
                  <c:v>609586.74181045732</c:v>
                </c:pt>
                <c:pt idx="95">
                  <c:v>609586.74181045732</c:v>
                </c:pt>
                <c:pt idx="96">
                  <c:v>609586.74181045732</c:v>
                </c:pt>
                <c:pt idx="97">
                  <c:v>609586.74181045732</c:v>
                </c:pt>
                <c:pt idx="98">
                  <c:v>609586.74181045732</c:v>
                </c:pt>
                <c:pt idx="99">
                  <c:v>609586.74181045732</c:v>
                </c:pt>
                <c:pt idx="100">
                  <c:v>609586.74181045732</c:v>
                </c:pt>
                <c:pt idx="101">
                  <c:v>609586.74181045732</c:v>
                </c:pt>
                <c:pt idx="102">
                  <c:v>609586.74181045732</c:v>
                </c:pt>
                <c:pt idx="103">
                  <c:v>609586.74181045732</c:v>
                </c:pt>
                <c:pt idx="104">
                  <c:v>609586.74181045732</c:v>
                </c:pt>
                <c:pt idx="105">
                  <c:v>609586.74181045732</c:v>
                </c:pt>
                <c:pt idx="106">
                  <c:v>609586.74181045732</c:v>
                </c:pt>
                <c:pt idx="107">
                  <c:v>609586.74181045732</c:v>
                </c:pt>
                <c:pt idx="108">
                  <c:v>609586.74181045732</c:v>
                </c:pt>
                <c:pt idx="109">
                  <c:v>609586.74181045732</c:v>
                </c:pt>
                <c:pt idx="110">
                  <c:v>609586.74181045732</c:v>
                </c:pt>
                <c:pt idx="111">
                  <c:v>609586.74181045732</c:v>
                </c:pt>
                <c:pt idx="112">
                  <c:v>609586.74181045732</c:v>
                </c:pt>
                <c:pt idx="113">
                  <c:v>609586.74181045732</c:v>
                </c:pt>
                <c:pt idx="114">
                  <c:v>609586.74181045732</c:v>
                </c:pt>
                <c:pt idx="115">
                  <c:v>609586.74181045732</c:v>
                </c:pt>
                <c:pt idx="116">
                  <c:v>609586.74181045732</c:v>
                </c:pt>
                <c:pt idx="117">
                  <c:v>609586.74181045732</c:v>
                </c:pt>
                <c:pt idx="118">
                  <c:v>609586.74181045732</c:v>
                </c:pt>
                <c:pt idx="119">
                  <c:v>609586.74181045732</c:v>
                </c:pt>
                <c:pt idx="120">
                  <c:v>609586.74181045732</c:v>
                </c:pt>
                <c:pt idx="121">
                  <c:v>609586.74181045732</c:v>
                </c:pt>
                <c:pt idx="122">
                  <c:v>609586.74181045732</c:v>
                </c:pt>
                <c:pt idx="123">
                  <c:v>609586.74181045732</c:v>
                </c:pt>
                <c:pt idx="124">
                  <c:v>609586.74181045732</c:v>
                </c:pt>
                <c:pt idx="125">
                  <c:v>609586.74181045732</c:v>
                </c:pt>
                <c:pt idx="126">
                  <c:v>609586.74181045732</c:v>
                </c:pt>
                <c:pt idx="127">
                  <c:v>609586.74181045732</c:v>
                </c:pt>
                <c:pt idx="128">
                  <c:v>609586.74181045732</c:v>
                </c:pt>
                <c:pt idx="129">
                  <c:v>609586.74181045732</c:v>
                </c:pt>
                <c:pt idx="130">
                  <c:v>609586.74181045732</c:v>
                </c:pt>
                <c:pt idx="131">
                  <c:v>609586.74181045732</c:v>
                </c:pt>
                <c:pt idx="132">
                  <c:v>609586.74181045732</c:v>
                </c:pt>
                <c:pt idx="133">
                  <c:v>609586.74181045732</c:v>
                </c:pt>
                <c:pt idx="134">
                  <c:v>609586.74181045732</c:v>
                </c:pt>
                <c:pt idx="135">
                  <c:v>609586.74181045732</c:v>
                </c:pt>
                <c:pt idx="136">
                  <c:v>609586.74181045732</c:v>
                </c:pt>
                <c:pt idx="137">
                  <c:v>609586.74181045732</c:v>
                </c:pt>
                <c:pt idx="138">
                  <c:v>609586.74181045732</c:v>
                </c:pt>
                <c:pt idx="139">
                  <c:v>609586.74181045732</c:v>
                </c:pt>
                <c:pt idx="140">
                  <c:v>609586.74181045732</c:v>
                </c:pt>
                <c:pt idx="141">
                  <c:v>609586.74181045732</c:v>
                </c:pt>
                <c:pt idx="142">
                  <c:v>609586.74181045732</c:v>
                </c:pt>
                <c:pt idx="143">
                  <c:v>609586.74181045732</c:v>
                </c:pt>
                <c:pt idx="144">
                  <c:v>609586.74181045732</c:v>
                </c:pt>
                <c:pt idx="145">
                  <c:v>609586.74181045732</c:v>
                </c:pt>
                <c:pt idx="146">
                  <c:v>609586.74181045732</c:v>
                </c:pt>
                <c:pt idx="147">
                  <c:v>609586.74181045732</c:v>
                </c:pt>
                <c:pt idx="148">
                  <c:v>609586.74181045732</c:v>
                </c:pt>
                <c:pt idx="149">
                  <c:v>609586.74181045732</c:v>
                </c:pt>
                <c:pt idx="150">
                  <c:v>609586.74181045732</c:v>
                </c:pt>
                <c:pt idx="151">
                  <c:v>609586.74181045732</c:v>
                </c:pt>
                <c:pt idx="152">
                  <c:v>609586.74181045732</c:v>
                </c:pt>
                <c:pt idx="153">
                  <c:v>609586.74181045732</c:v>
                </c:pt>
                <c:pt idx="154">
                  <c:v>609586.74181045732</c:v>
                </c:pt>
                <c:pt idx="155">
                  <c:v>609586.74181045732</c:v>
                </c:pt>
                <c:pt idx="156">
                  <c:v>609586.74181045732</c:v>
                </c:pt>
                <c:pt idx="157">
                  <c:v>609586.74181045732</c:v>
                </c:pt>
                <c:pt idx="158">
                  <c:v>609586.74181045732</c:v>
                </c:pt>
                <c:pt idx="159">
                  <c:v>609586.74181045732</c:v>
                </c:pt>
                <c:pt idx="160">
                  <c:v>609586.74181045732</c:v>
                </c:pt>
                <c:pt idx="161">
                  <c:v>609586.74181045732</c:v>
                </c:pt>
                <c:pt idx="162">
                  <c:v>609586.74181045732</c:v>
                </c:pt>
                <c:pt idx="163">
                  <c:v>609586.74181045732</c:v>
                </c:pt>
                <c:pt idx="164">
                  <c:v>609586.74181045732</c:v>
                </c:pt>
                <c:pt idx="165">
                  <c:v>609586.74181045732</c:v>
                </c:pt>
                <c:pt idx="166">
                  <c:v>609586.74181045732</c:v>
                </c:pt>
                <c:pt idx="167">
                  <c:v>609586.74181045732</c:v>
                </c:pt>
                <c:pt idx="168">
                  <c:v>609586.74181045732</c:v>
                </c:pt>
                <c:pt idx="169">
                  <c:v>609586.74181045732</c:v>
                </c:pt>
                <c:pt idx="170">
                  <c:v>609586.74181045732</c:v>
                </c:pt>
                <c:pt idx="171">
                  <c:v>609586.74181045732</c:v>
                </c:pt>
                <c:pt idx="172">
                  <c:v>609586.74181045732</c:v>
                </c:pt>
                <c:pt idx="173">
                  <c:v>609586.74181045732</c:v>
                </c:pt>
                <c:pt idx="174">
                  <c:v>609586.74181045732</c:v>
                </c:pt>
                <c:pt idx="175">
                  <c:v>609586.74181045732</c:v>
                </c:pt>
                <c:pt idx="176">
                  <c:v>609586.74181045732</c:v>
                </c:pt>
                <c:pt idx="177">
                  <c:v>609586.74181045732</c:v>
                </c:pt>
                <c:pt idx="178">
                  <c:v>609586.74181045732</c:v>
                </c:pt>
                <c:pt idx="179">
                  <c:v>609586.74181045732</c:v>
                </c:pt>
                <c:pt idx="180">
                  <c:v>609586.74181045732</c:v>
                </c:pt>
                <c:pt idx="181">
                  <c:v>609586.74181045732</c:v>
                </c:pt>
                <c:pt idx="182">
                  <c:v>609586.74181045732</c:v>
                </c:pt>
                <c:pt idx="183">
                  <c:v>609586.74181045732</c:v>
                </c:pt>
                <c:pt idx="184">
                  <c:v>609586.74181045732</c:v>
                </c:pt>
                <c:pt idx="185">
                  <c:v>609586.74181045732</c:v>
                </c:pt>
                <c:pt idx="186">
                  <c:v>609586.74181045732</c:v>
                </c:pt>
                <c:pt idx="187">
                  <c:v>609586.74181045732</c:v>
                </c:pt>
                <c:pt idx="188">
                  <c:v>609586.74181045732</c:v>
                </c:pt>
                <c:pt idx="189">
                  <c:v>609586.74181045732</c:v>
                </c:pt>
                <c:pt idx="190">
                  <c:v>609586.74181045732</c:v>
                </c:pt>
                <c:pt idx="191">
                  <c:v>609586.74181045732</c:v>
                </c:pt>
                <c:pt idx="192">
                  <c:v>609586.74181045732</c:v>
                </c:pt>
                <c:pt idx="193">
                  <c:v>609586.74181045732</c:v>
                </c:pt>
                <c:pt idx="194">
                  <c:v>609586.74181045732</c:v>
                </c:pt>
                <c:pt idx="195">
                  <c:v>609586.74181045732</c:v>
                </c:pt>
                <c:pt idx="196">
                  <c:v>609586.74181045732</c:v>
                </c:pt>
                <c:pt idx="197">
                  <c:v>609586.74181045732</c:v>
                </c:pt>
                <c:pt idx="198">
                  <c:v>609586.74181045732</c:v>
                </c:pt>
                <c:pt idx="199">
                  <c:v>609586.74181045732</c:v>
                </c:pt>
                <c:pt idx="200">
                  <c:v>609586.74181045732</c:v>
                </c:pt>
                <c:pt idx="201">
                  <c:v>609586.74181045732</c:v>
                </c:pt>
                <c:pt idx="202">
                  <c:v>609586.74181045732</c:v>
                </c:pt>
                <c:pt idx="203">
                  <c:v>609586.74181045732</c:v>
                </c:pt>
                <c:pt idx="204">
                  <c:v>609586.74181045732</c:v>
                </c:pt>
                <c:pt idx="205">
                  <c:v>609586.74181045732</c:v>
                </c:pt>
                <c:pt idx="206">
                  <c:v>609586.74181045732</c:v>
                </c:pt>
                <c:pt idx="207">
                  <c:v>609586.74181045732</c:v>
                </c:pt>
                <c:pt idx="208">
                  <c:v>609586.74181045732</c:v>
                </c:pt>
                <c:pt idx="209">
                  <c:v>609586.74181045732</c:v>
                </c:pt>
                <c:pt idx="210">
                  <c:v>609586.74181045732</c:v>
                </c:pt>
                <c:pt idx="211">
                  <c:v>609586.74181045732</c:v>
                </c:pt>
                <c:pt idx="212">
                  <c:v>609586.74181045732</c:v>
                </c:pt>
                <c:pt idx="213">
                  <c:v>609586.74181045732</c:v>
                </c:pt>
                <c:pt idx="214">
                  <c:v>609586.74181045732</c:v>
                </c:pt>
                <c:pt idx="215">
                  <c:v>609586.74181045732</c:v>
                </c:pt>
                <c:pt idx="216">
                  <c:v>609586.74181045732</c:v>
                </c:pt>
                <c:pt idx="217">
                  <c:v>609586.74181045732</c:v>
                </c:pt>
                <c:pt idx="218">
                  <c:v>609586.74181045732</c:v>
                </c:pt>
                <c:pt idx="219">
                  <c:v>609586.74181045732</c:v>
                </c:pt>
                <c:pt idx="220">
                  <c:v>609586.74181045732</c:v>
                </c:pt>
                <c:pt idx="221">
                  <c:v>609586.74181045732</c:v>
                </c:pt>
                <c:pt idx="222">
                  <c:v>609586.74181045732</c:v>
                </c:pt>
                <c:pt idx="223">
                  <c:v>609586.74181045732</c:v>
                </c:pt>
                <c:pt idx="224">
                  <c:v>609586.74181045732</c:v>
                </c:pt>
                <c:pt idx="225">
                  <c:v>609586.74181045732</c:v>
                </c:pt>
                <c:pt idx="226">
                  <c:v>609586.74181045732</c:v>
                </c:pt>
                <c:pt idx="227">
                  <c:v>609586.74181045732</c:v>
                </c:pt>
                <c:pt idx="228">
                  <c:v>609586.74181045732</c:v>
                </c:pt>
                <c:pt idx="229">
                  <c:v>609586.74181045732</c:v>
                </c:pt>
                <c:pt idx="230">
                  <c:v>609586.74181045732</c:v>
                </c:pt>
                <c:pt idx="231">
                  <c:v>609586.74181045732</c:v>
                </c:pt>
                <c:pt idx="232">
                  <c:v>609586.74181045732</c:v>
                </c:pt>
                <c:pt idx="233">
                  <c:v>609586.74181045732</c:v>
                </c:pt>
                <c:pt idx="234">
                  <c:v>609586.74181045732</c:v>
                </c:pt>
                <c:pt idx="235">
                  <c:v>609586.74181045732</c:v>
                </c:pt>
                <c:pt idx="236">
                  <c:v>609586.74181045732</c:v>
                </c:pt>
                <c:pt idx="237">
                  <c:v>609586.74181045732</c:v>
                </c:pt>
                <c:pt idx="238">
                  <c:v>609586.74181045732</c:v>
                </c:pt>
                <c:pt idx="239">
                  <c:v>609586.74181045732</c:v>
                </c:pt>
                <c:pt idx="240">
                  <c:v>609586.74181045732</c:v>
                </c:pt>
                <c:pt idx="241">
                  <c:v>609586.74181045732</c:v>
                </c:pt>
                <c:pt idx="242">
                  <c:v>609586.74181045732</c:v>
                </c:pt>
                <c:pt idx="243">
                  <c:v>609586.74181045732</c:v>
                </c:pt>
                <c:pt idx="244">
                  <c:v>609586.74181045732</c:v>
                </c:pt>
                <c:pt idx="245">
                  <c:v>609586.74181045732</c:v>
                </c:pt>
                <c:pt idx="246">
                  <c:v>609586.74181045732</c:v>
                </c:pt>
                <c:pt idx="247">
                  <c:v>609586.74181045732</c:v>
                </c:pt>
                <c:pt idx="248">
                  <c:v>609586.74181045732</c:v>
                </c:pt>
                <c:pt idx="249">
                  <c:v>609586.74181045732</c:v>
                </c:pt>
                <c:pt idx="250">
                  <c:v>609586.74181045732</c:v>
                </c:pt>
                <c:pt idx="251">
                  <c:v>609586.74181045732</c:v>
                </c:pt>
                <c:pt idx="252">
                  <c:v>609586.74181045732</c:v>
                </c:pt>
                <c:pt idx="253">
                  <c:v>609586.74181045732</c:v>
                </c:pt>
                <c:pt idx="254">
                  <c:v>609586.74181045732</c:v>
                </c:pt>
                <c:pt idx="255">
                  <c:v>609586.74181045732</c:v>
                </c:pt>
                <c:pt idx="256">
                  <c:v>609586.74181045732</c:v>
                </c:pt>
                <c:pt idx="257">
                  <c:v>609586.74181045732</c:v>
                </c:pt>
                <c:pt idx="258">
                  <c:v>609586.74181045732</c:v>
                </c:pt>
                <c:pt idx="259">
                  <c:v>609586.74181045732</c:v>
                </c:pt>
                <c:pt idx="260">
                  <c:v>609586.74181045732</c:v>
                </c:pt>
                <c:pt idx="261">
                  <c:v>609586.74181045732</c:v>
                </c:pt>
                <c:pt idx="262">
                  <c:v>609586.74181045732</c:v>
                </c:pt>
                <c:pt idx="263">
                  <c:v>609586.74181045732</c:v>
                </c:pt>
                <c:pt idx="264">
                  <c:v>609586.74181045732</c:v>
                </c:pt>
                <c:pt idx="265">
                  <c:v>609586.74181045732</c:v>
                </c:pt>
                <c:pt idx="266">
                  <c:v>609586.74181045732</c:v>
                </c:pt>
                <c:pt idx="267">
                  <c:v>609586.74181045732</c:v>
                </c:pt>
                <c:pt idx="268">
                  <c:v>609586.74181045732</c:v>
                </c:pt>
                <c:pt idx="269">
                  <c:v>609586.74181045732</c:v>
                </c:pt>
                <c:pt idx="270">
                  <c:v>609586.74181045732</c:v>
                </c:pt>
                <c:pt idx="271">
                  <c:v>609586.74181045732</c:v>
                </c:pt>
                <c:pt idx="272">
                  <c:v>609586.74181045732</c:v>
                </c:pt>
                <c:pt idx="273">
                  <c:v>609586.74181045732</c:v>
                </c:pt>
                <c:pt idx="274">
                  <c:v>609586.74181045732</c:v>
                </c:pt>
                <c:pt idx="275">
                  <c:v>609586.74181045732</c:v>
                </c:pt>
                <c:pt idx="276">
                  <c:v>609586.74181045732</c:v>
                </c:pt>
                <c:pt idx="277">
                  <c:v>609586.74181045732</c:v>
                </c:pt>
                <c:pt idx="278">
                  <c:v>609586.74181045732</c:v>
                </c:pt>
                <c:pt idx="279">
                  <c:v>609586.74181045732</c:v>
                </c:pt>
                <c:pt idx="280">
                  <c:v>609586.74181045732</c:v>
                </c:pt>
                <c:pt idx="281">
                  <c:v>609586.74181045732</c:v>
                </c:pt>
                <c:pt idx="282">
                  <c:v>609586.74181045732</c:v>
                </c:pt>
                <c:pt idx="283">
                  <c:v>609586.74181045732</c:v>
                </c:pt>
                <c:pt idx="284">
                  <c:v>609586.74181045732</c:v>
                </c:pt>
                <c:pt idx="285">
                  <c:v>609586.74181045732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2167461.774319917</c:v>
                </c:pt>
                <c:pt idx="22">
                  <c:v>2167461.774319917</c:v>
                </c:pt>
                <c:pt idx="23">
                  <c:v>2167461.774319917</c:v>
                </c:pt>
                <c:pt idx="24">
                  <c:v>2167461.774319917</c:v>
                </c:pt>
                <c:pt idx="25">
                  <c:v>2459667.690325106</c:v>
                </c:pt>
                <c:pt idx="26">
                  <c:v>2459667.690325106</c:v>
                </c:pt>
                <c:pt idx="27">
                  <c:v>2459667.690325106</c:v>
                </c:pt>
                <c:pt idx="28">
                  <c:v>2459667.690325106</c:v>
                </c:pt>
                <c:pt idx="29">
                  <c:v>2686118.3765717675</c:v>
                </c:pt>
                <c:pt idx="30">
                  <c:v>2686118.3765717675</c:v>
                </c:pt>
                <c:pt idx="31">
                  <c:v>2686118.3765717675</c:v>
                </c:pt>
                <c:pt idx="32">
                  <c:v>2686118.3765717675</c:v>
                </c:pt>
                <c:pt idx="33">
                  <c:v>2686118.3765717675</c:v>
                </c:pt>
                <c:pt idx="34">
                  <c:v>2718200.0524241962</c:v>
                </c:pt>
                <c:pt idx="35">
                  <c:v>2718200.0524241962</c:v>
                </c:pt>
                <c:pt idx="36">
                  <c:v>2718200.0524241962</c:v>
                </c:pt>
                <c:pt idx="37">
                  <c:v>2718200.0524241962</c:v>
                </c:pt>
                <c:pt idx="38">
                  <c:v>2718200.0524241962</c:v>
                </c:pt>
                <c:pt idx="39">
                  <c:v>2718200.0524241962</c:v>
                </c:pt>
                <c:pt idx="40">
                  <c:v>2718200.0524241962</c:v>
                </c:pt>
                <c:pt idx="41">
                  <c:v>2718200.0524241962</c:v>
                </c:pt>
                <c:pt idx="42">
                  <c:v>2718200.0524241962</c:v>
                </c:pt>
                <c:pt idx="43">
                  <c:v>2718200.0524241962</c:v>
                </c:pt>
                <c:pt idx="44">
                  <c:v>2718200.0524241962</c:v>
                </c:pt>
                <c:pt idx="45">
                  <c:v>2718200.0524241962</c:v>
                </c:pt>
                <c:pt idx="46">
                  <c:v>2718200.0524241962</c:v>
                </c:pt>
                <c:pt idx="47">
                  <c:v>2718200.0524241962</c:v>
                </c:pt>
                <c:pt idx="48">
                  <c:v>2718200.0524241962</c:v>
                </c:pt>
                <c:pt idx="49">
                  <c:v>2718200.0524241962</c:v>
                </c:pt>
                <c:pt idx="50">
                  <c:v>2718200.0524241962</c:v>
                </c:pt>
                <c:pt idx="51">
                  <c:v>2718200.0524241962</c:v>
                </c:pt>
                <c:pt idx="52">
                  <c:v>2718200.0524241962</c:v>
                </c:pt>
                <c:pt idx="53">
                  <c:v>2718200.0524241962</c:v>
                </c:pt>
                <c:pt idx="54">
                  <c:v>2718200.0524241962</c:v>
                </c:pt>
                <c:pt idx="55">
                  <c:v>2718200.0524241962</c:v>
                </c:pt>
                <c:pt idx="56">
                  <c:v>2718200.0524241962</c:v>
                </c:pt>
                <c:pt idx="57">
                  <c:v>2718200.0524241962</c:v>
                </c:pt>
                <c:pt idx="58">
                  <c:v>2718200.0524241962</c:v>
                </c:pt>
                <c:pt idx="59">
                  <c:v>2718200.0524241962</c:v>
                </c:pt>
                <c:pt idx="60">
                  <c:v>2718200.0524241962</c:v>
                </c:pt>
                <c:pt idx="61">
                  <c:v>2718200.0524241962</c:v>
                </c:pt>
                <c:pt idx="62">
                  <c:v>2718200.0524241962</c:v>
                </c:pt>
                <c:pt idx="63">
                  <c:v>2718200.0524241962</c:v>
                </c:pt>
                <c:pt idx="64">
                  <c:v>2718200.0524241962</c:v>
                </c:pt>
                <c:pt idx="65">
                  <c:v>2718200.0524241962</c:v>
                </c:pt>
                <c:pt idx="66">
                  <c:v>2718200.0524241962</c:v>
                </c:pt>
                <c:pt idx="67">
                  <c:v>2718200.0524241962</c:v>
                </c:pt>
                <c:pt idx="68">
                  <c:v>2718200.0524241962</c:v>
                </c:pt>
                <c:pt idx="69">
                  <c:v>2718200.0524241962</c:v>
                </c:pt>
                <c:pt idx="70">
                  <c:v>2718200.0524241962</c:v>
                </c:pt>
                <c:pt idx="71">
                  <c:v>2718200.0524241962</c:v>
                </c:pt>
                <c:pt idx="72">
                  <c:v>2718200.0524241962</c:v>
                </c:pt>
                <c:pt idx="73">
                  <c:v>2718200.0524241962</c:v>
                </c:pt>
                <c:pt idx="74">
                  <c:v>2718200.0524241962</c:v>
                </c:pt>
                <c:pt idx="75">
                  <c:v>2718200.0524241962</c:v>
                </c:pt>
                <c:pt idx="76">
                  <c:v>2718200.0524241962</c:v>
                </c:pt>
                <c:pt idx="77">
                  <c:v>2718200.0524241962</c:v>
                </c:pt>
                <c:pt idx="78">
                  <c:v>2718200.0524241962</c:v>
                </c:pt>
                <c:pt idx="79">
                  <c:v>2718200.0524241962</c:v>
                </c:pt>
                <c:pt idx="80">
                  <c:v>2718200.0524241962</c:v>
                </c:pt>
                <c:pt idx="81">
                  <c:v>2718200.0524241962</c:v>
                </c:pt>
                <c:pt idx="82">
                  <c:v>2718200.0524241962</c:v>
                </c:pt>
                <c:pt idx="83">
                  <c:v>2718200.0524241962</c:v>
                </c:pt>
                <c:pt idx="84">
                  <c:v>2718200.0524241962</c:v>
                </c:pt>
                <c:pt idx="85">
                  <c:v>2718200.0524241962</c:v>
                </c:pt>
                <c:pt idx="86">
                  <c:v>2718200.0524241962</c:v>
                </c:pt>
                <c:pt idx="87">
                  <c:v>2718200.0524241962</c:v>
                </c:pt>
                <c:pt idx="88">
                  <c:v>2718200.0524241962</c:v>
                </c:pt>
                <c:pt idx="89">
                  <c:v>2718200.0524241962</c:v>
                </c:pt>
                <c:pt idx="90">
                  <c:v>2718200.0524241962</c:v>
                </c:pt>
                <c:pt idx="91">
                  <c:v>2718200.0524241962</c:v>
                </c:pt>
                <c:pt idx="92">
                  <c:v>2718200.0524241962</c:v>
                </c:pt>
                <c:pt idx="93">
                  <c:v>2718200.0524241962</c:v>
                </c:pt>
                <c:pt idx="94">
                  <c:v>2718200.0524241962</c:v>
                </c:pt>
                <c:pt idx="95">
                  <c:v>2718200.0524241962</c:v>
                </c:pt>
                <c:pt idx="96">
                  <c:v>2718200.0524241962</c:v>
                </c:pt>
                <c:pt idx="97">
                  <c:v>2718200.0524241962</c:v>
                </c:pt>
                <c:pt idx="98">
                  <c:v>2718200.0524241962</c:v>
                </c:pt>
                <c:pt idx="99">
                  <c:v>2718200.0524241962</c:v>
                </c:pt>
                <c:pt idx="100">
                  <c:v>2718200.0524241962</c:v>
                </c:pt>
                <c:pt idx="101">
                  <c:v>2718200.0524241962</c:v>
                </c:pt>
                <c:pt idx="102">
                  <c:v>2718200.0524241962</c:v>
                </c:pt>
                <c:pt idx="103">
                  <c:v>2718200.0524241962</c:v>
                </c:pt>
                <c:pt idx="104">
                  <c:v>2718200.0524241962</c:v>
                </c:pt>
                <c:pt idx="105">
                  <c:v>2718200.0524241962</c:v>
                </c:pt>
                <c:pt idx="106">
                  <c:v>2718200.0524241962</c:v>
                </c:pt>
                <c:pt idx="107">
                  <c:v>2718200.0524241962</c:v>
                </c:pt>
                <c:pt idx="108">
                  <c:v>2718200.0524241962</c:v>
                </c:pt>
                <c:pt idx="109">
                  <c:v>2718200.0524241962</c:v>
                </c:pt>
                <c:pt idx="110">
                  <c:v>2718200.0524241962</c:v>
                </c:pt>
                <c:pt idx="111">
                  <c:v>2718200.0524241962</c:v>
                </c:pt>
                <c:pt idx="112">
                  <c:v>2718200.0524241962</c:v>
                </c:pt>
                <c:pt idx="113">
                  <c:v>2718200.0524241962</c:v>
                </c:pt>
                <c:pt idx="114">
                  <c:v>2718200.0524241962</c:v>
                </c:pt>
                <c:pt idx="115">
                  <c:v>2718200.0524241962</c:v>
                </c:pt>
                <c:pt idx="116">
                  <c:v>2718200.0524241962</c:v>
                </c:pt>
                <c:pt idx="117">
                  <c:v>2718200.0524241962</c:v>
                </c:pt>
                <c:pt idx="118">
                  <c:v>2718200.0524241962</c:v>
                </c:pt>
                <c:pt idx="119">
                  <c:v>2718200.0524241962</c:v>
                </c:pt>
                <c:pt idx="120">
                  <c:v>2718200.0524241962</c:v>
                </c:pt>
                <c:pt idx="121">
                  <c:v>2718200.0524241962</c:v>
                </c:pt>
                <c:pt idx="122">
                  <c:v>2718200.0524241962</c:v>
                </c:pt>
                <c:pt idx="123">
                  <c:v>2718200.0524241962</c:v>
                </c:pt>
                <c:pt idx="124">
                  <c:v>2718200.0524241962</c:v>
                </c:pt>
                <c:pt idx="125">
                  <c:v>2718200.0524241962</c:v>
                </c:pt>
                <c:pt idx="126">
                  <c:v>2718200.0524241962</c:v>
                </c:pt>
                <c:pt idx="127">
                  <c:v>2718200.0524241962</c:v>
                </c:pt>
                <c:pt idx="128">
                  <c:v>2718200.0524241962</c:v>
                </c:pt>
                <c:pt idx="129">
                  <c:v>2718200.0524241962</c:v>
                </c:pt>
                <c:pt idx="130">
                  <c:v>2718200.0524241962</c:v>
                </c:pt>
                <c:pt idx="131">
                  <c:v>2718200.0524241962</c:v>
                </c:pt>
                <c:pt idx="132">
                  <c:v>2718200.0524241962</c:v>
                </c:pt>
                <c:pt idx="133">
                  <c:v>2718200.0524241962</c:v>
                </c:pt>
                <c:pt idx="134">
                  <c:v>2718200.0524241962</c:v>
                </c:pt>
                <c:pt idx="135">
                  <c:v>2718200.0524241962</c:v>
                </c:pt>
                <c:pt idx="136">
                  <c:v>2718200.0524241962</c:v>
                </c:pt>
                <c:pt idx="137">
                  <c:v>2718200.0524241962</c:v>
                </c:pt>
                <c:pt idx="138">
                  <c:v>2718200.0524241962</c:v>
                </c:pt>
                <c:pt idx="139">
                  <c:v>2718200.0524241962</c:v>
                </c:pt>
                <c:pt idx="140">
                  <c:v>2718200.0524241962</c:v>
                </c:pt>
                <c:pt idx="141">
                  <c:v>2718200.0524241962</c:v>
                </c:pt>
                <c:pt idx="142">
                  <c:v>2718200.0524241962</c:v>
                </c:pt>
                <c:pt idx="143">
                  <c:v>2718200.0524241962</c:v>
                </c:pt>
                <c:pt idx="144">
                  <c:v>2718200.0524241962</c:v>
                </c:pt>
                <c:pt idx="145">
                  <c:v>2718200.0524241962</c:v>
                </c:pt>
                <c:pt idx="146">
                  <c:v>2718200.0524241962</c:v>
                </c:pt>
                <c:pt idx="147">
                  <c:v>2718200.0524241962</c:v>
                </c:pt>
                <c:pt idx="148">
                  <c:v>2718200.0524241962</c:v>
                </c:pt>
                <c:pt idx="149">
                  <c:v>2718200.0524241962</c:v>
                </c:pt>
                <c:pt idx="150">
                  <c:v>2718200.0524241962</c:v>
                </c:pt>
                <c:pt idx="151">
                  <c:v>2718200.0524241962</c:v>
                </c:pt>
                <c:pt idx="152">
                  <c:v>2718200.0524241962</c:v>
                </c:pt>
                <c:pt idx="153">
                  <c:v>2718200.0524241962</c:v>
                </c:pt>
                <c:pt idx="154">
                  <c:v>2718200.0524241962</c:v>
                </c:pt>
                <c:pt idx="155">
                  <c:v>2718200.0524241962</c:v>
                </c:pt>
                <c:pt idx="156">
                  <c:v>2718200.0524241962</c:v>
                </c:pt>
                <c:pt idx="157">
                  <c:v>2718200.0524241962</c:v>
                </c:pt>
                <c:pt idx="158">
                  <c:v>2718200.0524241962</c:v>
                </c:pt>
                <c:pt idx="159">
                  <c:v>2718200.0524241962</c:v>
                </c:pt>
                <c:pt idx="160">
                  <c:v>2718200.0524241962</c:v>
                </c:pt>
                <c:pt idx="161">
                  <c:v>2718200.0524241962</c:v>
                </c:pt>
                <c:pt idx="162">
                  <c:v>2718200.0524241962</c:v>
                </c:pt>
                <c:pt idx="163">
                  <c:v>2718200.0524241962</c:v>
                </c:pt>
                <c:pt idx="164">
                  <c:v>2718200.0524241962</c:v>
                </c:pt>
                <c:pt idx="165">
                  <c:v>2718200.0524241962</c:v>
                </c:pt>
                <c:pt idx="166">
                  <c:v>2718200.0524241962</c:v>
                </c:pt>
                <c:pt idx="167">
                  <c:v>2718200.0524241962</c:v>
                </c:pt>
                <c:pt idx="168">
                  <c:v>2718200.0524241962</c:v>
                </c:pt>
                <c:pt idx="169">
                  <c:v>2718200.0524241962</c:v>
                </c:pt>
                <c:pt idx="170">
                  <c:v>2718200.0524241962</c:v>
                </c:pt>
                <c:pt idx="171">
                  <c:v>2718200.0524241962</c:v>
                </c:pt>
                <c:pt idx="172">
                  <c:v>2718200.0524241962</c:v>
                </c:pt>
                <c:pt idx="173">
                  <c:v>2718200.0524241962</c:v>
                </c:pt>
                <c:pt idx="174">
                  <c:v>2718200.0524241962</c:v>
                </c:pt>
                <c:pt idx="175">
                  <c:v>2718200.0524241962</c:v>
                </c:pt>
                <c:pt idx="176">
                  <c:v>2718200.0524241962</c:v>
                </c:pt>
                <c:pt idx="177">
                  <c:v>2718200.0524241962</c:v>
                </c:pt>
                <c:pt idx="178">
                  <c:v>2718200.0524241962</c:v>
                </c:pt>
                <c:pt idx="179">
                  <c:v>2718200.0524241962</c:v>
                </c:pt>
                <c:pt idx="180">
                  <c:v>2718200.0524241962</c:v>
                </c:pt>
                <c:pt idx="181">
                  <c:v>2718200.0524241962</c:v>
                </c:pt>
                <c:pt idx="182">
                  <c:v>2718200.0524241962</c:v>
                </c:pt>
                <c:pt idx="183">
                  <c:v>2718200.0524241962</c:v>
                </c:pt>
                <c:pt idx="184">
                  <c:v>2718200.0524241962</c:v>
                </c:pt>
                <c:pt idx="185">
                  <c:v>2718200.0524241962</c:v>
                </c:pt>
                <c:pt idx="186">
                  <c:v>2718200.0524241962</c:v>
                </c:pt>
                <c:pt idx="187">
                  <c:v>2718200.0524241962</c:v>
                </c:pt>
                <c:pt idx="188">
                  <c:v>2718200.0524241962</c:v>
                </c:pt>
                <c:pt idx="189">
                  <c:v>2718200.0524241962</c:v>
                </c:pt>
                <c:pt idx="190">
                  <c:v>2718200.0524241962</c:v>
                </c:pt>
                <c:pt idx="191">
                  <c:v>2718200.0524241962</c:v>
                </c:pt>
                <c:pt idx="192">
                  <c:v>2718200.0524241962</c:v>
                </c:pt>
                <c:pt idx="193">
                  <c:v>2718200.0524241962</c:v>
                </c:pt>
                <c:pt idx="194">
                  <c:v>2718200.0524241962</c:v>
                </c:pt>
                <c:pt idx="195">
                  <c:v>2718200.0524241962</c:v>
                </c:pt>
                <c:pt idx="196">
                  <c:v>2718200.0524241962</c:v>
                </c:pt>
                <c:pt idx="197">
                  <c:v>2718200.0524241962</c:v>
                </c:pt>
                <c:pt idx="198">
                  <c:v>2718200.0524241962</c:v>
                </c:pt>
                <c:pt idx="199">
                  <c:v>2718200.0524241962</c:v>
                </c:pt>
                <c:pt idx="200">
                  <c:v>2718200.0524241962</c:v>
                </c:pt>
                <c:pt idx="201">
                  <c:v>2718200.0524241962</c:v>
                </c:pt>
                <c:pt idx="202">
                  <c:v>2718200.0524241962</c:v>
                </c:pt>
                <c:pt idx="203">
                  <c:v>2718200.0524241962</c:v>
                </c:pt>
                <c:pt idx="204">
                  <c:v>2718200.0524241962</c:v>
                </c:pt>
                <c:pt idx="205">
                  <c:v>2718200.0524241962</c:v>
                </c:pt>
                <c:pt idx="206">
                  <c:v>2718200.0524241962</c:v>
                </c:pt>
                <c:pt idx="207">
                  <c:v>2718200.0524241962</c:v>
                </c:pt>
                <c:pt idx="208">
                  <c:v>2718200.0524241962</c:v>
                </c:pt>
                <c:pt idx="209">
                  <c:v>2718200.0524241962</c:v>
                </c:pt>
                <c:pt idx="210">
                  <c:v>2718200.0524241962</c:v>
                </c:pt>
                <c:pt idx="211">
                  <c:v>2718200.0524241962</c:v>
                </c:pt>
                <c:pt idx="212">
                  <c:v>2718200.0524241962</c:v>
                </c:pt>
                <c:pt idx="213">
                  <c:v>2718200.0524241962</c:v>
                </c:pt>
                <c:pt idx="214">
                  <c:v>2718200.0524241962</c:v>
                </c:pt>
                <c:pt idx="215">
                  <c:v>2718200.0524241962</c:v>
                </c:pt>
                <c:pt idx="216">
                  <c:v>2718200.0524241962</c:v>
                </c:pt>
                <c:pt idx="217">
                  <c:v>2718200.0524241962</c:v>
                </c:pt>
                <c:pt idx="218">
                  <c:v>2718200.0524241962</c:v>
                </c:pt>
                <c:pt idx="219">
                  <c:v>2718200.0524241962</c:v>
                </c:pt>
                <c:pt idx="220">
                  <c:v>2718200.0524241962</c:v>
                </c:pt>
                <c:pt idx="221">
                  <c:v>2718200.0524241962</c:v>
                </c:pt>
                <c:pt idx="222">
                  <c:v>2718200.0524241962</c:v>
                </c:pt>
                <c:pt idx="223">
                  <c:v>2718200.0524241962</c:v>
                </c:pt>
                <c:pt idx="224">
                  <c:v>2718200.0524241962</c:v>
                </c:pt>
                <c:pt idx="225">
                  <c:v>2718200.0524241962</c:v>
                </c:pt>
                <c:pt idx="226">
                  <c:v>2718200.0524241962</c:v>
                </c:pt>
                <c:pt idx="227">
                  <c:v>2718200.0524241962</c:v>
                </c:pt>
                <c:pt idx="228">
                  <c:v>2718200.0524241962</c:v>
                </c:pt>
                <c:pt idx="229">
                  <c:v>2718200.0524241962</c:v>
                </c:pt>
                <c:pt idx="230">
                  <c:v>2718200.0524241962</c:v>
                </c:pt>
                <c:pt idx="231">
                  <c:v>2718200.0524241962</c:v>
                </c:pt>
                <c:pt idx="232">
                  <c:v>2718200.0524241962</c:v>
                </c:pt>
                <c:pt idx="233">
                  <c:v>2718200.0524241962</c:v>
                </c:pt>
                <c:pt idx="234">
                  <c:v>2718200.0524241962</c:v>
                </c:pt>
                <c:pt idx="235">
                  <c:v>2718200.0524241962</c:v>
                </c:pt>
                <c:pt idx="236">
                  <c:v>2718200.0524241962</c:v>
                </c:pt>
                <c:pt idx="237">
                  <c:v>2718200.0524241962</c:v>
                </c:pt>
                <c:pt idx="238">
                  <c:v>2718200.0524241962</c:v>
                </c:pt>
                <c:pt idx="239">
                  <c:v>2718200.0524241962</c:v>
                </c:pt>
                <c:pt idx="240">
                  <c:v>2718200.0524241962</c:v>
                </c:pt>
                <c:pt idx="241">
                  <c:v>2718200.0524241962</c:v>
                </c:pt>
                <c:pt idx="242">
                  <c:v>2718200.0524241962</c:v>
                </c:pt>
                <c:pt idx="243">
                  <c:v>2718200.0524241962</c:v>
                </c:pt>
                <c:pt idx="244">
                  <c:v>2718200.0524241962</c:v>
                </c:pt>
                <c:pt idx="245">
                  <c:v>2718200.0524241962</c:v>
                </c:pt>
                <c:pt idx="246">
                  <c:v>2718200.0524241962</c:v>
                </c:pt>
                <c:pt idx="247">
                  <c:v>2718200.0524241962</c:v>
                </c:pt>
                <c:pt idx="248">
                  <c:v>2718200.0524241962</c:v>
                </c:pt>
                <c:pt idx="249">
                  <c:v>2718200.0524241962</c:v>
                </c:pt>
                <c:pt idx="250">
                  <c:v>2718200.0524241962</c:v>
                </c:pt>
                <c:pt idx="251">
                  <c:v>2718200.0524241962</c:v>
                </c:pt>
                <c:pt idx="252">
                  <c:v>2718200.0524241962</c:v>
                </c:pt>
                <c:pt idx="253">
                  <c:v>2718200.0524241962</c:v>
                </c:pt>
                <c:pt idx="254">
                  <c:v>2718200.0524241962</c:v>
                </c:pt>
                <c:pt idx="255">
                  <c:v>2718200.0524241962</c:v>
                </c:pt>
                <c:pt idx="256">
                  <c:v>2718200.0524241962</c:v>
                </c:pt>
                <c:pt idx="257">
                  <c:v>2718200.0524241962</c:v>
                </c:pt>
                <c:pt idx="258">
                  <c:v>2718200.0524241962</c:v>
                </c:pt>
                <c:pt idx="259">
                  <c:v>2718200.0524241962</c:v>
                </c:pt>
                <c:pt idx="260">
                  <c:v>2718200.0524241962</c:v>
                </c:pt>
                <c:pt idx="261">
                  <c:v>2718200.0524241962</c:v>
                </c:pt>
                <c:pt idx="262">
                  <c:v>2718200.0524241962</c:v>
                </c:pt>
                <c:pt idx="263">
                  <c:v>2718200.0524241962</c:v>
                </c:pt>
                <c:pt idx="264">
                  <c:v>2718200.0524241962</c:v>
                </c:pt>
                <c:pt idx="265">
                  <c:v>2718200.0524241962</c:v>
                </c:pt>
                <c:pt idx="266">
                  <c:v>2718200.0524241962</c:v>
                </c:pt>
                <c:pt idx="267">
                  <c:v>2718200.0524241962</c:v>
                </c:pt>
                <c:pt idx="268">
                  <c:v>2718200.0524241962</c:v>
                </c:pt>
                <c:pt idx="269">
                  <c:v>2718200.0524241962</c:v>
                </c:pt>
                <c:pt idx="270">
                  <c:v>2718200.0524241962</c:v>
                </c:pt>
                <c:pt idx="271">
                  <c:v>2718200.0524241962</c:v>
                </c:pt>
                <c:pt idx="272">
                  <c:v>2718200.0524241962</c:v>
                </c:pt>
                <c:pt idx="273">
                  <c:v>2718200.0524241962</c:v>
                </c:pt>
                <c:pt idx="274">
                  <c:v>2718200.0524241962</c:v>
                </c:pt>
                <c:pt idx="275">
                  <c:v>2718200.0524241962</c:v>
                </c:pt>
                <c:pt idx="276">
                  <c:v>2718200.0524241962</c:v>
                </c:pt>
                <c:pt idx="277">
                  <c:v>2718200.0524241962</c:v>
                </c:pt>
                <c:pt idx="278">
                  <c:v>2718200.0524241962</c:v>
                </c:pt>
                <c:pt idx="279">
                  <c:v>2718200.0524241962</c:v>
                </c:pt>
                <c:pt idx="280">
                  <c:v>2718200.0524241962</c:v>
                </c:pt>
                <c:pt idx="281">
                  <c:v>2718200.0524241962</c:v>
                </c:pt>
                <c:pt idx="282">
                  <c:v>2718200.0524241962</c:v>
                </c:pt>
                <c:pt idx="283">
                  <c:v>2718200.0524241962</c:v>
                </c:pt>
                <c:pt idx="284">
                  <c:v>2718200.0524241962</c:v>
                </c:pt>
                <c:pt idx="285">
                  <c:v>2718200.0524241962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88" t="s">
        <v>0</v>
      </c>
      <c r="C2" s="688"/>
      <c r="D2" s="688"/>
      <c r="E2" s="688"/>
      <c r="H2" s="689" t="s">
        <v>1</v>
      </c>
      <c r="I2" s="690"/>
      <c r="J2" s="690"/>
      <c r="K2" s="690"/>
      <c r="L2" s="690"/>
      <c r="M2" s="690"/>
      <c r="N2" s="690"/>
      <c r="O2" s="691"/>
    </row>
    <row r="3" spans="2:15">
      <c r="B3" s="614"/>
      <c r="H3" s="692"/>
      <c r="I3" s="693"/>
      <c r="J3" s="693"/>
      <c r="K3" s="693"/>
      <c r="L3" s="693"/>
      <c r="M3" s="693"/>
      <c r="N3" s="693"/>
      <c r="O3" s="694"/>
    </row>
    <row r="4" spans="2:15">
      <c r="B4" s="615" t="s">
        <v>2</v>
      </c>
      <c r="C4" s="616" t="str">
        <f>'Project Plan'!E2</f>
        <v>Swellengrebel</v>
      </c>
      <c r="H4" s="692"/>
      <c r="I4" s="693"/>
      <c r="J4" s="693"/>
      <c r="K4" s="693"/>
      <c r="L4" s="693"/>
      <c r="M4" s="693"/>
      <c r="N4" s="693"/>
      <c r="O4" s="694"/>
    </row>
    <row r="5" spans="2:15">
      <c r="B5" s="615" t="s">
        <v>3</v>
      </c>
      <c r="C5" s="616" t="s">
        <v>4</v>
      </c>
      <c r="H5" s="692"/>
      <c r="I5" s="693"/>
      <c r="J5" s="693"/>
      <c r="K5" s="693"/>
      <c r="L5" s="693"/>
      <c r="M5" s="693"/>
      <c r="N5" s="693"/>
      <c r="O5" s="694"/>
    </row>
    <row r="6" spans="2:15">
      <c r="B6" s="615" t="s">
        <v>5</v>
      </c>
      <c r="C6" s="616" t="s">
        <v>6</v>
      </c>
      <c r="H6" s="692"/>
      <c r="I6" s="693"/>
      <c r="J6" s="693"/>
      <c r="K6" s="693"/>
      <c r="L6" s="693"/>
      <c r="M6" s="693"/>
      <c r="N6" s="693"/>
      <c r="O6" s="694"/>
    </row>
    <row r="7" spans="2:15">
      <c r="B7" s="615" t="s">
        <v>7</v>
      </c>
      <c r="C7" s="616" t="s">
        <v>8</v>
      </c>
      <c r="H7" s="692"/>
      <c r="I7" s="693"/>
      <c r="J7" s="693"/>
      <c r="K7" s="693"/>
      <c r="L7" s="693"/>
      <c r="M7" s="693"/>
      <c r="N7" s="693"/>
      <c r="O7" s="694"/>
    </row>
    <row r="8" spans="2:15">
      <c r="B8" s="614"/>
      <c r="H8" s="692"/>
      <c r="I8" s="693"/>
      <c r="J8" s="693"/>
      <c r="K8" s="693"/>
      <c r="L8" s="693"/>
      <c r="M8" s="693"/>
      <c r="N8" s="693"/>
      <c r="O8" s="694"/>
    </row>
    <row r="9" spans="2:15">
      <c r="B9" s="698" t="s">
        <v>9</v>
      </c>
      <c r="C9" s="698"/>
      <c r="D9" s="698"/>
      <c r="E9" s="698"/>
      <c r="H9" s="692"/>
      <c r="I9" s="693"/>
      <c r="J9" s="693"/>
      <c r="K9" s="693"/>
      <c r="L9" s="693"/>
      <c r="M9" s="693"/>
      <c r="N9" s="693"/>
      <c r="O9" s="694"/>
    </row>
    <row r="10" spans="2:15" ht="15" thickBot="1">
      <c r="B10" s="698" t="s">
        <v>10</v>
      </c>
      <c r="C10" s="698"/>
      <c r="D10" s="698"/>
      <c r="E10" s="698"/>
      <c r="H10" s="695"/>
      <c r="I10" s="696"/>
      <c r="J10" s="696"/>
      <c r="K10" s="696"/>
      <c r="L10" s="696"/>
      <c r="M10" s="696"/>
      <c r="N10" s="696"/>
      <c r="O10" s="697"/>
    </row>
    <row r="11" spans="2:15">
      <c r="B11" s="617" t="s">
        <v>11</v>
      </c>
      <c r="C11" s="687"/>
      <c r="D11" s="687"/>
      <c r="E11" s="687"/>
    </row>
    <row r="12" spans="2:15">
      <c r="B12" s="617" t="s">
        <v>12</v>
      </c>
      <c r="C12" s="687"/>
      <c r="D12" s="687"/>
      <c r="E12" s="687"/>
    </row>
    <row r="13" spans="2:15">
      <c r="B13" s="617" t="s">
        <v>13</v>
      </c>
      <c r="C13" s="687"/>
      <c r="D13" s="687"/>
      <c r="E13" s="687"/>
    </row>
    <row r="14" spans="2:15">
      <c r="B14" s="617" t="s">
        <v>14</v>
      </c>
      <c r="C14" s="687"/>
      <c r="D14" s="687"/>
      <c r="E14" s="687"/>
    </row>
    <row r="15" spans="2:15">
      <c r="B15" s="617" t="s">
        <v>15</v>
      </c>
      <c r="C15" s="687"/>
      <c r="D15" s="687"/>
      <c r="E15" s="687"/>
    </row>
    <row r="16" spans="2:15" ht="15" customHeight="1">
      <c r="B16" s="617" t="s">
        <v>16</v>
      </c>
      <c r="C16" s="687"/>
      <c r="D16" s="687"/>
      <c r="E16" s="687"/>
    </row>
    <row r="17" spans="2:5">
      <c r="B17" s="614"/>
    </row>
    <row r="18" spans="2:5">
      <c r="B18" s="699" t="s">
        <v>17</v>
      </c>
      <c r="C18" s="699"/>
      <c r="D18" s="699"/>
      <c r="E18" s="699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88" t="s">
        <v>22</v>
      </c>
      <c r="C2" s="688"/>
      <c r="D2" s="688"/>
      <c r="E2" s="688"/>
      <c r="H2" s="689" t="s">
        <v>23</v>
      </c>
      <c r="I2" s="690"/>
      <c r="J2" s="690"/>
      <c r="K2" s="690"/>
      <c r="L2" s="690"/>
      <c r="M2" s="690"/>
      <c r="N2" s="690"/>
      <c r="O2" s="691"/>
    </row>
    <row r="3" spans="2:15">
      <c r="B3" s="614"/>
      <c r="H3" s="692"/>
      <c r="I3" s="693"/>
      <c r="J3" s="693"/>
      <c r="K3" s="693"/>
      <c r="L3" s="693"/>
      <c r="M3" s="693"/>
      <c r="N3" s="693"/>
      <c r="O3" s="694"/>
    </row>
    <row r="4" spans="2:15">
      <c r="B4" s="615" t="s">
        <v>2</v>
      </c>
      <c r="C4" s="616" t="str">
        <f>'Project Plan'!E2</f>
        <v>Swellengrebel</v>
      </c>
      <c r="H4" s="692"/>
      <c r="I4" s="693"/>
      <c r="J4" s="693"/>
      <c r="K4" s="693"/>
      <c r="L4" s="693"/>
      <c r="M4" s="693"/>
      <c r="N4" s="693"/>
      <c r="O4" s="694"/>
    </row>
    <row r="5" spans="2:15">
      <c r="B5" s="615" t="s">
        <v>24</v>
      </c>
      <c r="C5" s="616"/>
      <c r="H5" s="692"/>
      <c r="I5" s="693"/>
      <c r="J5" s="693"/>
      <c r="K5" s="693"/>
      <c r="L5" s="693"/>
      <c r="M5" s="693"/>
      <c r="N5" s="693"/>
      <c r="O5" s="694"/>
    </row>
    <row r="6" spans="2:15">
      <c r="B6" s="615" t="s">
        <v>5</v>
      </c>
      <c r="C6" s="616" t="s">
        <v>6</v>
      </c>
      <c r="H6" s="692"/>
      <c r="I6" s="693"/>
      <c r="J6" s="693"/>
      <c r="K6" s="693"/>
      <c r="L6" s="693"/>
      <c r="M6" s="693"/>
      <c r="N6" s="693"/>
      <c r="O6" s="694"/>
    </row>
    <row r="7" spans="2:15">
      <c r="B7" s="615" t="s">
        <v>25</v>
      </c>
      <c r="C7" s="616" t="str">
        <f>'Project Plan'!E5</f>
        <v>Justin Franke</v>
      </c>
      <c r="H7" s="692"/>
      <c r="I7" s="693"/>
      <c r="J7" s="693"/>
      <c r="K7" s="693"/>
      <c r="L7" s="693"/>
      <c r="M7" s="693"/>
      <c r="N7" s="693"/>
      <c r="O7" s="694"/>
    </row>
    <row r="8" spans="2:15">
      <c r="B8" s="615" t="s">
        <v>26</v>
      </c>
      <c r="C8" s="616"/>
      <c r="H8" s="692"/>
      <c r="I8" s="693"/>
      <c r="J8" s="693"/>
      <c r="K8" s="693"/>
      <c r="L8" s="693"/>
      <c r="M8" s="693"/>
      <c r="N8" s="693"/>
      <c r="O8" s="694"/>
    </row>
    <row r="9" spans="2:15">
      <c r="B9" s="614"/>
      <c r="H9" s="692"/>
      <c r="I9" s="693"/>
      <c r="J9" s="693"/>
      <c r="K9" s="693"/>
      <c r="L9" s="693"/>
      <c r="M9" s="693"/>
      <c r="N9" s="693"/>
      <c r="O9" s="694"/>
    </row>
    <row r="10" spans="2:15">
      <c r="B10" s="698" t="s">
        <v>9</v>
      </c>
      <c r="C10" s="698"/>
      <c r="D10" s="698"/>
      <c r="E10" s="698"/>
      <c r="H10" s="692"/>
      <c r="I10" s="693"/>
      <c r="J10" s="693"/>
      <c r="K10" s="693"/>
      <c r="L10" s="693"/>
      <c r="M10" s="693"/>
      <c r="N10" s="693"/>
      <c r="O10" s="694"/>
    </row>
    <row r="11" spans="2:15" ht="15" thickBot="1">
      <c r="B11" s="698" t="s">
        <v>10</v>
      </c>
      <c r="C11" s="698"/>
      <c r="D11" s="698"/>
      <c r="E11" s="698"/>
      <c r="H11" s="695"/>
      <c r="I11" s="696"/>
      <c r="J11" s="696"/>
      <c r="K11" s="696"/>
      <c r="L11" s="696"/>
      <c r="M11" s="696"/>
      <c r="N11" s="696"/>
      <c r="O11" s="697"/>
    </row>
    <row r="12" spans="2:15" ht="25">
      <c r="B12" s="617" t="s">
        <v>27</v>
      </c>
      <c r="C12" s="687"/>
      <c r="D12" s="687"/>
      <c r="E12" s="687"/>
    </row>
    <row r="13" spans="2:15">
      <c r="B13" s="617" t="s">
        <v>28</v>
      </c>
      <c r="C13" s="687"/>
      <c r="D13" s="687"/>
      <c r="E13" s="687"/>
    </row>
    <row r="14" spans="2:15">
      <c r="B14" s="617" t="s">
        <v>29</v>
      </c>
      <c r="C14" s="687"/>
      <c r="D14" s="687"/>
      <c r="E14" s="687"/>
    </row>
    <row r="15" spans="2:15">
      <c r="B15" s="617" t="s">
        <v>30</v>
      </c>
      <c r="C15" s="687"/>
      <c r="D15" s="687"/>
      <c r="E15" s="687"/>
    </row>
    <row r="16" spans="2:15" ht="25">
      <c r="B16" s="617" t="s">
        <v>31</v>
      </c>
      <c r="C16" s="687"/>
      <c r="D16" s="687"/>
      <c r="E16" s="687"/>
    </row>
    <row r="17" spans="2:5">
      <c r="B17" s="617" t="s">
        <v>32</v>
      </c>
      <c r="C17" s="687"/>
      <c r="D17" s="687"/>
      <c r="E17" s="687"/>
    </row>
    <row r="18" spans="2:5">
      <c r="B18" s="617" t="s">
        <v>33</v>
      </c>
      <c r="C18" s="687"/>
      <c r="D18" s="687"/>
      <c r="E18" s="687"/>
    </row>
    <row r="19" spans="2:5">
      <c r="B19" s="617" t="s">
        <v>34</v>
      </c>
      <c r="C19" s="687"/>
      <c r="D19" s="687"/>
      <c r="E19" s="687"/>
    </row>
    <row r="20" spans="2:5">
      <c r="B20" s="617" t="s">
        <v>35</v>
      </c>
      <c r="C20" s="687"/>
      <c r="D20" s="687"/>
      <c r="E20" s="687"/>
    </row>
    <row r="21" spans="2:5">
      <c r="B21" s="617" t="s">
        <v>36</v>
      </c>
      <c r="C21" s="687"/>
      <c r="D21" s="687"/>
      <c r="E21" s="687"/>
    </row>
    <row r="22" spans="2:5" ht="15" customHeight="1">
      <c r="B22" s="617" t="s">
        <v>16</v>
      </c>
      <c r="C22" s="687"/>
      <c r="D22" s="687"/>
      <c r="E22" s="687"/>
    </row>
    <row r="23" spans="2:5">
      <c r="B23" s="614"/>
    </row>
    <row r="24" spans="2:5">
      <c r="B24" s="699" t="s">
        <v>17</v>
      </c>
      <c r="C24" s="699"/>
      <c r="D24" s="699"/>
      <c r="E24" s="699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702"/>
      <c r="C1" s="703"/>
      <c r="D1" s="703"/>
      <c r="E1" s="703"/>
      <c r="F1" s="700" t="s">
        <v>37</v>
      </c>
      <c r="G1" s="700"/>
      <c r="H1" s="700"/>
      <c r="I1" s="700"/>
      <c r="J1" s="700"/>
      <c r="K1" s="701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04" t="s">
        <v>102</v>
      </c>
      <c r="C2" s="705"/>
      <c r="D2" s="705"/>
      <c r="E2" s="705"/>
      <c r="F2" s="70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4" t="s">
        <v>111</v>
      </c>
      <c r="C16" s="705"/>
      <c r="D16" s="705"/>
      <c r="E16" s="705"/>
      <c r="F16" s="70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Normal="100" workbookViewId="0">
      <selection activeCell="J14" sqref="J14"/>
    </sheetView>
  </sheetViews>
  <sheetFormatPr defaultColWidth="8.453125" defaultRowHeight="14"/>
  <cols>
    <col min="1" max="1" width="1.453125" style="26" customWidth="1"/>
    <col min="2" max="2" width="6.453125" style="83" customWidth="1"/>
    <col min="3" max="3" width="44.8164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707" t="s">
        <v>116</v>
      </c>
      <c r="J2" s="708"/>
      <c r="K2" s="587">
        <f>NETWORKDAYS(I19,K40,Data!C3:C60)</f>
        <v>27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350</v>
      </c>
      <c r="F3" s="93"/>
      <c r="G3" s="94"/>
      <c r="H3" s="94"/>
      <c r="I3" s="707" t="s">
        <v>118</v>
      </c>
      <c r="J3" s="708"/>
      <c r="K3" s="587">
        <f>K2/5</f>
        <v>5.4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707" t="s">
        <v>121</v>
      </c>
      <c r="J4" s="708"/>
      <c r="K4" s="588">
        <f>E3/K3</f>
        <v>64.81481481481481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125</v>
      </c>
      <c r="E7" s="625" t="s">
        <v>126</v>
      </c>
      <c r="F7" s="80"/>
      <c r="G7" s="97"/>
      <c r="J7" s="27"/>
      <c r="Q7" s="1"/>
    </row>
    <row r="8" spans="2:28" ht="30" customHeight="1">
      <c r="B8" s="711" t="s">
        <v>127</v>
      </c>
      <c r="C8" s="712" t="s">
        <v>128</v>
      </c>
      <c r="D8" s="126"/>
      <c r="E8" s="713" t="s">
        <v>129</v>
      </c>
      <c r="F8" s="148" t="s">
        <v>130</v>
      </c>
      <c r="G8" s="713" t="s">
        <v>131</v>
      </c>
      <c r="H8" s="149"/>
      <c r="I8" s="713" t="s">
        <v>132</v>
      </c>
      <c r="J8" s="148" t="s">
        <v>130</v>
      </c>
      <c r="K8" s="713" t="s">
        <v>133</v>
      </c>
      <c r="M8" s="584" t="s">
        <v>44</v>
      </c>
      <c r="N8" s="585" t="s">
        <v>134</v>
      </c>
      <c r="O8" s="709" t="s">
        <v>135</v>
      </c>
      <c r="Z8" s="26"/>
      <c r="AA8" s="26"/>
      <c r="AB8" s="26"/>
    </row>
    <row r="9" spans="2:28">
      <c r="B9" s="711"/>
      <c r="C9" s="712"/>
      <c r="D9" s="126"/>
      <c r="E9" s="713"/>
      <c r="F9" s="40">
        <f>G40-E20</f>
        <v>37</v>
      </c>
      <c r="G9" s="713"/>
      <c r="H9" s="149"/>
      <c r="I9" s="713"/>
      <c r="J9" s="41">
        <f>K40-I20</f>
        <v>42</v>
      </c>
      <c r="K9" s="713"/>
      <c r="M9" s="265">
        <f>AVERAGE(M11,M19,M22,M29,M36,M40,M49,M45)</f>
        <v>1.953125E-3</v>
      </c>
      <c r="N9" s="265">
        <f>AVERAGE(N11,N19,N22,N29,N36,N40,N49,N45)</f>
        <v>1.953125E-3</v>
      </c>
      <c r="O9" s="710"/>
      <c r="S9" s="586">
        <f ca="1">TODAY()</f>
        <v>46065</v>
      </c>
      <c r="T9" s="586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46036</v>
      </c>
      <c r="F11" s="572">
        <f>G11-E11</f>
        <v>28</v>
      </c>
      <c r="G11" s="571">
        <f>MAX(G12:G18)</f>
        <v>46064</v>
      </c>
      <c r="H11" s="573"/>
      <c r="I11" s="571">
        <f>MIN(I12:I18)</f>
        <v>46036</v>
      </c>
      <c r="J11" s="572">
        <f>K11-I11</f>
        <v>69</v>
      </c>
      <c r="K11" s="571">
        <f>MAX(K12:K18)</f>
        <v>46105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 t="s">
        <v>143</v>
      </c>
      <c r="C13" s="158" t="s">
        <v>142</v>
      </c>
      <c r="D13" s="126"/>
      <c r="E13" s="576"/>
      <c r="F13" s="577"/>
      <c r="G13" s="576"/>
      <c r="H13" s="578"/>
      <c r="I13" s="576">
        <f>I12</f>
        <v>46036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0.44615384615384618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145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K13-15</f>
        <v>46086</v>
      </c>
      <c r="J14" s="577">
        <v>10</v>
      </c>
      <c r="K14" s="576">
        <f>WORKDAY.INTL(I14,J14,1,Data!$C$3:$C$60)</f>
        <v>46100</v>
      </c>
      <c r="L14" s="77"/>
      <c r="M14" s="579">
        <v>0</v>
      </c>
      <c r="N14" s="579">
        <f t="shared" ca="1" si="0"/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69</v>
      </c>
      <c r="V14" s="538">
        <f>K11</f>
        <v>46105</v>
      </c>
    </row>
    <row r="15" spans="2:28" s="26" customFormat="1">
      <c r="B15" s="157" t="s">
        <v>147</v>
      </c>
      <c r="C15" s="158" t="s">
        <v>146</v>
      </c>
      <c r="D15" s="126"/>
      <c r="E15" s="576">
        <f>WORKDAY.INTL(G14,0,1,Data!$C$3:$C$60)</f>
        <v>46062</v>
      </c>
      <c r="F15" s="577">
        <v>2</v>
      </c>
      <c r="G15" s="576">
        <f>WORKDAY.INTL(E15,F15,1,Data!$C$3:$C$60)</f>
        <v>46064</v>
      </c>
      <c r="H15" s="578"/>
      <c r="I15" s="576">
        <f>WORKDAY.INTL(K14,0,1,Data!$C$3:$C$60)</f>
        <v>46100</v>
      </c>
      <c r="J15" s="577">
        <v>2</v>
      </c>
      <c r="K15" s="576">
        <f>WORKDAY.INTL(I15,J15,1,Data!$C$3:$C$60)</f>
        <v>46104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46105</v>
      </c>
      <c r="U15" s="539">
        <f>J19</f>
        <v>1</v>
      </c>
      <c r="V15" s="538">
        <f>K19</f>
        <v>46106</v>
      </c>
    </row>
    <row r="16" spans="2:28" s="26" customFormat="1">
      <c r="B16" s="157" t="s">
        <v>149</v>
      </c>
      <c r="C16" s="158" t="s">
        <v>148</v>
      </c>
      <c r="D16" s="126"/>
      <c r="E16" s="576">
        <f>WORKDAY.INTL(E14,0,1,Data!$C$3:$C$60)+14</f>
        <v>46055</v>
      </c>
      <c r="F16" s="577">
        <v>3</v>
      </c>
      <c r="G16" s="576">
        <f>WORKDAY.INTL(E16,F16,1,Data!$C$3:$C$60)</f>
        <v>46058</v>
      </c>
      <c r="H16" s="578"/>
      <c r="I16" s="576">
        <f>WORKDAY.INTL(I14,0,1,Data!$C$3:$C$60)+14</f>
        <v>46100</v>
      </c>
      <c r="J16" s="577">
        <v>3</v>
      </c>
      <c r="K16" s="576">
        <f>WORKDAY.INTL(I16,J16,1,Data!$C$3:$C$60)</f>
        <v>46105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46086</v>
      </c>
      <c r="U16" s="539">
        <f>J22</f>
        <v>43</v>
      </c>
      <c r="V16" s="538">
        <f>K22</f>
        <v>46129</v>
      </c>
    </row>
    <row r="17" spans="2:28" s="26" customFormat="1">
      <c r="B17" s="157" t="s">
        <v>416</v>
      </c>
      <c r="C17" s="158" t="s">
        <v>150</v>
      </c>
      <c r="D17" s="126"/>
      <c r="E17" s="576">
        <f>WORKDAY.INTL(E16,0,1,Data!$C$3:$C$60)-4</f>
        <v>46051</v>
      </c>
      <c r="F17" s="577">
        <v>3</v>
      </c>
      <c r="G17" s="576">
        <f>WORKDAY.INTL(E17,F17,1,Data!$C$3:$C$60)</f>
        <v>46056</v>
      </c>
      <c r="H17" s="578"/>
      <c r="I17" s="576">
        <f>WORKDAY.INTL(I16,0,1,Data!$C$3:$C$60)-4</f>
        <v>46096</v>
      </c>
      <c r="J17" s="577">
        <v>3</v>
      </c>
      <c r="K17" s="576">
        <f>WORKDAY.INTL(I17,J17,1,Data!$C$3:$C$60)</f>
        <v>46099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46105</v>
      </c>
      <c r="U17" s="539">
        <f>J29</f>
        <v>29</v>
      </c>
      <c r="V17" s="538">
        <f>K29</f>
        <v>46134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46105</v>
      </c>
      <c r="U18" s="539">
        <f>J36</f>
        <v>21</v>
      </c>
      <c r="V18" s="538">
        <f>K36</f>
        <v>46126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46083</v>
      </c>
      <c r="F19" s="572">
        <f>G19-E19</f>
        <v>1</v>
      </c>
      <c r="G19" s="571">
        <f>MAX(G20:G21)</f>
        <v>46084</v>
      </c>
      <c r="H19" s="573"/>
      <c r="I19" s="571">
        <f>MIN(I20:I21)</f>
        <v>46105</v>
      </c>
      <c r="J19" s="572">
        <f>K19-I19</f>
        <v>1</v>
      </c>
      <c r="K19" s="571">
        <f>MAX(K20:K21)</f>
        <v>46106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46134</v>
      </c>
      <c r="U19" s="539">
        <f>J40</f>
        <v>13</v>
      </c>
      <c r="V19" s="538">
        <f>K40</f>
        <v>46147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46083</v>
      </c>
      <c r="F20" s="577">
        <v>1</v>
      </c>
      <c r="G20" s="576">
        <f>E20+F20</f>
        <v>46084</v>
      </c>
      <c r="H20" s="578"/>
      <c r="I20" s="576">
        <f>K11</f>
        <v>46105</v>
      </c>
      <c r="J20" s="577">
        <v>1</v>
      </c>
      <c r="K20" s="576">
        <f>I20+J20</f>
        <v>46106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46136</v>
      </c>
      <c r="U20" s="539">
        <f>J45</f>
        <v>12</v>
      </c>
      <c r="V20" s="538">
        <f>K45</f>
        <v>46148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46142</v>
      </c>
      <c r="U21" s="539">
        <f>J49</f>
        <v>19</v>
      </c>
      <c r="V21" s="538">
        <f>K49</f>
        <v>46161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57</v>
      </c>
      <c r="G22" s="571">
        <f>MAX(G23:G28)</f>
        <v>46105</v>
      </c>
      <c r="H22" s="581"/>
      <c r="I22" s="571">
        <f>MIN(I23:I28)</f>
        <v>46086</v>
      </c>
      <c r="J22" s="572">
        <f>K22-I22</f>
        <v>43</v>
      </c>
      <c r="K22" s="571">
        <f>MAX(K23:K28)</f>
        <v>46129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46084</v>
      </c>
      <c r="F23" s="577">
        <v>1</v>
      </c>
      <c r="G23" s="576">
        <f>WORKDAY.INTL(E23,F23,1,Data!$C$3:$C$60)</f>
        <v>46085</v>
      </c>
      <c r="H23" s="578"/>
      <c r="I23" s="576">
        <f>WORKDAY.INTL(K20,0,1,Data!$C$3:$C$60)</f>
        <v>46106</v>
      </c>
      <c r="J23" s="577">
        <v>1</v>
      </c>
      <c r="K23" s="576">
        <f>WORKDAY.INTL(I23,J23,1,Data!$C$3:$C$60)</f>
        <v>46107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46085</v>
      </c>
      <c r="F24" s="577">
        <v>1</v>
      </c>
      <c r="G24" s="576">
        <f>WORKDAY.INTL(E24,F24,1,Data!$C$3:$C$60)</f>
        <v>46086</v>
      </c>
      <c r="H24" s="578"/>
      <c r="I24" s="576">
        <f>WORKDAY.INTL(K23,0,1,Data!$C$3:$C$60)</f>
        <v>46107</v>
      </c>
      <c r="J24" s="577">
        <v>1</v>
      </c>
      <c r="K24" s="576">
        <f>WORKDAY.INTL(I24,J24,1,Data!$C$3:$C$60)</f>
        <v>46108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46086</v>
      </c>
      <c r="J25" s="577">
        <v>25</v>
      </c>
      <c r="K25" s="576">
        <f>WORKDAY.INTL(I25,J25,1,Data!$C$3:$C$60)</f>
        <v>46125</v>
      </c>
      <c r="L25" s="77"/>
      <c r="M25" s="579">
        <v>0</v>
      </c>
      <c r="N25" s="579">
        <f t="shared" ca="1" si="2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46084</v>
      </c>
      <c r="F26" s="577">
        <v>15</v>
      </c>
      <c r="G26" s="576">
        <f>WORKDAY.INTL(E26,F26,1,Data!$C$3:$C$60)</f>
        <v>46105</v>
      </c>
      <c r="H26" s="578"/>
      <c r="I26" s="576">
        <f>I23</f>
        <v>46106</v>
      </c>
      <c r="J26" s="577">
        <v>15</v>
      </c>
      <c r="K26" s="576">
        <f>WORKDAY.INTL(I26,J26,1,Data!$C$3:$C$60)</f>
        <v>46129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46084</v>
      </c>
      <c r="F27" s="577">
        <v>1</v>
      </c>
      <c r="G27" s="576">
        <f>WORKDAY.INTL(E27,F27,1,Data!$C$3:$C$60)</f>
        <v>46085</v>
      </c>
      <c r="H27" s="578"/>
      <c r="I27" s="576">
        <f>WORKDAY.INTL(I26,0,1,Data!$C$3:$C$60)</f>
        <v>46106</v>
      </c>
      <c r="J27" s="577">
        <v>1</v>
      </c>
      <c r="K27" s="576">
        <f>WORKDAY.INTL(I27,J27,1,Data!$C$3:$C$60)</f>
        <v>46107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46083</v>
      </c>
      <c r="F29" s="572">
        <f>G29-E29</f>
        <v>24</v>
      </c>
      <c r="G29" s="571">
        <f>MAX(G31:G35)</f>
        <v>46107</v>
      </c>
      <c r="H29" s="581"/>
      <c r="I29" s="571">
        <f>MIN(I31:I35)</f>
        <v>46105</v>
      </c>
      <c r="J29" s="572">
        <f>K29-I29</f>
        <v>29</v>
      </c>
      <c r="K29" s="571">
        <f>MAX(K31:K35)</f>
        <v>46134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46083</v>
      </c>
      <c r="F31" s="577">
        <v>1</v>
      </c>
      <c r="G31" s="576">
        <f>WORKDAY.INTL(E31,F31,1,Data!$C$3:$C$60)</f>
        <v>46084</v>
      </c>
      <c r="H31" s="578"/>
      <c r="I31" s="576">
        <f>I20</f>
        <v>46105</v>
      </c>
      <c r="J31" s="577">
        <v>1</v>
      </c>
      <c r="K31" s="576">
        <f>WORKDAY.INTL(I31,J31,1,Data!$C$3:$C$60)</f>
        <v>46106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46084</v>
      </c>
      <c r="F32" s="577">
        <v>3</v>
      </c>
      <c r="G32" s="576">
        <f>WORKDAY.INTL(E32,F32,1,Data!$C$3:$C$60)</f>
        <v>46087</v>
      </c>
      <c r="H32" s="578"/>
      <c r="I32" s="576">
        <f>WORKDAY.INTL(K31,0,1,Data!$C$3:$C$60)</f>
        <v>46106</v>
      </c>
      <c r="J32" s="577">
        <v>3</v>
      </c>
      <c r="K32" s="576">
        <f>WORKDAY.INTL(I32,J32,1,Data!$C$3:$C$60)</f>
        <v>46111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46083</v>
      </c>
      <c r="F33" s="577">
        <v>1</v>
      </c>
      <c r="G33" s="576">
        <f>WORKDAY.INTL(E33,F33,1,Data!$C$3:$C$60)</f>
        <v>46084</v>
      </c>
      <c r="H33" s="578"/>
      <c r="I33" s="576">
        <f>I31</f>
        <v>46105</v>
      </c>
      <c r="J33" s="577">
        <v>1</v>
      </c>
      <c r="K33" s="576">
        <f>WORKDAY.INTL(I33,J33,1,Data!$C$3:$C$60)</f>
        <v>46106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46097</v>
      </c>
      <c r="F34" s="577">
        <v>8</v>
      </c>
      <c r="G34" s="582">
        <f>WORKDAY.INTL(E34,F34,1,Data!$C$3:$C$60)</f>
        <v>46107</v>
      </c>
      <c r="H34" s="578"/>
      <c r="I34" s="582">
        <f>WORKDAY.INTL(K38,0,1,Data!$C$3:$C$60)-3</f>
        <v>46123</v>
      </c>
      <c r="J34" s="577">
        <v>8</v>
      </c>
      <c r="K34" s="582">
        <f>WORKDAY.INTL(I34,J34,1,Data!$C$3:$C$60)</f>
        <v>46134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46083</v>
      </c>
      <c r="F36" s="572">
        <f>G36-E36</f>
        <v>17</v>
      </c>
      <c r="G36" s="571">
        <f>MAX(G37:G39)</f>
        <v>46100</v>
      </c>
      <c r="H36" s="573"/>
      <c r="I36" s="571">
        <f>MIN(I37:I39)</f>
        <v>46105</v>
      </c>
      <c r="J36" s="572">
        <f>K36-I36</f>
        <v>21</v>
      </c>
      <c r="K36" s="571">
        <f>MAX(K37:K39)</f>
        <v>46126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46083</v>
      </c>
      <c r="F37" s="577">
        <v>1</v>
      </c>
      <c r="G37" s="576">
        <f>WORKDAY.INTL(E37,F37,1,Data!$C$3:$C$60)</f>
        <v>46084</v>
      </c>
      <c r="H37" s="578"/>
      <c r="I37" s="582">
        <f>WORKDAY.INTL(I20,0,1,Data!$C$3:$C$60)</f>
        <v>46105</v>
      </c>
      <c r="J37" s="577">
        <v>1</v>
      </c>
      <c r="K37" s="576">
        <f>WORKDAY.INTL(I37,J37,1,Data!$C$3:$C$60)</f>
        <v>46106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46087</v>
      </c>
      <c r="F38" s="577">
        <v>9</v>
      </c>
      <c r="G38" s="576">
        <f>WORKDAY.INTL(E38,F38,1,Data!$C$3:$C$60)</f>
        <v>46100</v>
      </c>
      <c r="H38" s="578"/>
      <c r="I38" s="582">
        <f>K32</f>
        <v>46111</v>
      </c>
      <c r="J38" s="577">
        <v>9</v>
      </c>
      <c r="K38" s="576">
        <f>WORKDAY.INTL(I38,J38,1,Data!$C$3:$C$60)</f>
        <v>46126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46107</v>
      </c>
      <c r="F40" s="572">
        <f>G40-E40</f>
        <v>13</v>
      </c>
      <c r="G40" s="571">
        <f>MAX(G41:G44)</f>
        <v>46120</v>
      </c>
      <c r="H40" s="573"/>
      <c r="I40" s="571">
        <f>MIN(I41:I44)</f>
        <v>46134</v>
      </c>
      <c r="J40" s="572">
        <f>K40-I40</f>
        <v>13</v>
      </c>
      <c r="K40" s="571">
        <f>MAX(K41:K44)</f>
        <v>46147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46107</v>
      </c>
      <c r="F41" s="577">
        <v>1</v>
      </c>
      <c r="G41" s="582">
        <f>WORKDAY.INTL(E41,F41,1,Data!$C$3:$C$60)</f>
        <v>46108</v>
      </c>
      <c r="H41" s="578"/>
      <c r="I41" s="582">
        <f>WORKDAY.INTL(MAX(K22,K29,K36),0,1,Data!$C$3:$C$60)</f>
        <v>46134</v>
      </c>
      <c r="J41" s="577">
        <v>1</v>
      </c>
      <c r="K41" s="582">
        <f>WORKDAY.INTL(I41,J41,1,Data!$C$3:$C$60)</f>
        <v>46135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46108</v>
      </c>
      <c r="F42" s="577">
        <v>1</v>
      </c>
      <c r="G42" s="582">
        <f>WORKDAY.INTL(E42,F42,1,Data!$C$3:$C$60)</f>
        <v>46111</v>
      </c>
      <c r="H42" s="578"/>
      <c r="I42" s="582">
        <f>WORKDAY.INTL(K41,0,1,Data!$C$3:$C$60)</f>
        <v>46135</v>
      </c>
      <c r="J42" s="577">
        <v>1</v>
      </c>
      <c r="K42" s="582">
        <f>WORKDAY.INTL(I42,J42,1,Data!$C$3:$C$60)</f>
        <v>46136</v>
      </c>
      <c r="L42" s="77"/>
      <c r="M42" s="579">
        <v>0</v>
      </c>
      <c r="N42" s="579">
        <f t="shared" ca="1" si="5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46111</v>
      </c>
      <c r="F43" s="577">
        <v>5</v>
      </c>
      <c r="G43" s="582">
        <f>WORKDAY.INTL(E43,F43,1,Data!$C$3:$C$60)</f>
        <v>46120</v>
      </c>
      <c r="H43" s="578"/>
      <c r="I43" s="582">
        <f>WORKDAY.INTL(K42,0,1,Data!$C$3:$C$60)</f>
        <v>46136</v>
      </c>
      <c r="J43" s="577">
        <v>5</v>
      </c>
      <c r="K43" s="582">
        <f>WORKDAY.INTL(I43,J43,1,Data!$C$3:$C$60)</f>
        <v>46147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46111</v>
      </c>
      <c r="F45" s="572">
        <f>G45-E45</f>
        <v>10</v>
      </c>
      <c r="G45" s="571">
        <f>MAX(G46:G48)</f>
        <v>46121</v>
      </c>
      <c r="H45" s="573"/>
      <c r="I45" s="571">
        <f>MIN(I46:I48)</f>
        <v>46136</v>
      </c>
      <c r="J45" s="572">
        <f>K45-I45</f>
        <v>12</v>
      </c>
      <c r="K45" s="571">
        <f>MAX(K46:K48)</f>
        <v>46148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46111</v>
      </c>
      <c r="F46" s="577">
        <v>3</v>
      </c>
      <c r="G46" s="582">
        <f>WORKDAY.INTL(E46,F46,1,Data!$C$3:$C$60)</f>
        <v>46114</v>
      </c>
      <c r="H46" s="578"/>
      <c r="I46" s="582">
        <f>WORKDAY.INTL(I43,0,1,Data!$C$3:$C$60)</f>
        <v>46136</v>
      </c>
      <c r="J46" s="577">
        <v>3</v>
      </c>
      <c r="K46" s="582">
        <f>WORKDAY.INTL(I46,J46,1,Data!$C$3:$C$60)</f>
        <v>46142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46114</v>
      </c>
      <c r="F47" s="577">
        <v>3</v>
      </c>
      <c r="G47" s="582">
        <f>WORKDAY.INTL(E47,F47,1,Data!$C$3:$C$60)</f>
        <v>46121</v>
      </c>
      <c r="H47" s="578"/>
      <c r="I47" s="582">
        <f>K46</f>
        <v>46142</v>
      </c>
      <c r="J47" s="577">
        <v>3</v>
      </c>
      <c r="K47" s="582">
        <f>WORKDAY.INTL(I47,J47,1,Data!$C$3:$C$60)</f>
        <v>46148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46114</v>
      </c>
      <c r="F49" s="572">
        <f>G49-E49</f>
        <v>20</v>
      </c>
      <c r="G49" s="571">
        <f>MAX(G50:G52)</f>
        <v>46134</v>
      </c>
      <c r="H49" s="573"/>
      <c r="I49" s="571">
        <f>MIN(I50:I52)</f>
        <v>46142</v>
      </c>
      <c r="J49" s="572">
        <f>K49-I49</f>
        <v>19</v>
      </c>
      <c r="K49" s="571">
        <f>MAX(K50:K52)</f>
        <v>46161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46114</v>
      </c>
      <c r="F50" s="577">
        <v>7</v>
      </c>
      <c r="G50" s="582">
        <f>WORKDAY.INTL(E50,F50,1,Data!$C$3:$C$60)</f>
        <v>46127</v>
      </c>
      <c r="H50" s="578"/>
      <c r="I50" s="582">
        <f>WORKDAY.INTL(I47,0,1,Data!$C$3:$C$60)</f>
        <v>46142</v>
      </c>
      <c r="J50" s="577">
        <v>7</v>
      </c>
      <c r="K50" s="582">
        <f>WORKDAY.INTL(I50,J50,1,Data!$C$3:$C$60)</f>
        <v>46154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46127</v>
      </c>
      <c r="F51" s="577">
        <v>1</v>
      </c>
      <c r="G51" s="582">
        <f>WORKDAY.INTL(E51,F51,1,Data!$C$3:$C$60)</f>
        <v>46128</v>
      </c>
      <c r="H51" s="578"/>
      <c r="I51" s="582">
        <f>WORKDAY.INTL(K50,0,1,Data!$C$3:$C$60)</f>
        <v>46154</v>
      </c>
      <c r="J51" s="577">
        <v>1</v>
      </c>
      <c r="K51" s="582">
        <f>WORKDAY.INTL(I51,J51,1,Data!$C$3:$C$60)</f>
        <v>46155</v>
      </c>
      <c r="L51" s="77"/>
      <c r="M51" s="579">
        <v>0</v>
      </c>
      <c r="N51" s="579">
        <f t="shared" ca="1" si="7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46127</v>
      </c>
      <c r="F52" s="577">
        <v>5</v>
      </c>
      <c r="G52" s="582">
        <f>WORKDAY.INTL(E52,F52,1,Data!$C$3:$C$60)</f>
        <v>46134</v>
      </c>
      <c r="H52" s="578"/>
      <c r="I52" s="582">
        <f>WORKDAY.INTL(K50,0,1,Data!$C$3:$C$60)</f>
        <v>46154</v>
      </c>
      <c r="J52" s="577">
        <v>5</v>
      </c>
      <c r="K52" s="582">
        <f>WORKDAY.INTL(I52,J52,1,Data!$C$3:$C$60)</f>
        <v>46161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18.17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2371126.2425380363</v>
      </c>
      <c r="E5" s="259"/>
      <c r="F5" s="258">
        <f>+'Expenditure Tracking'!H5</f>
        <v>2108613.3106137379</v>
      </c>
      <c r="G5" s="631" t="s">
        <v>208</v>
      </c>
      <c r="H5" s="631" t="s">
        <v>209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210</v>
      </c>
      <c r="D6" s="258">
        <f>+D4-D5</f>
        <v>347073.80988615938</v>
      </c>
      <c r="E6" s="259"/>
      <c r="F6" s="258">
        <f>+F4-F5</f>
        <v>609586.74181045732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211</v>
      </c>
      <c r="T6" s="53"/>
    </row>
    <row r="7" spans="1:42" s="24" customFormat="1" ht="15" customHeight="1" thickBot="1">
      <c r="B7" s="256">
        <v>4</v>
      </c>
      <c r="C7" s="257" t="s">
        <v>212</v>
      </c>
      <c r="D7" s="260">
        <f>+D6/D4</f>
        <v>0.12768516047103506</v>
      </c>
      <c r="E7" s="259"/>
      <c r="F7" s="260">
        <f>+F6/F4</f>
        <v>0.22426117653364197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213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214</v>
      </c>
      <c r="D12" s="48"/>
      <c r="E12" s="46" t="s">
        <v>215</v>
      </c>
      <c r="F12" s="46" t="s">
        <v>216</v>
      </c>
      <c r="H12" s="261" t="s">
        <v>217</v>
      </c>
      <c r="J12" s="53"/>
      <c r="L12" s="78" t="s">
        <v>218</v>
      </c>
      <c r="M12" s="49"/>
      <c r="N12" s="78" t="s">
        <v>219</v>
      </c>
      <c r="O12" s="49"/>
      <c r="P12" s="78" t="s">
        <v>220</v>
      </c>
      <c r="R12" s="279" t="s">
        <v>221</v>
      </c>
      <c r="S12" s="626" t="s">
        <v>222</v>
      </c>
      <c r="T12" s="53"/>
    </row>
    <row r="13" spans="1:42" s="24" customFormat="1" ht="13">
      <c r="B13" s="589">
        <v>1</v>
      </c>
      <c r="C13" s="716" t="s">
        <v>223</v>
      </c>
      <c r="D13" s="717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716" t="s">
        <v>224</v>
      </c>
      <c r="D14" s="717"/>
      <c r="E14" s="590">
        <v>0.25</v>
      </c>
      <c r="F14" s="591">
        <f t="shared" si="0"/>
        <v>679550.01310604892</v>
      </c>
      <c r="G14" s="600"/>
      <c r="H14" s="593">
        <f>'Project Plan'!G37+7</f>
        <v>46091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46113</v>
      </c>
      <c r="R14" s="280"/>
      <c r="S14" s="627" t="b">
        <v>0</v>
      </c>
      <c r="T14" s="53"/>
    </row>
    <row r="15" spans="1:42" s="24" customFormat="1" ht="13">
      <c r="B15" s="589">
        <v>3</v>
      </c>
      <c r="C15" s="716" t="s">
        <v>225</v>
      </c>
      <c r="D15" s="717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46092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46114</v>
      </c>
      <c r="R15" s="280"/>
      <c r="S15" s="627" t="b">
        <v>0</v>
      </c>
      <c r="T15" s="53"/>
    </row>
    <row r="16" spans="1:42" s="24" customFormat="1" ht="13">
      <c r="B16" s="589">
        <v>4</v>
      </c>
      <c r="C16" s="714" t="s">
        <v>182</v>
      </c>
      <c r="D16" s="715"/>
      <c r="E16" s="590">
        <v>0.1</v>
      </c>
      <c r="F16" s="591">
        <f t="shared" si="0"/>
        <v>271820.0052424196</v>
      </c>
      <c r="G16" s="600"/>
      <c r="H16" s="593">
        <f>'Project Plan'!G40+7</f>
        <v>46127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46154</v>
      </c>
      <c r="R16" s="280"/>
      <c r="S16" s="627" t="b">
        <v>0</v>
      </c>
      <c r="T16" s="53"/>
    </row>
    <row r="17" spans="2:20" s="24" customFormat="1" ht="13">
      <c r="B17" s="589">
        <v>5</v>
      </c>
      <c r="C17" s="714" t="s">
        <v>226</v>
      </c>
      <c r="D17" s="715"/>
      <c r="E17" s="590">
        <v>0.05</v>
      </c>
      <c r="F17" s="591">
        <f t="shared" si="0"/>
        <v>135910.0026212098</v>
      </c>
      <c r="G17" s="600"/>
      <c r="H17" s="593">
        <f>'Project Plan'!G51+365</f>
        <v>46493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46520</v>
      </c>
      <c r="R17" s="280"/>
      <c r="S17" s="627" t="b">
        <v>0</v>
      </c>
      <c r="T17" s="53"/>
    </row>
    <row r="18" spans="2:20" s="24" customFormat="1" ht="13">
      <c r="B18" s="589">
        <v>6</v>
      </c>
      <c r="C18" s="714" t="s">
        <v>227</v>
      </c>
      <c r="D18" s="71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3">
      <c r="B19" s="589">
        <v>7</v>
      </c>
      <c r="C19" s="716" t="s">
        <v>227</v>
      </c>
      <c r="D19" s="71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20" s="24" customFormat="1" ht="12.5">
      <c r="C24" s="59" t="s">
        <v>230</v>
      </c>
      <c r="D24" s="60"/>
      <c r="F24" s="61"/>
    </row>
    <row r="25" spans="2:20" s="24" customFormat="1" ht="12.5">
      <c r="C25" s="59" t="s">
        <v>231</v>
      </c>
      <c r="D25" s="60"/>
    </row>
    <row r="26" spans="2:20" s="24" customFormat="1" ht="12.5">
      <c r="C26" s="62" t="s">
        <v>232</v>
      </c>
      <c r="D26" s="63"/>
    </row>
    <row r="27" spans="2:20" s="24" customFormat="1" ht="12.5">
      <c r="C27" s="64" t="s">
        <v>233</v>
      </c>
      <c r="D27" s="60"/>
    </row>
    <row r="28" spans="2:20" s="24" customFormat="1" ht="12.5">
      <c r="B28" s="31"/>
      <c r="C28" s="64" t="s">
        <v>234</v>
      </c>
      <c r="D28" s="60"/>
    </row>
    <row r="29" spans="2:20" s="24" customFormat="1" ht="12.5">
      <c r="B29" s="31"/>
      <c r="C29" s="24" t="s">
        <v>235</v>
      </c>
    </row>
    <row r="30" spans="2:20" s="24" customFormat="1" ht="27.75" customHeight="1">
      <c r="B30" s="31"/>
      <c r="C30" s="65" t="s">
        <v>236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214</v>
      </c>
      <c r="D40" s="48"/>
      <c r="E40" s="46" t="s">
        <v>215</v>
      </c>
      <c r="F40" s="46" t="s">
        <v>216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8"/>
      <c r="C4" s="718"/>
      <c r="D4" s="718"/>
      <c r="E4" s="313"/>
      <c r="F4" s="131" t="s">
        <v>202</v>
      </c>
      <c r="G4" s="126"/>
      <c r="H4" s="131" t="s">
        <v>203</v>
      </c>
      <c r="I4" s="126"/>
      <c r="J4" s="132" t="s">
        <v>241</v>
      </c>
      <c r="K4" s="26"/>
      <c r="L4" s="26"/>
    </row>
    <row r="5" spans="1:12" ht="14.5" thickBot="1">
      <c r="A5" s="126"/>
      <c r="B5" s="719" t="s">
        <v>242</v>
      </c>
      <c r="C5" s="719"/>
      <c r="D5" s="719"/>
      <c r="E5" s="313"/>
      <c r="F5" s="133">
        <f>SUM(F9:F23)</f>
        <v>2371126.2425380363</v>
      </c>
      <c r="G5" s="128"/>
      <c r="H5" s="133">
        <f>SUM(H9:H23)</f>
        <v>2108613.3106137379</v>
      </c>
      <c r="I5" s="126"/>
      <c r="J5" s="134">
        <f>SUM(J9:J23)</f>
        <v>262512.93192429858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809233.87096774194</v>
      </c>
      <c r="I9" s="23"/>
      <c r="J9" s="143">
        <f t="shared" ref="J9:J23" si="0">F9-H9</f>
        <v>-42595.438967741909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204000</v>
      </c>
      <c r="I10" s="23"/>
      <c r="J10" s="143">
        <f t="shared" si="0"/>
        <v>2610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228564.66500000001</v>
      </c>
      <c r="I12" s="23"/>
      <c r="J12" s="143">
        <f t="shared" si="0"/>
        <v>-1339.765000000014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H1" zoomScale="70" zoomScaleNormal="70" workbookViewId="0">
      <pane ySplit="4" topLeftCell="A105" activePane="bottomLeft" state="frozen"/>
      <selection activeCell="X33" sqref="X33"/>
      <selection pane="bottomLeft" activeCell="S138" sqref="S138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0" t="s">
        <v>248</v>
      </c>
      <c r="C2" s="681"/>
      <c r="D2" s="681"/>
      <c r="E2" s="681"/>
      <c r="F2" s="681"/>
      <c r="G2" s="681"/>
      <c r="H2" s="395"/>
      <c r="I2" s="162">
        <f>SUM(I6:I159)</f>
        <v>2371126.2425380363</v>
      </c>
      <c r="J2" s="162">
        <f>SUM(J6:J159)</f>
        <v>2718200.0524241957</v>
      </c>
      <c r="L2" s="682" t="s">
        <v>249</v>
      </c>
      <c r="M2" s="683"/>
      <c r="N2" s="683"/>
      <c r="O2" s="683"/>
      <c r="P2" s="683"/>
      <c r="Q2" s="683"/>
      <c r="R2" s="684" t="s">
        <v>250</v>
      </c>
      <c r="S2" s="685"/>
      <c r="T2" s="685"/>
      <c r="U2" s="685"/>
      <c r="V2" s="685"/>
      <c r="W2" s="686"/>
      <c r="X2" s="162">
        <f>SUM(X6:X159)</f>
        <v>2108613.3106137379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Total Revenue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218</v>
      </c>
      <c r="T4" s="522" t="s">
        <v>219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766638.43200000003</v>
      </c>
      <c r="H6" s="550">
        <f>'Project Plan'!E37+60</f>
        <v>46143</v>
      </c>
      <c r="I6" s="633">
        <f>SUM(G6:G11)</f>
        <v>766638.43200000003</v>
      </c>
      <c r="J6" s="636">
        <f>F160</f>
        <v>901927.56705882354</v>
      </c>
      <c r="K6" s="289"/>
      <c r="L6" s="185">
        <v>1</v>
      </c>
      <c r="M6" s="316" t="s">
        <v>267</v>
      </c>
      <c r="N6" s="186" t="s">
        <v>268</v>
      </c>
      <c r="O6" s="521">
        <f>'Project Plan'!$E$3*1000/620</f>
        <v>564.51612903225805</v>
      </c>
      <c r="P6" s="336">
        <f>2.35*610</f>
        <v>1433.5</v>
      </c>
      <c r="Q6" s="292">
        <f>O6*P6</f>
        <v>809233.87096774194</v>
      </c>
      <c r="R6" s="469"/>
      <c r="S6" s="500"/>
      <c r="T6" s="411">
        <v>46112</v>
      </c>
      <c r="U6" s="397">
        <f t="shared" ref="U6:U11" si="0">(Q6/$X$6*$J$6)</f>
        <v>901927.56705882354</v>
      </c>
      <c r="V6" s="645">
        <f>J6-SUM(U6:U11)</f>
        <v>0</v>
      </c>
      <c r="W6" s="453">
        <f>'Project Plan'!K37+60</f>
        <v>46166</v>
      </c>
      <c r="X6" s="633">
        <f>SUM(Q6:Q11)</f>
        <v>809233.87096774194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1"/>
      <c r="I7" s="634"/>
      <c r="J7" s="637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46"/>
      <c r="W7" s="454"/>
      <c r="X7" s="634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34"/>
      <c r="J8" s="637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46"/>
      <c r="W8" s="454"/>
      <c r="X8" s="634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34"/>
      <c r="J9" s="637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46"/>
      <c r="W9" s="455"/>
      <c r="X9" s="63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34"/>
      <c r="J10" s="637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46"/>
      <c r="W10" s="455"/>
      <c r="X10" s="63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35"/>
      <c r="J11" s="638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47"/>
      <c r="W11" s="456"/>
      <c r="X11" s="635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272</v>
      </c>
      <c r="Z12" s="488">
        <f>G52</f>
        <v>420372.81304347824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206610</v>
      </c>
      <c r="H13" s="554">
        <f>'Project Plan'!E23+60</f>
        <v>46144</v>
      </c>
      <c r="I13" s="662">
        <f>SUM(G13:G19)</f>
        <v>206610</v>
      </c>
      <c r="J13" s="665">
        <f>F161</f>
        <v>243070.58823529413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77">
        <f>J13-SUM(U13:U19)</f>
        <v>0</v>
      </c>
      <c r="W13" s="458"/>
      <c r="X13" s="662">
        <f>SUM(Q13:Q19)</f>
        <v>204000</v>
      </c>
      <c r="Y13" s="607" t="s">
        <v>276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63"/>
      <c r="J14" s="666"/>
      <c r="K14" s="205"/>
      <c r="L14" s="202">
        <v>2</v>
      </c>
      <c r="M14" s="325" t="s">
        <v>275</v>
      </c>
      <c r="N14" s="309" t="s">
        <v>277</v>
      </c>
      <c r="O14" s="438">
        <v>3</v>
      </c>
      <c r="P14" s="351">
        <v>68000</v>
      </c>
      <c r="Q14" s="375">
        <f>O14*P14</f>
        <v>204000</v>
      </c>
      <c r="R14" s="475"/>
      <c r="S14" s="506"/>
      <c r="T14" s="416">
        <f>T6</f>
        <v>46112</v>
      </c>
      <c r="U14" s="401">
        <f t="shared" si="2"/>
        <v>243070.58823529413</v>
      </c>
      <c r="V14" s="678"/>
      <c r="W14" s="459">
        <f>W6</f>
        <v>46166</v>
      </c>
      <c r="X14" s="663"/>
      <c r="Y14" s="607" t="s">
        <v>278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63"/>
      <c r="J15" s="666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78"/>
      <c r="W15" s="459"/>
      <c r="X15" s="663"/>
      <c r="Y15" s="607" t="s">
        <v>279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63"/>
      <c r="J16" s="666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78"/>
      <c r="W16" s="459"/>
      <c r="X16" s="663"/>
      <c r="Y16" s="607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63"/>
      <c r="J17" s="666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78"/>
      <c r="W17" s="459"/>
      <c r="X17" s="663"/>
      <c r="Y17" s="607" t="s">
        <v>281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63"/>
      <c r="J18" s="666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78"/>
      <c r="W18" s="459"/>
      <c r="X18" s="663"/>
      <c r="Y18" s="607" t="s">
        <v>282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64"/>
      <c r="J19" s="667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79"/>
      <c r="W19" s="460"/>
      <c r="X19" s="664"/>
      <c r="Y19" s="607" t="s">
        <v>283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139872</v>
      </c>
      <c r="H21" s="542">
        <f>'Project Plan'!E31+30</f>
        <v>46113</v>
      </c>
      <c r="I21" s="633">
        <f>SUM(G21:G26)</f>
        <v>139872</v>
      </c>
      <c r="J21" s="636">
        <f>F162</f>
        <v>164555.29411764705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45">
        <f>J21-SUM(U21:U26)</f>
        <v>0</v>
      </c>
      <c r="W21" s="461">
        <f>T21+30</f>
        <v>46142</v>
      </c>
      <c r="X21" s="633">
        <f>SUM(Q21:Q26)</f>
        <v>80000</v>
      </c>
      <c r="Y21" s="607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34"/>
      <c r="J22" s="637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46"/>
      <c r="W22" s="454"/>
      <c r="X22" s="634"/>
      <c r="Y22" s="607" t="s">
        <v>239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34"/>
      <c r="J23" s="637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46"/>
      <c r="W23" s="454"/>
      <c r="X23" s="634"/>
      <c r="Y23" s="607" t="s">
        <v>290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34"/>
      <c r="J24" s="637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46"/>
      <c r="W24" s="455"/>
      <c r="X24" s="634"/>
      <c r="Y24" s="608" t="s">
        <v>291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34"/>
      <c r="J25" s="637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46"/>
      <c r="W25" s="455"/>
      <c r="X25" s="63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35"/>
      <c r="J26" s="638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47"/>
      <c r="W26" s="456"/>
      <c r="X26" s="635"/>
      <c r="Y26" s="609" t="s">
        <v>203</v>
      </c>
      <c r="Z26" s="492" t="s">
        <v>292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6435</v>
      </c>
      <c r="F28" s="355"/>
      <c r="G28" s="200">
        <v>90090</v>
      </c>
      <c r="H28" s="554">
        <f>'Project Plan'!E33+60</f>
        <v>46143</v>
      </c>
      <c r="I28" s="662">
        <f>SUM(G28:G42)</f>
        <v>227224.9</v>
      </c>
      <c r="J28" s="665">
        <f>F163</f>
        <v>267323.4117647059</v>
      </c>
      <c r="K28" s="201"/>
      <c r="L28" s="197">
        <v>4</v>
      </c>
      <c r="M28" s="324" t="s">
        <v>294</v>
      </c>
      <c r="N28" s="198" t="s">
        <v>295</v>
      </c>
      <c r="O28" s="429">
        <v>8000</v>
      </c>
      <c r="P28" s="355">
        <v>14</v>
      </c>
      <c r="Q28" s="200">
        <f>O28*P28</f>
        <v>112000</v>
      </c>
      <c r="R28" s="474"/>
      <c r="S28" s="505"/>
      <c r="T28" s="415">
        <f>T6</f>
        <v>46112</v>
      </c>
      <c r="U28" s="401">
        <f t="shared" ref="U28:U41" si="4">(Q28/$X$28*$J$28)</f>
        <v>130992.34791015075</v>
      </c>
      <c r="V28" s="677">
        <f>J28-SUM(U28:U42)</f>
        <v>0</v>
      </c>
      <c r="W28" s="458">
        <f>W6</f>
        <v>46166</v>
      </c>
      <c r="X28" s="662">
        <f>SUM(Q28:Q42)</f>
        <v>228564.66500000001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137134.9</v>
      </c>
      <c r="H29" s="545">
        <f>'Project Plan'!G29</f>
        <v>46107</v>
      </c>
      <c r="I29" s="663"/>
      <c r="J29" s="666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78"/>
      <c r="W29" s="459"/>
      <c r="X29" s="663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63"/>
      <c r="J30" s="666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78"/>
      <c r="W30" s="459"/>
      <c r="X30" s="663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63"/>
      <c r="J31" s="666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78"/>
      <c r="W31" s="459"/>
      <c r="X31" s="663"/>
      <c r="Y31" s="610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63"/>
      <c r="J32" s="666"/>
      <c r="K32" s="205"/>
      <c r="L32" s="202">
        <v>4</v>
      </c>
      <c r="M32" s="325" t="s">
        <v>294</v>
      </c>
      <c r="N32" s="309" t="s">
        <v>298</v>
      </c>
      <c r="O32" s="447">
        <f>Z28</f>
        <v>116564.66499999999</v>
      </c>
      <c r="P32" s="448">
        <v>0.1</v>
      </c>
      <c r="Q32" s="204">
        <f>$O$32*P32</f>
        <v>11656.4665</v>
      </c>
      <c r="R32" s="659"/>
      <c r="S32" s="506"/>
      <c r="T32" s="416">
        <f>T90</f>
        <v>46112</v>
      </c>
      <c r="U32" s="401">
        <f t="shared" si="4"/>
        <v>13633.106385455512</v>
      </c>
      <c r="V32" s="678"/>
      <c r="W32" s="459">
        <f>W90</f>
        <v>46105</v>
      </c>
      <c r="X32" s="663"/>
      <c r="Y32" s="610" t="s">
        <v>299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63"/>
      <c r="J33" s="666"/>
      <c r="K33" s="205"/>
      <c r="L33" s="202">
        <v>4</v>
      </c>
      <c r="M33" s="325" t="s">
        <v>294</v>
      </c>
      <c r="N33" s="309" t="s">
        <v>151</v>
      </c>
      <c r="O33" s="438"/>
      <c r="P33" s="448">
        <v>0.15</v>
      </c>
      <c r="Q33" s="204">
        <f t="shared" ref="Q33:Q39" si="7">$O$32*P33</f>
        <v>17484.69975</v>
      </c>
      <c r="R33" s="660"/>
      <c r="S33" s="506"/>
      <c r="T33" s="416">
        <f t="shared" ref="T33:T39" si="8">T91</f>
        <v>46112</v>
      </c>
      <c r="U33" s="401">
        <f t="shared" si="4"/>
        <v>20449.659578183269</v>
      </c>
      <c r="V33" s="678"/>
      <c r="W33" s="459">
        <f t="shared" ref="W33:W39" si="9">W91</f>
        <v>46105</v>
      </c>
      <c r="X33" s="663"/>
      <c r="Y33" s="610" t="s">
        <v>300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63"/>
      <c r="J34" s="666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23312.933000000001</v>
      </c>
      <c r="R34" s="660"/>
      <c r="S34" s="506"/>
      <c r="T34" s="416">
        <f t="shared" si="8"/>
        <v>46142</v>
      </c>
      <c r="U34" s="401">
        <f t="shared" si="4"/>
        <v>27266.212770911025</v>
      </c>
      <c r="V34" s="678"/>
      <c r="W34" s="459">
        <f t="shared" si="9"/>
        <v>46136</v>
      </c>
      <c r="X34" s="663"/>
      <c r="Y34" s="610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63"/>
      <c r="J35" s="666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29141.166249999998</v>
      </c>
      <c r="R35" s="660"/>
      <c r="S35" s="506"/>
      <c r="T35" s="416">
        <f t="shared" si="8"/>
        <v>46142</v>
      </c>
      <c r="U35" s="401">
        <f t="shared" si="4"/>
        <v>34082.765963638783</v>
      </c>
      <c r="V35" s="678"/>
      <c r="W35" s="459">
        <f t="shared" si="9"/>
        <v>46141</v>
      </c>
      <c r="X35" s="663"/>
      <c r="Y35" s="610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63"/>
      <c r="J36" s="666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11656.4665</v>
      </c>
      <c r="R36" s="660"/>
      <c r="S36" s="506"/>
      <c r="T36" s="416">
        <f t="shared" si="8"/>
        <v>46173</v>
      </c>
      <c r="U36" s="401">
        <f t="shared" si="4"/>
        <v>13633.106385455512</v>
      </c>
      <c r="V36" s="678"/>
      <c r="W36" s="459">
        <f t="shared" si="9"/>
        <v>46154</v>
      </c>
      <c r="X36" s="663"/>
      <c r="Y36" s="610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63"/>
      <c r="J37" s="666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11656.4665</v>
      </c>
      <c r="R37" s="660"/>
      <c r="S37" s="506"/>
      <c r="T37" s="416">
        <f t="shared" si="8"/>
        <v>46173</v>
      </c>
      <c r="U37" s="401">
        <f t="shared" si="4"/>
        <v>13633.106385455512</v>
      </c>
      <c r="V37" s="678"/>
      <c r="W37" s="459">
        <f t="shared" si="9"/>
        <v>46155</v>
      </c>
      <c r="X37" s="663"/>
      <c r="Y37" s="610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63"/>
      <c r="J38" s="666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5828.2332500000002</v>
      </c>
      <c r="R38" s="660"/>
      <c r="S38" s="506"/>
      <c r="T38" s="416">
        <f t="shared" si="8"/>
        <v>46173</v>
      </c>
      <c r="U38" s="401">
        <f t="shared" si="4"/>
        <v>6816.5531927277561</v>
      </c>
      <c r="V38" s="678"/>
      <c r="W38" s="459">
        <f t="shared" si="9"/>
        <v>46155</v>
      </c>
      <c r="X38" s="663"/>
      <c r="Y38" s="610" t="s">
        <v>239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63"/>
      <c r="J39" s="666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5828.2332500000002</v>
      </c>
      <c r="R39" s="661"/>
      <c r="S39" s="506"/>
      <c r="T39" s="416">
        <f t="shared" si="8"/>
        <v>46203</v>
      </c>
      <c r="U39" s="401">
        <f t="shared" si="4"/>
        <v>6816.5531927277561</v>
      </c>
      <c r="V39" s="678"/>
      <c r="W39" s="459">
        <f t="shared" si="9"/>
        <v>46178</v>
      </c>
      <c r="X39" s="663"/>
      <c r="Y39" s="611" t="s">
        <v>291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63"/>
      <c r="J40" s="666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78"/>
      <c r="W40" s="459"/>
      <c r="X40" s="663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63"/>
      <c r="J41" s="666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78"/>
      <c r="W41" s="459"/>
      <c r="X41" s="663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64"/>
      <c r="J42" s="667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79"/>
      <c r="W42" s="460"/>
      <c r="X42" s="664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2">
        <f>H52</f>
        <v>46113</v>
      </c>
      <c r="I44" s="633">
        <f>D165</f>
        <v>49000</v>
      </c>
      <c r="J44" s="636">
        <f>F165</f>
        <v>57647.058823529413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45">
        <f>J44-SUM(U44:U50)</f>
        <v>0</v>
      </c>
      <c r="W44" s="461">
        <f>W14</f>
        <v>46166</v>
      </c>
      <c r="X44" s="633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1">
        <f>H44</f>
        <v>46113</v>
      </c>
      <c r="I45" s="634"/>
      <c r="J45" s="637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46"/>
      <c r="W45" s="454">
        <f>T45+30</f>
        <v>46142</v>
      </c>
      <c r="X45" s="634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1">
        <f>H45</f>
        <v>46113</v>
      </c>
      <c r="I46" s="634"/>
      <c r="J46" s="637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46"/>
      <c r="W46" s="454">
        <f>W45</f>
        <v>46142</v>
      </c>
      <c r="X46" s="634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34"/>
      <c r="J47" s="637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46"/>
      <c r="W47" s="454"/>
      <c r="X47" s="634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34"/>
      <c r="J48" s="637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46"/>
      <c r="W48" s="455"/>
      <c r="X48" s="63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34"/>
      <c r="J49" s="637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46"/>
      <c r="W49" s="455"/>
      <c r="X49" s="63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35"/>
      <c r="J50" s="638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47"/>
      <c r="W50" s="456"/>
      <c r="X50" s="635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313</v>
      </c>
      <c r="E52" s="373"/>
      <c r="F52" s="355"/>
      <c r="G52" s="200">
        <f>D164</f>
        <v>420372.81304347824</v>
      </c>
      <c r="H52" s="554">
        <f>'Project Plan'!G25+30</f>
        <v>46113</v>
      </c>
      <c r="I52" s="662">
        <f>SUM(G52:G68)</f>
        <v>420372.81304347824</v>
      </c>
      <c r="J52" s="665">
        <f>F164</f>
        <v>494556.25063938618</v>
      </c>
      <c r="K52" s="201"/>
      <c r="L52" s="197">
        <v>6</v>
      </c>
      <c r="M52" s="330" t="s">
        <v>314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77">
        <f>J52-SUM(U52:U68)</f>
        <v>0</v>
      </c>
      <c r="W52" s="458"/>
      <c r="X52" s="662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63"/>
      <c r="J53" s="666"/>
      <c r="K53" s="205"/>
      <c r="L53" s="202">
        <v>6</v>
      </c>
      <c r="M53" s="328" t="s">
        <v>314</v>
      </c>
      <c r="N53" s="342" t="s">
        <v>93</v>
      </c>
      <c r="O53" s="438"/>
      <c r="P53" s="351"/>
      <c r="Q53" s="225">
        <v>134235.32</v>
      </c>
      <c r="R53" s="475" t="s">
        <v>315</v>
      </c>
      <c r="S53" s="506"/>
      <c r="T53" s="416">
        <v>46112</v>
      </c>
      <c r="U53" s="401">
        <f t="shared" si="11"/>
        <v>320219.52584043448</v>
      </c>
      <c r="V53" s="678"/>
      <c r="W53" s="459">
        <f>T53+30</f>
        <v>46142</v>
      </c>
      <c r="X53" s="663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63"/>
      <c r="J54" s="666"/>
      <c r="K54" s="205"/>
      <c r="L54" s="202">
        <v>6</v>
      </c>
      <c r="M54" s="328" t="s">
        <v>314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78"/>
      <c r="W54" s="459"/>
      <c r="X54" s="663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63"/>
      <c r="J55" s="666"/>
      <c r="K55" s="205"/>
      <c r="L55" s="202">
        <v>6</v>
      </c>
      <c r="M55" s="328" t="s">
        <v>314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78"/>
      <c r="W55" s="459"/>
      <c r="X55" s="663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63"/>
      <c r="J56" s="666"/>
      <c r="K56" s="205"/>
      <c r="L56" s="202">
        <v>6</v>
      </c>
      <c r="M56" s="328" t="s">
        <v>314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78"/>
      <c r="W56" s="459"/>
      <c r="X56" s="663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63"/>
      <c r="J57" s="666"/>
      <c r="K57" s="205"/>
      <c r="L57" s="202">
        <v>6</v>
      </c>
      <c r="M57" s="328" t="s">
        <v>314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78"/>
      <c r="W57" s="459"/>
      <c r="X57" s="663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63"/>
      <c r="J58" s="666"/>
      <c r="K58" s="205"/>
      <c r="L58" s="202">
        <v>6</v>
      </c>
      <c r="M58" s="328" t="s">
        <v>314</v>
      </c>
      <c r="N58" s="309" t="s">
        <v>298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59"/>
      <c r="S58" s="506"/>
      <c r="T58" s="419">
        <f>T90</f>
        <v>46112</v>
      </c>
      <c r="U58" s="401">
        <f t="shared" si="11"/>
        <v>17433.672479895162</v>
      </c>
      <c r="V58" s="678"/>
      <c r="W58" s="459">
        <f>W90</f>
        <v>46105</v>
      </c>
      <c r="X58" s="663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63"/>
      <c r="J59" s="666"/>
      <c r="K59" s="205"/>
      <c r="L59" s="202">
        <v>6</v>
      </c>
      <c r="M59" s="329" t="s">
        <v>314</v>
      </c>
      <c r="N59" s="309" t="s">
        <v>151</v>
      </c>
      <c r="O59" s="438"/>
      <c r="P59" s="448">
        <v>0.15</v>
      </c>
      <c r="Q59" s="204">
        <f t="shared" ref="Q59:Q65" si="12">$O$58*P59</f>
        <v>10962.235663043472</v>
      </c>
      <c r="R59" s="660"/>
      <c r="S59" s="506"/>
      <c r="T59" s="419">
        <f t="shared" si="1"/>
        <v>46112</v>
      </c>
      <c r="U59" s="401">
        <f t="shared" si="11"/>
        <v>26150.508719842743</v>
      </c>
      <c r="V59" s="678"/>
      <c r="W59" s="459">
        <f t="shared" ref="W59:W65" si="13">W91</f>
        <v>46105</v>
      </c>
      <c r="X59" s="663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63"/>
      <c r="J60" s="666"/>
      <c r="K60" s="205"/>
      <c r="L60" s="202">
        <v>6</v>
      </c>
      <c r="M60" s="329" t="s">
        <v>314</v>
      </c>
      <c r="N60" s="309" t="s">
        <v>301</v>
      </c>
      <c r="O60" s="438"/>
      <c r="P60" s="448">
        <v>0.2</v>
      </c>
      <c r="Q60" s="204">
        <f t="shared" si="12"/>
        <v>14616.314217391297</v>
      </c>
      <c r="R60" s="660"/>
      <c r="S60" s="506"/>
      <c r="T60" s="419">
        <f t="shared" si="1"/>
        <v>46142</v>
      </c>
      <c r="U60" s="401">
        <f t="shared" si="11"/>
        <v>34867.344959790324</v>
      </c>
      <c r="V60" s="678"/>
      <c r="W60" s="459">
        <f t="shared" si="13"/>
        <v>46136</v>
      </c>
      <c r="X60" s="663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63"/>
      <c r="J61" s="666"/>
      <c r="K61" s="205"/>
      <c r="L61" s="202">
        <v>6</v>
      </c>
      <c r="M61" s="329" t="s">
        <v>314</v>
      </c>
      <c r="N61" s="309" t="s">
        <v>303</v>
      </c>
      <c r="O61" s="438"/>
      <c r="P61" s="448">
        <v>0.25</v>
      </c>
      <c r="Q61" s="204">
        <f t="shared" si="12"/>
        <v>18270.39277173912</v>
      </c>
      <c r="R61" s="660"/>
      <c r="S61" s="506"/>
      <c r="T61" s="419">
        <f t="shared" si="1"/>
        <v>46142</v>
      </c>
      <c r="U61" s="401">
        <f t="shared" si="11"/>
        <v>43584.181199737905</v>
      </c>
      <c r="V61" s="678"/>
      <c r="W61" s="459">
        <f t="shared" si="13"/>
        <v>46141</v>
      </c>
      <c r="X61" s="663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63"/>
      <c r="J62" s="666"/>
      <c r="K62" s="205"/>
      <c r="L62" s="202">
        <v>6</v>
      </c>
      <c r="M62" s="329" t="s">
        <v>314</v>
      </c>
      <c r="N62" s="309" t="s">
        <v>304</v>
      </c>
      <c r="O62" s="438"/>
      <c r="P62" s="448">
        <v>0.1</v>
      </c>
      <c r="Q62" s="204">
        <f t="shared" si="12"/>
        <v>7308.1571086956483</v>
      </c>
      <c r="R62" s="660"/>
      <c r="S62" s="506"/>
      <c r="T62" s="419">
        <f t="shared" si="1"/>
        <v>46173</v>
      </c>
      <c r="U62" s="401">
        <f t="shared" si="11"/>
        <v>17433.672479895162</v>
      </c>
      <c r="V62" s="678"/>
      <c r="W62" s="459">
        <f t="shared" si="13"/>
        <v>46154</v>
      </c>
      <c r="X62" s="663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63"/>
      <c r="J63" s="666"/>
      <c r="K63" s="205"/>
      <c r="L63" s="202">
        <v>6</v>
      </c>
      <c r="M63" s="329" t="s">
        <v>314</v>
      </c>
      <c r="N63" s="309" t="s">
        <v>305</v>
      </c>
      <c r="O63" s="438"/>
      <c r="P63" s="448">
        <v>0.1</v>
      </c>
      <c r="Q63" s="204">
        <f t="shared" si="12"/>
        <v>7308.1571086956483</v>
      </c>
      <c r="R63" s="660"/>
      <c r="S63" s="510"/>
      <c r="T63" s="419">
        <f t="shared" si="1"/>
        <v>46173</v>
      </c>
      <c r="U63" s="406">
        <f t="shared" si="11"/>
        <v>17433.672479895162</v>
      </c>
      <c r="V63" s="678"/>
      <c r="W63" s="459">
        <f t="shared" si="13"/>
        <v>46155</v>
      </c>
      <c r="X63" s="663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63"/>
      <c r="J64" s="666"/>
      <c r="K64" s="205"/>
      <c r="L64" s="202">
        <v>6</v>
      </c>
      <c r="M64" s="329" t="s">
        <v>314</v>
      </c>
      <c r="N64" s="309" t="s">
        <v>306</v>
      </c>
      <c r="O64" s="438"/>
      <c r="P64" s="448">
        <v>0.05</v>
      </c>
      <c r="Q64" s="204">
        <f t="shared" si="12"/>
        <v>3654.0785543478241</v>
      </c>
      <c r="R64" s="660"/>
      <c r="S64" s="510"/>
      <c r="T64" s="419">
        <f t="shared" si="1"/>
        <v>46173</v>
      </c>
      <c r="U64" s="406">
        <f t="shared" si="11"/>
        <v>8716.8362399475809</v>
      </c>
      <c r="V64" s="678"/>
      <c r="W64" s="459">
        <f t="shared" si="13"/>
        <v>46155</v>
      </c>
      <c r="X64" s="663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63"/>
      <c r="J65" s="666"/>
      <c r="K65" s="205"/>
      <c r="L65" s="202">
        <v>6</v>
      </c>
      <c r="M65" s="329" t="s">
        <v>314</v>
      </c>
      <c r="N65" s="309" t="s">
        <v>307</v>
      </c>
      <c r="O65" s="438"/>
      <c r="P65" s="448">
        <v>0.05</v>
      </c>
      <c r="Q65" s="204">
        <f t="shared" si="12"/>
        <v>3654.0785543478241</v>
      </c>
      <c r="R65" s="661"/>
      <c r="S65" s="510"/>
      <c r="T65" s="419">
        <f t="shared" si="1"/>
        <v>46203</v>
      </c>
      <c r="U65" s="406">
        <f t="shared" si="11"/>
        <v>8716.8362399475809</v>
      </c>
      <c r="V65" s="678"/>
      <c r="W65" s="459">
        <f t="shared" si="13"/>
        <v>46178</v>
      </c>
      <c r="X65" s="663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63"/>
      <c r="J66" s="666"/>
      <c r="K66" s="205"/>
      <c r="L66" s="202">
        <v>6</v>
      </c>
      <c r="M66" s="329" t="s">
        <v>314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78"/>
      <c r="W66" s="462"/>
      <c r="X66" s="663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63"/>
      <c r="J67" s="666"/>
      <c r="K67" s="205"/>
      <c r="L67" s="202">
        <v>6</v>
      </c>
      <c r="M67" s="329" t="s">
        <v>314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78"/>
      <c r="W67" s="462"/>
      <c r="X67" s="663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64"/>
      <c r="J68" s="667"/>
      <c r="K68" s="210"/>
      <c r="L68" s="206">
        <v>6</v>
      </c>
      <c r="M68" s="331" t="s">
        <v>314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79"/>
      <c r="W68" s="460"/>
      <c r="X68" s="664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8"/>
      <c r="I70" s="633">
        <f>SUM(G70:G77)</f>
        <v>0</v>
      </c>
      <c r="J70" s="636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74">
        <f>J70-SUM(U70:U77)</f>
        <v>0</v>
      </c>
      <c r="W70" s="464"/>
      <c r="X70" s="633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34"/>
      <c r="J71" s="637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75"/>
      <c r="W71" s="455"/>
      <c r="X71" s="634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34"/>
      <c r="J72" s="637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75"/>
      <c r="W72" s="455"/>
      <c r="X72" s="634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34"/>
      <c r="J73" s="637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75"/>
      <c r="W73" s="455"/>
      <c r="X73" s="634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34"/>
      <c r="J74" s="637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75"/>
      <c r="W74" s="455"/>
      <c r="X74" s="634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34"/>
      <c r="J75" s="637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75"/>
      <c r="W75" s="455"/>
      <c r="X75" s="63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34"/>
      <c r="J76" s="637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75"/>
      <c r="W76" s="455"/>
      <c r="X76" s="63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35"/>
      <c r="J77" s="638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76"/>
      <c r="W77" s="456"/>
      <c r="X77" s="635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4"/>
      <c r="I79" s="662">
        <f>SUM(G79:G87)</f>
        <v>160000</v>
      </c>
      <c r="J79" s="665">
        <f>F168+F169+F166</f>
        <v>181699.34640522877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671">
        <f>J79-SUM(U79:U87)</f>
        <v>0</v>
      </c>
      <c r="W79" s="458"/>
      <c r="X79" s="662">
        <f>SUM(Q79:Q87)</f>
        <v>160000</v>
      </c>
    </row>
    <row r="80" spans="1:24" ht="14.25" customHeight="1">
      <c r="B80" s="226">
        <v>8</v>
      </c>
      <c r="C80" s="227"/>
      <c r="D80" s="239" t="s">
        <v>320</v>
      </c>
      <c r="E80" s="314"/>
      <c r="F80" s="359"/>
      <c r="G80" s="228">
        <v>55000</v>
      </c>
      <c r="H80" s="545">
        <v>46111</v>
      </c>
      <c r="I80" s="663"/>
      <c r="J80" s="666"/>
      <c r="K80" s="205"/>
      <c r="L80" s="226">
        <v>8</v>
      </c>
      <c r="M80" s="332" t="s">
        <v>319</v>
      </c>
      <c r="N80" s="239" t="s">
        <v>320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672"/>
      <c r="W80" s="458">
        <f>T80-14</f>
        <v>46098</v>
      </c>
      <c r="X80" s="663"/>
    </row>
    <row r="81" spans="1:24" ht="14.25" customHeight="1">
      <c r="B81" s="226">
        <v>8</v>
      </c>
      <c r="C81" s="227"/>
      <c r="D81" s="239" t="s">
        <v>321</v>
      </c>
      <c r="E81" s="314"/>
      <c r="F81" s="359"/>
      <c r="G81" s="228">
        <v>45000</v>
      </c>
      <c r="H81" s="545">
        <v>46111</v>
      </c>
      <c r="I81" s="663"/>
      <c r="J81" s="666"/>
      <c r="K81" s="205"/>
      <c r="L81" s="226">
        <v>8</v>
      </c>
      <c r="M81" s="332" t="s">
        <v>319</v>
      </c>
      <c r="N81" s="239" t="s">
        <v>321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672"/>
      <c r="W81" s="458">
        <f t="shared" ref="W81:W82" si="16">T81-14</f>
        <v>46098</v>
      </c>
      <c r="X81" s="663"/>
    </row>
    <row r="82" spans="1:24" ht="14.25" customHeight="1">
      <c r="B82" s="226">
        <v>8</v>
      </c>
      <c r="C82" s="227"/>
      <c r="D82" s="239" t="s">
        <v>322</v>
      </c>
      <c r="E82" s="314"/>
      <c r="F82" s="359"/>
      <c r="G82" s="228">
        <v>60000</v>
      </c>
      <c r="H82" s="545">
        <v>46111</v>
      </c>
      <c r="I82" s="663"/>
      <c r="J82" s="666"/>
      <c r="K82" s="205"/>
      <c r="L82" s="226">
        <v>8</v>
      </c>
      <c r="M82" s="332" t="s">
        <v>319</v>
      </c>
      <c r="N82" s="239" t="s">
        <v>322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672"/>
      <c r="W82" s="458">
        <f t="shared" si="16"/>
        <v>46098</v>
      </c>
      <c r="X82" s="663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63"/>
      <c r="J83" s="666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672"/>
      <c r="W83" s="458"/>
      <c r="X83" s="663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63"/>
      <c r="J84" s="666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672"/>
      <c r="W84" s="459"/>
      <c r="X84" s="663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63"/>
      <c r="J85" s="666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672"/>
      <c r="W85" s="459"/>
      <c r="X85" s="663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63"/>
      <c r="J86" s="666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672"/>
      <c r="W86" s="462"/>
      <c r="X86" s="663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64"/>
      <c r="J87" s="667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673"/>
      <c r="W87" s="460"/>
      <c r="X87" s="664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323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324</v>
      </c>
      <c r="D89" s="231" t="s">
        <v>325</v>
      </c>
      <c r="E89" s="218"/>
      <c r="F89" s="336"/>
      <c r="G89" s="496">
        <f>D173</f>
        <v>87420</v>
      </c>
      <c r="H89" s="542">
        <f>'Project Plan'!G22+7</f>
        <v>46112</v>
      </c>
      <c r="I89" s="668">
        <f>SUM(G89:G100)</f>
        <v>274950</v>
      </c>
      <c r="J89" s="636">
        <f>F173+F174</f>
        <v>305500</v>
      </c>
      <c r="K89" s="192"/>
      <c r="L89" s="215">
        <v>9</v>
      </c>
      <c r="M89" s="322" t="s">
        <v>326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45">
        <f>J89-SUM(U89:U100)</f>
        <v>0</v>
      </c>
      <c r="W89" s="461"/>
      <c r="X89" s="633">
        <f>SUM(Q89:Q100)</f>
        <v>233707.5</v>
      </c>
    </row>
    <row r="90" spans="1:24" ht="15" customHeight="1">
      <c r="B90" s="215">
        <v>9</v>
      </c>
      <c r="C90" s="341"/>
      <c r="D90" s="232" t="s">
        <v>327</v>
      </c>
      <c r="E90" s="218"/>
      <c r="F90" s="357"/>
      <c r="G90" s="496">
        <f>D174</f>
        <v>187530.00000000003</v>
      </c>
      <c r="H90" s="541">
        <f>'Project Plan'!G29+7</f>
        <v>46114</v>
      </c>
      <c r="I90" s="669"/>
      <c r="J90" s="637"/>
      <c r="K90" s="192"/>
      <c r="L90" s="215">
        <v>9</v>
      </c>
      <c r="M90" s="322" t="s">
        <v>326</v>
      </c>
      <c r="N90" s="232" t="s">
        <v>298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654"/>
      <c r="S90" s="501"/>
      <c r="T90" s="412">
        <f t="shared" si="14"/>
        <v>46112</v>
      </c>
      <c r="U90" s="397">
        <f t="shared" si="17"/>
        <v>30550.000000000007</v>
      </c>
      <c r="V90" s="646"/>
      <c r="W90" s="454">
        <f>'Project Plan'!I20</f>
        <v>46105</v>
      </c>
      <c r="X90" s="634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669"/>
      <c r="J91" s="637"/>
      <c r="K91" s="192"/>
      <c r="L91" s="284">
        <v>9</v>
      </c>
      <c r="M91" s="394" t="s">
        <v>326</v>
      </c>
      <c r="N91" s="286" t="s">
        <v>151</v>
      </c>
      <c r="O91" s="434"/>
      <c r="P91" s="449">
        <v>0.15</v>
      </c>
      <c r="Q91" s="219">
        <f t="shared" ref="Q91:Q97" si="18">$O$90*P91</f>
        <v>35056.125</v>
      </c>
      <c r="R91" s="655"/>
      <c r="S91" s="502"/>
      <c r="T91" s="412">
        <f t="shared" si="14"/>
        <v>46112</v>
      </c>
      <c r="U91" s="397">
        <f t="shared" si="17"/>
        <v>45825</v>
      </c>
      <c r="V91" s="646"/>
      <c r="W91" s="455">
        <f>'Project Plan'!I20</f>
        <v>46105</v>
      </c>
      <c r="X91" s="634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669"/>
      <c r="J92" s="637"/>
      <c r="K92" s="192"/>
      <c r="L92" s="284">
        <v>9</v>
      </c>
      <c r="M92" s="394" t="s">
        <v>326</v>
      </c>
      <c r="N92" s="286" t="s">
        <v>301</v>
      </c>
      <c r="O92" s="434"/>
      <c r="P92" s="449">
        <v>0.2</v>
      </c>
      <c r="Q92" s="219">
        <f t="shared" si="18"/>
        <v>46741.500000000007</v>
      </c>
      <c r="R92" s="655"/>
      <c r="S92" s="502"/>
      <c r="T92" s="412">
        <f t="shared" si="14"/>
        <v>46142</v>
      </c>
      <c r="U92" s="397">
        <f t="shared" si="17"/>
        <v>61100.000000000015</v>
      </c>
      <c r="V92" s="646"/>
      <c r="W92" s="455">
        <f>'Project Plan'!K22+7</f>
        <v>46136</v>
      </c>
      <c r="X92" s="634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669"/>
      <c r="J93" s="637"/>
      <c r="K93" s="192"/>
      <c r="L93" s="284">
        <v>9</v>
      </c>
      <c r="M93" s="394" t="s">
        <v>326</v>
      </c>
      <c r="N93" s="286" t="s">
        <v>303</v>
      </c>
      <c r="O93" s="434"/>
      <c r="P93" s="449">
        <v>0.25</v>
      </c>
      <c r="Q93" s="219">
        <f t="shared" si="18"/>
        <v>58426.875000000007</v>
      </c>
      <c r="R93" s="655"/>
      <c r="S93" s="502"/>
      <c r="T93" s="412">
        <f t="shared" si="14"/>
        <v>46142</v>
      </c>
      <c r="U93" s="397">
        <f t="shared" si="17"/>
        <v>76375.000000000015</v>
      </c>
      <c r="V93" s="646"/>
      <c r="W93" s="455">
        <f>'Project Plan'!K29+7</f>
        <v>46141</v>
      </c>
      <c r="X93" s="634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669"/>
      <c r="J94" s="637"/>
      <c r="K94" s="192"/>
      <c r="L94" s="284">
        <v>9</v>
      </c>
      <c r="M94" s="394" t="s">
        <v>326</v>
      </c>
      <c r="N94" s="286" t="s">
        <v>304</v>
      </c>
      <c r="O94" s="434"/>
      <c r="P94" s="449">
        <v>0.1</v>
      </c>
      <c r="Q94" s="219">
        <f t="shared" si="18"/>
        <v>23370.750000000004</v>
      </c>
      <c r="R94" s="655"/>
      <c r="S94" s="502"/>
      <c r="T94" s="412">
        <f t="shared" si="14"/>
        <v>46173</v>
      </c>
      <c r="U94" s="397">
        <f t="shared" si="17"/>
        <v>30550.000000000007</v>
      </c>
      <c r="V94" s="646"/>
      <c r="W94" s="455">
        <f>'Project Plan'!K40+7</f>
        <v>46154</v>
      </c>
      <c r="X94" s="63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69"/>
      <c r="J95" s="637"/>
      <c r="K95" s="192"/>
      <c r="L95" s="284">
        <v>9</v>
      </c>
      <c r="M95" s="394" t="s">
        <v>326</v>
      </c>
      <c r="N95" s="286" t="s">
        <v>305</v>
      </c>
      <c r="O95" s="434"/>
      <c r="P95" s="449">
        <v>0.1</v>
      </c>
      <c r="Q95" s="219">
        <f t="shared" si="18"/>
        <v>23370.750000000004</v>
      </c>
      <c r="R95" s="655"/>
      <c r="S95" s="502"/>
      <c r="T95" s="412">
        <f t="shared" si="14"/>
        <v>46173</v>
      </c>
      <c r="U95" s="397">
        <f t="shared" si="17"/>
        <v>30550.000000000007</v>
      </c>
      <c r="V95" s="646"/>
      <c r="W95" s="455">
        <f>'Project Plan'!K47+7</f>
        <v>46155</v>
      </c>
      <c r="X95" s="63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69"/>
      <c r="J96" s="637"/>
      <c r="K96" s="192"/>
      <c r="L96" s="284">
        <v>9</v>
      </c>
      <c r="M96" s="394" t="s">
        <v>326</v>
      </c>
      <c r="N96" s="286" t="s">
        <v>306</v>
      </c>
      <c r="O96" s="434"/>
      <c r="P96" s="449">
        <v>0.05</v>
      </c>
      <c r="Q96" s="219">
        <f t="shared" si="18"/>
        <v>11685.375000000002</v>
      </c>
      <c r="R96" s="655"/>
      <c r="S96" s="502"/>
      <c r="T96" s="412">
        <f t="shared" si="14"/>
        <v>46173</v>
      </c>
      <c r="U96" s="397">
        <f t="shared" si="17"/>
        <v>15275.000000000004</v>
      </c>
      <c r="V96" s="646"/>
      <c r="W96" s="455">
        <f>'Project Plan'!K47+7</f>
        <v>46155</v>
      </c>
      <c r="X96" s="63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69"/>
      <c r="J97" s="637"/>
      <c r="K97" s="192"/>
      <c r="L97" s="284">
        <v>9</v>
      </c>
      <c r="M97" s="394" t="s">
        <v>326</v>
      </c>
      <c r="N97" s="286" t="s">
        <v>307</v>
      </c>
      <c r="O97" s="434"/>
      <c r="P97" s="449">
        <v>0.05</v>
      </c>
      <c r="Q97" s="219">
        <f t="shared" si="18"/>
        <v>11685.375000000002</v>
      </c>
      <c r="R97" s="656"/>
      <c r="S97" s="502"/>
      <c r="T97" s="412">
        <f t="shared" si="14"/>
        <v>46203</v>
      </c>
      <c r="U97" s="397">
        <f t="shared" si="17"/>
        <v>15275.000000000004</v>
      </c>
      <c r="V97" s="646"/>
      <c r="W97" s="455">
        <f>'Project Plan'!K47+30</f>
        <v>46178</v>
      </c>
      <c r="X97" s="63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69"/>
      <c r="J98" s="637"/>
      <c r="K98" s="192"/>
      <c r="L98" s="284">
        <v>9</v>
      </c>
      <c r="M98" s="394" t="s">
        <v>326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46"/>
      <c r="W98" s="455"/>
      <c r="X98" s="63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69"/>
      <c r="J99" s="637"/>
      <c r="K99" s="192"/>
      <c r="L99" s="284">
        <v>9</v>
      </c>
      <c r="M99" s="394" t="s">
        <v>326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46"/>
      <c r="W99" s="455"/>
      <c r="X99" s="634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670"/>
      <c r="J100" s="638"/>
      <c r="K100" s="267"/>
      <c r="L100" s="220">
        <v>9</v>
      </c>
      <c r="M100" s="340" t="s">
        <v>326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47"/>
      <c r="W100" s="456"/>
      <c r="X100" s="635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328</v>
      </c>
      <c r="D102" s="174" t="s">
        <v>280</v>
      </c>
      <c r="E102" s="175"/>
      <c r="F102" s="368"/>
      <c r="G102" s="242">
        <f>D177</f>
        <v>8500</v>
      </c>
      <c r="H102" s="561">
        <f>H89</f>
        <v>46112</v>
      </c>
      <c r="I102" s="639">
        <f>SUM(G102:G116)</f>
        <v>22919.155555555557</v>
      </c>
      <c r="J102" s="642">
        <f>F177+F180+F181+F179+F178</f>
        <v>25465.728395061727</v>
      </c>
      <c r="K102" s="243"/>
      <c r="L102" s="173">
        <v>10</v>
      </c>
      <c r="M102" s="333" t="s">
        <v>329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648">
        <f>J102-SUM(U102:U116)</f>
        <v>0</v>
      </c>
      <c r="W102" s="465"/>
      <c r="X102" s="639">
        <f>SUM(Q102:Q116)</f>
        <v>19481.28222222222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13720.266666666666</v>
      </c>
      <c r="H103" s="562">
        <f>H89</f>
        <v>46112</v>
      </c>
      <c r="I103" s="640"/>
      <c r="J103" s="643"/>
      <c r="K103" s="176"/>
      <c r="L103" s="244">
        <v>10</v>
      </c>
      <c r="M103" s="334" t="s">
        <v>329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649"/>
      <c r="W103" s="466"/>
      <c r="X103" s="640"/>
    </row>
    <row r="104" spans="1:24" ht="14.25" customHeight="1">
      <c r="B104" s="244">
        <v>10</v>
      </c>
      <c r="C104" s="245"/>
      <c r="D104" s="245" t="s">
        <v>330</v>
      </c>
      <c r="E104" s="246"/>
      <c r="F104" s="369"/>
      <c r="G104" s="247">
        <f>D180</f>
        <v>0</v>
      </c>
      <c r="H104" s="562">
        <f>H89</f>
        <v>46112</v>
      </c>
      <c r="I104" s="640"/>
      <c r="J104" s="643"/>
      <c r="K104" s="176"/>
      <c r="L104" s="244">
        <v>10</v>
      </c>
      <c r="M104" s="334" t="s">
        <v>329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649"/>
      <c r="W104" s="466"/>
      <c r="X104" s="640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698.88888888888891</v>
      </c>
      <c r="H105" s="562">
        <f>H89</f>
        <v>46112</v>
      </c>
      <c r="I105" s="640"/>
      <c r="J105" s="643"/>
      <c r="K105" s="176"/>
      <c r="L105" s="244">
        <v>10</v>
      </c>
      <c r="M105" s="334" t="s">
        <v>329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649"/>
      <c r="W105" s="466"/>
      <c r="X105" s="640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40"/>
      <c r="J106" s="643"/>
      <c r="K106" s="176"/>
      <c r="L106" s="244">
        <v>10</v>
      </c>
      <c r="M106" s="334" t="s">
        <v>329</v>
      </c>
      <c r="N106" s="245" t="s">
        <v>298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651"/>
      <c r="S106" s="515"/>
      <c r="T106" s="425">
        <f>T90</f>
        <v>46112</v>
      </c>
      <c r="U106" s="409">
        <f t="shared" si="19"/>
        <v>2546.5728395061728</v>
      </c>
      <c r="V106" s="649"/>
      <c r="W106" s="467">
        <f>W90</f>
        <v>46105</v>
      </c>
      <c r="X106" s="64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40"/>
      <c r="J107" s="643"/>
      <c r="K107" s="176"/>
      <c r="L107" s="244">
        <v>10</v>
      </c>
      <c r="M107" s="334" t="s">
        <v>329</v>
      </c>
      <c r="N107" s="245" t="s">
        <v>151</v>
      </c>
      <c r="O107" s="445"/>
      <c r="P107" s="452">
        <v>0.15</v>
      </c>
      <c r="Q107" s="247">
        <f t="shared" ref="Q107:Q113" si="20">$O$106*P107</f>
        <v>2922.192333333333</v>
      </c>
      <c r="R107" s="652"/>
      <c r="S107" s="520"/>
      <c r="T107" s="425">
        <f t="shared" ref="T107:T113" si="21">T91</f>
        <v>46112</v>
      </c>
      <c r="U107" s="409">
        <f t="shared" si="19"/>
        <v>3819.859259259259</v>
      </c>
      <c r="V107" s="649"/>
      <c r="W107" s="467">
        <f t="shared" ref="W107:W113" si="22">W91</f>
        <v>46105</v>
      </c>
      <c r="X107" s="64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40"/>
      <c r="J108" s="643"/>
      <c r="K108" s="176"/>
      <c r="L108" s="244">
        <v>10</v>
      </c>
      <c r="M108" s="334" t="s">
        <v>329</v>
      </c>
      <c r="N108" s="245" t="s">
        <v>301</v>
      </c>
      <c r="O108" s="445"/>
      <c r="P108" s="452">
        <v>0.2</v>
      </c>
      <c r="Q108" s="247">
        <f t="shared" si="20"/>
        <v>3896.2564444444442</v>
      </c>
      <c r="R108" s="652"/>
      <c r="S108" s="515"/>
      <c r="T108" s="425">
        <f t="shared" si="21"/>
        <v>46142</v>
      </c>
      <c r="U108" s="409">
        <f t="shared" si="19"/>
        <v>5093.1456790123457</v>
      </c>
      <c r="V108" s="649"/>
      <c r="W108" s="467">
        <f t="shared" si="22"/>
        <v>46136</v>
      </c>
      <c r="X108" s="64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40"/>
      <c r="J109" s="643"/>
      <c r="K109" s="176"/>
      <c r="L109" s="244">
        <v>10</v>
      </c>
      <c r="M109" s="334" t="s">
        <v>329</v>
      </c>
      <c r="N109" s="245" t="s">
        <v>303</v>
      </c>
      <c r="O109" s="445"/>
      <c r="P109" s="452">
        <v>0.25</v>
      </c>
      <c r="Q109" s="247">
        <f t="shared" si="20"/>
        <v>4870.3205555555551</v>
      </c>
      <c r="R109" s="652"/>
      <c r="S109" s="515"/>
      <c r="T109" s="425">
        <f t="shared" si="21"/>
        <v>46142</v>
      </c>
      <c r="U109" s="409">
        <f t="shared" si="19"/>
        <v>6366.4320987654319</v>
      </c>
      <c r="V109" s="649"/>
      <c r="W109" s="467">
        <f t="shared" si="22"/>
        <v>46141</v>
      </c>
      <c r="X109" s="64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40"/>
      <c r="J110" s="643"/>
      <c r="K110" s="176"/>
      <c r="L110" s="244">
        <v>10</v>
      </c>
      <c r="M110" s="334" t="s">
        <v>329</v>
      </c>
      <c r="N110" s="245" t="s">
        <v>304</v>
      </c>
      <c r="O110" s="445"/>
      <c r="P110" s="452">
        <v>0.1</v>
      </c>
      <c r="Q110" s="247">
        <f t="shared" si="20"/>
        <v>1948.1282222222221</v>
      </c>
      <c r="R110" s="652"/>
      <c r="S110" s="515"/>
      <c r="T110" s="425">
        <f t="shared" si="21"/>
        <v>46173</v>
      </c>
      <c r="U110" s="409">
        <f t="shared" si="19"/>
        <v>2546.5728395061728</v>
      </c>
      <c r="V110" s="649"/>
      <c r="W110" s="467">
        <f t="shared" si="22"/>
        <v>46154</v>
      </c>
      <c r="X110" s="64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40"/>
      <c r="J111" s="643"/>
      <c r="K111" s="176"/>
      <c r="L111" s="244">
        <v>10</v>
      </c>
      <c r="M111" s="334" t="s">
        <v>329</v>
      </c>
      <c r="N111" s="245" t="s">
        <v>305</v>
      </c>
      <c r="O111" s="445"/>
      <c r="P111" s="452">
        <v>0.1</v>
      </c>
      <c r="Q111" s="247">
        <f t="shared" si="20"/>
        <v>1948.1282222222221</v>
      </c>
      <c r="R111" s="652"/>
      <c r="S111" s="515"/>
      <c r="T111" s="425">
        <f t="shared" si="21"/>
        <v>46173</v>
      </c>
      <c r="U111" s="409">
        <f t="shared" si="19"/>
        <v>2546.5728395061728</v>
      </c>
      <c r="V111" s="649"/>
      <c r="W111" s="467">
        <f t="shared" si="22"/>
        <v>46155</v>
      </c>
      <c r="X111" s="64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40"/>
      <c r="J112" s="643"/>
      <c r="K112" s="176"/>
      <c r="L112" s="244">
        <v>10</v>
      </c>
      <c r="M112" s="334" t="s">
        <v>329</v>
      </c>
      <c r="N112" s="245" t="s">
        <v>306</v>
      </c>
      <c r="O112" s="445"/>
      <c r="P112" s="452">
        <v>0.05</v>
      </c>
      <c r="Q112" s="247">
        <f t="shared" si="20"/>
        <v>974.06411111111106</v>
      </c>
      <c r="R112" s="652"/>
      <c r="S112" s="515"/>
      <c r="T112" s="425">
        <f t="shared" si="21"/>
        <v>46173</v>
      </c>
      <c r="U112" s="409">
        <f t="shared" si="19"/>
        <v>1273.2864197530864</v>
      </c>
      <c r="V112" s="649"/>
      <c r="W112" s="467">
        <f t="shared" si="22"/>
        <v>46155</v>
      </c>
      <c r="X112" s="64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40"/>
      <c r="J113" s="643"/>
      <c r="K113" s="176"/>
      <c r="L113" s="244">
        <v>10</v>
      </c>
      <c r="M113" s="334" t="s">
        <v>329</v>
      </c>
      <c r="N113" s="245" t="s">
        <v>307</v>
      </c>
      <c r="O113" s="445"/>
      <c r="P113" s="452">
        <v>0.05</v>
      </c>
      <c r="Q113" s="247">
        <f t="shared" si="20"/>
        <v>974.06411111111106</v>
      </c>
      <c r="R113" s="653"/>
      <c r="S113" s="515"/>
      <c r="T113" s="425">
        <f t="shared" si="21"/>
        <v>46203</v>
      </c>
      <c r="U113" s="409">
        <f t="shared" si="19"/>
        <v>1273.2864197530864</v>
      </c>
      <c r="V113" s="649"/>
      <c r="W113" s="467">
        <f t="shared" si="22"/>
        <v>46178</v>
      </c>
      <c r="X113" s="64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40"/>
      <c r="J114" s="643"/>
      <c r="K114" s="176"/>
      <c r="L114" s="244">
        <v>10</v>
      </c>
      <c r="M114" s="334" t="s">
        <v>329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649"/>
      <c r="W114" s="467"/>
      <c r="X114" s="64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40"/>
      <c r="J115" s="643"/>
      <c r="K115" s="176"/>
      <c r="L115" s="244">
        <v>10</v>
      </c>
      <c r="M115" s="334" t="s">
        <v>329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649"/>
      <c r="W115" s="467"/>
      <c r="X115" s="640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41"/>
      <c r="J116" s="644"/>
      <c r="K116" s="179"/>
      <c r="L116" s="177">
        <v>10</v>
      </c>
      <c r="M116" s="335" t="s">
        <v>329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50"/>
      <c r="W116" s="468"/>
      <c r="X116" s="641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331</v>
      </c>
      <c r="D118" s="255" t="s">
        <v>332</v>
      </c>
      <c r="E118" s="187"/>
      <c r="F118" s="336"/>
      <c r="G118" s="188">
        <v>11000</v>
      </c>
      <c r="H118" s="542">
        <f>'Project Plan'!G40</f>
        <v>46120</v>
      </c>
      <c r="I118" s="633">
        <f>SUM(G118:G122)</f>
        <v>29000</v>
      </c>
      <c r="J118" s="636">
        <f>F176</f>
        <v>32222.222222222223</v>
      </c>
      <c r="K118" s="189"/>
      <c r="L118" s="185">
        <v>11</v>
      </c>
      <c r="M118" s="255" t="s">
        <v>333</v>
      </c>
      <c r="N118" s="255" t="s">
        <v>332</v>
      </c>
      <c r="O118" s="187"/>
      <c r="P118" s="336"/>
      <c r="Q118" s="188">
        <v>11000</v>
      </c>
      <c r="R118" s="477"/>
      <c r="S118" s="508"/>
      <c r="T118" s="418">
        <f t="shared" si="14"/>
        <v>46173</v>
      </c>
      <c r="U118" s="397">
        <f>(Q118/$X$118*$J$118)</f>
        <v>10126.984126984127</v>
      </c>
      <c r="V118" s="645">
        <f>J118-SUM(U118:U122)</f>
        <v>0</v>
      </c>
      <c r="W118" s="461">
        <f>'Project Plan'!K40+14</f>
        <v>46161</v>
      </c>
      <c r="X118" s="633">
        <f>SUM(Q118:Q122)</f>
        <v>35000</v>
      </c>
    </row>
    <row r="119" spans="1:24" ht="15" customHeight="1">
      <c r="B119" s="215">
        <v>11</v>
      </c>
      <c r="C119" s="217"/>
      <c r="D119" s="217" t="s">
        <v>334</v>
      </c>
      <c r="E119" s="218"/>
      <c r="F119" s="357"/>
      <c r="G119" s="219">
        <v>18000</v>
      </c>
      <c r="H119" s="542">
        <f>H118</f>
        <v>46120</v>
      </c>
      <c r="I119" s="634"/>
      <c r="J119" s="637"/>
      <c r="K119" s="192"/>
      <c r="L119" s="215">
        <v>11</v>
      </c>
      <c r="M119" s="290" t="s">
        <v>333</v>
      </c>
      <c r="N119" s="217" t="s">
        <v>335</v>
      </c>
      <c r="O119" s="218"/>
      <c r="P119" s="357"/>
      <c r="Q119" s="219">
        <v>18000</v>
      </c>
      <c r="R119" s="518"/>
      <c r="S119" s="501"/>
      <c r="T119" s="411">
        <f t="shared" si="14"/>
        <v>46173</v>
      </c>
      <c r="U119" s="397">
        <f>(Q119/$X$118*$J$118)</f>
        <v>16571.428571428569</v>
      </c>
      <c r="V119" s="646"/>
      <c r="W119" s="461">
        <f>'Project Plan'!K41+14</f>
        <v>46149</v>
      </c>
      <c r="X119" s="634"/>
    </row>
    <row r="120" spans="1:24" ht="15" customHeight="1">
      <c r="B120" s="215">
        <v>11</v>
      </c>
      <c r="C120" s="217"/>
      <c r="D120" s="217" t="s">
        <v>336</v>
      </c>
      <c r="E120" s="218"/>
      <c r="F120" s="357"/>
      <c r="G120" s="219">
        <v>0</v>
      </c>
      <c r="H120" s="542"/>
      <c r="I120" s="634"/>
      <c r="J120" s="637"/>
      <c r="K120" s="192"/>
      <c r="L120" s="215">
        <v>11</v>
      </c>
      <c r="M120" s="290" t="s">
        <v>333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46"/>
      <c r="W120" s="454"/>
      <c r="X120" s="634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34"/>
      <c r="J121" s="637"/>
      <c r="K121" s="192"/>
      <c r="L121" s="215">
        <v>11</v>
      </c>
      <c r="M121" s="290" t="s">
        <v>333</v>
      </c>
      <c r="N121" s="288" t="s">
        <v>337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5523.8095238095239</v>
      </c>
      <c r="V121" s="646"/>
      <c r="W121" s="455">
        <f>W118</f>
        <v>46161</v>
      </c>
      <c r="X121" s="634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35"/>
      <c r="J122" s="638"/>
      <c r="K122" s="193"/>
      <c r="L122" s="220">
        <v>11</v>
      </c>
      <c r="M122" s="318" t="s">
        <v>333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47"/>
      <c r="W122" s="456"/>
      <c r="X122" s="635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338</v>
      </c>
      <c r="D124" s="174" t="s">
        <v>338</v>
      </c>
      <c r="E124" s="175"/>
      <c r="F124" s="368"/>
      <c r="G124" s="242">
        <v>35336.600681514545</v>
      </c>
      <c r="H124" s="561">
        <f>H127</f>
        <v>46134</v>
      </c>
      <c r="I124" s="639">
        <f>SUM(G124:G125)</f>
        <v>35336.600681514545</v>
      </c>
      <c r="J124" s="642">
        <v>0</v>
      </c>
      <c r="K124" s="657"/>
      <c r="L124" s="173">
        <v>12</v>
      </c>
      <c r="M124" s="174" t="s">
        <v>339</v>
      </c>
      <c r="N124" s="174" t="s">
        <v>338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46173</v>
      </c>
      <c r="U124" s="408"/>
      <c r="V124" s="384"/>
      <c r="W124" s="465">
        <f>W127</f>
        <v>46147</v>
      </c>
      <c r="X124" s="639">
        <f>SUM(Q124:Q125)</f>
        <v>35336.600681514545</v>
      </c>
    </row>
    <row r="125" spans="1:24" ht="15" customHeight="1" thickBot="1">
      <c r="B125" s="177">
        <v>12</v>
      </c>
      <c r="C125" s="248" t="s">
        <v>338</v>
      </c>
      <c r="D125" s="248"/>
      <c r="E125" s="249"/>
      <c r="F125" s="370"/>
      <c r="G125" s="178"/>
      <c r="H125" s="564"/>
      <c r="I125" s="641"/>
      <c r="J125" s="644"/>
      <c r="K125" s="658"/>
      <c r="L125" s="177">
        <v>12</v>
      </c>
      <c r="M125" s="248" t="s">
        <v>339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41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340</v>
      </c>
      <c r="D127" s="255" t="s">
        <v>341</v>
      </c>
      <c r="E127" s="187"/>
      <c r="F127" s="336"/>
      <c r="G127" s="188">
        <f>D175</f>
        <v>26707.341257487926</v>
      </c>
      <c r="H127" s="542">
        <f>'Project Plan'!G49</f>
        <v>46134</v>
      </c>
      <c r="I127" s="633">
        <f>SUM(G127:G131)</f>
        <v>26707.341257487926</v>
      </c>
      <c r="J127" s="636">
        <f>F175</f>
        <v>30349.251428963551</v>
      </c>
      <c r="K127" s="189"/>
      <c r="L127" s="185">
        <v>13</v>
      </c>
      <c r="M127" s="255" t="s">
        <v>342</v>
      </c>
      <c r="N127" s="255" t="s">
        <v>343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46173</v>
      </c>
      <c r="U127" s="404">
        <f t="shared" ref="U127:U132" si="23">(Q127/$X$127*$J$127)</f>
        <v>30349.251428963551</v>
      </c>
      <c r="V127" s="645">
        <f>J127-SUM(U127:U132)</f>
        <v>0</v>
      </c>
      <c r="W127" s="461">
        <f>'Project Plan'!K40</f>
        <v>46147</v>
      </c>
      <c r="X127" s="633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34"/>
      <c r="J128" s="637"/>
      <c r="K128" s="192"/>
      <c r="L128" s="215">
        <v>13</v>
      </c>
      <c r="M128" s="290" t="s">
        <v>342</v>
      </c>
      <c r="N128" s="217" t="s">
        <v>344</v>
      </c>
      <c r="O128" s="218"/>
      <c r="P128" s="357"/>
      <c r="Q128" s="219"/>
      <c r="R128" s="470"/>
      <c r="S128" s="501"/>
      <c r="T128" s="411">
        <f t="shared" si="14"/>
        <v>46173</v>
      </c>
      <c r="U128" s="396">
        <f t="shared" si="23"/>
        <v>0</v>
      </c>
      <c r="V128" s="646"/>
      <c r="W128" s="454">
        <f>W127</f>
        <v>46147</v>
      </c>
      <c r="X128" s="634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34"/>
      <c r="J129" s="637"/>
      <c r="K129" s="192"/>
      <c r="L129" s="215">
        <v>13</v>
      </c>
      <c r="M129" s="290" t="s">
        <v>342</v>
      </c>
      <c r="N129" s="217" t="s">
        <v>345</v>
      </c>
      <c r="O129" s="218"/>
      <c r="P129" s="357"/>
      <c r="Q129" s="219"/>
      <c r="R129" s="470"/>
      <c r="S129" s="501"/>
      <c r="T129" s="411">
        <f t="shared" si="14"/>
        <v>46173</v>
      </c>
      <c r="U129" s="396">
        <f t="shared" si="23"/>
        <v>0</v>
      </c>
      <c r="V129" s="646"/>
      <c r="W129" s="454">
        <f t="shared" ref="W129:W131" si="24">W128</f>
        <v>46147</v>
      </c>
      <c r="X129" s="634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34"/>
      <c r="J130" s="637"/>
      <c r="K130" s="192"/>
      <c r="L130" s="215">
        <v>13</v>
      </c>
      <c r="M130" s="290" t="s">
        <v>342</v>
      </c>
      <c r="N130" s="217" t="s">
        <v>346</v>
      </c>
      <c r="O130" s="218"/>
      <c r="P130" s="357"/>
      <c r="Q130" s="219"/>
      <c r="R130" s="470"/>
      <c r="S130" s="501"/>
      <c r="T130" s="411">
        <f t="shared" si="14"/>
        <v>46173</v>
      </c>
      <c r="U130" s="396">
        <f t="shared" si="23"/>
        <v>0</v>
      </c>
      <c r="V130" s="646"/>
      <c r="W130" s="454">
        <f t="shared" si="24"/>
        <v>46147</v>
      </c>
      <c r="X130" s="634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34"/>
      <c r="J131" s="637"/>
      <c r="K131" s="192"/>
      <c r="L131" s="215">
        <v>13</v>
      </c>
      <c r="M131" s="290" t="s">
        <v>342</v>
      </c>
      <c r="N131" s="217" t="s">
        <v>347</v>
      </c>
      <c r="O131" s="218"/>
      <c r="P131" s="357"/>
      <c r="Q131" s="219"/>
      <c r="R131" s="470"/>
      <c r="S131" s="501"/>
      <c r="T131" s="411">
        <f t="shared" si="14"/>
        <v>46173</v>
      </c>
      <c r="U131" s="396">
        <f t="shared" si="23"/>
        <v>0</v>
      </c>
      <c r="V131" s="646"/>
      <c r="W131" s="454">
        <f t="shared" si="24"/>
        <v>46147</v>
      </c>
      <c r="X131" s="634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35"/>
      <c r="J132" s="638"/>
      <c r="K132" s="267"/>
      <c r="L132" s="220">
        <v>13</v>
      </c>
      <c r="M132" s="318" t="s">
        <v>342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47"/>
      <c r="W132" s="456"/>
      <c r="X132" s="635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348</v>
      </c>
      <c r="D134" s="174" t="s">
        <v>349</v>
      </c>
      <c r="E134" s="175"/>
      <c r="F134" s="368"/>
      <c r="G134" s="242">
        <f>D186</f>
        <v>12495</v>
      </c>
      <c r="H134" s="561">
        <f>'Project Plan'!G49</f>
        <v>46134</v>
      </c>
      <c r="I134" s="639">
        <f>SUM(G134:G145)</f>
        <v>12495</v>
      </c>
      <c r="J134" s="642">
        <f>F186</f>
        <v>13883.333333333334</v>
      </c>
      <c r="K134" s="243"/>
      <c r="L134" s="173">
        <v>14</v>
      </c>
      <c r="M134" s="333" t="s">
        <v>350</v>
      </c>
      <c r="N134" s="174" t="s">
        <v>351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648">
        <f>J134-SUM(U134:U145)</f>
        <v>0</v>
      </c>
      <c r="W134" s="467">
        <f>T134+7</f>
        <v>46088</v>
      </c>
      <c r="X134" s="639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40"/>
      <c r="J135" s="643"/>
      <c r="K135" s="176"/>
      <c r="L135" s="244">
        <v>14</v>
      </c>
      <c r="M135" s="334" t="s">
        <v>350</v>
      </c>
      <c r="N135" s="245" t="s">
        <v>351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649"/>
      <c r="W135" s="467">
        <f>T135+7</f>
        <v>46119</v>
      </c>
      <c r="X135" s="640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40"/>
      <c r="J136" s="643"/>
      <c r="K136" s="176"/>
      <c r="L136" s="244">
        <v>14</v>
      </c>
      <c r="M136" s="334" t="s">
        <v>350</v>
      </c>
      <c r="N136" s="245" t="s">
        <v>351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649"/>
      <c r="W136" s="467">
        <f>T136+7</f>
        <v>46149</v>
      </c>
      <c r="X136" s="64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40"/>
      <c r="J137" s="643"/>
      <c r="K137" s="176"/>
      <c r="L137" s="244">
        <v>14</v>
      </c>
      <c r="M137" s="334" t="s">
        <v>350</v>
      </c>
      <c r="N137" s="245" t="s">
        <v>351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649"/>
      <c r="W137" s="467">
        <f>T137+7</f>
        <v>46180</v>
      </c>
      <c r="X137" s="64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40"/>
      <c r="J138" s="643"/>
      <c r="K138" s="176"/>
      <c r="L138" s="244">
        <v>14</v>
      </c>
      <c r="M138" s="334" t="s">
        <v>350</v>
      </c>
      <c r="N138" s="245" t="s">
        <v>351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649"/>
      <c r="W138" s="467"/>
      <c r="X138" s="64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40"/>
      <c r="J139" s="643"/>
      <c r="K139" s="176"/>
      <c r="L139" s="244">
        <v>14</v>
      </c>
      <c r="M139" s="334" t="s">
        <v>350</v>
      </c>
      <c r="N139" s="245" t="s">
        <v>351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649"/>
      <c r="W139" s="467"/>
      <c r="X139" s="64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40"/>
      <c r="J140" s="643"/>
      <c r="K140" s="176"/>
      <c r="L140" s="244">
        <v>14</v>
      </c>
      <c r="M140" s="334" t="s">
        <v>350</v>
      </c>
      <c r="N140" s="245" t="s">
        <v>351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649"/>
      <c r="W140" s="467"/>
      <c r="X140" s="64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40"/>
      <c r="J141" s="643"/>
      <c r="K141" s="176"/>
      <c r="L141" s="244">
        <v>14</v>
      </c>
      <c r="M141" s="334" t="s">
        <v>350</v>
      </c>
      <c r="N141" s="245" t="s">
        <v>351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649"/>
      <c r="W141" s="467"/>
      <c r="X141" s="64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40"/>
      <c r="J142" s="643"/>
      <c r="K142" s="176"/>
      <c r="L142" s="244">
        <v>14</v>
      </c>
      <c r="M142" s="334" t="s">
        <v>350</v>
      </c>
      <c r="N142" s="245" t="s">
        <v>351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649"/>
      <c r="W142" s="467"/>
      <c r="X142" s="64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40"/>
      <c r="J143" s="643"/>
      <c r="K143" s="176"/>
      <c r="L143" s="244">
        <v>14</v>
      </c>
      <c r="M143" s="334" t="s">
        <v>350</v>
      </c>
      <c r="N143" s="245" t="s">
        <v>351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649"/>
      <c r="W143" s="467"/>
      <c r="X143" s="64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40"/>
      <c r="J144" s="643"/>
      <c r="K144" s="176"/>
      <c r="L144" s="244">
        <v>14</v>
      </c>
      <c r="M144" s="334" t="s">
        <v>350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649"/>
      <c r="W144" s="467"/>
      <c r="X144" s="640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41"/>
      <c r="J145" s="644"/>
      <c r="K145" s="179"/>
      <c r="L145" s="177">
        <v>14</v>
      </c>
      <c r="M145" s="335" t="s">
        <v>350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650"/>
      <c r="W145" s="468"/>
      <c r="X145" s="641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352</v>
      </c>
      <c r="D147" s="186"/>
      <c r="E147" s="187"/>
      <c r="F147" s="336"/>
      <c r="G147" s="188"/>
      <c r="H147" s="542"/>
      <c r="I147" s="633">
        <f>SUM(G147:G158)</f>
        <v>0</v>
      </c>
      <c r="J147" s="636">
        <v>0</v>
      </c>
      <c r="K147" s="189"/>
      <c r="L147" s="185">
        <v>15</v>
      </c>
      <c r="M147" s="255" t="s">
        <v>353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45">
        <v>0</v>
      </c>
      <c r="W147" s="461"/>
      <c r="X147" s="633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34"/>
      <c r="J148" s="637"/>
      <c r="K148" s="192"/>
      <c r="L148" s="215">
        <v>15</v>
      </c>
      <c r="M148" s="290" t="s">
        <v>353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46"/>
      <c r="W148" s="454"/>
      <c r="X148" s="634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34"/>
      <c r="J149" s="637"/>
      <c r="K149" s="192"/>
      <c r="L149" s="215">
        <v>15</v>
      </c>
      <c r="M149" s="290" t="s">
        <v>353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46"/>
      <c r="W149" s="454"/>
      <c r="X149" s="634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34"/>
      <c r="J150" s="637"/>
      <c r="K150" s="192"/>
      <c r="L150" s="215">
        <v>15</v>
      </c>
      <c r="M150" s="290" t="s">
        <v>353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46"/>
      <c r="W150" s="454"/>
      <c r="X150" s="634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34"/>
      <c r="J151" s="637"/>
      <c r="K151" s="192"/>
      <c r="L151" s="215">
        <v>15</v>
      </c>
      <c r="M151" s="290" t="s">
        <v>353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46"/>
      <c r="W151" s="454"/>
      <c r="X151" s="634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34"/>
      <c r="J152" s="637"/>
      <c r="K152" s="192"/>
      <c r="L152" s="215">
        <v>15</v>
      </c>
      <c r="M152" s="290" t="s">
        <v>353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46"/>
      <c r="W152" s="454"/>
      <c r="X152" s="634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34"/>
      <c r="J153" s="637"/>
      <c r="K153" s="192"/>
      <c r="L153" s="215">
        <v>15</v>
      </c>
      <c r="M153" s="290" t="s">
        <v>353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46"/>
      <c r="W153" s="454"/>
      <c r="X153" s="634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34"/>
      <c r="J154" s="637"/>
      <c r="K154" s="192"/>
      <c r="L154" s="215">
        <v>15</v>
      </c>
      <c r="M154" s="290" t="s">
        <v>353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46"/>
      <c r="W154" s="454"/>
      <c r="X154" s="634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34"/>
      <c r="J155" s="637"/>
      <c r="K155" s="192"/>
      <c r="L155" s="215">
        <v>15</v>
      </c>
      <c r="M155" s="290" t="s">
        <v>353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46"/>
      <c r="W155" s="454"/>
      <c r="X155" s="634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34"/>
      <c r="J156" s="637"/>
      <c r="K156" s="192"/>
      <c r="L156" s="215">
        <v>15</v>
      </c>
      <c r="M156" s="290" t="s">
        <v>353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46"/>
      <c r="W156" s="454"/>
      <c r="X156" s="634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34"/>
      <c r="J157" s="637"/>
      <c r="K157" s="192"/>
      <c r="L157" s="215">
        <v>15</v>
      </c>
      <c r="M157" s="290" t="s">
        <v>353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46"/>
      <c r="W157" s="454"/>
      <c r="X157" s="634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35"/>
      <c r="J158" s="638"/>
      <c r="K158" s="193"/>
      <c r="L158" s="220">
        <v>15</v>
      </c>
      <c r="M158" s="318" t="s">
        <v>353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47"/>
      <c r="W158" s="456"/>
      <c r="X158" s="635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354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355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356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313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357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358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359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360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361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362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363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364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365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366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367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368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369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370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371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372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373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360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374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375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376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377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206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951370.01834846847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271820.0052424196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135910.0026212098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378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2310470.0445605665</v>
      </c>
      <c r="Y4" s="109">
        <f t="shared" si="5"/>
        <v>2310470.0445605665</v>
      </c>
      <c r="Z4" s="109">
        <f t="shared" si="5"/>
        <v>2310470.0445605665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2582290.049802986</v>
      </c>
      <c r="AD4" s="109">
        <f>AC4+AD3</f>
        <v>2582290.049802986</v>
      </c>
      <c r="AE4" s="109">
        <f t="shared" si="5"/>
        <v>2582290.049802986</v>
      </c>
      <c r="AF4" s="109">
        <f t="shared" si="5"/>
        <v>2582290.049802986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2718200.0524241957</v>
      </c>
      <c r="CD4" s="109">
        <f t="shared" si="6"/>
        <v>2718200.0524241957</v>
      </c>
      <c r="CE4" s="109">
        <f t="shared" si="6"/>
        <v>2718200.0524241957</v>
      </c>
      <c r="CF4" s="109">
        <f t="shared" si="6"/>
        <v>2718200.0524241957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1"/>
      <c r="B5" s="110" t="s">
        <v>207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137134.9</v>
      </c>
      <c r="AA5" s="112">
        <f>SUMIFS('Expenditure Breakdown'!$G$6:$G$166, 'Expenditure Breakdown'!$H$6:$H$166, "&gt;="&amp;AA1,'Expenditure Breakdown'!$H$6:$H$166, "&lt;"&amp;AB1)</f>
        <v>1067113.9685990338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74538.94193900247</v>
      </c>
      <c r="AE5" s="112">
        <f>SUMIFS('Expenditure Breakdown'!$G$6:$G$166, 'Expenditure Breakdown'!$H$6:$H$166, "&gt;="&amp;AE1,'Expenditure Breakdown'!$H$6:$H$166, "&lt;"&amp;AF1)</f>
        <v>1063338.432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379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137134.9</v>
      </c>
      <c r="AA6" s="112">
        <f t="shared" si="10"/>
        <v>1204248.8685990337</v>
      </c>
      <c r="AB6" s="112">
        <f t="shared" si="10"/>
        <v>1233248.8685990337</v>
      </c>
      <c r="AC6" s="112">
        <f t="shared" si="10"/>
        <v>1233248.8685990337</v>
      </c>
      <c r="AD6" s="112">
        <f>AC6+AD5</f>
        <v>1307787.8105380361</v>
      </c>
      <c r="AE6" s="112">
        <f t="shared" si="10"/>
        <v>2371126.2425380358</v>
      </c>
      <c r="AF6" s="112">
        <f t="shared" si="10"/>
        <v>2371126.2425380358</v>
      </c>
      <c r="AG6" s="112">
        <f t="shared" si="10"/>
        <v>2371126.2425380358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1"/>
      <c r="B7" s="115" t="s">
        <v>380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2310470.0445605665</v>
      </c>
      <c r="Y7" s="118">
        <f t="shared" si="16"/>
        <v>2310470.0445605665</v>
      </c>
      <c r="Z7" s="118">
        <f t="shared" si="16"/>
        <v>2173335.1445605666</v>
      </c>
      <c r="AA7" s="118">
        <f t="shared" si="16"/>
        <v>1106221.1759615329</v>
      </c>
      <c r="AB7" s="118">
        <f t="shared" si="16"/>
        <v>1077221.1759615329</v>
      </c>
      <c r="AC7" s="118">
        <f t="shared" si="16"/>
        <v>1349041.1812039523</v>
      </c>
      <c r="AD7" s="118">
        <f t="shared" si="16"/>
        <v>1274502.2392649499</v>
      </c>
      <c r="AE7" s="118">
        <f t="shared" si="16"/>
        <v>211163.80726495013</v>
      </c>
      <c r="AF7" s="118">
        <f t="shared" si="16"/>
        <v>211163.80726495013</v>
      </c>
      <c r="AG7" s="118">
        <f t="shared" si="16"/>
        <v>211163.80726495013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347073.80988615984</v>
      </c>
      <c r="CD7" s="118">
        <f t="shared" si="17"/>
        <v>347073.80988615984</v>
      </c>
      <c r="CE7" s="118">
        <f t="shared" si="17"/>
        <v>347073.80988615984</v>
      </c>
      <c r="CF7" s="118">
        <f t="shared" si="17"/>
        <v>347073.80988615984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0" t="s">
        <v>203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381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2310470.0445605661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271820.0052424196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135910.0026212098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2310470.0445605661</v>
      </c>
      <c r="AB10" s="122">
        <f t="shared" si="21"/>
        <v>2310470.0445605661</v>
      </c>
      <c r="AC10" s="122">
        <f t="shared" si="21"/>
        <v>2310470.0445605661</v>
      </c>
      <c r="AD10" s="122">
        <f>AC10+AD9</f>
        <v>2310470.0445605661</v>
      </c>
      <c r="AE10" s="122">
        <f t="shared" si="21"/>
        <v>2310470.0445605661</v>
      </c>
      <c r="AF10" s="122">
        <f t="shared" si="21"/>
        <v>2310470.0445605661</v>
      </c>
      <c r="AG10" s="122">
        <f t="shared" si="21"/>
        <v>2582290.0498029855</v>
      </c>
      <c r="AH10" s="122">
        <f t="shared" si="21"/>
        <v>2582290.0498029855</v>
      </c>
      <c r="AI10" s="122">
        <f t="shared" si="21"/>
        <v>2582290.0498029855</v>
      </c>
      <c r="AJ10" s="122">
        <f t="shared" si="21"/>
        <v>2582290.0498029855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2718200.0524241952</v>
      </c>
      <c r="CH10" s="122">
        <f t="shared" si="22"/>
        <v>2718200.0524241952</v>
      </c>
      <c r="CI10" s="122">
        <f t="shared" si="22"/>
        <v>2718200.0524241952</v>
      </c>
      <c r="CJ10" s="122">
        <f t="shared" si="22"/>
        <v>2718200.0524241952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>
      <c r="A11" s="721"/>
      <c r="B11" s="123" t="s">
        <v>383</v>
      </c>
      <c r="C11" s="124">
        <f>'Revenue Tracking'!F5</f>
        <v>2108613.3106137379</v>
      </c>
      <c r="D11" s="124">
        <f>SUM(F11:KE11)</f>
        <v>2108613.3106137379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110708.75457729469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88567.003661835741</v>
      </c>
      <c r="AE11" s="125">
        <f>SUMIFS('Expenditure Breakdown'!$Q$6:$Q$166, 'Expenditure Breakdown'!$W$6:$W$166, "&gt;="&amp;AE1,'Expenditure Breakdown'!$W$6:$W$166, "&lt;"&amp;AF1)</f>
        <v>365944.0745772947</v>
      </c>
      <c r="AF11" s="125">
        <f>SUMIFS('Expenditure Breakdown'!$Q$6:$Q$166, 'Expenditure Breakdown'!$W$6:$W$166, "&gt;="&amp;AF1,'Expenditure Breakdown'!$W$6:$W$166, "&lt;"&amp;AG1)</f>
        <v>90437.851336816995</v>
      </c>
      <c r="AG11" s="125">
        <f>SUMIFS('Expenditure Breakdown'!$Q$6:$Q$166, 'Expenditure Breakdown'!$W$6:$W$166, "&gt;="&amp;AG1,'Expenditure Breakdown'!$W$6:$W$166, "&lt;"&amp;AH1)</f>
        <v>110708.75457729469</v>
      </c>
      <c r="AH11" s="125">
        <f>SUMIFS('Expenditure Breakdown'!$Q$6:$Q$166, 'Expenditure Breakdown'!$W$6:$W$166, "&gt;="&amp;AH1,'Expenditure Breakdown'!$W$6:$W$166, "&lt;"&amp;AI1)</f>
        <v>1150733.8709677421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25265.500915458935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384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273832.50457729469</v>
      </c>
      <c r="AA12" s="125">
        <f t="shared" si="26"/>
        <v>273832.50457729469</v>
      </c>
      <c r="AB12" s="125">
        <f t="shared" si="26"/>
        <v>276956.25457729469</v>
      </c>
      <c r="AC12" s="125">
        <f t="shared" si="26"/>
        <v>276956.25457729469</v>
      </c>
      <c r="AD12" s="125">
        <f>AC12+AD11</f>
        <v>365523.25823913043</v>
      </c>
      <c r="AE12" s="125">
        <f t="shared" si="26"/>
        <v>731467.33281642513</v>
      </c>
      <c r="AF12" s="125">
        <f t="shared" si="26"/>
        <v>821905.18415324215</v>
      </c>
      <c r="AG12" s="125">
        <f t="shared" si="26"/>
        <v>932613.93873053684</v>
      </c>
      <c r="AH12" s="125">
        <f t="shared" si="26"/>
        <v>2083347.809698279</v>
      </c>
      <c r="AI12" s="125">
        <f t="shared" si="26"/>
        <v>2083347.809698279</v>
      </c>
      <c r="AJ12" s="125">
        <f t="shared" si="26"/>
        <v>2108613.3106137379</v>
      </c>
      <c r="AK12" s="125">
        <f t="shared" si="26"/>
        <v>2108613.3106137379</v>
      </c>
      <c r="AL12" s="125">
        <f t="shared" si="26"/>
        <v>2108613.3106137379</v>
      </c>
      <c r="AM12" s="125">
        <f t="shared" si="26"/>
        <v>2108613.3106137379</v>
      </c>
      <c r="AN12" s="125">
        <f t="shared" si="26"/>
        <v>2108613.3106137379</v>
      </c>
      <c r="AO12" s="125">
        <f t="shared" si="26"/>
        <v>2108613.3106137379</v>
      </c>
      <c r="AP12" s="125">
        <f t="shared" si="26"/>
        <v>2108613.3106137379</v>
      </c>
      <c r="AQ12" s="125">
        <f t="shared" si="26"/>
        <v>2108613.3106137379</v>
      </c>
      <c r="AR12" s="125">
        <f t="shared" si="26"/>
        <v>2108613.3106137379</v>
      </c>
      <c r="AS12" s="125">
        <f t="shared" si="26"/>
        <v>2108613.3106137379</v>
      </c>
      <c r="AT12" s="125">
        <f t="shared" si="26"/>
        <v>2108613.3106137379</v>
      </c>
      <c r="AU12" s="125">
        <f t="shared" si="26"/>
        <v>2108613.3106137379</v>
      </c>
      <c r="AV12" s="125">
        <f t="shared" si="26"/>
        <v>2108613.3106137379</v>
      </c>
      <c r="AW12" s="125">
        <f t="shared" si="26"/>
        <v>2108613.3106137379</v>
      </c>
      <c r="AX12" s="125">
        <f t="shared" si="26"/>
        <v>2108613.3106137379</v>
      </c>
      <c r="AY12" s="125">
        <f t="shared" si="26"/>
        <v>2108613.3106137379</v>
      </c>
      <c r="AZ12" s="125">
        <f t="shared" si="26"/>
        <v>2108613.3106137379</v>
      </c>
      <c r="BA12" s="125">
        <f t="shared" si="26"/>
        <v>2108613.3106137379</v>
      </c>
      <c r="BB12" s="125">
        <f t="shared" si="26"/>
        <v>2108613.3106137379</v>
      </c>
      <c r="BC12" s="125">
        <f t="shared" si="26"/>
        <v>2108613.3106137379</v>
      </c>
      <c r="BD12" s="125">
        <f t="shared" si="26"/>
        <v>2108613.3106137379</v>
      </c>
      <c r="BE12" s="125">
        <f t="shared" si="26"/>
        <v>2108613.3106137379</v>
      </c>
      <c r="BF12" s="125">
        <f t="shared" si="26"/>
        <v>2108613.3106137379</v>
      </c>
      <c r="BG12" s="125">
        <f t="shared" si="26"/>
        <v>2108613.3106137379</v>
      </c>
      <c r="BH12" s="125">
        <f t="shared" si="26"/>
        <v>2108613.3106137379</v>
      </c>
      <c r="BI12" s="125">
        <f t="shared" si="26"/>
        <v>2108613.3106137379</v>
      </c>
      <c r="BJ12" s="125">
        <f t="shared" si="26"/>
        <v>2108613.3106137379</v>
      </c>
      <c r="BK12" s="125">
        <f t="shared" si="26"/>
        <v>2108613.3106137379</v>
      </c>
      <c r="BL12" s="125">
        <f t="shared" si="26"/>
        <v>2108613.3106137379</v>
      </c>
      <c r="BM12" s="125">
        <f t="shared" si="26"/>
        <v>2108613.3106137379</v>
      </c>
      <c r="BN12" s="125">
        <f t="shared" si="26"/>
        <v>2108613.3106137379</v>
      </c>
      <c r="BO12" s="125">
        <f t="shared" si="26"/>
        <v>2108613.3106137379</v>
      </c>
      <c r="BP12" s="125">
        <f t="shared" si="26"/>
        <v>2108613.3106137379</v>
      </c>
      <c r="BQ12" s="125">
        <f t="shared" si="26"/>
        <v>2108613.3106137379</v>
      </c>
      <c r="BR12" s="125">
        <f t="shared" si="26"/>
        <v>2108613.3106137379</v>
      </c>
      <c r="BS12" s="125">
        <f t="shared" si="26"/>
        <v>2108613.3106137379</v>
      </c>
      <c r="BT12" s="125">
        <f t="shared" si="26"/>
        <v>2108613.3106137379</v>
      </c>
      <c r="BU12" s="125">
        <f t="shared" ref="BU12:EF12" si="27">BT12+BU11</f>
        <v>2108613.3106137379</v>
      </c>
      <c r="BV12" s="125">
        <f t="shared" si="27"/>
        <v>2108613.3106137379</v>
      </c>
      <c r="BW12" s="125">
        <f t="shared" si="27"/>
        <v>2108613.3106137379</v>
      </c>
      <c r="BX12" s="125">
        <f t="shared" si="27"/>
        <v>2108613.3106137379</v>
      </c>
      <c r="BY12" s="125">
        <f t="shared" si="27"/>
        <v>2108613.3106137379</v>
      </c>
      <c r="BZ12" s="125">
        <f t="shared" si="27"/>
        <v>2108613.3106137379</v>
      </c>
      <c r="CA12" s="125">
        <f t="shared" si="27"/>
        <v>2108613.3106137379</v>
      </c>
      <c r="CB12" s="125">
        <f t="shared" si="27"/>
        <v>2108613.3106137379</v>
      </c>
      <c r="CC12" s="125">
        <f t="shared" si="27"/>
        <v>2108613.3106137379</v>
      </c>
      <c r="CD12" s="125">
        <f t="shared" si="27"/>
        <v>2108613.3106137379</v>
      </c>
      <c r="CE12" s="125">
        <f t="shared" si="27"/>
        <v>2108613.3106137379</v>
      </c>
      <c r="CF12" s="125">
        <f t="shared" si="27"/>
        <v>2108613.3106137379</v>
      </c>
      <c r="CG12" s="125">
        <f t="shared" si="27"/>
        <v>2108613.3106137379</v>
      </c>
      <c r="CH12" s="125">
        <f t="shared" si="27"/>
        <v>2108613.3106137379</v>
      </c>
      <c r="CI12" s="125">
        <f t="shared" si="27"/>
        <v>2108613.3106137379</v>
      </c>
      <c r="CJ12" s="125">
        <f t="shared" si="27"/>
        <v>2108613.3106137379</v>
      </c>
      <c r="CK12" s="125">
        <f t="shared" si="27"/>
        <v>2108613.3106137379</v>
      </c>
      <c r="CL12" s="125">
        <f t="shared" si="27"/>
        <v>2108613.3106137379</v>
      </c>
      <c r="CM12" s="125">
        <f t="shared" si="27"/>
        <v>2108613.3106137379</v>
      </c>
      <c r="CN12" s="125">
        <f t="shared" si="27"/>
        <v>2108613.3106137379</v>
      </c>
      <c r="CO12" s="125">
        <f t="shared" si="27"/>
        <v>2108613.3106137379</v>
      </c>
      <c r="CP12" s="125">
        <f t="shared" si="27"/>
        <v>2108613.3106137379</v>
      </c>
      <c r="CQ12" s="125">
        <f t="shared" si="27"/>
        <v>2108613.3106137379</v>
      </c>
      <c r="CR12" s="125">
        <f t="shared" si="27"/>
        <v>2108613.3106137379</v>
      </c>
      <c r="CS12" s="125">
        <f t="shared" si="27"/>
        <v>2108613.3106137379</v>
      </c>
      <c r="CT12" s="125">
        <f t="shared" si="27"/>
        <v>2108613.3106137379</v>
      </c>
      <c r="CU12" s="125">
        <f t="shared" si="27"/>
        <v>2108613.3106137379</v>
      </c>
      <c r="CV12" s="125">
        <f t="shared" si="27"/>
        <v>2108613.3106137379</v>
      </c>
      <c r="CW12" s="125">
        <f t="shared" si="27"/>
        <v>2108613.3106137379</v>
      </c>
      <c r="CX12" s="125">
        <f t="shared" si="27"/>
        <v>2108613.3106137379</v>
      </c>
      <c r="CY12" s="125">
        <f t="shared" si="27"/>
        <v>2108613.3106137379</v>
      </c>
      <c r="CZ12" s="125">
        <f t="shared" si="27"/>
        <v>2108613.3106137379</v>
      </c>
      <c r="DA12" s="125">
        <f t="shared" si="27"/>
        <v>2108613.3106137379</v>
      </c>
      <c r="DB12" s="125">
        <f t="shared" si="27"/>
        <v>2108613.3106137379</v>
      </c>
      <c r="DC12" s="125">
        <f t="shared" si="27"/>
        <v>2108613.3106137379</v>
      </c>
      <c r="DD12" s="125">
        <f t="shared" si="27"/>
        <v>2108613.3106137379</v>
      </c>
      <c r="DE12" s="125">
        <f t="shared" si="27"/>
        <v>2108613.3106137379</v>
      </c>
      <c r="DF12" s="125">
        <f t="shared" si="27"/>
        <v>2108613.3106137379</v>
      </c>
      <c r="DG12" s="125">
        <f t="shared" si="27"/>
        <v>2108613.3106137379</v>
      </c>
      <c r="DH12" s="125">
        <f t="shared" si="27"/>
        <v>2108613.3106137379</v>
      </c>
      <c r="DI12" s="125">
        <f t="shared" si="27"/>
        <v>2108613.3106137379</v>
      </c>
      <c r="DJ12" s="125">
        <f t="shared" si="27"/>
        <v>2108613.3106137379</v>
      </c>
      <c r="DK12" s="125">
        <f t="shared" si="27"/>
        <v>2108613.3106137379</v>
      </c>
      <c r="DL12" s="125">
        <f t="shared" si="27"/>
        <v>2108613.3106137379</v>
      </c>
      <c r="DM12" s="125">
        <f t="shared" si="27"/>
        <v>2108613.3106137379</v>
      </c>
      <c r="DN12" s="125">
        <f t="shared" si="27"/>
        <v>2108613.3106137379</v>
      </c>
      <c r="DO12" s="125">
        <f t="shared" si="27"/>
        <v>2108613.3106137379</v>
      </c>
      <c r="DP12" s="125">
        <f t="shared" si="27"/>
        <v>2108613.3106137379</v>
      </c>
      <c r="DQ12" s="125">
        <f t="shared" si="27"/>
        <v>2108613.3106137379</v>
      </c>
      <c r="DR12" s="125">
        <f t="shared" si="27"/>
        <v>2108613.3106137379</v>
      </c>
      <c r="DS12" s="125">
        <f t="shared" si="27"/>
        <v>2108613.3106137379</v>
      </c>
      <c r="DT12" s="125">
        <f t="shared" si="27"/>
        <v>2108613.3106137379</v>
      </c>
      <c r="DU12" s="125">
        <f t="shared" si="27"/>
        <v>2108613.3106137379</v>
      </c>
      <c r="DV12" s="125">
        <f t="shared" si="27"/>
        <v>2108613.3106137379</v>
      </c>
      <c r="DW12" s="125">
        <f t="shared" si="27"/>
        <v>2108613.3106137379</v>
      </c>
      <c r="DX12" s="125">
        <f t="shared" si="27"/>
        <v>2108613.3106137379</v>
      </c>
      <c r="DY12" s="125">
        <f t="shared" si="27"/>
        <v>2108613.3106137379</v>
      </c>
      <c r="DZ12" s="125">
        <f t="shared" si="27"/>
        <v>2108613.3106137379</v>
      </c>
      <c r="EA12" s="125">
        <f t="shared" si="27"/>
        <v>2108613.3106137379</v>
      </c>
      <c r="EB12" s="125">
        <f t="shared" si="27"/>
        <v>2108613.3106137379</v>
      </c>
      <c r="EC12" s="125">
        <f t="shared" si="27"/>
        <v>2108613.3106137379</v>
      </c>
      <c r="ED12" s="125">
        <f t="shared" si="27"/>
        <v>2108613.3106137379</v>
      </c>
      <c r="EE12" s="125">
        <f t="shared" si="27"/>
        <v>2108613.3106137379</v>
      </c>
      <c r="EF12" s="125">
        <f t="shared" si="27"/>
        <v>2108613.3106137379</v>
      </c>
      <c r="EG12" s="125">
        <f t="shared" ref="EG12:GR12" si="28">EF12+EG11</f>
        <v>2108613.3106137379</v>
      </c>
      <c r="EH12" s="125">
        <f t="shared" si="28"/>
        <v>2108613.3106137379</v>
      </c>
      <c r="EI12" s="125">
        <f t="shared" si="28"/>
        <v>2108613.3106137379</v>
      </c>
      <c r="EJ12" s="125">
        <f t="shared" si="28"/>
        <v>2108613.3106137379</v>
      </c>
      <c r="EK12" s="125">
        <f t="shared" si="28"/>
        <v>2108613.3106137379</v>
      </c>
      <c r="EL12" s="125">
        <f t="shared" si="28"/>
        <v>2108613.3106137379</v>
      </c>
      <c r="EM12" s="125">
        <f t="shared" si="28"/>
        <v>2108613.3106137379</v>
      </c>
      <c r="EN12" s="125">
        <f t="shared" si="28"/>
        <v>2108613.3106137379</v>
      </c>
      <c r="EO12" s="125">
        <f t="shared" si="28"/>
        <v>2108613.3106137379</v>
      </c>
      <c r="EP12" s="125">
        <f t="shared" si="28"/>
        <v>2108613.3106137379</v>
      </c>
      <c r="EQ12" s="125">
        <f t="shared" si="28"/>
        <v>2108613.3106137379</v>
      </c>
      <c r="ER12" s="125">
        <f t="shared" si="28"/>
        <v>2108613.3106137379</v>
      </c>
      <c r="ES12" s="125">
        <f t="shared" si="28"/>
        <v>2108613.3106137379</v>
      </c>
      <c r="ET12" s="125">
        <f t="shared" si="28"/>
        <v>2108613.3106137379</v>
      </c>
      <c r="EU12" s="125">
        <f t="shared" si="28"/>
        <v>2108613.3106137379</v>
      </c>
      <c r="EV12" s="125">
        <f t="shared" si="28"/>
        <v>2108613.3106137379</v>
      </c>
      <c r="EW12" s="125">
        <f t="shared" si="28"/>
        <v>2108613.3106137379</v>
      </c>
      <c r="EX12" s="125">
        <f t="shared" si="28"/>
        <v>2108613.3106137379</v>
      </c>
      <c r="EY12" s="125">
        <f t="shared" si="28"/>
        <v>2108613.3106137379</v>
      </c>
      <c r="EZ12" s="125">
        <f t="shared" si="28"/>
        <v>2108613.3106137379</v>
      </c>
      <c r="FA12" s="125">
        <f t="shared" si="28"/>
        <v>2108613.3106137379</v>
      </c>
      <c r="FB12" s="125">
        <f t="shared" si="28"/>
        <v>2108613.3106137379</v>
      </c>
      <c r="FC12" s="125">
        <f t="shared" si="28"/>
        <v>2108613.3106137379</v>
      </c>
      <c r="FD12" s="125">
        <f t="shared" si="28"/>
        <v>2108613.3106137379</v>
      </c>
      <c r="FE12" s="125">
        <f t="shared" si="28"/>
        <v>2108613.3106137379</v>
      </c>
      <c r="FF12" s="125">
        <f t="shared" si="28"/>
        <v>2108613.3106137379</v>
      </c>
      <c r="FG12" s="125">
        <f t="shared" si="28"/>
        <v>2108613.3106137379</v>
      </c>
      <c r="FH12" s="125">
        <f t="shared" si="28"/>
        <v>2108613.3106137379</v>
      </c>
      <c r="FI12" s="125">
        <f t="shared" si="28"/>
        <v>2108613.3106137379</v>
      </c>
      <c r="FJ12" s="125">
        <f t="shared" si="28"/>
        <v>2108613.3106137379</v>
      </c>
      <c r="FK12" s="125">
        <f t="shared" si="28"/>
        <v>2108613.3106137379</v>
      </c>
      <c r="FL12" s="125">
        <f t="shared" si="28"/>
        <v>2108613.3106137379</v>
      </c>
      <c r="FM12" s="125">
        <f t="shared" si="28"/>
        <v>2108613.3106137379</v>
      </c>
      <c r="FN12" s="125">
        <f t="shared" si="28"/>
        <v>2108613.3106137379</v>
      </c>
      <c r="FO12" s="125">
        <f t="shared" si="28"/>
        <v>2108613.3106137379</v>
      </c>
      <c r="FP12" s="125">
        <f t="shared" si="28"/>
        <v>2108613.3106137379</v>
      </c>
      <c r="FQ12" s="125">
        <f t="shared" si="28"/>
        <v>2108613.3106137379</v>
      </c>
      <c r="FR12" s="125">
        <f t="shared" si="28"/>
        <v>2108613.3106137379</v>
      </c>
      <c r="FS12" s="125">
        <f t="shared" si="28"/>
        <v>2108613.3106137379</v>
      </c>
      <c r="FT12" s="125">
        <f t="shared" si="28"/>
        <v>2108613.3106137379</v>
      </c>
      <c r="FU12" s="125">
        <f t="shared" si="28"/>
        <v>2108613.3106137379</v>
      </c>
      <c r="FV12" s="125">
        <f t="shared" si="28"/>
        <v>2108613.3106137379</v>
      </c>
      <c r="FW12" s="125">
        <f t="shared" si="28"/>
        <v>2108613.3106137379</v>
      </c>
      <c r="FX12" s="125">
        <f t="shared" si="28"/>
        <v>2108613.3106137379</v>
      </c>
      <c r="FY12" s="125">
        <f t="shared" si="28"/>
        <v>2108613.3106137379</v>
      </c>
      <c r="FZ12" s="125">
        <f t="shared" si="28"/>
        <v>2108613.3106137379</v>
      </c>
      <c r="GA12" s="125">
        <f t="shared" si="28"/>
        <v>2108613.3106137379</v>
      </c>
      <c r="GB12" s="125">
        <f t="shared" si="28"/>
        <v>2108613.3106137379</v>
      </c>
      <c r="GC12" s="125">
        <f t="shared" si="28"/>
        <v>2108613.3106137379</v>
      </c>
      <c r="GD12" s="125">
        <f t="shared" si="28"/>
        <v>2108613.3106137379</v>
      </c>
      <c r="GE12" s="125">
        <f t="shared" si="28"/>
        <v>2108613.3106137379</v>
      </c>
      <c r="GF12" s="125">
        <f t="shared" si="28"/>
        <v>2108613.3106137379</v>
      </c>
      <c r="GG12" s="125">
        <f t="shared" si="28"/>
        <v>2108613.3106137379</v>
      </c>
      <c r="GH12" s="125">
        <f t="shared" si="28"/>
        <v>2108613.3106137379</v>
      </c>
      <c r="GI12" s="125">
        <f t="shared" si="28"/>
        <v>2108613.3106137379</v>
      </c>
      <c r="GJ12" s="125">
        <f t="shared" si="28"/>
        <v>2108613.3106137379</v>
      </c>
      <c r="GK12" s="125">
        <f t="shared" si="28"/>
        <v>2108613.3106137379</v>
      </c>
      <c r="GL12" s="125">
        <f t="shared" si="28"/>
        <v>2108613.3106137379</v>
      </c>
      <c r="GM12" s="125">
        <f t="shared" si="28"/>
        <v>2108613.3106137379</v>
      </c>
      <c r="GN12" s="125">
        <f t="shared" si="28"/>
        <v>2108613.3106137379</v>
      </c>
      <c r="GO12" s="125">
        <f t="shared" si="28"/>
        <v>2108613.3106137379</v>
      </c>
      <c r="GP12" s="125">
        <f t="shared" si="28"/>
        <v>2108613.3106137379</v>
      </c>
      <c r="GQ12" s="125">
        <f t="shared" si="28"/>
        <v>2108613.3106137379</v>
      </c>
      <c r="GR12" s="125">
        <f t="shared" si="28"/>
        <v>2108613.3106137379</v>
      </c>
      <c r="GS12" s="125">
        <f t="shared" ref="GS12:JD12" si="29">GR12+GS11</f>
        <v>2108613.3106137379</v>
      </c>
      <c r="GT12" s="125">
        <f t="shared" si="29"/>
        <v>2108613.3106137379</v>
      </c>
      <c r="GU12" s="125">
        <f t="shared" si="29"/>
        <v>2108613.3106137379</v>
      </c>
      <c r="GV12" s="125">
        <f t="shared" si="29"/>
        <v>2108613.3106137379</v>
      </c>
      <c r="GW12" s="125">
        <f t="shared" si="29"/>
        <v>2108613.3106137379</v>
      </c>
      <c r="GX12" s="125">
        <f t="shared" si="29"/>
        <v>2108613.3106137379</v>
      </c>
      <c r="GY12" s="125">
        <f t="shared" si="29"/>
        <v>2108613.3106137379</v>
      </c>
      <c r="GZ12" s="125">
        <f t="shared" si="29"/>
        <v>2108613.3106137379</v>
      </c>
      <c r="HA12" s="125">
        <f t="shared" si="29"/>
        <v>2108613.3106137379</v>
      </c>
      <c r="HB12" s="125">
        <f t="shared" si="29"/>
        <v>2108613.3106137379</v>
      </c>
      <c r="HC12" s="125">
        <f t="shared" si="29"/>
        <v>2108613.3106137379</v>
      </c>
      <c r="HD12" s="125">
        <f t="shared" si="29"/>
        <v>2108613.3106137379</v>
      </c>
      <c r="HE12" s="125">
        <f t="shared" si="29"/>
        <v>2108613.3106137379</v>
      </c>
      <c r="HF12" s="125">
        <f t="shared" si="29"/>
        <v>2108613.3106137379</v>
      </c>
      <c r="HG12" s="125">
        <f t="shared" si="29"/>
        <v>2108613.3106137379</v>
      </c>
      <c r="HH12" s="125">
        <f t="shared" si="29"/>
        <v>2108613.3106137379</v>
      </c>
      <c r="HI12" s="125">
        <f t="shared" si="29"/>
        <v>2108613.3106137379</v>
      </c>
      <c r="HJ12" s="125">
        <f t="shared" si="29"/>
        <v>2108613.3106137379</v>
      </c>
      <c r="HK12" s="125">
        <f t="shared" si="29"/>
        <v>2108613.3106137379</v>
      </c>
      <c r="HL12" s="125">
        <f t="shared" si="29"/>
        <v>2108613.3106137379</v>
      </c>
      <c r="HM12" s="125">
        <f t="shared" si="29"/>
        <v>2108613.3106137379</v>
      </c>
      <c r="HN12" s="125">
        <f t="shared" si="29"/>
        <v>2108613.3106137379</v>
      </c>
      <c r="HO12" s="125">
        <f t="shared" si="29"/>
        <v>2108613.3106137379</v>
      </c>
      <c r="HP12" s="125">
        <f t="shared" si="29"/>
        <v>2108613.3106137379</v>
      </c>
      <c r="HQ12" s="125">
        <f t="shared" si="29"/>
        <v>2108613.3106137379</v>
      </c>
      <c r="HR12" s="125">
        <f t="shared" si="29"/>
        <v>2108613.3106137379</v>
      </c>
      <c r="HS12" s="125">
        <f t="shared" si="29"/>
        <v>2108613.3106137379</v>
      </c>
      <c r="HT12" s="125">
        <f t="shared" si="29"/>
        <v>2108613.3106137379</v>
      </c>
      <c r="HU12" s="125">
        <f t="shared" si="29"/>
        <v>2108613.3106137379</v>
      </c>
      <c r="HV12" s="125">
        <f t="shared" si="29"/>
        <v>2108613.3106137379</v>
      </c>
      <c r="HW12" s="125">
        <f t="shared" si="29"/>
        <v>2108613.3106137379</v>
      </c>
      <c r="HX12" s="125">
        <f t="shared" si="29"/>
        <v>2108613.3106137379</v>
      </c>
      <c r="HY12" s="125">
        <f t="shared" si="29"/>
        <v>2108613.3106137379</v>
      </c>
      <c r="HZ12" s="125">
        <f t="shared" si="29"/>
        <v>2108613.3106137379</v>
      </c>
      <c r="IA12" s="125">
        <f t="shared" si="29"/>
        <v>2108613.3106137379</v>
      </c>
      <c r="IB12" s="125">
        <f t="shared" si="29"/>
        <v>2108613.3106137379</v>
      </c>
      <c r="IC12" s="125">
        <f t="shared" si="29"/>
        <v>2108613.3106137379</v>
      </c>
      <c r="ID12" s="125">
        <f t="shared" si="29"/>
        <v>2108613.3106137379</v>
      </c>
      <c r="IE12" s="125">
        <f t="shared" si="29"/>
        <v>2108613.3106137379</v>
      </c>
      <c r="IF12" s="125">
        <f t="shared" si="29"/>
        <v>2108613.3106137379</v>
      </c>
      <c r="IG12" s="125">
        <f t="shared" si="29"/>
        <v>2108613.3106137379</v>
      </c>
      <c r="IH12" s="125">
        <f t="shared" si="29"/>
        <v>2108613.3106137379</v>
      </c>
      <c r="II12" s="125">
        <f t="shared" si="29"/>
        <v>2108613.3106137379</v>
      </c>
      <c r="IJ12" s="125">
        <f t="shared" si="29"/>
        <v>2108613.3106137379</v>
      </c>
      <c r="IK12" s="125">
        <f t="shared" si="29"/>
        <v>2108613.3106137379</v>
      </c>
      <c r="IL12" s="125">
        <f t="shared" si="29"/>
        <v>2108613.3106137379</v>
      </c>
      <c r="IM12" s="125">
        <f t="shared" si="29"/>
        <v>2108613.3106137379</v>
      </c>
      <c r="IN12" s="125">
        <f t="shared" si="29"/>
        <v>2108613.3106137379</v>
      </c>
      <c r="IO12" s="125">
        <f t="shared" si="29"/>
        <v>2108613.3106137379</v>
      </c>
      <c r="IP12" s="125">
        <f t="shared" si="29"/>
        <v>2108613.3106137379</v>
      </c>
      <c r="IQ12" s="125">
        <f t="shared" si="29"/>
        <v>2108613.3106137379</v>
      </c>
      <c r="IR12" s="125">
        <f t="shared" si="29"/>
        <v>2108613.3106137379</v>
      </c>
      <c r="IS12" s="125">
        <f t="shared" si="29"/>
        <v>2108613.3106137379</v>
      </c>
      <c r="IT12" s="125">
        <f t="shared" si="29"/>
        <v>2108613.3106137379</v>
      </c>
      <c r="IU12" s="125">
        <f t="shared" si="29"/>
        <v>2108613.3106137379</v>
      </c>
      <c r="IV12" s="125">
        <f t="shared" si="29"/>
        <v>2108613.3106137379</v>
      </c>
      <c r="IW12" s="125">
        <f t="shared" si="29"/>
        <v>2108613.3106137379</v>
      </c>
      <c r="IX12" s="125">
        <f t="shared" si="29"/>
        <v>2108613.3106137379</v>
      </c>
      <c r="IY12" s="125">
        <f t="shared" si="29"/>
        <v>2108613.3106137379</v>
      </c>
      <c r="IZ12" s="125">
        <f t="shared" si="29"/>
        <v>2108613.3106137379</v>
      </c>
      <c r="JA12" s="125">
        <f t="shared" si="29"/>
        <v>2108613.3106137379</v>
      </c>
      <c r="JB12" s="125">
        <f t="shared" si="29"/>
        <v>2108613.3106137379</v>
      </c>
      <c r="JC12" s="125">
        <f t="shared" si="29"/>
        <v>2108613.3106137379</v>
      </c>
      <c r="JD12" s="125">
        <f t="shared" si="29"/>
        <v>2108613.3106137379</v>
      </c>
      <c r="JE12" s="125">
        <f t="shared" ref="JE12:KE12" si="30">JD12+JE11</f>
        <v>2108613.3106137379</v>
      </c>
      <c r="JF12" s="125">
        <f t="shared" si="30"/>
        <v>2108613.3106137379</v>
      </c>
      <c r="JG12" s="125">
        <f t="shared" si="30"/>
        <v>2108613.3106137379</v>
      </c>
      <c r="JH12" s="125">
        <f t="shared" si="30"/>
        <v>2108613.3106137379</v>
      </c>
      <c r="JI12" s="125">
        <f t="shared" si="30"/>
        <v>2108613.3106137379</v>
      </c>
      <c r="JJ12" s="125">
        <f t="shared" si="30"/>
        <v>2108613.3106137379</v>
      </c>
      <c r="JK12" s="125">
        <f t="shared" si="30"/>
        <v>2108613.3106137379</v>
      </c>
      <c r="JL12" s="125">
        <f t="shared" si="30"/>
        <v>2108613.3106137379</v>
      </c>
      <c r="JM12" s="125">
        <f t="shared" si="30"/>
        <v>2108613.3106137379</v>
      </c>
      <c r="JN12" s="125">
        <f t="shared" si="30"/>
        <v>2108613.3106137379</v>
      </c>
      <c r="JO12" s="125">
        <f t="shared" si="30"/>
        <v>2108613.3106137379</v>
      </c>
      <c r="JP12" s="125">
        <f t="shared" si="30"/>
        <v>2108613.3106137379</v>
      </c>
      <c r="JQ12" s="125">
        <f t="shared" si="30"/>
        <v>2108613.3106137379</v>
      </c>
      <c r="JR12" s="125">
        <f t="shared" si="30"/>
        <v>2108613.3106137379</v>
      </c>
      <c r="JS12" s="125">
        <f t="shared" si="30"/>
        <v>2108613.3106137379</v>
      </c>
      <c r="JT12" s="125">
        <f t="shared" si="30"/>
        <v>2108613.3106137379</v>
      </c>
      <c r="JU12" s="125">
        <f t="shared" si="30"/>
        <v>2108613.3106137379</v>
      </c>
      <c r="JV12" s="125">
        <f t="shared" si="30"/>
        <v>2108613.3106137379</v>
      </c>
      <c r="JW12" s="125">
        <f t="shared" si="30"/>
        <v>2108613.3106137379</v>
      </c>
      <c r="JX12" s="125">
        <f t="shared" si="30"/>
        <v>2108613.3106137379</v>
      </c>
      <c r="JY12" s="125">
        <f t="shared" si="30"/>
        <v>2108613.3106137379</v>
      </c>
      <c r="JZ12" s="125">
        <f t="shared" si="30"/>
        <v>2108613.3106137379</v>
      </c>
      <c r="KA12" s="125">
        <f t="shared" si="30"/>
        <v>2108613.3106137379</v>
      </c>
      <c r="KB12" s="125">
        <f t="shared" si="30"/>
        <v>2108613.3106137379</v>
      </c>
      <c r="KC12" s="125">
        <f t="shared" si="30"/>
        <v>2108613.3106137379</v>
      </c>
      <c r="KD12" s="125">
        <f t="shared" si="30"/>
        <v>2108613.3106137379</v>
      </c>
      <c r="KE12" s="125">
        <f t="shared" si="30"/>
        <v>2108613.3106137379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385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-273832.50457729469</v>
      </c>
      <c r="AA14" s="118">
        <f t="shared" si="32"/>
        <v>2036637.5399832714</v>
      </c>
      <c r="AB14" s="118">
        <f t="shared" si="32"/>
        <v>2033513.7899832714</v>
      </c>
      <c r="AC14" s="118">
        <f t="shared" si="32"/>
        <v>2033513.7899832714</v>
      </c>
      <c r="AD14" s="118">
        <f t="shared" si="32"/>
        <v>1944946.7863214356</v>
      </c>
      <c r="AE14" s="118">
        <f t="shared" si="32"/>
        <v>1579002.7117441408</v>
      </c>
      <c r="AF14" s="118">
        <f t="shared" si="32"/>
        <v>1488564.860407324</v>
      </c>
      <c r="AG14" s="118">
        <f t="shared" si="32"/>
        <v>1649676.1110724485</v>
      </c>
      <c r="AH14" s="118">
        <f t="shared" si="32"/>
        <v>498942.24010470649</v>
      </c>
      <c r="AI14" s="118">
        <f t="shared" si="32"/>
        <v>498942.24010470649</v>
      </c>
      <c r="AJ14" s="118">
        <f t="shared" si="32"/>
        <v>473676.7391892476</v>
      </c>
      <c r="AK14" s="118">
        <f t="shared" si="32"/>
        <v>473676.7391892476</v>
      </c>
      <c r="AL14" s="118">
        <f t="shared" si="32"/>
        <v>473676.7391892476</v>
      </c>
      <c r="AM14" s="118">
        <f t="shared" si="32"/>
        <v>473676.7391892476</v>
      </c>
      <c r="AN14" s="118">
        <f t="shared" si="32"/>
        <v>473676.7391892476</v>
      </c>
      <c r="AO14" s="118">
        <f t="shared" si="32"/>
        <v>473676.7391892476</v>
      </c>
      <c r="AP14" s="118">
        <f t="shared" si="32"/>
        <v>473676.7391892476</v>
      </c>
      <c r="AQ14" s="118">
        <f t="shared" si="32"/>
        <v>473676.7391892476</v>
      </c>
      <c r="AR14" s="118">
        <f t="shared" si="32"/>
        <v>473676.7391892476</v>
      </c>
      <c r="AS14" s="118">
        <f t="shared" si="32"/>
        <v>473676.7391892476</v>
      </c>
      <c r="AT14" s="118">
        <f t="shared" si="32"/>
        <v>473676.7391892476</v>
      </c>
      <c r="AU14" s="118">
        <f t="shared" si="32"/>
        <v>473676.7391892476</v>
      </c>
      <c r="AV14" s="118">
        <f t="shared" si="32"/>
        <v>473676.7391892476</v>
      </c>
      <c r="AW14" s="118">
        <f t="shared" si="32"/>
        <v>473676.7391892476</v>
      </c>
      <c r="AX14" s="118">
        <f t="shared" si="32"/>
        <v>473676.7391892476</v>
      </c>
      <c r="AY14" s="118">
        <f t="shared" si="32"/>
        <v>473676.7391892476</v>
      </c>
      <c r="AZ14" s="118">
        <f t="shared" si="32"/>
        <v>473676.7391892476</v>
      </c>
      <c r="BA14" s="118">
        <f t="shared" si="32"/>
        <v>473676.7391892476</v>
      </c>
      <c r="BB14" s="118">
        <f t="shared" si="32"/>
        <v>473676.7391892476</v>
      </c>
      <c r="BC14" s="118">
        <f t="shared" si="32"/>
        <v>473676.7391892476</v>
      </c>
      <c r="BD14" s="118">
        <f t="shared" si="32"/>
        <v>473676.7391892476</v>
      </c>
      <c r="BE14" s="118">
        <f t="shared" si="32"/>
        <v>473676.7391892476</v>
      </c>
      <c r="BF14" s="118">
        <f t="shared" si="32"/>
        <v>473676.7391892476</v>
      </c>
      <c r="BG14" s="118">
        <f t="shared" si="32"/>
        <v>473676.7391892476</v>
      </c>
      <c r="BH14" s="118">
        <f t="shared" si="32"/>
        <v>473676.7391892476</v>
      </c>
      <c r="BI14" s="118">
        <f t="shared" si="32"/>
        <v>473676.7391892476</v>
      </c>
      <c r="BJ14" s="118">
        <f t="shared" si="32"/>
        <v>473676.7391892476</v>
      </c>
      <c r="BK14" s="118">
        <f t="shared" si="32"/>
        <v>473676.7391892476</v>
      </c>
      <c r="BL14" s="118">
        <f t="shared" si="32"/>
        <v>473676.7391892476</v>
      </c>
      <c r="BM14" s="118">
        <f t="shared" si="32"/>
        <v>473676.7391892476</v>
      </c>
      <c r="BN14" s="118">
        <f t="shared" si="32"/>
        <v>473676.7391892476</v>
      </c>
      <c r="BO14" s="118">
        <f t="shared" si="32"/>
        <v>473676.7391892476</v>
      </c>
      <c r="BP14" s="118">
        <f t="shared" si="32"/>
        <v>473676.7391892476</v>
      </c>
      <c r="BQ14" s="118">
        <f t="shared" si="32"/>
        <v>473676.7391892476</v>
      </c>
      <c r="BR14" s="118">
        <f t="shared" si="32"/>
        <v>473676.7391892476</v>
      </c>
      <c r="BS14" s="118">
        <f t="shared" si="32"/>
        <v>473676.7391892476</v>
      </c>
      <c r="BT14" s="118">
        <f t="shared" si="32"/>
        <v>473676.7391892476</v>
      </c>
      <c r="BU14" s="118">
        <f t="shared" ref="BU14:EF14" si="33">BU10-BU12</f>
        <v>473676.7391892476</v>
      </c>
      <c r="BV14" s="118">
        <f t="shared" si="33"/>
        <v>473676.7391892476</v>
      </c>
      <c r="BW14" s="118">
        <f t="shared" si="33"/>
        <v>473676.7391892476</v>
      </c>
      <c r="BX14" s="118">
        <f t="shared" si="33"/>
        <v>473676.7391892476</v>
      </c>
      <c r="BY14" s="118">
        <f t="shared" si="33"/>
        <v>473676.7391892476</v>
      </c>
      <c r="BZ14" s="118">
        <f t="shared" si="33"/>
        <v>473676.7391892476</v>
      </c>
      <c r="CA14" s="118">
        <f t="shared" si="33"/>
        <v>473676.7391892476</v>
      </c>
      <c r="CB14" s="118">
        <f t="shared" si="33"/>
        <v>473676.7391892476</v>
      </c>
      <c r="CC14" s="118">
        <f t="shared" si="33"/>
        <v>473676.7391892476</v>
      </c>
      <c r="CD14" s="118">
        <f t="shared" si="33"/>
        <v>473676.7391892476</v>
      </c>
      <c r="CE14" s="118">
        <f t="shared" si="33"/>
        <v>473676.7391892476</v>
      </c>
      <c r="CF14" s="118">
        <f t="shared" si="33"/>
        <v>473676.7391892476</v>
      </c>
      <c r="CG14" s="118">
        <f t="shared" si="33"/>
        <v>609586.74181045732</v>
      </c>
      <c r="CH14" s="118">
        <f t="shared" si="33"/>
        <v>609586.74181045732</v>
      </c>
      <c r="CI14" s="118">
        <f t="shared" si="33"/>
        <v>609586.74181045732</v>
      </c>
      <c r="CJ14" s="118">
        <f t="shared" si="33"/>
        <v>609586.74181045732</v>
      </c>
      <c r="CK14" s="118">
        <f t="shared" si="33"/>
        <v>609586.74181045732</v>
      </c>
      <c r="CL14" s="118">
        <f t="shared" si="33"/>
        <v>609586.74181045732</v>
      </c>
      <c r="CM14" s="118">
        <f t="shared" si="33"/>
        <v>609586.74181045732</v>
      </c>
      <c r="CN14" s="118">
        <f t="shared" si="33"/>
        <v>609586.74181045732</v>
      </c>
      <c r="CO14" s="118">
        <f t="shared" si="33"/>
        <v>609586.74181045732</v>
      </c>
      <c r="CP14" s="118">
        <f t="shared" si="33"/>
        <v>609586.74181045732</v>
      </c>
      <c r="CQ14" s="118">
        <f t="shared" si="33"/>
        <v>609586.74181045732</v>
      </c>
      <c r="CR14" s="118">
        <f t="shared" si="33"/>
        <v>609586.74181045732</v>
      </c>
      <c r="CS14" s="118">
        <f t="shared" si="33"/>
        <v>609586.74181045732</v>
      </c>
      <c r="CT14" s="118">
        <f t="shared" si="33"/>
        <v>609586.74181045732</v>
      </c>
      <c r="CU14" s="118">
        <f t="shared" si="33"/>
        <v>609586.74181045732</v>
      </c>
      <c r="CV14" s="118">
        <f t="shared" si="33"/>
        <v>609586.74181045732</v>
      </c>
      <c r="CW14" s="118">
        <f t="shared" si="33"/>
        <v>609586.74181045732</v>
      </c>
      <c r="CX14" s="118">
        <f t="shared" si="33"/>
        <v>609586.74181045732</v>
      </c>
      <c r="CY14" s="118">
        <f t="shared" si="33"/>
        <v>609586.74181045732</v>
      </c>
      <c r="CZ14" s="118">
        <f t="shared" si="33"/>
        <v>609586.74181045732</v>
      </c>
      <c r="DA14" s="118">
        <f t="shared" si="33"/>
        <v>609586.74181045732</v>
      </c>
      <c r="DB14" s="118">
        <f t="shared" si="33"/>
        <v>609586.74181045732</v>
      </c>
      <c r="DC14" s="118">
        <f t="shared" si="33"/>
        <v>609586.74181045732</v>
      </c>
      <c r="DD14" s="118">
        <f t="shared" si="33"/>
        <v>609586.74181045732</v>
      </c>
      <c r="DE14" s="118">
        <f t="shared" si="33"/>
        <v>609586.74181045732</v>
      </c>
      <c r="DF14" s="118">
        <f t="shared" si="33"/>
        <v>609586.74181045732</v>
      </c>
      <c r="DG14" s="118">
        <f t="shared" si="33"/>
        <v>609586.74181045732</v>
      </c>
      <c r="DH14" s="118">
        <f t="shared" si="33"/>
        <v>609586.74181045732</v>
      </c>
      <c r="DI14" s="118">
        <f t="shared" si="33"/>
        <v>609586.74181045732</v>
      </c>
      <c r="DJ14" s="118">
        <f t="shared" si="33"/>
        <v>609586.74181045732</v>
      </c>
      <c r="DK14" s="118">
        <f t="shared" si="33"/>
        <v>609586.74181045732</v>
      </c>
      <c r="DL14" s="118">
        <f t="shared" si="33"/>
        <v>609586.74181045732</v>
      </c>
      <c r="DM14" s="118">
        <f t="shared" si="33"/>
        <v>609586.74181045732</v>
      </c>
      <c r="DN14" s="118">
        <f t="shared" si="33"/>
        <v>609586.74181045732</v>
      </c>
      <c r="DO14" s="118">
        <f t="shared" si="33"/>
        <v>609586.74181045732</v>
      </c>
      <c r="DP14" s="118">
        <f t="shared" si="33"/>
        <v>609586.74181045732</v>
      </c>
      <c r="DQ14" s="118">
        <f t="shared" si="33"/>
        <v>609586.74181045732</v>
      </c>
      <c r="DR14" s="118">
        <f t="shared" si="33"/>
        <v>609586.74181045732</v>
      </c>
      <c r="DS14" s="118">
        <f t="shared" si="33"/>
        <v>609586.74181045732</v>
      </c>
      <c r="DT14" s="118">
        <f t="shared" si="33"/>
        <v>609586.74181045732</v>
      </c>
      <c r="DU14" s="118">
        <f t="shared" si="33"/>
        <v>609586.74181045732</v>
      </c>
      <c r="DV14" s="118">
        <f t="shared" si="33"/>
        <v>609586.74181045732</v>
      </c>
      <c r="DW14" s="118">
        <f t="shared" si="33"/>
        <v>609586.74181045732</v>
      </c>
      <c r="DX14" s="118">
        <f t="shared" si="33"/>
        <v>609586.74181045732</v>
      </c>
      <c r="DY14" s="118">
        <f t="shared" si="33"/>
        <v>609586.74181045732</v>
      </c>
      <c r="DZ14" s="118">
        <f t="shared" si="33"/>
        <v>609586.74181045732</v>
      </c>
      <c r="EA14" s="118">
        <f t="shared" si="33"/>
        <v>609586.74181045732</v>
      </c>
      <c r="EB14" s="118">
        <f t="shared" si="33"/>
        <v>609586.74181045732</v>
      </c>
      <c r="EC14" s="118">
        <f t="shared" si="33"/>
        <v>609586.74181045732</v>
      </c>
      <c r="ED14" s="118">
        <f t="shared" si="33"/>
        <v>609586.74181045732</v>
      </c>
      <c r="EE14" s="118">
        <f t="shared" si="33"/>
        <v>609586.74181045732</v>
      </c>
      <c r="EF14" s="118">
        <f t="shared" si="33"/>
        <v>609586.74181045732</v>
      </c>
      <c r="EG14" s="118">
        <f t="shared" ref="EG14:GR14" si="34">EG10-EG12</f>
        <v>609586.74181045732</v>
      </c>
      <c r="EH14" s="118">
        <f t="shared" si="34"/>
        <v>609586.74181045732</v>
      </c>
      <c r="EI14" s="118">
        <f t="shared" si="34"/>
        <v>609586.74181045732</v>
      </c>
      <c r="EJ14" s="118">
        <f t="shared" si="34"/>
        <v>609586.74181045732</v>
      </c>
      <c r="EK14" s="118">
        <f t="shared" si="34"/>
        <v>609586.74181045732</v>
      </c>
      <c r="EL14" s="118">
        <f t="shared" si="34"/>
        <v>609586.74181045732</v>
      </c>
      <c r="EM14" s="118">
        <f t="shared" si="34"/>
        <v>609586.74181045732</v>
      </c>
      <c r="EN14" s="118">
        <f t="shared" si="34"/>
        <v>609586.74181045732</v>
      </c>
      <c r="EO14" s="118">
        <f t="shared" si="34"/>
        <v>609586.74181045732</v>
      </c>
      <c r="EP14" s="118">
        <f t="shared" si="34"/>
        <v>609586.74181045732</v>
      </c>
      <c r="EQ14" s="118">
        <f t="shared" si="34"/>
        <v>609586.74181045732</v>
      </c>
      <c r="ER14" s="118">
        <f t="shared" si="34"/>
        <v>609586.74181045732</v>
      </c>
      <c r="ES14" s="118">
        <f t="shared" si="34"/>
        <v>609586.74181045732</v>
      </c>
      <c r="ET14" s="118">
        <f t="shared" si="34"/>
        <v>609586.74181045732</v>
      </c>
      <c r="EU14" s="118">
        <f t="shared" si="34"/>
        <v>609586.74181045732</v>
      </c>
      <c r="EV14" s="118">
        <f t="shared" si="34"/>
        <v>609586.74181045732</v>
      </c>
      <c r="EW14" s="118">
        <f t="shared" si="34"/>
        <v>609586.74181045732</v>
      </c>
      <c r="EX14" s="118">
        <f t="shared" si="34"/>
        <v>609586.74181045732</v>
      </c>
      <c r="EY14" s="118">
        <f t="shared" si="34"/>
        <v>609586.74181045732</v>
      </c>
      <c r="EZ14" s="118">
        <f t="shared" si="34"/>
        <v>609586.74181045732</v>
      </c>
      <c r="FA14" s="118">
        <f t="shared" si="34"/>
        <v>609586.74181045732</v>
      </c>
      <c r="FB14" s="118">
        <f t="shared" si="34"/>
        <v>609586.74181045732</v>
      </c>
      <c r="FC14" s="118">
        <f t="shared" si="34"/>
        <v>609586.74181045732</v>
      </c>
      <c r="FD14" s="118">
        <f t="shared" si="34"/>
        <v>609586.74181045732</v>
      </c>
      <c r="FE14" s="118">
        <f t="shared" si="34"/>
        <v>609586.74181045732</v>
      </c>
      <c r="FF14" s="118">
        <f t="shared" si="34"/>
        <v>609586.74181045732</v>
      </c>
      <c r="FG14" s="118">
        <f t="shared" si="34"/>
        <v>609586.74181045732</v>
      </c>
      <c r="FH14" s="118">
        <f t="shared" si="34"/>
        <v>609586.74181045732</v>
      </c>
      <c r="FI14" s="118">
        <f t="shared" si="34"/>
        <v>609586.74181045732</v>
      </c>
      <c r="FJ14" s="118">
        <f t="shared" si="34"/>
        <v>609586.74181045732</v>
      </c>
      <c r="FK14" s="118">
        <f t="shared" si="34"/>
        <v>609586.74181045732</v>
      </c>
      <c r="FL14" s="118">
        <f t="shared" si="34"/>
        <v>609586.74181045732</v>
      </c>
      <c r="FM14" s="118">
        <f t="shared" si="34"/>
        <v>609586.74181045732</v>
      </c>
      <c r="FN14" s="118">
        <f t="shared" si="34"/>
        <v>609586.74181045732</v>
      </c>
      <c r="FO14" s="118">
        <f t="shared" si="34"/>
        <v>609586.74181045732</v>
      </c>
      <c r="FP14" s="118">
        <f t="shared" si="34"/>
        <v>609586.74181045732</v>
      </c>
      <c r="FQ14" s="118">
        <f t="shared" si="34"/>
        <v>609586.74181045732</v>
      </c>
      <c r="FR14" s="118">
        <f t="shared" si="34"/>
        <v>609586.74181045732</v>
      </c>
      <c r="FS14" s="118">
        <f t="shared" si="34"/>
        <v>609586.74181045732</v>
      </c>
      <c r="FT14" s="118">
        <f t="shared" si="34"/>
        <v>609586.74181045732</v>
      </c>
      <c r="FU14" s="118">
        <f t="shared" si="34"/>
        <v>609586.74181045732</v>
      </c>
      <c r="FV14" s="118">
        <f t="shared" si="34"/>
        <v>609586.74181045732</v>
      </c>
      <c r="FW14" s="118">
        <f t="shared" si="34"/>
        <v>609586.74181045732</v>
      </c>
      <c r="FX14" s="118">
        <f t="shared" si="34"/>
        <v>609586.74181045732</v>
      </c>
      <c r="FY14" s="118">
        <f t="shared" si="34"/>
        <v>609586.74181045732</v>
      </c>
      <c r="FZ14" s="118">
        <f t="shared" si="34"/>
        <v>609586.74181045732</v>
      </c>
      <c r="GA14" s="118">
        <f t="shared" si="34"/>
        <v>609586.74181045732</v>
      </c>
      <c r="GB14" s="118">
        <f t="shared" si="34"/>
        <v>609586.74181045732</v>
      </c>
      <c r="GC14" s="118">
        <f t="shared" si="34"/>
        <v>609586.74181045732</v>
      </c>
      <c r="GD14" s="118">
        <f t="shared" si="34"/>
        <v>609586.74181045732</v>
      </c>
      <c r="GE14" s="118">
        <f t="shared" si="34"/>
        <v>609586.74181045732</v>
      </c>
      <c r="GF14" s="118">
        <f t="shared" si="34"/>
        <v>609586.74181045732</v>
      </c>
      <c r="GG14" s="118">
        <f t="shared" si="34"/>
        <v>609586.74181045732</v>
      </c>
      <c r="GH14" s="118">
        <f t="shared" si="34"/>
        <v>609586.74181045732</v>
      </c>
      <c r="GI14" s="118">
        <f t="shared" si="34"/>
        <v>609586.74181045732</v>
      </c>
      <c r="GJ14" s="118">
        <f t="shared" si="34"/>
        <v>609586.74181045732</v>
      </c>
      <c r="GK14" s="118">
        <f t="shared" si="34"/>
        <v>609586.74181045732</v>
      </c>
      <c r="GL14" s="118">
        <f t="shared" si="34"/>
        <v>609586.74181045732</v>
      </c>
      <c r="GM14" s="118">
        <f t="shared" si="34"/>
        <v>609586.74181045732</v>
      </c>
      <c r="GN14" s="118">
        <f t="shared" si="34"/>
        <v>609586.74181045732</v>
      </c>
      <c r="GO14" s="118">
        <f t="shared" si="34"/>
        <v>609586.74181045732</v>
      </c>
      <c r="GP14" s="118">
        <f t="shared" si="34"/>
        <v>609586.74181045732</v>
      </c>
      <c r="GQ14" s="118">
        <f t="shared" si="34"/>
        <v>609586.74181045732</v>
      </c>
      <c r="GR14" s="118">
        <f t="shared" si="34"/>
        <v>609586.74181045732</v>
      </c>
      <c r="GS14" s="118">
        <f t="shared" ref="GS14:JD14" si="35">GS10-GS12</f>
        <v>609586.74181045732</v>
      </c>
      <c r="GT14" s="118">
        <f t="shared" si="35"/>
        <v>609586.74181045732</v>
      </c>
      <c r="GU14" s="118">
        <f t="shared" si="35"/>
        <v>609586.74181045732</v>
      </c>
      <c r="GV14" s="118">
        <f t="shared" si="35"/>
        <v>609586.74181045732</v>
      </c>
      <c r="GW14" s="118">
        <f t="shared" si="35"/>
        <v>609586.74181045732</v>
      </c>
      <c r="GX14" s="118">
        <f t="shared" si="35"/>
        <v>609586.74181045732</v>
      </c>
      <c r="GY14" s="118">
        <f t="shared" si="35"/>
        <v>609586.74181045732</v>
      </c>
      <c r="GZ14" s="118">
        <f t="shared" si="35"/>
        <v>609586.74181045732</v>
      </c>
      <c r="HA14" s="118">
        <f t="shared" si="35"/>
        <v>609586.74181045732</v>
      </c>
      <c r="HB14" s="118">
        <f t="shared" si="35"/>
        <v>609586.74181045732</v>
      </c>
      <c r="HC14" s="118">
        <f t="shared" si="35"/>
        <v>609586.74181045732</v>
      </c>
      <c r="HD14" s="118">
        <f t="shared" si="35"/>
        <v>609586.74181045732</v>
      </c>
      <c r="HE14" s="118">
        <f t="shared" si="35"/>
        <v>609586.74181045732</v>
      </c>
      <c r="HF14" s="118">
        <f t="shared" si="35"/>
        <v>609586.74181045732</v>
      </c>
      <c r="HG14" s="118">
        <f t="shared" si="35"/>
        <v>609586.74181045732</v>
      </c>
      <c r="HH14" s="118">
        <f t="shared" si="35"/>
        <v>609586.74181045732</v>
      </c>
      <c r="HI14" s="118">
        <f t="shared" si="35"/>
        <v>609586.74181045732</v>
      </c>
      <c r="HJ14" s="118">
        <f t="shared" si="35"/>
        <v>609586.74181045732</v>
      </c>
      <c r="HK14" s="118">
        <f t="shared" si="35"/>
        <v>609586.74181045732</v>
      </c>
      <c r="HL14" s="118">
        <f t="shared" si="35"/>
        <v>609586.74181045732</v>
      </c>
      <c r="HM14" s="118">
        <f t="shared" si="35"/>
        <v>609586.74181045732</v>
      </c>
      <c r="HN14" s="118">
        <f t="shared" si="35"/>
        <v>609586.74181045732</v>
      </c>
      <c r="HO14" s="118">
        <f t="shared" si="35"/>
        <v>609586.74181045732</v>
      </c>
      <c r="HP14" s="118">
        <f t="shared" si="35"/>
        <v>609586.74181045732</v>
      </c>
      <c r="HQ14" s="118">
        <f t="shared" si="35"/>
        <v>609586.74181045732</v>
      </c>
      <c r="HR14" s="118">
        <f t="shared" si="35"/>
        <v>609586.74181045732</v>
      </c>
      <c r="HS14" s="118">
        <f t="shared" si="35"/>
        <v>609586.74181045732</v>
      </c>
      <c r="HT14" s="118">
        <f t="shared" si="35"/>
        <v>609586.74181045732</v>
      </c>
      <c r="HU14" s="118">
        <f t="shared" si="35"/>
        <v>609586.74181045732</v>
      </c>
      <c r="HV14" s="118">
        <f t="shared" si="35"/>
        <v>609586.74181045732</v>
      </c>
      <c r="HW14" s="118">
        <f t="shared" si="35"/>
        <v>609586.74181045732</v>
      </c>
      <c r="HX14" s="118">
        <f t="shared" si="35"/>
        <v>609586.74181045732</v>
      </c>
      <c r="HY14" s="118">
        <f t="shared" si="35"/>
        <v>609586.74181045732</v>
      </c>
      <c r="HZ14" s="118">
        <f t="shared" si="35"/>
        <v>609586.74181045732</v>
      </c>
      <c r="IA14" s="118">
        <f t="shared" si="35"/>
        <v>609586.74181045732</v>
      </c>
      <c r="IB14" s="118">
        <f t="shared" si="35"/>
        <v>609586.74181045732</v>
      </c>
      <c r="IC14" s="118">
        <f t="shared" si="35"/>
        <v>609586.74181045732</v>
      </c>
      <c r="ID14" s="118">
        <f t="shared" si="35"/>
        <v>609586.74181045732</v>
      </c>
      <c r="IE14" s="118">
        <f t="shared" si="35"/>
        <v>609586.74181045732</v>
      </c>
      <c r="IF14" s="118">
        <f t="shared" si="35"/>
        <v>609586.74181045732</v>
      </c>
      <c r="IG14" s="118">
        <f t="shared" si="35"/>
        <v>609586.74181045732</v>
      </c>
      <c r="IH14" s="118">
        <f t="shared" si="35"/>
        <v>609586.74181045732</v>
      </c>
      <c r="II14" s="118">
        <f t="shared" si="35"/>
        <v>609586.74181045732</v>
      </c>
      <c r="IJ14" s="118">
        <f t="shared" si="35"/>
        <v>609586.74181045732</v>
      </c>
      <c r="IK14" s="118">
        <f t="shared" si="35"/>
        <v>609586.74181045732</v>
      </c>
      <c r="IL14" s="118">
        <f t="shared" si="35"/>
        <v>609586.74181045732</v>
      </c>
      <c r="IM14" s="118">
        <f t="shared" si="35"/>
        <v>609586.74181045732</v>
      </c>
      <c r="IN14" s="118">
        <f t="shared" si="35"/>
        <v>609586.74181045732</v>
      </c>
      <c r="IO14" s="118">
        <f t="shared" si="35"/>
        <v>609586.74181045732</v>
      </c>
      <c r="IP14" s="118">
        <f t="shared" si="35"/>
        <v>609586.74181045732</v>
      </c>
      <c r="IQ14" s="118">
        <f t="shared" si="35"/>
        <v>609586.74181045732</v>
      </c>
      <c r="IR14" s="118">
        <f t="shared" si="35"/>
        <v>609586.74181045732</v>
      </c>
      <c r="IS14" s="118">
        <f t="shared" si="35"/>
        <v>609586.74181045732</v>
      </c>
      <c r="IT14" s="118">
        <f t="shared" si="35"/>
        <v>609586.74181045732</v>
      </c>
      <c r="IU14" s="118">
        <f t="shared" si="35"/>
        <v>609586.74181045732</v>
      </c>
      <c r="IV14" s="118">
        <f t="shared" si="35"/>
        <v>609586.74181045732</v>
      </c>
      <c r="IW14" s="118">
        <f t="shared" si="35"/>
        <v>609586.74181045732</v>
      </c>
      <c r="IX14" s="118">
        <f t="shared" si="35"/>
        <v>609586.74181045732</v>
      </c>
      <c r="IY14" s="118">
        <f t="shared" si="35"/>
        <v>609586.74181045732</v>
      </c>
      <c r="IZ14" s="118">
        <f t="shared" si="35"/>
        <v>609586.74181045732</v>
      </c>
      <c r="JA14" s="118">
        <f t="shared" si="35"/>
        <v>609586.74181045732</v>
      </c>
      <c r="JB14" s="118">
        <f t="shared" si="35"/>
        <v>609586.74181045732</v>
      </c>
      <c r="JC14" s="118">
        <f t="shared" si="35"/>
        <v>609586.74181045732</v>
      </c>
      <c r="JD14" s="118">
        <f t="shared" si="35"/>
        <v>609586.74181045732</v>
      </c>
      <c r="JE14" s="118">
        <f t="shared" ref="JE14:KE14" si="36">JE10-JE12</f>
        <v>609586.74181045732</v>
      </c>
      <c r="JF14" s="118">
        <f t="shared" si="36"/>
        <v>609586.74181045732</v>
      </c>
      <c r="JG14" s="118">
        <f t="shared" si="36"/>
        <v>609586.74181045732</v>
      </c>
      <c r="JH14" s="118">
        <f t="shared" si="36"/>
        <v>609586.74181045732</v>
      </c>
      <c r="JI14" s="118">
        <f t="shared" si="36"/>
        <v>609586.74181045732</v>
      </c>
      <c r="JJ14" s="118">
        <f t="shared" si="36"/>
        <v>609586.74181045732</v>
      </c>
      <c r="JK14" s="118">
        <f t="shared" si="36"/>
        <v>609586.74181045732</v>
      </c>
      <c r="JL14" s="118">
        <f t="shared" si="36"/>
        <v>609586.74181045732</v>
      </c>
      <c r="JM14" s="118">
        <f t="shared" si="36"/>
        <v>609586.74181045732</v>
      </c>
      <c r="JN14" s="118">
        <f t="shared" si="36"/>
        <v>609586.74181045732</v>
      </c>
      <c r="JO14" s="118">
        <f t="shared" si="36"/>
        <v>609586.74181045732</v>
      </c>
      <c r="JP14" s="118">
        <f t="shared" si="36"/>
        <v>609586.74181045732</v>
      </c>
      <c r="JQ14" s="118">
        <f t="shared" si="36"/>
        <v>609586.74181045732</v>
      </c>
      <c r="JR14" s="118">
        <f t="shared" si="36"/>
        <v>609586.74181045732</v>
      </c>
      <c r="JS14" s="118">
        <f t="shared" si="36"/>
        <v>609586.74181045732</v>
      </c>
      <c r="JT14" s="118">
        <f t="shared" si="36"/>
        <v>609586.74181045732</v>
      </c>
      <c r="JU14" s="118">
        <f t="shared" si="36"/>
        <v>609586.74181045732</v>
      </c>
      <c r="JV14" s="118">
        <f t="shared" si="36"/>
        <v>609586.74181045732</v>
      </c>
      <c r="JW14" s="118">
        <f t="shared" si="36"/>
        <v>609586.74181045732</v>
      </c>
      <c r="JX14" s="118">
        <f t="shared" si="36"/>
        <v>609586.74181045732</v>
      </c>
      <c r="JY14" s="118">
        <f t="shared" si="36"/>
        <v>609586.74181045732</v>
      </c>
      <c r="JZ14" s="118">
        <f t="shared" si="36"/>
        <v>609586.74181045732</v>
      </c>
      <c r="KA14" s="118">
        <f t="shared" si="36"/>
        <v>609586.74181045732</v>
      </c>
      <c r="KB14" s="118">
        <f t="shared" si="36"/>
        <v>609586.74181045732</v>
      </c>
      <c r="KC14" s="118">
        <f t="shared" si="36"/>
        <v>609586.74181045732</v>
      </c>
      <c r="KD14" s="118">
        <f t="shared" si="36"/>
        <v>609586.74181045732</v>
      </c>
      <c r="KE14" s="118">
        <f t="shared" si="36"/>
        <v>609586.74181045732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22"/>
      <c r="B17" s="106" t="s">
        <v>386</v>
      </c>
      <c r="C17" s="275">
        <f>C3-D17</f>
        <v>0</v>
      </c>
      <c r="D17" s="107">
        <f>SUM(F17:KE17)</f>
        <v>2718200.0524241962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2163990.9409865835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292205.91600518918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226450.68624666127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32081.675852428427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387</v>
      </c>
      <c r="C18" s="275">
        <f>D17-D18</f>
        <v>0</v>
      </c>
      <c r="D18" s="107">
        <f>MAX(F18:KE18)</f>
        <v>2718200.0524241962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2167461.774319917</v>
      </c>
      <c r="AB18" s="125">
        <f t="shared" si="37"/>
        <v>2167461.774319917</v>
      </c>
      <c r="AC18" s="125">
        <f t="shared" si="37"/>
        <v>2167461.774319917</v>
      </c>
      <c r="AD18" s="125">
        <f>AC18+AD17</f>
        <v>2167461.774319917</v>
      </c>
      <c r="AE18" s="125">
        <f t="shared" si="37"/>
        <v>2459667.690325106</v>
      </c>
      <c r="AF18" s="125">
        <f t="shared" si="37"/>
        <v>2459667.690325106</v>
      </c>
      <c r="AG18" s="125">
        <f t="shared" si="37"/>
        <v>2459667.690325106</v>
      </c>
      <c r="AH18" s="125">
        <f t="shared" si="37"/>
        <v>2459667.690325106</v>
      </c>
      <c r="AI18" s="125">
        <f t="shared" si="37"/>
        <v>2686118.3765717675</v>
      </c>
      <c r="AJ18" s="125">
        <f t="shared" si="37"/>
        <v>2686118.3765717675</v>
      </c>
      <c r="AK18" s="125">
        <f t="shared" si="37"/>
        <v>2686118.3765717675</v>
      </c>
      <c r="AL18" s="125">
        <f t="shared" si="37"/>
        <v>2686118.3765717675</v>
      </c>
      <c r="AM18" s="125">
        <f t="shared" si="37"/>
        <v>2686118.3765717675</v>
      </c>
      <c r="AN18" s="125">
        <f t="shared" si="37"/>
        <v>2718200.0524241962</v>
      </c>
      <c r="AO18" s="125">
        <f t="shared" si="37"/>
        <v>2718200.0524241962</v>
      </c>
      <c r="AP18" s="125">
        <f t="shared" si="37"/>
        <v>2718200.0524241962</v>
      </c>
      <c r="AQ18" s="125">
        <f t="shared" si="37"/>
        <v>2718200.0524241962</v>
      </c>
      <c r="AR18" s="125">
        <f t="shared" si="37"/>
        <v>2718200.0524241962</v>
      </c>
      <c r="AS18" s="125">
        <f t="shared" si="37"/>
        <v>2718200.0524241962</v>
      </c>
      <c r="AT18" s="125">
        <f t="shared" si="37"/>
        <v>2718200.0524241962</v>
      </c>
      <c r="AU18" s="125">
        <f t="shared" si="37"/>
        <v>2718200.0524241962</v>
      </c>
      <c r="AV18" s="125">
        <f t="shared" si="37"/>
        <v>2718200.0524241962</v>
      </c>
      <c r="AW18" s="125">
        <f t="shared" si="37"/>
        <v>2718200.0524241962</v>
      </c>
      <c r="AX18" s="125">
        <f t="shared" si="37"/>
        <v>2718200.0524241962</v>
      </c>
      <c r="AY18" s="125">
        <f t="shared" si="37"/>
        <v>2718200.0524241962</v>
      </c>
      <c r="AZ18" s="125">
        <f t="shared" si="37"/>
        <v>2718200.0524241962</v>
      </c>
      <c r="BA18" s="125">
        <f t="shared" si="37"/>
        <v>2718200.0524241962</v>
      </c>
      <c r="BB18" s="125">
        <f t="shared" si="37"/>
        <v>2718200.0524241962</v>
      </c>
      <c r="BC18" s="125">
        <f t="shared" si="37"/>
        <v>2718200.0524241962</v>
      </c>
      <c r="BD18" s="125">
        <f t="shared" si="37"/>
        <v>2718200.0524241962</v>
      </c>
      <c r="BE18" s="125">
        <f t="shared" si="37"/>
        <v>2718200.0524241962</v>
      </c>
      <c r="BF18" s="125">
        <f t="shared" si="37"/>
        <v>2718200.0524241962</v>
      </c>
      <c r="BG18" s="125">
        <f t="shared" si="37"/>
        <v>2718200.0524241962</v>
      </c>
      <c r="BH18" s="125">
        <f t="shared" si="37"/>
        <v>2718200.0524241962</v>
      </c>
      <c r="BI18" s="125">
        <f t="shared" si="37"/>
        <v>2718200.0524241962</v>
      </c>
      <c r="BJ18" s="125">
        <f t="shared" si="37"/>
        <v>2718200.0524241962</v>
      </c>
      <c r="BK18" s="125">
        <f t="shared" si="37"/>
        <v>2718200.0524241962</v>
      </c>
      <c r="BL18" s="125">
        <f t="shared" si="37"/>
        <v>2718200.0524241962</v>
      </c>
      <c r="BM18" s="125">
        <f t="shared" si="37"/>
        <v>2718200.0524241962</v>
      </c>
      <c r="BN18" s="125">
        <f t="shared" si="37"/>
        <v>2718200.0524241962</v>
      </c>
      <c r="BO18" s="125">
        <f t="shared" si="37"/>
        <v>2718200.0524241962</v>
      </c>
      <c r="BP18" s="125">
        <f t="shared" si="37"/>
        <v>2718200.0524241962</v>
      </c>
      <c r="BQ18" s="125">
        <f t="shared" si="37"/>
        <v>2718200.0524241962</v>
      </c>
      <c r="BR18" s="125">
        <f t="shared" si="37"/>
        <v>2718200.0524241962</v>
      </c>
      <c r="BS18" s="125">
        <f t="shared" si="37"/>
        <v>2718200.0524241962</v>
      </c>
      <c r="BT18" s="125">
        <f t="shared" si="37"/>
        <v>2718200.0524241962</v>
      </c>
      <c r="BU18" s="125">
        <f t="shared" ref="BU18:EF18" si="38">BT18+BU17</f>
        <v>2718200.0524241962</v>
      </c>
      <c r="BV18" s="125">
        <f t="shared" si="38"/>
        <v>2718200.0524241962</v>
      </c>
      <c r="BW18" s="125">
        <f t="shared" si="38"/>
        <v>2718200.0524241962</v>
      </c>
      <c r="BX18" s="125">
        <f t="shared" si="38"/>
        <v>2718200.0524241962</v>
      </c>
      <c r="BY18" s="125">
        <f t="shared" si="38"/>
        <v>2718200.0524241962</v>
      </c>
      <c r="BZ18" s="125">
        <f t="shared" si="38"/>
        <v>2718200.0524241962</v>
      </c>
      <c r="CA18" s="125">
        <f t="shared" si="38"/>
        <v>2718200.0524241962</v>
      </c>
      <c r="CB18" s="125">
        <f t="shared" si="38"/>
        <v>2718200.0524241962</v>
      </c>
      <c r="CC18" s="125">
        <f t="shared" si="38"/>
        <v>2718200.0524241962</v>
      </c>
      <c r="CD18" s="125">
        <f t="shared" si="38"/>
        <v>2718200.0524241962</v>
      </c>
      <c r="CE18" s="125">
        <f t="shared" si="38"/>
        <v>2718200.0524241962</v>
      </c>
      <c r="CF18" s="125">
        <f t="shared" si="38"/>
        <v>2718200.0524241962</v>
      </c>
      <c r="CG18" s="125">
        <f t="shared" si="38"/>
        <v>2718200.0524241962</v>
      </c>
      <c r="CH18" s="125">
        <f t="shared" si="38"/>
        <v>2718200.0524241962</v>
      </c>
      <c r="CI18" s="125">
        <f t="shared" si="38"/>
        <v>2718200.0524241962</v>
      </c>
      <c r="CJ18" s="125">
        <f t="shared" si="38"/>
        <v>2718200.0524241962</v>
      </c>
      <c r="CK18" s="125">
        <f t="shared" si="38"/>
        <v>2718200.0524241962</v>
      </c>
      <c r="CL18" s="125">
        <f t="shared" si="38"/>
        <v>2718200.0524241962</v>
      </c>
      <c r="CM18" s="125">
        <f t="shared" si="38"/>
        <v>2718200.0524241962</v>
      </c>
      <c r="CN18" s="125">
        <f t="shared" si="38"/>
        <v>2718200.0524241962</v>
      </c>
      <c r="CO18" s="125">
        <f t="shared" si="38"/>
        <v>2718200.0524241962</v>
      </c>
      <c r="CP18" s="125">
        <f t="shared" si="38"/>
        <v>2718200.0524241962</v>
      </c>
      <c r="CQ18" s="125">
        <f t="shared" si="38"/>
        <v>2718200.0524241962</v>
      </c>
      <c r="CR18" s="125">
        <f t="shared" si="38"/>
        <v>2718200.0524241962</v>
      </c>
      <c r="CS18" s="125">
        <f t="shared" si="38"/>
        <v>2718200.0524241962</v>
      </c>
      <c r="CT18" s="125">
        <f t="shared" si="38"/>
        <v>2718200.0524241962</v>
      </c>
      <c r="CU18" s="125">
        <f t="shared" si="38"/>
        <v>2718200.0524241962</v>
      </c>
      <c r="CV18" s="125">
        <f t="shared" si="38"/>
        <v>2718200.0524241962</v>
      </c>
      <c r="CW18" s="125">
        <f t="shared" si="38"/>
        <v>2718200.0524241962</v>
      </c>
      <c r="CX18" s="125">
        <f t="shared" si="38"/>
        <v>2718200.0524241962</v>
      </c>
      <c r="CY18" s="125">
        <f t="shared" si="38"/>
        <v>2718200.0524241962</v>
      </c>
      <c r="CZ18" s="125">
        <f t="shared" si="38"/>
        <v>2718200.0524241962</v>
      </c>
      <c r="DA18" s="125">
        <f t="shared" si="38"/>
        <v>2718200.0524241962</v>
      </c>
      <c r="DB18" s="125">
        <f t="shared" si="38"/>
        <v>2718200.0524241962</v>
      </c>
      <c r="DC18" s="125">
        <f t="shared" si="38"/>
        <v>2718200.0524241962</v>
      </c>
      <c r="DD18" s="125">
        <f t="shared" si="38"/>
        <v>2718200.0524241962</v>
      </c>
      <c r="DE18" s="125">
        <f t="shared" si="38"/>
        <v>2718200.0524241962</v>
      </c>
      <c r="DF18" s="125">
        <f t="shared" si="38"/>
        <v>2718200.0524241962</v>
      </c>
      <c r="DG18" s="125">
        <f t="shared" si="38"/>
        <v>2718200.0524241962</v>
      </c>
      <c r="DH18" s="125">
        <f t="shared" si="38"/>
        <v>2718200.0524241962</v>
      </c>
      <c r="DI18" s="125">
        <f t="shared" si="38"/>
        <v>2718200.0524241962</v>
      </c>
      <c r="DJ18" s="125">
        <f t="shared" si="38"/>
        <v>2718200.0524241962</v>
      </c>
      <c r="DK18" s="125">
        <f t="shared" si="38"/>
        <v>2718200.0524241962</v>
      </c>
      <c r="DL18" s="125">
        <f t="shared" si="38"/>
        <v>2718200.0524241962</v>
      </c>
      <c r="DM18" s="125">
        <f t="shared" si="38"/>
        <v>2718200.0524241962</v>
      </c>
      <c r="DN18" s="125">
        <f t="shared" si="38"/>
        <v>2718200.0524241962</v>
      </c>
      <c r="DO18" s="125">
        <f t="shared" si="38"/>
        <v>2718200.0524241962</v>
      </c>
      <c r="DP18" s="125">
        <f t="shared" si="38"/>
        <v>2718200.0524241962</v>
      </c>
      <c r="DQ18" s="125">
        <f t="shared" si="38"/>
        <v>2718200.0524241962</v>
      </c>
      <c r="DR18" s="125">
        <f t="shared" si="38"/>
        <v>2718200.0524241962</v>
      </c>
      <c r="DS18" s="125">
        <f t="shared" si="38"/>
        <v>2718200.0524241962</v>
      </c>
      <c r="DT18" s="125">
        <f t="shared" si="38"/>
        <v>2718200.0524241962</v>
      </c>
      <c r="DU18" s="125">
        <f t="shared" si="38"/>
        <v>2718200.0524241962</v>
      </c>
      <c r="DV18" s="125">
        <f t="shared" si="38"/>
        <v>2718200.0524241962</v>
      </c>
      <c r="DW18" s="125">
        <f t="shared" si="38"/>
        <v>2718200.0524241962</v>
      </c>
      <c r="DX18" s="125">
        <f t="shared" si="38"/>
        <v>2718200.0524241962</v>
      </c>
      <c r="DY18" s="125">
        <f t="shared" si="38"/>
        <v>2718200.0524241962</v>
      </c>
      <c r="DZ18" s="125">
        <f t="shared" si="38"/>
        <v>2718200.0524241962</v>
      </c>
      <c r="EA18" s="125">
        <f t="shared" si="38"/>
        <v>2718200.0524241962</v>
      </c>
      <c r="EB18" s="125">
        <f t="shared" si="38"/>
        <v>2718200.0524241962</v>
      </c>
      <c r="EC18" s="125">
        <f t="shared" si="38"/>
        <v>2718200.0524241962</v>
      </c>
      <c r="ED18" s="125">
        <f t="shared" si="38"/>
        <v>2718200.0524241962</v>
      </c>
      <c r="EE18" s="125">
        <f t="shared" si="38"/>
        <v>2718200.0524241962</v>
      </c>
      <c r="EF18" s="125">
        <f t="shared" si="38"/>
        <v>2718200.0524241962</v>
      </c>
      <c r="EG18" s="125">
        <f t="shared" ref="EG18:GR18" si="39">EF18+EG17</f>
        <v>2718200.0524241962</v>
      </c>
      <c r="EH18" s="125">
        <f t="shared" si="39"/>
        <v>2718200.0524241962</v>
      </c>
      <c r="EI18" s="125">
        <f t="shared" si="39"/>
        <v>2718200.0524241962</v>
      </c>
      <c r="EJ18" s="125">
        <f t="shared" si="39"/>
        <v>2718200.0524241962</v>
      </c>
      <c r="EK18" s="125">
        <f t="shared" si="39"/>
        <v>2718200.0524241962</v>
      </c>
      <c r="EL18" s="125">
        <f t="shared" si="39"/>
        <v>2718200.0524241962</v>
      </c>
      <c r="EM18" s="125">
        <f t="shared" si="39"/>
        <v>2718200.0524241962</v>
      </c>
      <c r="EN18" s="125">
        <f t="shared" si="39"/>
        <v>2718200.0524241962</v>
      </c>
      <c r="EO18" s="125">
        <f t="shared" si="39"/>
        <v>2718200.0524241962</v>
      </c>
      <c r="EP18" s="125">
        <f t="shared" si="39"/>
        <v>2718200.0524241962</v>
      </c>
      <c r="EQ18" s="125">
        <f t="shared" si="39"/>
        <v>2718200.0524241962</v>
      </c>
      <c r="ER18" s="125">
        <f t="shared" si="39"/>
        <v>2718200.0524241962</v>
      </c>
      <c r="ES18" s="125">
        <f t="shared" si="39"/>
        <v>2718200.0524241962</v>
      </c>
      <c r="ET18" s="125">
        <f t="shared" si="39"/>
        <v>2718200.0524241962</v>
      </c>
      <c r="EU18" s="125">
        <f t="shared" si="39"/>
        <v>2718200.0524241962</v>
      </c>
      <c r="EV18" s="125">
        <f t="shared" si="39"/>
        <v>2718200.0524241962</v>
      </c>
      <c r="EW18" s="125">
        <f t="shared" si="39"/>
        <v>2718200.0524241962</v>
      </c>
      <c r="EX18" s="125">
        <f t="shared" si="39"/>
        <v>2718200.0524241962</v>
      </c>
      <c r="EY18" s="125">
        <f t="shared" si="39"/>
        <v>2718200.0524241962</v>
      </c>
      <c r="EZ18" s="125">
        <f t="shared" si="39"/>
        <v>2718200.0524241962</v>
      </c>
      <c r="FA18" s="125">
        <f t="shared" si="39"/>
        <v>2718200.0524241962</v>
      </c>
      <c r="FB18" s="125">
        <f t="shared" si="39"/>
        <v>2718200.0524241962</v>
      </c>
      <c r="FC18" s="125">
        <f t="shared" si="39"/>
        <v>2718200.0524241962</v>
      </c>
      <c r="FD18" s="125">
        <f t="shared" si="39"/>
        <v>2718200.0524241962</v>
      </c>
      <c r="FE18" s="125">
        <f t="shared" si="39"/>
        <v>2718200.0524241962</v>
      </c>
      <c r="FF18" s="125">
        <f t="shared" si="39"/>
        <v>2718200.0524241962</v>
      </c>
      <c r="FG18" s="125">
        <f t="shared" si="39"/>
        <v>2718200.0524241962</v>
      </c>
      <c r="FH18" s="125">
        <f t="shared" si="39"/>
        <v>2718200.0524241962</v>
      </c>
      <c r="FI18" s="125">
        <f t="shared" si="39"/>
        <v>2718200.0524241962</v>
      </c>
      <c r="FJ18" s="125">
        <f t="shared" si="39"/>
        <v>2718200.0524241962</v>
      </c>
      <c r="FK18" s="125">
        <f t="shared" si="39"/>
        <v>2718200.0524241962</v>
      </c>
      <c r="FL18" s="125">
        <f t="shared" si="39"/>
        <v>2718200.0524241962</v>
      </c>
      <c r="FM18" s="125">
        <f t="shared" si="39"/>
        <v>2718200.0524241962</v>
      </c>
      <c r="FN18" s="125">
        <f t="shared" si="39"/>
        <v>2718200.0524241962</v>
      </c>
      <c r="FO18" s="125">
        <f t="shared" si="39"/>
        <v>2718200.0524241962</v>
      </c>
      <c r="FP18" s="125">
        <f t="shared" si="39"/>
        <v>2718200.0524241962</v>
      </c>
      <c r="FQ18" s="125">
        <f t="shared" si="39"/>
        <v>2718200.0524241962</v>
      </c>
      <c r="FR18" s="125">
        <f t="shared" si="39"/>
        <v>2718200.0524241962</v>
      </c>
      <c r="FS18" s="125">
        <f t="shared" si="39"/>
        <v>2718200.0524241962</v>
      </c>
      <c r="FT18" s="125">
        <f t="shared" si="39"/>
        <v>2718200.0524241962</v>
      </c>
      <c r="FU18" s="125">
        <f t="shared" si="39"/>
        <v>2718200.0524241962</v>
      </c>
      <c r="FV18" s="125">
        <f t="shared" si="39"/>
        <v>2718200.0524241962</v>
      </c>
      <c r="FW18" s="125">
        <f t="shared" si="39"/>
        <v>2718200.0524241962</v>
      </c>
      <c r="FX18" s="125">
        <f t="shared" si="39"/>
        <v>2718200.0524241962</v>
      </c>
      <c r="FY18" s="125">
        <f t="shared" si="39"/>
        <v>2718200.0524241962</v>
      </c>
      <c r="FZ18" s="125">
        <f t="shared" si="39"/>
        <v>2718200.0524241962</v>
      </c>
      <c r="GA18" s="125">
        <f t="shared" si="39"/>
        <v>2718200.0524241962</v>
      </c>
      <c r="GB18" s="125">
        <f t="shared" si="39"/>
        <v>2718200.0524241962</v>
      </c>
      <c r="GC18" s="125">
        <f t="shared" si="39"/>
        <v>2718200.0524241962</v>
      </c>
      <c r="GD18" s="125">
        <f t="shared" si="39"/>
        <v>2718200.0524241962</v>
      </c>
      <c r="GE18" s="125">
        <f t="shared" si="39"/>
        <v>2718200.0524241962</v>
      </c>
      <c r="GF18" s="125">
        <f t="shared" si="39"/>
        <v>2718200.0524241962</v>
      </c>
      <c r="GG18" s="125">
        <f t="shared" si="39"/>
        <v>2718200.0524241962</v>
      </c>
      <c r="GH18" s="125">
        <f t="shared" si="39"/>
        <v>2718200.0524241962</v>
      </c>
      <c r="GI18" s="125">
        <f t="shared" si="39"/>
        <v>2718200.0524241962</v>
      </c>
      <c r="GJ18" s="125">
        <f t="shared" si="39"/>
        <v>2718200.0524241962</v>
      </c>
      <c r="GK18" s="125">
        <f t="shared" si="39"/>
        <v>2718200.0524241962</v>
      </c>
      <c r="GL18" s="125">
        <f t="shared" si="39"/>
        <v>2718200.0524241962</v>
      </c>
      <c r="GM18" s="125">
        <f t="shared" si="39"/>
        <v>2718200.0524241962</v>
      </c>
      <c r="GN18" s="125">
        <f t="shared" si="39"/>
        <v>2718200.0524241962</v>
      </c>
      <c r="GO18" s="125">
        <f t="shared" si="39"/>
        <v>2718200.0524241962</v>
      </c>
      <c r="GP18" s="125">
        <f t="shared" si="39"/>
        <v>2718200.0524241962</v>
      </c>
      <c r="GQ18" s="125">
        <f t="shared" si="39"/>
        <v>2718200.0524241962</v>
      </c>
      <c r="GR18" s="125">
        <f t="shared" si="39"/>
        <v>2718200.0524241962</v>
      </c>
      <c r="GS18" s="125">
        <f t="shared" ref="GS18:JD18" si="40">GR18+GS17</f>
        <v>2718200.0524241962</v>
      </c>
      <c r="GT18" s="125">
        <f t="shared" si="40"/>
        <v>2718200.0524241962</v>
      </c>
      <c r="GU18" s="125">
        <f t="shared" si="40"/>
        <v>2718200.0524241962</v>
      </c>
      <c r="GV18" s="125">
        <f t="shared" si="40"/>
        <v>2718200.0524241962</v>
      </c>
      <c r="GW18" s="125">
        <f t="shared" si="40"/>
        <v>2718200.0524241962</v>
      </c>
      <c r="GX18" s="125">
        <f t="shared" si="40"/>
        <v>2718200.0524241962</v>
      </c>
      <c r="GY18" s="125">
        <f t="shared" si="40"/>
        <v>2718200.0524241962</v>
      </c>
      <c r="GZ18" s="125">
        <f t="shared" si="40"/>
        <v>2718200.0524241962</v>
      </c>
      <c r="HA18" s="125">
        <f t="shared" si="40"/>
        <v>2718200.0524241962</v>
      </c>
      <c r="HB18" s="125">
        <f t="shared" si="40"/>
        <v>2718200.0524241962</v>
      </c>
      <c r="HC18" s="125">
        <f t="shared" si="40"/>
        <v>2718200.0524241962</v>
      </c>
      <c r="HD18" s="125">
        <f t="shared" si="40"/>
        <v>2718200.0524241962</v>
      </c>
      <c r="HE18" s="125">
        <f t="shared" si="40"/>
        <v>2718200.0524241962</v>
      </c>
      <c r="HF18" s="125">
        <f t="shared" si="40"/>
        <v>2718200.0524241962</v>
      </c>
      <c r="HG18" s="125">
        <f t="shared" si="40"/>
        <v>2718200.0524241962</v>
      </c>
      <c r="HH18" s="125">
        <f t="shared" si="40"/>
        <v>2718200.0524241962</v>
      </c>
      <c r="HI18" s="125">
        <f t="shared" si="40"/>
        <v>2718200.0524241962</v>
      </c>
      <c r="HJ18" s="125">
        <f t="shared" si="40"/>
        <v>2718200.0524241962</v>
      </c>
      <c r="HK18" s="125">
        <f t="shared" si="40"/>
        <v>2718200.0524241962</v>
      </c>
      <c r="HL18" s="125">
        <f t="shared" si="40"/>
        <v>2718200.0524241962</v>
      </c>
      <c r="HM18" s="125">
        <f t="shared" si="40"/>
        <v>2718200.0524241962</v>
      </c>
      <c r="HN18" s="125">
        <f t="shared" si="40"/>
        <v>2718200.0524241962</v>
      </c>
      <c r="HO18" s="125">
        <f t="shared" si="40"/>
        <v>2718200.0524241962</v>
      </c>
      <c r="HP18" s="125">
        <f t="shared" si="40"/>
        <v>2718200.0524241962</v>
      </c>
      <c r="HQ18" s="125">
        <f t="shared" si="40"/>
        <v>2718200.0524241962</v>
      </c>
      <c r="HR18" s="125">
        <f t="shared" si="40"/>
        <v>2718200.0524241962</v>
      </c>
      <c r="HS18" s="125">
        <f t="shared" si="40"/>
        <v>2718200.0524241962</v>
      </c>
      <c r="HT18" s="125">
        <f t="shared" si="40"/>
        <v>2718200.0524241962</v>
      </c>
      <c r="HU18" s="125">
        <f t="shared" si="40"/>
        <v>2718200.0524241962</v>
      </c>
      <c r="HV18" s="125">
        <f t="shared" si="40"/>
        <v>2718200.0524241962</v>
      </c>
      <c r="HW18" s="125">
        <f t="shared" si="40"/>
        <v>2718200.0524241962</v>
      </c>
      <c r="HX18" s="125">
        <f t="shared" si="40"/>
        <v>2718200.0524241962</v>
      </c>
      <c r="HY18" s="125">
        <f t="shared" si="40"/>
        <v>2718200.0524241962</v>
      </c>
      <c r="HZ18" s="125">
        <f t="shared" si="40"/>
        <v>2718200.0524241962</v>
      </c>
      <c r="IA18" s="125">
        <f t="shared" si="40"/>
        <v>2718200.0524241962</v>
      </c>
      <c r="IB18" s="125">
        <f t="shared" si="40"/>
        <v>2718200.0524241962</v>
      </c>
      <c r="IC18" s="125">
        <f t="shared" si="40"/>
        <v>2718200.0524241962</v>
      </c>
      <c r="ID18" s="125">
        <f t="shared" si="40"/>
        <v>2718200.0524241962</v>
      </c>
      <c r="IE18" s="125">
        <f t="shared" si="40"/>
        <v>2718200.0524241962</v>
      </c>
      <c r="IF18" s="125">
        <f t="shared" si="40"/>
        <v>2718200.0524241962</v>
      </c>
      <c r="IG18" s="125">
        <f t="shared" si="40"/>
        <v>2718200.0524241962</v>
      </c>
      <c r="IH18" s="125">
        <f t="shared" si="40"/>
        <v>2718200.0524241962</v>
      </c>
      <c r="II18" s="125">
        <f t="shared" si="40"/>
        <v>2718200.0524241962</v>
      </c>
      <c r="IJ18" s="125">
        <f t="shared" si="40"/>
        <v>2718200.0524241962</v>
      </c>
      <c r="IK18" s="125">
        <f t="shared" si="40"/>
        <v>2718200.0524241962</v>
      </c>
      <c r="IL18" s="125">
        <f t="shared" si="40"/>
        <v>2718200.0524241962</v>
      </c>
      <c r="IM18" s="125">
        <f t="shared" si="40"/>
        <v>2718200.0524241962</v>
      </c>
      <c r="IN18" s="125">
        <f t="shared" si="40"/>
        <v>2718200.0524241962</v>
      </c>
      <c r="IO18" s="125">
        <f t="shared" si="40"/>
        <v>2718200.0524241962</v>
      </c>
      <c r="IP18" s="125">
        <f t="shared" si="40"/>
        <v>2718200.0524241962</v>
      </c>
      <c r="IQ18" s="125">
        <f t="shared" si="40"/>
        <v>2718200.0524241962</v>
      </c>
      <c r="IR18" s="125">
        <f t="shared" si="40"/>
        <v>2718200.0524241962</v>
      </c>
      <c r="IS18" s="125">
        <f t="shared" si="40"/>
        <v>2718200.0524241962</v>
      </c>
      <c r="IT18" s="125">
        <f t="shared" si="40"/>
        <v>2718200.0524241962</v>
      </c>
      <c r="IU18" s="125">
        <f t="shared" si="40"/>
        <v>2718200.0524241962</v>
      </c>
      <c r="IV18" s="125">
        <f t="shared" si="40"/>
        <v>2718200.0524241962</v>
      </c>
      <c r="IW18" s="125">
        <f t="shared" si="40"/>
        <v>2718200.0524241962</v>
      </c>
      <c r="IX18" s="125">
        <f t="shared" si="40"/>
        <v>2718200.0524241962</v>
      </c>
      <c r="IY18" s="125">
        <f t="shared" si="40"/>
        <v>2718200.0524241962</v>
      </c>
      <c r="IZ18" s="125">
        <f t="shared" si="40"/>
        <v>2718200.0524241962</v>
      </c>
      <c r="JA18" s="125">
        <f t="shared" si="40"/>
        <v>2718200.0524241962</v>
      </c>
      <c r="JB18" s="125">
        <f t="shared" si="40"/>
        <v>2718200.0524241962</v>
      </c>
      <c r="JC18" s="125">
        <f t="shared" si="40"/>
        <v>2718200.0524241962</v>
      </c>
      <c r="JD18" s="125">
        <f t="shared" si="40"/>
        <v>2718200.0524241962</v>
      </c>
      <c r="JE18" s="125">
        <f t="shared" ref="JE18:KE18" si="41">JD18+JE17</f>
        <v>2718200.0524241962</v>
      </c>
      <c r="JF18" s="125">
        <f t="shared" si="41"/>
        <v>2718200.0524241962</v>
      </c>
      <c r="JG18" s="125">
        <f t="shared" si="41"/>
        <v>2718200.0524241962</v>
      </c>
      <c r="JH18" s="125">
        <f t="shared" si="41"/>
        <v>2718200.0524241962</v>
      </c>
      <c r="JI18" s="125">
        <f t="shared" si="41"/>
        <v>2718200.0524241962</v>
      </c>
      <c r="JJ18" s="125">
        <f t="shared" si="41"/>
        <v>2718200.0524241962</v>
      </c>
      <c r="JK18" s="125">
        <f t="shared" si="41"/>
        <v>2718200.0524241962</v>
      </c>
      <c r="JL18" s="125">
        <f t="shared" si="41"/>
        <v>2718200.0524241962</v>
      </c>
      <c r="JM18" s="125">
        <f t="shared" si="41"/>
        <v>2718200.0524241962</v>
      </c>
      <c r="JN18" s="125">
        <f t="shared" si="41"/>
        <v>2718200.0524241962</v>
      </c>
      <c r="JO18" s="125">
        <f t="shared" si="41"/>
        <v>2718200.0524241962</v>
      </c>
      <c r="JP18" s="125">
        <f t="shared" si="41"/>
        <v>2718200.0524241962</v>
      </c>
      <c r="JQ18" s="125">
        <f t="shared" si="41"/>
        <v>2718200.0524241962</v>
      </c>
      <c r="JR18" s="125">
        <f t="shared" si="41"/>
        <v>2718200.0524241962</v>
      </c>
      <c r="JS18" s="125">
        <f t="shared" si="41"/>
        <v>2718200.0524241962</v>
      </c>
      <c r="JT18" s="125">
        <f t="shared" si="41"/>
        <v>2718200.0524241962</v>
      </c>
      <c r="JU18" s="125">
        <f t="shared" si="41"/>
        <v>2718200.0524241962</v>
      </c>
      <c r="JV18" s="125">
        <f t="shared" si="41"/>
        <v>2718200.0524241962</v>
      </c>
      <c r="JW18" s="125">
        <f t="shared" si="41"/>
        <v>2718200.0524241962</v>
      </c>
      <c r="JX18" s="125">
        <f t="shared" si="41"/>
        <v>2718200.0524241962</v>
      </c>
      <c r="JY18" s="125">
        <f t="shared" si="41"/>
        <v>2718200.0524241962</v>
      </c>
      <c r="JZ18" s="125">
        <f t="shared" si="41"/>
        <v>2718200.0524241962</v>
      </c>
      <c r="KA18" s="125">
        <f t="shared" si="41"/>
        <v>2718200.0524241962</v>
      </c>
      <c r="KB18" s="125">
        <f t="shared" si="41"/>
        <v>2718200.0524241962</v>
      </c>
      <c r="KC18" s="125">
        <f t="shared" si="41"/>
        <v>2718200.0524241962</v>
      </c>
      <c r="KD18" s="125">
        <f t="shared" si="41"/>
        <v>2718200.0524241962</v>
      </c>
      <c r="KE18" s="125">
        <f t="shared" si="41"/>
        <v>2718200.0524241962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" style="269" bestFit="1" customWidth="1"/>
    <col min="2" max="2" width="15.26953125" style="270" bestFit="1" customWidth="1"/>
    <col min="3" max="3" width="6.08984375" style="269" bestFit="1" customWidth="1"/>
    <col min="4" max="4" width="10.453125" style="269" bestFit="1" customWidth="1"/>
    <col min="5" max="5" width="13.7265625" style="269" bestFit="1" customWidth="1"/>
    <col min="6" max="7" width="12.1796875" style="269" bestFit="1" customWidth="1"/>
    <col min="8" max="8" width="11.1796875" style="269" bestFit="1" customWidth="1"/>
    <col min="9" max="9" width="13.7265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388</v>
      </c>
      <c r="B3" s="540" t="s">
        <v>389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390</v>
      </c>
      <c r="B4" t="s">
        <v>391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392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391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314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326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329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333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342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350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353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392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53125" defaultRowHeight="14.5"/>
  <cols>
    <col min="1" max="1" width="21" bestFit="1" customWidth="1"/>
    <col min="2" max="2" width="15.26953125" style="308" bestFit="1" customWidth="1"/>
    <col min="3" max="3" width="11.1796875" style="308" bestFit="1" customWidth="1"/>
    <col min="4" max="4" width="10.453125" style="308" bestFit="1" customWidth="1"/>
    <col min="5" max="5" width="13.7265625" style="308" bestFit="1" customWidth="1"/>
    <col min="6" max="7" width="12.1796875" style="308" bestFit="1" customWidth="1"/>
    <col min="8" max="8" width="11.1796875" style="308" bestFit="1" customWidth="1"/>
    <col min="9" max="9" width="13.726562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393</v>
      </c>
      <c r="B3" s="540" t="s">
        <v>389</v>
      </c>
      <c r="C3"/>
      <c r="D3"/>
      <c r="E3"/>
      <c r="F3"/>
      <c r="G3"/>
      <c r="H3"/>
      <c r="I3"/>
    </row>
    <row r="4" spans="1:9">
      <c r="A4" s="540" t="s">
        <v>390</v>
      </c>
      <c r="B4" t="s">
        <v>391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392</v>
      </c>
    </row>
    <row r="5" spans="1:9">
      <c r="A5" s="345" t="s">
        <v>391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267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>
      <c r="A7" s="345" t="s">
        <v>275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287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294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>
      <c r="A11" s="345" t="s">
        <v>314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>
      <c r="A12" s="345" t="s">
        <v>319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>
      <c r="A13" s="345" t="s">
        <v>326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>
      <c r="A14" s="345" t="s">
        <v>329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>
      <c r="A15" s="345" t="s">
        <v>333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>
      <c r="A16" s="345" t="s">
        <v>342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>
      <c r="A17" s="345" t="s">
        <v>350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>
      <c r="A18" s="345" t="s">
        <v>353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339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392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394</v>
      </c>
      <c r="F2" s="19" t="s">
        <v>395</v>
      </c>
    </row>
    <row r="3" spans="3:8">
      <c r="C3" s="15">
        <v>45658</v>
      </c>
      <c r="D3" s="9" t="s">
        <v>396</v>
      </c>
      <c r="F3" s="17" t="s">
        <v>397</v>
      </c>
    </row>
    <row r="4" spans="3:8">
      <c r="C4" s="15">
        <v>45737</v>
      </c>
      <c r="D4" s="9" t="s">
        <v>398</v>
      </c>
      <c r="F4" s="17" t="s">
        <v>399</v>
      </c>
    </row>
    <row r="5" spans="3:8">
      <c r="C5" s="15">
        <v>45765</v>
      </c>
      <c r="D5" s="9" t="s">
        <v>400</v>
      </c>
      <c r="F5" s="17" t="s">
        <v>401</v>
      </c>
    </row>
    <row r="6" spans="3:8" ht="13" thickBot="1">
      <c r="C6" s="15">
        <v>45768</v>
      </c>
      <c r="D6" s="9" t="s">
        <v>402</v>
      </c>
      <c r="F6" s="18" t="s">
        <v>403</v>
      </c>
    </row>
    <row r="7" spans="3:8">
      <c r="C7" s="15">
        <v>45774</v>
      </c>
      <c r="D7" s="9" t="s">
        <v>404</v>
      </c>
    </row>
    <row r="8" spans="3:8">
      <c r="C8" s="15">
        <v>45765</v>
      </c>
      <c r="D8" s="9" t="s">
        <v>405</v>
      </c>
    </row>
    <row r="9" spans="3:8">
      <c r="C9" s="15">
        <v>45778</v>
      </c>
      <c r="D9" s="9" t="s">
        <v>406</v>
      </c>
    </row>
    <row r="10" spans="3:8">
      <c r="C10" s="15">
        <v>45824</v>
      </c>
      <c r="D10" s="9" t="s">
        <v>407</v>
      </c>
    </row>
    <row r="11" spans="3:8">
      <c r="C11" s="15">
        <v>45878</v>
      </c>
      <c r="D11" s="9" t="s">
        <v>408</v>
      </c>
    </row>
    <row r="12" spans="3:8">
      <c r="C12" s="15">
        <v>45924</v>
      </c>
      <c r="D12" s="9" t="s">
        <v>409</v>
      </c>
    </row>
    <row r="13" spans="3:8">
      <c r="C13" s="15">
        <v>46007</v>
      </c>
      <c r="D13" s="9" t="s">
        <v>410</v>
      </c>
      <c r="F13" s="20"/>
      <c r="H13" s="9" t="s">
        <v>411</v>
      </c>
    </row>
    <row r="14" spans="3:8">
      <c r="C14" s="15">
        <v>46016</v>
      </c>
      <c r="D14" s="9" t="s">
        <v>412</v>
      </c>
    </row>
    <row r="15" spans="3:8">
      <c r="C15" s="15">
        <v>46017</v>
      </c>
      <c r="D15" s="9" t="s">
        <v>413</v>
      </c>
    </row>
    <row r="16" spans="3:8">
      <c r="C16" s="15">
        <v>46006</v>
      </c>
      <c r="D16" s="9" t="s">
        <v>414</v>
      </c>
    </row>
    <row r="17" spans="3:4">
      <c r="C17" s="15">
        <v>46007</v>
      </c>
      <c r="D17" s="9" t="s">
        <v>414</v>
      </c>
    </row>
    <row r="18" spans="3:4">
      <c r="C18" s="15">
        <v>46008</v>
      </c>
      <c r="D18" s="9" t="s">
        <v>414</v>
      </c>
    </row>
    <row r="19" spans="3:4">
      <c r="C19" s="15">
        <v>46009</v>
      </c>
      <c r="D19" s="9" t="s">
        <v>414</v>
      </c>
    </row>
    <row r="20" spans="3:4">
      <c r="C20" s="15">
        <v>46010</v>
      </c>
      <c r="D20" s="9" t="s">
        <v>414</v>
      </c>
    </row>
    <row r="21" spans="3:4">
      <c r="C21" s="15">
        <v>46011</v>
      </c>
      <c r="D21" s="9" t="s">
        <v>414</v>
      </c>
    </row>
    <row r="22" spans="3:4">
      <c r="C22" s="15">
        <v>46012</v>
      </c>
      <c r="D22" s="9" t="s">
        <v>414</v>
      </c>
    </row>
    <row r="23" spans="3:4">
      <c r="C23" s="15">
        <v>46013</v>
      </c>
      <c r="D23" s="9" t="s">
        <v>414</v>
      </c>
    </row>
    <row r="24" spans="3:4">
      <c r="C24" s="15">
        <v>46014</v>
      </c>
      <c r="D24" s="9" t="s">
        <v>414</v>
      </c>
    </row>
    <row r="25" spans="3:4">
      <c r="C25" s="15">
        <v>46015</v>
      </c>
      <c r="D25" s="9" t="s">
        <v>414</v>
      </c>
    </row>
    <row r="26" spans="3:4">
      <c r="C26" s="15">
        <v>46016</v>
      </c>
      <c r="D26" s="9" t="s">
        <v>414</v>
      </c>
    </row>
    <row r="27" spans="3:4">
      <c r="C27" s="15">
        <v>46017</v>
      </c>
      <c r="D27" s="9" t="s">
        <v>414</v>
      </c>
    </row>
    <row r="28" spans="3:4">
      <c r="C28" s="15">
        <v>46018</v>
      </c>
      <c r="D28" s="9" t="s">
        <v>414</v>
      </c>
    </row>
    <row r="29" spans="3:4">
      <c r="C29" s="15">
        <v>46019</v>
      </c>
      <c r="D29" s="9" t="s">
        <v>414</v>
      </c>
    </row>
    <row r="30" spans="3:4">
      <c r="C30" s="15">
        <v>46020</v>
      </c>
      <c r="D30" s="9" t="s">
        <v>414</v>
      </c>
    </row>
    <row r="31" spans="3:4">
      <c r="C31" s="15">
        <v>46021</v>
      </c>
      <c r="D31" s="9" t="s">
        <v>414</v>
      </c>
    </row>
    <row r="32" spans="3:4">
      <c r="C32" s="15">
        <v>46022</v>
      </c>
      <c r="D32" s="9" t="s">
        <v>414</v>
      </c>
    </row>
    <row r="33" spans="3:4">
      <c r="C33" s="15">
        <v>46023</v>
      </c>
      <c r="D33" s="9" t="s">
        <v>414</v>
      </c>
    </row>
    <row r="34" spans="3:4">
      <c r="C34" s="15">
        <v>46024</v>
      </c>
      <c r="D34" s="9" t="s">
        <v>414</v>
      </c>
    </row>
    <row r="35" spans="3:4">
      <c r="C35" s="15">
        <v>46025</v>
      </c>
      <c r="D35" s="9" t="s">
        <v>414</v>
      </c>
    </row>
    <row r="36" spans="3:4">
      <c r="C36" s="15">
        <v>46026</v>
      </c>
      <c r="D36" s="9" t="s">
        <v>414</v>
      </c>
    </row>
    <row r="37" spans="3:4">
      <c r="C37" s="15">
        <v>46027</v>
      </c>
      <c r="D37" s="9" t="s">
        <v>414</v>
      </c>
    </row>
    <row r="38" spans="3:4">
      <c r="C38" s="15">
        <v>46028</v>
      </c>
      <c r="D38" s="9" t="s">
        <v>414</v>
      </c>
    </row>
    <row r="39" spans="3:4">
      <c r="C39" s="15">
        <v>46029</v>
      </c>
      <c r="D39" s="9" t="s">
        <v>414</v>
      </c>
    </row>
    <row r="40" spans="3:4">
      <c r="C40" s="15">
        <v>46030</v>
      </c>
      <c r="D40" s="9" t="s">
        <v>414</v>
      </c>
    </row>
    <row r="41" spans="3:4">
      <c r="C41" s="15">
        <v>46031</v>
      </c>
      <c r="D41" s="9" t="s">
        <v>414</v>
      </c>
    </row>
    <row r="42" spans="3:4">
      <c r="C42" s="15">
        <v>46032</v>
      </c>
      <c r="D42" s="9" t="s">
        <v>414</v>
      </c>
    </row>
    <row r="43" spans="3:4">
      <c r="C43" s="15">
        <v>46033</v>
      </c>
      <c r="D43" s="9" t="s">
        <v>414</v>
      </c>
    </row>
    <row r="44" spans="3:4">
      <c r="C44" s="15">
        <v>46034</v>
      </c>
      <c r="D44" s="9" t="s">
        <v>414</v>
      </c>
    </row>
    <row r="45" spans="3:4">
      <c r="C45" s="15">
        <v>46035</v>
      </c>
      <c r="D45" s="9" t="s">
        <v>414</v>
      </c>
    </row>
    <row r="46" spans="3:4">
      <c r="C46" s="15">
        <v>46036</v>
      </c>
      <c r="D46" s="9" t="s">
        <v>414</v>
      </c>
    </row>
    <row r="47" spans="3:4">
      <c r="C47" s="15">
        <v>46037</v>
      </c>
      <c r="D47" s="9" t="s">
        <v>414</v>
      </c>
    </row>
    <row r="48" spans="3:4">
      <c r="C48" s="15">
        <v>46038</v>
      </c>
      <c r="D48" s="9" t="s">
        <v>414</v>
      </c>
    </row>
    <row r="49" spans="3:4">
      <c r="C49" s="15">
        <v>46102</v>
      </c>
      <c r="D49" s="9" t="s">
        <v>398</v>
      </c>
    </row>
    <row r="50" spans="3:4">
      <c r="C50" s="15">
        <v>46115</v>
      </c>
      <c r="D50" s="9" t="s">
        <v>400</v>
      </c>
    </row>
    <row r="51" spans="3:4">
      <c r="C51" s="15">
        <v>46118</v>
      </c>
      <c r="D51" s="9" t="s">
        <v>402</v>
      </c>
    </row>
    <row r="52" spans="3:4">
      <c r="C52" s="15">
        <v>46139</v>
      </c>
      <c r="D52" s="9" t="s">
        <v>404</v>
      </c>
    </row>
    <row r="53" spans="3:4">
      <c r="C53" s="15">
        <v>46143</v>
      </c>
      <c r="D53" s="9" t="s">
        <v>406</v>
      </c>
    </row>
    <row r="54" spans="3:4">
      <c r="C54" s="15">
        <v>46189</v>
      </c>
      <c r="D54" s="9" t="s">
        <v>407</v>
      </c>
    </row>
    <row r="55" spans="3:4">
      <c r="C55" s="15">
        <v>46243</v>
      </c>
      <c r="D55" s="9" t="s">
        <v>408</v>
      </c>
    </row>
    <row r="56" spans="3:4">
      <c r="C56" s="15">
        <v>46244</v>
      </c>
      <c r="D56" s="9" t="s">
        <v>415</v>
      </c>
    </row>
    <row r="57" spans="3:4">
      <c r="C57" s="15">
        <v>46289</v>
      </c>
      <c r="D57" s="9" t="s">
        <v>409</v>
      </c>
    </row>
    <row r="58" spans="3:4">
      <c r="C58" s="15">
        <v>46372</v>
      </c>
      <c r="D58" s="9" t="s">
        <v>410</v>
      </c>
    </row>
    <row r="59" spans="3:4">
      <c r="C59" s="15">
        <v>46381</v>
      </c>
      <c r="D59" s="9" t="s">
        <v>412</v>
      </c>
    </row>
    <row r="60" spans="3:4" ht="13" thickBot="1">
      <c r="C60" s="16">
        <v>46382</v>
      </c>
      <c r="D60" s="9" t="s">
        <v>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AF62830A-5339-4AA6-89F6-89E44A6934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2026-02-12T09:19:58Z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