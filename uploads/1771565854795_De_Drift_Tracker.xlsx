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0" documentId="13_ncr:1_{3C257196-C608-46AD-B16B-23CBF423CE0F}" xr6:coauthVersionLast="47" xr6:coauthVersionMax="47" xr10:uidLastSave="{2ABE52DC-BD2E-4ABB-A1AB-480A8453937D}"/>
  <bookViews>
    <workbookView minimized="1" xWindow="-90" yWindow="130" windowWidth="19380" windowHeight="1124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57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W16" i="2" s="1"/>
  <c r="M23" i="2"/>
  <c r="W15" i="2" s="1"/>
  <c r="M11" i="2"/>
  <c r="W20" i="2"/>
  <c r="W18" i="2"/>
  <c r="W17" i="2"/>
  <c r="W14" i="2"/>
  <c r="W13" i="2"/>
  <c r="G14" i="2"/>
  <c r="E15" i="2" s="1"/>
  <c r="G13" i="2"/>
  <c r="G12" i="2"/>
  <c r="M50" i="2"/>
  <c r="N46" i="2"/>
  <c r="M41" i="2"/>
  <c r="M37" i="2"/>
  <c r="K13" i="2"/>
  <c r="K14" i="2"/>
  <c r="N14" i="2" s="1"/>
  <c r="O58" i="18"/>
  <c r="E17" i="2" l="1"/>
  <c r="G15" i="2"/>
  <c r="E16" i="2" s="1"/>
  <c r="G16" i="2" s="1"/>
  <c r="I15" i="2"/>
  <c r="W120" i="18"/>
  <c r="W53" i="18"/>
  <c r="W45" i="18"/>
  <c r="T44" i="18"/>
  <c r="W21" i="18"/>
  <c r="T28" i="18"/>
  <c r="T14" i="18"/>
  <c r="G17" i="2" l="1"/>
  <c r="G11" i="2" s="1"/>
  <c r="E18" i="2"/>
  <c r="G18" i="2" s="1"/>
  <c r="E21" i="2" l="1"/>
  <c r="E11" i="2"/>
  <c r="F11" i="2" s="1"/>
  <c r="E38" i="2"/>
  <c r="G38" i="2" s="1"/>
  <c r="E32" i="2"/>
  <c r="E34" i="2" s="1"/>
  <c r="G34" i="2" s="1"/>
  <c r="G104" i="18"/>
  <c r="G1" i="6"/>
  <c r="H1" i="6" s="1"/>
  <c r="W137" i="18"/>
  <c r="W136" i="18"/>
  <c r="W135" i="18"/>
  <c r="W134" i="18"/>
  <c r="T79" i="18"/>
  <c r="T55" i="18"/>
  <c r="G21" i="2" l="1"/>
  <c r="E20" i="2"/>
  <c r="G32" i="2"/>
  <c r="I1" i="6"/>
  <c r="E24" i="2" l="1"/>
  <c r="G20" i="2"/>
  <c r="F20" i="2" s="1"/>
  <c r="E33" i="2"/>
  <c r="J1" i="6"/>
  <c r="G24" i="2" l="1"/>
  <c r="E27" i="2"/>
  <c r="G33" i="2"/>
  <c r="K1" i="6"/>
  <c r="E28" i="2" l="1"/>
  <c r="G28" i="2" s="1"/>
  <c r="G27" i="2"/>
  <c r="E25" i="2"/>
  <c r="E39" i="2"/>
  <c r="E26" i="2"/>
  <c r="L1" i="6"/>
  <c r="E23" i="2" l="1"/>
  <c r="G25" i="2"/>
  <c r="G26" i="2"/>
  <c r="G39" i="2"/>
  <c r="E37" i="2"/>
  <c r="M1" i="6"/>
  <c r="G23" i="2" l="1"/>
  <c r="F23" i="2" s="1"/>
  <c r="E35" i="2"/>
  <c r="G37" i="2"/>
  <c r="F37" i="2" s="1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l="1"/>
  <c r="I21" i="2"/>
  <c r="P13" i="5" s="1"/>
  <c r="I38" i="2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N20" i="2" l="1"/>
  <c r="M20" i="2"/>
  <c r="I28" i="2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<sst xmlns="http://schemas.openxmlformats.org/spreadsheetml/2006/main" count="738" uniqueCount="414">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</sst>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48</c:v>
                  </c:pt>
                  <c:pt idx="3">
                    <c:v>57</c:v>
                  </c:pt>
                  <c:pt idx="4">
                    <c:v>36</c:v>
                  </c:pt>
                  <c:pt idx="5">
                    <c:v>14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46133</c:v>
                </c:pt>
                <c:pt idx="2">
                  <c:v>46112</c:v>
                </c:pt>
                <c:pt idx="3">
                  <c:v>46133</c:v>
                </c:pt>
                <c:pt idx="4">
                  <c:v>46133</c:v>
                </c:pt>
                <c:pt idx="5">
                  <c:v>46190</c:v>
                </c:pt>
                <c:pt idx="6">
                  <c:v>46197</c:v>
                </c:pt>
                <c:pt idx="7">
                  <c:v>46202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5070770.6206568638</c:v>
                </c:pt>
                <c:pt idx="25">
                  <c:v>5070770.6206568638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5667331.8701459067</c:v>
                </c:pt>
                <c:pt idx="77">
                  <c:v>5667331.8701459067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320128</c:v>
                </c:pt>
                <c:pt idx="20">
                  <c:v>676695.33333333326</c:v>
                </c:pt>
                <c:pt idx="21">
                  <c:v>676695.33333333326</c:v>
                </c:pt>
                <c:pt idx="22">
                  <c:v>676695.33333333326</c:v>
                </c:pt>
                <c:pt idx="23">
                  <c:v>4472154.445507247</c:v>
                </c:pt>
                <c:pt idx="24">
                  <c:v>4908394.445507247</c:v>
                </c:pt>
                <c:pt idx="25">
                  <c:v>5048418.445507247</c:v>
                </c:pt>
                <c:pt idx="26">
                  <c:v>5048418.445507247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4750642.6206568638</c:v>
                </c:pt>
                <c:pt idx="20">
                  <c:v>4394075.2873235308</c:v>
                </c:pt>
                <c:pt idx="21">
                  <c:v>4394075.2873235308</c:v>
                </c:pt>
                <c:pt idx="22">
                  <c:v>4394075.2873235308</c:v>
                </c:pt>
                <c:pt idx="23">
                  <c:v>598616.17514961679</c:v>
                </c:pt>
                <c:pt idx="24">
                  <c:v>162376.17514961679</c:v>
                </c:pt>
                <c:pt idx="25">
                  <c:v>22352.175149616785</c:v>
                </c:pt>
                <c:pt idx="26">
                  <c:v>618913.42463865969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541808.19406981952</c:v>
                </c:pt>
                <c:pt idx="77">
                  <c:v>541808.19406981952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5070770.6206568638</c:v>
                </c:pt>
                <c:pt idx="25">
                  <c:v>5070770.6206568638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5667331.8701459067</c:v>
                </c:pt>
                <c:pt idx="77">
                  <c:v>5667331.8701459067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3500</c:v>
                </c:pt>
                <c:pt idx="13">
                  <c:v>7000</c:v>
                </c:pt>
                <c:pt idx="14">
                  <c:v>118641.18033333335</c:v>
                </c:pt>
                <c:pt idx="15">
                  <c:v>286102.95083333331</c:v>
                </c:pt>
                <c:pt idx="16">
                  <c:v>286102.95083333331</c:v>
                </c:pt>
                <c:pt idx="17">
                  <c:v>289602.95083333331</c:v>
                </c:pt>
                <c:pt idx="18">
                  <c:v>289602.95083333331</c:v>
                </c:pt>
                <c:pt idx="19">
                  <c:v>289602.95083333331</c:v>
                </c:pt>
                <c:pt idx="20">
                  <c:v>1182929.9615</c:v>
                </c:pt>
                <c:pt idx="21">
                  <c:v>1186429.9615</c:v>
                </c:pt>
                <c:pt idx="22">
                  <c:v>1186429.9615</c:v>
                </c:pt>
                <c:pt idx="23">
                  <c:v>3551769.9615000002</c:v>
                </c:pt>
                <c:pt idx="24">
                  <c:v>3830872.9123333334</c:v>
                </c:pt>
                <c:pt idx="25">
                  <c:v>3911443.0685194638</c:v>
                </c:pt>
                <c:pt idx="26">
                  <c:v>4190546.019352797</c:v>
                </c:pt>
                <c:pt idx="27">
                  <c:v>4210554.0193527974</c:v>
                </c:pt>
                <c:pt idx="28">
                  <c:v>4210554.0193527974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2080964.3732116497</c:v>
                </c:pt>
                <c:pt idx="14">
                  <c:v>1969323.1928783164</c:v>
                </c:pt>
                <c:pt idx="15">
                  <c:v>1801861.4223783165</c:v>
                </c:pt>
                <c:pt idx="16">
                  <c:v>4784667.6698235301</c:v>
                </c:pt>
                <c:pt idx="17">
                  <c:v>4781167.6698235301</c:v>
                </c:pt>
                <c:pt idx="18">
                  <c:v>4781167.6698235301</c:v>
                </c:pt>
                <c:pt idx="19">
                  <c:v>4781167.6698235301</c:v>
                </c:pt>
                <c:pt idx="20">
                  <c:v>3887840.6591568636</c:v>
                </c:pt>
                <c:pt idx="21">
                  <c:v>3884340.6591568636</c:v>
                </c:pt>
                <c:pt idx="22">
                  <c:v>3884340.6591568636</c:v>
                </c:pt>
                <c:pt idx="23">
                  <c:v>1519000.6591568636</c:v>
                </c:pt>
                <c:pt idx="24">
                  <c:v>1239897.7083235304</c:v>
                </c:pt>
                <c:pt idx="25">
                  <c:v>1159327.5521374</c:v>
                </c:pt>
                <c:pt idx="26">
                  <c:v>1476785.8507931097</c:v>
                </c:pt>
                <c:pt idx="27">
                  <c:v>1456777.8507931093</c:v>
                </c:pt>
                <c:pt idx="28">
                  <c:v>1456777.8507931093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1320957.2606264427</c:v>
                </c:pt>
                <c:pt idx="77">
                  <c:v>1320957.2606264427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7777.7777777777774</c:v>
                </c:pt>
                <c:pt idx="13">
                  <c:v>7777.7777777777774</c:v>
                </c:pt>
                <c:pt idx="14">
                  <c:v>7777.7777777777774</c:v>
                </c:pt>
                <c:pt idx="15">
                  <c:v>7777.7777777777774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5405403.4231662294</c:v>
                </c:pt>
                <c:pt idx="26">
                  <c:v>5405403.4231662294</c:v>
                </c:pt>
                <c:pt idx="27">
                  <c:v>5405403.4231662294</c:v>
                </c:pt>
                <c:pt idx="28">
                  <c:v>5405403.4231662294</c:v>
                </c:pt>
                <c:pt idx="29">
                  <c:v>5890557.8208848573</c:v>
                </c:pt>
                <c:pt idx="30">
                  <c:v>5890557.8208848573</c:v>
                </c:pt>
                <c:pt idx="31">
                  <c:v>5890557.8208848573</c:v>
                </c:pt>
                <c:pt idx="32">
                  <c:v>5890557.8208848573</c:v>
                </c:pt>
                <c:pt idx="33">
                  <c:v>5890557.8208848573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2" t="s">
        <v>0</v>
      </c>
      <c r="C2" s="632"/>
      <c r="D2" s="632"/>
      <c r="E2" s="632"/>
      <c r="H2" s="633" t="s">
        <v>1</v>
      </c>
      <c r="I2" s="634"/>
      <c r="J2" s="634"/>
      <c r="K2" s="634"/>
      <c r="L2" s="634"/>
      <c r="M2" s="634"/>
      <c r="N2" s="634"/>
      <c r="O2" s="635"/>
    </row>
    <row r="3" spans="2:15">
      <c r="B3" s="615"/>
      <c r="H3" s="636"/>
      <c r="I3" s="637"/>
      <c r="J3" s="637"/>
      <c r="K3" s="637"/>
      <c r="L3" s="637"/>
      <c r="M3" s="637"/>
      <c r="N3" s="637"/>
      <c r="O3" s="638"/>
    </row>
    <row r="4" spans="2:15">
      <c r="B4" s="616" t="s">
        <v>2</v>
      </c>
      <c r="C4" s="617" t="str">
        <f>'Project Plan'!E2</f>
        <v>De Drift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6" t="s">
        <v>3</v>
      </c>
      <c r="C5" s="617" t="s">
        <v>4</v>
      </c>
      <c r="H5" s="636"/>
      <c r="I5" s="637"/>
      <c r="J5" s="637"/>
      <c r="K5" s="637"/>
      <c r="L5" s="637"/>
      <c r="M5" s="637"/>
      <c r="N5" s="637"/>
      <c r="O5" s="638"/>
    </row>
    <row r="6" spans="2:15">
      <c r="B6" s="616" t="s">
        <v>5</v>
      </c>
      <c r="C6" s="617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6" t="s">
        <v>7</v>
      </c>
      <c r="C7" s="617" t="s">
        <v>8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5"/>
      <c r="H8" s="636"/>
      <c r="I8" s="637"/>
      <c r="J8" s="637"/>
      <c r="K8" s="637"/>
      <c r="L8" s="637"/>
      <c r="M8" s="637"/>
      <c r="N8" s="637"/>
      <c r="O8" s="638"/>
    </row>
    <row r="9" spans="2:15">
      <c r="B9" s="642" t="s">
        <v>9</v>
      </c>
      <c r="C9" s="642"/>
      <c r="D9" s="642"/>
      <c r="E9" s="642"/>
      <c r="H9" s="636"/>
      <c r="I9" s="637"/>
      <c r="J9" s="637"/>
      <c r="K9" s="637"/>
      <c r="L9" s="637"/>
      <c r="M9" s="637"/>
      <c r="N9" s="637"/>
      <c r="O9" s="638"/>
    </row>
    <row r="10" spans="2:15" ht="15" thickBot="1">
      <c r="B10" s="642" t="s">
        <v>10</v>
      </c>
      <c r="C10" s="642"/>
      <c r="D10" s="642"/>
      <c r="E10" s="642"/>
      <c r="H10" s="639"/>
      <c r="I10" s="640"/>
      <c r="J10" s="640"/>
      <c r="K10" s="640"/>
      <c r="L10" s="640"/>
      <c r="M10" s="640"/>
      <c r="N10" s="640"/>
      <c r="O10" s="641"/>
    </row>
    <row r="11" spans="2:15">
      <c r="B11" s="618" t="s">
        <v>11</v>
      </c>
      <c r="C11" s="630"/>
      <c r="D11" s="630"/>
      <c r="E11" s="630"/>
    </row>
    <row r="12" spans="2:15">
      <c r="B12" s="618" t="s">
        <v>12</v>
      </c>
      <c r="C12" s="630"/>
      <c r="D12" s="630"/>
      <c r="E12" s="630"/>
    </row>
    <row r="13" spans="2:15">
      <c r="B13" s="618" t="s">
        <v>13</v>
      </c>
      <c r="C13" s="630"/>
      <c r="D13" s="630"/>
      <c r="E13" s="630"/>
    </row>
    <row r="14" spans="2:15">
      <c r="B14" s="618" t="s">
        <v>14</v>
      </c>
      <c r="C14" s="630"/>
      <c r="D14" s="630"/>
      <c r="E14" s="630"/>
    </row>
    <row r="15" spans="2:15">
      <c r="B15" s="618" t="s">
        <v>15</v>
      </c>
      <c r="C15" s="630"/>
      <c r="D15" s="630"/>
      <c r="E15" s="630"/>
    </row>
    <row r="16" spans="2:15" ht="15" customHeight="1">
      <c r="B16" s="618" t="s">
        <v>16</v>
      </c>
      <c r="C16" s="630"/>
      <c r="D16" s="630"/>
      <c r="E16" s="630"/>
    </row>
    <row r="17" spans="2:5">
      <c r="B17" s="615"/>
    </row>
    <row r="18" spans="2:5">
      <c r="B18" s="631" t="s">
        <v>17</v>
      </c>
      <c r="C18" s="631"/>
      <c r="D18" s="631"/>
      <c r="E18" s="63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2" t="s">
        <v>22</v>
      </c>
      <c r="C2" s="632"/>
      <c r="D2" s="632"/>
      <c r="E2" s="632"/>
      <c r="H2" s="633" t="s">
        <v>23</v>
      </c>
      <c r="I2" s="634"/>
      <c r="J2" s="634"/>
      <c r="K2" s="634"/>
      <c r="L2" s="634"/>
      <c r="M2" s="634"/>
      <c r="N2" s="634"/>
      <c r="O2" s="635"/>
    </row>
    <row r="3" spans="2:15">
      <c r="B3" s="615"/>
      <c r="H3" s="636"/>
      <c r="I3" s="637"/>
      <c r="J3" s="637"/>
      <c r="K3" s="637"/>
      <c r="L3" s="637"/>
      <c r="M3" s="637"/>
      <c r="N3" s="637"/>
      <c r="O3" s="638"/>
    </row>
    <row r="4" spans="2:15">
      <c r="B4" s="616" t="s">
        <v>2</v>
      </c>
      <c r="C4" s="617" t="str">
        <f>'Project Plan'!E2</f>
        <v>De Drift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6" t="s">
        <v>24</v>
      </c>
      <c r="C5" s="617"/>
      <c r="H5" s="636"/>
      <c r="I5" s="637"/>
      <c r="J5" s="637"/>
      <c r="K5" s="637"/>
      <c r="L5" s="637"/>
      <c r="M5" s="637"/>
      <c r="N5" s="637"/>
      <c r="O5" s="638"/>
    </row>
    <row r="6" spans="2:15">
      <c r="B6" s="616" t="s">
        <v>5</v>
      </c>
      <c r="C6" s="617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6" t="s">
        <v>25</v>
      </c>
      <c r="C7" s="617" t="str">
        <f>'Project Plan'!E5</f>
        <v>Justin Franke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6" t="s">
        <v>26</v>
      </c>
      <c r="C8" s="617"/>
      <c r="H8" s="636"/>
      <c r="I8" s="637"/>
      <c r="J8" s="637"/>
      <c r="K8" s="637"/>
      <c r="L8" s="637"/>
      <c r="M8" s="637"/>
      <c r="N8" s="637"/>
      <c r="O8" s="638"/>
    </row>
    <row r="9" spans="2:15">
      <c r="B9" s="615"/>
      <c r="H9" s="636"/>
      <c r="I9" s="637"/>
      <c r="J9" s="637"/>
      <c r="K9" s="637"/>
      <c r="L9" s="637"/>
      <c r="M9" s="637"/>
      <c r="N9" s="637"/>
      <c r="O9" s="638"/>
    </row>
    <row r="10" spans="2:15">
      <c r="B10" s="642" t="s">
        <v>9</v>
      </c>
      <c r="C10" s="642"/>
      <c r="D10" s="642"/>
      <c r="E10" s="642"/>
      <c r="H10" s="636"/>
      <c r="I10" s="637"/>
      <c r="J10" s="637"/>
      <c r="K10" s="637"/>
      <c r="L10" s="637"/>
      <c r="M10" s="637"/>
      <c r="N10" s="637"/>
      <c r="O10" s="638"/>
    </row>
    <row r="11" spans="2:15" ht="15" thickBot="1">
      <c r="B11" s="642" t="s">
        <v>10</v>
      </c>
      <c r="C11" s="642"/>
      <c r="D11" s="642"/>
      <c r="E11" s="642"/>
      <c r="H11" s="639"/>
      <c r="I11" s="640"/>
      <c r="J11" s="640"/>
      <c r="K11" s="640"/>
      <c r="L11" s="640"/>
      <c r="M11" s="640"/>
      <c r="N11" s="640"/>
      <c r="O11" s="641"/>
    </row>
    <row r="12" spans="2:15" ht="24.95">
      <c r="B12" s="618" t="s">
        <v>27</v>
      </c>
      <c r="C12" s="630"/>
      <c r="D12" s="630"/>
      <c r="E12" s="630"/>
    </row>
    <row r="13" spans="2:15">
      <c r="B13" s="618" t="s">
        <v>28</v>
      </c>
      <c r="C13" s="630"/>
      <c r="D13" s="630"/>
      <c r="E13" s="630"/>
    </row>
    <row r="14" spans="2:15">
      <c r="B14" s="618" t="s">
        <v>29</v>
      </c>
      <c r="C14" s="630"/>
      <c r="D14" s="630"/>
      <c r="E14" s="630"/>
    </row>
    <row r="15" spans="2:15">
      <c r="B15" s="618" t="s">
        <v>30</v>
      </c>
      <c r="C15" s="630"/>
      <c r="D15" s="630"/>
      <c r="E15" s="630"/>
    </row>
    <row r="16" spans="2:15" ht="24.95">
      <c r="B16" s="618" t="s">
        <v>31</v>
      </c>
      <c r="C16" s="630"/>
      <c r="D16" s="630"/>
      <c r="E16" s="630"/>
    </row>
    <row r="17" spans="2:5">
      <c r="B17" s="618" t="s">
        <v>32</v>
      </c>
      <c r="C17" s="630"/>
      <c r="D17" s="630"/>
      <c r="E17" s="630"/>
    </row>
    <row r="18" spans="2:5">
      <c r="B18" s="618" t="s">
        <v>33</v>
      </c>
      <c r="C18" s="630"/>
      <c r="D18" s="630"/>
      <c r="E18" s="630"/>
    </row>
    <row r="19" spans="2:5">
      <c r="B19" s="618" t="s">
        <v>34</v>
      </c>
      <c r="C19" s="630"/>
      <c r="D19" s="630"/>
      <c r="E19" s="630"/>
    </row>
    <row r="20" spans="2:5">
      <c r="B20" s="618" t="s">
        <v>35</v>
      </c>
      <c r="C20" s="630"/>
      <c r="D20" s="630"/>
      <c r="E20" s="630"/>
    </row>
    <row r="21" spans="2:5">
      <c r="B21" s="618" t="s">
        <v>36</v>
      </c>
      <c r="C21" s="630"/>
      <c r="D21" s="630"/>
      <c r="E21" s="630"/>
    </row>
    <row r="22" spans="2:5" ht="15" customHeight="1">
      <c r="B22" s="618" t="s">
        <v>16</v>
      </c>
      <c r="C22" s="630"/>
      <c r="D22" s="630"/>
      <c r="E22" s="630"/>
    </row>
    <row r="23" spans="2:5">
      <c r="B23" s="615"/>
    </row>
    <row r="24" spans="2:5">
      <c r="B24" s="631" t="s">
        <v>17</v>
      </c>
      <c r="C24" s="631"/>
      <c r="D24" s="631"/>
      <c r="E24" s="63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45"/>
      <c r="C1" s="646"/>
      <c r="D1" s="646"/>
      <c r="E1" s="646"/>
      <c r="F1" s="643" t="s">
        <v>37</v>
      </c>
      <c r="G1" s="643"/>
      <c r="H1" s="643"/>
      <c r="I1" s="643"/>
      <c r="J1" s="643"/>
      <c r="K1" s="644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47" t="s">
        <v>102</v>
      </c>
      <c r="C2" s="648"/>
      <c r="D2" s="648"/>
      <c r="E2" s="648"/>
      <c r="F2" s="64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7" t="s">
        <v>111</v>
      </c>
      <c r="C16" s="648"/>
      <c r="D16" s="648"/>
      <c r="E16" s="648"/>
      <c r="F16" s="64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O48" sqref="O48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9.85546875" style="26" bestFit="1" customWidth="1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50" t="s">
        <v>116</v>
      </c>
      <c r="J2" s="651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800</v>
      </c>
      <c r="F3" s="93"/>
      <c r="G3" s="94"/>
      <c r="H3" s="94"/>
      <c r="I3" s="650" t="s">
        <v>118</v>
      </c>
      <c r="J3" s="651"/>
      <c r="K3" s="588">
        <f>K2/5</f>
        <v>9.8000000000000007</v>
      </c>
      <c r="Q3" s="1"/>
    </row>
    <row r="4" spans="2:28" s="26" customFormat="1" ht="14.4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50" t="s">
        <v>121</v>
      </c>
      <c r="J4" s="651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4" t="s">
        <v>127</v>
      </c>
      <c r="C8" s="655" t="s">
        <v>128</v>
      </c>
      <c r="D8" s="126"/>
      <c r="E8" s="656" t="s">
        <v>129</v>
      </c>
      <c r="F8" s="148" t="s">
        <v>130</v>
      </c>
      <c r="G8" s="656" t="s">
        <v>131</v>
      </c>
      <c r="H8" s="149"/>
      <c r="I8" s="656" t="s">
        <v>132</v>
      </c>
      <c r="J8" s="148" t="s">
        <v>130</v>
      </c>
      <c r="K8" s="656" t="s">
        <v>133</v>
      </c>
      <c r="M8" s="585" t="s">
        <v>44</v>
      </c>
      <c r="N8" s="586" t="s">
        <v>134</v>
      </c>
      <c r="O8" s="652" t="s">
        <v>135</v>
      </c>
      <c r="Z8" s="26"/>
      <c r="AA8" s="26"/>
      <c r="AB8" s="26"/>
    </row>
    <row r="9" spans="2:28">
      <c r="B9" s="654"/>
      <c r="C9" s="655"/>
      <c r="D9" s="126"/>
      <c r="E9" s="656"/>
      <c r="F9" s="40">
        <f>G41-E21</f>
        <v>71</v>
      </c>
      <c r="G9" s="656"/>
      <c r="H9" s="149"/>
      <c r="I9" s="656"/>
      <c r="J9" s="41">
        <f>K41-I21</f>
        <v>71</v>
      </c>
      <c r="K9" s="656"/>
      <c r="M9" s="265">
        <f ca="1">AVERAGE(M11,M20,M23,M30,M37,M41,M50,M46)</f>
        <v>4.4642857142857144E-2</v>
      </c>
      <c r="N9" s="265">
        <f ca="1">AVERAGE(N11,N20,N23,N30,N37,N41,N50,N46)</f>
        <v>4.3668831168831169E-2</v>
      </c>
      <c r="O9" s="653"/>
      <c r="S9" s="587">
        <f ca="1">TODAY()</f>
        <v>46072</v>
      </c>
      <c r="T9" s="587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0.34935064935064936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0.44545454545454544</v>
      </c>
      <c r="O14" s="36"/>
      <c r="Q14" s="1"/>
      <c r="S14" s="537" t="str">
        <f>C20</f>
        <v>Site Establishment</v>
      </c>
      <c r="T14" s="539">
        <f>I20</f>
        <v>46133</v>
      </c>
      <c r="U14" s="540">
        <f>J20</f>
        <v>1</v>
      </c>
      <c r="V14" s="539">
        <f>K20</f>
        <v>46134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46112</v>
      </c>
      <c r="U15" s="540">
        <f>J23</f>
        <v>48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46133</v>
      </c>
      <c r="U16" s="540">
        <f>J30</f>
        <v>57</v>
      </c>
      <c r="V16" s="539">
        <f>K30</f>
        <v>46190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46133</v>
      </c>
      <c r="U17" s="540">
        <f>J37</f>
        <v>36</v>
      </c>
      <c r="V17" s="539">
        <f>K37</f>
        <v>46169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46190</v>
      </c>
      <c r="U18" s="540">
        <f>J41</f>
        <v>14</v>
      </c>
      <c r="V18" s="539">
        <f>K41</f>
        <v>46204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46197</v>
      </c>
      <c r="U19" s="540">
        <f>J46</f>
        <v>8</v>
      </c>
      <c r="V19" s="539">
        <f>K46</f>
        <v>46205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46133</v>
      </c>
      <c r="F20" s="573">
        <f>G20-E20</f>
        <v>1</v>
      </c>
      <c r="G20" s="572">
        <f>MAX(G21:G22)</f>
        <v>46134</v>
      </c>
      <c r="H20" s="574"/>
      <c r="I20" s="572">
        <f>MIN(I21:I22)</f>
        <v>46133</v>
      </c>
      <c r="J20" s="573">
        <f>K20-I20</f>
        <v>1</v>
      </c>
      <c r="K20" s="572">
        <f>MAX(K21:K22)</f>
        <v>46134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46202</v>
      </c>
      <c r="U20" s="540">
        <f>J50</f>
        <v>16</v>
      </c>
      <c r="V20" s="539">
        <f>K50</f>
        <v>46218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f>G11</f>
        <v>46133</v>
      </c>
      <c r="F21" s="578">
        <v>1</v>
      </c>
      <c r="G21" s="577">
        <f>E21+F21</f>
        <v>46134</v>
      </c>
      <c r="H21" s="579"/>
      <c r="I21" s="577">
        <f>K11</f>
        <v>46133</v>
      </c>
      <c r="J21" s="578">
        <v>1</v>
      </c>
      <c r="K21" s="577">
        <f>I21+J21</f>
        <v>46134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46112</v>
      </c>
      <c r="F23" s="573">
        <f>G23-E23</f>
        <v>48</v>
      </c>
      <c r="G23" s="572">
        <f>MAX(G24:G29)</f>
        <v>46160</v>
      </c>
      <c r="H23" s="582"/>
      <c r="I23" s="572">
        <f>MIN(I24:I29)</f>
        <v>46112</v>
      </c>
      <c r="J23" s="573">
        <f>K23-I23</f>
        <v>48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46134</v>
      </c>
      <c r="F24" s="578">
        <v>1</v>
      </c>
      <c r="G24" s="577">
        <f>WORKDAY.INTL(E24,F24,1,Data!$C$3:$C$60)</f>
        <v>46135</v>
      </c>
      <c r="H24" s="579"/>
      <c r="I24" s="577">
        <f>WORKDAY.INTL(K21,0,1,Data!$C$3:$C$60)</f>
        <v>46134</v>
      </c>
      <c r="J24" s="578">
        <v>1</v>
      </c>
      <c r="K24" s="577">
        <f>WORKDAY.INTL(I24,J24,1,Data!$C$3:$C$60)</f>
        <v>46135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46135</v>
      </c>
      <c r="F25" s="578">
        <v>1</v>
      </c>
      <c r="G25" s="577">
        <f>WORKDAY.INTL(E25,F25,1,Data!$C$3:$C$60)</f>
        <v>46136</v>
      </c>
      <c r="H25" s="579"/>
      <c r="I25" s="577">
        <f>WORKDAY.INTL(K24,0,1,Data!$C$3:$C$60)</f>
        <v>46135</v>
      </c>
      <c r="J25" s="578">
        <v>1</v>
      </c>
      <c r="K25" s="577">
        <f>WORKDAY.INTL(I25,J25,1,Data!$C$3:$C$60)</f>
        <v>46136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46134</v>
      </c>
      <c r="F27" s="578">
        <v>15</v>
      </c>
      <c r="G27" s="577">
        <f>WORKDAY.INTL(E27,F27,1,Data!$C$3:$C$60)</f>
        <v>46157</v>
      </c>
      <c r="H27" s="579"/>
      <c r="I27" s="577">
        <f>I24</f>
        <v>46134</v>
      </c>
      <c r="J27" s="578">
        <v>15</v>
      </c>
      <c r="K27" s="577">
        <f>WORKDAY.INTL(I27,J27,1,Data!$C$3:$C$60)</f>
        <v>46157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46134</v>
      </c>
      <c r="F28" s="578">
        <v>1</v>
      </c>
      <c r="G28" s="577">
        <f>WORKDAY.INTL(E28,F28,1,Data!$C$3:$C$60)</f>
        <v>46135</v>
      </c>
      <c r="H28" s="579"/>
      <c r="I28" s="577">
        <f>WORKDAY.INTL(I27,0,1,Data!$C$3:$C$60)</f>
        <v>46134</v>
      </c>
      <c r="J28" s="578">
        <v>1</v>
      </c>
      <c r="K28" s="577">
        <f>WORKDAY.INTL(I28,J28,1,Data!$C$3:$C$60)</f>
        <v>46135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46133</v>
      </c>
      <c r="F30" s="573">
        <f>G30-E30</f>
        <v>57</v>
      </c>
      <c r="G30" s="572">
        <f>MAX(G32:G36)</f>
        <v>46190</v>
      </c>
      <c r="H30" s="582"/>
      <c r="I30" s="572">
        <f>MIN(I32:I36)</f>
        <v>46133</v>
      </c>
      <c r="J30" s="573">
        <f>K30-I30</f>
        <v>57</v>
      </c>
      <c r="K30" s="572">
        <f>MAX(K32:K36)</f>
        <v>46190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46133</v>
      </c>
      <c r="F32" s="578">
        <v>1</v>
      </c>
      <c r="G32" s="577">
        <f>WORKDAY.INTL(E32,F32,1,Data!$C$3:$C$60)</f>
        <v>46134</v>
      </c>
      <c r="H32" s="579"/>
      <c r="I32" s="577">
        <f>I21</f>
        <v>46133</v>
      </c>
      <c r="J32" s="578">
        <v>1</v>
      </c>
      <c r="K32" s="577">
        <f>WORKDAY.INTL(I32,J32,1,Data!$C$3:$C$60)</f>
        <v>46134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171</v>
      </c>
      <c r="C33" s="158" t="s">
        <v>172</v>
      </c>
      <c r="D33" s="126"/>
      <c r="E33" s="577">
        <f>WORKDAY.INTL(G32,0,1,Data!$C$3:$C$60)</f>
        <v>46134</v>
      </c>
      <c r="F33" s="578">
        <v>5</v>
      </c>
      <c r="G33" s="577">
        <f>WORKDAY.INTL(E33,F33,1,Data!$C$3:$C$60)</f>
        <v>46142</v>
      </c>
      <c r="H33" s="579"/>
      <c r="I33" s="577">
        <f>WORKDAY.INTL(K32,0,1,Data!$C$3:$C$60)</f>
        <v>46134</v>
      </c>
      <c r="J33" s="578">
        <v>5</v>
      </c>
      <c r="K33" s="577">
        <f>WORKDAY.INTL(I33,J33,1,Data!$C$3:$C$60)</f>
        <v>46142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46133</v>
      </c>
      <c r="F34" s="578">
        <v>1</v>
      </c>
      <c r="G34" s="577">
        <f>WORKDAY.INTL(E34,F34,1,Data!$C$3:$C$60)</f>
        <v>46134</v>
      </c>
      <c r="H34" s="579"/>
      <c r="I34" s="577">
        <f>I32</f>
        <v>46133</v>
      </c>
      <c r="J34" s="578">
        <v>1</v>
      </c>
      <c r="K34" s="577">
        <f>WORKDAY.INTL(I34,J34,1,Data!$C$3:$C$60)</f>
        <v>46134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46166</v>
      </c>
      <c r="F35" s="578">
        <v>17</v>
      </c>
      <c r="G35" s="583">
        <f>WORKDAY.INTL(E35,F35,1,Data!$C$3:$C$60)</f>
        <v>46190</v>
      </c>
      <c r="H35" s="579"/>
      <c r="I35" s="583">
        <f>WORKDAY.INTL(K39,0,1,Data!$C$3:$C$60)-3</f>
        <v>46166</v>
      </c>
      <c r="J35" s="578">
        <v>17</v>
      </c>
      <c r="K35" s="583">
        <f>WORKDAY.INTL(I35,J35,1,Data!$C$3:$C$60)</f>
        <v>46190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46133</v>
      </c>
      <c r="F37" s="573">
        <f>G37-E37</f>
        <v>36</v>
      </c>
      <c r="G37" s="572">
        <f>MAX(G38:G40)</f>
        <v>46169</v>
      </c>
      <c r="H37" s="574"/>
      <c r="I37" s="572">
        <f>MIN(I38:I40)</f>
        <v>46133</v>
      </c>
      <c r="J37" s="573">
        <f>K37-I37</f>
        <v>36</v>
      </c>
      <c r="K37" s="572">
        <f>MAX(K38:K40)</f>
        <v>46169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46133</v>
      </c>
      <c r="F38" s="578">
        <v>1</v>
      </c>
      <c r="G38" s="577">
        <f>WORKDAY.INTL(E38,F38,1,Data!$C$3:$C$60)</f>
        <v>46134</v>
      </c>
      <c r="H38" s="579"/>
      <c r="I38" s="583">
        <f>WORKDAY.INTL(I21,0,1,Data!$C$3:$C$60)</f>
        <v>46133</v>
      </c>
      <c r="J38" s="578">
        <v>1</v>
      </c>
      <c r="K38" s="577">
        <f>WORKDAY.INTL(I38,J38,1,Data!$C$3:$C$60)</f>
        <v>46134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f>G33</f>
        <v>46142</v>
      </c>
      <c r="F39" s="578">
        <v>18</v>
      </c>
      <c r="G39" s="577">
        <f>WORKDAY.INTL(E39,F39,1,Data!$C$3:$C$60)</f>
        <v>46169</v>
      </c>
      <c r="H39" s="579"/>
      <c r="I39" s="583">
        <f>K33</f>
        <v>46142</v>
      </c>
      <c r="J39" s="578">
        <v>18</v>
      </c>
      <c r="K39" s="577">
        <f>WORKDAY.INTL(I39,J39,1,Data!$C$3:$C$60)</f>
        <v>46169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46190</v>
      </c>
      <c r="F41" s="573">
        <f>G41-E41</f>
        <v>14</v>
      </c>
      <c r="G41" s="572">
        <f>MAX(G42:G45)</f>
        <v>46204</v>
      </c>
      <c r="H41" s="574"/>
      <c r="I41" s="572">
        <f>MIN(I42:I45)</f>
        <v>46190</v>
      </c>
      <c r="J41" s="573">
        <f>K41-I41</f>
        <v>14</v>
      </c>
      <c r="K41" s="572">
        <f>MAX(K42:K45)</f>
        <v>46204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f>WORKDAY.INTL(MAX(G23,G30,G37),0,1,Data!$C$3:$C$60)</f>
        <v>46190</v>
      </c>
      <c r="F42" s="578">
        <v>2</v>
      </c>
      <c r="G42" s="583">
        <f>WORKDAY.INTL(E42,F42,1,Data!$C$3:$C$60)</f>
        <v>46192</v>
      </c>
      <c r="H42" s="579"/>
      <c r="I42" s="583">
        <f>WORKDAY.INTL(MAX(K23,K30,K37),0,1,Data!$C$3:$C$60)</f>
        <v>46190</v>
      </c>
      <c r="J42" s="578">
        <v>2</v>
      </c>
      <c r="K42" s="583">
        <f>WORKDAY.INTL(I42,J42,1,Data!$C$3:$C$60)</f>
        <v>46192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46192</v>
      </c>
      <c r="F43" s="578">
        <v>3</v>
      </c>
      <c r="G43" s="583">
        <f>WORKDAY.INTL(E43,F43,1,Data!$C$3:$C$60)</f>
        <v>46197</v>
      </c>
      <c r="H43" s="579"/>
      <c r="I43" s="583">
        <f>WORKDAY.INTL(K42,0,1,Data!$C$3:$C$60)</f>
        <v>46192</v>
      </c>
      <c r="J43" s="578">
        <v>3</v>
      </c>
      <c r="K43" s="583">
        <f>WORKDAY.INTL(I43,J43,1,Data!$C$3:$C$60)</f>
        <v>46197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46197</v>
      </c>
      <c r="F44" s="578">
        <v>5</v>
      </c>
      <c r="G44" s="583">
        <f>WORKDAY.INTL(E44,F44,1,Data!$C$3:$C$60)</f>
        <v>46204</v>
      </c>
      <c r="H44" s="579"/>
      <c r="I44" s="583">
        <f>WORKDAY.INTL(K43,0,1,Data!$C$3:$C$60)</f>
        <v>46197</v>
      </c>
      <c r="J44" s="578">
        <v>5</v>
      </c>
      <c r="K44" s="583">
        <f>WORKDAY.INTL(I44,J44,1,Data!$C$3:$C$60)</f>
        <v>46204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46197</v>
      </c>
      <c r="F46" s="573">
        <f>G46-E46</f>
        <v>8</v>
      </c>
      <c r="G46" s="572">
        <f>MAX(G47:G49)</f>
        <v>46205</v>
      </c>
      <c r="H46" s="574"/>
      <c r="I46" s="572">
        <f>MIN(I47:I49)</f>
        <v>46197</v>
      </c>
      <c r="J46" s="573">
        <f>K46-I46</f>
        <v>8</v>
      </c>
      <c r="K46" s="572">
        <f>MAX(K47:K49)</f>
        <v>46205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46197</v>
      </c>
      <c r="F47" s="578">
        <v>3</v>
      </c>
      <c r="G47" s="583">
        <f>WORKDAY.INTL(E47,F47,1,Data!$C$3:$C$60)</f>
        <v>46202</v>
      </c>
      <c r="H47" s="579"/>
      <c r="I47" s="583">
        <f>WORKDAY.INTL(I44,0,1,Data!$C$3:$C$60)</f>
        <v>46197</v>
      </c>
      <c r="J47" s="578">
        <v>3</v>
      </c>
      <c r="K47" s="583">
        <f>WORKDAY.INTL(I47,J47,1,Data!$C$3:$C$60)</f>
        <v>46202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46202</v>
      </c>
      <c r="F48" s="578">
        <v>3</v>
      </c>
      <c r="G48" s="583">
        <f>WORKDAY.INTL(E48,F48,1,Data!$C$3:$C$60)</f>
        <v>46205</v>
      </c>
      <c r="H48" s="579"/>
      <c r="I48" s="583">
        <f>K47</f>
        <v>46202</v>
      </c>
      <c r="J48" s="578">
        <v>3</v>
      </c>
      <c r="K48" s="583">
        <f>WORKDAY.INTL(I48,J48,1,Data!$C$3:$C$60)</f>
        <v>46205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46202</v>
      </c>
      <c r="F50" s="573">
        <f>G50-E50</f>
        <v>16</v>
      </c>
      <c r="G50" s="572">
        <f>MAX(G51:G53)</f>
        <v>46218</v>
      </c>
      <c r="H50" s="574"/>
      <c r="I50" s="572">
        <f>MIN(I51:I53)</f>
        <v>46202</v>
      </c>
      <c r="J50" s="573">
        <f>K50-I50</f>
        <v>16</v>
      </c>
      <c r="K50" s="572">
        <f>MAX(K51:K53)</f>
        <v>46218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46202</v>
      </c>
      <c r="F51" s="578">
        <v>7</v>
      </c>
      <c r="G51" s="583">
        <f>WORKDAY.INTL(E51,F51,1,Data!$C$3:$C$60)</f>
        <v>46211</v>
      </c>
      <c r="H51" s="579"/>
      <c r="I51" s="583">
        <f>WORKDAY.INTL(I48,0,1,Data!$C$3:$C$60)</f>
        <v>46202</v>
      </c>
      <c r="J51" s="578">
        <v>7</v>
      </c>
      <c r="K51" s="583">
        <f>WORKDAY.INTL(I51,J51,1,Data!$C$3:$C$60)</f>
        <v>46211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46211</v>
      </c>
      <c r="F52" s="578">
        <v>1</v>
      </c>
      <c r="G52" s="583">
        <f>WORKDAY.INTL(E52,F52,1,Data!$C$3:$C$60)</f>
        <v>46212</v>
      </c>
      <c r="H52" s="579"/>
      <c r="I52" s="583">
        <f>WORKDAY.INTL(K51,0,1,Data!$C$3:$C$60)</f>
        <v>46211</v>
      </c>
      <c r="J52" s="578">
        <v>1</v>
      </c>
      <c r="K52" s="583">
        <f>WORKDAY.INTL(I52,J52,1,Data!$C$3:$C$60)</f>
        <v>46212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46211</v>
      </c>
      <c r="F53" s="578">
        <v>5</v>
      </c>
      <c r="G53" s="583">
        <f>WORKDAY.INTL(E53,F53,1,Data!$C$3:$C$60)</f>
        <v>46218</v>
      </c>
      <c r="H53" s="579"/>
      <c r="I53" s="583">
        <f>WORKDAY.INTL(K51,0,1,Data!$C$3:$C$60)</f>
        <v>46211</v>
      </c>
      <c r="J53" s="578">
        <v>5</v>
      </c>
      <c r="K53" s="583">
        <f>WORKDAY.INTL(I53,J53,1,Data!$C$3:$C$60)</f>
        <v>46218</v>
      </c>
      <c r="L53" s="77"/>
      <c r="M53" s="580">
        <v>0</v>
      </c>
      <c r="N53" s="580">
        <f t="shared" ca="1" si="6"/>
        <v>0</v>
      </c>
      <c r="O53" s="36"/>
      <c r="S53" s="1"/>
      <c r="T53" s="1"/>
      <c r="U53" s="1"/>
      <c r="V53" s="1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  <c r="S55" s="26"/>
      <c r="T55" s="26"/>
      <c r="U55" s="26"/>
      <c r="V55" s="26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28515625" style="43" customWidth="1"/>
    <col min="4" max="4" width="18.710937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28515625" style="24" bestFit="1" customWidth="1"/>
    <col min="22" max="22" width="8.5703125" style="24" bestFit="1" customWidth="1"/>
    <col min="23" max="23" width="14.710937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2.95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2.95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2.95">
      <c r="B13" s="590">
        <v>1</v>
      </c>
      <c r="C13" s="659" t="s">
        <v>223</v>
      </c>
      <c r="D13" s="660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46119</v>
      </c>
      <c r="R13" s="86"/>
      <c r="S13" s="53"/>
      <c r="AO13" s="526">
        <f>'Change Register'!$Q$14+ 7</f>
        <v>7</v>
      </c>
    </row>
    <row r="14" spans="1:41" s="24" customFormat="1" ht="12.6">
      <c r="B14" s="600">
        <v>2</v>
      </c>
      <c r="C14" s="659" t="s">
        <v>224</v>
      </c>
      <c r="D14" s="660"/>
      <c r="E14" s="591">
        <v>0.3</v>
      </c>
      <c r="F14" s="592">
        <f t="shared" si="0"/>
        <v>1789683.7484671285</v>
      </c>
      <c r="G14" s="601"/>
      <c r="H14" s="594">
        <f>'Project Plan'!G38+7</f>
        <v>46141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46141</v>
      </c>
      <c r="R14" s="280"/>
      <c r="S14" s="53"/>
    </row>
    <row r="15" spans="1:41" s="24" customFormat="1" ht="12.6">
      <c r="B15" s="590">
        <v>3</v>
      </c>
      <c r="C15" s="659" t="s">
        <v>225</v>
      </c>
      <c r="D15" s="660"/>
      <c r="E15" s="591">
        <v>0.2</v>
      </c>
      <c r="F15" s="592">
        <f t="shared" si="0"/>
        <v>1193122.4989780856</v>
      </c>
      <c r="G15" s="601"/>
      <c r="H15" s="594">
        <f>'Project Plan'!G24+7</f>
        <v>46142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46142</v>
      </c>
      <c r="R15" s="280"/>
      <c r="S15" s="53"/>
    </row>
    <row r="16" spans="1:41" s="24" customFormat="1" ht="12.6">
      <c r="B16" s="590">
        <v>4</v>
      </c>
      <c r="C16" s="657" t="s">
        <v>185</v>
      </c>
      <c r="D16" s="658"/>
      <c r="E16" s="591">
        <v>0.1</v>
      </c>
      <c r="F16" s="592">
        <f t="shared" si="0"/>
        <v>596561.24948904279</v>
      </c>
      <c r="G16" s="601"/>
      <c r="H16" s="594">
        <f>'Project Plan'!G41+7</f>
        <v>46211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46211</v>
      </c>
      <c r="R16" s="280"/>
      <c r="S16" s="53"/>
    </row>
    <row r="17" spans="2:19" s="24" customFormat="1" ht="12.6">
      <c r="B17" s="590">
        <v>5</v>
      </c>
      <c r="C17" s="657" t="s">
        <v>226</v>
      </c>
      <c r="D17" s="658"/>
      <c r="E17" s="591">
        <v>0.05</v>
      </c>
      <c r="F17" s="592">
        <f t="shared" si="0"/>
        <v>298280.6247445214</v>
      </c>
      <c r="G17" s="601"/>
      <c r="H17" s="594">
        <f>'Project Plan'!G52+365</f>
        <v>46577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46577</v>
      </c>
      <c r="R17" s="280"/>
      <c r="S17" s="53"/>
    </row>
    <row r="18" spans="2:19" s="24" customFormat="1" ht="12.6">
      <c r="B18" s="590">
        <v>6</v>
      </c>
      <c r="C18" s="657" t="s">
        <v>227</v>
      </c>
      <c r="D18" s="65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6">
      <c r="B19" s="590">
        <v>7</v>
      </c>
      <c r="C19" s="659" t="s">
        <v>227</v>
      </c>
      <c r="D19" s="66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6">
      <c r="C24" s="59" t="s">
        <v>230</v>
      </c>
      <c r="D24" s="60"/>
      <c r="F24" s="61"/>
    </row>
    <row r="25" spans="2:19" s="24" customFormat="1" ht="12.6">
      <c r="C25" s="59" t="s">
        <v>231</v>
      </c>
      <c r="D25" s="60"/>
    </row>
    <row r="26" spans="2:19" s="24" customFormat="1" ht="12.6">
      <c r="C26" s="62" t="s">
        <v>232</v>
      </c>
      <c r="D26" s="63"/>
    </row>
    <row r="27" spans="2:19" s="24" customFormat="1" ht="12.6">
      <c r="C27" s="64" t="s">
        <v>233</v>
      </c>
      <c r="D27" s="60"/>
    </row>
    <row r="28" spans="2:19" s="24" customFormat="1" ht="12.6">
      <c r="B28" s="31"/>
      <c r="C28" s="64" t="s">
        <v>234</v>
      </c>
      <c r="D28" s="60"/>
    </row>
    <row r="29" spans="2:19" s="24" customFormat="1" ht="12.6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6">
      <c r="B31" s="31"/>
      <c r="F31" s="58"/>
      <c r="N31" s="544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1"/>
      <c r="C4" s="661"/>
      <c r="D4" s="661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45" thickBot="1">
      <c r="A5" s="126"/>
      <c r="B5" s="662" t="s">
        <v>242</v>
      </c>
      <c r="C5" s="662"/>
      <c r="D5" s="662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J1" zoomScale="62" zoomScaleNormal="100" workbookViewId="0">
      <pane ySplit="4" topLeftCell="A17" activePane="bottomLeft" state="frozen"/>
      <selection pane="bottomLeft" activeCell="Z30" sqref="Z29:Z30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3" t="s">
        <v>248</v>
      </c>
      <c r="C2" s="664"/>
      <c r="D2" s="664"/>
      <c r="E2" s="664"/>
      <c r="F2" s="664"/>
      <c r="G2" s="664"/>
      <c r="H2" s="395"/>
      <c r="I2" s="162">
        <f>SUM(I6:I159)</f>
        <v>5125523.6760760862</v>
      </c>
      <c r="J2" s="162">
        <f>SUM(J6:J159)</f>
        <v>5965612.4948904272</v>
      </c>
      <c r="L2" s="665" t="s">
        <v>249</v>
      </c>
      <c r="M2" s="666"/>
      <c r="N2" s="666"/>
      <c r="O2" s="666"/>
      <c r="P2" s="666"/>
      <c r="Q2" s="666"/>
      <c r="R2" s="673" t="s">
        <v>250</v>
      </c>
      <c r="S2" s="674"/>
      <c r="T2" s="674"/>
      <c r="U2" s="674"/>
      <c r="V2" s="674"/>
      <c r="W2" s="675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46193</v>
      </c>
      <c r="I6" s="667">
        <f>SUM(G6:G11)</f>
        <v>1856118.1600000001</v>
      </c>
      <c r="J6" s="670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2">
        <f>J6-SUM(U6:U11)</f>
        <v>0</v>
      </c>
      <c r="W6" s="453">
        <f>'Project Plan'!I38+60</f>
        <v>46193</v>
      </c>
      <c r="X6" s="667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68"/>
      <c r="J7" s="671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3"/>
      <c r="W7" s="454"/>
      <c r="X7" s="66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8"/>
      <c r="J8" s="671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3"/>
      <c r="W8" s="454"/>
      <c r="X8" s="66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8"/>
      <c r="J9" s="671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3"/>
      <c r="W9" s="455"/>
      <c r="X9" s="66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8"/>
      <c r="J10" s="671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3"/>
      <c r="W10" s="455"/>
      <c r="X10" s="66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9"/>
      <c r="J11" s="672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4"/>
      <c r="W11" s="456"/>
      <c r="X11" s="669"/>
      <c r="Y11" s="607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46194</v>
      </c>
      <c r="I13" s="676">
        <f>SUM(G13:G19)</f>
        <v>490000</v>
      </c>
      <c r="J13" s="679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5">
        <f>J13-SUM(U13:U19)</f>
        <v>0</v>
      </c>
      <c r="W13" s="458"/>
      <c r="X13" s="676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7"/>
      <c r="J14" s="680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6"/>
      <c r="W14" s="459">
        <f>W6</f>
        <v>46193</v>
      </c>
      <c r="X14" s="677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7"/>
      <c r="J15" s="680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6"/>
      <c r="W15" s="459"/>
      <c r="X15" s="677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7"/>
      <c r="J16" s="680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6"/>
      <c r="W16" s="459"/>
      <c r="X16" s="677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7"/>
      <c r="J17" s="680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6"/>
      <c r="W17" s="459"/>
      <c r="X17" s="677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7"/>
      <c r="J18" s="680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6"/>
      <c r="W18" s="459"/>
      <c r="X18" s="677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8"/>
      <c r="J19" s="681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7"/>
      <c r="W19" s="460"/>
      <c r="X19" s="678"/>
      <c r="Y19" s="608" t="s">
        <v>283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46163</v>
      </c>
      <c r="I21" s="667">
        <f>SUM(G21:G26)</f>
        <v>320128</v>
      </c>
      <c r="J21" s="670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2">
        <f>J21-SUM(U21:U26)</f>
        <v>0</v>
      </c>
      <c r="W21" s="461">
        <f>T21+30</f>
        <v>46172</v>
      </c>
      <c r="X21" s="667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8"/>
      <c r="J22" s="671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3"/>
      <c r="W22" s="454"/>
      <c r="X22" s="668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8"/>
      <c r="J23" s="671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3"/>
      <c r="W23" s="454"/>
      <c r="X23" s="668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8"/>
      <c r="J24" s="671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3"/>
      <c r="W24" s="455"/>
      <c r="X24" s="668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8"/>
      <c r="J25" s="671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3"/>
      <c r="W25" s="455"/>
      <c r="X25" s="66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9"/>
      <c r="J26" s="672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4"/>
      <c r="W26" s="456"/>
      <c r="X26" s="669"/>
      <c r="Y26" s="610" t="s">
        <v>206</v>
      </c>
      <c r="Z26" s="492" t="s">
        <v>292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46193</v>
      </c>
      <c r="I28" s="676">
        <f>SUM(G28:G42)</f>
        <v>635424.19999999995</v>
      </c>
      <c r="J28" s="679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5">
        <f>J28-SUM(U28:U42)</f>
        <v>0</v>
      </c>
      <c r="W28" s="458">
        <f>W6</f>
        <v>46193</v>
      </c>
      <c r="X28" s="676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46190</v>
      </c>
      <c r="I29" s="677"/>
      <c r="J29" s="680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6"/>
      <c r="W29" s="459"/>
      <c r="X29" s="677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7"/>
      <c r="J30" s="680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6"/>
      <c r="W30" s="459"/>
      <c r="X30" s="677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7"/>
      <c r="J31" s="680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6"/>
      <c r="W31" s="459"/>
      <c r="X31" s="677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7"/>
      <c r="J32" s="680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1"/>
      <c r="S32" s="506"/>
      <c r="T32" s="416">
        <f>T90</f>
        <v>46142</v>
      </c>
      <c r="U32" s="401">
        <f t="shared" si="4"/>
        <v>40107.990252033189</v>
      </c>
      <c r="V32" s="686"/>
      <c r="W32" s="459">
        <f>W90</f>
        <v>46126</v>
      </c>
      <c r="X32" s="677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7"/>
      <c r="J33" s="680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92"/>
      <c r="S33" s="506"/>
      <c r="T33" s="416">
        <f t="shared" ref="T33:T39" si="8">T91</f>
        <v>46142</v>
      </c>
      <c r="U33" s="401">
        <f t="shared" si="4"/>
        <v>60161.985378049772</v>
      </c>
      <c r="V33" s="686"/>
      <c r="W33" s="459">
        <f t="shared" ref="W33:W39" si="9">W91</f>
        <v>46133</v>
      </c>
      <c r="X33" s="677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7"/>
      <c r="J34" s="680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92"/>
      <c r="S34" s="506"/>
      <c r="T34" s="416">
        <f t="shared" si="8"/>
        <v>46173</v>
      </c>
      <c r="U34" s="401">
        <f t="shared" si="4"/>
        <v>80215.980504066378</v>
      </c>
      <c r="V34" s="686"/>
      <c r="W34" s="459">
        <f t="shared" si="9"/>
        <v>46167</v>
      </c>
      <c r="X34" s="677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7"/>
      <c r="J35" s="680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92"/>
      <c r="S35" s="506"/>
      <c r="T35" s="416">
        <f t="shared" si="8"/>
        <v>46203</v>
      </c>
      <c r="U35" s="401">
        <f t="shared" si="4"/>
        <v>100269.97563008295</v>
      </c>
      <c r="V35" s="686"/>
      <c r="W35" s="459">
        <f t="shared" si="9"/>
        <v>46197</v>
      </c>
      <c r="X35" s="677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7"/>
      <c r="J36" s="680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92"/>
      <c r="S36" s="506"/>
      <c r="T36" s="416">
        <f t="shared" si="8"/>
        <v>46234</v>
      </c>
      <c r="U36" s="401">
        <f t="shared" si="4"/>
        <v>40107.990252033189</v>
      </c>
      <c r="V36" s="686"/>
      <c r="W36" s="459">
        <f t="shared" si="9"/>
        <v>46211</v>
      </c>
      <c r="X36" s="677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7"/>
      <c r="J37" s="680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92"/>
      <c r="S37" s="506"/>
      <c r="T37" s="416">
        <f t="shared" si="8"/>
        <v>46234</v>
      </c>
      <c r="U37" s="401">
        <f t="shared" si="4"/>
        <v>40107.990252033189</v>
      </c>
      <c r="V37" s="686"/>
      <c r="W37" s="459">
        <f t="shared" si="9"/>
        <v>46212</v>
      </c>
      <c r="X37" s="677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7"/>
      <c r="J38" s="680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92"/>
      <c r="S38" s="506"/>
      <c r="T38" s="416">
        <f t="shared" si="8"/>
        <v>46234</v>
      </c>
      <c r="U38" s="401">
        <f t="shared" si="4"/>
        <v>20053.995126016594</v>
      </c>
      <c r="V38" s="686"/>
      <c r="W38" s="459">
        <f t="shared" si="9"/>
        <v>46212</v>
      </c>
      <c r="X38" s="677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7"/>
      <c r="J39" s="680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93"/>
      <c r="S39" s="506"/>
      <c r="T39" s="416">
        <f t="shared" si="8"/>
        <v>46265</v>
      </c>
      <c r="U39" s="401">
        <f t="shared" si="4"/>
        <v>20053.995126016594</v>
      </c>
      <c r="V39" s="686"/>
      <c r="W39" s="459">
        <f t="shared" si="9"/>
        <v>46235</v>
      </c>
      <c r="X39" s="677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7"/>
      <c r="J40" s="680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6"/>
      <c r="W40" s="459"/>
      <c r="X40" s="67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7"/>
      <c r="J41" s="680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6"/>
      <c r="W41" s="459"/>
      <c r="X41" s="67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8"/>
      <c r="J42" s="681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7"/>
      <c r="W42" s="460"/>
      <c r="X42" s="678"/>
    </row>
    <row r="43" spans="1:26" ht="14.4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67">
        <f>D165</f>
        <v>174000</v>
      </c>
      <c r="J44" s="670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2">
        <f>J44-SUM(U44:U50)</f>
        <v>0</v>
      </c>
      <c r="W44" s="461">
        <f>W14</f>
        <v>46193</v>
      </c>
      <c r="X44" s="667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68"/>
      <c r="J45" s="671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3"/>
      <c r="W45" s="454">
        <f>T45+30</f>
        <v>46172</v>
      </c>
      <c r="X45" s="668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68"/>
      <c r="J46" s="671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3"/>
      <c r="W46" s="454">
        <f>W45</f>
        <v>46172</v>
      </c>
      <c r="X46" s="668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68"/>
      <c r="J47" s="671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3"/>
      <c r="W47" s="454"/>
      <c r="X47" s="66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8"/>
      <c r="J48" s="671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3"/>
      <c r="W48" s="455"/>
      <c r="X48" s="66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8"/>
      <c r="J49" s="671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3"/>
      <c r="W49" s="455"/>
      <c r="X49" s="66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9"/>
      <c r="J50" s="672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4"/>
      <c r="W50" s="456"/>
      <c r="X50" s="669"/>
    </row>
    <row r="51" spans="1:24" ht="14.4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76">
        <f>SUM(G52:G68)</f>
        <v>639916.75217391306</v>
      </c>
      <c r="J52" s="679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5">
        <f>J52-SUM(U52:U68)</f>
        <v>0</v>
      </c>
      <c r="W52" s="458"/>
      <c r="X52" s="676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7"/>
      <c r="J53" s="680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46142</v>
      </c>
      <c r="U53" s="401">
        <f t="shared" si="11"/>
        <v>420494.87534405413</v>
      </c>
      <c r="V53" s="686"/>
      <c r="W53" s="459">
        <f>T53+30</f>
        <v>46172</v>
      </c>
      <c r="X53" s="67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7"/>
      <c r="J54" s="680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6"/>
      <c r="W54" s="459"/>
      <c r="X54" s="67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7"/>
      <c r="J55" s="680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6"/>
      <c r="W55" s="459"/>
      <c r="X55" s="67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7"/>
      <c r="J56" s="680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6"/>
      <c r="W56" s="459"/>
      <c r="X56" s="67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7"/>
      <c r="J57" s="680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6"/>
      <c r="W57" s="459"/>
      <c r="X57" s="67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7"/>
      <c r="J58" s="680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91"/>
      <c r="S58" s="506"/>
      <c r="T58" s="419">
        <f>T90</f>
        <v>46142</v>
      </c>
      <c r="U58" s="401">
        <f t="shared" si="11"/>
        <v>33234.836250760825</v>
      </c>
      <c r="V58" s="686"/>
      <c r="W58" s="459">
        <f>W90</f>
        <v>46126</v>
      </c>
      <c r="X58" s="67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7"/>
      <c r="J59" s="680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92"/>
      <c r="S59" s="506"/>
      <c r="T59" s="419">
        <f t="shared" si="1"/>
        <v>46142</v>
      </c>
      <c r="U59" s="401">
        <f t="shared" si="11"/>
        <v>49852.254376141238</v>
      </c>
      <c r="V59" s="686"/>
      <c r="W59" s="459">
        <f t="shared" ref="W59:W65" si="13">W91</f>
        <v>46133</v>
      </c>
      <c r="X59" s="67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7"/>
      <c r="J60" s="680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92"/>
      <c r="S60" s="506"/>
      <c r="T60" s="419">
        <f t="shared" si="1"/>
        <v>46173</v>
      </c>
      <c r="U60" s="401">
        <f t="shared" si="11"/>
        <v>66469.672501521651</v>
      </c>
      <c r="V60" s="686"/>
      <c r="W60" s="459">
        <f t="shared" si="13"/>
        <v>46167</v>
      </c>
      <c r="X60" s="67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7"/>
      <c r="J61" s="680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92"/>
      <c r="S61" s="506"/>
      <c r="T61" s="419">
        <f t="shared" si="1"/>
        <v>46203</v>
      </c>
      <c r="U61" s="401">
        <f t="shared" si="11"/>
        <v>83087.090626902049</v>
      </c>
      <c r="V61" s="686"/>
      <c r="W61" s="459">
        <f t="shared" si="13"/>
        <v>46197</v>
      </c>
      <c r="X61" s="67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7"/>
      <c r="J62" s="680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92"/>
      <c r="S62" s="506"/>
      <c r="T62" s="419">
        <f t="shared" si="1"/>
        <v>46234</v>
      </c>
      <c r="U62" s="401">
        <f t="shared" si="11"/>
        <v>33234.836250760825</v>
      </c>
      <c r="V62" s="686"/>
      <c r="W62" s="459">
        <f t="shared" si="13"/>
        <v>46211</v>
      </c>
      <c r="X62" s="67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7"/>
      <c r="J63" s="680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92"/>
      <c r="S63" s="510"/>
      <c r="T63" s="419">
        <f t="shared" si="1"/>
        <v>46234</v>
      </c>
      <c r="U63" s="406">
        <f t="shared" si="11"/>
        <v>33234.836250760825</v>
      </c>
      <c r="V63" s="686"/>
      <c r="W63" s="459">
        <f t="shared" si="13"/>
        <v>46212</v>
      </c>
      <c r="X63" s="67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7"/>
      <c r="J64" s="680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92"/>
      <c r="S64" s="510"/>
      <c r="T64" s="419">
        <f t="shared" si="1"/>
        <v>46234</v>
      </c>
      <c r="U64" s="406">
        <f t="shared" si="11"/>
        <v>16617.418125380413</v>
      </c>
      <c r="V64" s="686"/>
      <c r="W64" s="459">
        <f t="shared" si="13"/>
        <v>46212</v>
      </c>
      <c r="X64" s="67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7"/>
      <c r="J65" s="680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93"/>
      <c r="S65" s="510"/>
      <c r="T65" s="419">
        <f t="shared" si="1"/>
        <v>46265</v>
      </c>
      <c r="U65" s="406">
        <f t="shared" si="11"/>
        <v>16617.418125380413</v>
      </c>
      <c r="V65" s="686"/>
      <c r="W65" s="459">
        <f t="shared" si="13"/>
        <v>46235</v>
      </c>
      <c r="X65" s="67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7"/>
      <c r="J66" s="680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6"/>
      <c r="W66" s="462"/>
      <c r="X66" s="67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7"/>
      <c r="J67" s="680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6"/>
      <c r="W67" s="462"/>
      <c r="X67" s="67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8"/>
      <c r="J68" s="681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7"/>
      <c r="W68" s="460"/>
      <c r="X68" s="678"/>
    </row>
    <row r="69" spans="1:24" ht="14.4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67">
        <f>SUM(G70:G77)</f>
        <v>0</v>
      </c>
      <c r="J70" s="670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8">
        <f>J70-SUM(U70:U77)</f>
        <v>0</v>
      </c>
      <c r="W70" s="464"/>
      <c r="X70" s="66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8"/>
      <c r="J71" s="671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9"/>
      <c r="W71" s="455"/>
      <c r="X71" s="66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8"/>
      <c r="J72" s="671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9"/>
      <c r="W72" s="455"/>
      <c r="X72" s="66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8"/>
      <c r="J73" s="671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9"/>
      <c r="W73" s="455"/>
      <c r="X73" s="66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8"/>
      <c r="J74" s="671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9"/>
      <c r="W74" s="455"/>
      <c r="X74" s="66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8"/>
      <c r="J75" s="671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9"/>
      <c r="W75" s="455"/>
      <c r="X75" s="66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8"/>
      <c r="J76" s="671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9"/>
      <c r="W76" s="455"/>
      <c r="X76" s="66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9"/>
      <c r="J77" s="672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0"/>
      <c r="W77" s="456"/>
      <c r="X77" s="669"/>
    </row>
    <row r="78" spans="1:24" ht="14.4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76">
        <f>SUM(G79:G87)</f>
        <v>0</v>
      </c>
      <c r="J79" s="679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6">
        <f>J79-SUM(U79:U87)</f>
        <v>0</v>
      </c>
      <c r="W79" s="458"/>
      <c r="X79" s="676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7"/>
      <c r="J80" s="680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7"/>
      <c r="W80" s="458"/>
      <c r="X80" s="677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7"/>
      <c r="J81" s="680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7"/>
      <c r="W81" s="458"/>
      <c r="X81" s="67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7"/>
      <c r="J82" s="680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7"/>
      <c r="W82" s="458"/>
      <c r="X82" s="67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7"/>
      <c r="J83" s="680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7"/>
      <c r="W83" s="459"/>
      <c r="X83" s="67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7"/>
      <c r="J84" s="680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707"/>
      <c r="W84" s="459"/>
      <c r="X84" s="67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7"/>
      <c r="J85" s="680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7"/>
      <c r="W85" s="459"/>
      <c r="X85" s="67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7"/>
      <c r="J86" s="680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7"/>
      <c r="W86" s="462"/>
      <c r="X86" s="67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8"/>
      <c r="J87" s="681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8"/>
      <c r="W87" s="460"/>
      <c r="X87" s="67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700">
        <f>SUM(G89:G100)</f>
        <v>636320</v>
      </c>
      <c r="J89" s="670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2">
        <f>J89-SUM(U89:U100)</f>
        <v>0</v>
      </c>
      <c r="W89" s="461"/>
      <c r="X89" s="667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46197</v>
      </c>
      <c r="I90" s="701"/>
      <c r="J90" s="671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712"/>
      <c r="S90" s="501"/>
      <c r="T90" s="412">
        <f t="shared" si="14"/>
        <v>46142</v>
      </c>
      <c r="U90" s="397">
        <f t="shared" si="15"/>
        <v>70702.222222222234</v>
      </c>
      <c r="V90" s="683"/>
      <c r="W90" s="454">
        <f>'Project Plan'!I21-7</f>
        <v>46126</v>
      </c>
      <c r="X90" s="66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1"/>
      <c r="J91" s="671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713"/>
      <c r="S91" s="502"/>
      <c r="T91" s="412">
        <f t="shared" si="14"/>
        <v>46142</v>
      </c>
      <c r="U91" s="397">
        <f t="shared" si="15"/>
        <v>106053.33333333333</v>
      </c>
      <c r="V91" s="683"/>
      <c r="W91" s="455">
        <f>'Project Plan'!I21</f>
        <v>46133</v>
      </c>
      <c r="X91" s="66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1"/>
      <c r="J92" s="671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713"/>
      <c r="S92" s="502"/>
      <c r="T92" s="412">
        <f t="shared" si="14"/>
        <v>46173</v>
      </c>
      <c r="U92" s="397">
        <f t="shared" si="15"/>
        <v>141404.44444444447</v>
      </c>
      <c r="V92" s="683"/>
      <c r="W92" s="455">
        <f>'Project Plan'!K23+7</f>
        <v>46167</v>
      </c>
      <c r="X92" s="66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1"/>
      <c r="J93" s="671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713"/>
      <c r="S93" s="502"/>
      <c r="T93" s="412">
        <f t="shared" si="14"/>
        <v>46203</v>
      </c>
      <c r="U93" s="397">
        <f t="shared" si="15"/>
        <v>176755.55555555556</v>
      </c>
      <c r="V93" s="683"/>
      <c r="W93" s="455">
        <f>'Project Plan'!K30+7</f>
        <v>46197</v>
      </c>
      <c r="X93" s="66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1"/>
      <c r="J94" s="671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713"/>
      <c r="S94" s="502"/>
      <c r="T94" s="412">
        <f t="shared" si="14"/>
        <v>46234</v>
      </c>
      <c r="U94" s="397">
        <f t="shared" si="15"/>
        <v>70702.222222222234</v>
      </c>
      <c r="V94" s="683"/>
      <c r="W94" s="455">
        <f>'Project Plan'!K41+7</f>
        <v>46211</v>
      </c>
      <c r="X94" s="66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1"/>
      <c r="J95" s="671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713"/>
      <c r="S95" s="502"/>
      <c r="T95" s="412">
        <f t="shared" si="14"/>
        <v>46234</v>
      </c>
      <c r="U95" s="397">
        <f t="shared" si="15"/>
        <v>70702.222222222234</v>
      </c>
      <c r="V95" s="683"/>
      <c r="W95" s="455">
        <f>'Project Plan'!K48+7</f>
        <v>46212</v>
      </c>
      <c r="X95" s="66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1"/>
      <c r="J96" s="671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713"/>
      <c r="S96" s="502"/>
      <c r="T96" s="412">
        <f t="shared" si="14"/>
        <v>46234</v>
      </c>
      <c r="U96" s="397">
        <f t="shared" si="15"/>
        <v>35351.111111111117</v>
      </c>
      <c r="V96" s="683"/>
      <c r="W96" s="455">
        <f>'Project Plan'!K48+7</f>
        <v>46212</v>
      </c>
      <c r="X96" s="66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1"/>
      <c r="J97" s="671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714"/>
      <c r="S97" s="502"/>
      <c r="T97" s="412">
        <f t="shared" si="14"/>
        <v>46265</v>
      </c>
      <c r="U97" s="397">
        <f t="shared" si="15"/>
        <v>35351.111111111117</v>
      </c>
      <c r="V97" s="683"/>
      <c r="W97" s="455">
        <f>'Project Plan'!K48+30</f>
        <v>46235</v>
      </c>
      <c r="X97" s="66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1"/>
      <c r="J98" s="671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3"/>
      <c r="W98" s="455"/>
      <c r="X98" s="66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1"/>
      <c r="J99" s="671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3"/>
      <c r="W99" s="455"/>
      <c r="X99" s="66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2"/>
      <c r="J100" s="672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4"/>
      <c r="W100" s="456"/>
      <c r="X100" s="669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94">
        <f>SUM(G102:G116)</f>
        <v>156487.33333333331</v>
      </c>
      <c r="J102" s="697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3">
        <f>J102-SUM(U102:U116)</f>
        <v>0</v>
      </c>
      <c r="W102" s="465">
        <f>W108</f>
        <v>46167</v>
      </c>
      <c r="X102" s="694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95"/>
      <c r="J103" s="698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4"/>
      <c r="W103" s="466"/>
      <c r="X103" s="695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95"/>
      <c r="J104" s="698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4"/>
      <c r="W104" s="466"/>
      <c r="X104" s="695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95"/>
      <c r="J105" s="698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4"/>
      <c r="W105" s="466"/>
      <c r="X105" s="69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5"/>
      <c r="J106" s="698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9"/>
      <c r="S106" s="515"/>
      <c r="T106" s="425">
        <f>T90</f>
        <v>46142</v>
      </c>
      <c r="U106" s="409">
        <f t="shared" si="17"/>
        <v>6064.2992861243456</v>
      </c>
      <c r="V106" s="704"/>
      <c r="W106" s="467">
        <f>W90</f>
        <v>46126</v>
      </c>
      <c r="X106" s="69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5"/>
      <c r="J107" s="698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710"/>
      <c r="S107" s="520"/>
      <c r="T107" s="425">
        <f t="shared" ref="T107:T113" si="19">T91</f>
        <v>46142</v>
      </c>
      <c r="U107" s="409">
        <f t="shared" si="17"/>
        <v>9096.4489291865193</v>
      </c>
      <c r="V107" s="704"/>
      <c r="W107" s="467">
        <f t="shared" ref="W107:W113" si="20">W91</f>
        <v>46133</v>
      </c>
      <c r="X107" s="69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5"/>
      <c r="J108" s="698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710"/>
      <c r="S108" s="515"/>
      <c r="T108" s="425">
        <f t="shared" si="19"/>
        <v>46173</v>
      </c>
      <c r="U108" s="409">
        <f t="shared" si="17"/>
        <v>12128.598572248691</v>
      </c>
      <c r="V108" s="704"/>
      <c r="W108" s="467">
        <f t="shared" si="20"/>
        <v>46167</v>
      </c>
      <c r="X108" s="69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5"/>
      <c r="J109" s="698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710"/>
      <c r="S109" s="515"/>
      <c r="T109" s="425">
        <f t="shared" si="19"/>
        <v>46203</v>
      </c>
      <c r="U109" s="409">
        <f t="shared" si="17"/>
        <v>15160.748215310863</v>
      </c>
      <c r="V109" s="704"/>
      <c r="W109" s="467">
        <f t="shared" si="20"/>
        <v>46197</v>
      </c>
      <c r="X109" s="69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5"/>
      <c r="J110" s="698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710"/>
      <c r="S110" s="515"/>
      <c r="T110" s="425">
        <f t="shared" si="19"/>
        <v>46234</v>
      </c>
      <c r="U110" s="409">
        <f t="shared" si="17"/>
        <v>6064.2992861243456</v>
      </c>
      <c r="V110" s="704"/>
      <c r="W110" s="467">
        <f t="shared" si="20"/>
        <v>46211</v>
      </c>
      <c r="X110" s="69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5"/>
      <c r="J111" s="698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710"/>
      <c r="S111" s="515"/>
      <c r="T111" s="425">
        <f t="shared" si="19"/>
        <v>46234</v>
      </c>
      <c r="U111" s="409">
        <f t="shared" si="17"/>
        <v>6064.2992861243456</v>
      </c>
      <c r="V111" s="704"/>
      <c r="W111" s="467">
        <f t="shared" si="20"/>
        <v>46212</v>
      </c>
      <c r="X111" s="69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5"/>
      <c r="J112" s="698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710"/>
      <c r="S112" s="515"/>
      <c r="T112" s="425">
        <f t="shared" si="19"/>
        <v>46234</v>
      </c>
      <c r="U112" s="409">
        <f t="shared" si="17"/>
        <v>3032.1496430621728</v>
      </c>
      <c r="V112" s="704"/>
      <c r="W112" s="467">
        <f t="shared" si="20"/>
        <v>46212</v>
      </c>
      <c r="X112" s="69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5"/>
      <c r="J113" s="698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711"/>
      <c r="S113" s="515"/>
      <c r="T113" s="425">
        <f t="shared" si="19"/>
        <v>46265</v>
      </c>
      <c r="U113" s="409">
        <f t="shared" si="17"/>
        <v>3032.1496430621728</v>
      </c>
      <c r="V113" s="704"/>
      <c r="W113" s="467">
        <f t="shared" si="20"/>
        <v>46235</v>
      </c>
      <c r="X113" s="69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5"/>
      <c r="J114" s="698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4"/>
      <c r="W114" s="467"/>
      <c r="X114" s="69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5"/>
      <c r="J115" s="698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4"/>
      <c r="W115" s="467"/>
      <c r="X115" s="69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6"/>
      <c r="J116" s="699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5"/>
      <c r="W116" s="468"/>
      <c r="X116" s="696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46204</v>
      </c>
      <c r="I118" s="667">
        <f>SUM(G118:G122)</f>
        <v>140024</v>
      </c>
      <c r="J118" s="670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82">
        <f>J118-SUM(U118:U122)</f>
        <v>0</v>
      </c>
      <c r="W118" s="461">
        <f>'Project Plan'!K41+14</f>
        <v>46218</v>
      </c>
      <c r="X118" s="667">
        <f>SUM(Q118:Q122)</f>
        <v>106008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46204</v>
      </c>
      <c r="I119" s="668"/>
      <c r="J119" s="671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3"/>
      <c r="W119" s="454"/>
      <c r="X119" s="668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46204</v>
      </c>
      <c r="I120" s="668"/>
      <c r="J120" s="671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83"/>
      <c r="W120" s="454">
        <f>T120+30</f>
        <v>46233</v>
      </c>
      <c r="X120" s="66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8"/>
      <c r="J121" s="671"/>
      <c r="K121" s="192"/>
      <c r="L121" s="215">
        <v>11</v>
      </c>
      <c r="M121" s="290" t="s">
        <v>330</v>
      </c>
      <c r="N121" s="288" t="s">
        <v>334</v>
      </c>
      <c r="O121" s="434"/>
      <c r="P121" s="343"/>
      <c r="Q121" s="287">
        <v>6000</v>
      </c>
      <c r="R121" s="471"/>
      <c r="S121" s="502"/>
      <c r="T121" s="411">
        <f t="shared" si="14"/>
        <v>46234</v>
      </c>
      <c r="U121" s="397">
        <f>(Q121/$X$118*$J$118)</f>
        <v>8805.876286066461</v>
      </c>
      <c r="V121" s="683"/>
      <c r="W121" s="455">
        <f>'Project Plan'!K41</f>
        <v>46204</v>
      </c>
      <c r="X121" s="66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9"/>
      <c r="J122" s="672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4"/>
      <c r="W122" s="456"/>
      <c r="X122" s="66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335</v>
      </c>
      <c r="D124" s="174" t="s">
        <v>336</v>
      </c>
      <c r="E124" s="175"/>
      <c r="F124" s="368"/>
      <c r="G124" s="242">
        <v>0</v>
      </c>
      <c r="H124" s="562"/>
      <c r="I124" s="694">
        <f>SUM(G124:G125)</f>
        <v>0</v>
      </c>
      <c r="J124" s="697">
        <v>0</v>
      </c>
      <c r="K124" s="715"/>
      <c r="L124" s="173">
        <v>12</v>
      </c>
      <c r="M124" s="174" t="s">
        <v>337</v>
      </c>
      <c r="N124" s="174" t="s">
        <v>336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4">
        <f>SUM(Q124:Q125)</f>
        <v>0</v>
      </c>
    </row>
    <row r="125" spans="1:24" ht="15" customHeight="1" thickBot="1">
      <c r="B125" s="177">
        <v>12</v>
      </c>
      <c r="C125" s="248" t="s">
        <v>335</v>
      </c>
      <c r="D125" s="248"/>
      <c r="E125" s="249"/>
      <c r="F125" s="370"/>
      <c r="G125" s="178"/>
      <c r="H125" s="565"/>
      <c r="I125" s="696"/>
      <c r="J125" s="699"/>
      <c r="K125" s="716"/>
      <c r="L125" s="177">
        <v>12</v>
      </c>
      <c r="M125" s="248" t="s">
        <v>337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6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338</v>
      </c>
      <c r="D127" s="255" t="s">
        <v>339</v>
      </c>
      <c r="E127" s="187"/>
      <c r="F127" s="336"/>
      <c r="G127" s="188">
        <f>D175</f>
        <v>63105.23056884059</v>
      </c>
      <c r="H127" s="543">
        <f>'Project Plan'!G50</f>
        <v>46218</v>
      </c>
      <c r="I127" s="667">
        <f>SUM(G127:G131)</f>
        <v>63105.23056884059</v>
      </c>
      <c r="J127" s="670">
        <f>F175</f>
        <v>71710.4892827734</v>
      </c>
      <c r="K127" s="189"/>
      <c r="L127" s="185">
        <v>13</v>
      </c>
      <c r="M127" s="255" t="s">
        <v>340</v>
      </c>
      <c r="N127" s="255" t="s">
        <v>341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46234</v>
      </c>
      <c r="U127" s="404">
        <f t="shared" ref="U127:U132" si="21">(Q127/$X$127*$J$127)</f>
        <v>71710.4892827734</v>
      </c>
      <c r="V127" s="682">
        <f>J127-SUM(U127:U132)</f>
        <v>0</v>
      </c>
      <c r="W127" s="461">
        <f>'Project Plan'!K41</f>
        <v>46204</v>
      </c>
      <c r="X127" s="667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8"/>
      <c r="J128" s="671"/>
      <c r="K128" s="192"/>
      <c r="L128" s="215">
        <v>13</v>
      </c>
      <c r="M128" s="290" t="s">
        <v>340</v>
      </c>
      <c r="N128" s="217" t="s">
        <v>342</v>
      </c>
      <c r="O128" s="218"/>
      <c r="P128" s="357"/>
      <c r="Q128" s="219"/>
      <c r="R128" s="470"/>
      <c r="S128" s="501"/>
      <c r="T128" s="411">
        <f t="shared" si="14"/>
        <v>46234</v>
      </c>
      <c r="U128" s="396">
        <f t="shared" si="21"/>
        <v>0</v>
      </c>
      <c r="V128" s="683"/>
      <c r="W128" s="454">
        <f>W127</f>
        <v>46204</v>
      </c>
      <c r="X128" s="66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8"/>
      <c r="J129" s="671"/>
      <c r="K129" s="192"/>
      <c r="L129" s="215">
        <v>13</v>
      </c>
      <c r="M129" s="290" t="s">
        <v>340</v>
      </c>
      <c r="N129" s="217" t="s">
        <v>343</v>
      </c>
      <c r="O129" s="218"/>
      <c r="P129" s="357"/>
      <c r="Q129" s="219"/>
      <c r="R129" s="470"/>
      <c r="S129" s="501"/>
      <c r="T129" s="411">
        <f t="shared" si="14"/>
        <v>46234</v>
      </c>
      <c r="U129" s="396">
        <f t="shared" si="21"/>
        <v>0</v>
      </c>
      <c r="V129" s="683"/>
      <c r="W129" s="454">
        <f t="shared" ref="W129:W131" si="22">W128</f>
        <v>46204</v>
      </c>
      <c r="X129" s="66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8"/>
      <c r="J130" s="671"/>
      <c r="K130" s="192"/>
      <c r="L130" s="215">
        <v>13</v>
      </c>
      <c r="M130" s="290" t="s">
        <v>340</v>
      </c>
      <c r="N130" s="217" t="s">
        <v>344</v>
      </c>
      <c r="O130" s="218"/>
      <c r="P130" s="357"/>
      <c r="Q130" s="219"/>
      <c r="R130" s="470"/>
      <c r="S130" s="501"/>
      <c r="T130" s="411">
        <f t="shared" si="14"/>
        <v>46234</v>
      </c>
      <c r="U130" s="396">
        <f t="shared" si="21"/>
        <v>0</v>
      </c>
      <c r="V130" s="683"/>
      <c r="W130" s="454">
        <f t="shared" si="22"/>
        <v>46204</v>
      </c>
      <c r="X130" s="66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8"/>
      <c r="J131" s="671"/>
      <c r="K131" s="192"/>
      <c r="L131" s="215">
        <v>13</v>
      </c>
      <c r="M131" s="290" t="s">
        <v>340</v>
      </c>
      <c r="N131" s="217" t="s">
        <v>345</v>
      </c>
      <c r="O131" s="218"/>
      <c r="P131" s="357"/>
      <c r="Q131" s="219"/>
      <c r="R131" s="470"/>
      <c r="S131" s="501"/>
      <c r="T131" s="411">
        <f t="shared" si="14"/>
        <v>46234</v>
      </c>
      <c r="U131" s="396">
        <f t="shared" si="21"/>
        <v>0</v>
      </c>
      <c r="V131" s="683"/>
      <c r="W131" s="454">
        <f t="shared" si="22"/>
        <v>46204</v>
      </c>
      <c r="X131" s="66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9"/>
      <c r="J132" s="672"/>
      <c r="K132" s="267"/>
      <c r="L132" s="220">
        <v>13</v>
      </c>
      <c r="M132" s="318" t="s">
        <v>340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4"/>
      <c r="W132" s="456"/>
      <c r="X132" s="669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346</v>
      </c>
      <c r="D134" s="174" t="s">
        <v>347</v>
      </c>
      <c r="E134" s="175"/>
      <c r="F134" s="368"/>
      <c r="G134" s="242">
        <f>D186</f>
        <v>14000</v>
      </c>
      <c r="H134" s="562">
        <f>'Project Plan'!G50</f>
        <v>46218</v>
      </c>
      <c r="I134" s="694">
        <f>SUM(G134:G145)</f>
        <v>14000</v>
      </c>
      <c r="J134" s="697">
        <f>F186</f>
        <v>15555.555555555555</v>
      </c>
      <c r="K134" s="243"/>
      <c r="L134" s="173">
        <v>14</v>
      </c>
      <c r="M134" s="333" t="s">
        <v>348</v>
      </c>
      <c r="N134" s="174" t="s">
        <v>349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703">
        <f>J134-SUM(U134:U145)</f>
        <v>0</v>
      </c>
      <c r="W134" s="467">
        <f>T134+7</f>
        <v>46088</v>
      </c>
      <c r="X134" s="694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5"/>
      <c r="J135" s="698"/>
      <c r="K135" s="176"/>
      <c r="L135" s="244">
        <v>14</v>
      </c>
      <c r="M135" s="334" t="s">
        <v>348</v>
      </c>
      <c r="N135" s="245" t="s">
        <v>349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704"/>
      <c r="W135" s="467">
        <f>T135+7</f>
        <v>46119</v>
      </c>
      <c r="X135" s="69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5"/>
      <c r="J136" s="698"/>
      <c r="K136" s="176"/>
      <c r="L136" s="244">
        <v>14</v>
      </c>
      <c r="M136" s="334" t="s">
        <v>348</v>
      </c>
      <c r="N136" s="245" t="s">
        <v>349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704"/>
      <c r="W136" s="467">
        <f>T136+7</f>
        <v>46149</v>
      </c>
      <c r="X136" s="69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5"/>
      <c r="J137" s="698"/>
      <c r="K137" s="176"/>
      <c r="L137" s="244">
        <v>14</v>
      </c>
      <c r="M137" s="334" t="s">
        <v>348</v>
      </c>
      <c r="N137" s="245" t="s">
        <v>349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704"/>
      <c r="W137" s="467">
        <f>T137+7</f>
        <v>46180</v>
      </c>
      <c r="X137" s="69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5"/>
      <c r="J138" s="698"/>
      <c r="K138" s="176"/>
      <c r="L138" s="244">
        <v>14</v>
      </c>
      <c r="M138" s="334" t="s">
        <v>348</v>
      </c>
      <c r="N138" s="245" t="s">
        <v>349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4"/>
      <c r="W138" s="467"/>
      <c r="X138" s="69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5"/>
      <c r="J139" s="698"/>
      <c r="K139" s="176"/>
      <c r="L139" s="244">
        <v>14</v>
      </c>
      <c r="M139" s="334" t="s">
        <v>348</v>
      </c>
      <c r="N139" s="245" t="s">
        <v>349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4"/>
      <c r="W139" s="467"/>
      <c r="X139" s="69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5"/>
      <c r="J140" s="698"/>
      <c r="K140" s="176"/>
      <c r="L140" s="244">
        <v>14</v>
      </c>
      <c r="M140" s="334" t="s">
        <v>348</v>
      </c>
      <c r="N140" s="245" t="s">
        <v>349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4"/>
      <c r="W140" s="467"/>
      <c r="X140" s="69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5"/>
      <c r="J141" s="698"/>
      <c r="K141" s="176"/>
      <c r="L141" s="244">
        <v>14</v>
      </c>
      <c r="M141" s="334" t="s">
        <v>348</v>
      </c>
      <c r="N141" s="245" t="s">
        <v>349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4"/>
      <c r="W141" s="467"/>
      <c r="X141" s="69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5"/>
      <c r="J142" s="698"/>
      <c r="K142" s="176"/>
      <c r="L142" s="244">
        <v>14</v>
      </c>
      <c r="M142" s="334" t="s">
        <v>348</v>
      </c>
      <c r="N142" s="245" t="s">
        <v>349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4"/>
      <c r="W142" s="467"/>
      <c r="X142" s="69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5"/>
      <c r="J143" s="698"/>
      <c r="K143" s="176"/>
      <c r="L143" s="244">
        <v>14</v>
      </c>
      <c r="M143" s="334" t="s">
        <v>348</v>
      </c>
      <c r="N143" s="245" t="s">
        <v>349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4"/>
      <c r="W143" s="467"/>
      <c r="X143" s="69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5"/>
      <c r="J144" s="698"/>
      <c r="K144" s="176"/>
      <c r="L144" s="244">
        <v>14</v>
      </c>
      <c r="M144" s="334" t="s">
        <v>348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4"/>
      <c r="W144" s="467"/>
      <c r="X144" s="69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6"/>
      <c r="J145" s="699"/>
      <c r="K145" s="179"/>
      <c r="L145" s="177">
        <v>14</v>
      </c>
      <c r="M145" s="335" t="s">
        <v>348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5"/>
      <c r="W145" s="468"/>
      <c r="X145" s="696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350</v>
      </c>
      <c r="D147" s="186"/>
      <c r="E147" s="187"/>
      <c r="F147" s="336"/>
      <c r="G147" s="188"/>
      <c r="H147" s="543"/>
      <c r="I147" s="667">
        <f>SUM(G147:G158)</f>
        <v>0</v>
      </c>
      <c r="J147" s="670">
        <v>0</v>
      </c>
      <c r="K147" s="189"/>
      <c r="L147" s="185">
        <v>15</v>
      </c>
      <c r="M147" s="255" t="s">
        <v>351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2">
        <v>0</v>
      </c>
      <c r="W147" s="461"/>
      <c r="X147" s="66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8"/>
      <c r="J148" s="671"/>
      <c r="K148" s="192"/>
      <c r="L148" s="215">
        <v>15</v>
      </c>
      <c r="M148" s="290" t="s">
        <v>351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3"/>
      <c r="W148" s="454"/>
      <c r="X148" s="668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8"/>
      <c r="J149" s="671"/>
      <c r="K149" s="192"/>
      <c r="L149" s="215">
        <v>15</v>
      </c>
      <c r="M149" s="290" t="s">
        <v>351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3"/>
      <c r="W149" s="454"/>
      <c r="X149" s="668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8"/>
      <c r="J150" s="671"/>
      <c r="K150" s="192"/>
      <c r="L150" s="215">
        <v>15</v>
      </c>
      <c r="M150" s="290" t="s">
        <v>351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3"/>
      <c r="W150" s="454"/>
      <c r="X150" s="668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8"/>
      <c r="J151" s="671"/>
      <c r="K151" s="192"/>
      <c r="L151" s="215">
        <v>15</v>
      </c>
      <c r="M151" s="290" t="s">
        <v>351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3"/>
      <c r="W151" s="454"/>
      <c r="X151" s="668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8"/>
      <c r="J152" s="671"/>
      <c r="K152" s="192"/>
      <c r="L152" s="215">
        <v>15</v>
      </c>
      <c r="M152" s="290" t="s">
        <v>351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3"/>
      <c r="W152" s="454"/>
      <c r="X152" s="668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8"/>
      <c r="J153" s="671"/>
      <c r="K153" s="192"/>
      <c r="L153" s="215">
        <v>15</v>
      </c>
      <c r="M153" s="290" t="s">
        <v>351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3"/>
      <c r="W153" s="454"/>
      <c r="X153" s="66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8"/>
      <c r="J154" s="671"/>
      <c r="K154" s="192"/>
      <c r="L154" s="215">
        <v>15</v>
      </c>
      <c r="M154" s="290" t="s">
        <v>351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3"/>
      <c r="W154" s="454"/>
      <c r="X154" s="66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8"/>
      <c r="J155" s="671"/>
      <c r="K155" s="192"/>
      <c r="L155" s="215">
        <v>15</v>
      </c>
      <c r="M155" s="290" t="s">
        <v>351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3"/>
      <c r="W155" s="454"/>
      <c r="X155" s="66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8"/>
      <c r="J156" s="671"/>
      <c r="K156" s="192"/>
      <c r="L156" s="215">
        <v>15</v>
      </c>
      <c r="M156" s="290" t="s">
        <v>351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3"/>
      <c r="W156" s="454"/>
      <c r="X156" s="66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8"/>
      <c r="J157" s="671"/>
      <c r="K157" s="192"/>
      <c r="L157" s="215">
        <v>15</v>
      </c>
      <c r="M157" s="290" t="s">
        <v>351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3"/>
      <c r="W157" s="454"/>
      <c r="X157" s="66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9"/>
      <c r="J158" s="672"/>
      <c r="K158" s="193"/>
      <c r="L158" s="220">
        <v>15</v>
      </c>
      <c r="M158" s="318" t="s">
        <v>351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4"/>
      <c r="W158" s="456"/>
      <c r="X158" s="66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352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353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354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355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362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363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364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365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368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369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370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373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F5" sqref="F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374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375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2982806.2474452141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596561.24948904279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298280.6247445214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2087964.3732116497</v>
      </c>
      <c r="U4" s="109">
        <f t="shared" si="5"/>
        <v>2087964.3732116497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5070770.6206568638</v>
      </c>
      <c r="AE4" s="109">
        <f t="shared" si="5"/>
        <v>5070770.6206568638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5667331.8701459067</v>
      </c>
      <c r="CE4" s="109">
        <f t="shared" si="6"/>
        <v>5667331.8701459067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320128</v>
      </c>
      <c r="Z5" s="112">
        <f>SUMIFS('Expenditure Breakdown'!$G$6:$G$166, 'Expenditure Breakdown'!$H$6:$H$166, "&gt;="&amp;Z1,'Expenditure Breakdown'!$H$6:$H$166, "&lt;"&amp;AA1)</f>
        <v>356567.33333333331</v>
      </c>
      <c r="AA5" s="112">
        <f>SUMIFS('Expenditure Breakdown'!$G$6:$G$166, 'Expenditure Breakdown'!$H$6:$H$166, "&gt;="&amp;AA1,'Expenditure Breakdown'!$H$6:$H$166, "&lt;"&amp;AB1)</f>
        <v>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3795459.1121739135</v>
      </c>
      <c r="AD5" s="112">
        <f>SUMIFS('Expenditure Breakdown'!$G$6:$G$166, 'Expenditure Breakdown'!$H$6:$H$166, "&gt;="&amp;AD1,'Expenditure Breakdown'!$H$6:$H$166, "&lt;"&amp;AE1)</f>
        <v>436240</v>
      </c>
      <c r="AE5" s="112">
        <f>SUMIFS('Expenditure Breakdown'!$G$6:$G$166, 'Expenditure Breakdown'!$H$6:$H$166, "&gt;="&amp;AE1,'Expenditure Breakdown'!$H$6:$H$166, "&lt;"&amp;AF1)</f>
        <v>140024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77105.23056884059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320128</v>
      </c>
      <c r="Z6" s="112">
        <f t="shared" si="10"/>
        <v>676695.33333333326</v>
      </c>
      <c r="AA6" s="112">
        <f t="shared" si="10"/>
        <v>676695.33333333326</v>
      </c>
      <c r="AB6" s="112">
        <f t="shared" si="10"/>
        <v>676695.33333333326</v>
      </c>
      <c r="AC6" s="112">
        <f t="shared" si="10"/>
        <v>4472154.445507247</v>
      </c>
      <c r="AD6" s="112">
        <f>AC6+AD5</f>
        <v>4908394.445507247</v>
      </c>
      <c r="AE6" s="112">
        <f t="shared" si="10"/>
        <v>5048418.445507247</v>
      </c>
      <c r="AF6" s="112">
        <f t="shared" si="10"/>
        <v>5048418.445507247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2087964.3732116497</v>
      </c>
      <c r="T7" s="118">
        <f t="shared" si="16"/>
        <v>2087964.3732116497</v>
      </c>
      <c r="U7" s="118">
        <f t="shared" si="16"/>
        <v>2087964.3732116497</v>
      </c>
      <c r="V7" s="118">
        <f t="shared" si="16"/>
        <v>5070770.6206568638</v>
      </c>
      <c r="W7" s="118">
        <f t="shared" si="16"/>
        <v>5070770.6206568638</v>
      </c>
      <c r="X7" s="118">
        <f t="shared" si="16"/>
        <v>5070770.6206568638</v>
      </c>
      <c r="Y7" s="118">
        <f t="shared" si="16"/>
        <v>4750642.6206568638</v>
      </c>
      <c r="Z7" s="118">
        <f t="shared" si="16"/>
        <v>4394075.2873235308</v>
      </c>
      <c r="AA7" s="118">
        <f t="shared" si="16"/>
        <v>4394075.2873235308</v>
      </c>
      <c r="AB7" s="118">
        <f t="shared" si="16"/>
        <v>4394075.2873235308</v>
      </c>
      <c r="AC7" s="118">
        <f t="shared" si="16"/>
        <v>598616.17514961679</v>
      </c>
      <c r="AD7" s="118">
        <f t="shared" si="16"/>
        <v>162376.17514961679</v>
      </c>
      <c r="AE7" s="118">
        <f t="shared" si="16"/>
        <v>22352.175149616785</v>
      </c>
      <c r="AF7" s="118">
        <f t="shared" si="16"/>
        <v>618913.42463865969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541808.19406981952</v>
      </c>
      <c r="CE7" s="118">
        <f t="shared" si="17"/>
        <v>541808.19406981952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379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2087964.3732116497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2982806.2474452141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596561.24948904279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298280.6247445214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2087964.3732116497</v>
      </c>
      <c r="T10" s="122">
        <f t="shared" si="21"/>
        <v>2087964.3732116497</v>
      </c>
      <c r="U10" s="122">
        <f t="shared" si="21"/>
        <v>2087964.3732116497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5070770.6206568638</v>
      </c>
      <c r="AE10" s="122">
        <f t="shared" si="21"/>
        <v>5070770.6206568638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5667331.8701459067</v>
      </c>
      <c r="CE10" s="122">
        <f t="shared" si="22"/>
        <v>5667331.8701459067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381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111641.18033333335</v>
      </c>
      <c r="U11" s="125">
        <f>SUMIFS('Expenditure Breakdown'!$Q$6:$Q$166, 'Expenditure Breakdown'!$W$6:$W$166, "&gt;="&amp;U1,'Expenditure Breakdown'!$W$6:$W$166, "&lt;"&amp;V1)</f>
        <v>167461.77049999998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893327.01066666667</v>
      </c>
      <c r="AA11" s="125">
        <f>SUMIFS('Expenditure Breakdown'!$Q$6:$Q$166, 'Expenditure Breakdown'!$W$6:$W$166, "&gt;="&amp;AA1,'Expenditure Breakdown'!$W$6:$W$166, "&lt;"&amp;AB1)</f>
        <v>3500</v>
      </c>
      <c r="AB11" s="125">
        <f>SUMIFS('Expenditure Breakdown'!$Q$6:$Q$166, 'Expenditure Breakdown'!$W$6:$W$166, "&gt;="&amp;AB1,'Expenditure Breakdown'!$W$6:$W$166, "&lt;"&amp;AC1)</f>
        <v>0</v>
      </c>
      <c r="AC11" s="125">
        <f>SUMIFS('Expenditure Breakdown'!$Q$6:$Q$166, 'Expenditure Breakdown'!$W$6:$W$166, "&gt;="&amp;AC1,'Expenditure Breakdown'!$W$6:$W$166, "&lt;"&amp;AD1)</f>
        <v>2365340</v>
      </c>
      <c r="AD11" s="125">
        <f>SUMIFS('Expenditure Breakdown'!$Q$6:$Q$166, 'Expenditure Breakdown'!$W$6:$W$166, "&gt;="&amp;AD1,'Expenditure Breakdown'!$W$6:$W$166, "&lt;"&amp;AE1)</f>
        <v>279102.95083333331</v>
      </c>
      <c r="AE11" s="125">
        <f>SUMIFS('Expenditure Breakdown'!$Q$6:$Q$166, 'Expenditure Breakdown'!$W$6:$W$166, "&gt;="&amp;AE1,'Expenditure Breakdown'!$W$6:$W$166, "&lt;"&amp;AF1)</f>
        <v>80570.156186130349</v>
      </c>
      <c r="AF11" s="125">
        <f>SUMIFS('Expenditure Breakdown'!$Q$6:$Q$166, 'Expenditure Breakdown'!$W$6:$W$166, "&gt;="&amp;AF1,'Expenditure Breakdown'!$W$6:$W$166, "&lt;"&amp;AG1)</f>
        <v>279102.95083333337</v>
      </c>
      <c r="AG11" s="125">
        <f>SUMIFS('Expenditure Breakdown'!$Q$6:$Q$166, 'Expenditure Breakdown'!$W$6:$W$166, "&gt;="&amp;AG1,'Expenditure Breakdown'!$W$6:$W$166, "&lt;"&amp;AH1)</f>
        <v>20008.000000000004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135820.59016666666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3500</v>
      </c>
      <c r="S12" s="125">
        <f t="shared" si="26"/>
        <v>7000</v>
      </c>
      <c r="T12" s="125">
        <f t="shared" si="26"/>
        <v>118641.18033333335</v>
      </c>
      <c r="U12" s="125">
        <f t="shared" si="26"/>
        <v>286102.95083333331</v>
      </c>
      <c r="V12" s="125">
        <f t="shared" si="26"/>
        <v>286102.95083333331</v>
      </c>
      <c r="W12" s="125">
        <f t="shared" si="26"/>
        <v>289602.95083333331</v>
      </c>
      <c r="X12" s="125">
        <f t="shared" si="26"/>
        <v>289602.95083333331</v>
      </c>
      <c r="Y12" s="125">
        <f t="shared" si="26"/>
        <v>289602.95083333331</v>
      </c>
      <c r="Z12" s="125">
        <f t="shared" si="26"/>
        <v>1182929.9615</v>
      </c>
      <c r="AA12" s="125">
        <f t="shared" si="26"/>
        <v>1186429.9615</v>
      </c>
      <c r="AB12" s="125">
        <f t="shared" si="26"/>
        <v>1186429.9615</v>
      </c>
      <c r="AC12" s="125">
        <f t="shared" si="26"/>
        <v>3551769.9615000002</v>
      </c>
      <c r="AD12" s="125">
        <f>AC12+AD11</f>
        <v>3830872.9123333334</v>
      </c>
      <c r="AE12" s="125">
        <f t="shared" si="26"/>
        <v>3911443.0685194638</v>
      </c>
      <c r="AF12" s="125">
        <f t="shared" si="26"/>
        <v>4190546.019352797</v>
      </c>
      <c r="AG12" s="125">
        <f t="shared" si="26"/>
        <v>4210554.0193527974</v>
      </c>
      <c r="AH12" s="125">
        <f t="shared" si="26"/>
        <v>4210554.0193527974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-3500</v>
      </c>
      <c r="R14" s="118">
        <f t="shared" si="32"/>
        <v>-3500</v>
      </c>
      <c r="S14" s="118">
        <f t="shared" si="32"/>
        <v>2080964.3732116497</v>
      </c>
      <c r="T14" s="118">
        <f t="shared" si="32"/>
        <v>1969323.1928783164</v>
      </c>
      <c r="U14" s="118">
        <f t="shared" si="32"/>
        <v>1801861.4223783165</v>
      </c>
      <c r="V14" s="118">
        <f t="shared" si="32"/>
        <v>4784667.6698235301</v>
      </c>
      <c r="W14" s="118">
        <f t="shared" si="32"/>
        <v>4781167.6698235301</v>
      </c>
      <c r="X14" s="118">
        <f t="shared" si="32"/>
        <v>4781167.6698235301</v>
      </c>
      <c r="Y14" s="118">
        <f t="shared" si="32"/>
        <v>4781167.6698235301</v>
      </c>
      <c r="Z14" s="118">
        <f t="shared" si="32"/>
        <v>3887840.6591568636</v>
      </c>
      <c r="AA14" s="118">
        <f t="shared" si="32"/>
        <v>3884340.6591568636</v>
      </c>
      <c r="AB14" s="118">
        <f t="shared" si="32"/>
        <v>3884340.6591568636</v>
      </c>
      <c r="AC14" s="118">
        <f t="shared" si="32"/>
        <v>1519000.6591568636</v>
      </c>
      <c r="AD14" s="118">
        <f t="shared" si="32"/>
        <v>1239897.7083235304</v>
      </c>
      <c r="AE14" s="118">
        <f t="shared" si="32"/>
        <v>1159327.5521374</v>
      </c>
      <c r="AF14" s="118">
        <f t="shared" si="32"/>
        <v>1476785.8507931097</v>
      </c>
      <c r="AG14" s="118">
        <f t="shared" si="32"/>
        <v>1456777.8507931093</v>
      </c>
      <c r="AH14" s="118">
        <f t="shared" si="32"/>
        <v>1456777.8507931093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1320957.2606264427</v>
      </c>
      <c r="CE14" s="118">
        <f t="shared" si="33"/>
        <v>1320957.2606264427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384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3888.8888888888887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4487601.1846816391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492685.05384207092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485154.39771862765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75054.674005570298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385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7777.7777777777774</v>
      </c>
      <c r="S18" s="125">
        <f t="shared" si="37"/>
        <v>7777.7777777777774</v>
      </c>
      <c r="T18" s="125">
        <f t="shared" si="37"/>
        <v>7777.7777777777774</v>
      </c>
      <c r="U18" s="125">
        <f t="shared" si="37"/>
        <v>7777.7777777777774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5405403.4231662294</v>
      </c>
      <c r="AF18" s="125">
        <f t="shared" si="37"/>
        <v>5405403.4231662294</v>
      </c>
      <c r="AG18" s="125">
        <f t="shared" si="37"/>
        <v>5405403.4231662294</v>
      </c>
      <c r="AH18" s="125">
        <f t="shared" si="37"/>
        <v>5405403.4231662294</v>
      </c>
      <c r="AI18" s="125">
        <f t="shared" si="37"/>
        <v>5890557.8208848573</v>
      </c>
      <c r="AJ18" s="125">
        <f t="shared" si="37"/>
        <v>5890557.8208848573</v>
      </c>
      <c r="AK18" s="125">
        <f t="shared" si="37"/>
        <v>5890557.8208848573</v>
      </c>
      <c r="AL18" s="125">
        <f t="shared" si="37"/>
        <v>5890557.8208848573</v>
      </c>
      <c r="AM18" s="125">
        <f t="shared" si="37"/>
        <v>5890557.8208848573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4.5703125" style="269" bestFit="1" customWidth="1"/>
    <col min="6" max="7" width="12.85546875" style="269" bestFit="1" customWidth="1"/>
    <col min="8" max="8" width="14.5703125" style="269" bestFit="1" customWidth="1"/>
    <col min="9" max="9" width="12.85546875" style="269" bestFit="1" customWidth="1"/>
    <col min="10" max="10" width="11.140625" style="269" bestFit="1" customWidth="1"/>
    <col min="11" max="11" width="14.5703125" style="269" bestFit="1" customWidth="1"/>
    <col min="12" max="12" width="13.710937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386</v>
      </c>
      <c r="B3" s="541" t="s">
        <v>387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388</v>
      </c>
      <c r="B4" t="s">
        <v>389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390</v>
      </c>
      <c r="L4"/>
      <c r="M4"/>
      <c r="N4"/>
      <c r="O4"/>
      <c r="P4"/>
      <c r="Q4"/>
      <c r="R4"/>
      <c r="S4"/>
      <c r="T4"/>
    </row>
    <row r="5" spans="1:20">
      <c r="A5" s="345" t="s">
        <v>389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340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348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390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4.5703125" style="308" bestFit="1" customWidth="1"/>
    <col min="6" max="8" width="12.85546875" style="308" bestFit="1" customWidth="1"/>
    <col min="9" max="9" width="11.85546875" style="308" bestFit="1" customWidth="1"/>
    <col min="10" max="10" width="11.140625" bestFit="1" customWidth="1"/>
    <col min="11" max="11" width="14.5703125" bestFit="1" customWidth="1"/>
    <col min="12" max="12" width="13.71093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541" t="s">
        <v>391</v>
      </c>
      <c r="B3" s="541" t="s">
        <v>387</v>
      </c>
      <c r="C3"/>
      <c r="D3"/>
      <c r="E3"/>
      <c r="F3"/>
      <c r="G3"/>
      <c r="H3"/>
      <c r="I3"/>
    </row>
    <row r="4" spans="1:11">
      <c r="A4" s="541" t="s">
        <v>388</v>
      </c>
      <c r="B4" t="s">
        <v>389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390</v>
      </c>
    </row>
    <row r="5" spans="1:11">
      <c r="A5" s="345" t="s">
        <v>389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340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348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351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337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390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392</v>
      </c>
      <c r="F2" s="19" t="s">
        <v>393</v>
      </c>
    </row>
    <row r="3" spans="3:8">
      <c r="C3" s="15">
        <v>45658</v>
      </c>
      <c r="D3" s="9" t="s">
        <v>394</v>
      </c>
      <c r="F3" s="17" t="s">
        <v>395</v>
      </c>
    </row>
    <row r="4" spans="3:8">
      <c r="C4" s="15">
        <v>45737</v>
      </c>
      <c r="D4" s="9" t="s">
        <v>396</v>
      </c>
      <c r="F4" s="17" t="s">
        <v>397</v>
      </c>
    </row>
    <row r="5" spans="3:8">
      <c r="C5" s="15">
        <v>45765</v>
      </c>
      <c r="D5" s="9" t="s">
        <v>398</v>
      </c>
      <c r="F5" s="17" t="s">
        <v>399</v>
      </c>
    </row>
    <row r="6" spans="3:8" ht="12.95" thickBot="1">
      <c r="C6" s="15">
        <v>45768</v>
      </c>
      <c r="D6" s="9" t="s">
        <v>400</v>
      </c>
      <c r="F6" s="18" t="s">
        <v>401</v>
      </c>
    </row>
    <row r="7" spans="3:8">
      <c r="C7" s="15">
        <v>45774</v>
      </c>
      <c r="D7" s="9" t="s">
        <v>402</v>
      </c>
    </row>
    <row r="8" spans="3:8">
      <c r="C8" s="15">
        <v>45765</v>
      </c>
      <c r="D8" s="9" t="s">
        <v>403</v>
      </c>
    </row>
    <row r="9" spans="3:8">
      <c r="C9" s="15">
        <v>45778</v>
      </c>
      <c r="D9" s="9" t="s">
        <v>404</v>
      </c>
    </row>
    <row r="10" spans="3:8">
      <c r="C10" s="15">
        <v>45824</v>
      </c>
      <c r="D10" s="9" t="s">
        <v>405</v>
      </c>
    </row>
    <row r="11" spans="3:8">
      <c r="C11" s="15">
        <v>45878</v>
      </c>
      <c r="D11" s="9" t="s">
        <v>406</v>
      </c>
    </row>
    <row r="12" spans="3:8">
      <c r="C12" s="15">
        <v>45924</v>
      </c>
      <c r="D12" s="9" t="s">
        <v>407</v>
      </c>
    </row>
    <row r="13" spans="3:8">
      <c r="C13" s="15">
        <v>46007</v>
      </c>
      <c r="D13" s="9" t="s">
        <v>408</v>
      </c>
      <c r="F13" s="20"/>
      <c r="H13" s="9" t="s">
        <v>409</v>
      </c>
    </row>
    <row r="14" spans="3:8">
      <c r="C14" s="15">
        <v>46016</v>
      </c>
      <c r="D14" s="9" t="s">
        <v>410</v>
      </c>
    </row>
    <row r="15" spans="3:8">
      <c r="C15" s="15">
        <v>46017</v>
      </c>
      <c r="D15" s="9" t="s">
        <v>411</v>
      </c>
    </row>
    <row r="16" spans="3:8">
      <c r="C16" s="15">
        <v>46006</v>
      </c>
      <c r="D16" s="9" t="s">
        <v>412</v>
      </c>
    </row>
    <row r="17" spans="3:4">
      <c r="C17" s="15">
        <v>46007</v>
      </c>
      <c r="D17" s="9" t="s">
        <v>412</v>
      </c>
    </row>
    <row r="18" spans="3:4">
      <c r="C18" s="15">
        <v>46008</v>
      </c>
      <c r="D18" s="9" t="s">
        <v>412</v>
      </c>
    </row>
    <row r="19" spans="3:4">
      <c r="C19" s="15">
        <v>46009</v>
      </c>
      <c r="D19" s="9" t="s">
        <v>412</v>
      </c>
    </row>
    <row r="20" spans="3:4">
      <c r="C20" s="15">
        <v>46010</v>
      </c>
      <c r="D20" s="9" t="s">
        <v>412</v>
      </c>
    </row>
    <row r="21" spans="3:4">
      <c r="C21" s="15">
        <v>46011</v>
      </c>
      <c r="D21" s="9" t="s">
        <v>412</v>
      </c>
    </row>
    <row r="22" spans="3:4">
      <c r="C22" s="15">
        <v>46012</v>
      </c>
      <c r="D22" s="9" t="s">
        <v>412</v>
      </c>
    </row>
    <row r="23" spans="3:4">
      <c r="C23" s="15">
        <v>46013</v>
      </c>
      <c r="D23" s="9" t="s">
        <v>412</v>
      </c>
    </row>
    <row r="24" spans="3:4">
      <c r="C24" s="15">
        <v>46014</v>
      </c>
      <c r="D24" s="9" t="s">
        <v>412</v>
      </c>
    </row>
    <row r="25" spans="3:4">
      <c r="C25" s="15">
        <v>46015</v>
      </c>
      <c r="D25" s="9" t="s">
        <v>412</v>
      </c>
    </row>
    <row r="26" spans="3:4">
      <c r="C26" s="15">
        <v>46016</v>
      </c>
      <c r="D26" s="9" t="s">
        <v>412</v>
      </c>
    </row>
    <row r="27" spans="3:4">
      <c r="C27" s="15">
        <v>46017</v>
      </c>
      <c r="D27" s="9" t="s">
        <v>412</v>
      </c>
    </row>
    <row r="28" spans="3:4">
      <c r="C28" s="15">
        <v>46018</v>
      </c>
      <c r="D28" s="9" t="s">
        <v>412</v>
      </c>
    </row>
    <row r="29" spans="3:4">
      <c r="C29" s="15">
        <v>46019</v>
      </c>
      <c r="D29" s="9" t="s">
        <v>412</v>
      </c>
    </row>
    <row r="30" spans="3:4">
      <c r="C30" s="15">
        <v>46020</v>
      </c>
      <c r="D30" s="9" t="s">
        <v>412</v>
      </c>
    </row>
    <row r="31" spans="3:4">
      <c r="C31" s="15">
        <v>46021</v>
      </c>
      <c r="D31" s="9" t="s">
        <v>412</v>
      </c>
    </row>
    <row r="32" spans="3:4">
      <c r="C32" s="15">
        <v>46022</v>
      </c>
      <c r="D32" s="9" t="s">
        <v>412</v>
      </c>
    </row>
    <row r="33" spans="3:4">
      <c r="C33" s="15">
        <v>46023</v>
      </c>
      <c r="D33" s="9" t="s">
        <v>412</v>
      </c>
    </row>
    <row r="34" spans="3:4">
      <c r="C34" s="15">
        <v>46024</v>
      </c>
      <c r="D34" s="9" t="s">
        <v>412</v>
      </c>
    </row>
    <row r="35" spans="3:4">
      <c r="C35" s="15">
        <v>46025</v>
      </c>
      <c r="D35" s="9" t="s">
        <v>412</v>
      </c>
    </row>
    <row r="36" spans="3:4">
      <c r="C36" s="15">
        <v>46026</v>
      </c>
      <c r="D36" s="9" t="s">
        <v>412</v>
      </c>
    </row>
    <row r="37" spans="3:4">
      <c r="C37" s="15">
        <v>46027</v>
      </c>
      <c r="D37" s="9" t="s">
        <v>412</v>
      </c>
    </row>
    <row r="38" spans="3:4">
      <c r="C38" s="15">
        <v>46028</v>
      </c>
      <c r="D38" s="9" t="s">
        <v>412</v>
      </c>
    </row>
    <row r="39" spans="3:4">
      <c r="C39" s="15">
        <v>46029</v>
      </c>
      <c r="D39" s="9" t="s">
        <v>412</v>
      </c>
    </row>
    <row r="40" spans="3:4">
      <c r="C40" s="15">
        <v>46030</v>
      </c>
      <c r="D40" s="9" t="s">
        <v>412</v>
      </c>
    </row>
    <row r="41" spans="3:4">
      <c r="C41" s="15">
        <v>46031</v>
      </c>
      <c r="D41" s="9" t="s">
        <v>412</v>
      </c>
    </row>
    <row r="42" spans="3:4">
      <c r="C42" s="15">
        <v>46032</v>
      </c>
      <c r="D42" s="9" t="s">
        <v>412</v>
      </c>
    </row>
    <row r="43" spans="3:4">
      <c r="C43" s="15">
        <v>46033</v>
      </c>
      <c r="D43" s="9" t="s">
        <v>412</v>
      </c>
    </row>
    <row r="44" spans="3:4">
      <c r="C44" s="15">
        <v>46034</v>
      </c>
      <c r="D44" s="9" t="s">
        <v>412</v>
      </c>
    </row>
    <row r="45" spans="3:4">
      <c r="C45" s="15">
        <v>46035</v>
      </c>
      <c r="D45" s="9" t="s">
        <v>412</v>
      </c>
    </row>
    <row r="46" spans="3:4">
      <c r="C46" s="15">
        <v>46036</v>
      </c>
      <c r="D46" s="9" t="s">
        <v>412</v>
      </c>
    </row>
    <row r="47" spans="3:4">
      <c r="C47" s="15">
        <v>46037</v>
      </c>
      <c r="D47" s="9" t="s">
        <v>412</v>
      </c>
    </row>
    <row r="48" spans="3:4">
      <c r="C48" s="15">
        <v>46038</v>
      </c>
      <c r="D48" s="9" t="s">
        <v>412</v>
      </c>
    </row>
    <row r="49" spans="3:4">
      <c r="C49" s="15">
        <v>46102</v>
      </c>
      <c r="D49" s="9" t="s">
        <v>396</v>
      </c>
    </row>
    <row r="50" spans="3:4">
      <c r="C50" s="15">
        <v>46115</v>
      </c>
      <c r="D50" s="9" t="s">
        <v>398</v>
      </c>
    </row>
    <row r="51" spans="3:4">
      <c r="C51" s="15">
        <v>46118</v>
      </c>
      <c r="D51" s="9" t="s">
        <v>400</v>
      </c>
    </row>
    <row r="52" spans="3:4">
      <c r="C52" s="15">
        <v>46139</v>
      </c>
      <c r="D52" s="9" t="s">
        <v>402</v>
      </c>
    </row>
    <row r="53" spans="3:4">
      <c r="C53" s="15">
        <v>46143</v>
      </c>
      <c r="D53" s="9" t="s">
        <v>404</v>
      </c>
    </row>
    <row r="54" spans="3:4">
      <c r="C54" s="15">
        <v>46189</v>
      </c>
      <c r="D54" s="9" t="s">
        <v>405</v>
      </c>
    </row>
    <row r="55" spans="3:4">
      <c r="C55" s="15">
        <v>46243</v>
      </c>
      <c r="D55" s="9" t="s">
        <v>406</v>
      </c>
    </row>
    <row r="56" spans="3:4">
      <c r="C56" s="15">
        <v>46244</v>
      </c>
      <c r="D56" s="9" t="s">
        <v>413</v>
      </c>
    </row>
    <row r="57" spans="3:4">
      <c r="C57" s="15">
        <v>46289</v>
      </c>
      <c r="D57" s="9" t="s">
        <v>407</v>
      </c>
    </row>
    <row r="58" spans="3:4">
      <c r="C58" s="15">
        <v>46372</v>
      </c>
      <c r="D58" s="9" t="s">
        <v>408</v>
      </c>
    </row>
    <row r="59" spans="3:4">
      <c r="C59" s="15">
        <v>46381</v>
      </c>
      <c r="D59" s="9" t="s">
        <v>410</v>
      </c>
    </row>
    <row r="60" spans="3:4" ht="12.95" thickBot="1">
      <c r="C60" s="16">
        <v>46382</v>
      </c>
      <c r="D60" s="9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9653AF06-D45D-4DB6-98D3-8538F5CCA2DD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2026-02-19T14:27:05Z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