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" documentId="13_ncr:1_{2473AA54-0E02-4422-B2AA-DE31959F4533}" xr6:coauthVersionLast="47" xr6:coauthVersionMax="47" xr10:uidLastSave="{BE180264-CC5D-4BB5-8C19-9A030AD9843B}"/>
  <bookViews>
    <workbookView minimized="1" xWindow="-23505" yWindow="3750" windowWidth="16125" windowHeight="8715" tabRatio="576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71" i="18"/>
  <c r="T70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Q71" i="18"/>
  <c r="Q70" i="18"/>
  <c r="P6" i="18"/>
  <c r="W48" i="18"/>
  <c r="Z27" i="18"/>
  <c r="O112" i="18"/>
  <c r="O96" i="18"/>
  <c r="W108" i="18"/>
  <c r="W85" i="18"/>
  <c r="W83" i="18"/>
  <c r="W81" i="18"/>
  <c r="W71" i="18"/>
  <c r="W70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20" i="2" s="1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9" i="2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<sst xmlns="http://schemas.openxmlformats.org/spreadsheetml/2006/main" count="783" uniqueCount="449">
  <si>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</si>
  <si>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</si>
  <si>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</si>
  <si>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</si>
  <si>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</si>
  <si>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</si>
  <si>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</si>
  <si>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</si>
  <si>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</si>
  <si>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</si>
  <si>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</si>
  <si>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</si>
  <si>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</si>
  <si>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</si>
  <si>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</si>
  <si>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</si>
  <si>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</si>
  <si>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</si>
  <si>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</si>
  <si>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</si>
  <si>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</si>
  <si>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</si>
  <si>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</si>
  <si>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</si>
  <si>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</si>
  <si>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</si>
  <si>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</si>
  <si>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</si>
  <si>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</si>
  <si>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</si>
  <si>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</si>
  <si>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</si>
  <si>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</si>
  <si>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</si>
  <si>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</si>
  <si>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</si>
  <si>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</si>
  <si>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</si>
  <si>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</si>
  <si>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</si>
  <si>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</si>
  <si>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</si>
  <si>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</si>
  <si>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</si>
  <si>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</si>
  <si>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</si>
  <si>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</si>
  <si>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</si>
  <si>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</si>
  <si>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</si>
  <si>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</si>
  <si>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</si>
  <si>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</si>
  <si>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</si>
  <si>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</si>
  <si>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</si>
  <si>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</si>
  <si>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</si>
  <si>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</si>
  <si>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</si>
  <si>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</si>
  <si>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</si>
  <si>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</si>
  <si>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</si>
  <si>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</si>
  <si>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</si>
  <si>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</si>
  <si>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</si>
  <si>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</si>
  <si>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</si>
  <si>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</si>
  <si>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</si>
  <si>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</si>
  <si>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</si>
  <si>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</si>
  <si>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</si>
  <si>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</si>
  <si>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</si>
  <si>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</si>
  <si>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</si>
  <si>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</si>
  <si>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</si>
  <si>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</si>
  <si>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</si>
  <si>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</si>
  <si>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</si>
  <si>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</si>
  <si>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</si>
  <si>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</si>
  <si>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</si>
  <si>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</si>
  <si>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</si>
  <si>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</si>
  <si>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</si>
  <si>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</si>
  <si>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</si>
  <si>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</si>
  <si>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</si>
  <si>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</si>
  <si>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</si>
  <si>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</si>
  <si>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</si>
  <si>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</si>
  <si>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</si>
  <si>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</si>
  <si>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</si>
  <si>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</si>
  <si>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</si>
  <si>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</si>
  <si>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</si>
  <si>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</si>
  <si>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</si>
  <si>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</si>
  <si>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</si>
  <si>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</si>
  <si>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</si>
  <si>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</si>
  <si>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</si>
  <si>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</si>
  <si>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</si>
  <si>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</si>
  <si>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</si>
  <si>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</si>
  <si>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</si>
  <si>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</si>
  <si>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</si>
  <si>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</si>
  <si>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</si>
  <si>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</si>
  <si>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</si>
  <si>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</si>
  <si>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</si>
  <si>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</si>
  <si>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</si>
  <si>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</si>
  <si>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</si>
  <si>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</si>
  <si>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</si>
  <si>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</si>
  <si>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</si>
  <si>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</si>
  <si>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</si>
  <si>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</si>
  <si>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</si>
  <si>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</si>
  <si>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</si>
  <si>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</si>
  <si>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</si>
  <si>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</si>
  <si>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</si>
  <si>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</si>
  <si>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</si>
  <si>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</si>
  <si>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</si>
  <si>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</si>
  <si>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</si>
  <si>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</si>
  <si>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</si>
  <si>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</si>
  <si>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</si>
  <si>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</si>
  <si>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</si>
  <si>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</si>
  <si>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</si>
  <si>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</si>
  <si>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</si>
  <si>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</si>
  <si>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</si>
  <si>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</si>
  <si>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</si>
  <si>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</si>
  <si>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</si>
  <si>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</si>
  <si>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</si>
  <si>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</si>
  <si>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</si>
  <si>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</si>
  <si>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</si>
  <si>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</si>
  <si>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</si>
  <si>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</si>
  <si>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</si>
  <si>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</si>
  <si>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</si>
  <si>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</si>
  <si>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</si>
  <si>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</si>
  <si>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</si>
  <si>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</si>
  <si>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</si>
  <si>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</si>
  <si>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</si>
  <si>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</si>
  <si>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</si>
  <si>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</si>
  <si>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</si>
  <si>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</si>
  <si>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</si>
  <si>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</si>
  <si>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</si>
  <si>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</si>
  <si>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</si>
  <si>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</si>
  <si>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</si>
  <si>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</si>
  <si>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</si>
  <si>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</si>
  <si>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</si>
  <si>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</si>
  <si>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</si>
  <si>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</si>
  <si>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</si>
  <si>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</si>
  <si>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</si>
  <si>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</si>
  <si>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</si>
  <si>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</si>
  <si>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</si>
  <si>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</si>
  <si>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</si>
  <si>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</si>
  <si>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</si>
  <si>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</si>
  <si>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</si>
  <si>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</si>
  <si>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</si>
  <si>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</si>
  <si>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</si>
  <si>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</si>
  <si>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</si>
  <si>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</si>
  <si>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</si>
  <si>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</si>
  <si>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</si>
  <si>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</si>
  <si>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</si>
  <si>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</si>
  <si>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</si>
  <si>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</si>
  <si>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</si>
  <si>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</si>
  <si>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</si>
  <si>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</si>
  <si>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</si>
  <si>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</si>
  <si>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</si>
  <si>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</si>
  <si>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</si>
  <si>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</si>
  <si>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</si>
  <si>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</si>
  <si>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</si>
  <si>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</si>
  <si>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</si>
  <si>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</si>
  <si>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</si>
  <si>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</si>
  <si>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</si>
  <si>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</si>
  <si>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</si>
  <si>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</si>
  <si>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</si>
  <si>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</si>
  <si>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</si>
  <si>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</si>
  <si>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</si>
  <si>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</si>
  <si>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</si>
  <si>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</si>
  <si>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</si>
  <si>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</si>
  <si>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</si>
  <si>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</si>
  <si>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</si>
  <si>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</si>
  <si>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</si>
  <si>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</si>
  <si>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</si>
  <si>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</si>
  <si>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</si>
  <si>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</si>
  <si>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</si>
  <si>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</si>
  <si>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</si>
  <si>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</si>
  <si>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</si>
  <si>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</si>
  <si>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</si>
  <si>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</si>
  <si>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</si>
  <si>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</si>
  <si>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</si>
  <si>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</si>
  <si>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</si>
  <si>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</si>
  <si>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</si>
  <si>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</si>
  <si>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</si>
  <si>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</si>
  <si>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</si>
  <si>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</si>
  <si>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</si>
  <si>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</si>
  <si>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</si>
  <si>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</si>
  <si>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</si>
  <si>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</si>
  <si>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</si>
  <si>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</si>
  <si>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</si>
  <si>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</si>
  <si>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</si>
  <si>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</si>
  <si>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</si>
  <si>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</si>
  <si>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</si>
  <si>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</si>
  <si>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</si>
  <si>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</si>
  <si>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</si>
  <si>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</si>
  <si>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</si>
  <si>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</si>
  <si>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</si>
  <si>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</si>
  <si>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</si>
  <si>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</si>
  <si>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</si>
  <si>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</si>
  <si>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</si>
  <si>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</si>
  <si>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</si>
  <si>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</si>
  <si>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</si>
  <si>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</si>
  <si>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</si>
  <si>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</si>
  <si>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</si>
  <si>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</si>
  <si>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</si>
  <si>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</si>
  <si>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</si>
  <si>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</si>
  <si>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</si>
  <si>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</si>
  <si>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</si>
  <si>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</si>
  <si>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</si>
  <si>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</si>
  <si>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</si>
  <si>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</si>
  <si>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</si>
  <si>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</si>
  <si>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</si>
  <si>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</si>
  <si>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</si>
  <si>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</si>
  <si>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</si>
  <si>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</si>
  <si>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</si>
  <si>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</si>
  <si>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</si>
  <si>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</si>
  <si>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</si>
  <si>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</si>
  <si>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</si>
  <si>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</si>
  <si>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</si>
  <si>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</si>
  <si>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</si>
  <si>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</si>
  <si>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</si>
  <si>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</si>
  <si>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</si>
  <si>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</si>
  <si>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</si>
  <si>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</si>
  <si>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</si>
  <si>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</si>
  <si>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</si>
  <si>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</si>
  <si>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</si>
  <si>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</si>
  <si>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</si>
  <si>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</si>
  <si>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</si>
  <si>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</si>
  <si>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</si>
  <si>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</si>
  <si>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</si>
  <si>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</si>
  <si>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</si>
  <si>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</si>
  <si>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</si>
  <si>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</si>
  <si>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</si>
  <si>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</si>
  <si>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</si>
  <si>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</si>
  <si>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</si>
  <si>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</si>
  <si>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</si>
  <si>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</si>
  <si>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</si>
  <si>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</si>
  <si>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</si>
  <si>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</si>
  <si>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</si>
  <si>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</si>
  <si>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</si>
  <si>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</si>
  <si>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</si>
  <si>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</si>
  <si>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</si>
  <si>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</si>
  <si>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</si>
  <si>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</si>
  <si>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</si>
  <si>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</si>
  <si>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</si>
  <si>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</si>
  <si>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</si>
  <si>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</si>
  <si>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</si>
  <si>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</si>
  <si>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</si>
  <si>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</si>
  <si>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</si>
  <si>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</si>
  <si>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</si>
  <si>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</si>
  <si>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</si>
  <si>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</si>
  <si>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</si>
  <si>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</si>
  <si>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</si>
  <si>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</si>
  <si>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</si>
  <si>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</si>
  <si>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</si>
  <si>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</si>
  <si>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</si>
  <si>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</si>
  <si>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</si>
  <si>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</si>
  <si>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</si>
  <si>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</si>
  <si>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</si>
  <si>
    <t>We have a SSEG requirment from Standard Bank. Causing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</si>
</sst>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2107859.3910860713</c:v>
                </c:pt>
                <c:pt idx="16">
                  <c:v>2109259.3910860713</c:v>
                </c:pt>
                <c:pt idx="17">
                  <c:v>2109259.3910860713</c:v>
                </c:pt>
                <c:pt idx="18">
                  <c:v>3254671.8037189217</c:v>
                </c:pt>
                <c:pt idx="19">
                  <c:v>3267249.3037189217</c:v>
                </c:pt>
                <c:pt idx="20">
                  <c:v>3268649.3037189217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2629688.4946102505</c:v>
                </c:pt>
                <c:pt idx="16">
                  <c:v>2731278.6660384317</c:v>
                </c:pt>
                <c:pt idx="17">
                  <c:v>2731278.6660384317</c:v>
                </c:pt>
                <c:pt idx="18">
                  <c:v>1585866.2534055812</c:v>
                </c:pt>
                <c:pt idx="19">
                  <c:v>1882259.267690124</c:v>
                </c:pt>
                <c:pt idx="20">
                  <c:v>1880859.267690124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3502904.0238250345</c:v>
                </c:pt>
                <c:pt idx="12">
                  <c:v>3502904.0238250345</c:v>
                </c:pt>
                <c:pt idx="13">
                  <c:v>3502904.0238250345</c:v>
                </c:pt>
                <c:pt idx="14">
                  <c:v>3502904.0238250345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4.556357175927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34362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9">
        <m/>
        <d v="2026-03-31T00:00:00"/>
        <s v=""/>
        <d v="2026-04-30T00:00:00"/>
        <d v="2026-05-31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08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4-29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52150.6"/>
  </r>
  <r>
    <n v="2"/>
    <x v="2"/>
    <s v="Sungrow 125kW"/>
    <n v="3"/>
    <n v="68870"/>
    <n v="206610"/>
    <m/>
    <m/>
    <x v="1"/>
    <n v="203998.44813996466"/>
    <m/>
    <d v="2026-04-30T00:00:00"/>
    <m/>
  </r>
  <r>
    <n v="2"/>
    <x v="2"/>
    <s v="Sungrow Wifi Comunication Module For Battery Inverter"/>
    <m/>
    <m/>
    <n v="3900"/>
    <m/>
    <m/>
    <x v="3"/>
    <n v="3850.7039724401634"/>
    <m/>
    <d v="2026-04-30T00:00:00"/>
    <m/>
  </r>
  <r>
    <n v="2"/>
    <x v="2"/>
    <m/>
    <m/>
    <m/>
    <m/>
    <m/>
    <m/>
    <x v="2"/>
    <n v="0"/>
    <m/>
    <m/>
    <m/>
  </r>
  <r>
    <n v="2"/>
    <x v="2"/>
    <s v="Sungrow warranty extension to 10 years on the 125kW string inverter and the 25kW hybrid inverter"/>
    <m/>
    <m/>
    <n v="41640.600000000006"/>
    <m/>
    <m/>
    <x v="3"/>
    <n v="41114.262521741504"/>
    <m/>
    <d v="2026-04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07T00:00:00"/>
    <m/>
  </r>
  <r>
    <n v="4"/>
    <x v="4"/>
    <s v="Site Establishment"/>
    <m/>
    <n v="0.15"/>
    <n v="16098.251999999999"/>
    <m/>
    <m/>
    <x v="1"/>
    <n v="20024.000268784381"/>
    <m/>
    <d v="2026-03-07T00:00:00"/>
    <m/>
  </r>
  <r>
    <n v="4"/>
    <x v="4"/>
    <s v="AC Installation Complete"/>
    <m/>
    <n v="0.2"/>
    <n v="21464.335999999999"/>
    <m/>
    <m/>
    <x v="3"/>
    <n v="26698.667025045841"/>
    <m/>
    <d v="2026-04-06T00:00:00"/>
    <m/>
  </r>
  <r>
    <n v="4"/>
    <x v="4"/>
    <s v="DC Installation Complete"/>
    <m/>
    <n v="0.25"/>
    <n v="26830.42"/>
    <m/>
    <m/>
    <x v="1"/>
    <n v="33373.333781307301"/>
    <m/>
    <d v="2026-03-31T00:00:00"/>
    <m/>
  </r>
  <r>
    <n v="4"/>
    <x v="4"/>
    <s v="Commissioning Complete"/>
    <m/>
    <n v="0.1"/>
    <n v="10732.168"/>
    <m/>
    <m/>
    <x v="3"/>
    <n v="13349.333512522921"/>
    <m/>
    <d v="2026-04-22T00:00:00"/>
    <m/>
  </r>
  <r>
    <n v="4"/>
    <x v="4"/>
    <s v="Site De-establisment"/>
    <m/>
    <n v="0.1"/>
    <n v="10732.168"/>
    <m/>
    <m/>
    <x v="3"/>
    <n v="13349.333512522921"/>
    <m/>
    <d v="2026-04-23T00:00:00"/>
    <m/>
  </r>
  <r>
    <n v="4"/>
    <x v="4"/>
    <s v="Handover Document Complete"/>
    <m/>
    <n v="0.05"/>
    <n v="5366.0839999999998"/>
    <m/>
    <m/>
    <x v="3"/>
    <n v="6674.6667562614603"/>
    <m/>
    <d v="2026-04-23T00:00:00"/>
    <m/>
  </r>
  <r>
    <n v="4"/>
    <x v="4"/>
    <s v="End of Defects Period"/>
    <m/>
    <n v="0.05"/>
    <n v="5366.0839999999998"/>
    <m/>
    <m/>
    <x v="4"/>
    <n v="6674.6667562614603"/>
    <m/>
    <d v="2026-05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07T00:00:00"/>
    <m/>
  </r>
  <r>
    <n v="6"/>
    <x v="6"/>
    <s v="Site Establishment"/>
    <m/>
    <n v="0.15"/>
    <n v="24189.813913043548"/>
    <m/>
    <m/>
    <x v="1"/>
    <n v="31102.247423725014"/>
    <m/>
    <d v="2026-03-07T00:00:00"/>
    <m/>
  </r>
  <r>
    <n v="6"/>
    <x v="6"/>
    <s v="AC Installation Complete"/>
    <m/>
    <n v="0.2"/>
    <n v="32253.085217391399"/>
    <m/>
    <m/>
    <x v="3"/>
    <n v="41469.663231633356"/>
    <m/>
    <d v="2026-04-06T00:00:00"/>
    <m/>
  </r>
  <r>
    <n v="6"/>
    <x v="6"/>
    <s v="DC Installation Complete"/>
    <m/>
    <n v="0.25"/>
    <n v="40316.356521739246"/>
    <m/>
    <m/>
    <x v="1"/>
    <n v="51837.079039541684"/>
    <m/>
    <d v="2026-03-31T00:00:00"/>
    <m/>
  </r>
  <r>
    <n v="6"/>
    <x v="6"/>
    <s v="Commissioning Complete"/>
    <m/>
    <n v="0.1"/>
    <n v="16126.5426086957"/>
    <m/>
    <m/>
    <x v="3"/>
    <n v="20734.831615816678"/>
    <m/>
    <d v="2026-04-22T00:00:00"/>
    <m/>
  </r>
  <r>
    <n v="6"/>
    <x v="6"/>
    <s v="Site De-establisment"/>
    <m/>
    <n v="0.1"/>
    <n v="16126.5426086957"/>
    <m/>
    <m/>
    <x v="3"/>
    <n v="20734.831615816678"/>
    <m/>
    <d v="2026-04-23T00:00:00"/>
    <m/>
  </r>
  <r>
    <n v="6"/>
    <x v="6"/>
    <s v="Handover Document Complete"/>
    <m/>
    <n v="0.05"/>
    <n v="8063.2713043478498"/>
    <m/>
    <m/>
    <x v="3"/>
    <n v="10367.415807908339"/>
    <m/>
    <d v="2026-04-23T00:00:00"/>
    <m/>
  </r>
  <r>
    <n v="6"/>
    <x v="6"/>
    <s v="End of Defects Period"/>
    <m/>
    <n v="0.05"/>
    <n v="8063.2713043478498"/>
    <m/>
    <m/>
    <x v="4"/>
    <n v="10367.415807908339"/>
    <m/>
    <d v="2026-05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n v="428259.99999999994"/>
    <m/>
    <m/>
    <x v="1"/>
    <n v="579140.49794104393"/>
    <n v="0"/>
    <d v="2026-04-30T00:00:00"/>
    <n v="446452.99999999994"/>
  </r>
  <r>
    <n v="7"/>
    <x v="7"/>
    <s v="Sungrow SBH Battery Parallel box + Acessory Box"/>
    <m/>
    <m/>
    <n v="18193"/>
    <m/>
    <m/>
    <x v="1"/>
    <n v="24602.585062909013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07T00:00:00"/>
    <m/>
  </r>
  <r>
    <n v="9"/>
    <x v="9"/>
    <s v="Site Establishment"/>
    <m/>
    <n v="0.15"/>
    <n v="51544.2"/>
    <m/>
    <m/>
    <x v="1"/>
    <n v="55613.333333333321"/>
    <m/>
    <d v="2026-03-07T00:00:00"/>
    <m/>
  </r>
  <r>
    <n v="9"/>
    <x v="9"/>
    <s v="AC Installation Complete"/>
    <m/>
    <n v="0.2"/>
    <n v="68725.600000000006"/>
    <m/>
    <m/>
    <x v="3"/>
    <n v="74151.111111111109"/>
    <m/>
    <d v="2026-04-06T00:00:00"/>
    <m/>
  </r>
  <r>
    <n v="9"/>
    <x v="9"/>
    <s v="DC Installation Complete"/>
    <m/>
    <n v="0.25"/>
    <n v="85907"/>
    <m/>
    <m/>
    <x v="1"/>
    <n v="92688.888888888876"/>
    <m/>
    <d v="2026-03-31T00:00:00"/>
    <m/>
  </r>
  <r>
    <n v="9"/>
    <x v="9"/>
    <s v="Commissioning Complete"/>
    <m/>
    <n v="0.1"/>
    <n v="34362.800000000003"/>
    <m/>
    <m/>
    <x v="3"/>
    <n v="37075.555555555555"/>
    <m/>
    <d v="2026-04-22T00:00:00"/>
    <m/>
  </r>
  <r>
    <n v="9"/>
    <x v="9"/>
    <s v="Site De-establisment"/>
    <m/>
    <n v="0.1"/>
    <n v="34362.800000000003"/>
    <m/>
    <m/>
    <x v="3"/>
    <n v="37075.555555555555"/>
    <m/>
    <d v="2026-04-23T00:00:00"/>
    <m/>
  </r>
  <r>
    <n v="9"/>
    <x v="9"/>
    <s v="Handover Document Complete"/>
    <m/>
    <n v="0.05"/>
    <n v="17181.400000000001"/>
    <m/>
    <m/>
    <x v="3"/>
    <n v="18537.777777777777"/>
    <m/>
    <d v="2026-04-23T00:00:00"/>
    <m/>
  </r>
  <r>
    <n v="9"/>
    <x v="9"/>
    <s v="End of Defects Period"/>
    <m/>
    <n v="0.05"/>
    <n v="17181.400000000001"/>
    <m/>
    <m/>
    <x v="4"/>
    <n v="18537.777777777777"/>
    <m/>
    <d v="2026-05-1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5"/>
    <n v="28886.749330151546"/>
    <n v="0"/>
    <d v="2026-02-28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07T00:00:00"/>
    <m/>
  </r>
  <r>
    <n v="10"/>
    <x v="10"/>
    <s v="Site Establishment"/>
    <m/>
    <n v="0.15"/>
    <n v="3215.1816666666664"/>
    <m/>
    <m/>
    <x v="1"/>
    <n v="3869.839452329119"/>
    <m/>
    <d v="2026-03-07T00:00:00"/>
    <m/>
  </r>
  <r>
    <n v="10"/>
    <x v="10"/>
    <s v="AC Installation Complete"/>
    <m/>
    <n v="0.2"/>
    <n v="4286.9088888888891"/>
    <m/>
    <m/>
    <x v="3"/>
    <n v="5159.785936438826"/>
    <m/>
    <d v="2026-04-06T00:00:00"/>
    <m/>
  </r>
  <r>
    <n v="10"/>
    <x v="10"/>
    <s v="DC Installation Complete"/>
    <m/>
    <n v="0.25"/>
    <n v="5358.6361111111109"/>
    <m/>
    <m/>
    <x v="1"/>
    <n v="6449.732420548532"/>
    <m/>
    <d v="2026-03-31T00:00:00"/>
    <m/>
  </r>
  <r>
    <n v="10"/>
    <x v="10"/>
    <s v="Commissioning Complete"/>
    <m/>
    <n v="0.1"/>
    <n v="2143.4544444444446"/>
    <m/>
    <m/>
    <x v="3"/>
    <n v="2579.892968219413"/>
    <m/>
    <d v="2026-04-22T00:00:00"/>
    <m/>
  </r>
  <r>
    <n v="10"/>
    <x v="10"/>
    <s v="Site De-establisment"/>
    <m/>
    <n v="0.1"/>
    <n v="2143.4544444444446"/>
    <m/>
    <m/>
    <x v="3"/>
    <n v="2579.892968219413"/>
    <m/>
    <d v="2026-04-23T00:00:00"/>
    <m/>
  </r>
  <r>
    <n v="10"/>
    <x v="10"/>
    <s v="Handover Document Complete"/>
    <m/>
    <n v="0.05"/>
    <n v="1071.7272222222223"/>
    <m/>
    <m/>
    <x v="3"/>
    <n v="1289.9464841097065"/>
    <m/>
    <d v="2026-04-23T00:00:00"/>
    <m/>
  </r>
  <r>
    <n v="10"/>
    <x v="10"/>
    <s v="End of Defects Period"/>
    <m/>
    <n v="0.05"/>
    <n v="1071.7272222222223"/>
    <m/>
    <m/>
    <x v="4"/>
    <n v="1289.9464841097065"/>
    <m/>
    <d v="2026-05-1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9430.357278490257"/>
    <n v="0"/>
    <d v="2026-04-29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5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0</v>
      </c>
      <c r="C2" s="643"/>
      <c r="D2" s="643"/>
      <c r="E2" s="643"/>
      <c r="H2" s="644" t="s">
        <v>1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3</v>
      </c>
      <c r="C5" s="617" t="s">
        <v>4</v>
      </c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7</v>
      </c>
      <c r="C7" s="617" t="s">
        <v>8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5"/>
      <c r="H8" s="647"/>
      <c r="I8" s="648"/>
      <c r="J8" s="648"/>
      <c r="K8" s="648"/>
      <c r="L8" s="648"/>
      <c r="M8" s="648"/>
      <c r="N8" s="648"/>
      <c r="O8" s="649"/>
    </row>
    <row r="9" spans="2:15">
      <c r="B9" s="653" t="s">
        <v>9</v>
      </c>
      <c r="C9" s="653"/>
      <c r="D9" s="653"/>
      <c r="E9" s="653"/>
      <c r="H9" s="647"/>
      <c r="I9" s="648"/>
      <c r="J9" s="648"/>
      <c r="K9" s="648"/>
      <c r="L9" s="648"/>
      <c r="M9" s="648"/>
      <c r="N9" s="648"/>
      <c r="O9" s="649"/>
    </row>
    <row r="10" spans="2:15" ht="15" thickBot="1">
      <c r="B10" s="653" t="s">
        <v>10</v>
      </c>
      <c r="C10" s="653"/>
      <c r="D10" s="653"/>
      <c r="E10" s="653"/>
      <c r="H10" s="650"/>
      <c r="I10" s="651"/>
      <c r="J10" s="651"/>
      <c r="K10" s="651"/>
      <c r="L10" s="651"/>
      <c r="M10" s="651"/>
      <c r="N10" s="651"/>
      <c r="O10" s="652"/>
    </row>
    <row r="11" spans="2:15">
      <c r="B11" s="618" t="s">
        <v>11</v>
      </c>
      <c r="C11" s="641"/>
      <c r="D11" s="641"/>
      <c r="E11" s="641"/>
    </row>
    <row r="12" spans="2:15">
      <c r="B12" s="618" t="s">
        <v>12</v>
      </c>
      <c r="C12" s="641"/>
      <c r="D12" s="641"/>
      <c r="E12" s="641"/>
    </row>
    <row r="13" spans="2:15">
      <c r="B13" s="618" t="s">
        <v>13</v>
      </c>
      <c r="C13" s="641"/>
      <c r="D13" s="641"/>
      <c r="E13" s="641"/>
    </row>
    <row r="14" spans="2:15">
      <c r="B14" s="618" t="s">
        <v>14</v>
      </c>
      <c r="C14" s="641"/>
      <c r="D14" s="641"/>
      <c r="E14" s="641"/>
    </row>
    <row r="15" spans="2:15">
      <c r="B15" s="618" t="s">
        <v>15</v>
      </c>
      <c r="C15" s="641"/>
      <c r="D15" s="641"/>
      <c r="E15" s="641"/>
    </row>
    <row r="16" spans="2:15" ht="15" customHeight="1">
      <c r="B16" s="618" t="s">
        <v>16</v>
      </c>
      <c r="C16" s="641"/>
      <c r="D16" s="641"/>
      <c r="E16" s="641"/>
    </row>
    <row r="17" spans="2:5">
      <c r="B17" s="615"/>
    </row>
    <row r="18" spans="2:5">
      <c r="B18" s="642" t="s">
        <v>17</v>
      </c>
      <c r="C18" s="642"/>
      <c r="D18" s="642"/>
      <c r="E18" s="64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22</v>
      </c>
      <c r="C2" s="643"/>
      <c r="D2" s="643"/>
      <c r="E2" s="643"/>
      <c r="H2" s="644" t="s">
        <v>23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24</v>
      </c>
      <c r="C5" s="617"/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25</v>
      </c>
      <c r="C7" s="617" t="str">
        <f>'Project Plan'!E5</f>
        <v>Eon Van Rensburg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6" t="s">
        <v>26</v>
      </c>
      <c r="C8" s="617"/>
      <c r="H8" s="647"/>
      <c r="I8" s="648"/>
      <c r="J8" s="648"/>
      <c r="K8" s="648"/>
      <c r="L8" s="648"/>
      <c r="M8" s="648"/>
      <c r="N8" s="648"/>
      <c r="O8" s="649"/>
    </row>
    <row r="9" spans="2:15">
      <c r="B9" s="615"/>
      <c r="H9" s="647"/>
      <c r="I9" s="648"/>
      <c r="J9" s="648"/>
      <c r="K9" s="648"/>
      <c r="L9" s="648"/>
      <c r="M9" s="648"/>
      <c r="N9" s="648"/>
      <c r="O9" s="649"/>
    </row>
    <row r="10" spans="2:15">
      <c r="B10" s="653" t="s">
        <v>9</v>
      </c>
      <c r="C10" s="653"/>
      <c r="D10" s="653"/>
      <c r="E10" s="653"/>
      <c r="H10" s="647"/>
      <c r="I10" s="648"/>
      <c r="J10" s="648"/>
      <c r="K10" s="648"/>
      <c r="L10" s="648"/>
      <c r="M10" s="648"/>
      <c r="N10" s="648"/>
      <c r="O10" s="649"/>
    </row>
    <row r="11" spans="2:15" ht="15" thickBot="1">
      <c r="B11" s="653" t="s">
        <v>10</v>
      </c>
      <c r="C11" s="653"/>
      <c r="D11" s="653"/>
      <c r="E11" s="653"/>
      <c r="H11" s="650"/>
      <c r="I11" s="651"/>
      <c r="J11" s="651"/>
      <c r="K11" s="651"/>
      <c r="L11" s="651"/>
      <c r="M11" s="651"/>
      <c r="N11" s="651"/>
      <c r="O11" s="652"/>
    </row>
    <row r="12" spans="2:15" ht="25">
      <c r="B12" s="618" t="s">
        <v>27</v>
      </c>
      <c r="C12" s="641"/>
      <c r="D12" s="641"/>
      <c r="E12" s="641"/>
    </row>
    <row r="13" spans="2:15">
      <c r="B13" s="618" t="s">
        <v>28</v>
      </c>
      <c r="C13" s="641"/>
      <c r="D13" s="641"/>
      <c r="E13" s="641"/>
    </row>
    <row r="14" spans="2:15">
      <c r="B14" s="618" t="s">
        <v>29</v>
      </c>
      <c r="C14" s="641"/>
      <c r="D14" s="641"/>
      <c r="E14" s="641"/>
    </row>
    <row r="15" spans="2:15">
      <c r="B15" s="618" t="s">
        <v>30</v>
      </c>
      <c r="C15" s="641"/>
      <c r="D15" s="641"/>
      <c r="E15" s="641"/>
    </row>
    <row r="16" spans="2:15" ht="25">
      <c r="B16" s="618" t="s">
        <v>31</v>
      </c>
      <c r="C16" s="641"/>
      <c r="D16" s="641"/>
      <c r="E16" s="641"/>
    </row>
    <row r="17" spans="2:5">
      <c r="B17" s="618" t="s">
        <v>32</v>
      </c>
      <c r="C17" s="641"/>
      <c r="D17" s="641"/>
      <c r="E17" s="641"/>
    </row>
    <row r="18" spans="2:5">
      <c r="B18" s="618" t="s">
        <v>33</v>
      </c>
      <c r="C18" s="641"/>
      <c r="D18" s="641"/>
      <c r="E18" s="641"/>
    </row>
    <row r="19" spans="2:5">
      <c r="B19" s="618" t="s">
        <v>34</v>
      </c>
      <c r="C19" s="641"/>
      <c r="D19" s="641"/>
      <c r="E19" s="641"/>
    </row>
    <row r="20" spans="2:5">
      <c r="B20" s="618" t="s">
        <v>35</v>
      </c>
      <c r="C20" s="641"/>
      <c r="D20" s="641"/>
      <c r="E20" s="641"/>
    </row>
    <row r="21" spans="2:5">
      <c r="B21" s="618" t="s">
        <v>36</v>
      </c>
      <c r="C21" s="641"/>
      <c r="D21" s="641"/>
      <c r="E21" s="641"/>
    </row>
    <row r="22" spans="2:5" ht="15" customHeight="1">
      <c r="B22" s="618" t="s">
        <v>16</v>
      </c>
      <c r="C22" s="641"/>
      <c r="D22" s="641"/>
      <c r="E22" s="641"/>
    </row>
    <row r="23" spans="2:5">
      <c r="B23" s="615"/>
    </row>
    <row r="24" spans="2:5">
      <c r="B24" s="642" t="s">
        <v>17</v>
      </c>
      <c r="C24" s="642"/>
      <c r="D24" s="642"/>
      <c r="E24" s="64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6"/>
      <c r="C1" s="657"/>
      <c r="D1" s="657"/>
      <c r="E1" s="657"/>
      <c r="F1" s="654" t="s">
        <v>37</v>
      </c>
      <c r="G1" s="654"/>
      <c r="H1" s="654"/>
      <c r="I1" s="654"/>
      <c r="J1" s="654"/>
      <c r="K1" s="655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8" t="s">
        <v>102</v>
      </c>
      <c r="C2" s="659"/>
      <c r="D2" s="659"/>
      <c r="E2" s="659"/>
      <c r="F2" s="66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8" t="s">
        <v>111</v>
      </c>
      <c r="C16" s="659"/>
      <c r="D16" s="659"/>
      <c r="E16" s="659"/>
      <c r="F16" s="66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61" t="s">
        <v>157</v>
      </c>
      <c r="J2" s="662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61" t="s">
        <v>161</v>
      </c>
      <c r="J4" s="662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165</v>
      </c>
      <c r="D8" s="126"/>
      <c r="E8" s="667" t="s">
        <v>166</v>
      </c>
      <c r="F8" s="148" t="s">
        <v>167</v>
      </c>
      <c r="G8" s="667" t="s">
        <v>168</v>
      </c>
      <c r="H8" s="149"/>
      <c r="I8" s="667" t="s">
        <v>169</v>
      </c>
      <c r="J8" s="148" t="s">
        <v>167</v>
      </c>
      <c r="K8" s="667" t="s">
        <v>170</v>
      </c>
      <c r="M8" s="584" t="s">
        <v>44</v>
      </c>
      <c r="N8" s="585" t="s">
        <v>171</v>
      </c>
      <c r="O8" s="663" t="s">
        <v>172</v>
      </c>
      <c r="Z8" s="26"/>
      <c r="AA8" s="26"/>
      <c r="AB8" s="26"/>
    </row>
    <row r="9" spans="2:28">
      <c r="B9" s="665"/>
      <c r="C9" s="666"/>
      <c r="D9" s="126"/>
      <c r="E9" s="667"/>
      <c r="F9" s="40">
        <f>G43-E20</f>
        <v>46</v>
      </c>
      <c r="G9" s="667"/>
      <c r="H9" s="149"/>
      <c r="I9" s="667"/>
      <c r="J9" s="41">
        <f>K43-I20</f>
        <v>50</v>
      </c>
      <c r="K9" s="667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4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37" t="s">
        <v>139</v>
      </c>
      <c r="D13" s="638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448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37" t="s">
        <v>140</v>
      </c>
      <c r="D14" s="638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37" t="s">
        <v>141</v>
      </c>
      <c r="D15" s="638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39" t="s">
        <v>428</v>
      </c>
      <c r="D16" s="640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39" t="s">
        <v>429</v>
      </c>
      <c r="D17" s="640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39" t="s">
        <v>430</v>
      </c>
      <c r="D18" s="640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39" t="s">
        <v>431</v>
      </c>
      <c r="D19" s="640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39" t="s">
        <v>432</v>
      </c>
      <c r="D20" s="64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39" t="s">
        <v>143</v>
      </c>
      <c r="D21" s="64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39" t="s">
        <v>143</v>
      </c>
      <c r="D22" s="64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39" t="s">
        <v>143</v>
      </c>
      <c r="D23" s="64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37" t="s">
        <v>143</v>
      </c>
      <c r="D24" s="63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N1" zoomScale="76" zoomScaleNormal="85" workbookViewId="0">
      <pane ySplit="4" topLeftCell="A5" activePane="bottomLeft" state="frozen"/>
      <selection activeCell="X33" sqref="X33"/>
      <selection pane="bottomLeft" activeCell="Q9" sqref="Q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237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238</v>
      </c>
      <c r="M2" s="673"/>
      <c r="N2" s="673"/>
      <c r="O2" s="673"/>
      <c r="P2" s="673"/>
      <c r="Q2" s="673"/>
      <c r="R2" s="680" t="s">
        <v>239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46163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f>T6</f>
        <v>46112</v>
      </c>
      <c r="U14" s="401">
        <f t="shared" si="2"/>
        <v>203998.44813996466</v>
      </c>
      <c r="V14" s="693"/>
      <c r="W14" s="458">
        <f>T14+30</f>
        <v>46142</v>
      </c>
      <c r="X14" s="684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3850.7039724401634</v>
      </c>
      <c r="V15" s="693"/>
      <c r="W15" s="458">
        <f>W14</f>
        <v>46142</v>
      </c>
      <c r="X15" s="684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46142</v>
      </c>
      <c r="U17" s="401">
        <f t="shared" si="2"/>
        <v>41114.262521741504</v>
      </c>
      <c r="V17" s="693"/>
      <c r="W17" s="458">
        <f>W15</f>
        <v>46142</v>
      </c>
      <c r="X17" s="684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46142</v>
      </c>
      <c r="X21" s="674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46142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46112</v>
      </c>
      <c r="U32" s="401">
        <f t="shared" si="4"/>
        <v>13349.333512522921</v>
      </c>
      <c r="V32" s="693"/>
      <c r="W32" s="458">
        <f>W96</f>
        <v>46110</v>
      </c>
      <c r="X32" s="684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46112</v>
      </c>
      <c r="U33" s="401">
        <f t="shared" si="4"/>
        <v>20024.000268784381</v>
      </c>
      <c r="V33" s="693"/>
      <c r="W33" s="458">
        <f t="shared" ref="W33:W39" si="9">W97</f>
        <v>46110</v>
      </c>
      <c r="X33" s="684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46141</v>
      </c>
      <c r="X34" s="684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46142</v>
      </c>
      <c r="U35" s="401">
        <f t="shared" si="4"/>
        <v>33373.333781307301</v>
      </c>
      <c r="V35" s="693"/>
      <c r="W35" s="458">
        <f t="shared" si="9"/>
        <v>46135</v>
      </c>
      <c r="X35" s="684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46173</v>
      </c>
      <c r="U36" s="401">
        <f t="shared" si="4"/>
        <v>13349.333512522921</v>
      </c>
      <c r="V36" s="693"/>
      <c r="W36" s="458">
        <f t="shared" si="9"/>
        <v>46160</v>
      </c>
      <c r="X36" s="684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46173</v>
      </c>
      <c r="U37" s="401">
        <f t="shared" si="4"/>
        <v>13349.333512522921</v>
      </c>
      <c r="V37" s="693"/>
      <c r="W37" s="458">
        <f t="shared" si="9"/>
        <v>46161</v>
      </c>
      <c r="X37" s="684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46173</v>
      </c>
      <c r="U38" s="401">
        <f t="shared" si="4"/>
        <v>6674.6667562614603</v>
      </c>
      <c r="V38" s="693"/>
      <c r="W38" s="458">
        <f t="shared" si="9"/>
        <v>46161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46203</v>
      </c>
      <c r="U39" s="401">
        <f t="shared" si="4"/>
        <v>6674.6667562614603</v>
      </c>
      <c r="V39" s="693"/>
      <c r="W39" s="458">
        <f t="shared" si="9"/>
        <v>46184</v>
      </c>
      <c r="X39" s="684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90"/>
      <c r="W47" s="453">
        <f>T47+30</f>
        <v>46142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90"/>
      <c r="W48" s="453">
        <f>T48+30</f>
        <v>46142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693"/>
      <c r="W53" s="458">
        <f>T53+30</f>
        <v>46142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693"/>
      <c r="W55" s="458">
        <f>W53</f>
        <v>46142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46112</v>
      </c>
      <c r="U58" s="401">
        <f t="shared" si="11"/>
        <v>20734.831615816678</v>
      </c>
      <c r="V58" s="693"/>
      <c r="W58" s="458">
        <f>W96</f>
        <v>46110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46112</v>
      </c>
      <c r="U59" s="401">
        <f t="shared" si="11"/>
        <v>31102.247423725014</v>
      </c>
      <c r="V59" s="693"/>
      <c r="W59" s="458">
        <f t="shared" ref="W59:W65" si="13">W97</f>
        <v>46110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46141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46142</v>
      </c>
      <c r="U61" s="401">
        <f t="shared" si="11"/>
        <v>51837.079039541684</v>
      </c>
      <c r="V61" s="693"/>
      <c r="W61" s="458">
        <f t="shared" si="13"/>
        <v>46135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46173</v>
      </c>
      <c r="U62" s="401">
        <f t="shared" si="11"/>
        <v>20734.831615816678</v>
      </c>
      <c r="V62" s="693"/>
      <c r="W62" s="458">
        <f t="shared" si="13"/>
        <v>46160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46173</v>
      </c>
      <c r="U63" s="406">
        <f t="shared" si="11"/>
        <v>20734.831615816678</v>
      </c>
      <c r="V63" s="693"/>
      <c r="W63" s="458">
        <f t="shared" si="13"/>
        <v>46161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46173</v>
      </c>
      <c r="U64" s="406">
        <f t="shared" si="11"/>
        <v>10367.415807908339</v>
      </c>
      <c r="V64" s="693"/>
      <c r="W64" s="458">
        <f t="shared" si="13"/>
        <v>46161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46203</v>
      </c>
      <c r="U65" s="406">
        <f t="shared" si="11"/>
        <v>10367.415807908339</v>
      </c>
      <c r="V65" s="693"/>
      <c r="W65" s="458">
        <f t="shared" si="13"/>
        <v>46184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f>T6</f>
        <v>46112</v>
      </c>
      <c r="U70" s="524">
        <f>(Q70/$X$70*$J$70)</f>
        <v>579140.49794104393</v>
      </c>
      <c r="V70" s="695">
        <f>J70-SUM(U70:U77)</f>
        <v>0</v>
      </c>
      <c r="W70" s="463">
        <f>T70+30</f>
        <v>46142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f>T70</f>
        <v>46112</v>
      </c>
      <c r="U71" s="397">
        <f t="shared" ref="U71:U77" si="14">(Q71/$X$70*$J$70)</f>
        <v>24602.585062909013</v>
      </c>
      <c r="V71" s="696"/>
      <c r="W71" s="454">
        <f>T71+30</f>
        <v>46142</v>
      </c>
      <c r="X71" s="675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13">
        <f>J79-SUM(U79:U93)</f>
        <v>0</v>
      </c>
      <c r="W79" s="457">
        <f>T79+30</f>
        <v>46142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46112</v>
      </c>
      <c r="U96" s="397">
        <f t="shared" si="20"/>
        <v>37075.555555555555</v>
      </c>
      <c r="V96" s="690"/>
      <c r="W96" s="453">
        <f>'Project Plan'!I20+7</f>
        <v>46110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46112</v>
      </c>
      <c r="U97" s="397">
        <f t="shared" si="20"/>
        <v>55613.333333333321</v>
      </c>
      <c r="V97" s="690"/>
      <c r="W97" s="454">
        <f>'Project Plan'!I20+7</f>
        <v>46110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46141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46142</v>
      </c>
      <c r="U99" s="397">
        <f t="shared" si="20"/>
        <v>92688.888888888876</v>
      </c>
      <c r="V99" s="690"/>
      <c r="W99" s="454">
        <f>'Project Plan'!K32+7</f>
        <v>46135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46173</v>
      </c>
      <c r="U100" s="397">
        <f t="shared" si="20"/>
        <v>37075.555555555555</v>
      </c>
      <c r="V100" s="690"/>
      <c r="W100" s="454">
        <f>'Project Plan'!K43+7</f>
        <v>46160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46173</v>
      </c>
      <c r="U101" s="397">
        <f t="shared" si="20"/>
        <v>37075.555555555555</v>
      </c>
      <c r="V101" s="690"/>
      <c r="W101" s="454">
        <f>'Project Plan'!K50+7</f>
        <v>46161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46173</v>
      </c>
      <c r="U102" s="397">
        <f t="shared" si="20"/>
        <v>18537.777777777777</v>
      </c>
      <c r="V102" s="690"/>
      <c r="W102" s="454">
        <f>'Project Plan'!K50+7</f>
        <v>46161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46203</v>
      </c>
      <c r="U103" s="397">
        <f t="shared" si="20"/>
        <v>18537.777777777777</v>
      </c>
      <c r="V103" s="690"/>
      <c r="W103" s="454">
        <f>'Project Plan'!K50+30</f>
        <v>46184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46112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46112</v>
      </c>
      <c r="U112" s="409">
        <f t="shared" si="22"/>
        <v>2579.892968219413</v>
      </c>
      <c r="V112" s="711"/>
      <c r="W112" s="466">
        <f>W96</f>
        <v>46110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46112</v>
      </c>
      <c r="U113" s="409">
        <f t="shared" si="22"/>
        <v>3869.839452329119</v>
      </c>
      <c r="V113" s="711"/>
      <c r="W113" s="466">
        <f t="shared" ref="W113:W119" si="25">W97</f>
        <v>46110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46141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46142</v>
      </c>
      <c r="U115" s="409">
        <f t="shared" si="22"/>
        <v>6449.732420548532</v>
      </c>
      <c r="V115" s="711"/>
      <c r="W115" s="466">
        <f t="shared" si="25"/>
        <v>46135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46173</v>
      </c>
      <c r="U116" s="409">
        <f t="shared" si="22"/>
        <v>2579.892968219413</v>
      </c>
      <c r="V116" s="711"/>
      <c r="W116" s="466">
        <f t="shared" si="25"/>
        <v>46160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46173</v>
      </c>
      <c r="U117" s="409">
        <f t="shared" si="22"/>
        <v>2579.892968219413</v>
      </c>
      <c r="V117" s="711"/>
      <c r="W117" s="466">
        <f t="shared" si="25"/>
        <v>46161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46173</v>
      </c>
      <c r="U118" s="409">
        <f t="shared" si="22"/>
        <v>1289.9464841097065</v>
      </c>
      <c r="V118" s="711"/>
      <c r="W118" s="466">
        <f t="shared" si="25"/>
        <v>46161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46203</v>
      </c>
      <c r="U119" s="409">
        <f t="shared" si="22"/>
        <v>1289.9464841097065</v>
      </c>
      <c r="V119" s="711"/>
      <c r="W119" s="466">
        <f t="shared" si="25"/>
        <v>46184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46167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46088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711"/>
      <c r="W141" s="466">
        <f>T141+7</f>
        <v>46119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711"/>
      <c r="W142" s="466">
        <f>T142+7</f>
        <v>46149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711"/>
      <c r="W143" s="466">
        <f>T143+7</f>
        <v>46180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1647842.7428508946</v>
      </c>
      <c r="M10" s="122">
        <f t="shared" si="21"/>
        <v>1647842.7428508946</v>
      </c>
      <c r="N10" s="122">
        <f t="shared" si="21"/>
        <v>1647842.7428508946</v>
      </c>
      <c r="O10" s="122">
        <f t="shared" si="21"/>
        <v>1647842.7428508946</v>
      </c>
      <c r="P10" s="122">
        <f t="shared" si="21"/>
        <v>2471764.1142763421</v>
      </c>
      <c r="Q10" s="122">
        <f t="shared" si="21"/>
        <v>3089705.1428454276</v>
      </c>
      <c r="R10" s="122">
        <f t="shared" si="21"/>
        <v>3089705.1428454276</v>
      </c>
      <c r="S10" s="122">
        <f t="shared" si="21"/>
        <v>3089705.1428454276</v>
      </c>
      <c r="T10" s="122">
        <f t="shared" si="21"/>
        <v>3089705.1428454276</v>
      </c>
      <c r="U10" s="122">
        <f t="shared" si="21"/>
        <v>4737547.8856963217</v>
      </c>
      <c r="V10" s="122">
        <f t="shared" si="21"/>
        <v>4840538.057124503</v>
      </c>
      <c r="W10" s="122">
        <f t="shared" si="21"/>
        <v>4840538.057124503</v>
      </c>
      <c r="X10" s="122">
        <f t="shared" si="21"/>
        <v>4840538.057124503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1476739.4801062802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12577.5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48000</v>
      </c>
      <c r="M12" s="125">
        <f t="shared" si="26"/>
        <v>49400</v>
      </c>
      <c r="N12" s="125">
        <f t="shared" si="26"/>
        <v>49400</v>
      </c>
      <c r="O12" s="125">
        <f t="shared" si="26"/>
        <v>110400</v>
      </c>
      <c r="P12" s="125">
        <f t="shared" si="26"/>
        <v>268812.41263285035</v>
      </c>
      <c r="Q12" s="125">
        <f t="shared" si="26"/>
        <v>471307.49834694079</v>
      </c>
      <c r="R12" s="125">
        <f t="shared" si="26"/>
        <v>472707.49834694079</v>
      </c>
      <c r="S12" s="125">
        <f t="shared" si="26"/>
        <v>472707.49834694079</v>
      </c>
      <c r="T12" s="125">
        <f t="shared" si="26"/>
        <v>631119.9109797912</v>
      </c>
      <c r="U12" s="125">
        <f t="shared" si="26"/>
        <v>2107859.3910860713</v>
      </c>
      <c r="V12" s="125">
        <f t="shared" si="26"/>
        <v>2109259.3910860713</v>
      </c>
      <c r="W12" s="125">
        <f t="shared" si="26"/>
        <v>2109259.3910860713</v>
      </c>
      <c r="X12" s="125">
        <f t="shared" si="26"/>
        <v>3254671.8037189217</v>
      </c>
      <c r="Y12" s="125">
        <f t="shared" si="26"/>
        <v>3267249.3037189217</v>
      </c>
      <c r="Z12" s="125">
        <f t="shared" si="26"/>
        <v>3268649.3037189217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1599842.7428508946</v>
      </c>
      <c r="M14" s="118">
        <f t="shared" si="32"/>
        <v>1598442.7428508946</v>
      </c>
      <c r="N14" s="118">
        <f t="shared" si="32"/>
        <v>1598442.7428508946</v>
      </c>
      <c r="O14" s="118">
        <f t="shared" si="32"/>
        <v>1537442.7428508946</v>
      </c>
      <c r="P14" s="118">
        <f t="shared" si="32"/>
        <v>2202951.7016434916</v>
      </c>
      <c r="Q14" s="118">
        <f t="shared" si="32"/>
        <v>2618397.644498487</v>
      </c>
      <c r="R14" s="118">
        <f t="shared" si="32"/>
        <v>2616997.644498487</v>
      </c>
      <c r="S14" s="118">
        <f t="shared" si="32"/>
        <v>2616997.644498487</v>
      </c>
      <c r="T14" s="118">
        <f t="shared" si="32"/>
        <v>2458585.2318656365</v>
      </c>
      <c r="U14" s="118">
        <f t="shared" si="32"/>
        <v>2629688.4946102505</v>
      </c>
      <c r="V14" s="118">
        <f t="shared" si="32"/>
        <v>2731278.6660384317</v>
      </c>
      <c r="W14" s="118">
        <f t="shared" si="32"/>
        <v>2731278.6660384317</v>
      </c>
      <c r="X14" s="118">
        <f t="shared" si="32"/>
        <v>1585866.2534055812</v>
      </c>
      <c r="Y14" s="118">
        <f t="shared" si="32"/>
        <v>1882259.267690124</v>
      </c>
      <c r="Z14" s="118">
        <f t="shared" si="32"/>
        <v>1880859.267690124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3501348.468269479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374498.07951181254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3502904.0238250345</v>
      </c>
      <c r="R18" s="125">
        <f t="shared" si="37"/>
        <v>3502904.0238250345</v>
      </c>
      <c r="S18" s="125">
        <f t="shared" si="37"/>
        <v>3502904.0238250345</v>
      </c>
      <c r="T18" s="125">
        <f t="shared" si="37"/>
        <v>3502904.0238250345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4.81640625" style="269" bestFit="1" customWidth="1"/>
    <col min="2" max="2" width="14.81640625" style="270" bestFit="1" customWidth="1"/>
    <col min="3" max="3" width="5.90625" style="269" bestFit="1" customWidth="1"/>
    <col min="4" max="4" width="10.90625" style="269" bestFit="1" customWidth="1"/>
    <col min="5" max="5" width="13.453125" style="269" bestFit="1" customWidth="1"/>
    <col min="6" max="6" width="11.90625" style="269" bestFit="1" customWidth="1"/>
    <col min="7" max="7" width="10.90625" style="269" bestFit="1" customWidth="1"/>
    <col min="8" max="8" width="13.453125" style="269" bestFit="1" customWidth="1"/>
    <col min="9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>
        <v>1139692.5853658535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203998.44813996466</v>
      </c>
      <c r="F7" s="272">
        <v>44964.966494181666</v>
      </c>
      <c r="G7" s="272"/>
      <c r="H7" s="272">
        <v>248963.41463414632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>
        <v>230312.19512195123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206059.18609592188</v>
      </c>
      <c r="F9" s="272">
        <v>60072.000806353142</v>
      </c>
      <c r="G9" s="272">
        <v>6674.6667562614603</v>
      </c>
      <c r="H9" s="272">
        <v>272805.85365853645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>
        <v>212195.12195121951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400468.19080744905</v>
      </c>
      <c r="F11" s="272">
        <v>93306.742271175055</v>
      </c>
      <c r="G11" s="272">
        <v>10367.415807908339</v>
      </c>
      <c r="H11" s="272">
        <v>504142.34888653242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>
        <v>298830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185377.77777777775</v>
      </c>
      <c r="F13" s="272">
        <v>166840</v>
      </c>
      <c r="G13" s="272">
        <v>18537.777777777777</v>
      </c>
      <c r="H13" s="272">
        <v>370755.5555555555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>
        <v>28886.749330151546</v>
      </c>
      <c r="E14" s="272">
        <v>12899.464841097064</v>
      </c>
      <c r="F14" s="272">
        <v>11609.518356987359</v>
      </c>
      <c r="G14" s="272">
        <v>1289.9464841097065</v>
      </c>
      <c r="H14" s="272">
        <v>54685.679012345674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>
        <v>19430.357278490257</v>
      </c>
      <c r="G15" s="272"/>
      <c r="H15" s="272">
        <v>132204.44444444444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>
        <v>45054.353270476509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>
        <v>6222.2222222222226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>
        <v>0</v>
      </c>
      <c r="D20" s="272"/>
      <c r="E20" s="272">
        <v>603743.08300395298</v>
      </c>
      <c r="F20" s="272"/>
      <c r="G20" s="272"/>
      <c r="H20" s="272">
        <v>603743.08300395298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30442.304885707101</v>
      </c>
      <c r="E21" s="272">
        <v>3652960.0490971743</v>
      </c>
      <c r="F21" s="272">
        <v>397779.14076274302</v>
      </c>
      <c r="G21" s="272">
        <v>38425.362381612838</v>
      </c>
      <c r="H21" s="272">
        <v>4119606.8571272367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4.81640625" style="308" bestFit="1" customWidth="1"/>
    <col min="3" max="3" width="5.90625" style="308" bestFit="1" customWidth="1"/>
    <col min="4" max="4" width="10.90625" style="308" bestFit="1" customWidth="1"/>
    <col min="5" max="5" width="13.453125" style="308" bestFit="1" customWidth="1"/>
    <col min="6" max="6" width="11.90625" style="308" bestFit="1" customWidth="1"/>
    <col min="7" max="7" width="10.90625" style="308" bestFit="1" customWidth="1"/>
    <col min="8" max="8" width="13.453125" style="308" bestFit="1" customWidth="1"/>
    <col min="9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>
        <v>987000.00000000012</v>
      </c>
      <c r="I6"/>
    </row>
    <row r="7" spans="1:9">
      <c r="A7" s="345" t="s">
        <v>261</v>
      </c>
      <c r="B7" s="347"/>
      <c r="C7" s="347"/>
      <c r="D7" s="347"/>
      <c r="E7" s="347">
        <v>206610</v>
      </c>
      <c r="F7" s="347">
        <v>45540.600000000006</v>
      </c>
      <c r="G7" s="347"/>
      <c r="H7" s="347">
        <v>252150.6</v>
      </c>
      <c r="I7"/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>
        <v>111074</v>
      </c>
      <c r="I8"/>
    </row>
    <row r="9" spans="1:9">
      <c r="A9" s="345" t="s">
        <v>279</v>
      </c>
      <c r="B9" s="347"/>
      <c r="C9" s="347"/>
      <c r="D9" s="347"/>
      <c r="E9" s="347">
        <v>165660.84000000003</v>
      </c>
      <c r="F9" s="347">
        <v>48294.756000000001</v>
      </c>
      <c r="G9" s="347">
        <v>5366.0839999999998</v>
      </c>
      <c r="H9" s="347">
        <v>219321.68000000002</v>
      </c>
      <c r="I9"/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>
        <v>156000</v>
      </c>
      <c r="I10"/>
    </row>
    <row r="11" spans="1:9">
      <c r="A11" s="345" t="s">
        <v>298</v>
      </c>
      <c r="B11" s="347"/>
      <c r="C11" s="347"/>
      <c r="D11" s="347"/>
      <c r="E11" s="347">
        <v>311464.6630434785</v>
      </c>
      <c r="F11" s="347">
        <v>72569.441739130649</v>
      </c>
      <c r="G11" s="347">
        <v>8063.2713043478498</v>
      </c>
      <c r="H11" s="347">
        <v>392097.376086957</v>
      </c>
      <c r="I11"/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>
        <v>204500</v>
      </c>
      <c r="I12"/>
    </row>
    <row r="13" spans="1:9">
      <c r="A13" s="345" t="s">
        <v>306</v>
      </c>
      <c r="B13" s="347"/>
      <c r="C13" s="347"/>
      <c r="D13" s="347"/>
      <c r="E13" s="347">
        <v>171814</v>
      </c>
      <c r="F13" s="347">
        <v>154632.6</v>
      </c>
      <c r="G13" s="347">
        <v>17181.400000000001</v>
      </c>
      <c r="H13" s="347">
        <v>343628</v>
      </c>
      <c r="I13"/>
    </row>
    <row r="14" spans="1:9">
      <c r="A14" s="345" t="s">
        <v>309</v>
      </c>
      <c r="B14" s="347"/>
      <c r="C14" s="347"/>
      <c r="D14" s="347">
        <v>24000</v>
      </c>
      <c r="E14" s="347">
        <v>10717.272222222222</v>
      </c>
      <c r="F14" s="347">
        <v>9645.5450000000001</v>
      </c>
      <c r="G14" s="347">
        <v>1071.7272222222223</v>
      </c>
      <c r="H14" s="347">
        <v>45434.544444444444</v>
      </c>
      <c r="I14"/>
    </row>
    <row r="15" spans="1:9">
      <c r="A15" s="345" t="s">
        <v>313</v>
      </c>
      <c r="B15" s="347"/>
      <c r="C15" s="347"/>
      <c r="D15" s="347"/>
      <c r="E15" s="347">
        <v>73000</v>
      </c>
      <c r="F15" s="347">
        <v>12577.5</v>
      </c>
      <c r="G15" s="347"/>
      <c r="H15" s="347">
        <v>85577.5</v>
      </c>
      <c r="I15"/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>
        <v>51495.085714090455</v>
      </c>
      <c r="I16"/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>
        <v>5600</v>
      </c>
      <c r="I17"/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300</v>
      </c>
      <c r="B20" s="347"/>
      <c r="C20" s="347"/>
      <c r="D20" s="347"/>
      <c r="E20" s="347">
        <v>446452.99999999994</v>
      </c>
      <c r="F20" s="347"/>
      <c r="G20" s="347"/>
      <c r="H20" s="347">
        <v>446452.99999999994</v>
      </c>
      <c r="I20"/>
    </row>
    <row r="21" spans="1:9">
      <c r="A21" s="345" t="s">
        <v>372</v>
      </c>
      <c r="B21" s="347">
        <v>0</v>
      </c>
      <c r="C21" s="347">
        <v>0</v>
      </c>
      <c r="D21" s="347">
        <v>25400</v>
      </c>
      <c r="E21" s="347">
        <v>2897188.8609797913</v>
      </c>
      <c r="F21" s="347">
        <v>344660.44273913064</v>
      </c>
      <c r="G21" s="347">
        <v>33082.482526570078</v>
      </c>
      <c r="H21" s="347">
        <v>3300331.7862454923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