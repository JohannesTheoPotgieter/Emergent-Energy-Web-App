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81" documentId="13_ncr:1_{E2999245-D0E5-4BF8-BAA5-58B74EAADB0C}" xr6:coauthVersionLast="47" xr6:coauthVersionMax="47" xr10:uidLastSave="{724F418C-E297-4A92-9E24-B7BAA95B646C}"/>
  <bookViews>
    <workbookView xWindow="-98" yWindow="-98" windowWidth="21795" windowHeight="12975" tabRatio="789" firstSheet="3" activeTab="7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8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6" i="18" l="1"/>
  <c r="Q214" i="18"/>
  <c r="X206" i="18" s="1"/>
  <c r="H23" i="3" s="1"/>
  <c r="F9" i="2"/>
  <c r="K23" i="13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W20" i="2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X19" i="2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G12" i="6" l="1"/>
  <c r="H12" i="6" s="1"/>
  <c r="I12" i="6" s="1"/>
  <c r="I14" i="6" s="1"/>
  <c r="V49" i="18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G14" i="6" l="1"/>
  <c r="V86" i="18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<sst xmlns="http://schemas.openxmlformats.org/spreadsheetml/2006/main" count="1087" uniqueCount="659">
  <si>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</si>
  <si>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</si>
  <si>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</si>
  <si>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</si>
  <si>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</si>
  <si>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</si>
  <si>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</si>
  <si>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</si>
  <si>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</si>
  <si>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</si>
  <si>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</si>
  <si>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</si>
  <si>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</si>
  <si>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</si>
  <si>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</si>
  <si>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</si>
  <si>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</si>
  <si>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</si>
  <si>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</si>
  <si>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</si>
  <si>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</si>
  <si>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</si>
  <si>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</si>
  <si>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</si>
  <si>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</si>
  <si>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</si>
  <si>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</si>
  <si>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</si>
  <si>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</si>
  <si>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</si>
  <si>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</si>
  <si>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</si>
  <si>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</si>
  <si>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</si>
  <si>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</si>
  <si>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</si>
  <si>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</si>
  <si>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</si>
  <si>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</si>
  <si>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</si>
  <si>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</si>
  <si>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</si>
  <si>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</si>
  <si>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</si>
  <si>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</si>
  <si>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</si>
  <si>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</si>
  <si>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</si>
  <si>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</si>
  <si>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</si>
  <si>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</si>
  <si>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</si>
  <si>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</si>
  <si>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</si>
  <si>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</si>
  <si>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</si>
  <si>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</si>
  <si>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</si>
  <si>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</si>
  <si>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</si>
  <si>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</si>
  <si>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</si>
  <si>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</si>
  <si>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</si>
  <si>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</si>
  <si>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</si>
  <si>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</si>
  <si>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</si>
  <si>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</si>
  <si>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</si>
  <si>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</si>
  <si>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</si>
  <si>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</si>
  <si>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</si>
  <si>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</si>
  <si>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</si>
  <si>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</si>
  <si>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</si>
  <si>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</si>
  <si>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</si>
  <si>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</si>
  <si>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</si>
  <si>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</si>
  <si>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</si>
  <si>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</si>
  <si>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</si>
  <si>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</si>
  <si>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</si>
  <si>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</si>
  <si>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</si>
  <si>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</si>
  <si>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</si>
  <si>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</si>
  <si>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</si>
  <si>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</si>
  <si>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</si>
  <si>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</si>
  <si>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</si>
  <si>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</si>
  <si>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</si>
  <si>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</si>
  <si>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</si>
  <si>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</si>
  <si>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</si>
  <si>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</si>
  <si>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</si>
  <si>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</si>
  <si>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</si>
  <si>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</si>
  <si>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</si>
  <si>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</si>
  <si>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</si>
  <si>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</si>
  <si>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</si>
  <si>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</si>
  <si>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</si>
  <si>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</si>
  <si>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</si>
  <si>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</si>
  <si>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</si>
  <si>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</si>
  <si>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</si>
  <si>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</si>
  <si>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</si>
  <si>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</si>
  <si>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</si>
  <si>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</si>
  <si>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</si>
  <si>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</si>
  <si>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</si>
  <si>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</si>
  <si>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</si>
  <si>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</si>
  <si>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</si>
  <si>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</si>
  <si>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</si>
  <si>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</si>
  <si>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</si>
  <si>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</si>
  <si>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</si>
  <si>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</si>
  <si>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</si>
  <si>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</si>
  <si>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</si>
  <si>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</si>
  <si>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</si>
  <si>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</si>
  <si>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</si>
  <si>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</si>
  <si>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</si>
  <si>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</si>
  <si>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</si>
  <si>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</si>
  <si>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</si>
  <si>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</si>
  <si>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</si>
  <si>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</si>
  <si>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</si>
  <si>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</si>
  <si>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</si>
  <si>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</si>
  <si>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</si>
  <si>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</si>
  <si>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</si>
  <si>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</si>
  <si>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</si>
  <si>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</si>
  <si>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</si>
  <si>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</si>
  <si>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</si>
  <si>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</si>
  <si>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</si>
  <si>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</si>
  <si>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</si>
  <si>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</si>
  <si>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</si>
  <si>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</si>
  <si>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</si>
  <si>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</si>
  <si>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</si>
  <si>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</si>
  <si>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</si>
  <si>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</si>
  <si>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</si>
  <si>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</si>
  <si>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</si>
  <si>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</si>
  <si>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</si>
  <si>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</si>
  <si>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</si>
  <si>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</si>
  <si>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</si>
  <si>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</si>
  <si>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</si>
  <si>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</si>
  <si>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</si>
  <si>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</si>
  <si>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</si>
  <si>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</si>
  <si>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</si>
  <si>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</si>
  <si>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</si>
  <si>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</si>
  <si>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</si>
  <si>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</si>
  <si>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</si>
  <si>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</si>
  <si>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</si>
  <si>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</si>
  <si>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</si>
  <si>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</si>
  <si>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</si>
  <si>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</si>
  <si>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</si>
  <si>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</si>
  <si>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</si>
  <si>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</si>
  <si>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</si>
  <si>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</si>
  <si>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</si>
  <si>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</si>
  <si>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</si>
  <si>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</si>
  <si>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</si>
  <si>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</si>
  <si>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</si>
  <si>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</si>
  <si>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</si>
  <si>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</si>
  <si>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</si>
  <si>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</si>
  <si>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</si>
  <si>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</si>
  <si>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</si>
  <si>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</si>
  <si>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</si>
  <si>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</si>
  <si>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</si>
  <si>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</si>
  <si>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</si>
  <si>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</si>
  <si>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</si>
  <si>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</si>
  <si>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</si>
  <si>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</si>
  <si>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</si>
  <si>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</si>
  <si>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</si>
  <si>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</si>
  <si>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</si>
  <si>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</si>
  <si>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</si>
  <si>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PrEng Signoff</t>
  </si>
  <si>
    <t>Fritz HSE incident</t>
  </si>
  <si>
    <t>8.10</t>
  </si>
  <si>
    <t>Handover documentation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</si>
  <si>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</si>
  <si>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</si>
  <si>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</si>
  <si>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</si>
  <si>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</si>
  <si>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</si>
  <si>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</si>
  <si>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</si>
  <si>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</si>
  <si>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</si>
  <si>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</si>
  <si>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</si>
  <si>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</si>
  <si>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</si>
  <si>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</si>
  <si>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</si>
  <si>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</si>
  <si>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</si>
  <si>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</si>
  <si>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</si>
  <si>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</si>
  <si>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</si>
  <si>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</si>
  <si>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</si>
  <si>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</si>
  <si>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</si>
  <si>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</si>
  <si>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</si>
  <si>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</si>
  <si>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</si>
  <si>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</si>
  <si>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</si>
  <si>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</si>
  <si>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</si>
  <si>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</si>
  <si>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</si>
  <si>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</si>
  <si>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</si>
  <si>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</si>
  <si>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</si>
  <si>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</si>
  <si>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</si>
  <si>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</si>
  <si>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</si>
  <si>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</si>
  <si>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</si>
  <si>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</si>
  <si>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</si>
  <si>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</si>
  <si>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</si>
  <si>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</si>
  <si>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</si>
  <si>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</si>
  <si>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</si>
  <si>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</si>
  <si>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</si>
  <si>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</si>
  <si>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</si>
  <si>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</si>
  <si>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</si>
  <si>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</si>
  <si>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</si>
  <si>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</si>
  <si>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</si>
  <si>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</si>
  <si>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</si>
  <si>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</si>
  <si>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</si>
  <si>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</si>
  <si>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</si>
  <si>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</si>
  <si>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</si>
  <si>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</si>
  <si>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</si>
  <si>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</si>
  <si>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</si>
  <si>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</si>
  <si>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</si>
  <si>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</si>
  <si>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</si>
  <si>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</si>
  <si>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</si>
  <si>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</si>
  <si>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</si>
  <si>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</si>
  <si>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</si>
  <si>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</si>
  <si>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</si>
  <si>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</si>
  <si>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</si>
  <si>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</si>
  <si>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</si>
  <si>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</si>
  <si>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</si>
  <si>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</si>
  <si>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</si>
  <si>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</si>
  <si>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</si>
  <si>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</si>
  <si>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</si>
  <si>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</si>
  <si>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</si>
  <si>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</si>
  <si>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</si>
  <si>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</si>
  <si>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</si>
  <si>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</si>
  <si>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</si>
  <si>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</si>
  <si>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</si>
  <si>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</si>
  <si>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</si>
  <si>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</si>
  <si>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</si>
  <si>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</si>
  <si>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</si>
  <si>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</si>
  <si>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</si>
  <si>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</si>
  <si>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</si>
  <si>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</si>
  <si>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</si>
  <si>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</si>
  <si>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</si>
  <si>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</si>
  <si>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</si>
  <si>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</si>
  <si>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</si>
  <si>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</si>
  <si>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</si>
  <si>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</si>
  <si>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</si>
  <si>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</si>
  <si>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</si>
  <si>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</si>
  <si>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</si>
  <si>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</si>
  <si>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</si>
  <si>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</si>
  <si>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</si>
  <si>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</si>
  <si>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</si>
  <si>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</si>
  <si>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</si>
  <si>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</si>
  <si>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</si>
  <si>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</si>
  <si>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</si>
  <si>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</si>
  <si>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</si>
  <si>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</si>
  <si>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</si>
  <si>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</si>
  <si>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</si>
  <si>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</si>
  <si>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</si>
  <si>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</si>
  <si>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</si>
  <si>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</si>
  <si>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</si>
  <si>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</si>
  <si>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</si>
  <si>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</si>
  <si>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</si>
  <si>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</si>
  <si>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</si>
  <si>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</si>
  <si>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</si>
  <si>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</si>
  <si>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</si>
  <si>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</si>
  <si>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</si>
  <si>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</si>
  <si>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</si>
  <si>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</si>
  <si>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</si>
  <si>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</si>
  <si>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</si>
  <si>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</si>
  <si>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</si>
  <si>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</si>
  <si>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</si>
  <si>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</si>
  <si>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</si>
  <si>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</si>
  <si>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</si>
  <si>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</si>
  <si>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</si>
  <si>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</si>
  <si>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</si>
  <si>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</si>
  <si>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</si>
  <si>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</si>
  <si>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</si>
  <si>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</si>
  <si>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</si>
  <si>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</si>
  <si>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</si>
  <si>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</si>
  <si>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</si>
  <si>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</si>
  <si>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</si>
  <si>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</si>
  <si>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</si>
  <si>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</si>
  <si>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</si>
  <si>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</si>
  <si>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</si>
  <si>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</si>
  <si>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</si>
  <si>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</si>
  <si>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</si>
  <si>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</si>
  <si>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</si>
  <si>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</si>
  <si>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</si>
  <si>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</si>
  <si>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</si>
  <si>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</si>
  <si>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</si>
  <si>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</si>
  <si>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</si>
  <si>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</si>
  <si>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</si>
  <si>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</si>
  <si>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</si>
  <si>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</si>
  <si>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</si>
  <si>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</si>
  <si>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</si>
  <si>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</si>
  <si>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</si>
  <si>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</si>
  <si>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</si>
  <si>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</si>
  <si>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</si>
  <si>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</si>
  <si>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</si>
  <si>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</si>
  <si>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</si>
  <si>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</si>
  <si>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</si>
  <si>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</si>
  <si>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</si>
  <si>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</si>
  <si>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</si>
  <si>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</si>
  <si>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</si>
  <si>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</si>
  <si>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</si>
  <si>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</si>
  <si>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</si>
  <si>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</si>
  <si>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</si>
  <si>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</si>
  <si>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</si>
  <si>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</si>
  <si>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</si>
  <si>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</si>
  <si>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</si>
  <si>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</si>
  <si>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</si>
  <si>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</si>
  <si>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</si>
  <si>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</si>
  <si>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</si>
  <si>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</si>
  <si>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</si>
  <si>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</si>
  <si>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</si>
  <si>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</si>
  <si>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</si>
  <si>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</si>
  <si>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</si>
  <si>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</si>
  <si>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</si>
  <si>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</si>
  <si>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</si>
  <si>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</si>
  <si>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</si>
  <si>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</si>
  <si>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</si>
  <si>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</si>
  <si>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</si>
  <si>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</si>
  <si>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</si>
  <si>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</si>
  <si>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JA Electrical - INV 1158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</si>
  <si>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</si>
  <si>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</si>
  <si>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</si>
  <si>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</si>
  <si>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</si>
  <si>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</si>
  <si>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</si>
  <si>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</si>
  <si>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</si>
  <si>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</si>
  <si>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</si>
  <si>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</si>
  <si>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</si>
  <si>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</si>
  <si>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</si>
  <si>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</si>
  <si>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</si>
  <si>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</si>
  <si>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Tie - in 2 Isolation Transformer Bypass</t>
  </si>
  <si>
    <t>JP Approved (no PO)</t>
  </si>
  <si>
    <t>HappySolar - INV-0353</t>
  </si>
  <si>
    <t>JA Electrical VO - Disconnect cables and terminate breaker</t>
  </si>
  <si>
    <t>JA Electrical - 1159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</si>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</sst>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78" xfId="0" applyNumberFormat="1" applyFont="1" applyFill="1" applyBorder="1" applyAlignment="1" applyProtection="1">
      <alignment horizontal="center"/>
      <protection locked="0"/>
    </xf>
    <xf numFmtId="168" fontId="5" fillId="11" borderId="71" xfId="0" applyNumberFormat="1" applyFont="1" applyFill="1" applyBorder="1" applyAlignment="1" applyProtection="1">
      <alignment horizontal="center"/>
      <protection locked="0"/>
    </xf>
    <xf numFmtId="166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168" fontId="5" fillId="11" borderId="80" xfId="0" applyNumberFormat="1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8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2" xfId="3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6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166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166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3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43" fontId="0" fillId="0" borderId="0" xfId="0" applyNumberFormat="1"/>
    <xf numFmtId="168" fontId="13" fillId="10" borderId="27" xfId="0" applyNumberFormat="1" applyFont="1" applyFill="1" applyBorder="1" applyAlignment="1" applyProtection="1">
      <alignment horizontal="center"/>
      <protection locked="0"/>
    </xf>
    <xf numFmtId="9" fontId="27" fillId="6" borderId="25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8096014.79</c:v>
                </c:pt>
                <c:pt idx="54">
                  <c:v>8096652.6299999999</c:v>
                </c:pt>
                <c:pt idx="55">
                  <c:v>8096652.6299999999</c:v>
                </c:pt>
                <c:pt idx="56">
                  <c:v>8149340.6039130436</c:v>
                </c:pt>
                <c:pt idx="57">
                  <c:v>8159872.4039130434</c:v>
                </c:pt>
                <c:pt idx="58">
                  <c:v>8238201.1139130434</c:v>
                </c:pt>
                <c:pt idx="59">
                  <c:v>8238201.1139130434</c:v>
                </c:pt>
                <c:pt idx="60">
                  <c:v>8238201.1139130434</c:v>
                </c:pt>
                <c:pt idx="61">
                  <c:v>8238201.1139130434</c:v>
                </c:pt>
                <c:pt idx="62">
                  <c:v>8238201.1139130434</c:v>
                </c:pt>
                <c:pt idx="63">
                  <c:v>8238201.1139130434</c:v>
                </c:pt>
                <c:pt idx="64">
                  <c:v>8238201.1139130434</c:v>
                </c:pt>
                <c:pt idx="65">
                  <c:v>8238201.1139130434</c:v>
                </c:pt>
                <c:pt idx="66">
                  <c:v>8238201.1139130434</c:v>
                </c:pt>
                <c:pt idx="67">
                  <c:v>8238201.1139130434</c:v>
                </c:pt>
                <c:pt idx="68">
                  <c:v>8238201.1139130434</c:v>
                </c:pt>
                <c:pt idx="69">
                  <c:v>8238201.1139130434</c:v>
                </c:pt>
                <c:pt idx="70">
                  <c:v>8238201.1139130434</c:v>
                </c:pt>
                <c:pt idx="71">
                  <c:v>8238201.1139130434</c:v>
                </c:pt>
                <c:pt idx="72">
                  <c:v>8238201.1139130434</c:v>
                </c:pt>
                <c:pt idx="73">
                  <c:v>8238201.1139130434</c:v>
                </c:pt>
                <c:pt idx="74">
                  <c:v>8238201.1139130434</c:v>
                </c:pt>
                <c:pt idx="75">
                  <c:v>8238201.1139130434</c:v>
                </c:pt>
                <c:pt idx="76">
                  <c:v>8238201.1139130434</c:v>
                </c:pt>
                <c:pt idx="77">
                  <c:v>8238201.1139130434</c:v>
                </c:pt>
                <c:pt idx="78">
                  <c:v>8238201.1139130434</c:v>
                </c:pt>
                <c:pt idx="79">
                  <c:v>8238201.1139130434</c:v>
                </c:pt>
                <c:pt idx="80">
                  <c:v>8238201.1139130434</c:v>
                </c:pt>
                <c:pt idx="81">
                  <c:v>8238201.1139130434</c:v>
                </c:pt>
                <c:pt idx="82">
                  <c:v>8238201.1139130434</c:v>
                </c:pt>
                <c:pt idx="83">
                  <c:v>8238201.1139130434</c:v>
                </c:pt>
                <c:pt idx="84">
                  <c:v>8238201.1139130434</c:v>
                </c:pt>
                <c:pt idx="85">
                  <c:v>8238201.1139130434</c:v>
                </c:pt>
                <c:pt idx="86">
                  <c:v>8238201.1139130434</c:v>
                </c:pt>
                <c:pt idx="87">
                  <c:v>8238201.1139130434</c:v>
                </c:pt>
                <c:pt idx="88">
                  <c:v>8238201.1139130434</c:v>
                </c:pt>
                <c:pt idx="89">
                  <c:v>8238201.1139130434</c:v>
                </c:pt>
                <c:pt idx="90">
                  <c:v>8238201.1139130434</c:v>
                </c:pt>
                <c:pt idx="91">
                  <c:v>8238201.1139130434</c:v>
                </c:pt>
                <c:pt idx="92">
                  <c:v>8238201.1139130434</c:v>
                </c:pt>
                <c:pt idx="93">
                  <c:v>8238201.1139130434</c:v>
                </c:pt>
                <c:pt idx="94">
                  <c:v>8238201.1139130434</c:v>
                </c:pt>
                <c:pt idx="95">
                  <c:v>8238201.1139130434</c:v>
                </c:pt>
                <c:pt idx="96">
                  <c:v>8238201.1139130434</c:v>
                </c:pt>
                <c:pt idx="97">
                  <c:v>8238201.1139130434</c:v>
                </c:pt>
                <c:pt idx="98">
                  <c:v>8238201.1139130434</c:v>
                </c:pt>
                <c:pt idx="99">
                  <c:v>8238201.1139130434</c:v>
                </c:pt>
                <c:pt idx="100">
                  <c:v>8238201.1139130434</c:v>
                </c:pt>
                <c:pt idx="101">
                  <c:v>8238201.1139130434</c:v>
                </c:pt>
                <c:pt idx="102">
                  <c:v>8238201.1139130434</c:v>
                </c:pt>
                <c:pt idx="103">
                  <c:v>8238201.1139130434</c:v>
                </c:pt>
                <c:pt idx="104">
                  <c:v>8238201.1139130434</c:v>
                </c:pt>
                <c:pt idx="105">
                  <c:v>8238201.1139130434</c:v>
                </c:pt>
                <c:pt idx="106">
                  <c:v>8238201.1139130434</c:v>
                </c:pt>
                <c:pt idx="107">
                  <c:v>8238201.1139130434</c:v>
                </c:pt>
                <c:pt idx="108">
                  <c:v>8238201.1139130434</c:v>
                </c:pt>
                <c:pt idx="109">
                  <c:v>8238201.1139130434</c:v>
                </c:pt>
                <c:pt idx="110">
                  <c:v>8238201.1139130434</c:v>
                </c:pt>
                <c:pt idx="111">
                  <c:v>8238201.1139130434</c:v>
                </c:pt>
                <c:pt idx="112">
                  <c:v>8238201.1139130434</c:v>
                </c:pt>
                <c:pt idx="113">
                  <c:v>8238201.1139130434</c:v>
                </c:pt>
                <c:pt idx="114">
                  <c:v>8238201.1139130434</c:v>
                </c:pt>
                <c:pt idx="115">
                  <c:v>8238201.1139130434</c:v>
                </c:pt>
                <c:pt idx="116">
                  <c:v>8238201.1139130434</c:v>
                </c:pt>
                <c:pt idx="117">
                  <c:v>8238201.1139130434</c:v>
                </c:pt>
                <c:pt idx="118">
                  <c:v>8238201.1139130434</c:v>
                </c:pt>
                <c:pt idx="119">
                  <c:v>8238201.1139130434</c:v>
                </c:pt>
                <c:pt idx="120">
                  <c:v>8238201.1139130434</c:v>
                </c:pt>
                <c:pt idx="121">
                  <c:v>8238201.1139130434</c:v>
                </c:pt>
                <c:pt idx="122">
                  <c:v>8238201.1139130434</c:v>
                </c:pt>
                <c:pt idx="123">
                  <c:v>8238201.1139130434</c:v>
                </c:pt>
                <c:pt idx="124">
                  <c:v>8238201.1139130434</c:v>
                </c:pt>
                <c:pt idx="125">
                  <c:v>8238201.1139130434</c:v>
                </c:pt>
                <c:pt idx="126">
                  <c:v>8238201.1139130434</c:v>
                </c:pt>
                <c:pt idx="127">
                  <c:v>8238201.1139130434</c:v>
                </c:pt>
                <c:pt idx="128">
                  <c:v>8238201.1139130434</c:v>
                </c:pt>
                <c:pt idx="129">
                  <c:v>8238201.1139130434</c:v>
                </c:pt>
                <c:pt idx="130">
                  <c:v>8238201.1139130434</c:v>
                </c:pt>
                <c:pt idx="131">
                  <c:v>8238201.1139130434</c:v>
                </c:pt>
                <c:pt idx="132">
                  <c:v>8238201.1139130434</c:v>
                </c:pt>
                <c:pt idx="133">
                  <c:v>8238201.1139130434</c:v>
                </c:pt>
                <c:pt idx="134">
                  <c:v>8238201.1139130434</c:v>
                </c:pt>
                <c:pt idx="135">
                  <c:v>8238201.1139130434</c:v>
                </c:pt>
                <c:pt idx="136">
                  <c:v>8238201.1139130434</c:v>
                </c:pt>
                <c:pt idx="137">
                  <c:v>8238201.1139130434</c:v>
                </c:pt>
                <c:pt idx="138">
                  <c:v>8238201.1139130434</c:v>
                </c:pt>
                <c:pt idx="139">
                  <c:v>8238201.1139130434</c:v>
                </c:pt>
                <c:pt idx="140">
                  <c:v>8238201.1139130434</c:v>
                </c:pt>
                <c:pt idx="141">
                  <c:v>8238201.1139130434</c:v>
                </c:pt>
                <c:pt idx="142">
                  <c:v>8238201.1139130434</c:v>
                </c:pt>
                <c:pt idx="143">
                  <c:v>8238201.1139130434</c:v>
                </c:pt>
                <c:pt idx="144">
                  <c:v>8238201.1139130434</c:v>
                </c:pt>
                <c:pt idx="145">
                  <c:v>8238201.1139130434</c:v>
                </c:pt>
                <c:pt idx="146">
                  <c:v>8238201.1139130434</c:v>
                </c:pt>
                <c:pt idx="147">
                  <c:v>8238201.1139130434</c:v>
                </c:pt>
                <c:pt idx="148">
                  <c:v>8238201.1139130434</c:v>
                </c:pt>
                <c:pt idx="149">
                  <c:v>8238201.1139130434</c:v>
                </c:pt>
                <c:pt idx="150">
                  <c:v>8238201.1139130434</c:v>
                </c:pt>
                <c:pt idx="151">
                  <c:v>8238201.1139130434</c:v>
                </c:pt>
                <c:pt idx="152">
                  <c:v>8238201.1139130434</c:v>
                </c:pt>
                <c:pt idx="153">
                  <c:v>8238201.1139130434</c:v>
                </c:pt>
                <c:pt idx="154">
                  <c:v>8238201.1139130434</c:v>
                </c:pt>
                <c:pt idx="155">
                  <c:v>8238201.1139130434</c:v>
                </c:pt>
                <c:pt idx="156">
                  <c:v>8238201.1139130434</c:v>
                </c:pt>
                <c:pt idx="157">
                  <c:v>8238201.1139130434</c:v>
                </c:pt>
                <c:pt idx="158">
                  <c:v>8238201.1139130434</c:v>
                </c:pt>
                <c:pt idx="159">
                  <c:v>8238201.1139130434</c:v>
                </c:pt>
                <c:pt idx="160">
                  <c:v>8238201.1139130434</c:v>
                </c:pt>
                <c:pt idx="161">
                  <c:v>8238201.1139130434</c:v>
                </c:pt>
                <c:pt idx="162">
                  <c:v>8238201.1139130434</c:v>
                </c:pt>
                <c:pt idx="163">
                  <c:v>8238201.1139130434</c:v>
                </c:pt>
                <c:pt idx="164">
                  <c:v>8238201.1139130434</c:v>
                </c:pt>
                <c:pt idx="165">
                  <c:v>8238201.1139130434</c:v>
                </c:pt>
                <c:pt idx="166">
                  <c:v>8238201.1139130434</c:v>
                </c:pt>
                <c:pt idx="167">
                  <c:v>8238201.1139130434</c:v>
                </c:pt>
                <c:pt idx="168">
                  <c:v>8238201.1139130434</c:v>
                </c:pt>
                <c:pt idx="169">
                  <c:v>8238201.1139130434</c:v>
                </c:pt>
                <c:pt idx="170">
                  <c:v>8238201.1139130434</c:v>
                </c:pt>
                <c:pt idx="171">
                  <c:v>8238201.1139130434</c:v>
                </c:pt>
                <c:pt idx="172">
                  <c:v>8238201.1139130434</c:v>
                </c:pt>
                <c:pt idx="173">
                  <c:v>8238201.1139130434</c:v>
                </c:pt>
                <c:pt idx="174">
                  <c:v>8238201.1139130434</c:v>
                </c:pt>
                <c:pt idx="175">
                  <c:v>8238201.1139130434</c:v>
                </c:pt>
                <c:pt idx="176">
                  <c:v>8238201.1139130434</c:v>
                </c:pt>
                <c:pt idx="177">
                  <c:v>8238201.1139130434</c:v>
                </c:pt>
                <c:pt idx="178">
                  <c:v>8238201.1139130434</c:v>
                </c:pt>
                <c:pt idx="179">
                  <c:v>8238201.1139130434</c:v>
                </c:pt>
                <c:pt idx="180">
                  <c:v>8238201.1139130434</c:v>
                </c:pt>
                <c:pt idx="181">
                  <c:v>8238201.1139130434</c:v>
                </c:pt>
                <c:pt idx="182">
                  <c:v>8238201.1139130434</c:v>
                </c:pt>
                <c:pt idx="183">
                  <c:v>8238201.1139130434</c:v>
                </c:pt>
                <c:pt idx="184">
                  <c:v>8238201.1139130434</c:v>
                </c:pt>
                <c:pt idx="185">
                  <c:v>8238201.1139130434</c:v>
                </c:pt>
                <c:pt idx="186">
                  <c:v>8238201.1139130434</c:v>
                </c:pt>
                <c:pt idx="187">
                  <c:v>8238201.1139130434</c:v>
                </c:pt>
                <c:pt idx="188">
                  <c:v>8238201.1139130434</c:v>
                </c:pt>
                <c:pt idx="189">
                  <c:v>8238201.1139130434</c:v>
                </c:pt>
                <c:pt idx="190">
                  <c:v>8238201.1139130434</c:v>
                </c:pt>
                <c:pt idx="191">
                  <c:v>8238201.1139130434</c:v>
                </c:pt>
                <c:pt idx="192">
                  <c:v>8238201.1139130434</c:v>
                </c:pt>
                <c:pt idx="193">
                  <c:v>8238201.1139130434</c:v>
                </c:pt>
                <c:pt idx="194">
                  <c:v>8238201.1139130434</c:v>
                </c:pt>
                <c:pt idx="195">
                  <c:v>8238201.1139130434</c:v>
                </c:pt>
                <c:pt idx="196">
                  <c:v>8238201.1139130434</c:v>
                </c:pt>
                <c:pt idx="197">
                  <c:v>8238201.1139130434</c:v>
                </c:pt>
                <c:pt idx="198">
                  <c:v>8238201.1139130434</c:v>
                </c:pt>
                <c:pt idx="199">
                  <c:v>8238201.1139130434</c:v>
                </c:pt>
                <c:pt idx="200">
                  <c:v>8238201.1139130434</c:v>
                </c:pt>
                <c:pt idx="201">
                  <c:v>8238201.1139130434</c:v>
                </c:pt>
                <c:pt idx="202">
                  <c:v>8238201.1139130434</c:v>
                </c:pt>
                <c:pt idx="203">
                  <c:v>8238201.1139130434</c:v>
                </c:pt>
                <c:pt idx="204">
                  <c:v>8238201.1139130434</c:v>
                </c:pt>
                <c:pt idx="205">
                  <c:v>8238201.1139130434</c:v>
                </c:pt>
                <c:pt idx="206">
                  <c:v>8238201.1139130434</c:v>
                </c:pt>
                <c:pt idx="207">
                  <c:v>8238201.1139130434</c:v>
                </c:pt>
                <c:pt idx="208">
                  <c:v>8238201.1139130434</c:v>
                </c:pt>
                <c:pt idx="209">
                  <c:v>8238201.1139130434</c:v>
                </c:pt>
                <c:pt idx="210">
                  <c:v>8238201.1139130434</c:v>
                </c:pt>
                <c:pt idx="211">
                  <c:v>8238201.1139130434</c:v>
                </c:pt>
                <c:pt idx="212">
                  <c:v>8238201.1139130434</c:v>
                </c:pt>
                <c:pt idx="213">
                  <c:v>8238201.1139130434</c:v>
                </c:pt>
                <c:pt idx="214">
                  <c:v>8238201.1139130434</c:v>
                </c:pt>
                <c:pt idx="215">
                  <c:v>8238201.1139130434</c:v>
                </c:pt>
                <c:pt idx="216">
                  <c:v>8238201.1139130434</c:v>
                </c:pt>
                <c:pt idx="217">
                  <c:v>8238201.1139130434</c:v>
                </c:pt>
                <c:pt idx="218">
                  <c:v>8238201.1139130434</c:v>
                </c:pt>
                <c:pt idx="219">
                  <c:v>8238201.1139130434</c:v>
                </c:pt>
                <c:pt idx="220">
                  <c:v>8238201.1139130434</c:v>
                </c:pt>
                <c:pt idx="221">
                  <c:v>8238201.1139130434</c:v>
                </c:pt>
                <c:pt idx="222">
                  <c:v>8238201.1139130434</c:v>
                </c:pt>
                <c:pt idx="223">
                  <c:v>8238201.1139130434</c:v>
                </c:pt>
                <c:pt idx="224">
                  <c:v>8238201.1139130434</c:v>
                </c:pt>
                <c:pt idx="225">
                  <c:v>8238201.1139130434</c:v>
                </c:pt>
                <c:pt idx="226">
                  <c:v>8238201.1139130434</c:v>
                </c:pt>
                <c:pt idx="227">
                  <c:v>8238201.1139130434</c:v>
                </c:pt>
                <c:pt idx="228">
                  <c:v>8238201.1139130434</c:v>
                </c:pt>
                <c:pt idx="229">
                  <c:v>8238201.1139130434</c:v>
                </c:pt>
                <c:pt idx="230">
                  <c:v>8238201.1139130434</c:v>
                </c:pt>
                <c:pt idx="231">
                  <c:v>8238201.1139130434</c:v>
                </c:pt>
                <c:pt idx="232">
                  <c:v>8238201.1139130434</c:v>
                </c:pt>
                <c:pt idx="233">
                  <c:v>8238201.1139130434</c:v>
                </c:pt>
                <c:pt idx="234">
                  <c:v>8238201.1139130434</c:v>
                </c:pt>
                <c:pt idx="235">
                  <c:v>8238201.1139130434</c:v>
                </c:pt>
                <c:pt idx="236">
                  <c:v>8238201.1139130434</c:v>
                </c:pt>
                <c:pt idx="237">
                  <c:v>8238201.1139130434</c:v>
                </c:pt>
                <c:pt idx="238">
                  <c:v>8238201.1139130434</c:v>
                </c:pt>
                <c:pt idx="239">
                  <c:v>8238201.1139130434</c:v>
                </c:pt>
                <c:pt idx="240">
                  <c:v>8238201.1139130434</c:v>
                </c:pt>
                <c:pt idx="241">
                  <c:v>8238201.1139130434</c:v>
                </c:pt>
                <c:pt idx="242">
                  <c:v>8238201.1139130434</c:v>
                </c:pt>
                <c:pt idx="243">
                  <c:v>8238201.1139130434</c:v>
                </c:pt>
                <c:pt idx="244">
                  <c:v>8238201.1139130434</c:v>
                </c:pt>
                <c:pt idx="245">
                  <c:v>8238201.1139130434</c:v>
                </c:pt>
                <c:pt idx="246">
                  <c:v>8238201.1139130434</c:v>
                </c:pt>
                <c:pt idx="247">
                  <c:v>8238201.1139130434</c:v>
                </c:pt>
                <c:pt idx="248">
                  <c:v>8238201.1139130434</c:v>
                </c:pt>
                <c:pt idx="249">
                  <c:v>8238201.1139130434</c:v>
                </c:pt>
                <c:pt idx="250">
                  <c:v>8238201.1139130434</c:v>
                </c:pt>
                <c:pt idx="251">
                  <c:v>8238201.1139130434</c:v>
                </c:pt>
                <c:pt idx="252">
                  <c:v>8238201.1139130434</c:v>
                </c:pt>
                <c:pt idx="253">
                  <c:v>8238201.1139130434</c:v>
                </c:pt>
                <c:pt idx="254">
                  <c:v>8238201.1139130434</c:v>
                </c:pt>
                <c:pt idx="255">
                  <c:v>8238201.1139130434</c:v>
                </c:pt>
                <c:pt idx="256">
                  <c:v>8238201.1139130434</c:v>
                </c:pt>
                <c:pt idx="257">
                  <c:v>8238201.1139130434</c:v>
                </c:pt>
                <c:pt idx="258">
                  <c:v>8238201.1139130434</c:v>
                </c:pt>
                <c:pt idx="259">
                  <c:v>8238201.1139130434</c:v>
                </c:pt>
                <c:pt idx="260">
                  <c:v>8238201.1139130434</c:v>
                </c:pt>
                <c:pt idx="261">
                  <c:v>8238201.1139130434</c:v>
                </c:pt>
                <c:pt idx="262">
                  <c:v>8238201.1139130434</c:v>
                </c:pt>
                <c:pt idx="263">
                  <c:v>8238201.1139130434</c:v>
                </c:pt>
                <c:pt idx="264">
                  <c:v>8238201.1139130434</c:v>
                </c:pt>
                <c:pt idx="265">
                  <c:v>8238201.1139130434</c:v>
                </c:pt>
                <c:pt idx="266">
                  <c:v>8238201.1139130434</c:v>
                </c:pt>
                <c:pt idx="267">
                  <c:v>8238201.1139130434</c:v>
                </c:pt>
                <c:pt idx="268">
                  <c:v>8238201.1139130434</c:v>
                </c:pt>
                <c:pt idx="269">
                  <c:v>8238201.1139130434</c:v>
                </c:pt>
                <c:pt idx="270">
                  <c:v>8238201.1139130434</c:v>
                </c:pt>
                <c:pt idx="271">
                  <c:v>8238201.1139130434</c:v>
                </c:pt>
                <c:pt idx="272">
                  <c:v>8238201.1139130434</c:v>
                </c:pt>
                <c:pt idx="273">
                  <c:v>8238201.1139130434</c:v>
                </c:pt>
                <c:pt idx="274">
                  <c:v>8238201.1139130434</c:v>
                </c:pt>
                <c:pt idx="275">
                  <c:v>8238201.1139130434</c:v>
                </c:pt>
                <c:pt idx="276">
                  <c:v>8238201.1139130434</c:v>
                </c:pt>
                <c:pt idx="277">
                  <c:v>8238201.1139130434</c:v>
                </c:pt>
                <c:pt idx="278">
                  <c:v>8238201.1139130434</c:v>
                </c:pt>
                <c:pt idx="279">
                  <c:v>8238201.1139130434</c:v>
                </c:pt>
                <c:pt idx="280">
                  <c:v>8238201.1139130434</c:v>
                </c:pt>
                <c:pt idx="281">
                  <c:v>8238201.1139130434</c:v>
                </c:pt>
                <c:pt idx="282">
                  <c:v>8238201.1139130434</c:v>
                </c:pt>
                <c:pt idx="283">
                  <c:v>8238201.1139130434</c:v>
                </c:pt>
                <c:pt idx="284">
                  <c:v>8238201.1139130434</c:v>
                </c:pt>
                <c:pt idx="285">
                  <c:v>8238201.1139130434</c:v>
                </c:pt>
                <c:pt idx="286">
                  <c:v>8238201.1139130434</c:v>
                </c:pt>
                <c:pt idx="287">
                  <c:v>8238201.1139130434</c:v>
                </c:pt>
                <c:pt idx="288">
                  <c:v>8238201.1139130434</c:v>
                </c:pt>
                <c:pt idx="289">
                  <c:v>8238201.1139130434</c:v>
                </c:pt>
                <c:pt idx="290">
                  <c:v>8238201.1139130434</c:v>
                </c:pt>
                <c:pt idx="291">
                  <c:v>8238201.1139130434</c:v>
                </c:pt>
                <c:pt idx="292">
                  <c:v>8238201.1139130434</c:v>
                </c:pt>
                <c:pt idx="293">
                  <c:v>8238201.1139130434</c:v>
                </c:pt>
                <c:pt idx="294">
                  <c:v>8238201.1139130434</c:v>
                </c:pt>
                <c:pt idx="295">
                  <c:v>8238201.1139130434</c:v>
                </c:pt>
                <c:pt idx="296">
                  <c:v>8238201.1139130434</c:v>
                </c:pt>
                <c:pt idx="297">
                  <c:v>8238201.1139130434</c:v>
                </c:pt>
                <c:pt idx="298">
                  <c:v>8238201.1139130434</c:v>
                </c:pt>
                <c:pt idx="299">
                  <c:v>8238201.1139130434</c:v>
                </c:pt>
                <c:pt idx="300">
                  <c:v>8238201.1139130434</c:v>
                </c:pt>
                <c:pt idx="301">
                  <c:v>8238201.1139130434</c:v>
                </c:pt>
                <c:pt idx="302">
                  <c:v>8238201.1139130434</c:v>
                </c:pt>
                <c:pt idx="303">
                  <c:v>8238201.1139130434</c:v>
                </c:pt>
                <c:pt idx="304">
                  <c:v>8238201.1139130434</c:v>
                </c:pt>
                <c:pt idx="305">
                  <c:v>8238201.1139130434</c:v>
                </c:pt>
                <c:pt idx="306">
                  <c:v>8238201.1139130434</c:v>
                </c:pt>
                <c:pt idx="307">
                  <c:v>8238201.1139130434</c:v>
                </c:pt>
                <c:pt idx="308">
                  <c:v>8238201.1139130434</c:v>
                </c:pt>
                <c:pt idx="309">
                  <c:v>8238201.1139130434</c:v>
                </c:pt>
                <c:pt idx="310">
                  <c:v>8238201.1139130434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4296579.2524382165</c:v>
                </c:pt>
                <c:pt idx="54">
                  <c:v>4295941.4124382166</c:v>
                </c:pt>
                <c:pt idx="55">
                  <c:v>4295941.4124382166</c:v>
                </c:pt>
                <c:pt idx="56">
                  <c:v>4243253.4385251729</c:v>
                </c:pt>
                <c:pt idx="57">
                  <c:v>4232721.6385251731</c:v>
                </c:pt>
                <c:pt idx="58">
                  <c:v>4154392.9285251731</c:v>
                </c:pt>
                <c:pt idx="59">
                  <c:v>4154392.9285251731</c:v>
                </c:pt>
                <c:pt idx="60">
                  <c:v>4154392.9285251731</c:v>
                </c:pt>
                <c:pt idx="61">
                  <c:v>4154392.9285251731</c:v>
                </c:pt>
                <c:pt idx="62">
                  <c:v>4154392.9285251731</c:v>
                </c:pt>
                <c:pt idx="63">
                  <c:v>4154392.9285251731</c:v>
                </c:pt>
                <c:pt idx="64">
                  <c:v>4154392.9285251731</c:v>
                </c:pt>
                <c:pt idx="65">
                  <c:v>4154392.9285251731</c:v>
                </c:pt>
                <c:pt idx="66">
                  <c:v>4154392.9285251731</c:v>
                </c:pt>
                <c:pt idx="67">
                  <c:v>4154392.9285251731</c:v>
                </c:pt>
                <c:pt idx="68">
                  <c:v>4154392.9285251731</c:v>
                </c:pt>
                <c:pt idx="69">
                  <c:v>4154392.9285251731</c:v>
                </c:pt>
                <c:pt idx="70">
                  <c:v>4154392.9285251731</c:v>
                </c:pt>
                <c:pt idx="71">
                  <c:v>4154392.9285251731</c:v>
                </c:pt>
                <c:pt idx="72">
                  <c:v>4154392.9285251731</c:v>
                </c:pt>
                <c:pt idx="73">
                  <c:v>4154392.9285251731</c:v>
                </c:pt>
                <c:pt idx="74">
                  <c:v>4154392.9285251731</c:v>
                </c:pt>
                <c:pt idx="75">
                  <c:v>4154392.9285251731</c:v>
                </c:pt>
                <c:pt idx="76">
                  <c:v>4154392.9285251731</c:v>
                </c:pt>
                <c:pt idx="77">
                  <c:v>4154392.9285251731</c:v>
                </c:pt>
                <c:pt idx="78">
                  <c:v>4154392.9285251731</c:v>
                </c:pt>
                <c:pt idx="79">
                  <c:v>4154392.9285251731</c:v>
                </c:pt>
                <c:pt idx="80">
                  <c:v>4154392.9285251731</c:v>
                </c:pt>
                <c:pt idx="81">
                  <c:v>4154392.9285251731</c:v>
                </c:pt>
                <c:pt idx="82">
                  <c:v>4154392.9285251731</c:v>
                </c:pt>
                <c:pt idx="83">
                  <c:v>4154392.9285251731</c:v>
                </c:pt>
                <c:pt idx="84">
                  <c:v>4154392.9285251731</c:v>
                </c:pt>
                <c:pt idx="85">
                  <c:v>4154392.9285251731</c:v>
                </c:pt>
                <c:pt idx="86">
                  <c:v>4154392.9285251731</c:v>
                </c:pt>
                <c:pt idx="87">
                  <c:v>4154392.9285251731</c:v>
                </c:pt>
                <c:pt idx="88">
                  <c:v>4154392.9285251731</c:v>
                </c:pt>
                <c:pt idx="89">
                  <c:v>4154392.9285251731</c:v>
                </c:pt>
                <c:pt idx="90">
                  <c:v>4154392.9285251731</c:v>
                </c:pt>
                <c:pt idx="91">
                  <c:v>4154392.9285251731</c:v>
                </c:pt>
                <c:pt idx="92">
                  <c:v>4154392.9285251731</c:v>
                </c:pt>
                <c:pt idx="93">
                  <c:v>4154392.9285251731</c:v>
                </c:pt>
                <c:pt idx="94">
                  <c:v>4154392.9285251731</c:v>
                </c:pt>
                <c:pt idx="95">
                  <c:v>4154392.9285251731</c:v>
                </c:pt>
                <c:pt idx="96">
                  <c:v>4154392.9285251731</c:v>
                </c:pt>
                <c:pt idx="97">
                  <c:v>4154392.9285251731</c:v>
                </c:pt>
                <c:pt idx="98">
                  <c:v>4154392.9285251731</c:v>
                </c:pt>
                <c:pt idx="99">
                  <c:v>4154392.9285251731</c:v>
                </c:pt>
                <c:pt idx="100">
                  <c:v>4154392.9285251731</c:v>
                </c:pt>
                <c:pt idx="101">
                  <c:v>4154392.9285251731</c:v>
                </c:pt>
                <c:pt idx="102">
                  <c:v>4154392.9285251731</c:v>
                </c:pt>
                <c:pt idx="103">
                  <c:v>4154392.9285251731</c:v>
                </c:pt>
                <c:pt idx="104">
                  <c:v>4154392.9285251731</c:v>
                </c:pt>
                <c:pt idx="105">
                  <c:v>4154392.9285251731</c:v>
                </c:pt>
                <c:pt idx="106">
                  <c:v>4154392.9285251731</c:v>
                </c:pt>
                <c:pt idx="107">
                  <c:v>4154392.9285251731</c:v>
                </c:pt>
                <c:pt idx="108">
                  <c:v>4154392.9285251731</c:v>
                </c:pt>
                <c:pt idx="109">
                  <c:v>4154392.9285251731</c:v>
                </c:pt>
                <c:pt idx="110">
                  <c:v>4154392.9285251731</c:v>
                </c:pt>
                <c:pt idx="111">
                  <c:v>4154392.9285251731</c:v>
                </c:pt>
                <c:pt idx="112">
                  <c:v>4154392.9285251731</c:v>
                </c:pt>
                <c:pt idx="113">
                  <c:v>4154392.9285251731</c:v>
                </c:pt>
                <c:pt idx="114">
                  <c:v>4154392.9285251731</c:v>
                </c:pt>
                <c:pt idx="115">
                  <c:v>4154392.9285251731</c:v>
                </c:pt>
                <c:pt idx="116">
                  <c:v>4154392.9285251731</c:v>
                </c:pt>
                <c:pt idx="117">
                  <c:v>4154392.9285251731</c:v>
                </c:pt>
                <c:pt idx="118">
                  <c:v>4154392.9285251731</c:v>
                </c:pt>
                <c:pt idx="119">
                  <c:v>4154392.9285251731</c:v>
                </c:pt>
                <c:pt idx="120">
                  <c:v>4154392.9285251731</c:v>
                </c:pt>
                <c:pt idx="121">
                  <c:v>4154392.9285251731</c:v>
                </c:pt>
                <c:pt idx="122">
                  <c:v>4154392.9285251731</c:v>
                </c:pt>
                <c:pt idx="123">
                  <c:v>4154392.9285251731</c:v>
                </c:pt>
                <c:pt idx="124">
                  <c:v>4154392.9285251731</c:v>
                </c:pt>
                <c:pt idx="125">
                  <c:v>4154392.9285251731</c:v>
                </c:pt>
                <c:pt idx="126">
                  <c:v>4154392.9285251731</c:v>
                </c:pt>
                <c:pt idx="127">
                  <c:v>4154392.9285251731</c:v>
                </c:pt>
                <c:pt idx="128">
                  <c:v>4154392.9285251731</c:v>
                </c:pt>
                <c:pt idx="129">
                  <c:v>4154392.9285251731</c:v>
                </c:pt>
                <c:pt idx="130">
                  <c:v>4154392.9285251731</c:v>
                </c:pt>
                <c:pt idx="131">
                  <c:v>4154392.9285251731</c:v>
                </c:pt>
                <c:pt idx="132">
                  <c:v>4154392.9285251731</c:v>
                </c:pt>
                <c:pt idx="133">
                  <c:v>4154392.9285251731</c:v>
                </c:pt>
                <c:pt idx="134">
                  <c:v>4154392.9285251731</c:v>
                </c:pt>
                <c:pt idx="135">
                  <c:v>4154392.9285251731</c:v>
                </c:pt>
                <c:pt idx="136">
                  <c:v>4154392.9285251731</c:v>
                </c:pt>
                <c:pt idx="137">
                  <c:v>4154392.9285251731</c:v>
                </c:pt>
                <c:pt idx="138">
                  <c:v>4154392.9285251731</c:v>
                </c:pt>
                <c:pt idx="139">
                  <c:v>4154392.9285251731</c:v>
                </c:pt>
                <c:pt idx="140">
                  <c:v>4154392.9285251731</c:v>
                </c:pt>
                <c:pt idx="141">
                  <c:v>4154392.9285251731</c:v>
                </c:pt>
                <c:pt idx="142">
                  <c:v>4154392.9285251731</c:v>
                </c:pt>
                <c:pt idx="143">
                  <c:v>4154392.9285251731</c:v>
                </c:pt>
                <c:pt idx="144">
                  <c:v>4154392.9285251731</c:v>
                </c:pt>
                <c:pt idx="145">
                  <c:v>4154392.9285251731</c:v>
                </c:pt>
                <c:pt idx="146">
                  <c:v>4154392.9285251731</c:v>
                </c:pt>
                <c:pt idx="147">
                  <c:v>4154392.9285251731</c:v>
                </c:pt>
                <c:pt idx="148">
                  <c:v>4154392.9285251731</c:v>
                </c:pt>
                <c:pt idx="149">
                  <c:v>4154392.9285251731</c:v>
                </c:pt>
                <c:pt idx="150">
                  <c:v>4154392.9285251731</c:v>
                </c:pt>
                <c:pt idx="151">
                  <c:v>4154392.9285251731</c:v>
                </c:pt>
                <c:pt idx="152">
                  <c:v>4154392.9285251731</c:v>
                </c:pt>
                <c:pt idx="153">
                  <c:v>4154392.9285251731</c:v>
                </c:pt>
                <c:pt idx="154">
                  <c:v>4154392.9285251731</c:v>
                </c:pt>
                <c:pt idx="155">
                  <c:v>4154392.9285251731</c:v>
                </c:pt>
                <c:pt idx="156">
                  <c:v>4154392.9285251731</c:v>
                </c:pt>
                <c:pt idx="157">
                  <c:v>4154392.9285251731</c:v>
                </c:pt>
                <c:pt idx="158">
                  <c:v>4154392.9285251731</c:v>
                </c:pt>
                <c:pt idx="159">
                  <c:v>4154392.9285251731</c:v>
                </c:pt>
                <c:pt idx="160">
                  <c:v>4154392.9285251731</c:v>
                </c:pt>
                <c:pt idx="161">
                  <c:v>4154392.9285251731</c:v>
                </c:pt>
                <c:pt idx="162">
                  <c:v>4154392.9285251731</c:v>
                </c:pt>
                <c:pt idx="163">
                  <c:v>4154392.9285251731</c:v>
                </c:pt>
                <c:pt idx="164">
                  <c:v>4154392.9285251731</c:v>
                </c:pt>
                <c:pt idx="165">
                  <c:v>4154392.9285251731</c:v>
                </c:pt>
                <c:pt idx="166">
                  <c:v>4154392.9285251731</c:v>
                </c:pt>
                <c:pt idx="167">
                  <c:v>4154392.9285251731</c:v>
                </c:pt>
                <c:pt idx="168">
                  <c:v>4154392.9285251731</c:v>
                </c:pt>
                <c:pt idx="169">
                  <c:v>4154392.9285251731</c:v>
                </c:pt>
                <c:pt idx="170">
                  <c:v>4154392.9285251731</c:v>
                </c:pt>
                <c:pt idx="171">
                  <c:v>4154392.9285251731</c:v>
                </c:pt>
                <c:pt idx="172">
                  <c:v>4154392.9285251731</c:v>
                </c:pt>
                <c:pt idx="173">
                  <c:v>4154392.9285251731</c:v>
                </c:pt>
                <c:pt idx="174">
                  <c:v>4154392.9285251731</c:v>
                </c:pt>
                <c:pt idx="175">
                  <c:v>4154392.9285251731</c:v>
                </c:pt>
                <c:pt idx="176">
                  <c:v>4154392.9285251731</c:v>
                </c:pt>
                <c:pt idx="177">
                  <c:v>4154392.9285251731</c:v>
                </c:pt>
                <c:pt idx="178">
                  <c:v>4154392.9285251731</c:v>
                </c:pt>
                <c:pt idx="179">
                  <c:v>4154392.9285251731</c:v>
                </c:pt>
                <c:pt idx="180">
                  <c:v>4154392.9285251731</c:v>
                </c:pt>
                <c:pt idx="181">
                  <c:v>4154392.9285251731</c:v>
                </c:pt>
                <c:pt idx="182">
                  <c:v>4154392.9285251731</c:v>
                </c:pt>
                <c:pt idx="183">
                  <c:v>4154392.9285251731</c:v>
                </c:pt>
                <c:pt idx="184">
                  <c:v>4154392.9285251731</c:v>
                </c:pt>
                <c:pt idx="185">
                  <c:v>4154392.9285251731</c:v>
                </c:pt>
                <c:pt idx="186">
                  <c:v>4154392.9285251731</c:v>
                </c:pt>
                <c:pt idx="187">
                  <c:v>4154392.9285251731</c:v>
                </c:pt>
                <c:pt idx="188">
                  <c:v>4154392.9285251731</c:v>
                </c:pt>
                <c:pt idx="189">
                  <c:v>4154392.9285251731</c:v>
                </c:pt>
                <c:pt idx="190">
                  <c:v>4154392.9285251731</c:v>
                </c:pt>
                <c:pt idx="191">
                  <c:v>4154392.9285251731</c:v>
                </c:pt>
                <c:pt idx="192">
                  <c:v>4154392.9285251731</c:v>
                </c:pt>
                <c:pt idx="193">
                  <c:v>4154392.9285251731</c:v>
                </c:pt>
                <c:pt idx="194">
                  <c:v>4154392.9285251731</c:v>
                </c:pt>
                <c:pt idx="195">
                  <c:v>4154392.9285251731</c:v>
                </c:pt>
                <c:pt idx="196">
                  <c:v>4154392.9285251731</c:v>
                </c:pt>
                <c:pt idx="197">
                  <c:v>4154392.9285251731</c:v>
                </c:pt>
                <c:pt idx="198">
                  <c:v>4154392.9285251731</c:v>
                </c:pt>
                <c:pt idx="199">
                  <c:v>4154392.9285251731</c:v>
                </c:pt>
                <c:pt idx="200">
                  <c:v>4154392.9285251731</c:v>
                </c:pt>
                <c:pt idx="201">
                  <c:v>4154392.9285251731</c:v>
                </c:pt>
                <c:pt idx="202">
                  <c:v>4154392.9285251731</c:v>
                </c:pt>
                <c:pt idx="203">
                  <c:v>4154392.9285251731</c:v>
                </c:pt>
                <c:pt idx="204">
                  <c:v>4154392.9285251731</c:v>
                </c:pt>
                <c:pt idx="205">
                  <c:v>4154392.9285251731</c:v>
                </c:pt>
                <c:pt idx="206">
                  <c:v>4154392.9285251731</c:v>
                </c:pt>
                <c:pt idx="207">
                  <c:v>4154392.9285251731</c:v>
                </c:pt>
                <c:pt idx="208">
                  <c:v>4154392.9285251731</c:v>
                </c:pt>
                <c:pt idx="209">
                  <c:v>4154392.9285251731</c:v>
                </c:pt>
                <c:pt idx="210">
                  <c:v>4154392.9285251731</c:v>
                </c:pt>
                <c:pt idx="211">
                  <c:v>4154392.9285251731</c:v>
                </c:pt>
                <c:pt idx="212">
                  <c:v>4154392.9285251731</c:v>
                </c:pt>
                <c:pt idx="213">
                  <c:v>4154392.9285251731</c:v>
                </c:pt>
                <c:pt idx="214">
                  <c:v>4154392.9285251731</c:v>
                </c:pt>
                <c:pt idx="215">
                  <c:v>4154392.9285251731</c:v>
                </c:pt>
                <c:pt idx="216">
                  <c:v>4154392.9285251731</c:v>
                </c:pt>
                <c:pt idx="217">
                  <c:v>4154392.9285251731</c:v>
                </c:pt>
                <c:pt idx="218">
                  <c:v>4154392.9285251731</c:v>
                </c:pt>
                <c:pt idx="219">
                  <c:v>4154392.9285251731</c:v>
                </c:pt>
                <c:pt idx="220">
                  <c:v>4154392.9285251731</c:v>
                </c:pt>
                <c:pt idx="221">
                  <c:v>4154392.9285251731</c:v>
                </c:pt>
                <c:pt idx="222">
                  <c:v>4154392.9285251731</c:v>
                </c:pt>
                <c:pt idx="223">
                  <c:v>4154392.9285251731</c:v>
                </c:pt>
                <c:pt idx="224">
                  <c:v>4154392.9285251731</c:v>
                </c:pt>
                <c:pt idx="225">
                  <c:v>4154392.9285251731</c:v>
                </c:pt>
                <c:pt idx="226">
                  <c:v>4154392.9285251731</c:v>
                </c:pt>
                <c:pt idx="227">
                  <c:v>4154392.9285251731</c:v>
                </c:pt>
                <c:pt idx="228">
                  <c:v>4154392.9285251731</c:v>
                </c:pt>
                <c:pt idx="229">
                  <c:v>4154392.9285251731</c:v>
                </c:pt>
                <c:pt idx="230">
                  <c:v>4154392.9285251731</c:v>
                </c:pt>
                <c:pt idx="231">
                  <c:v>4154392.9285251731</c:v>
                </c:pt>
                <c:pt idx="232">
                  <c:v>4154392.9285251731</c:v>
                </c:pt>
                <c:pt idx="233">
                  <c:v>4154392.9285251731</c:v>
                </c:pt>
                <c:pt idx="234">
                  <c:v>4154392.9285251731</c:v>
                </c:pt>
                <c:pt idx="235">
                  <c:v>4154392.9285251731</c:v>
                </c:pt>
                <c:pt idx="236">
                  <c:v>4154392.9285251731</c:v>
                </c:pt>
                <c:pt idx="237">
                  <c:v>4154392.9285251731</c:v>
                </c:pt>
                <c:pt idx="238">
                  <c:v>4154392.9285251731</c:v>
                </c:pt>
                <c:pt idx="239">
                  <c:v>4154392.9285251731</c:v>
                </c:pt>
                <c:pt idx="240">
                  <c:v>4154392.9285251731</c:v>
                </c:pt>
                <c:pt idx="241">
                  <c:v>4154392.9285251731</c:v>
                </c:pt>
                <c:pt idx="242">
                  <c:v>4154392.9285251731</c:v>
                </c:pt>
                <c:pt idx="243">
                  <c:v>4154392.9285251731</c:v>
                </c:pt>
                <c:pt idx="244">
                  <c:v>4154392.9285251731</c:v>
                </c:pt>
                <c:pt idx="245">
                  <c:v>4154392.9285251731</c:v>
                </c:pt>
                <c:pt idx="246">
                  <c:v>4154392.9285251731</c:v>
                </c:pt>
                <c:pt idx="247">
                  <c:v>4154392.9285251731</c:v>
                </c:pt>
                <c:pt idx="248">
                  <c:v>4154392.9285251731</c:v>
                </c:pt>
                <c:pt idx="249">
                  <c:v>4154392.9285251731</c:v>
                </c:pt>
                <c:pt idx="250">
                  <c:v>4154392.9285251731</c:v>
                </c:pt>
                <c:pt idx="251">
                  <c:v>4154392.9285251731</c:v>
                </c:pt>
                <c:pt idx="252">
                  <c:v>4154392.9285251731</c:v>
                </c:pt>
                <c:pt idx="253">
                  <c:v>4154392.9285251731</c:v>
                </c:pt>
                <c:pt idx="254">
                  <c:v>4154392.9285251731</c:v>
                </c:pt>
                <c:pt idx="255">
                  <c:v>4154392.9285251731</c:v>
                </c:pt>
                <c:pt idx="256">
                  <c:v>4154392.9285251731</c:v>
                </c:pt>
                <c:pt idx="257">
                  <c:v>4154392.9285251731</c:v>
                </c:pt>
                <c:pt idx="258">
                  <c:v>4154392.9285251731</c:v>
                </c:pt>
                <c:pt idx="259">
                  <c:v>4154392.9285251731</c:v>
                </c:pt>
                <c:pt idx="260">
                  <c:v>4154392.9285251731</c:v>
                </c:pt>
                <c:pt idx="261">
                  <c:v>4154392.9285251731</c:v>
                </c:pt>
                <c:pt idx="262">
                  <c:v>4154392.9285251731</c:v>
                </c:pt>
                <c:pt idx="263">
                  <c:v>4154392.9285251731</c:v>
                </c:pt>
                <c:pt idx="264">
                  <c:v>4154392.9285251731</c:v>
                </c:pt>
                <c:pt idx="265">
                  <c:v>4154392.9285251731</c:v>
                </c:pt>
                <c:pt idx="266">
                  <c:v>4154392.9285251731</c:v>
                </c:pt>
                <c:pt idx="267">
                  <c:v>4154392.9285251731</c:v>
                </c:pt>
                <c:pt idx="268">
                  <c:v>4154392.9285251731</c:v>
                </c:pt>
                <c:pt idx="269">
                  <c:v>4154392.9285251731</c:v>
                </c:pt>
                <c:pt idx="270">
                  <c:v>4154392.9285251731</c:v>
                </c:pt>
                <c:pt idx="271">
                  <c:v>4154392.9285251731</c:v>
                </c:pt>
                <c:pt idx="272">
                  <c:v>4154392.9285251731</c:v>
                </c:pt>
                <c:pt idx="273">
                  <c:v>4154392.9285251731</c:v>
                </c:pt>
                <c:pt idx="274">
                  <c:v>4154392.9285251731</c:v>
                </c:pt>
                <c:pt idx="275">
                  <c:v>4154392.9285251731</c:v>
                </c:pt>
                <c:pt idx="276">
                  <c:v>4154392.9285251731</c:v>
                </c:pt>
                <c:pt idx="277">
                  <c:v>4154392.9285251731</c:v>
                </c:pt>
                <c:pt idx="278">
                  <c:v>4154392.9285251731</c:v>
                </c:pt>
                <c:pt idx="279">
                  <c:v>4154392.9285251731</c:v>
                </c:pt>
                <c:pt idx="280">
                  <c:v>4154392.9285251731</c:v>
                </c:pt>
                <c:pt idx="281">
                  <c:v>4154392.9285251731</c:v>
                </c:pt>
                <c:pt idx="282">
                  <c:v>4154392.9285251731</c:v>
                </c:pt>
                <c:pt idx="283">
                  <c:v>4154392.9285251731</c:v>
                </c:pt>
                <c:pt idx="284">
                  <c:v>4154392.9285251731</c:v>
                </c:pt>
                <c:pt idx="285">
                  <c:v>4154392.9285251731</c:v>
                </c:pt>
                <c:pt idx="286">
                  <c:v>4154392.9285251731</c:v>
                </c:pt>
                <c:pt idx="287">
                  <c:v>4154392.9285251731</c:v>
                </c:pt>
                <c:pt idx="288">
                  <c:v>4154392.9285251731</c:v>
                </c:pt>
                <c:pt idx="289">
                  <c:v>4154392.9285251731</c:v>
                </c:pt>
                <c:pt idx="290">
                  <c:v>4154392.9285251731</c:v>
                </c:pt>
                <c:pt idx="291">
                  <c:v>4154392.9285251731</c:v>
                </c:pt>
                <c:pt idx="292">
                  <c:v>4154392.9285251731</c:v>
                </c:pt>
                <c:pt idx="293">
                  <c:v>4154392.9285251731</c:v>
                </c:pt>
                <c:pt idx="294">
                  <c:v>4154392.9285251731</c:v>
                </c:pt>
                <c:pt idx="295">
                  <c:v>4154392.9285251731</c:v>
                </c:pt>
                <c:pt idx="296">
                  <c:v>4154392.9285251731</c:v>
                </c:pt>
                <c:pt idx="297">
                  <c:v>4154392.9285251731</c:v>
                </c:pt>
                <c:pt idx="298">
                  <c:v>4154392.9285251731</c:v>
                </c:pt>
                <c:pt idx="299">
                  <c:v>4154392.9285251731</c:v>
                </c:pt>
                <c:pt idx="300">
                  <c:v>4154392.9285251731</c:v>
                </c:pt>
                <c:pt idx="301">
                  <c:v>4154392.9285251731</c:v>
                </c:pt>
                <c:pt idx="302">
                  <c:v>4154392.9285251731</c:v>
                </c:pt>
                <c:pt idx="303">
                  <c:v>4154392.9285251731</c:v>
                </c:pt>
                <c:pt idx="304">
                  <c:v>4154392.9285251731</c:v>
                </c:pt>
                <c:pt idx="305">
                  <c:v>4154392.9285251731</c:v>
                </c:pt>
                <c:pt idx="306">
                  <c:v>4154392.9285251731</c:v>
                </c:pt>
                <c:pt idx="307">
                  <c:v>4154392.9285251731</c:v>
                </c:pt>
                <c:pt idx="308">
                  <c:v>4154392.9285251731</c:v>
                </c:pt>
                <c:pt idx="309">
                  <c:v>4154392.9285251731</c:v>
                </c:pt>
                <c:pt idx="310">
                  <c:v>4154392.9285251731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28515625" style="65" bestFit="1" customWidth="1"/>
    <col min="3" max="3" width="19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1" t="s">
        <v>57</v>
      </c>
      <c r="E47" s="761"/>
      <c r="F47" s="762"/>
      <c r="G47" s="67"/>
      <c r="I47" s="68"/>
      <c r="J47" s="68"/>
    </row>
    <row r="48" spans="1:49" ht="13.9" thickBot="1">
      <c r="C48" s="69">
        <v>44014</v>
      </c>
      <c r="D48" s="763"/>
      <c r="E48" s="763"/>
      <c r="F48" s="76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4.65" thickBot="1"/>
    <row r="2" spans="2:10" ht="15" thickTop="1" thickBot="1">
      <c r="B2" s="765" t="s">
        <v>58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5" t="s">
        <v>69</v>
      </c>
      <c r="C16" s="766"/>
      <c r="D16" s="766"/>
      <c r="E16" s="766"/>
      <c r="F16" s="767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13" sqref="F13:F19"/>
    </sheetView>
  </sheetViews>
  <sheetFormatPr defaultColWidth="8.285156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5.5703125" style="129" bestFit="1" customWidth="1"/>
    <col min="7" max="7" width="12.5703125" style="129" bestFit="1" customWidth="1"/>
    <col min="8" max="8" width="15.28515625" style="129" customWidth="1"/>
    <col min="9" max="9" width="1.42578125" style="129" customWidth="1"/>
    <col min="10" max="10" width="3.285156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28515625" style="93" customWidth="1"/>
    <col min="16" max="16" width="20" style="129" customWidth="1"/>
    <col min="17" max="17" width="14.7109375" style="129" bestFit="1" customWidth="1"/>
    <col min="18" max="18" width="19.5703125" style="129" customWidth="1"/>
    <col min="19" max="19" width="16" style="129" customWidth="1"/>
    <col min="20" max="20" width="18" style="129" bestFit="1" customWidth="1"/>
    <col min="21" max="21" width="15.28515625" style="93" bestFit="1" customWidth="1"/>
    <col min="22" max="23" width="8.28515625" style="93"/>
    <col min="24" max="24" width="5.5703125" style="93" bestFit="1" customWidth="1"/>
    <col min="25" max="25" width="14.425781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15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15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1276793.1914130438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1229853.4414130438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8238201.1139130434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4154392.928525175</v>
      </c>
      <c r="G6" s="720">
        <f>D6*0.05</f>
        <v>97385.9296357899</v>
      </c>
      <c r="H6" s="116">
        <f>SUMIF('Expenditure Breakdown'!N:N,"*VO*",'Expenditure Breakdown'!Q:Q)</f>
        <v>186543.66391304348</v>
      </c>
      <c r="J6" s="140"/>
      <c r="L6" s="373"/>
      <c r="N6" s="373" t="s">
        <v>90</v>
      </c>
      <c r="S6" s="140"/>
    </row>
    <row r="7" spans="1:21" s="93" customFormat="1" ht="13.5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0.33523190659667623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15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.25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15">
      <c r="B13" s="351">
        <v>1</v>
      </c>
      <c r="C13" s="770" t="s">
        <v>102</v>
      </c>
      <c r="D13" s="771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2.75">
      <c r="B14" s="153">
        <v>2</v>
      </c>
      <c r="C14" s="770" t="s">
        <v>104</v>
      </c>
      <c r="D14" s="771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2.75">
      <c r="B15" s="351">
        <v>3</v>
      </c>
      <c r="C15" s="770" t="s">
        <v>106</v>
      </c>
      <c r="D15" s="771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2.75">
      <c r="B16" s="351">
        <v>4</v>
      </c>
      <c r="C16" s="768" t="s">
        <v>107</v>
      </c>
      <c r="D16" s="769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2.75">
      <c r="B17" s="351">
        <v>5</v>
      </c>
      <c r="C17" s="768" t="s">
        <v>54</v>
      </c>
      <c r="D17" s="769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2.75">
      <c r="B18" s="351">
        <v>6</v>
      </c>
      <c r="C18" s="768" t="s">
        <v>110</v>
      </c>
      <c r="D18" s="769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2.75">
      <c r="B19" s="351">
        <v>7</v>
      </c>
      <c r="C19" s="770" t="s">
        <v>111</v>
      </c>
      <c r="D19" s="771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15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2.75">
      <c r="C24" s="146" t="s">
        <v>114</v>
      </c>
      <c r="D24" s="147"/>
      <c r="F24" s="148"/>
    </row>
    <row r="25" spans="2:19" s="93" customFormat="1" ht="12.7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2.7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2.75">
      <c r="C27" s="151" t="s">
        <v>119</v>
      </c>
      <c r="D27" s="147"/>
      <c r="N27" s="93">
        <f>N25-N26</f>
        <v>12880</v>
      </c>
    </row>
    <row r="28" spans="2:19" s="93" customFormat="1" ht="12.7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2.7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2.75">
      <c r="B31" s="117"/>
      <c r="F31" s="145"/>
    </row>
    <row r="32" spans="2:19" s="93" customFormat="1" ht="12.75">
      <c r="B32" s="117"/>
      <c r="F32" s="145"/>
      <c r="R32" s="116"/>
    </row>
    <row r="33" spans="2:16" s="93" customFormat="1" ht="12.75">
      <c r="B33" s="117"/>
      <c r="F33" s="145"/>
    </row>
    <row r="34" spans="2:16" s="93" customFormat="1" ht="12.75">
      <c r="B34" s="117"/>
      <c r="F34" s="145"/>
    </row>
    <row r="35" spans="2:16" s="93" customFormat="1" ht="12.75">
      <c r="B35" s="117"/>
    </row>
    <row r="36" spans="2:16" s="93" customFormat="1" ht="12.75">
      <c r="B36" s="117"/>
      <c r="P36" s="720"/>
    </row>
    <row r="37" spans="2:16" s="93" customFormat="1" ht="12.7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2.75">
      <c r="B49" s="117"/>
    </row>
    <row r="50" spans="2:6" s="93" customFormat="1" ht="12.75">
      <c r="B50" s="117"/>
      <c r="F50" s="756"/>
    </row>
    <row r="51" spans="2:6" s="93" customFormat="1" ht="12.75">
      <c r="B51" s="117"/>
    </row>
    <row r="52" spans="2:6" s="93" customFormat="1" ht="12.75">
      <c r="B52" s="117"/>
    </row>
    <row r="53" spans="2:6" s="93" customFormat="1" ht="12.75">
      <c r="B53" s="117"/>
    </row>
    <row r="54" spans="2:6" s="93" customFormat="1" ht="12.75">
      <c r="B54" s="117"/>
    </row>
    <row r="55" spans="2:6" s="93" customFormat="1" ht="12.75">
      <c r="B55" s="117"/>
    </row>
    <row r="56" spans="2:6" s="93" customFormat="1" ht="12.75">
      <c r="B56" s="117"/>
    </row>
    <row r="57" spans="2:6" s="93" customFormat="1" ht="12.75">
      <c r="B57" s="117"/>
    </row>
    <row r="58" spans="2:6" s="93" customFormat="1" ht="12.75">
      <c r="B58" s="117"/>
    </row>
    <row r="59" spans="2:6" s="93" customFormat="1" ht="12.75">
      <c r="B59" s="117"/>
    </row>
    <row r="60" spans="2:6" s="93" customFormat="1" ht="12.75">
      <c r="B60" s="117"/>
    </row>
    <row r="61" spans="2:6" s="93" customFormat="1" ht="12.75">
      <c r="B61" s="117"/>
    </row>
    <row r="62" spans="2:6" s="93" customFormat="1" ht="12.75">
      <c r="B62" s="117"/>
    </row>
    <row r="63" spans="2:6" s="93" customFormat="1" ht="12.75">
      <c r="B63" s="117"/>
    </row>
    <row r="64" spans="2:6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58" zoomScale="85" zoomScaleNormal="85" workbookViewId="0">
      <selection activeCell="O79" sqref="O79"/>
    </sheetView>
  </sheetViews>
  <sheetFormatPr defaultColWidth="8.28515625" defaultRowHeight="13.5"/>
  <cols>
    <col min="1" max="1" width="1.28515625" style="112" customWidth="1"/>
    <col min="2" max="2" width="6.42578125" style="170" bestFit="1" customWidth="1"/>
    <col min="3" max="3" width="46" style="24" customWidth="1"/>
    <col min="4" max="4" width="3.28515625" style="112" customWidth="1"/>
    <col min="5" max="5" width="14.7109375" style="24" customWidth="1"/>
    <col min="6" max="6" width="10.28515625" style="167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7109375" style="112" customWidth="1"/>
    <col min="12" max="12" width="2.42578125" style="112" customWidth="1"/>
    <col min="13" max="13" width="12.5703125" style="112" customWidth="1"/>
    <col min="14" max="14" width="12.7109375" style="112" customWidth="1"/>
    <col min="15" max="15" width="70.28515625" style="112" bestFit="1" customWidth="1"/>
    <col min="16" max="16" width="1.28515625" style="112" customWidth="1"/>
    <col min="17" max="17" width="5.5703125" style="3" customWidth="1"/>
    <col min="18" max="18" width="8.28515625" style="112"/>
    <col min="19" max="19" width="28.7109375" style="112" bestFit="1" customWidth="1"/>
    <col min="20" max="20" width="15.28515625" style="112" bestFit="1" customWidth="1"/>
    <col min="21" max="21" width="15.5703125" style="24" bestFit="1" customWidth="1"/>
    <col min="22" max="22" width="11.42578125" style="24" bestFit="1" customWidth="1"/>
    <col min="23" max="23" width="7.42578125" style="24" bestFit="1" customWidth="1"/>
    <col min="24" max="24" width="13.5703125" style="24" hidden="1" customWidth="1"/>
    <col min="25" max="25" width="8.28515625" style="24"/>
    <col min="26" max="26" width="21.28515625" style="24" bestFit="1" customWidth="1"/>
    <col min="27" max="27" width="10.28515625" style="24" bestFit="1" customWidth="1"/>
    <col min="28" max="16384" width="8.285156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46083</v>
      </c>
      <c r="O1" s="402">
        <f ca="1">TODAY()</f>
        <v>46083</v>
      </c>
      <c r="Q1" s="3"/>
    </row>
    <row r="2" spans="2:27" ht="13.9">
      <c r="B2" s="175"/>
      <c r="C2" s="176" t="s">
        <v>0</v>
      </c>
      <c r="D2" s="177"/>
      <c r="E2" s="772" t="s">
        <v>127</v>
      </c>
      <c r="F2" s="773"/>
      <c r="G2" s="773"/>
      <c r="H2" s="774"/>
      <c r="N2" s="403">
        <v>0</v>
      </c>
      <c r="O2" s="403">
        <v>1</v>
      </c>
    </row>
    <row r="3" spans="2:27" s="112" customFormat="1" ht="13.9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 ht="13.9">
      <c r="B4" s="178"/>
      <c r="C4" s="179" t="s">
        <v>129</v>
      </c>
      <c r="D4" s="177"/>
      <c r="E4" s="775" t="s">
        <v>130</v>
      </c>
      <c r="F4" s="776"/>
      <c r="G4" s="776"/>
      <c r="H4" s="777"/>
      <c r="J4" s="640" t="s">
        <v>131</v>
      </c>
      <c r="K4" s="641">
        <v>45869</v>
      </c>
      <c r="Q4" s="3"/>
    </row>
    <row r="5" spans="2:27" s="112" customFormat="1" ht="13.9">
      <c r="B5" s="178"/>
      <c r="C5" s="179" t="s">
        <v>132</v>
      </c>
      <c r="D5" s="177"/>
      <c r="E5" s="775" t="s">
        <v>133</v>
      </c>
      <c r="F5" s="776"/>
      <c r="G5" s="776"/>
      <c r="H5" s="777"/>
      <c r="J5" s="113"/>
      <c r="Q5" s="3"/>
    </row>
    <row r="6" spans="2:27" ht="13.9">
      <c r="B6" s="183"/>
      <c r="C6" s="184" t="s">
        <v>134</v>
      </c>
      <c r="D6" s="177"/>
      <c r="E6" s="778">
        <v>12364058.4066993</v>
      </c>
      <c r="F6" s="779"/>
      <c r="G6" s="779"/>
      <c r="H6" s="780"/>
    </row>
    <row r="7" spans="2:27" s="112" customFormat="1" ht="13.9">
      <c r="B7" s="166"/>
      <c r="C7" s="753" t="s">
        <v>135</v>
      </c>
      <c r="D7" s="754"/>
      <c r="E7" s="755" t="s">
        <v>136</v>
      </c>
      <c r="F7" s="167"/>
      <c r="G7" s="185"/>
      <c r="J7" s="113"/>
      <c r="Q7" s="3"/>
    </row>
    <row r="8" spans="2:27" ht="30" customHeight="1">
      <c r="B8" s="784" t="s">
        <v>93</v>
      </c>
      <c r="C8" s="785" t="s">
        <v>137</v>
      </c>
      <c r="D8" s="214"/>
      <c r="E8" s="783" t="s">
        <v>138</v>
      </c>
      <c r="F8" s="236" t="s">
        <v>139</v>
      </c>
      <c r="G8" s="783" t="s">
        <v>140</v>
      </c>
      <c r="H8" s="237"/>
      <c r="I8" s="783" t="s">
        <v>141</v>
      </c>
      <c r="J8" s="236" t="s">
        <v>139</v>
      </c>
      <c r="K8" s="783" t="s">
        <v>142</v>
      </c>
      <c r="M8" s="409" t="s">
        <v>60</v>
      </c>
      <c r="N8" s="693" t="s">
        <v>143</v>
      </c>
      <c r="O8" s="781" t="s">
        <v>144</v>
      </c>
      <c r="U8" s="112"/>
      <c r="V8" s="112"/>
    </row>
    <row r="9" spans="2:27" ht="13.9">
      <c r="B9" s="784"/>
      <c r="C9" s="785"/>
      <c r="D9" s="214"/>
      <c r="E9" s="783"/>
      <c r="F9" s="126">
        <f>G52-E20</f>
        <v>89</v>
      </c>
      <c r="G9" s="783"/>
      <c r="H9" s="237"/>
      <c r="I9" s="783"/>
      <c r="J9" s="127">
        <f>K52-I20</f>
        <v>105</v>
      </c>
      <c r="K9" s="783"/>
      <c r="M9" s="361">
        <f ca="1">AVERAGE(M11,M19,M22,M31,M41,M52,M69,M65)</f>
        <v>1</v>
      </c>
      <c r="N9" s="361">
        <f ca="1">AVERAGE(N11,N19,N22,N31,N41,N52,N69,N65)</f>
        <v>1</v>
      </c>
      <c r="O9" s="782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 ht="13.9">
      <c r="B11" s="243">
        <v>1</v>
      </c>
      <c r="C11" s="244" t="s">
        <v>145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 ht="13.9">
      <c r="B12" s="247" t="s">
        <v>146</v>
      </c>
      <c r="C12" s="248" t="s">
        <v>147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148</v>
      </c>
      <c r="AA12" s="666">
        <v>45849</v>
      </c>
    </row>
    <row r="13" spans="2:27" s="112" customFormat="1" ht="13.9">
      <c r="B13" s="247" t="s">
        <v>149</v>
      </c>
      <c r="C13" s="248" t="s">
        <v>150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 ht="13.9">
      <c r="B14" s="247" t="s">
        <v>151</v>
      </c>
      <c r="C14" s="248" t="s">
        <v>152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 ht="13.9">
      <c r="B15" s="247" t="s">
        <v>153</v>
      </c>
      <c r="C15" s="680" t="s">
        <v>154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 ht="13.9">
      <c r="B16" s="247" t="s">
        <v>155</v>
      </c>
      <c r="C16" s="248" t="s">
        <v>156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 ht="13.9">
      <c r="B17" s="247" t="s">
        <v>157</v>
      </c>
      <c r="C17" s="248" t="s">
        <v>158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159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 ht="13.9">
      <c r="B19" s="243">
        <v>2</v>
      </c>
      <c r="C19" s="244" t="s">
        <v>160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>N69</f>
        <v>1</v>
      </c>
    </row>
    <row r="20" spans="2:26" s="112" customFormat="1" ht="13.9">
      <c r="B20" s="247" t="s">
        <v>161</v>
      </c>
      <c r="C20" s="248" t="s">
        <v>162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1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 ht="13.9">
      <c r="B22" s="243">
        <v>3</v>
      </c>
      <c r="C22" s="244" t="s">
        <v>163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 ht="13.9">
      <c r="B23" s="247" t="s">
        <v>164</v>
      </c>
      <c r="C23" s="248" t="s">
        <v>165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 ht="13.9">
      <c r="B24" s="247" t="s">
        <v>166</v>
      </c>
      <c r="C24" s="248" t="s">
        <v>167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 ht="13.9">
      <c r="B25" s="247" t="s">
        <v>168</v>
      </c>
      <c r="C25" s="248" t="s">
        <v>169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 ht="13.9">
      <c r="B26" s="247" t="s">
        <v>170</v>
      </c>
      <c r="C26" s="699" t="s">
        <v>171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172</v>
      </c>
      <c r="Q26" s="124"/>
      <c r="R26" s="121"/>
      <c r="S26" s="121"/>
      <c r="T26" s="121"/>
      <c r="U26" s="121"/>
      <c r="V26" s="121"/>
    </row>
    <row r="27" spans="2:26" s="112" customFormat="1" ht="13.9">
      <c r="B27" s="247" t="s">
        <v>173</v>
      </c>
      <c r="C27" s="699" t="s">
        <v>174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 ht="13.9">
      <c r="B28" s="247" t="s">
        <v>175</v>
      </c>
      <c r="C28" s="248" t="s">
        <v>176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 ht="13.9">
      <c r="B29" s="247" t="s">
        <v>177</v>
      </c>
      <c r="C29" s="248" t="s">
        <v>178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 ht="13.9">
      <c r="B31" s="243">
        <v>4</v>
      </c>
      <c r="C31" s="244" t="s">
        <v>179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t="13.9" hidden="1">
      <c r="B32" s="247" t="s">
        <v>180</v>
      </c>
      <c r="C32" s="248" t="s">
        <v>181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 ht="13.9">
      <c r="B33" s="247" t="s">
        <v>180</v>
      </c>
      <c r="C33" s="248" t="s">
        <v>165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 ht="13.9">
      <c r="B34" s="247" t="s">
        <v>182</v>
      </c>
      <c r="C34" s="248" t="s">
        <v>167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 ht="13.9">
      <c r="B35" s="247" t="s">
        <v>183</v>
      </c>
      <c r="C35" s="248" t="s">
        <v>169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 ht="13.9">
      <c r="B36" s="698" t="s">
        <v>184</v>
      </c>
      <c r="C36" s="699" t="s">
        <v>185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 ht="13.9">
      <c r="B37" s="698" t="s">
        <v>186</v>
      </c>
      <c r="C37" s="699" t="s">
        <v>174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 ht="13.9">
      <c r="B38" s="247" t="s">
        <v>187</v>
      </c>
      <c r="C38" s="248" t="s">
        <v>188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 ht="13.9">
      <c r="B39" s="247" t="s">
        <v>189</v>
      </c>
      <c r="C39" s="248" t="s">
        <v>190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 ht="13.9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 ht="13.9">
      <c r="B42" s="247" t="s">
        <v>191</v>
      </c>
      <c r="C42" s="248" t="s">
        <v>192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 ht="13.9">
      <c r="B43" s="247" t="s">
        <v>193</v>
      </c>
      <c r="C43" s="248" t="s">
        <v>194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 ht="13.9">
      <c r="B44" s="247" t="s">
        <v>195</v>
      </c>
      <c r="C44" s="248" t="s">
        <v>196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 ht="13.9">
      <c r="B45" s="247" t="s">
        <v>197</v>
      </c>
      <c r="C45" s="248" t="s">
        <v>198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 ht="13.9">
      <c r="B46" s="247" t="s">
        <v>199</v>
      </c>
      <c r="C46" s="248" t="s">
        <v>200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 ht="13.9">
      <c r="B47" s="247" t="s">
        <v>201</v>
      </c>
      <c r="C47" s="248" t="s">
        <v>202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 ht="13.9">
      <c r="B48" s="247" t="s">
        <v>203</v>
      </c>
      <c r="C48" s="242" t="s">
        <v>204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 ht="13.9">
      <c r="B49" s="247" t="s">
        <v>205</v>
      </c>
      <c r="C49" s="242" t="s">
        <v>206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 ht="13.9">
      <c r="B50" s="698" t="s">
        <v>207</v>
      </c>
      <c r="C50" s="704" t="s">
        <v>208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 ht="13.9">
      <c r="B52" s="243">
        <v>6</v>
      </c>
      <c r="C52" s="244" t="s">
        <v>209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1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 ht="13.9">
      <c r="B53" s="247" t="s">
        <v>210</v>
      </c>
      <c r="C53" s="242" t="s">
        <v>211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 ht="13.9">
      <c r="B54" s="247" t="s">
        <v>212</v>
      </c>
      <c r="C54" s="242" t="s">
        <v>213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 ht="13.9">
      <c r="B55" s="247" t="s">
        <v>214</v>
      </c>
      <c r="C55" s="242" t="s">
        <v>215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 ht="13.9">
      <c r="B56" s="247" t="s">
        <v>216</v>
      </c>
      <c r="C56" s="242" t="s">
        <v>159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217</v>
      </c>
      <c r="R56" s="24"/>
      <c r="S56" s="24"/>
      <c r="T56" s="24"/>
    </row>
    <row r="57" spans="2:30" ht="13.9">
      <c r="B57" s="247" t="s">
        <v>218</v>
      </c>
      <c r="C57" s="242" t="s">
        <v>219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 ht="13.9">
      <c r="B58" s="247" t="s">
        <v>220</v>
      </c>
      <c r="C58" s="242" t="s">
        <v>221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 ht="13.9">
      <c r="B59" s="698" t="s">
        <v>222</v>
      </c>
      <c r="C59" s="704" t="s">
        <v>223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 ht="13.9">
      <c r="B60" s="698" t="s">
        <v>224</v>
      </c>
      <c r="C60" s="704" t="s">
        <v>225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 ht="13.9">
      <c r="B61" s="698" t="s">
        <v>226</v>
      </c>
      <c r="C61" s="704" t="s">
        <v>227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 ht="13.9">
      <c r="B62" s="698" t="s">
        <v>228</v>
      </c>
      <c r="C62" s="704" t="s">
        <v>229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 ht="13.9">
      <c r="B63" s="698" t="s">
        <v>230</v>
      </c>
      <c r="C63" s="704" t="s">
        <v>231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 ht="13.9">
      <c r="B65" s="243">
        <v>7</v>
      </c>
      <c r="C65" s="244" t="s">
        <v>232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233</v>
      </c>
      <c r="T65" s="707" t="s">
        <v>234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 ht="13.9">
      <c r="B66" s="247">
        <v>7.1</v>
      </c>
      <c r="C66" s="242" t="s">
        <v>235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148</v>
      </c>
      <c r="T66" s="708">
        <f>'Revenue Tracking'!P13</f>
        <v>45849</v>
      </c>
      <c r="U66" s="708">
        <f>T66</f>
        <v>45849</v>
      </c>
    </row>
    <row r="67" spans="2:30" ht="13.9">
      <c r="B67" s="247" t="s">
        <v>236</v>
      </c>
      <c r="C67" s="242" t="s">
        <v>237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238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239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 ht="13.9">
      <c r="B69" s="243">
        <v>8</v>
      </c>
      <c r="C69" s="244" t="s">
        <v>240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760">
        <v>1</v>
      </c>
      <c r="N69" s="760">
        <v>1</v>
      </c>
      <c r="O69" s="122"/>
      <c r="Q69" s="124"/>
      <c r="R69" s="706"/>
      <c r="S69" s="709" t="s">
        <v>241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 ht="13.9">
      <c r="B70" s="247">
        <v>8.1</v>
      </c>
      <c r="C70" s="242" t="s">
        <v>242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243</v>
      </c>
      <c r="T70" s="710">
        <f>T69*20600</f>
        <v>556200</v>
      </c>
      <c r="U70" s="710"/>
    </row>
    <row r="71" spans="2:30" ht="13.9">
      <c r="B71" s="247">
        <v>8.1999999999999993</v>
      </c>
      <c r="C71" s="741" t="s">
        <v>244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1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245</v>
      </c>
      <c r="R71" s="24"/>
      <c r="S71" s="24"/>
      <c r="T71" s="24"/>
    </row>
    <row r="72" spans="2:30" ht="13.9">
      <c r="B72" s="247">
        <v>8.3000000000000007</v>
      </c>
      <c r="C72" s="242" t="s">
        <v>246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 ht="13.9">
      <c r="B73" s="247">
        <v>8.4</v>
      </c>
      <c r="C73" s="242" t="s">
        <v>247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 ht="13.9">
      <c r="B74" s="247">
        <v>8.5</v>
      </c>
      <c r="C74" s="242" t="s">
        <v>248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 ht="13.9">
      <c r="B75" s="247"/>
      <c r="C75" s="242" t="s">
        <v>249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 ht="13.9">
      <c r="B76" s="247">
        <v>8.6</v>
      </c>
      <c r="C76" s="242" t="s">
        <v>250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 ht="13.9">
      <c r="B77" s="247">
        <v>8.6999999999999993</v>
      </c>
      <c r="C77" s="242" t="s">
        <v>251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1</v>
      </c>
      <c r="N77" s="253">
        <f t="shared" ca="1" si="8"/>
        <v>1</v>
      </c>
      <c r="O77" s="122"/>
      <c r="R77" s="24"/>
      <c r="S77" s="24"/>
      <c r="T77" s="24"/>
    </row>
    <row r="78" spans="2:30" ht="13.9">
      <c r="B78" s="247">
        <v>8.8000000000000007</v>
      </c>
      <c r="C78" s="242" t="s">
        <v>252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 ht="13.9">
      <c r="B79" s="247">
        <v>8.9</v>
      </c>
      <c r="C79" s="242" t="s">
        <v>253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 ht="13.9">
      <c r="B80" s="247" t="s">
        <v>254</v>
      </c>
      <c r="C80" s="242" t="s">
        <v>255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1</v>
      </c>
      <c r="N80" s="253">
        <f t="shared" ca="1" si="8"/>
        <v>1</v>
      </c>
      <c r="O80" s="122"/>
      <c r="R80" s="24"/>
      <c r="S80" s="706"/>
      <c r="T80" s="706"/>
      <c r="U80" s="706"/>
    </row>
    <row r="81" spans="2:23" ht="13.9">
      <c r="B81" s="247" t="s">
        <v>256</v>
      </c>
      <c r="C81" s="242" t="s">
        <v>257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 ht="13.9">
      <c r="B82" s="247" t="s">
        <v>258</v>
      </c>
      <c r="C82" s="242" t="s">
        <v>259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1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7 M20:N20 M32:N39 M42:N50 M66:N67 M23:N29 M53:N63 M70:N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15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15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5"/>
  <cols>
    <col min="1" max="1" width="1.28515625" style="24" customWidth="1"/>
    <col min="2" max="2" width="8.28515625" style="64"/>
    <col min="3" max="3" width="2.425781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425781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280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86"/>
      <c r="C4" s="786"/>
      <c r="D4" s="786"/>
      <c r="E4" s="411"/>
      <c r="F4" s="219" t="s">
        <v>74</v>
      </c>
      <c r="G4" s="214"/>
      <c r="H4" s="219" t="s">
        <v>75</v>
      </c>
      <c r="I4" s="214"/>
      <c r="J4" s="220" t="s">
        <v>281</v>
      </c>
      <c r="K4" s="112"/>
      <c r="L4" s="112"/>
    </row>
    <row r="5" spans="1:12" ht="14.25" thickBot="1">
      <c r="A5" s="214"/>
      <c r="B5" s="787" t="s">
        <v>282</v>
      </c>
      <c r="C5" s="787"/>
      <c r="D5" s="787"/>
      <c r="E5" s="411"/>
      <c r="F5" s="221">
        <f>SUM(F9:F23)</f>
        <v>10416339.813983502</v>
      </c>
      <c r="G5" s="216"/>
      <c r="H5" s="221">
        <f>SUM(H9:H23)</f>
        <v>8238201.1139130434</v>
      </c>
      <c r="I5" s="214"/>
      <c r="J5" s="222">
        <f>SUM(J9:J23)</f>
        <v>2178138.7000704566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93</v>
      </c>
      <c r="C7" s="225"/>
      <c r="D7" s="224" t="s">
        <v>283</v>
      </c>
      <c r="E7" s="225"/>
      <c r="F7" s="226" t="s">
        <v>284</v>
      </c>
      <c r="G7" s="227"/>
      <c r="H7" s="226" t="s">
        <v>285</v>
      </c>
      <c r="I7" s="227"/>
      <c r="J7" s="226" t="s">
        <v>286</v>
      </c>
      <c r="K7" s="171"/>
      <c r="L7" s="115" t="s">
        <v>287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 ht="13.9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 ht="13.9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 ht="13.9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 ht="13.9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 ht="13.9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 ht="13.9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 ht="13.9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 ht="13.9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 ht="13.9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 ht="13.9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 ht="13.9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 ht="13.9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 ht="13.9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 ht="13.9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159728.68391304347</v>
      </c>
      <c r="I23" s="89"/>
      <c r="J23" s="231">
        <f t="shared" si="0"/>
        <v>-159728.68391304347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288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opLeftCell="M1" zoomScale="85" zoomScaleNormal="85" workbookViewId="0">
      <pane ySplit="4" topLeftCell="J186" activePane="bottomLeft" state="frozen"/>
      <selection pane="bottomLeft" activeCell="W214" sqref="W214:W215"/>
      <selection activeCell="X33" sqref="X33"/>
    </sheetView>
  </sheetViews>
  <sheetFormatPr defaultColWidth="9.42578125" defaultRowHeight="13.5"/>
  <cols>
    <col min="1" max="1" width="2.42578125" style="112" customWidth="1"/>
    <col min="2" max="2" width="6.42578125" style="24" customWidth="1"/>
    <col min="3" max="3" width="20.42578125" style="24" customWidth="1"/>
    <col min="4" max="4" width="51.7109375" style="24" customWidth="1"/>
    <col min="5" max="5" width="13" style="70" customWidth="1"/>
    <col min="6" max="6" width="16.5703125" style="472" customWidth="1"/>
    <col min="7" max="7" width="17.28515625" style="24" customWidth="1"/>
    <col min="8" max="8" width="17.28515625" style="541" customWidth="1"/>
    <col min="9" max="9" width="22.28515625" style="349" customWidth="1"/>
    <col min="10" max="10" width="22.28515625" style="349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6" style="112" bestFit="1" customWidth="1"/>
    <col min="16" max="17" width="17.28515625" style="112" customWidth="1"/>
    <col min="18" max="18" width="38.28515625" style="112" bestFit="1" customWidth="1"/>
    <col min="19" max="19" width="33.42578125" style="112" bestFit="1" customWidth="1"/>
    <col min="20" max="21" width="17.28515625" style="541" customWidth="1"/>
    <col min="22" max="22" width="17.28515625" style="112" customWidth="1"/>
    <col min="23" max="23" width="16.7109375" style="541" bestFit="1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76" width="17.28515625" style="112" customWidth="1"/>
    <col min="77" max="16384" width="9.42578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840" t="s">
        <v>289</v>
      </c>
      <c r="C2" s="841"/>
      <c r="D2" s="841"/>
      <c r="E2" s="841"/>
      <c r="F2" s="841"/>
      <c r="G2" s="841"/>
      <c r="H2" s="692"/>
      <c r="I2" s="257">
        <f>SUM(I6:I218)</f>
        <v>10416339.813983502</v>
      </c>
      <c r="J2" s="257">
        <f>SUM(J6:J218)</f>
        <v>12364058.406699263</v>
      </c>
      <c r="L2" s="842" t="s">
        <v>290</v>
      </c>
      <c r="M2" s="843"/>
      <c r="N2" s="843"/>
      <c r="O2" s="843"/>
      <c r="P2" s="843"/>
      <c r="Q2" s="843"/>
      <c r="R2" s="844" t="s">
        <v>291</v>
      </c>
      <c r="S2" s="845"/>
      <c r="T2" s="845"/>
      <c r="U2" s="845"/>
      <c r="V2" s="845"/>
      <c r="W2" s="846"/>
      <c r="X2" s="476">
        <f>SUM(X6:X218)</f>
        <v>8238201.1139130434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292</v>
      </c>
      <c r="C4" s="259" t="s">
        <v>293</v>
      </c>
      <c r="D4" s="259" t="s">
        <v>294</v>
      </c>
      <c r="E4" s="259" t="s">
        <v>295</v>
      </c>
      <c r="F4" s="463" t="s">
        <v>296</v>
      </c>
      <c r="G4" s="260" t="s">
        <v>297</v>
      </c>
      <c r="H4" s="638" t="s">
        <v>298</v>
      </c>
      <c r="I4" s="261" t="s">
        <v>299</v>
      </c>
      <c r="J4" s="261" t="str">
        <f>IF(J2-'Revenue Tracking'!D4&gt;=0, "Total Revenue", "ERROR on REV" )</f>
        <v>ERROR on REV</v>
      </c>
      <c r="K4" s="164"/>
      <c r="L4" s="258" t="s">
        <v>292</v>
      </c>
      <c r="M4" s="259" t="s">
        <v>300</v>
      </c>
      <c r="N4" s="259" t="s">
        <v>294</v>
      </c>
      <c r="O4" s="259" t="s">
        <v>295</v>
      </c>
      <c r="P4" s="463" t="s">
        <v>296</v>
      </c>
      <c r="Q4" s="371" t="s">
        <v>301</v>
      </c>
      <c r="R4" s="613" t="s">
        <v>302</v>
      </c>
      <c r="S4" s="614" t="s">
        <v>98</v>
      </c>
      <c r="T4" s="638" t="s">
        <v>99</v>
      </c>
      <c r="U4" s="639" t="s">
        <v>303</v>
      </c>
      <c r="V4" s="371" t="s">
        <v>304</v>
      </c>
      <c r="W4" s="638" t="s">
        <v>298</v>
      </c>
      <c r="X4" s="478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305</v>
      </c>
      <c r="D6" s="281" t="s">
        <v>306</v>
      </c>
      <c r="E6" s="282"/>
      <c r="F6" s="435"/>
      <c r="G6" s="389">
        <f>D219</f>
        <v>1788541.3680781755</v>
      </c>
      <c r="H6" s="565">
        <v>45898</v>
      </c>
      <c r="I6" s="797">
        <f>SUM(G6:G12)</f>
        <v>1788541.3680781755</v>
      </c>
      <c r="J6" s="797">
        <f>F219</f>
        <v>2235676.7100977194</v>
      </c>
      <c r="K6" s="386"/>
      <c r="L6" s="280">
        <v>1</v>
      </c>
      <c r="M6" s="415" t="s">
        <v>307</v>
      </c>
      <c r="N6" s="281" t="s">
        <v>308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309</v>
      </c>
      <c r="T6" s="646">
        <v>45838</v>
      </c>
      <c r="U6" s="649">
        <v>2235676.7100977194</v>
      </c>
      <c r="V6" s="794">
        <f>J6-SUM(U6:U12)</f>
        <v>42222.164261083119</v>
      </c>
      <c r="W6" s="722">
        <v>45901</v>
      </c>
      <c r="X6" s="800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310</v>
      </c>
      <c r="E7" s="388"/>
      <c r="F7" s="457"/>
      <c r="G7" s="314"/>
      <c r="H7" s="566"/>
      <c r="I7" s="798"/>
      <c r="J7" s="798"/>
      <c r="K7" s="287"/>
      <c r="L7" s="310">
        <v>1</v>
      </c>
      <c r="M7" s="312" t="s">
        <v>307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95"/>
      <c r="W7" s="566"/>
      <c r="X7" s="801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798"/>
      <c r="J8" s="798"/>
      <c r="K8" s="287"/>
      <c r="L8" s="310">
        <v>1</v>
      </c>
      <c r="M8" s="312" t="s">
        <v>307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95"/>
      <c r="W8" s="566"/>
      <c r="X8" s="801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798"/>
      <c r="J9" s="798"/>
      <c r="K9" s="287"/>
      <c r="L9" s="310">
        <v>1</v>
      </c>
      <c r="M9" s="312" t="s">
        <v>307</v>
      </c>
      <c r="N9" s="736" t="s">
        <v>311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312</v>
      </c>
      <c r="T9" s="726">
        <v>45991</v>
      </c>
      <c r="U9" s="649">
        <v>0</v>
      </c>
      <c r="V9" s="795"/>
      <c r="W9" s="725">
        <v>45991</v>
      </c>
      <c r="X9" s="801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798"/>
      <c r="J10" s="798"/>
      <c r="K10" s="287"/>
      <c r="L10" s="310">
        <v>1</v>
      </c>
      <c r="M10" s="312" t="s">
        <v>307</v>
      </c>
      <c r="N10" s="484" t="s">
        <v>313</v>
      </c>
      <c r="O10" s="544"/>
      <c r="P10" s="442">
        <v>1156.4000000000001</v>
      </c>
      <c r="Q10" s="384">
        <f>O10*P10</f>
        <v>0</v>
      </c>
      <c r="R10" s="582"/>
      <c r="S10" s="618" t="s">
        <v>314</v>
      </c>
      <c r="T10" s="726">
        <v>45991</v>
      </c>
      <c r="U10" s="649">
        <v>0</v>
      </c>
      <c r="V10" s="795"/>
      <c r="W10" s="725">
        <v>45991</v>
      </c>
      <c r="X10" s="801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798"/>
      <c r="J11" s="798"/>
      <c r="K11" s="287"/>
      <c r="L11" s="310">
        <v>1</v>
      </c>
      <c r="M11" s="312" t="s">
        <v>307</v>
      </c>
      <c r="N11" s="484" t="s">
        <v>315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95"/>
      <c r="W11" s="726">
        <v>46053</v>
      </c>
      <c r="X11" s="801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799"/>
      <c r="J12" s="799"/>
      <c r="K12" s="288"/>
      <c r="L12" s="315">
        <v>1</v>
      </c>
      <c r="M12" s="417" t="s">
        <v>307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96"/>
      <c r="W12" s="568"/>
      <c r="X12" s="802"/>
      <c r="Y12" s="597" t="s">
        <v>316</v>
      </c>
      <c r="Z12" s="598" t="s">
        <v>317</v>
      </c>
    </row>
    <row r="13" spans="1:76" ht="14.25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318</v>
      </c>
      <c r="Z13" s="600">
        <f>G86</f>
        <v>849891.5</v>
      </c>
    </row>
    <row r="14" spans="1:76" ht="14.25" customHeight="1">
      <c r="B14" s="292">
        <v>2</v>
      </c>
      <c r="C14" s="318" t="s">
        <v>319</v>
      </c>
      <c r="D14" s="318" t="s">
        <v>320</v>
      </c>
      <c r="E14" s="364"/>
      <c r="F14" s="455"/>
      <c r="G14" s="295">
        <f>D220</f>
        <v>356200</v>
      </c>
      <c r="H14" s="532">
        <v>45867</v>
      </c>
      <c r="I14" s="808">
        <f>SUM(G14:G20)</f>
        <v>356200</v>
      </c>
      <c r="J14" s="808">
        <f>F220</f>
        <v>445250</v>
      </c>
      <c r="K14" s="296"/>
      <c r="L14" s="292">
        <v>2</v>
      </c>
      <c r="M14" s="418" t="s">
        <v>321</v>
      </c>
      <c r="N14" s="318" t="s">
        <v>322</v>
      </c>
      <c r="O14" s="547">
        <v>4</v>
      </c>
      <c r="P14" s="455">
        <v>69140</v>
      </c>
      <c r="Q14" s="295">
        <f>O14*P14</f>
        <v>276560</v>
      </c>
      <c r="R14" s="839" t="s">
        <v>323</v>
      </c>
      <c r="S14" s="621" t="s">
        <v>324</v>
      </c>
      <c r="T14" s="642">
        <v>45838</v>
      </c>
      <c r="U14" s="650">
        <v>389826.32645308343</v>
      </c>
      <c r="V14" s="832">
        <f>J14-SUM(U14:U20)</f>
        <v>0</v>
      </c>
      <c r="W14" s="532">
        <v>45867</v>
      </c>
      <c r="X14" s="811">
        <f>SUM(Q14:Q20)</f>
        <v>316436.03999999998</v>
      </c>
      <c r="Y14" s="599" t="s">
        <v>325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809"/>
      <c r="J15" s="809"/>
      <c r="K15" s="300"/>
      <c r="L15" s="297">
        <v>2</v>
      </c>
      <c r="M15" s="424" t="s">
        <v>321</v>
      </c>
      <c r="N15" s="406" t="s">
        <v>326</v>
      </c>
      <c r="O15" s="548">
        <v>1</v>
      </c>
      <c r="P15" s="451">
        <v>39320</v>
      </c>
      <c r="Q15" s="475">
        <f>O15*P15</f>
        <v>39320</v>
      </c>
      <c r="R15" s="837"/>
      <c r="S15" s="621" t="s">
        <v>324</v>
      </c>
      <c r="T15" s="643">
        <v>45838</v>
      </c>
      <c r="U15" s="650">
        <v>55423.673546916551</v>
      </c>
      <c r="V15" s="833"/>
      <c r="W15" s="533">
        <v>45867</v>
      </c>
      <c r="X15" s="812"/>
      <c r="Y15" s="599" t="s">
        <v>327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09"/>
      <c r="J16" s="809"/>
      <c r="K16" s="300"/>
      <c r="L16" s="297">
        <v>2</v>
      </c>
      <c r="M16" s="424" t="s">
        <v>321</v>
      </c>
      <c r="N16" s="406" t="s">
        <v>322</v>
      </c>
      <c r="O16" s="548">
        <v>1</v>
      </c>
      <c r="P16" s="451"/>
      <c r="Q16" s="475">
        <v>68050</v>
      </c>
      <c r="R16" s="586"/>
      <c r="S16" s="622" t="s">
        <v>328</v>
      </c>
      <c r="T16" s="643">
        <v>45961</v>
      </c>
      <c r="U16" s="650">
        <v>0</v>
      </c>
      <c r="V16" s="833"/>
      <c r="W16" s="533">
        <v>45989</v>
      </c>
      <c r="X16" s="812"/>
      <c r="Y16" s="599" t="s">
        <v>329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09"/>
      <c r="J17" s="809"/>
      <c r="K17" s="300"/>
      <c r="L17" s="297">
        <v>2</v>
      </c>
      <c r="M17" s="424" t="s">
        <v>321</v>
      </c>
      <c r="N17" s="406" t="s">
        <v>330</v>
      </c>
      <c r="O17" s="548"/>
      <c r="P17" s="451"/>
      <c r="Q17" s="475">
        <v>-69140</v>
      </c>
      <c r="R17" s="586" t="s">
        <v>331</v>
      </c>
      <c r="S17" s="622" t="s">
        <v>332</v>
      </c>
      <c r="T17" s="643">
        <v>46053</v>
      </c>
      <c r="U17" s="650">
        <v>0</v>
      </c>
      <c r="V17" s="833"/>
      <c r="W17" s="738">
        <v>46053</v>
      </c>
      <c r="X17" s="812"/>
      <c r="Y17" s="599" t="s">
        <v>333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09"/>
      <c r="J18" s="809"/>
      <c r="K18" s="300"/>
      <c r="L18" s="297">
        <v>2</v>
      </c>
      <c r="M18" s="424" t="s">
        <v>321</v>
      </c>
      <c r="N18" s="406" t="s">
        <v>334</v>
      </c>
      <c r="O18" s="548"/>
      <c r="P18" s="451"/>
      <c r="Q18" s="475">
        <v>1646.04</v>
      </c>
      <c r="R18" s="586"/>
      <c r="S18" s="622" t="s">
        <v>335</v>
      </c>
      <c r="T18" s="738">
        <v>45991</v>
      </c>
      <c r="U18" s="650">
        <v>0</v>
      </c>
      <c r="V18" s="833"/>
      <c r="W18" s="724">
        <v>46021</v>
      </c>
      <c r="X18" s="812"/>
      <c r="Y18" s="599" t="s">
        <v>336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809"/>
      <c r="J19" s="809"/>
      <c r="K19" s="300"/>
      <c r="L19" s="297">
        <v>2</v>
      </c>
      <c r="M19" s="424" t="s">
        <v>321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833"/>
      <c r="W19" s="571"/>
      <c r="X19" s="812"/>
      <c r="Y19" s="599" t="s">
        <v>337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810"/>
      <c r="J20" s="810"/>
      <c r="K20" s="305"/>
      <c r="L20" s="393">
        <v>2</v>
      </c>
      <c r="M20" s="419" t="s">
        <v>321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834"/>
      <c r="W20" s="572"/>
      <c r="X20" s="813"/>
      <c r="Y20" s="599" t="s">
        <v>338</v>
      </c>
      <c r="Z20" s="600">
        <v>0</v>
      </c>
    </row>
    <row r="21" spans="1:26" ht="14.25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339</v>
      </c>
      <c r="D22" s="326" t="s">
        <v>340</v>
      </c>
      <c r="E22" s="282"/>
      <c r="F22" s="435"/>
      <c r="G22" s="283">
        <f>D221</f>
        <v>1186680</v>
      </c>
      <c r="H22" s="657">
        <v>45867</v>
      </c>
      <c r="I22" s="797">
        <f>SUM(G22:G30)</f>
        <v>1186680</v>
      </c>
      <c r="J22" s="797">
        <f>F221</f>
        <v>1483350</v>
      </c>
      <c r="K22" s="284"/>
      <c r="L22" s="280">
        <v>3</v>
      </c>
      <c r="M22" s="420" t="s">
        <v>341</v>
      </c>
      <c r="N22" s="326" t="s">
        <v>342</v>
      </c>
      <c r="O22" s="542"/>
      <c r="P22" s="435"/>
      <c r="Q22" s="283">
        <v>344822.96</v>
      </c>
      <c r="R22" s="588" t="s">
        <v>343</v>
      </c>
      <c r="S22" s="624" t="s">
        <v>344</v>
      </c>
      <c r="T22" s="645">
        <v>45838</v>
      </c>
      <c r="U22" s="649">
        <v>431028.7</v>
      </c>
      <c r="V22" s="794">
        <f>J22-SUM(U22:U30)</f>
        <v>-3.8501021917909384E-3</v>
      </c>
      <c r="W22" s="657">
        <v>45867</v>
      </c>
      <c r="X22" s="800">
        <f>SUM(Q22:Q30)</f>
        <v>887538.46</v>
      </c>
      <c r="Y22" s="599" t="s">
        <v>345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798"/>
      <c r="J23" s="798"/>
      <c r="K23" s="287"/>
      <c r="L23" s="310">
        <v>3</v>
      </c>
      <c r="M23" s="421" t="s">
        <v>341</v>
      </c>
      <c r="N23" s="735" t="s">
        <v>346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347</v>
      </c>
      <c r="T23" s="690">
        <v>45991</v>
      </c>
      <c r="U23" s="744">
        <v>0</v>
      </c>
      <c r="V23" s="795"/>
      <c r="W23" s="691">
        <v>45991</v>
      </c>
      <c r="X23" s="801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798"/>
      <c r="J24" s="798"/>
      <c r="K24" s="287"/>
      <c r="L24" s="310" t="s">
        <v>348</v>
      </c>
      <c r="M24" s="421" t="s">
        <v>341</v>
      </c>
      <c r="N24" s="735" t="s">
        <v>349</v>
      </c>
      <c r="O24" s="543"/>
      <c r="P24" s="457"/>
      <c r="Q24" s="314">
        <v>1436.9</v>
      </c>
      <c r="R24" s="581"/>
      <c r="S24" s="617" t="s">
        <v>347</v>
      </c>
      <c r="T24" s="647">
        <v>45991</v>
      </c>
      <c r="U24" s="744">
        <v>0</v>
      </c>
      <c r="V24" s="795"/>
      <c r="W24" s="691">
        <v>45991</v>
      </c>
      <c r="X24" s="801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798"/>
      <c r="J25" s="798"/>
      <c r="K25" s="287"/>
      <c r="L25" s="310" t="s">
        <v>348</v>
      </c>
      <c r="M25" s="421" t="s">
        <v>341</v>
      </c>
      <c r="N25" s="735" t="s">
        <v>350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95"/>
      <c r="W25" s="691">
        <v>46022</v>
      </c>
      <c r="X25" s="801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798"/>
      <c r="J26" s="798"/>
      <c r="K26" s="287"/>
      <c r="L26" s="310" t="s">
        <v>348</v>
      </c>
      <c r="M26" s="421" t="s">
        <v>341</v>
      </c>
      <c r="N26" s="735" t="s">
        <v>351</v>
      </c>
      <c r="O26" s="543">
        <v>-65</v>
      </c>
      <c r="P26" s="457">
        <v>31.54</v>
      </c>
      <c r="Q26" s="314">
        <f>O26*P26</f>
        <v>-2050.1</v>
      </c>
      <c r="R26" s="581" t="s">
        <v>352</v>
      </c>
      <c r="S26" s="617" t="s">
        <v>353</v>
      </c>
      <c r="T26" s="690">
        <v>46053</v>
      </c>
      <c r="U26" s="744">
        <v>0</v>
      </c>
      <c r="V26" s="795"/>
      <c r="W26" s="691">
        <v>46053</v>
      </c>
      <c r="X26" s="801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798"/>
      <c r="J27" s="798"/>
      <c r="K27" s="287"/>
      <c r="L27" s="310">
        <v>3</v>
      </c>
      <c r="M27" s="421" t="s">
        <v>341</v>
      </c>
      <c r="N27" s="383" t="s">
        <v>354</v>
      </c>
      <c r="O27" s="544"/>
      <c r="P27" s="442"/>
      <c r="Q27" s="384">
        <v>278899.15999999997</v>
      </c>
      <c r="R27" s="582" t="s">
        <v>355</v>
      </c>
      <c r="S27" s="618" t="s">
        <v>356</v>
      </c>
      <c r="T27" s="655">
        <v>45869</v>
      </c>
      <c r="U27" s="649">
        <v>525027.76742806623</v>
      </c>
      <c r="V27" s="795"/>
      <c r="W27" s="531">
        <v>45869</v>
      </c>
      <c r="X27" s="801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798"/>
      <c r="J28" s="798"/>
      <c r="K28" s="287"/>
      <c r="L28" s="310">
        <v>3</v>
      </c>
      <c r="M28" s="421" t="s">
        <v>341</v>
      </c>
      <c r="N28" s="383" t="s">
        <v>357</v>
      </c>
      <c r="O28" s="544"/>
      <c r="P28" s="442"/>
      <c r="Q28" s="384">
        <v>280280</v>
      </c>
      <c r="R28" s="582" t="s">
        <v>343</v>
      </c>
      <c r="S28" s="618" t="s">
        <v>358</v>
      </c>
      <c r="T28" s="655">
        <v>45869</v>
      </c>
      <c r="U28" s="649">
        <v>527293.55642203591</v>
      </c>
      <c r="V28" s="795"/>
      <c r="W28" s="531">
        <v>45899</v>
      </c>
      <c r="X28" s="801"/>
      <c r="Y28" s="604" t="s">
        <v>359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798"/>
      <c r="J29" s="798"/>
      <c r="K29" s="287"/>
      <c r="L29" s="310">
        <v>3</v>
      </c>
      <c r="M29" s="421" t="s">
        <v>341</v>
      </c>
      <c r="N29" s="383" t="s">
        <v>360</v>
      </c>
      <c r="O29" s="544"/>
      <c r="P29" s="442"/>
      <c r="Q29" s="384">
        <v>650</v>
      </c>
      <c r="R29" s="582" t="s">
        <v>361</v>
      </c>
      <c r="S29" s="618" t="s">
        <v>362</v>
      </c>
      <c r="T29" s="726">
        <v>45961</v>
      </c>
      <c r="U29" s="744">
        <v>-0.02</v>
      </c>
      <c r="V29" s="795"/>
      <c r="W29" s="531">
        <v>45974</v>
      </c>
      <c r="X29" s="801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799"/>
      <c r="J30" s="799"/>
      <c r="K30" s="288"/>
      <c r="L30" s="315">
        <v>3</v>
      </c>
      <c r="M30" s="422" t="s">
        <v>341</v>
      </c>
      <c r="N30" s="328" t="s">
        <v>363</v>
      </c>
      <c r="O30" s="545"/>
      <c r="P30" s="458"/>
      <c r="Q30" s="329">
        <v>205</v>
      </c>
      <c r="R30" s="583"/>
      <c r="S30" s="619" t="s">
        <v>364</v>
      </c>
      <c r="T30" s="742">
        <v>45961</v>
      </c>
      <c r="U30" s="745">
        <v>0</v>
      </c>
      <c r="V30" s="796"/>
      <c r="W30" s="743">
        <v>45940</v>
      </c>
      <c r="X30" s="802"/>
      <c r="Y30" s="605" t="s">
        <v>365</v>
      </c>
      <c r="Z30" s="606" t="s">
        <v>366</v>
      </c>
    </row>
    <row r="31" spans="1:26" ht="14.25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325</v>
      </c>
      <c r="D32" s="293" t="s">
        <v>367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808">
        <f>SUM(G32:G47)</f>
        <v>1208947.5</v>
      </c>
      <c r="J32" s="808">
        <f>F222</f>
        <v>1511184.375</v>
      </c>
      <c r="K32" s="296"/>
      <c r="L32" s="292">
        <v>4</v>
      </c>
      <c r="M32" s="423" t="s">
        <v>368</v>
      </c>
      <c r="N32" s="293" t="s">
        <v>369</v>
      </c>
      <c r="O32" s="539">
        <v>40000</v>
      </c>
      <c r="P32" s="455">
        <v>13.5</v>
      </c>
      <c r="Q32" s="295">
        <f>O32*P32</f>
        <v>540000</v>
      </c>
      <c r="R32" s="585" t="s">
        <v>370</v>
      </c>
      <c r="S32" s="621" t="s">
        <v>371</v>
      </c>
      <c r="T32" s="642">
        <v>45869</v>
      </c>
      <c r="U32" s="650">
        <v>1491518.4828380791</v>
      </c>
      <c r="V32" s="832">
        <f>J32-SUM(U32:U47)</f>
        <v>0</v>
      </c>
      <c r="W32" s="723">
        <f>T32+30</f>
        <v>45899</v>
      </c>
      <c r="X32" s="811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372</v>
      </c>
      <c r="E33" s="392"/>
      <c r="F33" s="451"/>
      <c r="G33" s="633">
        <f>D222-G32</f>
        <v>724197.5</v>
      </c>
      <c r="H33" s="533">
        <v>45869</v>
      </c>
      <c r="I33" s="809"/>
      <c r="J33" s="809"/>
      <c r="K33" s="300"/>
      <c r="L33" s="297">
        <v>4</v>
      </c>
      <c r="M33" s="424" t="s">
        <v>368</v>
      </c>
      <c r="N33" s="406" t="s">
        <v>373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374</v>
      </c>
      <c r="T33" s="643">
        <v>45869</v>
      </c>
      <c r="U33" s="650">
        <v>-596607.39313523169</v>
      </c>
      <c r="V33" s="833"/>
      <c r="W33" s="533">
        <v>45869</v>
      </c>
      <c r="X33" s="812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09"/>
      <c r="J34" s="809"/>
      <c r="K34" s="300"/>
      <c r="L34" s="297">
        <v>4</v>
      </c>
      <c r="M34" s="424" t="s">
        <v>368</v>
      </c>
      <c r="N34" s="406" t="s">
        <v>375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374</v>
      </c>
      <c r="T34" s="738">
        <v>45961</v>
      </c>
      <c r="U34" s="506">
        <v>0</v>
      </c>
      <c r="V34" s="833"/>
      <c r="W34" s="724">
        <v>45961</v>
      </c>
      <c r="X34" s="812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809"/>
      <c r="J35" s="809"/>
      <c r="K35" s="300"/>
      <c r="L35" s="297">
        <v>4</v>
      </c>
      <c r="M35" s="424" t="s">
        <v>368</v>
      </c>
      <c r="N35" s="406" t="s">
        <v>376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374</v>
      </c>
      <c r="T35" s="738">
        <v>45961</v>
      </c>
      <c r="U35" s="506">
        <v>0</v>
      </c>
      <c r="V35" s="833"/>
      <c r="W35" s="724">
        <v>45961</v>
      </c>
      <c r="X35" s="812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809"/>
      <c r="J36" s="809"/>
      <c r="K36" s="300"/>
      <c r="L36" s="297">
        <v>4</v>
      </c>
      <c r="M36" s="424" t="s">
        <v>368</v>
      </c>
      <c r="N36" s="406"/>
      <c r="O36" s="548"/>
      <c r="P36" s="451"/>
      <c r="Q36" s="299"/>
      <c r="R36" s="590"/>
      <c r="S36" s="622"/>
      <c r="T36" s="738"/>
      <c r="U36" s="506"/>
      <c r="V36" s="833"/>
      <c r="W36" s="724"/>
      <c r="X36" s="812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809"/>
      <c r="J37" s="809"/>
      <c r="K37" s="300"/>
      <c r="L37" s="297">
        <v>4</v>
      </c>
      <c r="M37" s="424" t="s">
        <v>368</v>
      </c>
      <c r="N37" s="406" t="s">
        <v>377</v>
      </c>
      <c r="O37" s="559">
        <f>Z32</f>
        <v>223119.98</v>
      </c>
      <c r="P37" s="560">
        <v>0.1</v>
      </c>
      <c r="Q37" s="299">
        <f>$O$37*P37</f>
        <v>22311.998000000003</v>
      </c>
      <c r="R37" s="835"/>
      <c r="S37" s="622" t="s">
        <v>378</v>
      </c>
      <c r="T37" s="643">
        <f>T138</f>
        <v>45900</v>
      </c>
      <c r="U37" s="650">
        <v>61627.328529715305</v>
      </c>
      <c r="V37" s="833"/>
      <c r="W37" s="533">
        <f>W138</f>
        <v>45883</v>
      </c>
      <c r="X37" s="812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809"/>
      <c r="J38" s="809"/>
      <c r="K38" s="300"/>
      <c r="L38" s="297">
        <v>4</v>
      </c>
      <c r="M38" s="424" t="s">
        <v>368</v>
      </c>
      <c r="N38" s="406" t="s">
        <v>160</v>
      </c>
      <c r="O38" s="548"/>
      <c r="P38" s="560">
        <v>0.15</v>
      </c>
      <c r="Q38" s="299">
        <f t="shared" ref="Q38:Q44" si="3">$O$37*P38</f>
        <v>33467.997000000003</v>
      </c>
      <c r="R38" s="836"/>
      <c r="S38" s="622" t="s">
        <v>378</v>
      </c>
      <c r="T38" s="643">
        <f t="shared" ref="T38" si="4">T139</f>
        <v>45900</v>
      </c>
      <c r="U38" s="650">
        <v>92440.992794572943</v>
      </c>
      <c r="V38" s="833"/>
      <c r="W38" s="533">
        <f t="shared" ref="W38:W44" si="5">W139</f>
        <v>45898</v>
      </c>
      <c r="X38" s="812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09"/>
      <c r="J39" s="809"/>
      <c r="K39" s="300"/>
      <c r="L39" s="297">
        <v>4</v>
      </c>
      <c r="M39" s="424" t="s">
        <v>368</v>
      </c>
      <c r="N39" s="406" t="s">
        <v>379</v>
      </c>
      <c r="O39" s="711"/>
      <c r="P39" s="560">
        <v>0.2</v>
      </c>
      <c r="Q39" s="299">
        <f t="shared" si="3"/>
        <v>44623.996000000006</v>
      </c>
      <c r="R39" s="836"/>
      <c r="S39" s="622" t="s">
        <v>378</v>
      </c>
      <c r="T39" s="643">
        <v>45900</v>
      </c>
      <c r="U39" s="650">
        <v>123254.65705943061</v>
      </c>
      <c r="V39" s="833"/>
      <c r="W39" s="724">
        <f>W140</f>
        <v>45946</v>
      </c>
      <c r="X39" s="812"/>
      <c r="Y39" s="607" t="s">
        <v>380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09"/>
      <c r="J40" s="809"/>
      <c r="K40" s="300"/>
      <c r="L40" s="297">
        <v>4</v>
      </c>
      <c r="M40" s="424" t="s">
        <v>368</v>
      </c>
      <c r="N40" s="406" t="s">
        <v>381</v>
      </c>
      <c r="O40" s="548"/>
      <c r="P40" s="560">
        <v>0.25</v>
      </c>
      <c r="Q40" s="299">
        <f t="shared" si="3"/>
        <v>55779.995000000003</v>
      </c>
      <c r="R40" s="836"/>
      <c r="S40" s="622" t="s">
        <v>378</v>
      </c>
      <c r="T40" s="643">
        <v>45900</v>
      </c>
      <c r="U40" s="650">
        <v>154068.32132428823</v>
      </c>
      <c r="V40" s="833"/>
      <c r="W40" s="724">
        <f>W141</f>
        <v>45946</v>
      </c>
      <c r="X40" s="812"/>
      <c r="Y40" s="607" t="s">
        <v>382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09"/>
      <c r="J41" s="809"/>
      <c r="K41" s="300"/>
      <c r="L41" s="297">
        <v>4</v>
      </c>
      <c r="M41" s="424" t="s">
        <v>368</v>
      </c>
      <c r="N41" s="406" t="s">
        <v>383</v>
      </c>
      <c r="O41" s="548"/>
      <c r="P41" s="560">
        <v>0.1</v>
      </c>
      <c r="Q41" s="299">
        <f t="shared" si="3"/>
        <v>22311.998000000003</v>
      </c>
      <c r="R41" s="836"/>
      <c r="S41" s="622" t="s">
        <v>378</v>
      </c>
      <c r="T41" s="643">
        <v>45900</v>
      </c>
      <c r="U41" s="650">
        <v>61627.328529715305</v>
      </c>
      <c r="V41" s="833"/>
      <c r="W41" s="533">
        <f t="shared" si="5"/>
        <v>45989</v>
      </c>
      <c r="X41" s="812"/>
      <c r="Y41" s="607" t="s">
        <v>384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09"/>
      <c r="J42" s="809"/>
      <c r="K42" s="300"/>
      <c r="L42" s="297">
        <v>4</v>
      </c>
      <c r="M42" s="424" t="s">
        <v>368</v>
      </c>
      <c r="N42" s="406" t="s">
        <v>385</v>
      </c>
      <c r="O42" s="548"/>
      <c r="P42" s="560">
        <v>0.1</v>
      </c>
      <c r="Q42" s="299">
        <f t="shared" si="3"/>
        <v>22311.998000000003</v>
      </c>
      <c r="R42" s="836"/>
      <c r="S42" s="622" t="s">
        <v>378</v>
      </c>
      <c r="T42" s="643">
        <v>45900</v>
      </c>
      <c r="U42" s="650">
        <v>61627.328529715305</v>
      </c>
      <c r="V42" s="833"/>
      <c r="W42" s="533">
        <f t="shared" si="5"/>
        <v>45996</v>
      </c>
      <c r="X42" s="812"/>
      <c r="Y42" s="607" t="s">
        <v>345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09"/>
      <c r="J43" s="809"/>
      <c r="K43" s="300"/>
      <c r="L43" s="297">
        <v>4</v>
      </c>
      <c r="M43" s="424" t="s">
        <v>368</v>
      </c>
      <c r="N43" s="406" t="s">
        <v>386</v>
      </c>
      <c r="O43" s="548"/>
      <c r="P43" s="560">
        <v>0.05</v>
      </c>
      <c r="Q43" s="299">
        <f t="shared" si="3"/>
        <v>11155.999000000002</v>
      </c>
      <c r="R43" s="836"/>
      <c r="S43" s="622" t="s">
        <v>378</v>
      </c>
      <c r="T43" s="643">
        <v>45900</v>
      </c>
      <c r="U43" s="650">
        <v>30813.664264857653</v>
      </c>
      <c r="V43" s="833"/>
      <c r="W43" s="533">
        <f t="shared" si="5"/>
        <v>45996</v>
      </c>
      <c r="X43" s="812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809"/>
      <c r="J44" s="809"/>
      <c r="K44" s="300"/>
      <c r="L44" s="297">
        <v>4</v>
      </c>
      <c r="M44" s="424" t="s">
        <v>368</v>
      </c>
      <c r="N44" s="406" t="s">
        <v>387</v>
      </c>
      <c r="O44" s="548"/>
      <c r="P44" s="560">
        <v>0.05</v>
      </c>
      <c r="Q44" s="299">
        <f t="shared" si="3"/>
        <v>11155.999000000002</v>
      </c>
      <c r="R44" s="837"/>
      <c r="S44" s="622" t="s">
        <v>378</v>
      </c>
      <c r="T44" s="643">
        <v>45900</v>
      </c>
      <c r="U44" s="650">
        <v>30813.664264857653</v>
      </c>
      <c r="V44" s="833"/>
      <c r="W44" s="533">
        <f t="shared" si="5"/>
        <v>46015</v>
      </c>
      <c r="X44" s="812"/>
      <c r="Y44" s="610" t="s">
        <v>359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09"/>
      <c r="J45" s="809"/>
      <c r="K45" s="300"/>
      <c r="L45" s="297">
        <v>4</v>
      </c>
      <c r="M45" s="424" t="s">
        <v>368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833"/>
      <c r="W45" s="571"/>
      <c r="X45" s="812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809"/>
      <c r="J46" s="809"/>
      <c r="K46" s="300"/>
      <c r="L46" s="297">
        <v>4</v>
      </c>
      <c r="M46" s="424" t="s">
        <v>368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833"/>
      <c r="W46" s="571"/>
      <c r="X46" s="812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810"/>
      <c r="J47" s="810"/>
      <c r="K47" s="305"/>
      <c r="L47" s="301">
        <v>4</v>
      </c>
      <c r="M47" s="425" t="s">
        <v>368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834"/>
      <c r="W47" s="572"/>
      <c r="X47" s="813"/>
      <c r="Y47" s="480"/>
    </row>
    <row r="48" spans="1:28" ht="13.9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388</v>
      </c>
      <c r="D49" s="326" t="s">
        <v>389</v>
      </c>
      <c r="E49" s="282"/>
      <c r="F49" s="435"/>
      <c r="G49" s="283">
        <f>D224-G50</f>
        <v>30636</v>
      </c>
      <c r="H49" s="656">
        <v>45866</v>
      </c>
      <c r="I49" s="797">
        <f>SUM(G49:G84)</f>
        <v>45636</v>
      </c>
      <c r="J49" s="797">
        <f>F224</f>
        <v>57045</v>
      </c>
      <c r="K49" s="284"/>
      <c r="L49" s="280">
        <v>5</v>
      </c>
      <c r="M49" s="420" t="s">
        <v>390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94">
        <f>J49-SUM(U49:U84)</f>
        <v>2.218979483586736E-3</v>
      </c>
      <c r="W49" s="573"/>
      <c r="X49" s="800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391</v>
      </c>
      <c r="E50" s="449"/>
      <c r="F50" s="450"/>
      <c r="G50" s="314">
        <v>15000</v>
      </c>
      <c r="H50" s="656">
        <v>45867</v>
      </c>
      <c r="I50" s="798"/>
      <c r="J50" s="798"/>
      <c r="K50" s="287"/>
      <c r="L50" s="285">
        <v>5</v>
      </c>
      <c r="M50" s="426" t="s">
        <v>390</v>
      </c>
      <c r="N50" s="286" t="s">
        <v>392</v>
      </c>
      <c r="O50" s="550"/>
      <c r="P50" s="450"/>
      <c r="Q50" s="314">
        <v>17131.5</v>
      </c>
      <c r="R50" s="634" t="s">
        <v>393</v>
      </c>
      <c r="S50" s="617" t="s">
        <v>394</v>
      </c>
      <c r="T50" s="647">
        <v>45838</v>
      </c>
      <c r="U50" s="652">
        <v>17332.950542726401</v>
      </c>
      <c r="V50" s="795"/>
      <c r="W50" s="656">
        <v>45867</v>
      </c>
      <c r="X50" s="801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798"/>
      <c r="J51" s="798"/>
      <c r="K51" s="287"/>
      <c r="L51" s="285">
        <v>5</v>
      </c>
      <c r="M51" s="426" t="s">
        <v>390</v>
      </c>
      <c r="N51" s="286" t="s">
        <v>395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396</v>
      </c>
      <c r="T51" s="647">
        <v>45930</v>
      </c>
      <c r="U51" s="652">
        <v>0</v>
      </c>
      <c r="V51" s="795"/>
      <c r="W51" s="530">
        <v>45930</v>
      </c>
      <c r="X51" s="801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798"/>
      <c r="J52" s="798"/>
      <c r="K52" s="287"/>
      <c r="L52" s="285">
        <v>5</v>
      </c>
      <c r="M52" s="426" t="s">
        <v>390</v>
      </c>
      <c r="N52" s="286" t="s">
        <v>397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396</v>
      </c>
      <c r="T52" s="647">
        <v>45930</v>
      </c>
      <c r="U52" s="652">
        <v>0</v>
      </c>
      <c r="V52" s="795"/>
      <c r="W52" s="530">
        <v>45930</v>
      </c>
      <c r="X52" s="801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798"/>
      <c r="J53" s="798"/>
      <c r="K53" s="287"/>
      <c r="L53" s="285">
        <v>5</v>
      </c>
      <c r="M53" s="426" t="s">
        <v>390</v>
      </c>
      <c r="N53" s="286" t="s">
        <v>397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396</v>
      </c>
      <c r="T53" s="690">
        <v>45991</v>
      </c>
      <c r="U53" s="652">
        <v>0</v>
      </c>
      <c r="V53" s="795"/>
      <c r="W53" s="691">
        <v>45991</v>
      </c>
      <c r="X53" s="801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798"/>
      <c r="J54" s="798"/>
      <c r="K54" s="287"/>
      <c r="L54" s="285">
        <v>5</v>
      </c>
      <c r="M54" s="426" t="s">
        <v>390</v>
      </c>
      <c r="N54" s="312" t="s">
        <v>398</v>
      </c>
      <c r="O54" s="543"/>
      <c r="P54" s="457"/>
      <c r="Q54" s="314">
        <v>11169</v>
      </c>
      <c r="R54" s="581"/>
      <c r="S54" s="617" t="s">
        <v>399</v>
      </c>
      <c r="T54" s="647">
        <v>45869</v>
      </c>
      <c r="U54" s="652">
        <v>1489.3545618197209</v>
      </c>
      <c r="V54" s="795"/>
      <c r="W54" s="691">
        <v>45869</v>
      </c>
      <c r="X54" s="801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798"/>
      <c r="J55" s="798"/>
      <c r="K55" s="287"/>
      <c r="L55" s="285">
        <v>5</v>
      </c>
      <c r="M55" s="426" t="s">
        <v>390</v>
      </c>
      <c r="N55" s="312" t="s">
        <v>398</v>
      </c>
      <c r="O55" s="543"/>
      <c r="P55" s="457"/>
      <c r="Q55" s="314">
        <v>11169</v>
      </c>
      <c r="R55" s="581"/>
      <c r="S55" s="617" t="s">
        <v>400</v>
      </c>
      <c r="T55" s="690">
        <v>45961</v>
      </c>
      <c r="U55" s="746">
        <v>3098.8520637391098</v>
      </c>
      <c r="V55" s="795"/>
      <c r="W55" s="530">
        <v>45974</v>
      </c>
      <c r="X55" s="801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798"/>
      <c r="J56" s="798"/>
      <c r="K56" s="287"/>
      <c r="L56" s="285">
        <v>5</v>
      </c>
      <c r="M56" s="426" t="s">
        <v>390</v>
      </c>
      <c r="N56" s="312" t="s">
        <v>401</v>
      </c>
      <c r="O56" s="543"/>
      <c r="P56" s="457"/>
      <c r="Q56" s="314">
        <v>206.91</v>
      </c>
      <c r="R56" s="581"/>
      <c r="S56" s="617" t="s">
        <v>402</v>
      </c>
      <c r="T56" s="690">
        <v>45961</v>
      </c>
      <c r="U56" s="746">
        <v>34.86</v>
      </c>
      <c r="V56" s="795"/>
      <c r="W56" s="530">
        <f>T56+30</f>
        <v>45991</v>
      </c>
      <c r="X56" s="801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798"/>
      <c r="J57" s="798"/>
      <c r="K57" s="287"/>
      <c r="L57" s="310">
        <v>5</v>
      </c>
      <c r="M57" s="426" t="s">
        <v>390</v>
      </c>
      <c r="N57" s="312" t="s">
        <v>403</v>
      </c>
      <c r="O57" s="543"/>
      <c r="P57" s="457"/>
      <c r="Q57" s="314">
        <v>2250.5</v>
      </c>
      <c r="R57" s="581" t="s">
        <v>404</v>
      </c>
      <c r="S57" s="617" t="s">
        <v>405</v>
      </c>
      <c r="T57" s="647">
        <v>45869</v>
      </c>
      <c r="U57" s="652">
        <v>300.09781013298249</v>
      </c>
      <c r="V57" s="795"/>
      <c r="W57" s="530">
        <v>45876</v>
      </c>
      <c r="X57" s="801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798"/>
      <c r="J58" s="798"/>
      <c r="K58" s="287"/>
      <c r="L58" s="310">
        <v>5</v>
      </c>
      <c r="M58" s="426" t="s">
        <v>390</v>
      </c>
      <c r="N58" s="312" t="s">
        <v>406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95"/>
      <c r="W58" s="567"/>
      <c r="X58" s="801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798"/>
      <c r="J59" s="798"/>
      <c r="K59" s="287"/>
      <c r="L59" s="310">
        <v>5</v>
      </c>
      <c r="M59" s="421" t="s">
        <v>390</v>
      </c>
      <c r="N59" s="687" t="s">
        <v>407</v>
      </c>
      <c r="O59" s="673"/>
      <c r="P59" s="674"/>
      <c r="Q59" s="683">
        <v>25703</v>
      </c>
      <c r="R59" s="671" t="s">
        <v>408</v>
      </c>
      <c r="S59" s="618" t="s">
        <v>409</v>
      </c>
      <c r="T59" s="655">
        <v>45900</v>
      </c>
      <c r="U59" s="652">
        <v>5254.222739440329</v>
      </c>
      <c r="V59" s="795"/>
      <c r="W59" s="725">
        <f>T59+30</f>
        <v>45930</v>
      </c>
      <c r="X59" s="801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798"/>
      <c r="J60" s="798"/>
      <c r="K60" s="287"/>
      <c r="L60" s="310">
        <v>5</v>
      </c>
      <c r="M60" s="426" t="s">
        <v>390</v>
      </c>
      <c r="N60" s="688" t="s">
        <v>410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95"/>
      <c r="W60" s="567"/>
      <c r="X60" s="801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798"/>
      <c r="J61" s="798"/>
      <c r="K61" s="287"/>
      <c r="L61" s="310">
        <v>5</v>
      </c>
      <c r="M61" s="426" t="s">
        <v>390</v>
      </c>
      <c r="N61" s="688" t="s">
        <v>411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95"/>
      <c r="W61" s="567"/>
      <c r="X61" s="801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798"/>
      <c r="J62" s="798"/>
      <c r="K62" s="287"/>
      <c r="L62" s="310">
        <v>5</v>
      </c>
      <c r="M62" s="426" t="s">
        <v>390</v>
      </c>
      <c r="N62" s="688" t="s">
        <v>412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95"/>
      <c r="W62" s="567"/>
      <c r="X62" s="801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798"/>
      <c r="J63" s="798"/>
      <c r="K63" s="287"/>
      <c r="L63" s="310">
        <v>5</v>
      </c>
      <c r="M63" s="426" t="s">
        <v>390</v>
      </c>
      <c r="N63" s="689" t="s">
        <v>413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95"/>
      <c r="W63" s="567"/>
      <c r="X63" s="801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798"/>
      <c r="J64" s="798"/>
      <c r="K64" s="287"/>
      <c r="L64" s="310">
        <v>5</v>
      </c>
      <c r="M64" s="426" t="s">
        <v>390</v>
      </c>
      <c r="N64" s="286" t="s">
        <v>414</v>
      </c>
      <c r="O64" s="550"/>
      <c r="P64" s="450"/>
      <c r="Q64" s="685">
        <v>1644.5</v>
      </c>
      <c r="R64" s="582" t="s">
        <v>415</v>
      </c>
      <c r="S64" s="618" t="s">
        <v>416</v>
      </c>
      <c r="T64" s="655">
        <v>45900</v>
      </c>
      <c r="U64" s="652">
        <v>336.16968038787775</v>
      </c>
      <c r="V64" s="795"/>
      <c r="W64" s="725">
        <f>T64+30</f>
        <v>45930</v>
      </c>
      <c r="X64" s="801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798"/>
      <c r="J65" s="798"/>
      <c r="K65" s="287"/>
      <c r="L65" s="310">
        <v>5</v>
      </c>
      <c r="M65" s="426" t="s">
        <v>390</v>
      </c>
      <c r="N65" s="286" t="s">
        <v>414</v>
      </c>
      <c r="O65" s="543"/>
      <c r="P65" s="457"/>
      <c r="Q65" s="314">
        <v>-940.5</v>
      </c>
      <c r="R65" s="671"/>
      <c r="S65" s="618" t="s">
        <v>417</v>
      </c>
      <c r="T65" s="655">
        <v>45900</v>
      </c>
      <c r="U65" s="652">
        <v>-192.2575764091207</v>
      </c>
      <c r="V65" s="795"/>
      <c r="W65" s="531">
        <v>45900</v>
      </c>
      <c r="X65" s="801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798"/>
      <c r="J66" s="798"/>
      <c r="K66" s="287"/>
      <c r="L66" s="310">
        <v>5</v>
      </c>
      <c r="M66" s="426" t="s">
        <v>390</v>
      </c>
      <c r="N66" s="672" t="s">
        <v>418</v>
      </c>
      <c r="O66" s="673"/>
      <c r="P66" s="674"/>
      <c r="Q66" s="675">
        <v>200</v>
      </c>
      <c r="R66" s="582"/>
      <c r="S66" s="618" t="s">
        <v>419</v>
      </c>
      <c r="T66" s="655">
        <v>45900</v>
      </c>
      <c r="U66" s="652">
        <v>0</v>
      </c>
      <c r="V66" s="795"/>
      <c r="W66" s="531">
        <v>45930</v>
      </c>
      <c r="X66" s="801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798"/>
      <c r="J67" s="798"/>
      <c r="K67" s="287"/>
      <c r="L67" s="310">
        <v>5</v>
      </c>
      <c r="M67" s="426" t="s">
        <v>390</v>
      </c>
      <c r="N67" s="385" t="s">
        <v>420</v>
      </c>
      <c r="O67" s="544">
        <v>2</v>
      </c>
      <c r="P67" s="442"/>
      <c r="Q67" s="384">
        <v>21200</v>
      </c>
      <c r="R67" s="826" t="s">
        <v>421</v>
      </c>
      <c r="S67" s="618" t="s">
        <v>422</v>
      </c>
      <c r="T67" s="655">
        <v>45900</v>
      </c>
      <c r="U67" s="652">
        <v>4333.7167675421151</v>
      </c>
      <c r="V67" s="795"/>
      <c r="W67" s="725">
        <f>T67+30</f>
        <v>45930</v>
      </c>
      <c r="X67" s="801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798"/>
      <c r="J68" s="798"/>
      <c r="K68" s="287"/>
      <c r="L68" s="310">
        <v>5</v>
      </c>
      <c r="M68" s="426" t="s">
        <v>390</v>
      </c>
      <c r="N68" s="385" t="s">
        <v>423</v>
      </c>
      <c r="O68" s="544">
        <v>2</v>
      </c>
      <c r="P68" s="442"/>
      <c r="Q68" s="384">
        <v>9040</v>
      </c>
      <c r="R68" s="828"/>
      <c r="S68" s="618" t="s">
        <v>422</v>
      </c>
      <c r="T68" s="655">
        <v>45900</v>
      </c>
      <c r="U68" s="652">
        <v>1847.9622442726754</v>
      </c>
      <c r="V68" s="795"/>
      <c r="W68" s="725">
        <f>T68+30</f>
        <v>45930</v>
      </c>
      <c r="X68" s="801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798"/>
      <c r="J69" s="798"/>
      <c r="K69" s="287"/>
      <c r="L69" s="310">
        <v>5</v>
      </c>
      <c r="M69" s="426" t="s">
        <v>390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95"/>
      <c r="W69" s="567"/>
      <c r="X69" s="801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798"/>
      <c r="J70" s="798"/>
      <c r="K70" s="287"/>
      <c r="L70" s="310">
        <v>5</v>
      </c>
      <c r="M70" s="426" t="s">
        <v>390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95"/>
      <c r="W70" s="567"/>
      <c r="X70" s="801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798"/>
      <c r="J71" s="798"/>
      <c r="K71" s="287"/>
      <c r="L71" s="310">
        <v>5</v>
      </c>
      <c r="M71" s="426" t="s">
        <v>390</v>
      </c>
      <c r="N71" s="385" t="s">
        <v>424</v>
      </c>
      <c r="O71" s="544">
        <v>3</v>
      </c>
      <c r="P71" s="442"/>
      <c r="Q71" s="384">
        <v>28431.279999999999</v>
      </c>
      <c r="R71" s="582" t="s">
        <v>425</v>
      </c>
      <c r="S71" s="618" t="s">
        <v>426</v>
      </c>
      <c r="T71" s="655">
        <v>45961</v>
      </c>
      <c r="U71" s="746">
        <v>7888.2917631609344</v>
      </c>
      <c r="V71" s="795"/>
      <c r="W71" s="531">
        <v>45947</v>
      </c>
      <c r="X71" s="801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798"/>
      <c r="J72" s="798"/>
      <c r="K72" s="287"/>
      <c r="L72" s="310">
        <v>5</v>
      </c>
      <c r="M72" s="426" t="s">
        <v>390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95"/>
      <c r="W72" s="567"/>
      <c r="X72" s="801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798"/>
      <c r="J73" s="798"/>
      <c r="K73" s="287"/>
      <c r="L73" s="310">
        <v>5</v>
      </c>
      <c r="M73" s="426" t="s">
        <v>390</v>
      </c>
      <c r="N73" s="385" t="s">
        <v>427</v>
      </c>
      <c r="O73" s="544"/>
      <c r="P73" s="442"/>
      <c r="Q73" s="384">
        <f>81130.56-Q74</f>
        <v>52911.24</v>
      </c>
      <c r="R73" s="582" t="s">
        <v>428</v>
      </c>
      <c r="S73" s="618" t="s">
        <v>429</v>
      </c>
      <c r="T73" s="655">
        <v>45961</v>
      </c>
      <c r="U73" s="746">
        <v>6376.4951883781287</v>
      </c>
      <c r="V73" s="795"/>
      <c r="W73" s="725">
        <f>T73</f>
        <v>45961</v>
      </c>
      <c r="X73" s="801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798"/>
      <c r="J74" s="798"/>
      <c r="K74" s="287"/>
      <c r="L74" s="310">
        <v>5</v>
      </c>
      <c r="M74" s="426" t="s">
        <v>390</v>
      </c>
      <c r="N74" s="385"/>
      <c r="O74" s="544"/>
      <c r="P74" s="442"/>
      <c r="Q74" s="384">
        <v>28219.32</v>
      </c>
      <c r="R74" s="582"/>
      <c r="S74" s="618" t="s">
        <v>429</v>
      </c>
      <c r="T74" s="655">
        <v>45961</v>
      </c>
      <c r="U74" s="746">
        <v>7829.483214192348</v>
      </c>
      <c r="V74" s="795"/>
      <c r="W74" s="531">
        <v>45939</v>
      </c>
      <c r="X74" s="801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798"/>
      <c r="J75" s="798"/>
      <c r="K75" s="287"/>
      <c r="L75" s="310">
        <v>5</v>
      </c>
      <c r="M75" s="426" t="s">
        <v>390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95"/>
      <c r="W75" s="567"/>
      <c r="X75" s="801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798"/>
      <c r="J76" s="798"/>
      <c r="K76" s="287"/>
      <c r="L76" s="310">
        <v>5</v>
      </c>
      <c r="M76" s="426" t="s">
        <v>390</v>
      </c>
      <c r="N76" s="385" t="s">
        <v>430</v>
      </c>
      <c r="O76" s="544"/>
      <c r="P76" s="442"/>
      <c r="Q76" s="384">
        <v>1767.5</v>
      </c>
      <c r="R76" s="582" t="s">
        <v>431</v>
      </c>
      <c r="S76" s="739" t="s">
        <v>432</v>
      </c>
      <c r="T76" s="726">
        <v>45961</v>
      </c>
      <c r="U76" s="746">
        <v>490.39493443091385</v>
      </c>
      <c r="V76" s="795"/>
      <c r="W76" s="531">
        <f>T76+30</f>
        <v>45991</v>
      </c>
      <c r="X76" s="801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798"/>
      <c r="J77" s="798"/>
      <c r="K77" s="287"/>
      <c r="L77" s="310">
        <v>5</v>
      </c>
      <c r="M77" s="426" t="s">
        <v>390</v>
      </c>
      <c r="N77" s="385" t="s">
        <v>430</v>
      </c>
      <c r="O77" s="544"/>
      <c r="P77" s="442"/>
      <c r="Q77" s="384">
        <v>-1767.5</v>
      </c>
      <c r="R77" s="582"/>
      <c r="S77" s="739" t="s">
        <v>433</v>
      </c>
      <c r="T77" s="726">
        <v>46053</v>
      </c>
      <c r="U77" s="746">
        <v>0</v>
      </c>
      <c r="V77" s="795"/>
      <c r="W77" s="531">
        <v>46053</v>
      </c>
      <c r="X77" s="801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798"/>
      <c r="J78" s="798"/>
      <c r="K78" s="287"/>
      <c r="L78" s="310">
        <v>5</v>
      </c>
      <c r="M78" s="426" t="s">
        <v>390</v>
      </c>
      <c r="N78" s="385" t="s">
        <v>434</v>
      </c>
      <c r="O78" s="544"/>
      <c r="P78" s="442"/>
      <c r="Q78" s="384">
        <v>2250.5</v>
      </c>
      <c r="R78" s="582" t="s">
        <v>435</v>
      </c>
      <c r="S78" s="618" t="s">
        <v>436</v>
      </c>
      <c r="T78" s="726">
        <v>45961</v>
      </c>
      <c r="U78" s="746">
        <v>624.40384720609427</v>
      </c>
      <c r="V78" s="795"/>
      <c r="W78" s="725">
        <v>45961</v>
      </c>
      <c r="X78" s="801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798"/>
      <c r="J79" s="798"/>
      <c r="K79" s="287"/>
      <c r="L79" s="310">
        <v>5</v>
      </c>
      <c r="M79" s="426" t="s">
        <v>390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95"/>
      <c r="W79" s="567"/>
      <c r="X79" s="801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798"/>
      <c r="J80" s="798"/>
      <c r="K80" s="287"/>
      <c r="L80" s="310">
        <v>5</v>
      </c>
      <c r="M80" s="426" t="s">
        <v>390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95"/>
      <c r="W80" s="567"/>
      <c r="X80" s="801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798"/>
      <c r="J81" s="798"/>
      <c r="K81" s="287"/>
      <c r="L81" s="310">
        <v>5</v>
      </c>
      <c r="M81" s="426" t="s">
        <v>390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95"/>
      <c r="W81" s="567"/>
      <c r="X81" s="801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798"/>
      <c r="J82" s="798"/>
      <c r="K82" s="287"/>
      <c r="L82" s="310">
        <v>5</v>
      </c>
      <c r="M82" s="426" t="s">
        <v>390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95"/>
      <c r="W82" s="567"/>
      <c r="X82" s="801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798"/>
      <c r="J83" s="798"/>
      <c r="K83" s="287"/>
      <c r="L83" s="310">
        <v>5</v>
      </c>
      <c r="M83" s="426" t="s">
        <v>390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95"/>
      <c r="W83" s="567"/>
      <c r="X83" s="801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799"/>
      <c r="J84" s="799"/>
      <c r="K84" s="288"/>
      <c r="L84" s="315">
        <v>5</v>
      </c>
      <c r="M84" s="422" t="s">
        <v>390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96"/>
      <c r="W84" s="568"/>
      <c r="X84" s="802"/>
      <c r="Y84" s="480"/>
    </row>
    <row r="85" spans="1:25" ht="13.9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318</v>
      </c>
      <c r="D86" s="294" t="s">
        <v>437</v>
      </c>
      <c r="E86" s="473"/>
      <c r="F86" s="455"/>
      <c r="G86" s="295">
        <f>D223</f>
        <v>849891.5</v>
      </c>
      <c r="H86" s="570">
        <v>45900</v>
      </c>
      <c r="I86" s="808">
        <f>SUM(G86:G102)</f>
        <v>849891.5</v>
      </c>
      <c r="J86" s="808">
        <f>F223</f>
        <v>1062364.375</v>
      </c>
      <c r="K86" s="296"/>
      <c r="L86" s="292">
        <v>6</v>
      </c>
      <c r="M86" s="429" t="s">
        <v>438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832">
        <f>J86-SUM(U86:U102)</f>
        <v>0</v>
      </c>
      <c r="W86" s="570"/>
      <c r="X86" s="811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09"/>
      <c r="J87" s="809"/>
      <c r="K87" s="300"/>
      <c r="L87" s="297">
        <v>6</v>
      </c>
      <c r="M87" s="427" t="s">
        <v>438</v>
      </c>
      <c r="N87" s="441" t="s">
        <v>439</v>
      </c>
      <c r="O87" s="548"/>
      <c r="P87" s="451"/>
      <c r="Q87" s="320">
        <v>13151</v>
      </c>
      <c r="R87" s="586"/>
      <c r="S87" s="622" t="s">
        <v>440</v>
      </c>
      <c r="T87" s="738">
        <v>45961</v>
      </c>
      <c r="U87" s="747">
        <v>0</v>
      </c>
      <c r="V87" s="833"/>
      <c r="W87" s="724">
        <v>46009</v>
      </c>
      <c r="X87" s="812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09"/>
      <c r="J88" s="809"/>
      <c r="K88" s="300"/>
      <c r="L88" s="297">
        <v>6</v>
      </c>
      <c r="M88" s="427" t="s">
        <v>438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833"/>
      <c r="W88" s="571"/>
      <c r="X88" s="812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09"/>
      <c r="J89" s="809"/>
      <c r="K89" s="300"/>
      <c r="L89" s="297">
        <v>6</v>
      </c>
      <c r="M89" s="427" t="s">
        <v>438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833"/>
      <c r="W89" s="571"/>
      <c r="X89" s="812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09"/>
      <c r="J90" s="809"/>
      <c r="K90" s="300"/>
      <c r="L90" s="297">
        <v>6</v>
      </c>
      <c r="M90" s="427" t="s">
        <v>438</v>
      </c>
      <c r="N90" s="441" t="s">
        <v>441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833"/>
      <c r="W90" s="571"/>
      <c r="X90" s="812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809"/>
      <c r="J91" s="809"/>
      <c r="K91" s="300"/>
      <c r="L91" s="297">
        <v>6</v>
      </c>
      <c r="M91" s="427" t="s">
        <v>438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833"/>
      <c r="W91" s="571"/>
      <c r="X91" s="812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809"/>
      <c r="J92" s="809"/>
      <c r="K92" s="300"/>
      <c r="L92" s="297">
        <v>6</v>
      </c>
      <c r="M92" s="427" t="s">
        <v>438</v>
      </c>
      <c r="N92" s="406" t="s">
        <v>377</v>
      </c>
      <c r="O92" s="559">
        <f>Z31</f>
        <v>1058756.23</v>
      </c>
      <c r="P92" s="560">
        <v>0.1</v>
      </c>
      <c r="Q92" s="299">
        <f>$O$92*P92</f>
        <v>105875.62300000001</v>
      </c>
      <c r="R92" s="835"/>
      <c r="S92" s="622" t="s">
        <v>378</v>
      </c>
      <c r="T92" s="643">
        <v>45900</v>
      </c>
      <c r="U92" s="650">
        <v>106236.4375</v>
      </c>
      <c r="V92" s="833"/>
      <c r="W92" s="533">
        <f>W138</f>
        <v>45883</v>
      </c>
      <c r="X92" s="812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809"/>
      <c r="J93" s="809"/>
      <c r="K93" s="300"/>
      <c r="L93" s="297">
        <v>6</v>
      </c>
      <c r="M93" s="428" t="s">
        <v>438</v>
      </c>
      <c r="N93" s="406" t="s">
        <v>160</v>
      </c>
      <c r="O93" s="548"/>
      <c r="P93" s="560">
        <v>0.15</v>
      </c>
      <c r="Q93" s="299">
        <f t="shared" ref="Q93:Q99" si="9">$O$92*P93</f>
        <v>158813.4345</v>
      </c>
      <c r="R93" s="836"/>
      <c r="S93" s="622" t="s">
        <v>378</v>
      </c>
      <c r="T93" s="643">
        <v>45900</v>
      </c>
      <c r="U93" s="650">
        <v>159354.65625</v>
      </c>
      <c r="V93" s="833"/>
      <c r="W93" s="533">
        <f t="shared" ref="W93:W98" si="10">W139</f>
        <v>45898</v>
      </c>
      <c r="X93" s="812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09"/>
      <c r="J94" s="809"/>
      <c r="K94" s="300"/>
      <c r="L94" s="297">
        <v>6</v>
      </c>
      <c r="M94" s="428" t="s">
        <v>438</v>
      </c>
      <c r="N94" s="406" t="s">
        <v>379</v>
      </c>
      <c r="O94" s="548"/>
      <c r="P94" s="560">
        <v>0.2</v>
      </c>
      <c r="Q94" s="299">
        <f t="shared" si="9"/>
        <v>211751.24600000001</v>
      </c>
      <c r="R94" s="836"/>
      <c r="S94" s="622" t="s">
        <v>378</v>
      </c>
      <c r="T94" s="643">
        <v>45900</v>
      </c>
      <c r="U94" s="650">
        <v>212472.875</v>
      </c>
      <c r="V94" s="833"/>
      <c r="W94" s="533">
        <f>W140</f>
        <v>45946</v>
      </c>
      <c r="X94" s="812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09"/>
      <c r="J95" s="809"/>
      <c r="K95" s="300"/>
      <c r="L95" s="297">
        <v>6</v>
      </c>
      <c r="M95" s="428" t="s">
        <v>438</v>
      </c>
      <c r="N95" s="406" t="s">
        <v>381</v>
      </c>
      <c r="O95" s="548"/>
      <c r="P95" s="560">
        <v>0.25</v>
      </c>
      <c r="Q95" s="299">
        <f t="shared" si="9"/>
        <v>264689.0575</v>
      </c>
      <c r="R95" s="836"/>
      <c r="S95" s="622" t="s">
        <v>378</v>
      </c>
      <c r="T95" s="643">
        <v>45900</v>
      </c>
      <c r="U95" s="650">
        <v>265591.09375</v>
      </c>
      <c r="V95" s="833"/>
      <c r="W95" s="533">
        <f>W141</f>
        <v>45946</v>
      </c>
      <c r="X95" s="812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809"/>
      <c r="J96" s="809"/>
      <c r="K96" s="300"/>
      <c r="L96" s="297">
        <v>6</v>
      </c>
      <c r="M96" s="428" t="s">
        <v>438</v>
      </c>
      <c r="N96" s="406" t="s">
        <v>383</v>
      </c>
      <c r="O96" s="548"/>
      <c r="P96" s="560">
        <v>0.1</v>
      </c>
      <c r="Q96" s="299">
        <f t="shared" si="9"/>
        <v>105875.62300000001</v>
      </c>
      <c r="R96" s="836"/>
      <c r="S96" s="622" t="s">
        <v>378</v>
      </c>
      <c r="T96" s="643">
        <v>45900</v>
      </c>
      <c r="U96" s="650">
        <v>106236.4375</v>
      </c>
      <c r="V96" s="833"/>
      <c r="W96" s="533">
        <f t="shared" si="10"/>
        <v>45989</v>
      </c>
      <c r="X96" s="812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09"/>
      <c r="J97" s="809"/>
      <c r="K97" s="300"/>
      <c r="L97" s="297">
        <v>6</v>
      </c>
      <c r="M97" s="428" t="s">
        <v>438</v>
      </c>
      <c r="N97" s="406" t="s">
        <v>385</v>
      </c>
      <c r="O97" s="548"/>
      <c r="P97" s="560">
        <v>0.1</v>
      </c>
      <c r="Q97" s="299">
        <f t="shared" si="9"/>
        <v>105875.62300000001</v>
      </c>
      <c r="R97" s="836"/>
      <c r="S97" s="626" t="s">
        <v>378</v>
      </c>
      <c r="T97" s="643">
        <v>45900</v>
      </c>
      <c r="U97" s="681">
        <v>106236.4375</v>
      </c>
      <c r="V97" s="833"/>
      <c r="W97" s="533">
        <f t="shared" si="10"/>
        <v>45996</v>
      </c>
      <c r="X97" s="812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09"/>
      <c r="J98" s="809"/>
      <c r="K98" s="300"/>
      <c r="L98" s="297">
        <v>6</v>
      </c>
      <c r="M98" s="428" t="s">
        <v>438</v>
      </c>
      <c r="N98" s="406" t="s">
        <v>386</v>
      </c>
      <c r="O98" s="548"/>
      <c r="P98" s="560">
        <v>0.05</v>
      </c>
      <c r="Q98" s="299">
        <f t="shared" si="9"/>
        <v>52937.811500000003</v>
      </c>
      <c r="R98" s="836"/>
      <c r="S98" s="626" t="s">
        <v>378</v>
      </c>
      <c r="T98" s="643">
        <v>45900</v>
      </c>
      <c r="U98" s="681">
        <v>53118.21875</v>
      </c>
      <c r="V98" s="833"/>
      <c r="W98" s="533">
        <f t="shared" si="10"/>
        <v>45996</v>
      </c>
      <c r="X98" s="812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809"/>
      <c r="J99" s="809"/>
      <c r="K99" s="300"/>
      <c r="L99" s="297">
        <v>6</v>
      </c>
      <c r="M99" s="428" t="s">
        <v>438</v>
      </c>
      <c r="N99" s="406" t="s">
        <v>387</v>
      </c>
      <c r="O99" s="548"/>
      <c r="P99" s="560">
        <v>0.05</v>
      </c>
      <c r="Q99" s="299">
        <f t="shared" si="9"/>
        <v>52937.811500000003</v>
      </c>
      <c r="R99" s="837"/>
      <c r="S99" s="626" t="s">
        <v>378</v>
      </c>
      <c r="T99" s="643">
        <v>45900</v>
      </c>
      <c r="U99" s="681">
        <v>53118.21875</v>
      </c>
      <c r="V99" s="833"/>
      <c r="W99" s="724">
        <v>46015</v>
      </c>
      <c r="X99" s="812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09"/>
      <c r="J100" s="809"/>
      <c r="K100" s="300"/>
      <c r="L100" s="297">
        <v>6</v>
      </c>
      <c r="M100" s="428" t="s">
        <v>438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833"/>
      <c r="W100" s="574"/>
      <c r="X100" s="812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809"/>
      <c r="J101" s="809"/>
      <c r="K101" s="300"/>
      <c r="L101" s="297">
        <v>6</v>
      </c>
      <c r="M101" s="428" t="s">
        <v>438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833"/>
      <c r="W101" s="574"/>
      <c r="X101" s="812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810"/>
      <c r="J102" s="810"/>
      <c r="K102" s="305"/>
      <c r="L102" s="301">
        <v>6</v>
      </c>
      <c r="M102" s="430" t="s">
        <v>438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834"/>
      <c r="W102" s="572"/>
      <c r="X102" s="813"/>
      <c r="Y102" s="480"/>
    </row>
    <row r="103" spans="1:25" ht="13.9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442</v>
      </c>
      <c r="D104" s="379" t="s">
        <v>443</v>
      </c>
      <c r="E104" s="460"/>
      <c r="F104" s="466"/>
      <c r="G104" s="380">
        <v>2863498</v>
      </c>
      <c r="H104" s="534">
        <v>45900</v>
      </c>
      <c r="I104" s="797">
        <f>SUM(G104:G111)</f>
        <v>3616080.6086956523</v>
      </c>
      <c r="J104" s="797">
        <f>F228</f>
        <v>4017867.3429951691</v>
      </c>
      <c r="K104" s="284"/>
      <c r="L104" s="378">
        <v>7</v>
      </c>
      <c r="M104" s="308" t="s">
        <v>444</v>
      </c>
      <c r="N104" s="379" t="s">
        <v>445</v>
      </c>
      <c r="O104" s="553">
        <v>2</v>
      </c>
      <c r="P104" s="466">
        <v>673930</v>
      </c>
      <c r="Q104" s="380">
        <f>O104*P104</f>
        <v>1347860</v>
      </c>
      <c r="R104" s="838" t="s">
        <v>446</v>
      </c>
      <c r="S104" s="628" t="s">
        <v>447</v>
      </c>
      <c r="T104" s="658">
        <v>45869</v>
      </c>
      <c r="U104" s="668">
        <v>2342698.6135199242</v>
      </c>
      <c r="V104" s="829">
        <f>J104-SUM(U104:U111)</f>
        <v>0</v>
      </c>
      <c r="W104" s="534">
        <v>45900</v>
      </c>
      <c r="X104" s="800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448</v>
      </c>
      <c r="E105" s="404"/>
      <c r="F105" s="442"/>
      <c r="G105" s="384">
        <v>350000</v>
      </c>
      <c r="H105" s="531">
        <v>45900</v>
      </c>
      <c r="I105" s="798"/>
      <c r="J105" s="798"/>
      <c r="K105" s="287"/>
      <c r="L105" s="381">
        <v>7</v>
      </c>
      <c r="M105" s="382" t="s">
        <v>444</v>
      </c>
      <c r="N105" s="383" t="s">
        <v>449</v>
      </c>
      <c r="O105" s="544">
        <v>2</v>
      </c>
      <c r="P105" s="442">
        <v>316900</v>
      </c>
      <c r="Q105" s="384">
        <f>O105*P105</f>
        <v>633800</v>
      </c>
      <c r="R105" s="828"/>
      <c r="S105" s="618" t="s">
        <v>447</v>
      </c>
      <c r="T105" s="655">
        <v>45869</v>
      </c>
      <c r="U105" s="649">
        <v>1101599.8555109049</v>
      </c>
      <c r="V105" s="830"/>
      <c r="W105" s="531">
        <v>45900</v>
      </c>
      <c r="X105" s="801"/>
      <c r="Y105" s="480"/>
    </row>
    <row r="106" spans="1:25" ht="14.25" customHeight="1">
      <c r="B106" s="381">
        <v>7</v>
      </c>
      <c r="C106" s="382"/>
      <c r="D106" s="383" t="s">
        <v>450</v>
      </c>
      <c r="E106" s="404"/>
      <c r="F106" s="442"/>
      <c r="G106" s="384">
        <v>375000</v>
      </c>
      <c r="H106" s="531">
        <v>45900</v>
      </c>
      <c r="I106" s="798"/>
      <c r="J106" s="798"/>
      <c r="K106" s="287"/>
      <c r="L106" s="381">
        <v>7</v>
      </c>
      <c r="M106" s="382" t="s">
        <v>444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830"/>
      <c r="W106" s="567"/>
      <c r="X106" s="801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798"/>
      <c r="J107" s="798"/>
      <c r="K107" s="287"/>
      <c r="L107" s="381">
        <v>7</v>
      </c>
      <c r="M107" s="382" t="s">
        <v>444</v>
      </c>
      <c r="N107" s="383" t="s">
        <v>451</v>
      </c>
      <c r="O107" s="669">
        <v>0.5</v>
      </c>
      <c r="P107" s="442">
        <v>396800</v>
      </c>
      <c r="Q107" s="384">
        <f>O107*P107</f>
        <v>198400</v>
      </c>
      <c r="R107" s="826" t="s">
        <v>452</v>
      </c>
      <c r="S107" s="618" t="s">
        <v>453</v>
      </c>
      <c r="T107" s="670">
        <v>45900</v>
      </c>
      <c r="U107" s="649">
        <v>286784.43698216981</v>
      </c>
      <c r="V107" s="830"/>
      <c r="W107" s="531">
        <v>45890</v>
      </c>
      <c r="X107" s="801"/>
      <c r="Y107" s="480"/>
    </row>
    <row r="108" spans="1:25" ht="14.25" customHeight="1">
      <c r="B108" s="381">
        <v>7</v>
      </c>
      <c r="C108" s="382"/>
      <c r="D108" s="383" t="s">
        <v>454</v>
      </c>
      <c r="E108" s="404"/>
      <c r="F108" s="442"/>
      <c r="G108" s="384">
        <v>27582.608695652176</v>
      </c>
      <c r="H108" s="567">
        <f>H107+28</f>
        <v>45918</v>
      </c>
      <c r="I108" s="798"/>
      <c r="J108" s="798"/>
      <c r="K108" s="287"/>
      <c r="L108" s="381">
        <v>7</v>
      </c>
      <c r="M108" s="382" t="s">
        <v>444</v>
      </c>
      <c r="N108" s="383" t="s">
        <v>455</v>
      </c>
      <c r="O108" s="669">
        <v>0.5</v>
      </c>
      <c r="P108" s="442"/>
      <c r="Q108" s="384">
        <f>O108*P107-Q109</f>
        <v>31388.959999999992</v>
      </c>
      <c r="R108" s="828"/>
      <c r="S108" s="618" t="s">
        <v>453</v>
      </c>
      <c r="T108" s="670">
        <v>45900</v>
      </c>
      <c r="U108" s="649">
        <v>286784.43698216981</v>
      </c>
      <c r="V108" s="830"/>
      <c r="W108" s="531">
        <f>W135</f>
        <v>46086</v>
      </c>
      <c r="X108" s="801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798"/>
      <c r="J109" s="798"/>
      <c r="K109" s="287"/>
      <c r="L109" s="381">
        <v>7</v>
      </c>
      <c r="M109" s="382" t="s">
        <v>444</v>
      </c>
      <c r="N109" s="383"/>
      <c r="O109" s="404"/>
      <c r="P109" s="442"/>
      <c r="Q109" s="384">
        <v>167011.04</v>
      </c>
      <c r="R109" s="582"/>
      <c r="S109" s="618" t="s">
        <v>453</v>
      </c>
      <c r="T109" s="655">
        <v>45900</v>
      </c>
      <c r="U109" s="502">
        <v>0</v>
      </c>
      <c r="V109" s="830"/>
      <c r="W109" s="531">
        <v>45967</v>
      </c>
      <c r="X109" s="801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798"/>
      <c r="J110" s="798"/>
      <c r="K110" s="287"/>
      <c r="L110" s="381">
        <v>7</v>
      </c>
      <c r="M110" s="382" t="s">
        <v>444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830"/>
      <c r="W110" s="567"/>
      <c r="X110" s="801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799"/>
      <c r="J111" s="799"/>
      <c r="K111" s="288"/>
      <c r="L111" s="315">
        <v>7</v>
      </c>
      <c r="M111" s="336" t="s">
        <v>444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831"/>
      <c r="W111" s="568"/>
      <c r="X111" s="802"/>
      <c r="Y111" s="480"/>
    </row>
    <row r="112" spans="1:25" ht="13.9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456</v>
      </c>
      <c r="D113" s="332"/>
      <c r="E113" s="461"/>
      <c r="F113" s="414"/>
      <c r="G113" s="333"/>
      <c r="H113" s="570"/>
      <c r="I113" s="808">
        <f>SUM(G113:G135)</f>
        <v>145000</v>
      </c>
      <c r="J113" s="808">
        <f>F226+F227</f>
        <v>181250</v>
      </c>
      <c r="K113" s="296"/>
      <c r="L113" s="331">
        <v>8</v>
      </c>
      <c r="M113" s="423" t="s">
        <v>457</v>
      </c>
      <c r="N113" s="332" t="s">
        <v>458</v>
      </c>
      <c r="O113" s="554"/>
      <c r="P113" s="414"/>
      <c r="Q113" s="333">
        <f>240447.78/2</f>
        <v>120223.89</v>
      </c>
      <c r="R113" s="585" t="s">
        <v>459</v>
      </c>
      <c r="S113" s="621" t="s">
        <v>460</v>
      </c>
      <c r="T113" s="642">
        <v>45991</v>
      </c>
      <c r="U113" s="505">
        <v>0</v>
      </c>
      <c r="V113" s="820">
        <f>J113-SUM(U113:U135)</f>
        <v>0</v>
      </c>
      <c r="W113" s="532">
        <v>45989</v>
      </c>
      <c r="X113" s="811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809"/>
      <c r="J114" s="809"/>
      <c r="K114" s="300"/>
      <c r="L114" s="321">
        <v>8</v>
      </c>
      <c r="M114" s="431" t="s">
        <v>457</v>
      </c>
      <c r="N114" s="334"/>
      <c r="O114" s="413"/>
      <c r="P114" s="459"/>
      <c r="Q114" s="323"/>
      <c r="R114" s="585"/>
      <c r="S114" s="621"/>
      <c r="T114" s="520"/>
      <c r="U114" s="505"/>
      <c r="V114" s="821"/>
      <c r="W114" s="570"/>
      <c r="X114" s="812"/>
      <c r="Y114" s="480"/>
    </row>
    <row r="115" spans="2:25" ht="14.25" customHeight="1">
      <c r="B115" s="321">
        <v>8</v>
      </c>
      <c r="C115" s="322"/>
      <c r="D115" s="334" t="s">
        <v>461</v>
      </c>
      <c r="E115" s="413"/>
      <c r="F115" s="459"/>
      <c r="G115" s="323">
        <v>75000</v>
      </c>
      <c r="H115" s="533">
        <v>45872</v>
      </c>
      <c r="I115" s="809"/>
      <c r="J115" s="809"/>
      <c r="K115" s="300"/>
      <c r="L115" s="321">
        <v>8</v>
      </c>
      <c r="M115" s="431" t="s">
        <v>457</v>
      </c>
      <c r="N115" s="334" t="s">
        <v>462</v>
      </c>
      <c r="O115" s="413"/>
      <c r="P115" s="459"/>
      <c r="Q115" s="323"/>
      <c r="R115" s="586"/>
      <c r="S115" s="678"/>
      <c r="T115" s="643"/>
      <c r="U115" s="506"/>
      <c r="V115" s="821"/>
      <c r="W115" s="571"/>
      <c r="X115" s="812"/>
      <c r="Y115" s="480"/>
    </row>
    <row r="116" spans="2:25" ht="14.25" customHeight="1">
      <c r="B116" s="321">
        <v>8</v>
      </c>
      <c r="C116" s="322"/>
      <c r="D116" s="334" t="s">
        <v>337</v>
      </c>
      <c r="E116" s="413"/>
      <c r="F116" s="459"/>
      <c r="G116" s="323">
        <v>50000</v>
      </c>
      <c r="H116" s="533">
        <v>45873</v>
      </c>
      <c r="I116" s="809"/>
      <c r="J116" s="809"/>
      <c r="K116" s="300"/>
      <c r="L116" s="321">
        <v>8</v>
      </c>
      <c r="M116" s="431" t="s">
        <v>457</v>
      </c>
      <c r="N116" s="334" t="s">
        <v>337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21"/>
      <c r="W116" s="571"/>
      <c r="X116" s="812"/>
      <c r="Y116" s="480"/>
    </row>
    <row r="117" spans="2:25" ht="14.25" customHeight="1">
      <c r="B117" s="321"/>
      <c r="C117" s="322"/>
      <c r="D117" s="334" t="s">
        <v>463</v>
      </c>
      <c r="E117" s="413"/>
      <c r="F117" s="459"/>
      <c r="G117" s="323">
        <v>20000</v>
      </c>
      <c r="H117" s="533">
        <v>45873</v>
      </c>
      <c r="I117" s="809"/>
      <c r="J117" s="809"/>
      <c r="K117" s="300"/>
      <c r="L117" s="321">
        <v>8</v>
      </c>
      <c r="M117" s="431" t="s">
        <v>457</v>
      </c>
      <c r="N117" s="334" t="s">
        <v>464</v>
      </c>
      <c r="O117" s="413">
        <v>4</v>
      </c>
      <c r="P117" s="459"/>
      <c r="Q117" s="323">
        <v>20597.8</v>
      </c>
      <c r="R117" s="586"/>
      <c r="S117" s="622" t="s">
        <v>465</v>
      </c>
      <c r="T117" s="643">
        <v>45961</v>
      </c>
      <c r="U117" s="506">
        <v>0</v>
      </c>
      <c r="V117" s="821"/>
      <c r="W117" s="533">
        <v>45989</v>
      </c>
      <c r="X117" s="812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809"/>
      <c r="J118" s="809"/>
      <c r="K118" s="300"/>
      <c r="L118" s="321">
        <v>8</v>
      </c>
      <c r="M118" s="431" t="s">
        <v>457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21"/>
      <c r="W118" s="571"/>
      <c r="X118" s="812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09"/>
      <c r="J119" s="809"/>
      <c r="K119" s="300"/>
      <c r="L119" s="321">
        <v>8</v>
      </c>
      <c r="M119" s="431" t="s">
        <v>457</v>
      </c>
      <c r="N119" s="334"/>
      <c r="O119" s="551"/>
      <c r="P119" s="459"/>
      <c r="Q119" s="323"/>
      <c r="R119" s="586"/>
      <c r="S119" s="622"/>
      <c r="T119" s="521"/>
      <c r="U119" s="506"/>
      <c r="V119" s="821"/>
      <c r="W119" s="571"/>
      <c r="X119" s="812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09"/>
      <c r="J120" s="809"/>
      <c r="K120" s="300"/>
      <c r="L120" s="321">
        <v>8</v>
      </c>
      <c r="M120" s="431" t="s">
        <v>457</v>
      </c>
      <c r="N120" s="334" t="s">
        <v>466</v>
      </c>
      <c r="O120" s="551"/>
      <c r="P120" s="459"/>
      <c r="Q120" s="323">
        <v>18995</v>
      </c>
      <c r="R120" s="586" t="s">
        <v>467</v>
      </c>
      <c r="S120" s="622"/>
      <c r="T120" s="521">
        <v>46081</v>
      </c>
      <c r="U120" s="506"/>
      <c r="V120" s="821"/>
      <c r="W120" s="571">
        <v>46086</v>
      </c>
      <c r="X120" s="812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09"/>
      <c r="J121" s="809"/>
      <c r="K121" s="300"/>
      <c r="L121" s="321">
        <v>8</v>
      </c>
      <c r="M121" s="431" t="s">
        <v>457</v>
      </c>
      <c r="N121" s="334" t="s">
        <v>468</v>
      </c>
      <c r="O121" s="551"/>
      <c r="P121" s="459"/>
      <c r="Q121" s="323">
        <v>11229.25</v>
      </c>
      <c r="R121" s="586" t="s">
        <v>469</v>
      </c>
      <c r="S121" s="622" t="s">
        <v>470</v>
      </c>
      <c r="T121" s="738">
        <v>45991</v>
      </c>
      <c r="U121" s="506"/>
      <c r="V121" s="821"/>
      <c r="W121" s="724">
        <v>45980</v>
      </c>
      <c r="X121" s="812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09"/>
      <c r="J122" s="809"/>
      <c r="K122" s="300"/>
      <c r="L122" s="321">
        <v>8</v>
      </c>
      <c r="M122" s="431" t="s">
        <v>457</v>
      </c>
      <c r="N122" s="334"/>
      <c r="O122" s="551"/>
      <c r="P122" s="459"/>
      <c r="Q122" s="323"/>
      <c r="R122" s="586"/>
      <c r="S122" s="622"/>
      <c r="T122" s="521"/>
      <c r="U122" s="506"/>
      <c r="V122" s="821"/>
      <c r="W122" s="571"/>
      <c r="X122" s="812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09"/>
      <c r="J123" s="809"/>
      <c r="K123" s="300"/>
      <c r="L123" s="321">
        <v>8</v>
      </c>
      <c r="M123" s="431" t="s">
        <v>457</v>
      </c>
      <c r="N123" s="334"/>
      <c r="O123" s="551"/>
      <c r="P123" s="459"/>
      <c r="Q123" s="323"/>
      <c r="R123" s="586"/>
      <c r="S123" s="622"/>
      <c r="T123" s="521"/>
      <c r="U123" s="506"/>
      <c r="V123" s="821"/>
      <c r="W123" s="571"/>
      <c r="X123" s="812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09"/>
      <c r="J124" s="809"/>
      <c r="K124" s="300"/>
      <c r="L124" s="321">
        <v>8</v>
      </c>
      <c r="M124" s="431" t="s">
        <v>457</v>
      </c>
      <c r="N124" s="334" t="s">
        <v>471</v>
      </c>
      <c r="O124" s="551"/>
      <c r="P124" s="459"/>
      <c r="Q124" s="323">
        <v>7600</v>
      </c>
      <c r="R124" s="586"/>
      <c r="S124" s="622" t="s">
        <v>472</v>
      </c>
      <c r="T124" s="643">
        <v>45991</v>
      </c>
      <c r="U124" s="506"/>
      <c r="V124" s="821"/>
      <c r="W124" s="533">
        <v>45974</v>
      </c>
      <c r="X124" s="812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09"/>
      <c r="J125" s="809"/>
      <c r="K125" s="300"/>
      <c r="L125" s="321">
        <v>8</v>
      </c>
      <c r="M125" s="431" t="s">
        <v>457</v>
      </c>
      <c r="N125" s="334"/>
      <c r="O125" s="551"/>
      <c r="P125" s="459"/>
      <c r="Q125" s="323"/>
      <c r="R125" s="586"/>
      <c r="S125" s="622"/>
      <c r="T125" s="643"/>
      <c r="U125" s="506"/>
      <c r="V125" s="821"/>
      <c r="W125" s="571"/>
      <c r="X125" s="812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09"/>
      <c r="J126" s="809"/>
      <c r="K126" s="300"/>
      <c r="L126" s="321">
        <v>8</v>
      </c>
      <c r="M126" s="431" t="s">
        <v>457</v>
      </c>
      <c r="N126" s="334"/>
      <c r="O126" s="551"/>
      <c r="P126" s="459"/>
      <c r="Q126" s="323"/>
      <c r="R126" s="586"/>
      <c r="S126" s="622"/>
      <c r="T126" s="521"/>
      <c r="U126" s="506"/>
      <c r="V126" s="821"/>
      <c r="W126" s="571"/>
      <c r="X126" s="812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09"/>
      <c r="J127" s="809"/>
      <c r="K127" s="300"/>
      <c r="L127" s="321">
        <v>8</v>
      </c>
      <c r="M127" s="431" t="s">
        <v>457</v>
      </c>
      <c r="N127" s="334"/>
      <c r="O127" s="551"/>
      <c r="P127" s="459"/>
      <c r="Q127" s="323"/>
      <c r="R127" s="586"/>
      <c r="S127" s="622"/>
      <c r="T127" s="521"/>
      <c r="U127" s="506"/>
      <c r="V127" s="821"/>
      <c r="W127" s="571"/>
      <c r="X127" s="812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09"/>
      <c r="J128" s="809"/>
      <c r="K128" s="300"/>
      <c r="L128" s="321">
        <v>8</v>
      </c>
      <c r="M128" s="431" t="s">
        <v>457</v>
      </c>
      <c r="N128" s="334"/>
      <c r="O128" s="551"/>
      <c r="P128" s="459"/>
      <c r="Q128" s="323"/>
      <c r="R128" s="586"/>
      <c r="S128" s="622"/>
      <c r="T128" s="521"/>
      <c r="U128" s="506"/>
      <c r="V128" s="821"/>
      <c r="W128" s="571"/>
      <c r="X128" s="812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809"/>
      <c r="J129" s="809"/>
      <c r="K129" s="300"/>
      <c r="L129" s="321">
        <v>8</v>
      </c>
      <c r="M129" s="431" t="s">
        <v>457</v>
      </c>
      <c r="N129" s="334"/>
      <c r="O129" s="551"/>
      <c r="P129" s="459"/>
      <c r="Q129" s="323"/>
      <c r="R129" s="586"/>
      <c r="S129" s="622"/>
      <c r="T129" s="521"/>
      <c r="U129" s="506"/>
      <c r="V129" s="821"/>
      <c r="W129" s="571"/>
      <c r="X129" s="812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809"/>
      <c r="J130" s="809"/>
      <c r="K130" s="300"/>
      <c r="L130" s="321">
        <v>8</v>
      </c>
      <c r="M130" s="431" t="s">
        <v>457</v>
      </c>
      <c r="N130" s="334" t="s">
        <v>333</v>
      </c>
      <c r="O130" s="551"/>
      <c r="P130" s="459"/>
      <c r="Q130" s="323">
        <v>12508.5</v>
      </c>
      <c r="R130" s="586"/>
      <c r="S130" s="622" t="s">
        <v>473</v>
      </c>
      <c r="T130" s="643">
        <v>45900</v>
      </c>
      <c r="U130" s="650">
        <v>56118.152622224297</v>
      </c>
      <c r="V130" s="821"/>
      <c r="W130" s="533">
        <v>45876</v>
      </c>
      <c r="X130" s="812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809"/>
      <c r="J131" s="809"/>
      <c r="K131" s="300"/>
      <c r="L131" s="321">
        <v>8</v>
      </c>
      <c r="M131" s="431" t="s">
        <v>457</v>
      </c>
      <c r="N131" s="334" t="s">
        <v>333</v>
      </c>
      <c r="O131" s="551"/>
      <c r="P131" s="459"/>
      <c r="Q131" s="323">
        <v>14200</v>
      </c>
      <c r="R131" s="586" t="s">
        <v>474</v>
      </c>
      <c r="S131" s="622" t="s">
        <v>475</v>
      </c>
      <c r="T131" s="643">
        <v>45838</v>
      </c>
      <c r="U131" s="650">
        <v>16166.77135678392</v>
      </c>
      <c r="V131" s="821"/>
      <c r="W131" s="533">
        <v>45841</v>
      </c>
      <c r="X131" s="812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809"/>
      <c r="J132" s="809"/>
      <c r="K132" s="300"/>
      <c r="L132" s="321">
        <v>8</v>
      </c>
      <c r="M132" s="431" t="s">
        <v>457</v>
      </c>
      <c r="N132" s="334" t="s">
        <v>476</v>
      </c>
      <c r="O132" s="551"/>
      <c r="P132" s="459"/>
      <c r="Q132" s="323">
        <v>9900</v>
      </c>
      <c r="R132" s="590" t="s">
        <v>477</v>
      </c>
      <c r="S132" s="626" t="s">
        <v>478</v>
      </c>
      <c r="T132" s="659">
        <v>45900</v>
      </c>
      <c r="U132" s="681">
        <v>46812.807552009661</v>
      </c>
      <c r="V132" s="821"/>
      <c r="W132" s="716">
        <v>45904</v>
      </c>
      <c r="X132" s="812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809"/>
      <c r="J133" s="809"/>
      <c r="K133" s="300"/>
      <c r="L133" s="321">
        <v>8</v>
      </c>
      <c r="M133" s="431" t="s">
        <v>457</v>
      </c>
      <c r="N133" s="334" t="s">
        <v>333</v>
      </c>
      <c r="O133" s="551"/>
      <c r="P133" s="459"/>
      <c r="Q133" s="323">
        <v>14200</v>
      </c>
      <c r="R133" s="590"/>
      <c r="S133" s="626" t="s">
        <v>479</v>
      </c>
      <c r="T133" s="659">
        <v>45900</v>
      </c>
      <c r="U133" s="681">
        <v>62152.26846898222</v>
      </c>
      <c r="V133" s="821"/>
      <c r="W133" s="716">
        <v>45900</v>
      </c>
      <c r="X133" s="812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809"/>
      <c r="J134" s="809"/>
      <c r="K134" s="300"/>
      <c r="L134" s="321">
        <v>8</v>
      </c>
      <c r="M134" s="431" t="s">
        <v>457</v>
      </c>
      <c r="N134" s="334" t="s">
        <v>480</v>
      </c>
      <c r="O134" s="551"/>
      <c r="P134" s="459"/>
      <c r="Q134" s="323">
        <v>0</v>
      </c>
      <c r="R134" s="590"/>
      <c r="S134" s="626"/>
      <c r="T134" s="524"/>
      <c r="U134" s="681"/>
      <c r="V134" s="821"/>
      <c r="W134" s="574"/>
      <c r="X134" s="812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810"/>
      <c r="J135" s="810"/>
      <c r="K135" s="305"/>
      <c r="L135" s="301">
        <v>8</v>
      </c>
      <c r="M135" s="430" t="s">
        <v>457</v>
      </c>
      <c r="N135" s="303" t="s">
        <v>481</v>
      </c>
      <c r="O135" s="552"/>
      <c r="P135" s="453"/>
      <c r="Q135" s="304">
        <v>27294.75</v>
      </c>
      <c r="R135" s="587" t="s">
        <v>482</v>
      </c>
      <c r="S135" s="623"/>
      <c r="T135" s="522">
        <v>46081</v>
      </c>
      <c r="U135" s="507">
        <v>0</v>
      </c>
      <c r="V135" s="822"/>
      <c r="W135" s="572">
        <v>46086</v>
      </c>
      <c r="X135" s="813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483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484</v>
      </c>
      <c r="D137" s="326" t="s">
        <v>485</v>
      </c>
      <c r="E137" s="313"/>
      <c r="F137" s="435"/>
      <c r="G137" s="612">
        <f>D232</f>
        <v>341000</v>
      </c>
      <c r="H137" s="531">
        <v>45896</v>
      </c>
      <c r="I137" s="814">
        <f>SUM(G137:G148)</f>
        <v>687500</v>
      </c>
      <c r="J137" s="797">
        <f>F232+F233</f>
        <v>772471.91011235956</v>
      </c>
      <c r="K137" s="287"/>
      <c r="L137" s="310">
        <v>9</v>
      </c>
      <c r="M137" s="421" t="s">
        <v>486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94">
        <f>J137-SUM(U137:U148)</f>
        <v>-2.6195771060883999E-3</v>
      </c>
      <c r="W137" s="573"/>
      <c r="X137" s="817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487</v>
      </c>
      <c r="E138" s="313"/>
      <c r="F138" s="457"/>
      <c r="G138" s="612">
        <f>D233</f>
        <v>346500.00000000006</v>
      </c>
      <c r="H138" s="531">
        <v>45897</v>
      </c>
      <c r="I138" s="815"/>
      <c r="J138" s="798"/>
      <c r="K138" s="287"/>
      <c r="L138" s="310">
        <v>9</v>
      </c>
      <c r="M138" s="421" t="s">
        <v>486</v>
      </c>
      <c r="N138" s="327" t="s">
        <v>377</v>
      </c>
      <c r="O138" s="562">
        <f>Z34+Z33</f>
        <v>900817.81</v>
      </c>
      <c r="P138" s="563">
        <v>0.1</v>
      </c>
      <c r="Q138" s="314">
        <f>$O$138*P138</f>
        <v>90081.781000000017</v>
      </c>
      <c r="R138" s="826"/>
      <c r="S138" s="617" t="s">
        <v>378</v>
      </c>
      <c r="T138" s="655">
        <v>45900</v>
      </c>
      <c r="U138" s="649">
        <v>77247.191011235976</v>
      </c>
      <c r="V138" s="795"/>
      <c r="W138" s="530">
        <f>'Project Plan'!I20</f>
        <v>45883</v>
      </c>
      <c r="X138" s="818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15"/>
      <c r="J139" s="798"/>
      <c r="K139" s="287"/>
      <c r="L139" s="381">
        <v>9</v>
      </c>
      <c r="M139" s="500" t="s">
        <v>486</v>
      </c>
      <c r="N139" s="383" t="s">
        <v>160</v>
      </c>
      <c r="O139" s="544"/>
      <c r="P139" s="561">
        <v>0.15</v>
      </c>
      <c r="Q139" s="314">
        <f t="shared" ref="Q139:Q145" si="12">$O$138*P139</f>
        <v>135122.6715</v>
      </c>
      <c r="R139" s="827"/>
      <c r="S139" s="618" t="s">
        <v>378</v>
      </c>
      <c r="T139" s="655">
        <v>45900</v>
      </c>
      <c r="U139" s="649">
        <v>115870.78651685393</v>
      </c>
      <c r="V139" s="795"/>
      <c r="W139" s="531">
        <v>45898</v>
      </c>
      <c r="X139" s="818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15"/>
      <c r="J140" s="798"/>
      <c r="K140" s="287"/>
      <c r="L140" s="381">
        <v>9</v>
      </c>
      <c r="M140" s="500" t="s">
        <v>486</v>
      </c>
      <c r="N140" s="383" t="s">
        <v>379</v>
      </c>
      <c r="O140" s="544"/>
      <c r="P140" s="561">
        <v>0.2</v>
      </c>
      <c r="Q140" s="694">
        <f t="shared" si="12"/>
        <v>180163.56200000003</v>
      </c>
      <c r="R140" s="827"/>
      <c r="S140" s="618" t="s">
        <v>378</v>
      </c>
      <c r="T140" s="655">
        <v>45930</v>
      </c>
      <c r="U140" s="649">
        <v>154494.38202247195</v>
      </c>
      <c r="V140" s="795"/>
      <c r="W140" s="531">
        <v>45946</v>
      </c>
      <c r="X140" s="818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15"/>
      <c r="J141" s="798"/>
      <c r="K141" s="287"/>
      <c r="L141" s="381">
        <v>9</v>
      </c>
      <c r="M141" s="500" t="s">
        <v>486</v>
      </c>
      <c r="N141" s="383" t="s">
        <v>381</v>
      </c>
      <c r="O141" s="544"/>
      <c r="P141" s="561">
        <v>0.25</v>
      </c>
      <c r="Q141" s="694">
        <f t="shared" si="12"/>
        <v>225204.45250000001</v>
      </c>
      <c r="R141" s="827"/>
      <c r="S141" s="618" t="s">
        <v>378</v>
      </c>
      <c r="T141" s="655">
        <v>45961</v>
      </c>
      <c r="U141" s="744">
        <v>189849.53326426126</v>
      </c>
      <c r="V141" s="795"/>
      <c r="W141" s="531">
        <v>45946</v>
      </c>
      <c r="X141" s="818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15"/>
      <c r="J142" s="798"/>
      <c r="K142" s="287"/>
      <c r="L142" s="381">
        <v>9</v>
      </c>
      <c r="M142" s="500" t="s">
        <v>486</v>
      </c>
      <c r="N142" s="383" t="s">
        <v>383</v>
      </c>
      <c r="O142" s="544"/>
      <c r="P142" s="561">
        <v>0.1</v>
      </c>
      <c r="Q142" s="694">
        <f t="shared" si="12"/>
        <v>90081.781000000017</v>
      </c>
      <c r="R142" s="827"/>
      <c r="S142" s="618" t="s">
        <v>378</v>
      </c>
      <c r="T142" s="655">
        <v>45961</v>
      </c>
      <c r="U142" s="744">
        <v>78336.673305704506</v>
      </c>
      <c r="V142" s="795"/>
      <c r="W142" s="531">
        <v>45989</v>
      </c>
      <c r="X142" s="818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15"/>
      <c r="J143" s="798"/>
      <c r="K143" s="287"/>
      <c r="L143" s="381">
        <v>9</v>
      </c>
      <c r="M143" s="500" t="s">
        <v>486</v>
      </c>
      <c r="N143" s="383" t="s">
        <v>385</v>
      </c>
      <c r="O143" s="544"/>
      <c r="P143" s="561">
        <v>0.1</v>
      </c>
      <c r="Q143" s="694">
        <f t="shared" si="12"/>
        <v>90081.781000000017</v>
      </c>
      <c r="R143" s="827"/>
      <c r="S143" s="618" t="s">
        <v>378</v>
      </c>
      <c r="T143" s="655">
        <v>45961</v>
      </c>
      <c r="U143" s="744">
        <v>78336.673305704506</v>
      </c>
      <c r="V143" s="795"/>
      <c r="W143" s="531">
        <f>'Project Plan'!K71+7</f>
        <v>45996</v>
      </c>
      <c r="X143" s="818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15"/>
      <c r="J144" s="798"/>
      <c r="K144" s="287"/>
      <c r="L144" s="381">
        <v>9</v>
      </c>
      <c r="M144" s="500" t="s">
        <v>486</v>
      </c>
      <c r="N144" s="383" t="s">
        <v>386</v>
      </c>
      <c r="O144" s="544"/>
      <c r="P144" s="561">
        <v>0.05</v>
      </c>
      <c r="Q144" s="694">
        <f t="shared" si="12"/>
        <v>45040.890500000009</v>
      </c>
      <c r="R144" s="827"/>
      <c r="S144" s="618" t="s">
        <v>378</v>
      </c>
      <c r="T144" s="655">
        <v>45961</v>
      </c>
      <c r="U144" s="744">
        <v>39168.336652852253</v>
      </c>
      <c r="V144" s="795"/>
      <c r="W144" s="531">
        <f>'Project Plan'!K71+7</f>
        <v>45996</v>
      </c>
      <c r="X144" s="818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15"/>
      <c r="J145" s="798"/>
      <c r="K145" s="287"/>
      <c r="L145" s="381">
        <v>9</v>
      </c>
      <c r="M145" s="500" t="s">
        <v>486</v>
      </c>
      <c r="N145" s="383" t="s">
        <v>387</v>
      </c>
      <c r="O145" s="544"/>
      <c r="P145" s="561">
        <v>0.05</v>
      </c>
      <c r="Q145" s="694">
        <f t="shared" si="12"/>
        <v>45040.890500000009</v>
      </c>
      <c r="R145" s="828"/>
      <c r="S145" s="618" t="s">
        <v>378</v>
      </c>
      <c r="T145" s="655">
        <v>45961</v>
      </c>
      <c r="U145" s="744">
        <v>39168.336652852253</v>
      </c>
      <c r="V145" s="795"/>
      <c r="W145" s="725">
        <v>46015</v>
      </c>
      <c r="X145" s="818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15"/>
      <c r="J146" s="798"/>
      <c r="K146" s="287"/>
      <c r="L146" s="381">
        <v>9</v>
      </c>
      <c r="M146" s="500" t="s">
        <v>486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95"/>
      <c r="W146" s="567"/>
      <c r="X146" s="818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15"/>
      <c r="J147" s="798"/>
      <c r="K147" s="287"/>
      <c r="L147" s="381">
        <v>9</v>
      </c>
      <c r="M147" s="500" t="s">
        <v>486</v>
      </c>
      <c r="N147" s="737" t="s">
        <v>488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95"/>
      <c r="W147" s="725">
        <v>46022</v>
      </c>
      <c r="X147" s="818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16"/>
      <c r="J148" s="799"/>
      <c r="K148" s="363"/>
      <c r="L148" s="315">
        <v>9</v>
      </c>
      <c r="M148" s="439" t="s">
        <v>486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96"/>
      <c r="W148" s="568"/>
      <c r="X148" s="819"/>
      <c r="Y148" s="480"/>
    </row>
    <row r="149" spans="1:25" ht="13.9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489</v>
      </c>
      <c r="D150" s="269" t="s">
        <v>333</v>
      </c>
      <c r="E150" s="270"/>
      <c r="F150" s="468"/>
      <c r="G150" s="337">
        <f>D236</f>
        <v>8500</v>
      </c>
      <c r="H150" s="536">
        <v>45834</v>
      </c>
      <c r="I150" s="788">
        <f>SUM(G150:G175)</f>
        <v>8500</v>
      </c>
      <c r="J150" s="788">
        <f>F236+F239+F240+F238</f>
        <v>9550.5617977528091</v>
      </c>
      <c r="K150" s="338"/>
      <c r="L150" s="268">
        <v>10</v>
      </c>
      <c r="M150" s="432" t="s">
        <v>490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05">
        <f>J150-SUM(U150:U175)</f>
        <v>1.9371969046915183E-3</v>
      </c>
      <c r="W150" s="576"/>
      <c r="X150" s="792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491</v>
      </c>
      <c r="E151" s="341"/>
      <c r="F151" s="469"/>
      <c r="G151" s="342">
        <f>D240</f>
        <v>0</v>
      </c>
      <c r="H151" s="536">
        <v>45835</v>
      </c>
      <c r="I151" s="803"/>
      <c r="J151" s="803"/>
      <c r="K151" s="271"/>
      <c r="L151" s="339">
        <v>10</v>
      </c>
      <c r="M151" s="433" t="s">
        <v>490</v>
      </c>
      <c r="N151" s="340" t="s">
        <v>492</v>
      </c>
      <c r="O151" s="557"/>
      <c r="P151" s="469"/>
      <c r="Q151" s="342">
        <v>6100</v>
      </c>
      <c r="R151" s="594"/>
      <c r="S151" s="630" t="s">
        <v>493</v>
      </c>
      <c r="T151" s="644">
        <v>45838</v>
      </c>
      <c r="U151" s="653">
        <v>195.46528088002731</v>
      </c>
      <c r="V151" s="806"/>
      <c r="W151" s="536">
        <v>45835</v>
      </c>
      <c r="X151" s="804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803"/>
      <c r="J152" s="803"/>
      <c r="K152" s="271"/>
      <c r="L152" s="339">
        <v>10</v>
      </c>
      <c r="M152" s="433" t="s">
        <v>490</v>
      </c>
      <c r="N152" s="340"/>
      <c r="O152" s="557"/>
      <c r="P152" s="469"/>
      <c r="Q152" s="342">
        <v>100</v>
      </c>
      <c r="R152" s="594"/>
      <c r="S152" s="630" t="s">
        <v>494</v>
      </c>
      <c r="T152" s="644">
        <v>45838</v>
      </c>
      <c r="U152" s="654">
        <v>3.204348866885693</v>
      </c>
      <c r="V152" s="806"/>
      <c r="W152" s="536">
        <v>45876</v>
      </c>
      <c r="X152" s="804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803"/>
      <c r="J153" s="803"/>
      <c r="K153" s="271"/>
      <c r="L153" s="339">
        <v>10</v>
      </c>
      <c r="M153" s="433" t="s">
        <v>490</v>
      </c>
      <c r="N153" s="340"/>
      <c r="O153" s="557"/>
      <c r="P153" s="469"/>
      <c r="Q153" s="342">
        <v>4900</v>
      </c>
      <c r="R153" s="594"/>
      <c r="S153" s="630" t="s">
        <v>495</v>
      </c>
      <c r="T153" s="644">
        <v>45869</v>
      </c>
      <c r="U153" s="654">
        <v>267.04030349143488</v>
      </c>
      <c r="V153" s="806"/>
      <c r="W153" s="536">
        <v>45890</v>
      </c>
      <c r="X153" s="804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803"/>
      <c r="J154" s="803"/>
      <c r="K154" s="271"/>
      <c r="L154" s="339">
        <v>10</v>
      </c>
      <c r="M154" s="433" t="s">
        <v>490</v>
      </c>
      <c r="N154" s="340" t="s">
        <v>496</v>
      </c>
      <c r="O154" s="557"/>
      <c r="P154" s="469"/>
      <c r="Q154" s="342">
        <v>620</v>
      </c>
      <c r="R154" s="594"/>
      <c r="S154" s="630" t="s">
        <v>497</v>
      </c>
      <c r="T154" s="644">
        <v>45869</v>
      </c>
      <c r="U154" s="654">
        <v>44.785466972385635</v>
      </c>
      <c r="V154" s="806"/>
      <c r="W154" s="536">
        <v>45899</v>
      </c>
      <c r="X154" s="804"/>
      <c r="Y154" s="480"/>
    </row>
    <row r="155" spans="1:25" ht="14.25" customHeight="1">
      <c r="B155" s="339">
        <v>10</v>
      </c>
      <c r="C155" s="340"/>
      <c r="D155" s="340" t="s">
        <v>498</v>
      </c>
      <c r="E155" s="341"/>
      <c r="F155" s="469"/>
      <c r="G155" s="342">
        <f>D239</f>
        <v>0</v>
      </c>
      <c r="H155" s="577">
        <v>45930</v>
      </c>
      <c r="I155" s="803"/>
      <c r="J155" s="803"/>
      <c r="K155" s="271"/>
      <c r="L155" s="339">
        <v>10</v>
      </c>
      <c r="M155" s="433" t="s">
        <v>490</v>
      </c>
      <c r="N155" s="340" t="s">
        <v>499</v>
      </c>
      <c r="O155" s="557"/>
      <c r="P155" s="469"/>
      <c r="Q155" s="342">
        <v>600</v>
      </c>
      <c r="R155" s="594"/>
      <c r="S155" s="630" t="s">
        <v>500</v>
      </c>
      <c r="T155" s="644">
        <v>45900</v>
      </c>
      <c r="U155" s="654">
        <v>24.663003621551454</v>
      </c>
      <c r="V155" s="806"/>
      <c r="W155" s="536">
        <v>45930</v>
      </c>
      <c r="X155" s="804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03"/>
      <c r="J156" s="803"/>
      <c r="K156" s="271"/>
      <c r="L156" s="339">
        <v>10</v>
      </c>
      <c r="M156" s="433" t="s">
        <v>490</v>
      </c>
      <c r="N156" s="340"/>
      <c r="O156" s="557"/>
      <c r="P156" s="469"/>
      <c r="Q156" s="342">
        <v>6900</v>
      </c>
      <c r="R156" s="594"/>
      <c r="S156" s="630" t="s">
        <v>501</v>
      </c>
      <c r="T156" s="644">
        <v>45900</v>
      </c>
      <c r="U156" s="654">
        <v>0</v>
      </c>
      <c r="V156" s="806"/>
      <c r="W156" s="536">
        <v>45930</v>
      </c>
      <c r="X156" s="804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803"/>
      <c r="J157" s="803"/>
      <c r="K157" s="271"/>
      <c r="L157" s="339">
        <v>10</v>
      </c>
      <c r="M157" s="433" t="s">
        <v>490</v>
      </c>
      <c r="N157" s="340"/>
      <c r="O157" s="557"/>
      <c r="P157" s="469"/>
      <c r="Q157" s="342">
        <v>0</v>
      </c>
      <c r="R157" s="594"/>
      <c r="S157" s="630" t="s">
        <v>502</v>
      </c>
      <c r="T157" s="644">
        <v>45900</v>
      </c>
      <c r="U157" s="654">
        <v>0</v>
      </c>
      <c r="V157" s="806"/>
      <c r="W157" s="536">
        <v>45930</v>
      </c>
      <c r="X157" s="804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803"/>
      <c r="J158" s="803"/>
      <c r="K158" s="271"/>
      <c r="L158" s="339">
        <v>10</v>
      </c>
      <c r="M158" s="433" t="s">
        <v>490</v>
      </c>
      <c r="N158" s="340" t="s">
        <v>503</v>
      </c>
      <c r="O158" s="557"/>
      <c r="P158" s="469"/>
      <c r="Q158" s="342">
        <v>620</v>
      </c>
      <c r="R158" s="594"/>
      <c r="S158" s="630" t="s">
        <v>504</v>
      </c>
      <c r="T158" s="644">
        <v>45930</v>
      </c>
      <c r="U158" s="654"/>
      <c r="V158" s="806"/>
      <c r="W158" s="733">
        <v>45961</v>
      </c>
      <c r="X158" s="804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03"/>
      <c r="J159" s="803"/>
      <c r="K159" s="271"/>
      <c r="L159" s="339">
        <v>10</v>
      </c>
      <c r="M159" s="433" t="s">
        <v>490</v>
      </c>
      <c r="N159" s="340"/>
      <c r="O159" s="557"/>
      <c r="P159" s="469"/>
      <c r="Q159" s="342">
        <v>-5700</v>
      </c>
      <c r="R159" s="594"/>
      <c r="S159" s="630" t="s">
        <v>505</v>
      </c>
      <c r="T159" s="644">
        <v>45900</v>
      </c>
      <c r="U159" s="654">
        <v>0</v>
      </c>
      <c r="V159" s="806"/>
      <c r="W159" s="733">
        <v>45930</v>
      </c>
      <c r="X159" s="804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803"/>
      <c r="J160" s="803"/>
      <c r="K160" s="271"/>
      <c r="L160" s="339">
        <v>10</v>
      </c>
      <c r="M160" s="433" t="s">
        <v>490</v>
      </c>
      <c r="N160" s="340"/>
      <c r="O160" s="557"/>
      <c r="P160" s="469"/>
      <c r="Q160" s="342">
        <v>-6100</v>
      </c>
      <c r="R160" s="594"/>
      <c r="S160" s="630" t="s">
        <v>506</v>
      </c>
      <c r="T160" s="644">
        <v>45900</v>
      </c>
      <c r="U160" s="654">
        <v>0</v>
      </c>
      <c r="V160" s="806"/>
      <c r="W160" s="733">
        <v>45930</v>
      </c>
      <c r="X160" s="804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803"/>
      <c r="J161" s="803"/>
      <c r="K161" s="271"/>
      <c r="L161" s="339">
        <v>10</v>
      </c>
      <c r="M161" s="433" t="s">
        <v>490</v>
      </c>
      <c r="N161" s="340" t="s">
        <v>507</v>
      </c>
      <c r="O161" s="557"/>
      <c r="P161" s="469"/>
      <c r="Q161" s="342">
        <v>600</v>
      </c>
      <c r="R161" s="594"/>
      <c r="S161" s="630" t="s">
        <v>508</v>
      </c>
      <c r="T161" s="644">
        <v>45961</v>
      </c>
      <c r="U161" s="654">
        <v>0</v>
      </c>
      <c r="V161" s="806"/>
      <c r="W161" s="733">
        <v>45974</v>
      </c>
      <c r="X161" s="804"/>
      <c r="Y161" s="480"/>
    </row>
    <row r="162" spans="1:25" ht="14.25" customHeight="1">
      <c r="B162" s="339">
        <v>10</v>
      </c>
      <c r="C162" s="340"/>
      <c r="D162" s="340" t="s">
        <v>509</v>
      </c>
      <c r="E162" s="341"/>
      <c r="F162" s="469"/>
      <c r="G162" s="342">
        <f>D238</f>
        <v>0</v>
      </c>
      <c r="H162" s="577"/>
      <c r="I162" s="803"/>
      <c r="J162" s="803"/>
      <c r="K162" s="271"/>
      <c r="L162" s="339">
        <v>10</v>
      </c>
      <c r="M162" s="433" t="s">
        <v>490</v>
      </c>
      <c r="N162" s="340" t="s">
        <v>510</v>
      </c>
      <c r="O162" s="557"/>
      <c r="P162" s="469"/>
      <c r="Q162" s="342">
        <v>620</v>
      </c>
      <c r="R162" s="594"/>
      <c r="S162" s="630" t="s">
        <v>511</v>
      </c>
      <c r="T162" s="751">
        <v>45991</v>
      </c>
      <c r="U162" s="654">
        <v>0</v>
      </c>
      <c r="V162" s="806"/>
      <c r="W162" s="733">
        <v>45995</v>
      </c>
      <c r="X162" s="804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03"/>
      <c r="J163" s="803"/>
      <c r="K163" s="271"/>
      <c r="L163" s="339">
        <v>10</v>
      </c>
      <c r="M163" s="433" t="s">
        <v>490</v>
      </c>
      <c r="N163" s="340"/>
      <c r="O163" s="557"/>
      <c r="P163" s="469"/>
      <c r="Q163" s="342">
        <v>-400</v>
      </c>
      <c r="R163" s="595"/>
      <c r="S163" s="630" t="s">
        <v>512</v>
      </c>
      <c r="T163" s="695">
        <v>46022</v>
      </c>
      <c r="U163" s="654"/>
      <c r="V163" s="806"/>
      <c r="W163" s="696">
        <v>46031</v>
      </c>
      <c r="X163" s="804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803"/>
      <c r="J164" s="803"/>
      <c r="K164" s="271"/>
      <c r="L164" s="339">
        <v>10</v>
      </c>
      <c r="M164" s="433" t="s">
        <v>490</v>
      </c>
      <c r="N164" s="340"/>
      <c r="O164" s="557"/>
      <c r="P164" s="469"/>
      <c r="Q164" s="342"/>
      <c r="R164" s="595"/>
      <c r="S164" s="631"/>
      <c r="T164" s="528"/>
      <c r="U164" s="654"/>
      <c r="V164" s="806"/>
      <c r="W164" s="578"/>
      <c r="X164" s="804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803"/>
      <c r="J165" s="803"/>
      <c r="K165" s="271"/>
      <c r="L165" s="339">
        <v>10</v>
      </c>
      <c r="M165" s="433" t="s">
        <v>490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23"/>
      <c r="S165" s="631" t="s">
        <v>378</v>
      </c>
      <c r="T165" s="667">
        <f>T138</f>
        <v>45900</v>
      </c>
      <c r="U165" s="654">
        <v>901.54014567236186</v>
      </c>
      <c r="V165" s="806"/>
      <c r="W165" s="537">
        <f t="shared" ref="W165:W172" si="15">W138</f>
        <v>45883</v>
      </c>
      <c r="X165" s="804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803"/>
      <c r="J166" s="803"/>
      <c r="K166" s="271"/>
      <c r="L166" s="339">
        <v>10</v>
      </c>
      <c r="M166" s="433" t="s">
        <v>490</v>
      </c>
      <c r="N166" s="340" t="s">
        <v>160</v>
      </c>
      <c r="O166" s="557"/>
      <c r="P166" s="564">
        <v>0.15</v>
      </c>
      <c r="Q166" s="342">
        <f t="shared" ref="Q166:Q172" si="16">$O$165*P166</f>
        <v>31131.719999999998</v>
      </c>
      <c r="R166" s="824"/>
      <c r="S166" s="636" t="s">
        <v>378</v>
      </c>
      <c r="T166" s="667">
        <f>T139</f>
        <v>45900</v>
      </c>
      <c r="U166" s="654">
        <v>1352.3102185085427</v>
      </c>
      <c r="V166" s="806"/>
      <c r="W166" s="537">
        <f t="shared" si="15"/>
        <v>45898</v>
      </c>
      <c r="X166" s="804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03"/>
      <c r="J167" s="803"/>
      <c r="K167" s="271"/>
      <c r="L167" s="339">
        <v>10</v>
      </c>
      <c r="M167" s="433" t="s">
        <v>490</v>
      </c>
      <c r="N167" s="340" t="s">
        <v>379</v>
      </c>
      <c r="O167" s="557"/>
      <c r="P167" s="564">
        <v>0.2</v>
      </c>
      <c r="Q167" s="342">
        <f t="shared" si="16"/>
        <v>41508.959999999999</v>
      </c>
      <c r="R167" s="824"/>
      <c r="S167" s="631" t="s">
        <v>378</v>
      </c>
      <c r="T167" s="667">
        <v>45900</v>
      </c>
      <c r="U167" s="654">
        <v>1803.0802913447237</v>
      </c>
      <c r="V167" s="806"/>
      <c r="W167" s="537">
        <f>W140</f>
        <v>45946</v>
      </c>
      <c r="X167" s="804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03"/>
      <c r="J168" s="803"/>
      <c r="K168" s="271"/>
      <c r="L168" s="339">
        <v>10</v>
      </c>
      <c r="M168" s="433" t="s">
        <v>490</v>
      </c>
      <c r="N168" s="340" t="s">
        <v>381</v>
      </c>
      <c r="O168" s="557"/>
      <c r="P168" s="564">
        <v>0.25</v>
      </c>
      <c r="Q168" s="740">
        <f t="shared" si="16"/>
        <v>51886.2</v>
      </c>
      <c r="R168" s="824"/>
      <c r="S168" s="631" t="s">
        <v>378</v>
      </c>
      <c r="T168" s="667">
        <f>T141</f>
        <v>45961</v>
      </c>
      <c r="U168" s="654">
        <v>2253.8503641809048</v>
      </c>
      <c r="V168" s="806"/>
      <c r="W168" s="537">
        <f>W141</f>
        <v>45946</v>
      </c>
      <c r="X168" s="804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03"/>
      <c r="J169" s="803"/>
      <c r="K169" s="271"/>
      <c r="L169" s="339">
        <v>10</v>
      </c>
      <c r="M169" s="433" t="s">
        <v>490</v>
      </c>
      <c r="N169" s="340" t="s">
        <v>383</v>
      </c>
      <c r="O169" s="557"/>
      <c r="P169" s="564">
        <v>0.1</v>
      </c>
      <c r="Q169" s="740">
        <f t="shared" si="16"/>
        <v>20754.48</v>
      </c>
      <c r="R169" s="824"/>
      <c r="S169" s="631" t="s">
        <v>378</v>
      </c>
      <c r="T169" s="667">
        <f>T142</f>
        <v>45961</v>
      </c>
      <c r="U169" s="654">
        <v>901.54014567236186</v>
      </c>
      <c r="V169" s="806"/>
      <c r="W169" s="537">
        <f t="shared" si="15"/>
        <v>45989</v>
      </c>
      <c r="X169" s="804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03"/>
      <c r="J170" s="803"/>
      <c r="K170" s="271"/>
      <c r="L170" s="339">
        <v>10</v>
      </c>
      <c r="M170" s="433" t="s">
        <v>490</v>
      </c>
      <c r="N170" s="340" t="s">
        <v>385</v>
      </c>
      <c r="O170" s="557"/>
      <c r="P170" s="564">
        <v>0.1</v>
      </c>
      <c r="Q170" s="740">
        <f t="shared" si="16"/>
        <v>20754.48</v>
      </c>
      <c r="R170" s="824"/>
      <c r="S170" s="631" t="s">
        <v>378</v>
      </c>
      <c r="T170" s="667">
        <f>T143</f>
        <v>45961</v>
      </c>
      <c r="U170" s="654">
        <v>901.54014567236186</v>
      </c>
      <c r="V170" s="806"/>
      <c r="W170" s="537">
        <f t="shared" si="15"/>
        <v>45996</v>
      </c>
      <c r="X170" s="804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03"/>
      <c r="J171" s="803"/>
      <c r="K171" s="271"/>
      <c r="L171" s="339">
        <v>10</v>
      </c>
      <c r="M171" s="433" t="s">
        <v>490</v>
      </c>
      <c r="N171" s="340" t="s">
        <v>386</v>
      </c>
      <c r="O171" s="557"/>
      <c r="P171" s="564">
        <v>0.05</v>
      </c>
      <c r="Q171" s="740">
        <f t="shared" si="16"/>
        <v>10377.24</v>
      </c>
      <c r="R171" s="824"/>
      <c r="S171" s="631" t="s">
        <v>378</v>
      </c>
      <c r="T171" s="667">
        <f>T144</f>
        <v>45961</v>
      </c>
      <c r="U171" s="654">
        <v>450.77007283618093</v>
      </c>
      <c r="V171" s="806"/>
      <c r="W171" s="537">
        <f t="shared" si="15"/>
        <v>45996</v>
      </c>
      <c r="X171" s="804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803"/>
      <c r="J172" s="803"/>
      <c r="K172" s="271"/>
      <c r="L172" s="339">
        <v>10</v>
      </c>
      <c r="M172" s="433" t="s">
        <v>490</v>
      </c>
      <c r="N172" s="340" t="s">
        <v>387</v>
      </c>
      <c r="O172" s="557"/>
      <c r="P172" s="564">
        <v>0.05</v>
      </c>
      <c r="Q172" s="740">
        <f t="shared" si="16"/>
        <v>10377.24</v>
      </c>
      <c r="R172" s="825"/>
      <c r="S172" s="631" t="s">
        <v>378</v>
      </c>
      <c r="T172" s="667">
        <f>T145</f>
        <v>45961</v>
      </c>
      <c r="U172" s="654">
        <v>450.77007283618093</v>
      </c>
      <c r="V172" s="806"/>
      <c r="W172" s="696">
        <f t="shared" si="15"/>
        <v>46015</v>
      </c>
      <c r="X172" s="804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03"/>
      <c r="J173" s="803"/>
      <c r="K173" s="271"/>
      <c r="L173" s="339">
        <v>10</v>
      </c>
      <c r="M173" s="433" t="s">
        <v>490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06"/>
      <c r="W173" s="578"/>
      <c r="X173" s="804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803"/>
      <c r="J174" s="803"/>
      <c r="K174" s="271"/>
      <c r="L174" s="339">
        <v>10</v>
      </c>
      <c r="M174" s="433" t="s">
        <v>490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06"/>
      <c r="W174" s="578"/>
      <c r="X174" s="804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789"/>
      <c r="J175" s="789"/>
      <c r="K175" s="274"/>
      <c r="L175" s="272">
        <v>10</v>
      </c>
      <c r="M175" s="434" t="s">
        <v>490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07"/>
      <c r="W175" s="579"/>
      <c r="X175" s="793"/>
      <c r="Y175" s="480"/>
    </row>
    <row r="176" spans="1:25" ht="13.9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513</v>
      </c>
      <c r="D177" s="350" t="s">
        <v>514</v>
      </c>
      <c r="E177" s="282"/>
      <c r="F177" s="435"/>
      <c r="G177" s="283">
        <v>17050</v>
      </c>
      <c r="H177" s="530">
        <v>45898</v>
      </c>
      <c r="I177" s="797">
        <f>SUM(G177:G181)</f>
        <v>77050</v>
      </c>
      <c r="J177" s="797">
        <f>F235</f>
        <v>86573.033707865165</v>
      </c>
      <c r="K177" s="284"/>
      <c r="L177" s="280">
        <v>11</v>
      </c>
      <c r="M177" s="350" t="s">
        <v>515</v>
      </c>
      <c r="N177" s="350" t="s">
        <v>514</v>
      </c>
      <c r="O177" s="282"/>
      <c r="P177" s="435"/>
      <c r="Q177" s="283">
        <v>24500</v>
      </c>
      <c r="R177" s="588"/>
      <c r="S177" s="624" t="s">
        <v>516</v>
      </c>
      <c r="T177" s="748">
        <v>45991</v>
      </c>
      <c r="U177" s="752">
        <v>33132.88780466724</v>
      </c>
      <c r="V177" s="794">
        <f>J177-SUM(U177:U181)</f>
        <v>2.8190637676743791E-3</v>
      </c>
      <c r="W177" s="749">
        <v>45989</v>
      </c>
      <c r="X177" s="800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798"/>
      <c r="J178" s="798"/>
      <c r="K178" s="287"/>
      <c r="L178" s="310">
        <v>11</v>
      </c>
      <c r="M178" s="387" t="s">
        <v>515</v>
      </c>
      <c r="N178" s="312" t="s">
        <v>517</v>
      </c>
      <c r="O178" s="313"/>
      <c r="P178" s="457"/>
      <c r="Q178" s="314">
        <v>7500</v>
      </c>
      <c r="R178" s="634"/>
      <c r="S178" s="617" t="s">
        <v>518</v>
      </c>
      <c r="T178" s="647">
        <v>45869</v>
      </c>
      <c r="U178" s="649">
        <v>19947.703619323769</v>
      </c>
      <c r="V178" s="795"/>
      <c r="W178" s="530">
        <v>45899</v>
      </c>
      <c r="X178" s="801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798"/>
      <c r="J179" s="798"/>
      <c r="K179" s="287"/>
      <c r="L179" s="310">
        <v>11</v>
      </c>
      <c r="M179" s="387" t="s">
        <v>515</v>
      </c>
      <c r="N179" s="312"/>
      <c r="O179" s="313"/>
      <c r="P179" s="457"/>
      <c r="Q179" s="314">
        <v>12000</v>
      </c>
      <c r="R179" s="581"/>
      <c r="S179" s="617" t="s">
        <v>519</v>
      </c>
      <c r="T179" s="690">
        <v>45930</v>
      </c>
      <c r="U179" s="649">
        <v>17946.215678886241</v>
      </c>
      <c r="V179" s="795"/>
      <c r="W179" s="691">
        <v>45930</v>
      </c>
      <c r="X179" s="801"/>
      <c r="Y179" s="480"/>
    </row>
    <row r="180" spans="1:25" ht="15" customHeight="1">
      <c r="B180" s="310">
        <v>11</v>
      </c>
      <c r="C180" s="385"/>
      <c r="D180" s="385" t="s">
        <v>520</v>
      </c>
      <c r="E180" s="404"/>
      <c r="F180" s="442"/>
      <c r="G180" s="384">
        <v>60000</v>
      </c>
      <c r="H180" s="691">
        <v>45930</v>
      </c>
      <c r="I180" s="798"/>
      <c r="J180" s="798"/>
      <c r="K180" s="287"/>
      <c r="L180" s="310">
        <v>11</v>
      </c>
      <c r="M180" s="387" t="s">
        <v>515</v>
      </c>
      <c r="N180" s="385" t="s">
        <v>521</v>
      </c>
      <c r="O180" s="404"/>
      <c r="P180" s="442"/>
      <c r="Q180" s="384">
        <v>8000</v>
      </c>
      <c r="R180" s="582"/>
      <c r="S180" s="618" t="s">
        <v>522</v>
      </c>
      <c r="T180" s="655">
        <v>45961</v>
      </c>
      <c r="U180" s="744">
        <v>15546.22378592416</v>
      </c>
      <c r="V180" s="795"/>
      <c r="W180" s="531">
        <f>T180+30</f>
        <v>45991</v>
      </c>
      <c r="X180" s="801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799"/>
      <c r="J181" s="799"/>
      <c r="K181" s="288"/>
      <c r="L181" s="315">
        <v>11</v>
      </c>
      <c r="M181" s="417" t="s">
        <v>515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96"/>
      <c r="W181" s="568"/>
      <c r="X181" s="802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523</v>
      </c>
      <c r="D183" s="269"/>
      <c r="E183" s="270"/>
      <c r="F183" s="468"/>
      <c r="G183" s="337"/>
      <c r="H183" s="576"/>
      <c r="I183" s="788">
        <f>SUM(G183:G184)</f>
        <v>0</v>
      </c>
      <c r="J183" s="788">
        <v>0</v>
      </c>
      <c r="K183" s="790"/>
      <c r="L183" s="268">
        <v>12</v>
      </c>
      <c r="M183" s="269" t="s">
        <v>524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792">
        <f>SUM(Q183:Q184)</f>
        <v>0</v>
      </c>
      <c r="Y183" s="480"/>
    </row>
    <row r="184" spans="1:25" ht="15" customHeight="1" thickBot="1">
      <c r="B184" s="272">
        <v>12</v>
      </c>
      <c r="C184" s="343" t="s">
        <v>523</v>
      </c>
      <c r="D184" s="343"/>
      <c r="E184" s="344"/>
      <c r="F184" s="470"/>
      <c r="G184" s="273"/>
      <c r="H184" s="579"/>
      <c r="I184" s="789"/>
      <c r="J184" s="789"/>
      <c r="K184" s="791"/>
      <c r="L184" s="272">
        <v>12</v>
      </c>
      <c r="M184" s="343" t="s">
        <v>524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793"/>
      <c r="Y184" s="480"/>
    </row>
    <row r="185" spans="1:25" ht="14.25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525</v>
      </c>
      <c r="D186" s="350" t="s">
        <v>526</v>
      </c>
      <c r="E186" s="282"/>
      <c r="F186" s="435"/>
      <c r="G186" s="283">
        <v>122812.83720967286</v>
      </c>
      <c r="H186" s="573">
        <v>45930</v>
      </c>
      <c r="I186" s="797">
        <f>SUM(G186:G190)</f>
        <v>434412.83720967284</v>
      </c>
      <c r="J186" s="797">
        <f>F234</f>
        <v>488104.31147154252</v>
      </c>
      <c r="K186" s="284"/>
      <c r="L186" s="280">
        <v>13</v>
      </c>
      <c r="M186" s="350" t="s">
        <v>527</v>
      </c>
      <c r="N186" s="350" t="s">
        <v>528</v>
      </c>
      <c r="O186" s="542"/>
      <c r="P186" s="435"/>
      <c r="Q186" s="283">
        <v>154022.95000000001</v>
      </c>
      <c r="R186" s="588"/>
      <c r="S186" s="624" t="s">
        <v>529</v>
      </c>
      <c r="T186" s="645">
        <v>46022</v>
      </c>
      <c r="U186" s="752">
        <v>488104.31147154252</v>
      </c>
      <c r="V186" s="794">
        <f>J186-SUM(U186:U191)</f>
        <v>0</v>
      </c>
      <c r="W186" s="749">
        <v>46051</v>
      </c>
      <c r="X186" s="800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530</v>
      </c>
      <c r="E187" s="313"/>
      <c r="F187" s="457"/>
      <c r="G187" s="314">
        <v>52000</v>
      </c>
      <c r="H187" s="566">
        <f>H186</f>
        <v>45930</v>
      </c>
      <c r="I187" s="798"/>
      <c r="J187" s="798"/>
      <c r="K187" s="287"/>
      <c r="L187" s="310">
        <v>13</v>
      </c>
      <c r="M187" s="387" t="s">
        <v>527</v>
      </c>
      <c r="N187" s="312" t="s">
        <v>530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95"/>
      <c r="W187" s="566"/>
      <c r="X187" s="801"/>
      <c r="Y187" s="480"/>
    </row>
    <row r="188" spans="1:25" ht="15.75" customHeight="1">
      <c r="B188" s="310">
        <v>13</v>
      </c>
      <c r="C188" s="312"/>
      <c r="D188" s="312" t="s">
        <v>531</v>
      </c>
      <c r="E188" s="313"/>
      <c r="F188" s="457"/>
      <c r="G188" s="314">
        <v>149600</v>
      </c>
      <c r="H188" s="566">
        <f>H186</f>
        <v>45930</v>
      </c>
      <c r="I188" s="798"/>
      <c r="J188" s="798"/>
      <c r="K188" s="287"/>
      <c r="L188" s="310">
        <v>13</v>
      </c>
      <c r="M188" s="387" t="s">
        <v>527</v>
      </c>
      <c r="N188" s="312" t="s">
        <v>531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95"/>
      <c r="W188" s="566"/>
      <c r="X188" s="801"/>
      <c r="Y188" s="480"/>
    </row>
    <row r="189" spans="1:25" ht="15.75" customHeight="1">
      <c r="B189" s="310">
        <v>13</v>
      </c>
      <c r="C189" s="312"/>
      <c r="D189" s="312" t="s">
        <v>532</v>
      </c>
      <c r="E189" s="313"/>
      <c r="F189" s="457"/>
      <c r="G189" s="314">
        <v>62400</v>
      </c>
      <c r="H189" s="566">
        <f>H186</f>
        <v>45930</v>
      </c>
      <c r="I189" s="798"/>
      <c r="J189" s="798"/>
      <c r="K189" s="287"/>
      <c r="L189" s="310">
        <v>13</v>
      </c>
      <c r="M189" s="387" t="s">
        <v>527</v>
      </c>
      <c r="N189" s="312" t="s">
        <v>532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95"/>
      <c r="W189" s="566"/>
      <c r="X189" s="801"/>
      <c r="Y189" s="480"/>
    </row>
    <row r="190" spans="1:25" ht="15.75" customHeight="1">
      <c r="B190" s="310">
        <v>13</v>
      </c>
      <c r="C190" s="312"/>
      <c r="D190" s="312" t="s">
        <v>533</v>
      </c>
      <c r="E190" s="313"/>
      <c r="F190" s="457"/>
      <c r="G190" s="314">
        <v>47600</v>
      </c>
      <c r="H190" s="566">
        <f>H186</f>
        <v>45930</v>
      </c>
      <c r="I190" s="798"/>
      <c r="J190" s="798"/>
      <c r="K190" s="287"/>
      <c r="L190" s="310">
        <v>13</v>
      </c>
      <c r="M190" s="387" t="s">
        <v>527</v>
      </c>
      <c r="N190" s="312" t="s">
        <v>533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95"/>
      <c r="W190" s="566"/>
      <c r="X190" s="801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799"/>
      <c r="J191" s="799"/>
      <c r="K191" s="363"/>
      <c r="L191" s="315">
        <v>13</v>
      </c>
      <c r="M191" s="417" t="s">
        <v>527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96"/>
      <c r="W191" s="568"/>
      <c r="X191" s="802"/>
      <c r="Y191" s="480"/>
    </row>
    <row r="192" spans="1:25" ht="14.25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534</v>
      </c>
      <c r="D193" s="269" t="s">
        <v>535</v>
      </c>
      <c r="E193" s="270"/>
      <c r="F193" s="468"/>
      <c r="G193" s="337">
        <f>D245</f>
        <v>11900</v>
      </c>
      <c r="H193" s="537">
        <v>45842</v>
      </c>
      <c r="I193" s="788">
        <f>SUM(G193:G204)</f>
        <v>11900</v>
      </c>
      <c r="J193" s="788">
        <f>F245</f>
        <v>13370.786516853932</v>
      </c>
      <c r="K193" s="338"/>
      <c r="L193" s="268">
        <v>14</v>
      </c>
      <c r="M193" s="432" t="s">
        <v>536</v>
      </c>
      <c r="N193" s="269" t="s">
        <v>537</v>
      </c>
      <c r="O193" s="556"/>
      <c r="P193" s="468"/>
      <c r="Q193" s="337">
        <v>1418.96</v>
      </c>
      <c r="R193" s="593"/>
      <c r="S193" s="635" t="s">
        <v>538</v>
      </c>
      <c r="T193" s="648">
        <v>45838</v>
      </c>
      <c r="U193" s="490">
        <v>2574.6702266317702</v>
      </c>
      <c r="V193" s="805">
        <f>J193-SUM(U193:U204)</f>
        <v>2.0814647032239009E-3</v>
      </c>
      <c r="W193" s="537">
        <v>45842</v>
      </c>
      <c r="X193" s="792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803"/>
      <c r="J194" s="803"/>
      <c r="K194" s="271"/>
      <c r="L194" s="339">
        <v>14</v>
      </c>
      <c r="M194" s="433" t="s">
        <v>536</v>
      </c>
      <c r="N194" s="340" t="s">
        <v>537</v>
      </c>
      <c r="O194" s="557"/>
      <c r="P194" s="469"/>
      <c r="Q194" s="342">
        <v>735.36</v>
      </c>
      <c r="R194" s="595"/>
      <c r="S194" s="635" t="s">
        <v>538</v>
      </c>
      <c r="T194" s="667">
        <v>45869</v>
      </c>
      <c r="U194" s="654">
        <v>887.44991326486718</v>
      </c>
      <c r="V194" s="806"/>
      <c r="W194" s="537">
        <v>45876</v>
      </c>
      <c r="X194" s="804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803"/>
      <c r="J195" s="803"/>
      <c r="K195" s="271"/>
      <c r="L195" s="339">
        <v>14</v>
      </c>
      <c r="M195" s="433" t="s">
        <v>536</v>
      </c>
      <c r="N195" s="340" t="s">
        <v>537</v>
      </c>
      <c r="O195" s="557"/>
      <c r="P195" s="469"/>
      <c r="Q195" s="342">
        <v>861.56</v>
      </c>
      <c r="R195" s="595"/>
      <c r="S195" s="635" t="s">
        <v>538</v>
      </c>
      <c r="T195" s="667">
        <v>45900</v>
      </c>
      <c r="U195" s="697">
        <v>422.60151376782551</v>
      </c>
      <c r="V195" s="806"/>
      <c r="W195" s="696">
        <v>45905</v>
      </c>
      <c r="X195" s="804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803"/>
      <c r="J196" s="803"/>
      <c r="K196" s="271"/>
      <c r="L196" s="339">
        <v>14</v>
      </c>
      <c r="M196" s="433" t="s">
        <v>536</v>
      </c>
      <c r="N196" s="340" t="s">
        <v>537</v>
      </c>
      <c r="O196" s="557"/>
      <c r="P196" s="469"/>
      <c r="Q196" s="342">
        <v>1311.5</v>
      </c>
      <c r="R196" s="595"/>
      <c r="S196" s="635" t="s">
        <v>538</v>
      </c>
      <c r="T196" s="695">
        <v>45930</v>
      </c>
      <c r="U196" s="654">
        <v>1080.6295604622517</v>
      </c>
      <c r="V196" s="806"/>
      <c r="W196" s="696">
        <v>45940</v>
      </c>
      <c r="X196" s="804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803"/>
      <c r="J197" s="803"/>
      <c r="K197" s="271"/>
      <c r="L197" s="339">
        <v>14</v>
      </c>
      <c r="M197" s="433" t="s">
        <v>536</v>
      </c>
      <c r="N197" s="340" t="s">
        <v>537</v>
      </c>
      <c r="O197" s="557"/>
      <c r="P197" s="469"/>
      <c r="Q197" s="342">
        <v>2775.54</v>
      </c>
      <c r="R197" s="682"/>
      <c r="S197" s="635" t="s">
        <v>538</v>
      </c>
      <c r="T197" s="695">
        <v>45961</v>
      </c>
      <c r="U197" s="697">
        <v>309.82666592975067</v>
      </c>
      <c r="V197" s="806"/>
      <c r="W197" s="695">
        <v>45967</v>
      </c>
      <c r="X197" s="804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03"/>
      <c r="J198" s="803"/>
      <c r="K198" s="271"/>
      <c r="L198" s="339">
        <v>14</v>
      </c>
      <c r="M198" s="433" t="s">
        <v>536</v>
      </c>
      <c r="N198" s="340" t="s">
        <v>537</v>
      </c>
      <c r="O198" s="557"/>
      <c r="P198" s="469"/>
      <c r="Q198" s="342">
        <v>0</v>
      </c>
      <c r="R198" s="595"/>
      <c r="S198" s="635" t="s">
        <v>538</v>
      </c>
      <c r="T198" s="695">
        <v>45991</v>
      </c>
      <c r="U198" s="697">
        <v>0</v>
      </c>
      <c r="V198" s="806"/>
      <c r="W198" s="696">
        <v>45991</v>
      </c>
      <c r="X198" s="804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03"/>
      <c r="J199" s="803"/>
      <c r="K199" s="271"/>
      <c r="L199" s="339">
        <v>14</v>
      </c>
      <c r="M199" s="433" t="s">
        <v>536</v>
      </c>
      <c r="N199" s="340" t="s">
        <v>537</v>
      </c>
      <c r="O199" s="557"/>
      <c r="P199" s="469"/>
      <c r="Q199" s="342">
        <v>123.76</v>
      </c>
      <c r="R199" s="595"/>
      <c r="S199" s="635" t="s">
        <v>538</v>
      </c>
      <c r="T199" s="695">
        <v>46022</v>
      </c>
      <c r="U199" s="697">
        <v>162.20549353889189</v>
      </c>
      <c r="V199" s="806"/>
      <c r="W199" s="696">
        <v>46030</v>
      </c>
      <c r="X199" s="804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03"/>
      <c r="J200" s="803"/>
      <c r="K200" s="271"/>
      <c r="L200" s="339">
        <v>14</v>
      </c>
      <c r="M200" s="433" t="s">
        <v>536</v>
      </c>
      <c r="N200" s="340" t="s">
        <v>537</v>
      </c>
      <c r="O200" s="557"/>
      <c r="P200" s="469"/>
      <c r="Q200" s="342">
        <v>637.84</v>
      </c>
      <c r="R200" s="595"/>
      <c r="S200" s="635" t="s">
        <v>538</v>
      </c>
      <c r="T200" s="695">
        <v>46053</v>
      </c>
      <c r="U200" s="697">
        <v>1001.6327957313051</v>
      </c>
      <c r="V200" s="806"/>
      <c r="W200" s="696">
        <v>46058</v>
      </c>
      <c r="X200" s="804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03"/>
      <c r="J201" s="803"/>
      <c r="K201" s="271"/>
      <c r="L201" s="339">
        <v>14</v>
      </c>
      <c r="M201" s="433" t="s">
        <v>536</v>
      </c>
      <c r="N201" s="340" t="s">
        <v>537</v>
      </c>
      <c r="O201" s="557"/>
      <c r="P201" s="469"/>
      <c r="Q201" s="759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06"/>
      <c r="W201" s="578">
        <v>46086</v>
      </c>
      <c r="X201" s="804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03"/>
      <c r="J202" s="803"/>
      <c r="K202" s="271"/>
      <c r="L202" s="339">
        <v>14</v>
      </c>
      <c r="M202" s="433" t="s">
        <v>536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2:U204" si="19">(Q202/$X$193*$J$193)</f>
        <v>0</v>
      </c>
      <c r="V202" s="806"/>
      <c r="W202" s="578"/>
      <c r="X202" s="804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803"/>
      <c r="J203" s="803"/>
      <c r="K203" s="271"/>
      <c r="L203" s="339">
        <v>14</v>
      </c>
      <c r="M203" s="433" t="s">
        <v>536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06"/>
      <c r="W203" s="578"/>
      <c r="X203" s="804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789"/>
      <c r="J204" s="789"/>
      <c r="K204" s="274"/>
      <c r="L204" s="272">
        <v>14</v>
      </c>
      <c r="M204" s="434" t="s">
        <v>536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07"/>
      <c r="W204" s="579"/>
      <c r="X204" s="793"/>
      <c r="Y204" s="480"/>
    </row>
    <row r="205" spans="1:25" ht="14.25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539</v>
      </c>
      <c r="D206" s="281"/>
      <c r="E206" s="282"/>
      <c r="F206" s="435"/>
      <c r="G206" s="283"/>
      <c r="H206" s="573"/>
      <c r="I206" s="797">
        <f>SUM(G206:G217)</f>
        <v>0</v>
      </c>
      <c r="J206" s="797">
        <f>F242</f>
        <v>0</v>
      </c>
      <c r="K206" s="284"/>
      <c r="L206" s="280">
        <v>15</v>
      </c>
      <c r="M206" s="350" t="s">
        <v>540</v>
      </c>
      <c r="N206" s="281" t="s">
        <v>541</v>
      </c>
      <c r="O206" s="282"/>
      <c r="P206" s="435"/>
      <c r="Q206" s="283">
        <f>60591.17/1.15</f>
        <v>52687.973913043483</v>
      </c>
      <c r="R206" s="588" t="s">
        <v>542</v>
      </c>
      <c r="S206" s="624" t="s">
        <v>543</v>
      </c>
      <c r="T206" s="645">
        <v>46081</v>
      </c>
      <c r="U206" s="509"/>
      <c r="V206" s="794">
        <v>0</v>
      </c>
      <c r="W206" s="749">
        <v>46073</v>
      </c>
      <c r="X206" s="800">
        <f>SUM(Q206:Q217)</f>
        <v>159728.68391304347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798"/>
      <c r="J207" s="798"/>
      <c r="K207" s="287"/>
      <c r="L207" s="310">
        <v>15</v>
      </c>
      <c r="M207" s="387" t="s">
        <v>540</v>
      </c>
      <c r="N207" s="312" t="s">
        <v>544</v>
      </c>
      <c r="O207" s="543"/>
      <c r="P207" s="457"/>
      <c r="Q207" s="314">
        <v>5500</v>
      </c>
      <c r="R207" s="581" t="s">
        <v>545</v>
      </c>
      <c r="S207" s="617" t="s">
        <v>546</v>
      </c>
      <c r="T207" s="690">
        <v>45991</v>
      </c>
      <c r="U207" s="501"/>
      <c r="V207" s="795"/>
      <c r="W207" s="530">
        <v>45967</v>
      </c>
      <c r="X207" s="801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798"/>
      <c r="J208" s="798"/>
      <c r="K208" s="287"/>
      <c r="L208" s="310">
        <v>15</v>
      </c>
      <c r="M208" s="387" t="s">
        <v>540</v>
      </c>
      <c r="N208" s="312" t="s">
        <v>547</v>
      </c>
      <c r="O208" s="543"/>
      <c r="P208" s="457"/>
      <c r="Q208" s="314">
        <v>801.11</v>
      </c>
      <c r="R208" s="581"/>
      <c r="S208" s="617" t="s">
        <v>548</v>
      </c>
      <c r="T208" s="690">
        <v>45961</v>
      </c>
      <c r="U208" s="501"/>
      <c r="V208" s="795"/>
      <c r="W208" s="530">
        <v>45989</v>
      </c>
      <c r="X208" s="801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798"/>
      <c r="J209" s="798"/>
      <c r="K209" s="287"/>
      <c r="L209" s="310">
        <v>15</v>
      </c>
      <c r="M209" s="387" t="s">
        <v>540</v>
      </c>
      <c r="N209" s="312" t="s">
        <v>549</v>
      </c>
      <c r="O209" s="543"/>
      <c r="P209" s="457"/>
      <c r="Q209" s="314">
        <v>11500</v>
      </c>
      <c r="R209" s="581"/>
      <c r="S209" s="617" t="s">
        <v>550</v>
      </c>
      <c r="T209" s="690">
        <v>45991</v>
      </c>
      <c r="U209" s="501"/>
      <c r="V209" s="795"/>
      <c r="W209" s="691">
        <v>45974</v>
      </c>
      <c r="X209" s="801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798"/>
      <c r="J210" s="798"/>
      <c r="K210" s="287"/>
      <c r="L210" s="310">
        <v>15</v>
      </c>
      <c r="M210" s="387" t="s">
        <v>540</v>
      </c>
      <c r="N210" s="312" t="s">
        <v>551</v>
      </c>
      <c r="O210" s="543"/>
      <c r="P210" s="457"/>
      <c r="Q210" s="314">
        <v>2500</v>
      </c>
      <c r="R210" s="581"/>
      <c r="S210" s="617" t="s">
        <v>552</v>
      </c>
      <c r="T210" s="690">
        <v>45991</v>
      </c>
      <c r="U210" s="501"/>
      <c r="V210" s="795"/>
      <c r="W210" s="691">
        <v>45980</v>
      </c>
      <c r="X210" s="801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798"/>
      <c r="J211" s="798"/>
      <c r="K211" s="287"/>
      <c r="L211" s="310">
        <v>15</v>
      </c>
      <c r="M211" s="387" t="s">
        <v>540</v>
      </c>
      <c r="N211" s="312" t="s">
        <v>553</v>
      </c>
      <c r="O211" s="543"/>
      <c r="P211" s="457"/>
      <c r="Q211" s="314">
        <v>5450</v>
      </c>
      <c r="R211" s="581" t="s">
        <v>554</v>
      </c>
      <c r="S211" s="690" t="s">
        <v>555</v>
      </c>
      <c r="T211" s="690">
        <v>45991</v>
      </c>
      <c r="U211" s="501"/>
      <c r="V211" s="795"/>
      <c r="W211" s="530">
        <v>45995</v>
      </c>
      <c r="X211" s="801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798"/>
      <c r="J212" s="798"/>
      <c r="K212" s="287"/>
      <c r="L212" s="310">
        <v>15</v>
      </c>
      <c r="M212" s="387" t="s">
        <v>540</v>
      </c>
      <c r="N212" s="312" t="s">
        <v>556</v>
      </c>
      <c r="O212" s="543"/>
      <c r="P212" s="457"/>
      <c r="Q212" s="314">
        <v>61237.8</v>
      </c>
      <c r="R212" s="581" t="s">
        <v>557</v>
      </c>
      <c r="S212" s="617" t="s">
        <v>558</v>
      </c>
      <c r="T212" s="647">
        <v>46053</v>
      </c>
      <c r="U212" s="746">
        <v>70757.8</v>
      </c>
      <c r="V212" s="795"/>
      <c r="W212" s="530">
        <v>46037</v>
      </c>
      <c r="X212" s="801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798"/>
      <c r="J213" s="798"/>
      <c r="K213" s="287"/>
      <c r="L213" s="310">
        <v>15</v>
      </c>
      <c r="M213" s="387" t="s">
        <v>540</v>
      </c>
      <c r="N213" s="312" t="s">
        <v>559</v>
      </c>
      <c r="O213" s="543"/>
      <c r="P213" s="457"/>
      <c r="Q213" s="314">
        <v>9520</v>
      </c>
      <c r="R213" s="581" t="s">
        <v>560</v>
      </c>
      <c r="S213" s="617" t="s">
        <v>561</v>
      </c>
      <c r="T213" s="647">
        <v>46053</v>
      </c>
      <c r="U213" s="501"/>
      <c r="V213" s="795"/>
      <c r="W213" s="530">
        <v>46051</v>
      </c>
      <c r="X213" s="801"/>
      <c r="Y213" s="480"/>
    </row>
    <row r="214" spans="2:25" ht="14.25">
      <c r="B214" s="310">
        <v>15</v>
      </c>
      <c r="C214" s="312"/>
      <c r="D214" s="312"/>
      <c r="E214" s="313"/>
      <c r="F214" s="457"/>
      <c r="G214" s="314"/>
      <c r="H214" s="566"/>
      <c r="I214" s="798"/>
      <c r="J214" s="798"/>
      <c r="K214" s="287"/>
      <c r="L214" s="310">
        <v>15</v>
      </c>
      <c r="M214" s="387" t="s">
        <v>540</v>
      </c>
      <c r="N214" s="312" t="s">
        <v>562</v>
      </c>
      <c r="O214" s="543"/>
      <c r="P214" s="457"/>
      <c r="Q214" s="314">
        <f>8050/1.15</f>
        <v>7000.0000000000009</v>
      </c>
      <c r="R214" s="581" t="s">
        <v>563</v>
      </c>
      <c r="S214" s="617" t="s">
        <v>564</v>
      </c>
      <c r="T214" s="647">
        <v>46081</v>
      </c>
      <c r="U214" s="501"/>
      <c r="V214" s="795"/>
      <c r="W214" s="691">
        <v>46079</v>
      </c>
      <c r="X214" s="801"/>
      <c r="Y214" s="480"/>
    </row>
    <row r="215" spans="2:25" ht="14.25">
      <c r="B215" s="310">
        <v>15</v>
      </c>
      <c r="C215" s="312"/>
      <c r="D215" s="312"/>
      <c r="E215" s="313"/>
      <c r="F215" s="457"/>
      <c r="G215" s="314"/>
      <c r="H215" s="566"/>
      <c r="I215" s="798"/>
      <c r="J215" s="798"/>
      <c r="K215" s="287"/>
      <c r="L215" s="310">
        <v>15</v>
      </c>
      <c r="M215" s="387" t="s">
        <v>540</v>
      </c>
      <c r="N215" s="312" t="s">
        <v>565</v>
      </c>
      <c r="O215" s="543"/>
      <c r="P215" s="457"/>
      <c r="Q215" s="314">
        <v>3531.8</v>
      </c>
      <c r="R215" s="581"/>
      <c r="S215" s="617" t="s">
        <v>566</v>
      </c>
      <c r="T215" s="647">
        <v>46081</v>
      </c>
      <c r="U215" s="501"/>
      <c r="V215" s="795"/>
      <c r="W215" s="691">
        <v>46079</v>
      </c>
      <c r="X215" s="801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798"/>
      <c r="J216" s="798"/>
      <c r="K216" s="287"/>
      <c r="L216" s="310">
        <v>15</v>
      </c>
      <c r="M216" s="387" t="s">
        <v>540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95"/>
      <c r="W216" s="566"/>
      <c r="X216" s="801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799"/>
      <c r="J217" s="799"/>
      <c r="K217" s="288"/>
      <c r="L217" s="315">
        <v>15</v>
      </c>
      <c r="M217" s="417" t="s">
        <v>540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96"/>
      <c r="W217" s="568"/>
      <c r="X217" s="802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567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568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569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372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437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389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570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571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572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573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574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575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576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577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578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579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580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581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582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583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584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585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572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586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587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X6:X12"/>
    <mergeCell ref="V6:V12"/>
    <mergeCell ref="V14:V20"/>
    <mergeCell ref="V22:V30"/>
    <mergeCell ref="V32:V47"/>
    <mergeCell ref="X22:X30"/>
    <mergeCell ref="B2:G2"/>
    <mergeCell ref="L2:Q2"/>
    <mergeCell ref="I6:I12"/>
    <mergeCell ref="J6:J12"/>
    <mergeCell ref="R2:W2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83:I184"/>
    <mergeCell ref="J183:J184"/>
    <mergeCell ref="K183:K184"/>
    <mergeCell ref="X183:X184"/>
    <mergeCell ref="V177:V181"/>
    <mergeCell ref="I177:I181"/>
    <mergeCell ref="J177:J181"/>
    <mergeCell ref="X177:X181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tabSelected="1" zoomScale="85" zoomScaleNormal="85" workbookViewId="0">
      <pane xSplit="5" ySplit="15" topLeftCell="AX16" activePane="bottomRight" state="frozen"/>
      <selection pane="bottomRight" activeCell="BK11" sqref="BK11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28515625" bestFit="1" customWidth="1"/>
    <col min="317" max="317" width="9.42578125" style="190"/>
  </cols>
  <sheetData>
    <row r="1" spans="1:794">
      <c r="D1" s="186" t="s">
        <v>588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7" t="s">
        <v>589</v>
      </c>
      <c r="B2" s="191"/>
      <c r="C2" s="192" t="s">
        <v>304</v>
      </c>
      <c r="D2" s="192" t="s">
        <v>304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8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8"/>
      <c r="B4" s="194" t="s">
        <v>590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8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8"/>
      <c r="B6" s="198" t="s">
        <v>591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8"/>
      <c r="B7" s="203" t="s">
        <v>592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7" t="s">
        <v>75</v>
      </c>
      <c r="B8" s="191"/>
      <c r="C8" s="192" t="s">
        <v>304</v>
      </c>
      <c r="D8" s="192" t="s">
        <v>304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8"/>
      <c r="B9" s="208" t="s">
        <v>593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8"/>
      <c r="B10" s="208" t="s">
        <v>594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8"/>
      <c r="B11" s="211" t="s">
        <v>595</v>
      </c>
      <c r="C11" s="212">
        <f>'Revenue Tracking'!F5</f>
        <v>8238201.1139130434</v>
      </c>
      <c r="D11" s="212">
        <f>SUM(F11:LD11)</f>
        <v>8238201.1139130434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90585.35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52687.973913043483</v>
      </c>
      <c r="BK11" s="213">
        <f>SUMIFS('Expenditure Breakdown'!$Q$6:$Q$225, 'Expenditure Breakdown'!$W$6:$W$225, "&gt;="&amp;BK1,'Expenditure Breakdown'!$W$6:$W$225, "&lt;"&amp;BL1)</f>
        <v>10531.800000000001</v>
      </c>
      <c r="BL11" s="213">
        <f>SUMIFS('Expenditure Breakdown'!$Q$6:$Q$225, 'Expenditure Breakdown'!$W$6:$W$225, "&gt;="&amp;BL1,'Expenditure Breakdown'!$W$6:$W$225, "&lt;"&amp;BM1)</f>
        <v>78328.709999999992</v>
      </c>
      <c r="BM11" s="213">
        <f>SUMIFS('Expenditure Breakdown'!$Q$6:$Q$225, 'Expenditure Breakdown'!$W$6:$W$225, "&gt;="&amp;BM1,'Expenditure Breakdown'!$W$6:$W$225, "&lt;"&amp;BN1)</f>
        <v>0</v>
      </c>
      <c r="BN11" s="213">
        <f>SUMIFS('Expenditure Breakdown'!$Q$6:$Q$225, 'Expenditure Breakdown'!$W$6:$W$225, "&gt;="&amp;BN1,'Expenditure Breakdown'!$W$6:$W$225, "&lt;"&amp;BO1)</f>
        <v>0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8"/>
      <c r="B12" s="211" t="s">
        <v>596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8096014.79</v>
      </c>
      <c r="BH12" s="213">
        <f t="shared" si="26"/>
        <v>8096652.6299999999</v>
      </c>
      <c r="BI12" s="213">
        <f t="shared" si="26"/>
        <v>8096652.6299999999</v>
      </c>
      <c r="BJ12" s="213">
        <f t="shared" si="26"/>
        <v>8149340.6039130436</v>
      </c>
      <c r="BK12" s="213">
        <f t="shared" si="26"/>
        <v>8159872.4039130434</v>
      </c>
      <c r="BL12" s="213">
        <f t="shared" si="26"/>
        <v>8238201.1139130434</v>
      </c>
      <c r="BM12" s="213">
        <f t="shared" si="26"/>
        <v>8238201.1139130434</v>
      </c>
      <c r="BN12" s="213">
        <f t="shared" si="26"/>
        <v>8238201.1139130434</v>
      </c>
      <c r="BO12" s="213">
        <f t="shared" si="26"/>
        <v>8238201.1139130434</v>
      </c>
      <c r="BP12" s="213">
        <f t="shared" si="26"/>
        <v>8238201.1139130434</v>
      </c>
      <c r="BQ12" s="213">
        <f t="shared" si="26"/>
        <v>8238201.1139130434</v>
      </c>
      <c r="BR12" s="213">
        <f t="shared" si="26"/>
        <v>8238201.1139130434</v>
      </c>
      <c r="BS12" s="213">
        <f t="shared" si="26"/>
        <v>8238201.1139130434</v>
      </c>
      <c r="BT12" s="213">
        <f t="shared" si="26"/>
        <v>8238201.1139130434</v>
      </c>
      <c r="BU12" s="213">
        <f t="shared" ref="BU12:EF12" si="27">BT12+BU11</f>
        <v>8238201.1139130434</v>
      </c>
      <c r="BV12" s="213">
        <f t="shared" si="27"/>
        <v>8238201.1139130434</v>
      </c>
      <c r="BW12" s="213">
        <f t="shared" si="27"/>
        <v>8238201.1139130434</v>
      </c>
      <c r="BX12" s="213">
        <f t="shared" si="27"/>
        <v>8238201.1139130434</v>
      </c>
      <c r="BY12" s="213">
        <f t="shared" si="27"/>
        <v>8238201.1139130434</v>
      </c>
      <c r="BZ12" s="213">
        <f t="shared" si="27"/>
        <v>8238201.1139130434</v>
      </c>
      <c r="CA12" s="213">
        <f t="shared" si="27"/>
        <v>8238201.1139130434</v>
      </c>
      <c r="CB12" s="213">
        <f t="shared" si="27"/>
        <v>8238201.1139130434</v>
      </c>
      <c r="CC12" s="213">
        <f t="shared" si="27"/>
        <v>8238201.1139130434</v>
      </c>
      <c r="CD12" s="213">
        <f t="shared" si="27"/>
        <v>8238201.1139130434</v>
      </c>
      <c r="CE12" s="213">
        <f t="shared" si="27"/>
        <v>8238201.1139130434</v>
      </c>
      <c r="CF12" s="213">
        <f t="shared" si="27"/>
        <v>8238201.1139130434</v>
      </c>
      <c r="CG12" s="213">
        <f t="shared" si="27"/>
        <v>8238201.1139130434</v>
      </c>
      <c r="CH12" s="213">
        <f t="shared" si="27"/>
        <v>8238201.1139130434</v>
      </c>
      <c r="CI12" s="213">
        <f t="shared" si="27"/>
        <v>8238201.1139130434</v>
      </c>
      <c r="CJ12" s="213">
        <f t="shared" si="27"/>
        <v>8238201.1139130434</v>
      </c>
      <c r="CK12" s="213">
        <f t="shared" si="27"/>
        <v>8238201.1139130434</v>
      </c>
      <c r="CL12" s="213">
        <f t="shared" si="27"/>
        <v>8238201.1139130434</v>
      </c>
      <c r="CM12" s="213">
        <f t="shared" si="27"/>
        <v>8238201.1139130434</v>
      </c>
      <c r="CN12" s="213">
        <f t="shared" si="27"/>
        <v>8238201.1139130434</v>
      </c>
      <c r="CO12" s="213">
        <f t="shared" si="27"/>
        <v>8238201.1139130434</v>
      </c>
      <c r="CP12" s="213">
        <f t="shared" si="27"/>
        <v>8238201.1139130434</v>
      </c>
      <c r="CQ12" s="213">
        <f t="shared" si="27"/>
        <v>8238201.1139130434</v>
      </c>
      <c r="CR12" s="213">
        <f t="shared" si="27"/>
        <v>8238201.1139130434</v>
      </c>
      <c r="CS12" s="213">
        <f t="shared" si="27"/>
        <v>8238201.1139130434</v>
      </c>
      <c r="CT12" s="213">
        <f t="shared" si="27"/>
        <v>8238201.1139130434</v>
      </c>
      <c r="CU12" s="213">
        <f t="shared" si="27"/>
        <v>8238201.1139130434</v>
      </c>
      <c r="CV12" s="213">
        <f t="shared" si="27"/>
        <v>8238201.1139130434</v>
      </c>
      <c r="CW12" s="213">
        <f t="shared" si="27"/>
        <v>8238201.1139130434</v>
      </c>
      <c r="CX12" s="213">
        <f t="shared" si="27"/>
        <v>8238201.1139130434</v>
      </c>
      <c r="CY12" s="213">
        <f t="shared" si="27"/>
        <v>8238201.1139130434</v>
      </c>
      <c r="CZ12" s="213">
        <f t="shared" si="27"/>
        <v>8238201.1139130434</v>
      </c>
      <c r="DA12" s="213">
        <f t="shared" si="27"/>
        <v>8238201.1139130434</v>
      </c>
      <c r="DB12" s="213">
        <f t="shared" si="27"/>
        <v>8238201.1139130434</v>
      </c>
      <c r="DC12" s="213">
        <f t="shared" si="27"/>
        <v>8238201.1139130434</v>
      </c>
      <c r="DD12" s="213">
        <f t="shared" si="27"/>
        <v>8238201.1139130434</v>
      </c>
      <c r="DE12" s="213">
        <f t="shared" si="27"/>
        <v>8238201.1139130434</v>
      </c>
      <c r="DF12" s="213">
        <f t="shared" si="27"/>
        <v>8238201.1139130434</v>
      </c>
      <c r="DG12" s="213">
        <f t="shared" si="27"/>
        <v>8238201.1139130434</v>
      </c>
      <c r="DH12" s="213">
        <f t="shared" si="27"/>
        <v>8238201.1139130434</v>
      </c>
      <c r="DI12" s="213">
        <f t="shared" si="27"/>
        <v>8238201.1139130434</v>
      </c>
      <c r="DJ12" s="213">
        <f t="shared" si="27"/>
        <v>8238201.1139130434</v>
      </c>
      <c r="DK12" s="213">
        <f t="shared" si="27"/>
        <v>8238201.1139130434</v>
      </c>
      <c r="DL12" s="213">
        <f t="shared" si="27"/>
        <v>8238201.1139130434</v>
      </c>
      <c r="DM12" s="213">
        <f t="shared" si="27"/>
        <v>8238201.1139130434</v>
      </c>
      <c r="DN12" s="213">
        <f t="shared" si="27"/>
        <v>8238201.1139130434</v>
      </c>
      <c r="DO12" s="213">
        <f t="shared" si="27"/>
        <v>8238201.1139130434</v>
      </c>
      <c r="DP12" s="213">
        <f t="shared" si="27"/>
        <v>8238201.1139130434</v>
      </c>
      <c r="DQ12" s="213">
        <f t="shared" si="27"/>
        <v>8238201.1139130434</v>
      </c>
      <c r="DR12" s="213">
        <f t="shared" si="27"/>
        <v>8238201.1139130434</v>
      </c>
      <c r="DS12" s="213">
        <f t="shared" si="27"/>
        <v>8238201.1139130434</v>
      </c>
      <c r="DT12" s="213">
        <f t="shared" si="27"/>
        <v>8238201.1139130434</v>
      </c>
      <c r="DU12" s="213">
        <f t="shared" si="27"/>
        <v>8238201.1139130434</v>
      </c>
      <c r="DV12" s="213">
        <f t="shared" si="27"/>
        <v>8238201.1139130434</v>
      </c>
      <c r="DW12" s="213">
        <f t="shared" si="27"/>
        <v>8238201.1139130434</v>
      </c>
      <c r="DX12" s="213">
        <f t="shared" si="27"/>
        <v>8238201.1139130434</v>
      </c>
      <c r="DY12" s="213">
        <f t="shared" si="27"/>
        <v>8238201.1139130434</v>
      </c>
      <c r="DZ12" s="213">
        <f t="shared" si="27"/>
        <v>8238201.1139130434</v>
      </c>
      <c r="EA12" s="213">
        <f t="shared" si="27"/>
        <v>8238201.1139130434</v>
      </c>
      <c r="EB12" s="213">
        <f t="shared" si="27"/>
        <v>8238201.1139130434</v>
      </c>
      <c r="EC12" s="213">
        <f t="shared" si="27"/>
        <v>8238201.1139130434</v>
      </c>
      <c r="ED12" s="213">
        <f t="shared" si="27"/>
        <v>8238201.1139130434</v>
      </c>
      <c r="EE12" s="213">
        <f t="shared" si="27"/>
        <v>8238201.1139130434</v>
      </c>
      <c r="EF12" s="213">
        <f t="shared" si="27"/>
        <v>8238201.1139130434</v>
      </c>
      <c r="EG12" s="213">
        <f t="shared" ref="EG12:GR12" si="28">EF12+EG11</f>
        <v>8238201.1139130434</v>
      </c>
      <c r="EH12" s="213">
        <f t="shared" si="28"/>
        <v>8238201.1139130434</v>
      </c>
      <c r="EI12" s="213">
        <f t="shared" si="28"/>
        <v>8238201.1139130434</v>
      </c>
      <c r="EJ12" s="213">
        <f t="shared" si="28"/>
        <v>8238201.1139130434</v>
      </c>
      <c r="EK12" s="213">
        <f t="shared" si="28"/>
        <v>8238201.1139130434</v>
      </c>
      <c r="EL12" s="213">
        <f t="shared" si="28"/>
        <v>8238201.1139130434</v>
      </c>
      <c r="EM12" s="213">
        <f t="shared" si="28"/>
        <v>8238201.1139130434</v>
      </c>
      <c r="EN12" s="213">
        <f t="shared" si="28"/>
        <v>8238201.1139130434</v>
      </c>
      <c r="EO12" s="213">
        <f t="shared" si="28"/>
        <v>8238201.1139130434</v>
      </c>
      <c r="EP12" s="213">
        <f t="shared" si="28"/>
        <v>8238201.1139130434</v>
      </c>
      <c r="EQ12" s="213">
        <f t="shared" si="28"/>
        <v>8238201.1139130434</v>
      </c>
      <c r="ER12" s="213">
        <f t="shared" si="28"/>
        <v>8238201.1139130434</v>
      </c>
      <c r="ES12" s="213">
        <f t="shared" si="28"/>
        <v>8238201.1139130434</v>
      </c>
      <c r="ET12" s="213">
        <f t="shared" si="28"/>
        <v>8238201.1139130434</v>
      </c>
      <c r="EU12" s="213">
        <f t="shared" si="28"/>
        <v>8238201.1139130434</v>
      </c>
      <c r="EV12" s="213">
        <f t="shared" si="28"/>
        <v>8238201.1139130434</v>
      </c>
      <c r="EW12" s="213">
        <f t="shared" si="28"/>
        <v>8238201.1139130434</v>
      </c>
      <c r="EX12" s="213">
        <f t="shared" si="28"/>
        <v>8238201.1139130434</v>
      </c>
      <c r="EY12" s="213">
        <f t="shared" si="28"/>
        <v>8238201.1139130434</v>
      </c>
      <c r="EZ12" s="213">
        <f t="shared" si="28"/>
        <v>8238201.1139130434</v>
      </c>
      <c r="FA12" s="213">
        <f t="shared" si="28"/>
        <v>8238201.1139130434</v>
      </c>
      <c r="FB12" s="213">
        <f t="shared" si="28"/>
        <v>8238201.1139130434</v>
      </c>
      <c r="FC12" s="213">
        <f t="shared" si="28"/>
        <v>8238201.1139130434</v>
      </c>
      <c r="FD12" s="213">
        <f t="shared" si="28"/>
        <v>8238201.1139130434</v>
      </c>
      <c r="FE12" s="213">
        <f t="shared" si="28"/>
        <v>8238201.1139130434</v>
      </c>
      <c r="FF12" s="213">
        <f t="shared" si="28"/>
        <v>8238201.1139130434</v>
      </c>
      <c r="FG12" s="213">
        <f t="shared" si="28"/>
        <v>8238201.1139130434</v>
      </c>
      <c r="FH12" s="213">
        <f t="shared" si="28"/>
        <v>8238201.1139130434</v>
      </c>
      <c r="FI12" s="213">
        <f t="shared" si="28"/>
        <v>8238201.1139130434</v>
      </c>
      <c r="FJ12" s="213">
        <f t="shared" si="28"/>
        <v>8238201.1139130434</v>
      </c>
      <c r="FK12" s="213">
        <f t="shared" si="28"/>
        <v>8238201.1139130434</v>
      </c>
      <c r="FL12" s="213">
        <f t="shared" si="28"/>
        <v>8238201.1139130434</v>
      </c>
      <c r="FM12" s="213">
        <f t="shared" si="28"/>
        <v>8238201.1139130434</v>
      </c>
      <c r="FN12" s="213">
        <f t="shared" si="28"/>
        <v>8238201.1139130434</v>
      </c>
      <c r="FO12" s="213">
        <f t="shared" si="28"/>
        <v>8238201.1139130434</v>
      </c>
      <c r="FP12" s="213">
        <f t="shared" si="28"/>
        <v>8238201.1139130434</v>
      </c>
      <c r="FQ12" s="213">
        <f t="shared" si="28"/>
        <v>8238201.1139130434</v>
      </c>
      <c r="FR12" s="213">
        <f t="shared" si="28"/>
        <v>8238201.1139130434</v>
      </c>
      <c r="FS12" s="213">
        <f t="shared" si="28"/>
        <v>8238201.1139130434</v>
      </c>
      <c r="FT12" s="213">
        <f t="shared" si="28"/>
        <v>8238201.1139130434</v>
      </c>
      <c r="FU12" s="213">
        <f t="shared" si="28"/>
        <v>8238201.1139130434</v>
      </c>
      <c r="FV12" s="213">
        <f t="shared" si="28"/>
        <v>8238201.1139130434</v>
      </c>
      <c r="FW12" s="213">
        <f t="shared" si="28"/>
        <v>8238201.1139130434</v>
      </c>
      <c r="FX12" s="213">
        <f t="shared" si="28"/>
        <v>8238201.1139130434</v>
      </c>
      <c r="FY12" s="213">
        <f t="shared" si="28"/>
        <v>8238201.1139130434</v>
      </c>
      <c r="FZ12" s="213">
        <f t="shared" si="28"/>
        <v>8238201.1139130434</v>
      </c>
      <c r="GA12" s="213">
        <f t="shared" si="28"/>
        <v>8238201.1139130434</v>
      </c>
      <c r="GB12" s="213">
        <f t="shared" si="28"/>
        <v>8238201.1139130434</v>
      </c>
      <c r="GC12" s="213">
        <f t="shared" si="28"/>
        <v>8238201.1139130434</v>
      </c>
      <c r="GD12" s="213">
        <f t="shared" si="28"/>
        <v>8238201.1139130434</v>
      </c>
      <c r="GE12" s="213">
        <f t="shared" si="28"/>
        <v>8238201.1139130434</v>
      </c>
      <c r="GF12" s="213">
        <f t="shared" si="28"/>
        <v>8238201.1139130434</v>
      </c>
      <c r="GG12" s="213">
        <f t="shared" si="28"/>
        <v>8238201.1139130434</v>
      </c>
      <c r="GH12" s="213">
        <f t="shared" si="28"/>
        <v>8238201.1139130434</v>
      </c>
      <c r="GI12" s="213">
        <f t="shared" si="28"/>
        <v>8238201.1139130434</v>
      </c>
      <c r="GJ12" s="213">
        <f t="shared" si="28"/>
        <v>8238201.1139130434</v>
      </c>
      <c r="GK12" s="213">
        <f t="shared" si="28"/>
        <v>8238201.1139130434</v>
      </c>
      <c r="GL12" s="213">
        <f t="shared" si="28"/>
        <v>8238201.1139130434</v>
      </c>
      <c r="GM12" s="213">
        <f t="shared" si="28"/>
        <v>8238201.1139130434</v>
      </c>
      <c r="GN12" s="213">
        <f t="shared" si="28"/>
        <v>8238201.1139130434</v>
      </c>
      <c r="GO12" s="213">
        <f t="shared" si="28"/>
        <v>8238201.1139130434</v>
      </c>
      <c r="GP12" s="213">
        <f t="shared" si="28"/>
        <v>8238201.1139130434</v>
      </c>
      <c r="GQ12" s="213">
        <f t="shared" si="28"/>
        <v>8238201.1139130434</v>
      </c>
      <c r="GR12" s="213">
        <f t="shared" si="28"/>
        <v>8238201.1139130434</v>
      </c>
      <c r="GS12" s="213">
        <f t="shared" ref="GS12:JD12" si="29">GR12+GS11</f>
        <v>8238201.1139130434</v>
      </c>
      <c r="GT12" s="213">
        <f t="shared" si="29"/>
        <v>8238201.1139130434</v>
      </c>
      <c r="GU12" s="213">
        <f t="shared" si="29"/>
        <v>8238201.1139130434</v>
      </c>
      <c r="GV12" s="213">
        <f t="shared" si="29"/>
        <v>8238201.1139130434</v>
      </c>
      <c r="GW12" s="213">
        <f t="shared" si="29"/>
        <v>8238201.1139130434</v>
      </c>
      <c r="GX12" s="213">
        <f t="shared" si="29"/>
        <v>8238201.1139130434</v>
      </c>
      <c r="GY12" s="213">
        <f t="shared" si="29"/>
        <v>8238201.1139130434</v>
      </c>
      <c r="GZ12" s="213">
        <f t="shared" si="29"/>
        <v>8238201.1139130434</v>
      </c>
      <c r="HA12" s="213">
        <f t="shared" si="29"/>
        <v>8238201.1139130434</v>
      </c>
      <c r="HB12" s="213">
        <f t="shared" si="29"/>
        <v>8238201.1139130434</v>
      </c>
      <c r="HC12" s="213">
        <f t="shared" si="29"/>
        <v>8238201.1139130434</v>
      </c>
      <c r="HD12" s="213">
        <f t="shared" si="29"/>
        <v>8238201.1139130434</v>
      </c>
      <c r="HE12" s="213">
        <f t="shared" si="29"/>
        <v>8238201.1139130434</v>
      </c>
      <c r="HF12" s="213">
        <f t="shared" si="29"/>
        <v>8238201.1139130434</v>
      </c>
      <c r="HG12" s="213">
        <f t="shared" si="29"/>
        <v>8238201.1139130434</v>
      </c>
      <c r="HH12" s="213">
        <f t="shared" si="29"/>
        <v>8238201.1139130434</v>
      </c>
      <c r="HI12" s="213">
        <f t="shared" si="29"/>
        <v>8238201.1139130434</v>
      </c>
      <c r="HJ12" s="213">
        <f t="shared" si="29"/>
        <v>8238201.1139130434</v>
      </c>
      <c r="HK12" s="213">
        <f t="shared" si="29"/>
        <v>8238201.1139130434</v>
      </c>
      <c r="HL12" s="213">
        <f t="shared" si="29"/>
        <v>8238201.1139130434</v>
      </c>
      <c r="HM12" s="213">
        <f t="shared" si="29"/>
        <v>8238201.1139130434</v>
      </c>
      <c r="HN12" s="213">
        <f t="shared" si="29"/>
        <v>8238201.1139130434</v>
      </c>
      <c r="HO12" s="213">
        <f t="shared" si="29"/>
        <v>8238201.1139130434</v>
      </c>
      <c r="HP12" s="213">
        <f t="shared" si="29"/>
        <v>8238201.1139130434</v>
      </c>
      <c r="HQ12" s="213">
        <f t="shared" si="29"/>
        <v>8238201.1139130434</v>
      </c>
      <c r="HR12" s="213">
        <f t="shared" si="29"/>
        <v>8238201.1139130434</v>
      </c>
      <c r="HS12" s="213">
        <f t="shared" si="29"/>
        <v>8238201.1139130434</v>
      </c>
      <c r="HT12" s="213">
        <f t="shared" si="29"/>
        <v>8238201.1139130434</v>
      </c>
      <c r="HU12" s="213">
        <f t="shared" si="29"/>
        <v>8238201.1139130434</v>
      </c>
      <c r="HV12" s="213">
        <f t="shared" si="29"/>
        <v>8238201.1139130434</v>
      </c>
      <c r="HW12" s="213">
        <f t="shared" si="29"/>
        <v>8238201.1139130434</v>
      </c>
      <c r="HX12" s="213">
        <f t="shared" si="29"/>
        <v>8238201.1139130434</v>
      </c>
      <c r="HY12" s="213">
        <f t="shared" si="29"/>
        <v>8238201.1139130434</v>
      </c>
      <c r="HZ12" s="213">
        <f t="shared" si="29"/>
        <v>8238201.1139130434</v>
      </c>
      <c r="IA12" s="213">
        <f t="shared" si="29"/>
        <v>8238201.1139130434</v>
      </c>
      <c r="IB12" s="213">
        <f t="shared" si="29"/>
        <v>8238201.1139130434</v>
      </c>
      <c r="IC12" s="213">
        <f t="shared" si="29"/>
        <v>8238201.1139130434</v>
      </c>
      <c r="ID12" s="213">
        <f t="shared" si="29"/>
        <v>8238201.1139130434</v>
      </c>
      <c r="IE12" s="213">
        <f t="shared" si="29"/>
        <v>8238201.1139130434</v>
      </c>
      <c r="IF12" s="213">
        <f t="shared" si="29"/>
        <v>8238201.1139130434</v>
      </c>
      <c r="IG12" s="213">
        <f t="shared" si="29"/>
        <v>8238201.1139130434</v>
      </c>
      <c r="IH12" s="213">
        <f t="shared" si="29"/>
        <v>8238201.1139130434</v>
      </c>
      <c r="II12" s="213">
        <f t="shared" si="29"/>
        <v>8238201.1139130434</v>
      </c>
      <c r="IJ12" s="213">
        <f t="shared" si="29"/>
        <v>8238201.1139130434</v>
      </c>
      <c r="IK12" s="213">
        <f t="shared" si="29"/>
        <v>8238201.1139130434</v>
      </c>
      <c r="IL12" s="213">
        <f t="shared" si="29"/>
        <v>8238201.1139130434</v>
      </c>
      <c r="IM12" s="213">
        <f t="shared" si="29"/>
        <v>8238201.1139130434</v>
      </c>
      <c r="IN12" s="213">
        <f t="shared" si="29"/>
        <v>8238201.1139130434</v>
      </c>
      <c r="IO12" s="213">
        <f t="shared" si="29"/>
        <v>8238201.1139130434</v>
      </c>
      <c r="IP12" s="213">
        <f t="shared" si="29"/>
        <v>8238201.1139130434</v>
      </c>
      <c r="IQ12" s="213">
        <f t="shared" si="29"/>
        <v>8238201.1139130434</v>
      </c>
      <c r="IR12" s="213">
        <f t="shared" si="29"/>
        <v>8238201.1139130434</v>
      </c>
      <c r="IS12" s="213">
        <f t="shared" si="29"/>
        <v>8238201.1139130434</v>
      </c>
      <c r="IT12" s="213">
        <f t="shared" si="29"/>
        <v>8238201.1139130434</v>
      </c>
      <c r="IU12" s="213">
        <f t="shared" si="29"/>
        <v>8238201.1139130434</v>
      </c>
      <c r="IV12" s="213">
        <f t="shared" si="29"/>
        <v>8238201.1139130434</v>
      </c>
      <c r="IW12" s="213">
        <f t="shared" si="29"/>
        <v>8238201.1139130434</v>
      </c>
      <c r="IX12" s="213">
        <f t="shared" si="29"/>
        <v>8238201.1139130434</v>
      </c>
      <c r="IY12" s="213">
        <f t="shared" si="29"/>
        <v>8238201.1139130434</v>
      </c>
      <c r="IZ12" s="213">
        <f t="shared" si="29"/>
        <v>8238201.1139130434</v>
      </c>
      <c r="JA12" s="213">
        <f t="shared" si="29"/>
        <v>8238201.1139130434</v>
      </c>
      <c r="JB12" s="213">
        <f t="shared" si="29"/>
        <v>8238201.1139130434</v>
      </c>
      <c r="JC12" s="213">
        <f t="shared" si="29"/>
        <v>8238201.1139130434</v>
      </c>
      <c r="JD12" s="213">
        <f t="shared" si="29"/>
        <v>8238201.1139130434</v>
      </c>
      <c r="JE12" s="213">
        <f t="shared" ref="JE12:LD12" si="30">JD12+JE11</f>
        <v>8238201.1139130434</v>
      </c>
      <c r="JF12" s="213">
        <f t="shared" si="30"/>
        <v>8238201.1139130434</v>
      </c>
      <c r="JG12" s="213">
        <f t="shared" si="30"/>
        <v>8238201.1139130434</v>
      </c>
      <c r="JH12" s="213">
        <f t="shared" si="30"/>
        <v>8238201.1139130434</v>
      </c>
      <c r="JI12" s="213">
        <f t="shared" si="30"/>
        <v>8238201.1139130434</v>
      </c>
      <c r="JJ12" s="213">
        <f t="shared" si="30"/>
        <v>8238201.1139130434</v>
      </c>
      <c r="JK12" s="213">
        <f t="shared" si="30"/>
        <v>8238201.1139130434</v>
      </c>
      <c r="JL12" s="213">
        <f t="shared" si="30"/>
        <v>8238201.1139130434</v>
      </c>
      <c r="JM12" s="213">
        <f t="shared" si="30"/>
        <v>8238201.1139130434</v>
      </c>
      <c r="JN12" s="213">
        <f t="shared" si="30"/>
        <v>8238201.1139130434</v>
      </c>
      <c r="JO12" s="213">
        <f t="shared" si="30"/>
        <v>8238201.1139130434</v>
      </c>
      <c r="JP12" s="213">
        <f t="shared" si="30"/>
        <v>8238201.1139130434</v>
      </c>
      <c r="JQ12" s="213">
        <f t="shared" si="30"/>
        <v>8238201.1139130434</v>
      </c>
      <c r="JR12" s="213">
        <f t="shared" si="30"/>
        <v>8238201.1139130434</v>
      </c>
      <c r="JS12" s="213">
        <f t="shared" si="30"/>
        <v>8238201.1139130434</v>
      </c>
      <c r="JT12" s="213">
        <f t="shared" si="30"/>
        <v>8238201.1139130434</v>
      </c>
      <c r="JU12" s="213">
        <f t="shared" si="30"/>
        <v>8238201.1139130434</v>
      </c>
      <c r="JV12" s="213">
        <f t="shared" si="30"/>
        <v>8238201.1139130434</v>
      </c>
      <c r="JW12" s="213">
        <f t="shared" si="30"/>
        <v>8238201.1139130434</v>
      </c>
      <c r="JX12" s="213">
        <f t="shared" si="30"/>
        <v>8238201.1139130434</v>
      </c>
      <c r="JY12" s="213">
        <f t="shared" si="30"/>
        <v>8238201.1139130434</v>
      </c>
      <c r="JZ12" s="213">
        <f t="shared" si="30"/>
        <v>8238201.1139130434</v>
      </c>
      <c r="KA12" s="213">
        <f t="shared" si="30"/>
        <v>8238201.1139130434</v>
      </c>
      <c r="KB12" s="213">
        <f t="shared" si="30"/>
        <v>8238201.1139130434</v>
      </c>
      <c r="KC12" s="213">
        <f t="shared" si="30"/>
        <v>8238201.1139130434</v>
      </c>
      <c r="KD12" s="213">
        <f t="shared" si="30"/>
        <v>8238201.1139130434</v>
      </c>
      <c r="KE12" s="213">
        <f t="shared" si="30"/>
        <v>8238201.1139130434</v>
      </c>
      <c r="KF12" s="213">
        <f t="shared" si="30"/>
        <v>8238201.1139130434</v>
      </c>
      <c r="KG12" s="213">
        <f t="shared" si="30"/>
        <v>8238201.1139130434</v>
      </c>
      <c r="KH12" s="213">
        <f t="shared" si="30"/>
        <v>8238201.1139130434</v>
      </c>
      <c r="KI12" s="213">
        <f t="shared" si="30"/>
        <v>8238201.1139130434</v>
      </c>
      <c r="KJ12" s="213">
        <f t="shared" si="30"/>
        <v>8238201.1139130434</v>
      </c>
      <c r="KK12" s="213">
        <f t="shared" si="30"/>
        <v>8238201.1139130434</v>
      </c>
      <c r="KL12" s="213">
        <f t="shared" si="30"/>
        <v>8238201.1139130434</v>
      </c>
      <c r="KM12" s="213">
        <f t="shared" si="30"/>
        <v>8238201.1139130434</v>
      </c>
      <c r="KN12" s="213">
        <f t="shared" si="30"/>
        <v>8238201.1139130434</v>
      </c>
      <c r="KO12" s="213">
        <f t="shared" si="30"/>
        <v>8238201.1139130434</v>
      </c>
      <c r="KP12" s="213">
        <f t="shared" si="30"/>
        <v>8238201.1139130434</v>
      </c>
      <c r="KQ12" s="213">
        <f t="shared" si="30"/>
        <v>8238201.1139130434</v>
      </c>
      <c r="KR12" s="213">
        <f t="shared" si="30"/>
        <v>8238201.1139130434</v>
      </c>
      <c r="KS12" s="213">
        <f t="shared" si="30"/>
        <v>8238201.1139130434</v>
      </c>
      <c r="KT12" s="213">
        <f t="shared" si="30"/>
        <v>8238201.1139130434</v>
      </c>
      <c r="KU12" s="213">
        <f t="shared" si="30"/>
        <v>8238201.1139130434</v>
      </c>
      <c r="KV12" s="213">
        <f t="shared" si="30"/>
        <v>8238201.1139130434</v>
      </c>
      <c r="KW12" s="213">
        <f t="shared" si="30"/>
        <v>8238201.1139130434</v>
      </c>
      <c r="KX12" s="213">
        <f t="shared" si="30"/>
        <v>8238201.1139130434</v>
      </c>
      <c r="KY12" s="213">
        <f t="shared" si="30"/>
        <v>8238201.1139130434</v>
      </c>
      <c r="KZ12" s="213">
        <f t="shared" si="30"/>
        <v>8238201.1139130434</v>
      </c>
      <c r="LA12" s="213">
        <f t="shared" si="30"/>
        <v>8238201.1139130434</v>
      </c>
      <c r="LB12" s="213">
        <f t="shared" si="30"/>
        <v>8238201.1139130434</v>
      </c>
      <c r="LC12" s="213">
        <f t="shared" si="30"/>
        <v>8238201.1139130434</v>
      </c>
      <c r="LD12" s="213">
        <f t="shared" si="30"/>
        <v>8238201.1139130434</v>
      </c>
      <c r="LE12" s="190"/>
      <c r="LF12" s="201"/>
    </row>
    <row r="13" spans="1:794" s="190" customFormat="1">
      <c r="A13" s="84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8"/>
      <c r="B14" s="203" t="s">
        <v>597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4296579.2524382165</v>
      </c>
      <c r="BH14" s="206">
        <f t="shared" si="32"/>
        <v>4295941.4124382166</v>
      </c>
      <c r="BI14" s="206">
        <f t="shared" si="32"/>
        <v>4295941.4124382166</v>
      </c>
      <c r="BJ14" s="206">
        <f t="shared" si="32"/>
        <v>4243253.4385251729</v>
      </c>
      <c r="BK14" s="206">
        <f t="shared" si="32"/>
        <v>4232721.6385251731</v>
      </c>
      <c r="BL14" s="206">
        <f t="shared" si="32"/>
        <v>4154392.9285251731</v>
      </c>
      <c r="BM14" s="206">
        <f t="shared" si="32"/>
        <v>4154392.9285251731</v>
      </c>
      <c r="BN14" s="206">
        <f t="shared" si="32"/>
        <v>4154392.9285251731</v>
      </c>
      <c r="BO14" s="206">
        <f t="shared" si="32"/>
        <v>4154392.9285251731</v>
      </c>
      <c r="BP14" s="206">
        <f t="shared" si="32"/>
        <v>4154392.9285251731</v>
      </c>
      <c r="BQ14" s="206">
        <f t="shared" si="32"/>
        <v>4154392.9285251731</v>
      </c>
      <c r="BR14" s="206">
        <f t="shared" si="32"/>
        <v>4154392.9285251731</v>
      </c>
      <c r="BS14" s="206">
        <f t="shared" si="32"/>
        <v>4154392.9285251731</v>
      </c>
      <c r="BT14" s="206">
        <f t="shared" si="32"/>
        <v>4154392.9285251731</v>
      </c>
      <c r="BU14" s="206">
        <f t="shared" ref="BU14:EF14" si="33">BU10-BU12</f>
        <v>4154392.9285251731</v>
      </c>
      <c r="BV14" s="206">
        <f t="shared" si="33"/>
        <v>4154392.9285251731</v>
      </c>
      <c r="BW14" s="206">
        <f t="shared" si="33"/>
        <v>4154392.9285251731</v>
      </c>
      <c r="BX14" s="206">
        <f t="shared" si="33"/>
        <v>4154392.9285251731</v>
      </c>
      <c r="BY14" s="206">
        <f t="shared" si="33"/>
        <v>4154392.9285251731</v>
      </c>
      <c r="BZ14" s="206">
        <f t="shared" si="33"/>
        <v>4154392.9285251731</v>
      </c>
      <c r="CA14" s="206">
        <f t="shared" si="33"/>
        <v>4154392.9285251731</v>
      </c>
      <c r="CB14" s="206">
        <f t="shared" si="33"/>
        <v>4154392.9285251731</v>
      </c>
      <c r="CC14" s="206">
        <f t="shared" si="33"/>
        <v>4154392.9285251731</v>
      </c>
      <c r="CD14" s="206">
        <f t="shared" si="33"/>
        <v>4154392.9285251731</v>
      </c>
      <c r="CE14" s="206">
        <f t="shared" si="33"/>
        <v>4154392.9285251731</v>
      </c>
      <c r="CF14" s="206">
        <f t="shared" si="33"/>
        <v>4154392.9285251731</v>
      </c>
      <c r="CG14" s="206">
        <f t="shared" si="33"/>
        <v>4154392.9285251731</v>
      </c>
      <c r="CH14" s="206">
        <f t="shared" si="33"/>
        <v>4154392.9285251731</v>
      </c>
      <c r="CI14" s="206">
        <f t="shared" si="33"/>
        <v>4154392.9285251731</v>
      </c>
      <c r="CJ14" s="206">
        <f t="shared" si="33"/>
        <v>4154392.9285251731</v>
      </c>
      <c r="CK14" s="206">
        <f t="shared" si="33"/>
        <v>4154392.9285251731</v>
      </c>
      <c r="CL14" s="206">
        <f t="shared" si="33"/>
        <v>4154392.9285251731</v>
      </c>
      <c r="CM14" s="206">
        <f t="shared" si="33"/>
        <v>4154392.9285251731</v>
      </c>
      <c r="CN14" s="206">
        <f t="shared" si="33"/>
        <v>4154392.9285251731</v>
      </c>
      <c r="CO14" s="206">
        <f t="shared" si="33"/>
        <v>4154392.9285251731</v>
      </c>
      <c r="CP14" s="206">
        <f t="shared" si="33"/>
        <v>4154392.9285251731</v>
      </c>
      <c r="CQ14" s="206">
        <f t="shared" si="33"/>
        <v>4154392.9285251731</v>
      </c>
      <c r="CR14" s="206">
        <f t="shared" si="33"/>
        <v>4154392.9285251731</v>
      </c>
      <c r="CS14" s="206">
        <f t="shared" si="33"/>
        <v>4154392.9285251731</v>
      </c>
      <c r="CT14" s="206">
        <f t="shared" si="33"/>
        <v>4154392.9285251731</v>
      </c>
      <c r="CU14" s="206">
        <f t="shared" si="33"/>
        <v>4154392.9285251731</v>
      </c>
      <c r="CV14" s="206">
        <f t="shared" si="33"/>
        <v>4154392.9285251731</v>
      </c>
      <c r="CW14" s="206">
        <f t="shared" si="33"/>
        <v>4154392.9285251731</v>
      </c>
      <c r="CX14" s="206">
        <f t="shared" si="33"/>
        <v>4154392.9285251731</v>
      </c>
      <c r="CY14" s="206">
        <f t="shared" si="33"/>
        <v>4154392.9285251731</v>
      </c>
      <c r="CZ14" s="206">
        <f t="shared" si="33"/>
        <v>4154392.9285251731</v>
      </c>
      <c r="DA14" s="206">
        <f t="shared" si="33"/>
        <v>4154392.9285251731</v>
      </c>
      <c r="DB14" s="206">
        <f t="shared" si="33"/>
        <v>4154392.9285251731</v>
      </c>
      <c r="DC14" s="206">
        <f t="shared" si="33"/>
        <v>4154392.9285251731</v>
      </c>
      <c r="DD14" s="206">
        <f t="shared" si="33"/>
        <v>4154392.9285251731</v>
      </c>
      <c r="DE14" s="206">
        <f t="shared" si="33"/>
        <v>4154392.9285251731</v>
      </c>
      <c r="DF14" s="206">
        <f t="shared" si="33"/>
        <v>4154392.9285251731</v>
      </c>
      <c r="DG14" s="206">
        <f t="shared" si="33"/>
        <v>4154392.9285251731</v>
      </c>
      <c r="DH14" s="206">
        <f t="shared" si="33"/>
        <v>4154392.9285251731</v>
      </c>
      <c r="DI14" s="206">
        <f t="shared" si="33"/>
        <v>4154392.9285251731</v>
      </c>
      <c r="DJ14" s="206">
        <f t="shared" si="33"/>
        <v>4154392.9285251731</v>
      </c>
      <c r="DK14" s="206">
        <f t="shared" si="33"/>
        <v>4154392.9285251731</v>
      </c>
      <c r="DL14" s="206">
        <f t="shared" si="33"/>
        <v>4154392.9285251731</v>
      </c>
      <c r="DM14" s="206">
        <f t="shared" si="33"/>
        <v>4154392.9285251731</v>
      </c>
      <c r="DN14" s="206">
        <f t="shared" si="33"/>
        <v>4154392.9285251731</v>
      </c>
      <c r="DO14" s="206">
        <f t="shared" si="33"/>
        <v>4154392.9285251731</v>
      </c>
      <c r="DP14" s="206">
        <f t="shared" si="33"/>
        <v>4154392.9285251731</v>
      </c>
      <c r="DQ14" s="206">
        <f t="shared" si="33"/>
        <v>4154392.9285251731</v>
      </c>
      <c r="DR14" s="206">
        <f t="shared" si="33"/>
        <v>4154392.9285251731</v>
      </c>
      <c r="DS14" s="206">
        <f t="shared" si="33"/>
        <v>4154392.9285251731</v>
      </c>
      <c r="DT14" s="206">
        <f t="shared" si="33"/>
        <v>4154392.9285251731</v>
      </c>
      <c r="DU14" s="206">
        <f t="shared" si="33"/>
        <v>4154392.9285251731</v>
      </c>
      <c r="DV14" s="206">
        <f t="shared" si="33"/>
        <v>4154392.9285251731</v>
      </c>
      <c r="DW14" s="206">
        <f t="shared" si="33"/>
        <v>4154392.9285251731</v>
      </c>
      <c r="DX14" s="206">
        <f t="shared" si="33"/>
        <v>4154392.9285251731</v>
      </c>
      <c r="DY14" s="206">
        <f t="shared" si="33"/>
        <v>4154392.9285251731</v>
      </c>
      <c r="DZ14" s="206">
        <f t="shared" si="33"/>
        <v>4154392.9285251731</v>
      </c>
      <c r="EA14" s="206">
        <f t="shared" si="33"/>
        <v>4154392.9285251731</v>
      </c>
      <c r="EB14" s="206">
        <f t="shared" si="33"/>
        <v>4154392.9285251731</v>
      </c>
      <c r="EC14" s="206">
        <f t="shared" si="33"/>
        <v>4154392.9285251731</v>
      </c>
      <c r="ED14" s="206">
        <f t="shared" si="33"/>
        <v>4154392.9285251731</v>
      </c>
      <c r="EE14" s="206">
        <f t="shared" si="33"/>
        <v>4154392.9285251731</v>
      </c>
      <c r="EF14" s="206">
        <f t="shared" si="33"/>
        <v>4154392.9285251731</v>
      </c>
      <c r="EG14" s="206">
        <f t="shared" ref="EG14:GR14" si="34">EG10-EG12</f>
        <v>4154392.9285251731</v>
      </c>
      <c r="EH14" s="206">
        <f t="shared" si="34"/>
        <v>4154392.9285251731</v>
      </c>
      <c r="EI14" s="206">
        <f t="shared" si="34"/>
        <v>4154392.9285251731</v>
      </c>
      <c r="EJ14" s="206">
        <f t="shared" si="34"/>
        <v>4154392.9285251731</v>
      </c>
      <c r="EK14" s="206">
        <f t="shared" si="34"/>
        <v>4154392.9285251731</v>
      </c>
      <c r="EL14" s="206">
        <f t="shared" si="34"/>
        <v>4154392.9285251731</v>
      </c>
      <c r="EM14" s="206">
        <f t="shared" si="34"/>
        <v>4154392.9285251731</v>
      </c>
      <c r="EN14" s="206">
        <f t="shared" si="34"/>
        <v>4154392.9285251731</v>
      </c>
      <c r="EO14" s="206">
        <f t="shared" si="34"/>
        <v>4154392.9285251731</v>
      </c>
      <c r="EP14" s="206">
        <f t="shared" si="34"/>
        <v>4154392.9285251731</v>
      </c>
      <c r="EQ14" s="206">
        <f t="shared" si="34"/>
        <v>4154392.9285251731</v>
      </c>
      <c r="ER14" s="206">
        <f t="shared" si="34"/>
        <v>4154392.9285251731</v>
      </c>
      <c r="ES14" s="206">
        <f t="shared" si="34"/>
        <v>4154392.9285251731</v>
      </c>
      <c r="ET14" s="206">
        <f t="shared" si="34"/>
        <v>4154392.9285251731</v>
      </c>
      <c r="EU14" s="206">
        <f t="shared" si="34"/>
        <v>4154392.9285251731</v>
      </c>
      <c r="EV14" s="206">
        <f t="shared" si="34"/>
        <v>4154392.9285251731</v>
      </c>
      <c r="EW14" s="206">
        <f t="shared" si="34"/>
        <v>4154392.9285251731</v>
      </c>
      <c r="EX14" s="206">
        <f t="shared" si="34"/>
        <v>4154392.9285251731</v>
      </c>
      <c r="EY14" s="206">
        <f t="shared" si="34"/>
        <v>4154392.9285251731</v>
      </c>
      <c r="EZ14" s="206">
        <f t="shared" si="34"/>
        <v>4154392.9285251731</v>
      </c>
      <c r="FA14" s="206">
        <f t="shared" si="34"/>
        <v>4154392.9285251731</v>
      </c>
      <c r="FB14" s="206">
        <f t="shared" si="34"/>
        <v>4154392.9285251731</v>
      </c>
      <c r="FC14" s="206">
        <f t="shared" si="34"/>
        <v>4154392.9285251731</v>
      </c>
      <c r="FD14" s="206">
        <f t="shared" si="34"/>
        <v>4154392.9285251731</v>
      </c>
      <c r="FE14" s="206">
        <f t="shared" si="34"/>
        <v>4154392.9285251731</v>
      </c>
      <c r="FF14" s="206">
        <f t="shared" si="34"/>
        <v>4154392.9285251731</v>
      </c>
      <c r="FG14" s="206">
        <f t="shared" si="34"/>
        <v>4154392.9285251731</v>
      </c>
      <c r="FH14" s="206">
        <f t="shared" si="34"/>
        <v>4154392.9285251731</v>
      </c>
      <c r="FI14" s="206">
        <f t="shared" si="34"/>
        <v>4154392.9285251731</v>
      </c>
      <c r="FJ14" s="206">
        <f t="shared" si="34"/>
        <v>4154392.9285251731</v>
      </c>
      <c r="FK14" s="206">
        <f t="shared" si="34"/>
        <v>4154392.9285251731</v>
      </c>
      <c r="FL14" s="206">
        <f t="shared" si="34"/>
        <v>4154392.9285251731</v>
      </c>
      <c r="FM14" s="206">
        <f t="shared" si="34"/>
        <v>4154392.9285251731</v>
      </c>
      <c r="FN14" s="206">
        <f t="shared" si="34"/>
        <v>4154392.9285251731</v>
      </c>
      <c r="FO14" s="206">
        <f t="shared" si="34"/>
        <v>4154392.9285251731</v>
      </c>
      <c r="FP14" s="206">
        <f t="shared" si="34"/>
        <v>4154392.9285251731</v>
      </c>
      <c r="FQ14" s="206">
        <f t="shared" si="34"/>
        <v>4154392.9285251731</v>
      </c>
      <c r="FR14" s="206">
        <f t="shared" si="34"/>
        <v>4154392.9285251731</v>
      </c>
      <c r="FS14" s="206">
        <f t="shared" si="34"/>
        <v>4154392.9285251731</v>
      </c>
      <c r="FT14" s="206">
        <f t="shared" si="34"/>
        <v>4154392.9285251731</v>
      </c>
      <c r="FU14" s="206">
        <f t="shared" si="34"/>
        <v>4154392.9285251731</v>
      </c>
      <c r="FV14" s="206">
        <f t="shared" si="34"/>
        <v>4154392.9285251731</v>
      </c>
      <c r="FW14" s="206">
        <f t="shared" si="34"/>
        <v>4154392.9285251731</v>
      </c>
      <c r="FX14" s="206">
        <f t="shared" si="34"/>
        <v>4154392.9285251731</v>
      </c>
      <c r="FY14" s="206">
        <f t="shared" si="34"/>
        <v>4154392.9285251731</v>
      </c>
      <c r="FZ14" s="206">
        <f t="shared" si="34"/>
        <v>4154392.9285251731</v>
      </c>
      <c r="GA14" s="206">
        <f t="shared" si="34"/>
        <v>4154392.9285251731</v>
      </c>
      <c r="GB14" s="206">
        <f t="shared" si="34"/>
        <v>4154392.9285251731</v>
      </c>
      <c r="GC14" s="206">
        <f t="shared" si="34"/>
        <v>4154392.9285251731</v>
      </c>
      <c r="GD14" s="206">
        <f t="shared" si="34"/>
        <v>4154392.9285251731</v>
      </c>
      <c r="GE14" s="206">
        <f t="shared" si="34"/>
        <v>4154392.9285251731</v>
      </c>
      <c r="GF14" s="206">
        <f t="shared" si="34"/>
        <v>4154392.9285251731</v>
      </c>
      <c r="GG14" s="206">
        <f t="shared" si="34"/>
        <v>4154392.9285251731</v>
      </c>
      <c r="GH14" s="206">
        <f t="shared" si="34"/>
        <v>4154392.9285251731</v>
      </c>
      <c r="GI14" s="206">
        <f t="shared" si="34"/>
        <v>4154392.9285251731</v>
      </c>
      <c r="GJ14" s="206">
        <f t="shared" si="34"/>
        <v>4154392.9285251731</v>
      </c>
      <c r="GK14" s="206">
        <f t="shared" si="34"/>
        <v>4154392.9285251731</v>
      </c>
      <c r="GL14" s="206">
        <f t="shared" si="34"/>
        <v>4154392.9285251731</v>
      </c>
      <c r="GM14" s="206">
        <f t="shared" si="34"/>
        <v>4154392.9285251731</v>
      </c>
      <c r="GN14" s="206">
        <f t="shared" si="34"/>
        <v>4154392.9285251731</v>
      </c>
      <c r="GO14" s="206">
        <f t="shared" si="34"/>
        <v>4154392.9285251731</v>
      </c>
      <c r="GP14" s="206">
        <f t="shared" si="34"/>
        <v>4154392.9285251731</v>
      </c>
      <c r="GQ14" s="206">
        <f t="shared" si="34"/>
        <v>4154392.9285251731</v>
      </c>
      <c r="GR14" s="206">
        <f t="shared" si="34"/>
        <v>4154392.9285251731</v>
      </c>
      <c r="GS14" s="206">
        <f t="shared" ref="GS14:JD14" si="35">GS10-GS12</f>
        <v>4154392.9285251731</v>
      </c>
      <c r="GT14" s="206">
        <f t="shared" si="35"/>
        <v>4154392.9285251731</v>
      </c>
      <c r="GU14" s="206">
        <f t="shared" si="35"/>
        <v>4154392.9285251731</v>
      </c>
      <c r="GV14" s="206">
        <f t="shared" si="35"/>
        <v>4154392.9285251731</v>
      </c>
      <c r="GW14" s="206">
        <f t="shared" si="35"/>
        <v>4154392.9285251731</v>
      </c>
      <c r="GX14" s="206">
        <f t="shared" si="35"/>
        <v>4154392.9285251731</v>
      </c>
      <c r="GY14" s="206">
        <f t="shared" si="35"/>
        <v>4154392.9285251731</v>
      </c>
      <c r="GZ14" s="206">
        <f t="shared" si="35"/>
        <v>4154392.9285251731</v>
      </c>
      <c r="HA14" s="206">
        <f t="shared" si="35"/>
        <v>4154392.9285251731</v>
      </c>
      <c r="HB14" s="206">
        <f t="shared" si="35"/>
        <v>4154392.9285251731</v>
      </c>
      <c r="HC14" s="206">
        <f t="shared" si="35"/>
        <v>4154392.9285251731</v>
      </c>
      <c r="HD14" s="206">
        <f t="shared" si="35"/>
        <v>4154392.9285251731</v>
      </c>
      <c r="HE14" s="206">
        <f t="shared" si="35"/>
        <v>4154392.9285251731</v>
      </c>
      <c r="HF14" s="206">
        <f t="shared" si="35"/>
        <v>4154392.9285251731</v>
      </c>
      <c r="HG14" s="206">
        <f t="shared" si="35"/>
        <v>4154392.9285251731</v>
      </c>
      <c r="HH14" s="206">
        <f t="shared" si="35"/>
        <v>4154392.9285251731</v>
      </c>
      <c r="HI14" s="206">
        <f t="shared" si="35"/>
        <v>4154392.9285251731</v>
      </c>
      <c r="HJ14" s="206">
        <f t="shared" si="35"/>
        <v>4154392.9285251731</v>
      </c>
      <c r="HK14" s="206">
        <f t="shared" si="35"/>
        <v>4154392.9285251731</v>
      </c>
      <c r="HL14" s="206">
        <f t="shared" si="35"/>
        <v>4154392.9285251731</v>
      </c>
      <c r="HM14" s="206">
        <f t="shared" si="35"/>
        <v>4154392.9285251731</v>
      </c>
      <c r="HN14" s="206">
        <f t="shared" si="35"/>
        <v>4154392.9285251731</v>
      </c>
      <c r="HO14" s="206">
        <f t="shared" si="35"/>
        <v>4154392.9285251731</v>
      </c>
      <c r="HP14" s="206">
        <f t="shared" si="35"/>
        <v>4154392.9285251731</v>
      </c>
      <c r="HQ14" s="206">
        <f t="shared" si="35"/>
        <v>4154392.9285251731</v>
      </c>
      <c r="HR14" s="206">
        <f t="shared" si="35"/>
        <v>4154392.9285251731</v>
      </c>
      <c r="HS14" s="206">
        <f t="shared" si="35"/>
        <v>4154392.9285251731</v>
      </c>
      <c r="HT14" s="206">
        <f t="shared" si="35"/>
        <v>4154392.9285251731</v>
      </c>
      <c r="HU14" s="206">
        <f t="shared" si="35"/>
        <v>4154392.9285251731</v>
      </c>
      <c r="HV14" s="206">
        <f t="shared" si="35"/>
        <v>4154392.9285251731</v>
      </c>
      <c r="HW14" s="206">
        <f t="shared" si="35"/>
        <v>4154392.9285251731</v>
      </c>
      <c r="HX14" s="206">
        <f t="shared" si="35"/>
        <v>4154392.9285251731</v>
      </c>
      <c r="HY14" s="206">
        <f t="shared" si="35"/>
        <v>4154392.9285251731</v>
      </c>
      <c r="HZ14" s="206">
        <f t="shared" si="35"/>
        <v>4154392.9285251731</v>
      </c>
      <c r="IA14" s="206">
        <f t="shared" si="35"/>
        <v>4154392.9285251731</v>
      </c>
      <c r="IB14" s="206">
        <f t="shared" si="35"/>
        <v>4154392.9285251731</v>
      </c>
      <c r="IC14" s="206">
        <f t="shared" si="35"/>
        <v>4154392.9285251731</v>
      </c>
      <c r="ID14" s="206">
        <f t="shared" si="35"/>
        <v>4154392.9285251731</v>
      </c>
      <c r="IE14" s="206">
        <f t="shared" si="35"/>
        <v>4154392.9285251731</v>
      </c>
      <c r="IF14" s="206">
        <f t="shared" si="35"/>
        <v>4154392.9285251731</v>
      </c>
      <c r="IG14" s="206">
        <f t="shared" si="35"/>
        <v>4154392.9285251731</v>
      </c>
      <c r="IH14" s="206">
        <f t="shared" si="35"/>
        <v>4154392.9285251731</v>
      </c>
      <c r="II14" s="206">
        <f t="shared" si="35"/>
        <v>4154392.9285251731</v>
      </c>
      <c r="IJ14" s="206">
        <f t="shared" si="35"/>
        <v>4154392.9285251731</v>
      </c>
      <c r="IK14" s="206">
        <f t="shared" si="35"/>
        <v>4154392.9285251731</v>
      </c>
      <c r="IL14" s="206">
        <f t="shared" si="35"/>
        <v>4154392.9285251731</v>
      </c>
      <c r="IM14" s="206">
        <f t="shared" si="35"/>
        <v>4154392.9285251731</v>
      </c>
      <c r="IN14" s="206">
        <f t="shared" si="35"/>
        <v>4154392.9285251731</v>
      </c>
      <c r="IO14" s="206">
        <f t="shared" si="35"/>
        <v>4154392.9285251731</v>
      </c>
      <c r="IP14" s="206">
        <f t="shared" si="35"/>
        <v>4154392.9285251731</v>
      </c>
      <c r="IQ14" s="206">
        <f t="shared" si="35"/>
        <v>4154392.9285251731</v>
      </c>
      <c r="IR14" s="206">
        <f t="shared" si="35"/>
        <v>4154392.9285251731</v>
      </c>
      <c r="IS14" s="206">
        <f t="shared" si="35"/>
        <v>4154392.9285251731</v>
      </c>
      <c r="IT14" s="206">
        <f t="shared" si="35"/>
        <v>4154392.9285251731</v>
      </c>
      <c r="IU14" s="206">
        <f t="shared" si="35"/>
        <v>4154392.9285251731</v>
      </c>
      <c r="IV14" s="206">
        <f t="shared" si="35"/>
        <v>4154392.9285251731</v>
      </c>
      <c r="IW14" s="206">
        <f t="shared" si="35"/>
        <v>4154392.9285251731</v>
      </c>
      <c r="IX14" s="206">
        <f t="shared" si="35"/>
        <v>4154392.9285251731</v>
      </c>
      <c r="IY14" s="206">
        <f t="shared" si="35"/>
        <v>4154392.9285251731</v>
      </c>
      <c r="IZ14" s="206">
        <f t="shared" si="35"/>
        <v>4154392.9285251731</v>
      </c>
      <c r="JA14" s="206">
        <f t="shared" si="35"/>
        <v>4154392.9285251731</v>
      </c>
      <c r="JB14" s="206">
        <f t="shared" si="35"/>
        <v>4154392.9285251731</v>
      </c>
      <c r="JC14" s="206">
        <f t="shared" si="35"/>
        <v>4154392.9285251731</v>
      </c>
      <c r="JD14" s="206">
        <f t="shared" si="35"/>
        <v>4154392.9285251731</v>
      </c>
      <c r="JE14" s="206">
        <f t="shared" ref="JE14:LD14" si="36">JE10-JE12</f>
        <v>4154392.9285251731</v>
      </c>
      <c r="JF14" s="206">
        <f t="shared" si="36"/>
        <v>4154392.9285251731</v>
      </c>
      <c r="JG14" s="206">
        <f t="shared" si="36"/>
        <v>4154392.9285251731</v>
      </c>
      <c r="JH14" s="206">
        <f t="shared" si="36"/>
        <v>4154392.9285251731</v>
      </c>
      <c r="JI14" s="206">
        <f t="shared" si="36"/>
        <v>4154392.9285251731</v>
      </c>
      <c r="JJ14" s="206">
        <f t="shared" si="36"/>
        <v>4154392.9285251731</v>
      </c>
      <c r="JK14" s="206">
        <f t="shared" si="36"/>
        <v>4154392.9285251731</v>
      </c>
      <c r="JL14" s="206">
        <f t="shared" si="36"/>
        <v>4154392.9285251731</v>
      </c>
      <c r="JM14" s="206">
        <f t="shared" si="36"/>
        <v>4154392.9285251731</v>
      </c>
      <c r="JN14" s="206">
        <f t="shared" si="36"/>
        <v>4154392.9285251731</v>
      </c>
      <c r="JO14" s="206">
        <f t="shared" si="36"/>
        <v>4154392.9285251731</v>
      </c>
      <c r="JP14" s="206">
        <f t="shared" si="36"/>
        <v>4154392.9285251731</v>
      </c>
      <c r="JQ14" s="206">
        <f t="shared" si="36"/>
        <v>4154392.9285251731</v>
      </c>
      <c r="JR14" s="206">
        <f t="shared" si="36"/>
        <v>4154392.9285251731</v>
      </c>
      <c r="JS14" s="206">
        <f t="shared" si="36"/>
        <v>4154392.9285251731</v>
      </c>
      <c r="JT14" s="206">
        <f t="shared" si="36"/>
        <v>4154392.9285251731</v>
      </c>
      <c r="JU14" s="206">
        <f t="shared" si="36"/>
        <v>4154392.9285251731</v>
      </c>
      <c r="JV14" s="206">
        <f t="shared" si="36"/>
        <v>4154392.9285251731</v>
      </c>
      <c r="JW14" s="206">
        <f t="shared" si="36"/>
        <v>4154392.9285251731</v>
      </c>
      <c r="JX14" s="206">
        <f t="shared" si="36"/>
        <v>4154392.9285251731</v>
      </c>
      <c r="JY14" s="206">
        <f t="shared" si="36"/>
        <v>4154392.9285251731</v>
      </c>
      <c r="JZ14" s="206">
        <f t="shared" si="36"/>
        <v>4154392.9285251731</v>
      </c>
      <c r="KA14" s="206">
        <f t="shared" si="36"/>
        <v>4154392.9285251731</v>
      </c>
      <c r="KB14" s="206">
        <f t="shared" si="36"/>
        <v>4154392.9285251731</v>
      </c>
      <c r="KC14" s="206">
        <f t="shared" si="36"/>
        <v>4154392.9285251731</v>
      </c>
      <c r="KD14" s="206">
        <f t="shared" si="36"/>
        <v>4154392.9285251731</v>
      </c>
      <c r="KE14" s="206">
        <f t="shared" si="36"/>
        <v>4154392.9285251731</v>
      </c>
      <c r="KF14" s="206">
        <f t="shared" si="36"/>
        <v>4154392.9285251731</v>
      </c>
      <c r="KG14" s="206">
        <f t="shared" si="36"/>
        <v>4154392.9285251731</v>
      </c>
      <c r="KH14" s="206">
        <f t="shared" si="36"/>
        <v>4154392.9285251731</v>
      </c>
      <c r="KI14" s="206">
        <f t="shared" si="36"/>
        <v>4154392.9285251731</v>
      </c>
      <c r="KJ14" s="206">
        <f t="shared" si="36"/>
        <v>4154392.9285251731</v>
      </c>
      <c r="KK14" s="206">
        <f t="shared" si="36"/>
        <v>4154392.9285251731</v>
      </c>
      <c r="KL14" s="206">
        <f t="shared" si="36"/>
        <v>4154392.9285251731</v>
      </c>
      <c r="KM14" s="206">
        <f t="shared" si="36"/>
        <v>4154392.9285251731</v>
      </c>
      <c r="KN14" s="206">
        <f t="shared" si="36"/>
        <v>4154392.9285251731</v>
      </c>
      <c r="KO14" s="206">
        <f t="shared" si="36"/>
        <v>4154392.9285251731</v>
      </c>
      <c r="KP14" s="206">
        <f t="shared" si="36"/>
        <v>4154392.9285251731</v>
      </c>
      <c r="KQ14" s="206">
        <f t="shared" si="36"/>
        <v>4154392.9285251731</v>
      </c>
      <c r="KR14" s="206">
        <f t="shared" si="36"/>
        <v>4154392.9285251731</v>
      </c>
      <c r="KS14" s="206">
        <f t="shared" si="36"/>
        <v>4154392.9285251731</v>
      </c>
      <c r="KT14" s="206">
        <f t="shared" si="36"/>
        <v>4154392.9285251731</v>
      </c>
      <c r="KU14" s="206">
        <f t="shared" si="36"/>
        <v>4154392.9285251731</v>
      </c>
      <c r="KV14" s="206">
        <f t="shared" si="36"/>
        <v>4154392.9285251731</v>
      </c>
      <c r="KW14" s="206">
        <f t="shared" si="36"/>
        <v>4154392.9285251731</v>
      </c>
      <c r="KX14" s="206">
        <f t="shared" si="36"/>
        <v>4154392.9285251731</v>
      </c>
      <c r="KY14" s="206">
        <f t="shared" si="36"/>
        <v>4154392.9285251731</v>
      </c>
      <c r="KZ14" s="206">
        <f t="shared" si="36"/>
        <v>4154392.9285251731</v>
      </c>
      <c r="LA14" s="206">
        <f t="shared" si="36"/>
        <v>4154392.9285251731</v>
      </c>
      <c r="LB14" s="206">
        <f t="shared" si="36"/>
        <v>4154392.9285251731</v>
      </c>
      <c r="LC14" s="206">
        <f t="shared" si="36"/>
        <v>4154392.9285251731</v>
      </c>
      <c r="LD14" s="206">
        <f t="shared" si="36"/>
        <v>4154392.9285251731</v>
      </c>
    </row>
    <row r="15" spans="1:794" s="190" customFormat="1"/>
    <row r="16" spans="1:794" s="190" customFormat="1">
      <c r="C16" s="192" t="s">
        <v>304</v>
      </c>
      <c r="D16" s="192" t="s">
        <v>304</v>
      </c>
    </row>
    <row r="17" spans="1:316">
      <c r="A17" s="849"/>
      <c r="B17" s="194" t="s">
        <v>598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9"/>
      <c r="B18" s="194" t="s">
        <v>599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26" sqref="L26"/>
    </sheetView>
  </sheetViews>
  <sheetFormatPr defaultColWidth="12.5703125" defaultRowHeight="14.25"/>
  <cols>
    <col min="1" max="1" width="39.42578125" style="365" bestFit="1" customWidth="1"/>
    <col min="2" max="2" width="17.28515625" style="366" bestFit="1" customWidth="1"/>
    <col min="3" max="5" width="14.7109375" style="365" bestFit="1" customWidth="1"/>
    <col min="6" max="7" width="13.28515625" style="365" bestFit="1" customWidth="1"/>
    <col min="8" max="8" width="12" style="365" bestFit="1" customWidth="1"/>
    <col min="9" max="9" width="13.28515625" style="365" bestFit="1" customWidth="1"/>
    <col min="10" max="10" width="4.7109375" style="365" bestFit="1" customWidth="1"/>
    <col min="11" max="11" width="12.28515625" style="365" bestFit="1" customWidth="1"/>
    <col min="12" max="12" width="10.7109375" style="365" bestFit="1" customWidth="1"/>
    <col min="13" max="14" width="16" style="365" bestFit="1" customWidth="1"/>
    <col min="15" max="15" width="15.570312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600</v>
      </c>
      <c r="B3" s="444" t="s">
        <v>601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604</v>
      </c>
      <c r="N4"/>
      <c r="O4"/>
      <c r="P4"/>
      <c r="Q4"/>
      <c r="R4"/>
      <c r="S4"/>
      <c r="T4"/>
    </row>
    <row r="5" spans="1:20">
      <c r="A5" s="445" t="s">
        <v>603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307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321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341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368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390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438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457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486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490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515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527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536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540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444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604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8515625" defaultRowHeight="14.25"/>
  <cols>
    <col min="1" max="1" width="21.7109375" bestFit="1" customWidth="1"/>
    <col min="2" max="2" width="17.28515625" style="405" bestFit="1" customWidth="1"/>
    <col min="3" max="5" width="14.7109375" style="405" bestFit="1" customWidth="1"/>
    <col min="6" max="8" width="13.28515625" style="405" bestFit="1" customWidth="1"/>
    <col min="9" max="9" width="13" style="405" bestFit="1" customWidth="1"/>
    <col min="10" max="10" width="11.7109375" bestFit="1" customWidth="1"/>
    <col min="11" max="11" width="12.28515625" bestFit="1" customWidth="1"/>
    <col min="12" max="12" width="13.28515625" bestFit="1" customWidth="1"/>
    <col min="13" max="14" width="14.7109375" bestFit="1" customWidth="1"/>
    <col min="15" max="15" width="13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3">
      <c r="A3" s="444" t="s">
        <v>605</v>
      </c>
      <c r="B3" s="444" t="s">
        <v>601</v>
      </c>
      <c r="C3"/>
      <c r="D3"/>
      <c r="E3"/>
      <c r="F3"/>
      <c r="G3"/>
      <c r="H3"/>
      <c r="I3"/>
    </row>
    <row r="4" spans="1:13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604</v>
      </c>
    </row>
    <row r="5" spans="1:13">
      <c r="A5" s="445" t="s">
        <v>603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307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321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341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368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390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438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457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486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490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515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527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536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540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524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444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604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25"/>
  <cols>
    <col min="4" max="4" width="9" customWidth="1"/>
  </cols>
  <sheetData>
    <row r="1" spans="1:4">
      <c r="A1" s="110" t="s">
        <v>606</v>
      </c>
    </row>
    <row r="2" spans="1:4">
      <c r="A2" s="851"/>
      <c r="B2" s="851"/>
      <c r="C2" s="851"/>
      <c r="D2" s="71"/>
    </row>
    <row r="3" spans="1:4">
      <c r="A3" s="850" t="s">
        <v>607</v>
      </c>
      <c r="B3" s="850"/>
      <c r="C3" s="850"/>
      <c r="D3" s="111">
        <v>0.32</v>
      </c>
    </row>
    <row r="4" spans="1:4">
      <c r="A4" s="850" t="s">
        <v>575</v>
      </c>
      <c r="B4" s="850"/>
      <c r="C4" s="850"/>
      <c r="D4" s="111">
        <v>0.5</v>
      </c>
    </row>
    <row r="5" spans="1:4">
      <c r="A5" s="850" t="s">
        <v>586</v>
      </c>
      <c r="B5" s="850"/>
      <c r="C5" s="850"/>
      <c r="D5" s="111">
        <v>0.15</v>
      </c>
    </row>
    <row r="6" spans="1:4">
      <c r="A6" s="850" t="s">
        <v>608</v>
      </c>
      <c r="B6" s="850"/>
      <c r="C6" s="85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28515625" style="88" customWidth="1"/>
    <col min="15" max="16384" width="9.42578125" style="88"/>
  </cols>
  <sheetData>
    <row r="2" spans="2:14" s="94" customFormat="1" ht="17.649999999999999">
      <c r="B2" s="852" t="s">
        <v>609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</row>
    <row r="4" spans="2:14" ht="13.15">
      <c r="B4" s="92" t="s">
        <v>610</v>
      </c>
      <c r="C4" s="86"/>
      <c r="D4" s="90" t="s">
        <v>611</v>
      </c>
      <c r="E4" s="95"/>
      <c r="F4" s="90" t="s">
        <v>612</v>
      </c>
      <c r="H4" s="90" t="s">
        <v>613</v>
      </c>
      <c r="I4" s="95"/>
      <c r="J4" s="90" t="s">
        <v>614</v>
      </c>
      <c r="L4" s="90" t="s">
        <v>613</v>
      </c>
      <c r="M4" s="90"/>
      <c r="N4" s="90" t="s">
        <v>615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616</v>
      </c>
      <c r="H7" s="99"/>
      <c r="I7" s="95"/>
      <c r="J7" s="107" t="s">
        <v>616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319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319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617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618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619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616</v>
      </c>
      <c r="H15" s="99"/>
      <c r="I15" s="95"/>
      <c r="J15" s="107" t="s">
        <v>616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620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620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616</v>
      </c>
      <c r="H21" s="99"/>
      <c r="I21" s="95"/>
      <c r="J21" s="107" t="s">
        <v>616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369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369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619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616</v>
      </c>
      <c r="H27" s="99"/>
      <c r="I27" s="95"/>
      <c r="J27" s="107" t="s">
        <v>616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621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616</v>
      </c>
      <c r="H34" s="99"/>
      <c r="I34" s="95"/>
      <c r="J34" s="107" t="s">
        <v>616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622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623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628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52" t="s">
        <v>630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</row>
    <row r="4" spans="2:15" ht="13.15">
      <c r="B4" s="92" t="s">
        <v>610</v>
      </c>
      <c r="C4" s="86"/>
      <c r="D4" s="90" t="s">
        <v>611</v>
      </c>
      <c r="E4" s="95"/>
      <c r="F4" s="95"/>
      <c r="G4" s="90" t="s">
        <v>631</v>
      </c>
      <c r="H4" s="96"/>
      <c r="J4" s="90" t="s">
        <v>613</v>
      </c>
      <c r="L4" s="90" t="s">
        <v>632</v>
      </c>
      <c r="M4" s="96"/>
      <c r="O4" s="90" t="s">
        <v>613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325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327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329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633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509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628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610</v>
      </c>
      <c r="C18" s="86"/>
      <c r="D18" s="90" t="s">
        <v>611</v>
      </c>
      <c r="E18" s="95"/>
      <c r="F18" s="95"/>
      <c r="G18" s="90" t="s">
        <v>634</v>
      </c>
      <c r="H18" s="96"/>
      <c r="J18" s="90" t="s">
        <v>613</v>
      </c>
      <c r="L18" s="90" t="s">
        <v>635</v>
      </c>
      <c r="M18" s="96"/>
      <c r="O18" s="90" t="s">
        <v>613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636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637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638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639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509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640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628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641</v>
      </c>
      <c r="C32" s="103"/>
      <c r="D32" s="103"/>
    </row>
    <row r="33" spans="2:4" ht="13.15" thickTop="1"/>
    <row r="34" spans="2:4">
      <c r="B34" s="88" t="s">
        <v>611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642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54" t="str">
        <f>D15</f>
        <v>Red Rocket</v>
      </c>
      <c r="C1" s="854"/>
      <c r="D1" s="854"/>
      <c r="E1" s="853" t="s">
        <v>643</v>
      </c>
      <c r="F1" s="853"/>
      <c r="G1" s="853"/>
      <c r="H1" s="853"/>
      <c r="I1" s="853"/>
      <c r="J1" s="853"/>
      <c r="K1" s="77"/>
      <c r="L1" s="77"/>
      <c r="M1" s="77"/>
      <c r="N1" s="77"/>
    </row>
    <row r="2" spans="2:14" ht="6.75" customHeight="1"/>
    <row r="3" spans="2:14">
      <c r="B3" s="72" t="s">
        <v>644</v>
      </c>
      <c r="C3" s="72" t="s">
        <v>645</v>
      </c>
      <c r="D3" s="72" t="s">
        <v>646</v>
      </c>
      <c r="E3" s="78" t="s">
        <v>647</v>
      </c>
      <c r="F3" s="78" t="s">
        <v>648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650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651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652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653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8648F49D-773B-4A56-905E-3DDD6F51812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