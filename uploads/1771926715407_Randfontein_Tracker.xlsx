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9" documentId="13_ncr:1_{3B35231D-DA94-4AE5-8A0D-043E43CA6186}" xr6:coauthVersionLast="47" xr6:coauthVersionMax="47" xr10:uidLastSave="{0566835F-9993-4401-96CE-191D7515122C}"/>
  <bookViews>
    <workbookView xWindow="-108" yWindow="-108" windowWidth="23256" windowHeight="12456" tabRatio="581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48" i="2"/>
  <c r="K52" i="2"/>
  <c r="H18" i="5"/>
  <c r="F13" i="5"/>
  <c r="H66" i="18"/>
  <c r="D6" i="5"/>
  <c r="J4" i="18"/>
  <c r="H38" i="18"/>
  <c r="N36" i="2"/>
  <c r="N35" i="2"/>
  <c r="K35" i="2"/>
  <c r="J35" i="2"/>
  <c r="E31" i="2"/>
  <c r="G11" i="2"/>
  <c r="F11" i="2"/>
  <c r="K5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M9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W99" i="18"/>
  <c r="I50" i="2"/>
  <c r="W100" i="18"/>
  <c r="I53" i="2"/>
  <c r="K53" i="2"/>
  <c r="W101" i="18"/>
  <c r="N11" i="2"/>
  <c r="CG5" i="6"/>
  <c r="EH5" i="6"/>
  <c r="FI5" i="6"/>
  <c r="D7" i="5"/>
  <c r="G6" i="5"/>
  <c r="BS5" i="6"/>
  <c r="BU5" i="6"/>
  <c r="N28" i="2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N21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W122" i="18"/>
  <c r="W68" i="18"/>
  <c r="W40" i="18"/>
  <c r="T101" i="18"/>
  <c r="T100" i="18"/>
  <c r="W39" i="18"/>
  <c r="W121" i="18"/>
  <c r="W67" i="18"/>
  <c r="K50" i="2"/>
  <c r="W120" i="18"/>
  <c r="W66" i="18"/>
  <c r="W38" i="18"/>
  <c r="T99" i="18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N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I46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C9" i="6"/>
  <c r="JV9" i="6"/>
  <c r="EE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U9" i="6"/>
  <c r="KZ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HJ9" i="6"/>
  <c r="F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GE9" i="6"/>
  <c r="AY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JB9" i="6"/>
  <c r="GS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EC9" i="6"/>
  <c r="FU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KC9" i="6"/>
  <c r="FH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KL9" i="6"/>
  <c r="IJ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KN9" i="6"/>
  <c r="AR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LD9" i="6"/>
  <c r="FW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FF9" i="6"/>
  <c r="FP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KS9" i="6"/>
  <c r="HX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HB9" i="6"/>
  <c r="CV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HF9" i="6"/>
  <c r="DH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N9" i="6"/>
  <c r="CQ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EO9" i="6"/>
  <c r="GP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EN9" i="6"/>
  <c r="BL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I9" i="6"/>
  <c r="EY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HY9" i="6"/>
  <c r="JS9" i="6"/>
  <c r="AT9" i="6"/>
  <c r="JJ9" i="6"/>
  <c r="GM9" i="6"/>
  <c r="CD9" i="6"/>
  <c r="FS9" i="6"/>
  <c r="EW9" i="6"/>
  <c r="FA9" i="6"/>
  <c r="GN9" i="6"/>
  <c r="T98" i="18"/>
  <c r="W65" i="18"/>
  <c r="W119" i="18"/>
  <c r="W37" i="18"/>
  <c r="GW11" i="6"/>
  <c r="R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KH11" i="6"/>
  <c r="GX11" i="6"/>
  <c r="AW11" i="6"/>
  <c r="GI11" i="6"/>
  <c r="AY11" i="6"/>
  <c r="FO11" i="6"/>
  <c r="HF11" i="6"/>
  <c r="IL11" i="6"/>
  <c r="HX11" i="6"/>
  <c r="V11" i="6"/>
  <c r="EA11" i="6"/>
  <c r="LB11" i="6"/>
  <c r="EK11" i="6"/>
  <c r="AL11" i="6"/>
  <c r="EF11" i="6"/>
  <c r="HT11" i="6"/>
  <c r="AR11" i="6"/>
  <c r="HN11" i="6"/>
  <c r="AX11" i="6"/>
  <c r="JT11" i="6"/>
  <c r="AD11" i="6"/>
  <c r="IE11" i="6"/>
  <c r="EB11" i="6"/>
  <c r="FP11" i="6"/>
  <c r="H11" i="6"/>
  <c r="AH11" i="6"/>
  <c r="IN11" i="6"/>
  <c r="DV11" i="6"/>
  <c r="IW11" i="6"/>
  <c r="EW11" i="6"/>
  <c r="IS11" i="6"/>
  <c r="HJ11" i="6"/>
  <c r="I11" i="6"/>
  <c r="JZ11" i="6"/>
  <c r="HD11" i="6"/>
  <c r="AP11" i="6"/>
  <c r="JJ11" i="6"/>
  <c r="JR11" i="6"/>
  <c r="KJ11" i="6"/>
  <c r="DW11" i="6"/>
  <c r="GC11" i="6"/>
  <c r="KW11" i="6"/>
  <c r="KY11" i="6"/>
  <c r="KX11" i="6"/>
  <c r="CR11" i="6"/>
  <c r="P11" i="6"/>
  <c r="FD11" i="6"/>
  <c r="AE11" i="6"/>
  <c r="W11" i="6"/>
  <c r="CX11" i="6"/>
  <c r="KL11" i="6"/>
  <c r="K11" i="6"/>
  <c r="DU11" i="6"/>
  <c r="CT11" i="6"/>
  <c r="JC11" i="6"/>
  <c r="HC11" i="6"/>
  <c r="GN11" i="6"/>
  <c r="HK11" i="6"/>
  <c r="F11" i="6"/>
  <c r="HB11" i="6"/>
  <c r="FC11" i="6"/>
  <c r="BO11" i="6"/>
  <c r="DR11" i="6"/>
  <c r="AN11" i="6"/>
  <c r="KF11" i="6"/>
  <c r="CH11" i="6"/>
  <c r="IZ11" i="6"/>
  <c r="KP11" i="6"/>
  <c r="BA11" i="6"/>
  <c r="T11" i="6"/>
  <c r="IJ11" i="6"/>
  <c r="Y11" i="6"/>
  <c r="GL11" i="6"/>
  <c r="BU11" i="6"/>
  <c r="KC11" i="6"/>
  <c r="GK11" i="6"/>
  <c r="FU11" i="6"/>
  <c r="CS11" i="6"/>
  <c r="IU11" i="6"/>
  <c r="GS11" i="6"/>
  <c r="AQ11" i="6"/>
  <c r="FE11" i="6"/>
  <c r="DH11" i="6"/>
  <c r="CN11" i="6"/>
  <c r="AC11" i="6"/>
  <c r="DD11" i="6"/>
  <c r="HS11" i="6"/>
  <c r="AA11" i="6"/>
  <c r="CL11" i="6"/>
  <c r="ID11" i="6"/>
  <c r="IP11" i="6"/>
  <c r="AJ11" i="6"/>
  <c r="CC11" i="6"/>
  <c r="M11" i="6"/>
  <c r="KA11" i="6"/>
  <c r="FJ11" i="6"/>
  <c r="GZ11" i="6"/>
  <c r="FA11" i="6"/>
  <c r="DL11" i="6"/>
  <c r="FY11" i="6"/>
  <c r="FZ11" i="6"/>
  <c r="AO11" i="6"/>
  <c r="GQ11" i="6"/>
  <c r="IK11" i="6"/>
  <c r="HG11" i="6"/>
  <c r="BH11" i="6"/>
  <c r="FQ11" i="6"/>
  <c r="BE11" i="6"/>
  <c r="JA11" i="6"/>
  <c r="EH11" i="6"/>
  <c r="DF11" i="6"/>
  <c r="KT11" i="6"/>
  <c r="HQ11" i="6"/>
  <c r="FW11" i="6"/>
  <c r="CA11" i="6"/>
  <c r="EN11" i="6"/>
  <c r="ET11" i="6"/>
  <c r="EP11" i="6"/>
  <c r="CF11" i="6"/>
  <c r="EL11" i="6"/>
  <c r="KO11" i="6"/>
  <c r="HY11" i="6"/>
  <c r="DP11" i="6"/>
  <c r="AK11" i="6"/>
  <c r="AI11" i="6"/>
  <c r="EC11" i="6"/>
  <c r="HM11" i="6"/>
  <c r="IH11" i="6"/>
  <c r="AT11" i="6"/>
  <c r="CD11" i="6"/>
  <c r="KQ11" i="6"/>
  <c r="JQ11" i="6"/>
  <c r="IG11" i="6"/>
  <c r="IQ11" i="6"/>
  <c r="EX11" i="6"/>
  <c r="IR11" i="6"/>
  <c r="FM11" i="6"/>
  <c r="L11" i="6"/>
  <c r="IA11" i="6"/>
  <c r="IX11" i="6"/>
  <c r="CE11" i="6"/>
  <c r="JU11" i="6"/>
  <c r="BC11" i="6"/>
  <c r="EJ11" i="6"/>
  <c r="CP11" i="6"/>
  <c r="DJ11" i="6"/>
  <c r="Q11" i="6"/>
  <c r="JE11" i="6"/>
  <c r="BR11" i="6"/>
  <c r="GE11" i="6"/>
  <c r="GB11" i="6"/>
  <c r="HR11" i="6"/>
  <c r="EU11" i="6"/>
  <c r="DA11" i="6"/>
  <c r="JO11" i="6"/>
  <c r="FS11" i="6"/>
  <c r="DN11" i="6"/>
  <c r="KD11" i="6"/>
  <c r="IV11" i="6"/>
  <c r="KI11" i="6"/>
  <c r="ED11" i="6"/>
  <c r="DS11" i="6"/>
  <c r="FN11" i="6"/>
  <c r="BS11" i="6"/>
  <c r="AG11" i="6"/>
  <c r="BQ11" i="6"/>
  <c r="GD11" i="6"/>
  <c r="IM11" i="6"/>
  <c r="FF11" i="6"/>
  <c r="CI11" i="6"/>
  <c r="HU11" i="6"/>
  <c r="HW11" i="6"/>
  <c r="O11" i="6"/>
  <c r="HI11" i="6"/>
  <c r="GP11" i="6"/>
  <c r="JF11" i="6"/>
  <c r="EG11" i="6"/>
  <c r="LD11" i="6"/>
  <c r="J11" i="6"/>
  <c r="DB11" i="6"/>
  <c r="BT11" i="6"/>
  <c r="IB11" i="6"/>
  <c r="HP11" i="6"/>
  <c r="GJ11" i="6"/>
  <c r="CU11" i="6"/>
  <c r="DQ11" i="6"/>
  <c r="FI11" i="6"/>
  <c r="ES11" i="6"/>
  <c r="EV11" i="6"/>
  <c r="EY11" i="6"/>
  <c r="JI11" i="6"/>
  <c r="AV11" i="6"/>
  <c r="EZ11" i="6"/>
  <c r="GR11" i="6"/>
  <c r="JB11" i="6"/>
  <c r="GM11" i="6"/>
  <c r="BN11" i="6"/>
  <c r="EM11" i="6"/>
  <c r="BY11" i="6"/>
  <c r="FR11" i="6"/>
  <c r="BV11" i="6"/>
  <c r="BB11" i="6"/>
  <c r="FG11" i="6"/>
  <c r="JL11" i="6"/>
  <c r="EE11" i="6"/>
  <c r="CO11" i="6"/>
  <c r="KB11" i="6"/>
  <c r="FK11" i="6"/>
  <c r="JK11" i="6"/>
  <c r="FT11" i="6"/>
  <c r="GF11" i="6"/>
  <c r="HH11" i="6"/>
  <c r="DG11" i="6"/>
  <c r="BF11" i="6"/>
  <c r="GG11" i="6"/>
  <c r="HV11" i="6"/>
  <c r="CY11" i="6"/>
  <c r="FV11" i="6"/>
  <c r="CW11" i="6"/>
  <c r="JY11" i="6"/>
  <c r="JP11" i="6"/>
  <c r="AM11" i="6"/>
  <c r="HL11" i="6"/>
  <c r="FX11" i="6"/>
  <c r="DK11" i="6"/>
  <c r="JW11" i="6"/>
  <c r="AU11" i="6"/>
  <c r="KK11" i="6"/>
  <c r="KG11" i="6"/>
  <c r="BG11" i="6"/>
  <c r="KZ11" i="6"/>
  <c r="DZ11" i="6"/>
  <c r="DX11" i="6"/>
  <c r="AS11" i="6"/>
  <c r="IF11" i="6"/>
  <c r="HZ11" i="6"/>
  <c r="JN11" i="6"/>
  <c r="CJ11" i="6"/>
  <c r="BJ11" i="6"/>
  <c r="HO11" i="6"/>
  <c r="BZ11" i="6"/>
  <c r="GU11" i="6"/>
  <c r="Z11" i="6"/>
  <c r="S11" i="6"/>
  <c r="DE11" i="6"/>
  <c r="KV11" i="6"/>
  <c r="JG11" i="6"/>
  <c r="KE11" i="6"/>
  <c r="KR11" i="6"/>
  <c r="EI11" i="6"/>
  <c r="AF11" i="6"/>
  <c r="KU11" i="6"/>
  <c r="FH11" i="6"/>
  <c r="KN11" i="6"/>
  <c r="GA11" i="6"/>
  <c r="CK11" i="6"/>
  <c r="BK11" i="6"/>
  <c r="II11" i="6"/>
  <c r="GT11" i="6"/>
  <c r="DC11" i="6"/>
  <c r="EO11" i="6"/>
  <c r="IC11" i="6"/>
  <c r="BW11" i="6"/>
  <c r="GO11" i="6"/>
  <c r="EQ11" i="6"/>
  <c r="JD11" i="6"/>
  <c r="DY11" i="6"/>
  <c r="BL11" i="6"/>
  <c r="N11" i="6"/>
  <c r="IT11" i="6"/>
  <c r="U11" i="6"/>
  <c r="CM11" i="6"/>
  <c r="DT11" i="6"/>
  <c r="GH11" i="6"/>
  <c r="X11" i="6"/>
  <c r="BD11" i="6"/>
  <c r="BI11" i="6"/>
  <c r="IO11" i="6"/>
  <c r="JH11" i="6"/>
  <c r="JS11" i="6"/>
  <c r="JX11" i="6"/>
  <c r="CZ11" i="6"/>
  <c r="HA11" i="6"/>
  <c r="CQ11" i="6"/>
  <c r="HE11" i="6"/>
  <c r="BX11" i="6"/>
  <c r="FL11" i="6"/>
  <c r="AB11" i="6"/>
  <c r="GV11" i="6"/>
  <c r="KM11" i="6"/>
  <c r="DI11" i="6"/>
  <c r="FB11" i="6"/>
  <c r="CG11" i="6"/>
  <c r="ER11" i="6"/>
  <c r="G11" i="6"/>
  <c r="GA17" i="6"/>
  <c r="GW17" i="6"/>
  <c r="GF17" i="6"/>
  <c r="GM17" i="6"/>
  <c r="CI17" i="6"/>
  <c r="II17" i="6"/>
  <c r="JF17" i="6"/>
  <c r="P4" i="5"/>
  <c r="BK17" i="6"/>
  <c r="CE17" i="6"/>
  <c r="JU17" i="6"/>
  <c r="O17" i="6"/>
  <c r="DX17" i="6"/>
  <c r="AK17" i="6"/>
  <c r="LB17" i="6"/>
  <c r="CH17" i="6"/>
  <c r="FA17" i="6"/>
  <c r="CN17" i="6"/>
  <c r="KG17" i="6"/>
  <c r="AQ17" i="6"/>
  <c r="IX17" i="6"/>
  <c r="ID17" i="6"/>
  <c r="GR17" i="6"/>
  <c r="P17" i="6"/>
  <c r="FQ17" i="6"/>
  <c r="AC17" i="6"/>
  <c r="BB17" i="6"/>
  <c r="BL17" i="6"/>
  <c r="CW17" i="6"/>
  <c r="EH17" i="6"/>
  <c r="JD17" i="6"/>
  <c r="GV17" i="6"/>
  <c r="KU17" i="6"/>
  <c r="CC17" i="6"/>
  <c r="ET17" i="6"/>
  <c r="FH17" i="6"/>
  <c r="AT17" i="6"/>
  <c r="FS17" i="6"/>
  <c r="HP17" i="6"/>
  <c r="AS17" i="6"/>
  <c r="IA17" i="6"/>
  <c r="AX17" i="6"/>
  <c r="DN17" i="6"/>
  <c r="JQ17" i="6"/>
  <c r="KA17" i="6"/>
  <c r="FI17" i="6"/>
  <c r="EE17" i="6"/>
  <c r="AR17" i="6"/>
  <c r="EP17" i="6"/>
  <c r="BE17" i="6"/>
  <c r="FJ17" i="6"/>
  <c r="GC17" i="6"/>
  <c r="EO17" i="6"/>
  <c r="CB17" i="6"/>
  <c r="Q17" i="6"/>
  <c r="BS17" i="6"/>
  <c r="CM17" i="6"/>
  <c r="BZ17" i="6"/>
  <c r="KR17" i="6"/>
  <c r="KZ17" i="6"/>
  <c r="FR17" i="6"/>
  <c r="KH17" i="6"/>
  <c r="BT17" i="6"/>
  <c r="BU17" i="6"/>
  <c r="S17" i="6"/>
  <c r="IV17" i="6"/>
  <c r="GH17" i="6"/>
  <c r="CD17" i="6"/>
  <c r="EY17" i="6"/>
  <c r="KD17" i="6"/>
  <c r="BH17" i="6"/>
  <c r="AI17" i="6"/>
  <c r="Q4" i="5"/>
  <c r="KF17" i="6"/>
  <c r="DM17" i="6"/>
  <c r="JH17" i="6"/>
  <c r="JL17" i="6"/>
  <c r="JY17" i="6"/>
  <c r="JN17" i="6"/>
  <c r="GG17" i="6"/>
  <c r="KB17" i="6"/>
  <c r="BI17" i="6"/>
  <c r="BY17" i="6"/>
  <c r="CA17" i="6"/>
  <c r="H17" i="6"/>
  <c r="AD17" i="6"/>
  <c r="DJ17" i="6"/>
  <c r="BD17" i="6"/>
  <c r="R17" i="6"/>
  <c r="AZ17" i="6"/>
  <c r="IZ17" i="6"/>
  <c r="EW17" i="6"/>
  <c r="KS17" i="6"/>
  <c r="FE17" i="6"/>
  <c r="JE17" i="6"/>
  <c r="KQ17" i="6"/>
  <c r="K17" i="6"/>
  <c r="F17" i="6"/>
  <c r="KN17" i="6"/>
  <c r="HE17" i="6"/>
  <c r="DW17" i="6"/>
  <c r="AN17" i="6"/>
  <c r="FZ17" i="6"/>
  <c r="KM17" i="6"/>
  <c r="AJ17" i="6"/>
  <c r="X17" i="6"/>
  <c r="FG17" i="6"/>
  <c r="IM17" i="6"/>
  <c r="IT17" i="6"/>
  <c r="IC17" i="6"/>
  <c r="EZ17" i="6"/>
  <c r="HZ17" i="6"/>
  <c r="CV17" i="6"/>
  <c r="AA17" i="6"/>
  <c r="CR17" i="6"/>
  <c r="BM17" i="6"/>
  <c r="CG17" i="6"/>
  <c r="BQ17" i="6"/>
  <c r="AP17" i="6"/>
  <c r="BP17" i="6"/>
  <c r="HL17" i="6"/>
  <c r="BO17" i="6"/>
  <c r="GJ17" i="6"/>
  <c r="IG17" i="6"/>
  <c r="HD17" i="6"/>
  <c r="M17" i="6"/>
  <c r="DU17" i="6"/>
  <c r="T17" i="6"/>
  <c r="BF17" i="6"/>
  <c r="EB17" i="6"/>
  <c r="AL17" i="6"/>
  <c r="EA17" i="6"/>
  <c r="EK17" i="6"/>
  <c r="KY17" i="6"/>
  <c r="G17" i="6"/>
  <c r="FL17" i="6"/>
  <c r="FU17" i="6"/>
  <c r="HG17" i="6"/>
  <c r="CY17" i="6"/>
  <c r="GZ17" i="6"/>
  <c r="EM17" i="6"/>
  <c r="DG17" i="6"/>
  <c r="CT17" i="6"/>
  <c r="KP17" i="6"/>
  <c r="DS17" i="6"/>
  <c r="FB17" i="6"/>
  <c r="EX17" i="6"/>
  <c r="EI17" i="6"/>
  <c r="HO17" i="6"/>
  <c r="JK17" i="6"/>
  <c r="IO17" i="6"/>
  <c r="DB17" i="6"/>
  <c r="JP17" i="6"/>
  <c r="JX17" i="6"/>
  <c r="IP17" i="6"/>
  <c r="KI17" i="6"/>
  <c r="HA17" i="6"/>
  <c r="ED17" i="6"/>
  <c r="AG17" i="6"/>
  <c r="CU17" i="6"/>
  <c r="DA17" i="6"/>
  <c r="CJ17" i="6"/>
  <c r="AO17" i="6"/>
  <c r="GU17" i="6"/>
  <c r="T4" i="5"/>
  <c r="BC17" i="6"/>
  <c r="JO17" i="6"/>
  <c r="CP17" i="6"/>
  <c r="ES17" i="6"/>
  <c r="AU17" i="6"/>
  <c r="IS17" i="6"/>
  <c r="CK17" i="6"/>
  <c r="DE17" i="6"/>
  <c r="DR17" i="6"/>
  <c r="DH17" i="6"/>
  <c r="JB17" i="6"/>
  <c r="CZ17" i="6"/>
  <c r="S4" i="5"/>
  <c r="DT17" i="6"/>
  <c r="IB17" i="6"/>
  <c r="EN17" i="6"/>
  <c r="FF17" i="6"/>
  <c r="BN17" i="6"/>
  <c r="HC17" i="6"/>
  <c r="BJ17" i="6"/>
  <c r="U4" i="5"/>
  <c r="FP17" i="6"/>
  <c r="IK17" i="6"/>
  <c r="IW17" i="6"/>
  <c r="HF17" i="6"/>
  <c r="DL17" i="6"/>
  <c r="DZ17" i="6"/>
  <c r="EU17" i="6"/>
  <c r="FY17" i="6"/>
  <c r="JS17" i="6"/>
  <c r="BR17" i="6"/>
  <c r="R4" i="5"/>
  <c r="KT17" i="6"/>
  <c r="BX17" i="6"/>
  <c r="KK17" i="6"/>
  <c r="GK17" i="6"/>
  <c r="JG17" i="6"/>
  <c r="GB17" i="6"/>
  <c r="FN17" i="6"/>
  <c r="EJ17" i="6"/>
  <c r="IQ17" i="6"/>
  <c r="DY17" i="6"/>
  <c r="HN17" i="6"/>
  <c r="Z17" i="6"/>
  <c r="KJ17" i="6"/>
  <c r="CS17" i="6"/>
  <c r="JZ17" i="6"/>
  <c r="Y17" i="6"/>
  <c r="JJ17" i="6"/>
  <c r="GL17" i="6"/>
  <c r="I17" i="6"/>
  <c r="KL17" i="6"/>
  <c r="GN17" i="6"/>
  <c r="JT17" i="6"/>
  <c r="W17" i="6"/>
  <c r="HR17" i="6"/>
  <c r="IE17" i="6"/>
  <c r="JM17" i="6"/>
  <c r="JV17" i="6"/>
  <c r="AM17" i="6"/>
  <c r="AB17" i="6"/>
  <c r="BV17" i="6"/>
  <c r="AY17" i="6"/>
  <c r="GD17" i="6"/>
  <c r="DD17" i="6"/>
  <c r="FV17" i="6"/>
  <c r="DC17" i="6"/>
  <c r="DP17" i="6"/>
  <c r="KC17" i="6"/>
  <c r="JR17" i="6"/>
  <c r="FT17" i="6"/>
  <c r="IF17" i="6"/>
  <c r="AE17" i="6"/>
  <c r="HM17" i="6"/>
  <c r="HB17" i="6"/>
  <c r="AH17" i="6"/>
  <c r="IJ17" i="6"/>
  <c r="CF17" i="6"/>
  <c r="AF17" i="6"/>
  <c r="IU17" i="6"/>
  <c r="DQ17" i="6"/>
  <c r="IY17" i="6"/>
  <c r="HY17" i="6"/>
  <c r="KO17" i="6"/>
  <c r="EC17" i="6"/>
  <c r="CL17" i="6"/>
  <c r="HV17" i="6"/>
  <c r="IH17" i="6"/>
  <c r="HT17" i="6"/>
  <c r="BW17" i="6"/>
  <c r="FD17" i="6"/>
  <c r="EV17" i="6"/>
  <c r="HS17" i="6"/>
  <c r="EF17" i="6"/>
  <c r="CO17" i="6"/>
  <c r="U17" i="6"/>
  <c r="DK17" i="6"/>
  <c r="EG17" i="6"/>
  <c r="GS17" i="6"/>
  <c r="JW17" i="6"/>
  <c r="V17" i="6"/>
  <c r="FW17" i="6"/>
  <c r="DI17" i="6"/>
  <c r="KW17" i="6"/>
  <c r="CX17" i="6"/>
  <c r="GO17" i="6"/>
  <c r="HU17" i="6"/>
  <c r="HJ17" i="6"/>
  <c r="N17" i="6"/>
  <c r="AW17" i="6"/>
  <c r="FO17" i="6"/>
  <c r="HI17" i="6"/>
  <c r="JA17" i="6"/>
  <c r="KV17" i="6"/>
  <c r="LC17" i="6"/>
  <c r="GT17" i="6"/>
  <c r="EQ17" i="6"/>
  <c r="HW17" i="6"/>
  <c r="GE17" i="6"/>
  <c r="EL17" i="6"/>
  <c r="HX17" i="6"/>
  <c r="GQ17" i="6"/>
  <c r="DO17" i="6"/>
  <c r="GX17" i="6"/>
  <c r="IN17" i="6"/>
  <c r="HK17" i="6"/>
  <c r="DV17" i="6"/>
  <c r="FM17" i="6"/>
  <c r="JC17" i="6"/>
  <c r="LA17" i="6"/>
  <c r="KX17" i="6"/>
  <c r="KE17" i="6"/>
  <c r="HQ17" i="6"/>
  <c r="BG17" i="6"/>
  <c r="J17" i="6"/>
  <c r="GI17" i="6"/>
  <c r="CQ17" i="6"/>
  <c r="LD17" i="6"/>
  <c r="AV17" i="6"/>
  <c r="FX17" i="6"/>
  <c r="FK17" i="6"/>
  <c r="GY17" i="6"/>
  <c r="IL17" i="6"/>
  <c r="IR17" i="6"/>
  <c r="L17" i="6"/>
  <c r="ER17" i="6"/>
  <c r="FC17" i="6"/>
  <c r="HH17" i="6"/>
  <c r="JI17" i="6"/>
  <c r="BA17" i="6"/>
  <c r="DF17" i="6"/>
  <c r="GP17" i="6"/>
  <c r="F10" i="6"/>
  <c r="D9" i="6"/>
  <c r="N46" i="2"/>
  <c r="N9" i="2"/>
  <c r="K46" i="2"/>
  <c r="J46" i="2"/>
  <c r="G33" i="2"/>
  <c r="G28" i="2"/>
  <c r="E28" i="2"/>
  <c r="F12" i="6"/>
  <c r="G12" i="6"/>
  <c r="H12" i="6"/>
  <c r="I12" i="6"/>
  <c r="J12" i="6"/>
  <c r="D11" i="6"/>
  <c r="F18" i="6"/>
  <c r="D17" i="6"/>
  <c r="C17" i="6"/>
  <c r="G10" i="6"/>
  <c r="F14" i="6"/>
  <c r="F28" i="2"/>
  <c r="E40" i="2"/>
  <c r="K12" i="6"/>
  <c r="G40" i="2"/>
  <c r="H10" i="6"/>
  <c r="G14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12" i="6"/>
  <c r="D18" i="6"/>
  <c r="C18" i="6"/>
  <c r="I10" i="6"/>
  <c r="H14" i="6"/>
  <c r="E41" i="2"/>
  <c r="M12" i="6"/>
  <c r="G41" i="2"/>
  <c r="E39" i="2"/>
  <c r="J10" i="6"/>
  <c r="I14" i="6"/>
  <c r="N12" i="6"/>
  <c r="K10" i="6"/>
  <c r="J14" i="6"/>
  <c r="E44" i="2"/>
  <c r="F9" i="2"/>
  <c r="G39" i="2"/>
  <c r="O12" i="6"/>
  <c r="H16" i="5"/>
  <c r="F39" i="2"/>
  <c r="E43" i="2"/>
  <c r="G44" i="2"/>
  <c r="L10" i="6"/>
  <c r="K14" i="6"/>
  <c r="P12" i="6"/>
  <c r="G43" i="2"/>
  <c r="F43" i="2"/>
  <c r="E48" i="2"/>
  <c r="E47" i="2"/>
  <c r="M10" i="6"/>
  <c r="L14" i="6"/>
  <c r="Q12" i="6"/>
  <c r="N10" i="6"/>
  <c r="M14" i="6"/>
  <c r="G47" i="2"/>
  <c r="E51" i="2"/>
  <c r="G48" i="2"/>
  <c r="R12" i="6"/>
  <c r="G51" i="2"/>
  <c r="E52" i="2"/>
  <c r="G52" i="2"/>
  <c r="H17" i="5"/>
  <c r="E50" i="2"/>
  <c r="E53" i="2"/>
  <c r="G53" i="2"/>
  <c r="O10" i="6"/>
  <c r="N14" i="6"/>
  <c r="S12" i="6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P10" i="6"/>
  <c r="O14" i="6"/>
  <c r="T12" i="6"/>
  <c r="Q10" i="6"/>
  <c r="P14" i="6"/>
  <c r="F4" i="6"/>
  <c r="D3" i="6"/>
  <c r="U12" i="6"/>
  <c r="G4" i="6"/>
  <c r="F7" i="6"/>
  <c r="R10" i="6"/>
  <c r="Q14" i="6"/>
  <c r="V12" i="6"/>
  <c r="S10" i="6"/>
  <c r="R14" i="6"/>
  <c r="G7" i="6"/>
  <c r="H4" i="6"/>
  <c r="W12" i="6"/>
  <c r="I4" i="6"/>
  <c r="H7" i="6"/>
  <c r="T10" i="6"/>
  <c r="S14" i="6"/>
  <c r="X12" i="6"/>
  <c r="U10" i="6"/>
  <c r="T14" i="6"/>
  <c r="I7" i="6"/>
  <c r="J4" i="6"/>
  <c r="Y12" i="6"/>
  <c r="J7" i="6"/>
  <c r="K4" i="6"/>
  <c r="V10" i="6"/>
  <c r="U14" i="6"/>
  <c r="Z12" i="6"/>
  <c r="W10" i="6"/>
  <c r="V14" i="6"/>
  <c r="L4" i="6"/>
  <c r="K7" i="6"/>
  <c r="AA12" i="6"/>
  <c r="L7" i="6"/>
  <c r="M4" i="6"/>
  <c r="X10" i="6"/>
  <c r="W14" i="6"/>
  <c r="AB12" i="6"/>
  <c r="Y10" i="6"/>
  <c r="X14" i="6"/>
  <c r="N4" i="6"/>
  <c r="M7" i="6"/>
  <c r="AC12" i="6"/>
  <c r="N7" i="6"/>
  <c r="O4" i="6"/>
  <c r="Z10" i="6"/>
  <c r="Y14" i="6"/>
  <c r="AD12" i="6"/>
  <c r="AA10" i="6"/>
  <c r="Z14" i="6"/>
  <c r="O7" i="6"/>
  <c r="P4" i="6"/>
  <c r="AE12" i="6"/>
  <c r="P7" i="6"/>
  <c r="Q4" i="6"/>
  <c r="AB10" i="6"/>
  <c r="AA14" i="6"/>
  <c r="AF12" i="6"/>
  <c r="AC10" i="6"/>
  <c r="AB14" i="6"/>
  <c r="Q7" i="6"/>
  <c r="R4" i="6"/>
  <c r="AG12" i="6"/>
  <c r="S4" i="6"/>
  <c r="R7" i="6"/>
  <c r="AD10" i="6"/>
  <c r="AC14" i="6"/>
  <c r="AH12" i="6"/>
  <c r="AE10" i="6"/>
  <c r="AD14" i="6"/>
  <c r="T4" i="6"/>
  <c r="S7" i="6"/>
  <c r="AI12" i="6"/>
  <c r="T7" i="6"/>
  <c r="U4" i="6"/>
  <c r="AF10" i="6"/>
  <c r="AE14" i="6"/>
  <c r="AJ12" i="6"/>
  <c r="AG10" i="6"/>
  <c r="AF14" i="6"/>
  <c r="V4" i="6"/>
  <c r="U7" i="6"/>
  <c r="AK12" i="6"/>
  <c r="V7" i="6"/>
  <c r="W4" i="6"/>
  <c r="AH10" i="6"/>
  <c r="AG14" i="6"/>
  <c r="AL12" i="6"/>
  <c r="AI10" i="6"/>
  <c r="AH14" i="6"/>
  <c r="X4" i="6"/>
  <c r="W7" i="6"/>
  <c r="AM12" i="6"/>
  <c r="Y4" i="6"/>
  <c r="X7" i="6"/>
  <c r="AJ10" i="6"/>
  <c r="AI14" i="6"/>
  <c r="AN12" i="6"/>
  <c r="AK10" i="6"/>
  <c r="AJ14" i="6"/>
  <c r="Y7" i="6"/>
  <c r="Z4" i="6"/>
  <c r="AO12" i="6"/>
  <c r="AA4" i="6"/>
  <c r="Z7" i="6"/>
  <c r="AL10" i="6"/>
  <c r="AK14" i="6"/>
  <c r="AP12" i="6"/>
  <c r="AM10" i="6"/>
  <c r="AL14" i="6"/>
  <c r="AB4" i="6"/>
  <c r="AA7" i="6"/>
  <c r="AQ12" i="6"/>
  <c r="AB7" i="6"/>
  <c r="AC4" i="6"/>
  <c r="AN10" i="6"/>
  <c r="AM14" i="6"/>
  <c r="AR12" i="6"/>
  <c r="AO10" i="6"/>
  <c r="AN14" i="6"/>
  <c r="AD4" i="6"/>
  <c r="AC7" i="6"/>
  <c r="AS12" i="6"/>
  <c r="AD7" i="6"/>
  <c r="AE4" i="6"/>
  <c r="AP10" i="6"/>
  <c r="AO14" i="6"/>
  <c r="AT12" i="6"/>
  <c r="AQ10" i="6"/>
  <c r="AP14" i="6"/>
  <c r="AF4" i="6"/>
  <c r="AE7" i="6"/>
  <c r="AU12" i="6"/>
  <c r="AF7" i="6"/>
  <c r="AG4" i="6"/>
  <c r="AR10" i="6"/>
  <c r="AQ14" i="6"/>
  <c r="AV12" i="6"/>
  <c r="AG7" i="6"/>
  <c r="AH4" i="6"/>
  <c r="AS10" i="6"/>
  <c r="AR14" i="6"/>
  <c r="AW12" i="6"/>
  <c r="AT10" i="6"/>
  <c r="AS14" i="6"/>
  <c r="AH7" i="6"/>
  <c r="AI4" i="6"/>
  <c r="AX12" i="6"/>
  <c r="AJ4" i="6"/>
  <c r="AI7" i="6"/>
  <c r="AU10" i="6"/>
  <c r="AT14" i="6"/>
  <c r="AY12" i="6"/>
  <c r="AV10" i="6"/>
  <c r="AU14" i="6"/>
  <c r="AK4" i="6"/>
  <c r="AJ7" i="6"/>
  <c r="AZ12" i="6"/>
  <c r="AL4" i="6"/>
  <c r="AK7" i="6"/>
  <c r="AW10" i="6"/>
  <c r="AV14" i="6"/>
  <c r="BA12" i="6"/>
  <c r="AX10" i="6"/>
  <c r="AW14" i="6"/>
  <c r="AM4" i="6"/>
  <c r="AL7" i="6"/>
  <c r="BB12" i="6"/>
  <c r="AM7" i="6"/>
  <c r="AN4" i="6"/>
  <c r="AY10" i="6"/>
  <c r="AX14" i="6"/>
  <c r="BC12" i="6"/>
  <c r="AZ10" i="6"/>
  <c r="AY14" i="6"/>
  <c r="AN7" i="6"/>
  <c r="AO4" i="6"/>
  <c r="BD12" i="6"/>
  <c r="AP4" i="6"/>
  <c r="AO7" i="6"/>
  <c r="BA10" i="6"/>
  <c r="AZ14" i="6"/>
  <c r="BE12" i="6"/>
  <c r="BB10" i="6"/>
  <c r="BA14" i="6"/>
  <c r="AQ4" i="6"/>
  <c r="AP7" i="6"/>
  <c r="BF12" i="6"/>
  <c r="AQ7" i="6"/>
  <c r="AR4" i="6"/>
  <c r="BC10" i="6"/>
  <c r="BB14" i="6"/>
  <c r="BG12" i="6"/>
  <c r="BD10" i="6"/>
  <c r="BC14" i="6"/>
  <c r="AR7" i="6"/>
  <c r="AS4" i="6"/>
  <c r="BH12" i="6"/>
  <c r="AS7" i="6"/>
  <c r="AT4" i="6"/>
  <c r="BE10" i="6"/>
  <c r="BD14" i="6"/>
  <c r="BI12" i="6"/>
  <c r="BF10" i="6"/>
  <c r="BE14" i="6"/>
  <c r="AU4" i="6"/>
  <c r="AT7" i="6"/>
  <c r="BJ12" i="6"/>
  <c r="AU7" i="6"/>
  <c r="AV4" i="6"/>
  <c r="BG10" i="6"/>
  <c r="BF14" i="6"/>
  <c r="BK12" i="6"/>
  <c r="BH10" i="6"/>
  <c r="BG14" i="6"/>
  <c r="AW4" i="6"/>
  <c r="AV7" i="6"/>
  <c r="BL12" i="6"/>
  <c r="AW7" i="6"/>
  <c r="AX4" i="6"/>
  <c r="BI10" i="6"/>
  <c r="BH14" i="6"/>
  <c r="BM12" i="6"/>
  <c r="BJ10" i="6"/>
  <c r="BI14" i="6"/>
  <c r="AX7" i="6"/>
  <c r="AY4" i="6"/>
  <c r="BN12" i="6"/>
  <c r="AY7" i="6"/>
  <c r="AZ4" i="6"/>
  <c r="BK10" i="6"/>
  <c r="BJ14" i="6"/>
  <c r="BO12" i="6"/>
  <c r="BL10" i="6"/>
  <c r="BK14" i="6"/>
  <c r="BA4" i="6"/>
  <c r="AZ7" i="6"/>
  <c r="BP12" i="6"/>
  <c r="BB4" i="6"/>
  <c r="BA7" i="6"/>
  <c r="BM10" i="6"/>
  <c r="BL14" i="6"/>
  <c r="BQ12" i="6"/>
  <c r="BN10" i="6"/>
  <c r="BM14" i="6"/>
  <c r="BC4" i="6"/>
  <c r="BB7" i="6"/>
  <c r="BR12" i="6"/>
  <c r="BC7" i="6"/>
  <c r="BD4" i="6"/>
  <c r="BO10" i="6"/>
  <c r="BN14" i="6"/>
  <c r="BS12" i="6"/>
  <c r="BP10" i="6"/>
  <c r="BO14" i="6"/>
  <c r="BE4" i="6"/>
  <c r="BD7" i="6"/>
  <c r="BT12" i="6"/>
  <c r="BE7" i="6"/>
  <c r="BF4" i="6"/>
  <c r="BQ10" i="6"/>
  <c r="BP14" i="6"/>
  <c r="BU12" i="6"/>
  <c r="BR10" i="6"/>
  <c r="BQ14" i="6"/>
  <c r="BF7" i="6"/>
  <c r="BG4" i="6"/>
  <c r="BV12" i="6"/>
  <c r="BG7" i="6"/>
  <c r="BH4" i="6"/>
  <c r="BS10" i="6"/>
  <c r="BR14" i="6"/>
  <c r="BW12" i="6"/>
  <c r="BT10" i="6"/>
  <c r="BS14" i="6"/>
  <c r="BH7" i="6"/>
  <c r="BI4" i="6"/>
  <c r="BX12" i="6"/>
  <c r="BI7" i="6"/>
  <c r="BJ4" i="6"/>
  <c r="BU10" i="6"/>
  <c r="BT14" i="6"/>
  <c r="BY12" i="6"/>
  <c r="BV10" i="6"/>
  <c r="BU14" i="6"/>
  <c r="BK4" i="6"/>
  <c r="BJ7" i="6"/>
  <c r="BZ12" i="6"/>
  <c r="BK7" i="6"/>
  <c r="BL4" i="6"/>
  <c r="BW10" i="6"/>
  <c r="BV14" i="6"/>
  <c r="CA12" i="6"/>
  <c r="BX10" i="6"/>
  <c r="BW14" i="6"/>
  <c r="BL7" i="6"/>
  <c r="BM4" i="6"/>
  <c r="CB12" i="6"/>
  <c r="BN4" i="6"/>
  <c r="BM7" i="6"/>
  <c r="BY10" i="6"/>
  <c r="BX14" i="6"/>
  <c r="CC12" i="6"/>
  <c r="BZ10" i="6"/>
  <c r="BY14" i="6"/>
  <c r="BN7" i="6"/>
  <c r="BO4" i="6"/>
  <c r="CD12" i="6"/>
  <c r="BO7" i="6"/>
  <c r="BP4" i="6"/>
  <c r="CA10" i="6"/>
  <c r="BZ14" i="6"/>
  <c r="CE12" i="6"/>
  <c r="CB10" i="6"/>
  <c r="CA14" i="6"/>
  <c r="BP7" i="6"/>
  <c r="BQ4" i="6"/>
  <c r="CF12" i="6"/>
  <c r="BQ7" i="6"/>
  <c r="BR4" i="6"/>
  <c r="CC10" i="6"/>
  <c r="CB14" i="6"/>
  <c r="CG12" i="6"/>
  <c r="CD10" i="6"/>
  <c r="CC14" i="6"/>
  <c r="BR7" i="6"/>
  <c r="BS4" i="6"/>
  <c r="CH12" i="6"/>
  <c r="BT4" i="6"/>
  <c r="BS7" i="6"/>
  <c r="CE10" i="6"/>
  <c r="CD14" i="6"/>
  <c r="CI12" i="6"/>
  <c r="CF10" i="6"/>
  <c r="CE14" i="6"/>
  <c r="BU4" i="6"/>
  <c r="BT7" i="6"/>
  <c r="CJ12" i="6"/>
  <c r="BU7" i="6"/>
  <c r="BV4" i="6"/>
  <c r="CG10" i="6"/>
  <c r="CF14" i="6"/>
  <c r="CK12" i="6"/>
  <c r="CH10" i="6"/>
  <c r="CG14" i="6"/>
  <c r="BV7" i="6"/>
  <c r="BW4" i="6"/>
  <c r="CL12" i="6"/>
  <c r="BW7" i="6"/>
  <c r="BX4" i="6"/>
  <c r="CI10" i="6"/>
  <c r="CH14" i="6"/>
  <c r="CM12" i="6"/>
  <c r="CJ10" i="6"/>
  <c r="CI14" i="6"/>
  <c r="BX7" i="6"/>
  <c r="BY4" i="6"/>
  <c r="CN12" i="6"/>
  <c r="BY7" i="6"/>
  <c r="BZ4" i="6"/>
  <c r="CK10" i="6"/>
  <c r="CJ14" i="6"/>
  <c r="CO12" i="6"/>
  <c r="CL10" i="6"/>
  <c r="CK14" i="6"/>
  <c r="BZ7" i="6"/>
  <c r="CA4" i="6"/>
  <c r="CP12" i="6"/>
  <c r="CB4" i="6"/>
  <c r="CA7" i="6"/>
  <c r="CM10" i="6"/>
  <c r="CL14" i="6"/>
  <c r="CQ12" i="6"/>
  <c r="CN10" i="6"/>
  <c r="CM14" i="6"/>
  <c r="CC4" i="6"/>
  <c r="CB7" i="6"/>
  <c r="CR12" i="6"/>
  <c r="CC7" i="6"/>
  <c r="CD4" i="6"/>
  <c r="CO10" i="6"/>
  <c r="CN14" i="6"/>
  <c r="CS12" i="6"/>
  <c r="CP10" i="6"/>
  <c r="CO14" i="6"/>
  <c r="CD7" i="6"/>
  <c r="CE4" i="6"/>
  <c r="CT12" i="6"/>
  <c r="CF4" i="6"/>
  <c r="CE7" i="6"/>
  <c r="CQ10" i="6"/>
  <c r="CP14" i="6"/>
  <c r="CU12" i="6"/>
  <c r="CR10" i="6"/>
  <c r="CQ14" i="6"/>
  <c r="CF7" i="6"/>
  <c r="CG4" i="6"/>
  <c r="CV12" i="6"/>
  <c r="CH4" i="6"/>
  <c r="CG7" i="6"/>
  <c r="CS10" i="6"/>
  <c r="CR14" i="6"/>
  <c r="CW12" i="6"/>
  <c r="CT10" i="6"/>
  <c r="CS14" i="6"/>
  <c r="CH7" i="6"/>
  <c r="CI4" i="6"/>
  <c r="CX12" i="6"/>
  <c r="CI7" i="6"/>
  <c r="CJ4" i="6"/>
  <c r="CU10" i="6"/>
  <c r="CT14" i="6"/>
  <c r="CY12" i="6"/>
  <c r="CV10" i="6"/>
  <c r="CU14" i="6"/>
  <c r="CJ7" i="6"/>
  <c r="CK4" i="6"/>
  <c r="CZ12" i="6"/>
  <c r="CL4" i="6"/>
  <c r="CK7" i="6"/>
  <c r="CW10" i="6"/>
  <c r="CV14" i="6"/>
  <c r="DA12" i="6"/>
  <c r="CX10" i="6"/>
  <c r="CW14" i="6"/>
  <c r="CL7" i="6"/>
  <c r="CM4" i="6"/>
  <c r="DB12" i="6"/>
  <c r="CM7" i="6"/>
  <c r="CN4" i="6"/>
  <c r="CY10" i="6"/>
  <c r="CX14" i="6"/>
  <c r="DC12" i="6"/>
  <c r="CZ10" i="6"/>
  <c r="CY14" i="6"/>
  <c r="CN7" i="6"/>
  <c r="CO4" i="6"/>
  <c r="DD12" i="6"/>
  <c r="CP4" i="6"/>
  <c r="CO7" i="6"/>
  <c r="DA10" i="6"/>
  <c r="CZ14" i="6"/>
  <c r="DE12" i="6"/>
  <c r="DB10" i="6"/>
  <c r="DA14" i="6"/>
  <c r="CQ4" i="6"/>
  <c r="CP7" i="6"/>
  <c r="DF12" i="6"/>
  <c r="CR4" i="6"/>
  <c r="CQ7" i="6"/>
  <c r="DC10" i="6"/>
  <c r="DB14" i="6"/>
  <c r="DG12" i="6"/>
  <c r="DD10" i="6"/>
  <c r="DC14" i="6"/>
  <c r="CS4" i="6"/>
  <c r="CR7" i="6"/>
  <c r="DH12" i="6"/>
  <c r="CS7" i="6"/>
  <c r="CT4" i="6"/>
  <c r="DE10" i="6"/>
  <c r="DD14" i="6"/>
  <c r="DI12" i="6"/>
  <c r="DF10" i="6"/>
  <c r="DE14" i="6"/>
  <c r="CU4" i="6"/>
  <c r="CT7" i="6"/>
  <c r="DJ12" i="6"/>
  <c r="CU7" i="6"/>
  <c r="CV4" i="6"/>
  <c r="DG10" i="6"/>
  <c r="DF14" i="6"/>
  <c r="DK12" i="6"/>
  <c r="DH10" i="6"/>
  <c r="DG14" i="6"/>
  <c r="CV7" i="6"/>
  <c r="CW4" i="6"/>
  <c r="DL12" i="6"/>
  <c r="CX4" i="6"/>
  <c r="CW7" i="6"/>
  <c r="DI10" i="6"/>
  <c r="DH14" i="6"/>
  <c r="DM12" i="6"/>
  <c r="DJ10" i="6"/>
  <c r="DI14" i="6"/>
  <c r="CX7" i="6"/>
  <c r="CY4" i="6"/>
  <c r="DN12" i="6"/>
  <c r="CY7" i="6"/>
  <c r="CZ4" i="6"/>
  <c r="DK10" i="6"/>
  <c r="DJ14" i="6"/>
  <c r="DO12" i="6"/>
  <c r="DL10" i="6"/>
  <c r="DK14" i="6"/>
  <c r="DA4" i="6"/>
  <c r="CZ7" i="6"/>
  <c r="DP12" i="6"/>
  <c r="DA7" i="6"/>
  <c r="DB4" i="6"/>
  <c r="DM10" i="6"/>
  <c r="DL14" i="6"/>
  <c r="DQ12" i="6"/>
  <c r="DN10" i="6"/>
  <c r="DM14" i="6"/>
  <c r="DB7" i="6"/>
  <c r="DC4" i="6"/>
  <c r="DR12" i="6"/>
  <c r="DC7" i="6"/>
  <c r="DD4" i="6"/>
  <c r="DO10" i="6"/>
  <c r="DN14" i="6"/>
  <c r="DS12" i="6"/>
  <c r="DP10" i="6"/>
  <c r="DO14" i="6"/>
  <c r="DD7" i="6"/>
  <c r="DE4" i="6"/>
  <c r="DT12" i="6"/>
  <c r="DF4" i="6"/>
  <c r="DE7" i="6"/>
  <c r="DQ10" i="6"/>
  <c r="DP14" i="6"/>
  <c r="DU12" i="6"/>
  <c r="DR10" i="6"/>
  <c r="DQ14" i="6"/>
  <c r="DG4" i="6"/>
  <c r="DF7" i="6"/>
  <c r="DV12" i="6"/>
  <c r="DG7" i="6"/>
  <c r="DH4" i="6"/>
  <c r="DS10" i="6"/>
  <c r="DR14" i="6"/>
  <c r="DW12" i="6"/>
  <c r="DT10" i="6"/>
  <c r="DS14" i="6"/>
  <c r="DH7" i="6"/>
  <c r="DI4" i="6"/>
  <c r="DX12" i="6"/>
  <c r="DI7" i="6"/>
  <c r="DJ4" i="6"/>
  <c r="DU10" i="6"/>
  <c r="DT14" i="6"/>
  <c r="DY12" i="6"/>
  <c r="DV10" i="6"/>
  <c r="DU14" i="6"/>
  <c r="DJ7" i="6"/>
  <c r="DK4" i="6"/>
  <c r="DZ12" i="6"/>
  <c r="DL4" i="6"/>
  <c r="DK7" i="6"/>
  <c r="DW10" i="6"/>
  <c r="DV14" i="6"/>
  <c r="EA12" i="6"/>
  <c r="DX10" i="6"/>
  <c r="DW14" i="6"/>
  <c r="DL7" i="6"/>
  <c r="DM4" i="6"/>
  <c r="EB12" i="6"/>
  <c r="DN4" i="6"/>
  <c r="DM7" i="6"/>
  <c r="DY10" i="6"/>
  <c r="DX14" i="6"/>
  <c r="EC12" i="6"/>
  <c r="DZ10" i="6"/>
  <c r="DY14" i="6"/>
  <c r="DO4" i="6"/>
  <c r="DN7" i="6"/>
  <c r="ED12" i="6"/>
  <c r="DO7" i="6"/>
  <c r="DP4" i="6"/>
  <c r="EA10" i="6"/>
  <c r="DZ14" i="6"/>
  <c r="EE12" i="6"/>
  <c r="EB10" i="6"/>
  <c r="EA14" i="6"/>
  <c r="DP7" i="6"/>
  <c r="DQ4" i="6"/>
  <c r="EF12" i="6"/>
  <c r="DQ7" i="6"/>
  <c r="DR4" i="6"/>
  <c r="EC10" i="6"/>
  <c r="EB14" i="6"/>
  <c r="EG12" i="6"/>
  <c r="ED10" i="6"/>
  <c r="EC14" i="6"/>
  <c r="DR7" i="6"/>
  <c r="DS4" i="6"/>
  <c r="EH12" i="6"/>
  <c r="DT4" i="6"/>
  <c r="DS7" i="6"/>
  <c r="EE10" i="6"/>
  <c r="ED14" i="6"/>
  <c r="EI12" i="6"/>
  <c r="EF10" i="6"/>
  <c r="EE14" i="6"/>
  <c r="DU4" i="6"/>
  <c r="DT7" i="6"/>
  <c r="EJ12" i="6"/>
  <c r="DU7" i="6"/>
  <c r="DV4" i="6"/>
  <c r="EG10" i="6"/>
  <c r="EF14" i="6"/>
  <c r="EK12" i="6"/>
  <c r="EH10" i="6"/>
  <c r="EG14" i="6"/>
  <c r="DW4" i="6"/>
  <c r="DV7" i="6"/>
  <c r="EL12" i="6"/>
  <c r="DW7" i="6"/>
  <c r="DX4" i="6"/>
  <c r="EI10" i="6"/>
  <c r="EH14" i="6"/>
  <c r="EM12" i="6"/>
  <c r="EJ10" i="6"/>
  <c r="EI14" i="6"/>
  <c r="DX7" i="6"/>
  <c r="DY4" i="6"/>
  <c r="EN12" i="6"/>
  <c r="DZ4" i="6"/>
  <c r="DY7" i="6"/>
  <c r="EK10" i="6"/>
  <c r="EJ14" i="6"/>
  <c r="EO12" i="6"/>
  <c r="EL10" i="6"/>
  <c r="EK14" i="6"/>
  <c r="DZ7" i="6"/>
  <c r="EA4" i="6"/>
  <c r="EP12" i="6"/>
  <c r="EB4" i="6"/>
  <c r="EA7" i="6"/>
  <c r="EM10" i="6"/>
  <c r="EL14" i="6"/>
  <c r="EQ12" i="6"/>
  <c r="EN10" i="6"/>
  <c r="EM14" i="6"/>
  <c r="EC4" i="6"/>
  <c r="EB7" i="6"/>
  <c r="ER12" i="6"/>
  <c r="EC7" i="6"/>
  <c r="ED4" i="6"/>
  <c r="EO10" i="6"/>
  <c r="EN14" i="6"/>
  <c r="ES12" i="6"/>
  <c r="EP10" i="6"/>
  <c r="EO14" i="6"/>
  <c r="EE4" i="6"/>
  <c r="ED7" i="6"/>
  <c r="ET12" i="6"/>
  <c r="EF4" i="6"/>
  <c r="EE7" i="6"/>
  <c r="EQ10" i="6"/>
  <c r="EP14" i="6"/>
  <c r="EU12" i="6"/>
  <c r="ER10" i="6"/>
  <c r="EQ14" i="6"/>
  <c r="EG4" i="6"/>
  <c r="EF7" i="6"/>
  <c r="EV12" i="6"/>
  <c r="EH4" i="6"/>
  <c r="EG7" i="6"/>
  <c r="ES10" i="6"/>
  <c r="ER14" i="6"/>
  <c r="EW12" i="6"/>
  <c r="ET10" i="6"/>
  <c r="ES14" i="6"/>
  <c r="EI4" i="6"/>
  <c r="EH7" i="6"/>
  <c r="EX12" i="6"/>
  <c r="EI7" i="6"/>
  <c r="EJ4" i="6"/>
  <c r="EU10" i="6"/>
  <c r="ET14" i="6"/>
  <c r="EY12" i="6"/>
  <c r="EV10" i="6"/>
  <c r="EU14" i="6"/>
  <c r="EJ7" i="6"/>
  <c r="EK4" i="6"/>
  <c r="EZ12" i="6"/>
  <c r="EL4" i="6"/>
  <c r="EK7" i="6"/>
  <c r="EW10" i="6"/>
  <c r="EV14" i="6"/>
  <c r="FA12" i="6"/>
  <c r="EX10" i="6"/>
  <c r="EW14" i="6"/>
  <c r="EM4" i="6"/>
  <c r="EL7" i="6"/>
  <c r="FB12" i="6"/>
  <c r="EM7" i="6"/>
  <c r="EN4" i="6"/>
  <c r="EY10" i="6"/>
  <c r="EX14" i="6"/>
  <c r="FC12" i="6"/>
  <c r="EZ10" i="6"/>
  <c r="EY14" i="6"/>
  <c r="EO4" i="6"/>
  <c r="EN7" i="6"/>
  <c r="FD12" i="6"/>
  <c r="EO7" i="6"/>
  <c r="EP4" i="6"/>
  <c r="FA10" i="6"/>
  <c r="EZ14" i="6"/>
  <c r="FE12" i="6"/>
  <c r="FB10" i="6"/>
  <c r="FA14" i="6"/>
  <c r="EQ4" i="6"/>
  <c r="EP7" i="6"/>
  <c r="FF12" i="6"/>
  <c r="ER4" i="6"/>
  <c r="EQ7" i="6"/>
  <c r="FC10" i="6"/>
  <c r="FB14" i="6"/>
  <c r="FG12" i="6"/>
  <c r="FD10" i="6"/>
  <c r="FC14" i="6"/>
  <c r="ER7" i="6"/>
  <c r="ES4" i="6"/>
  <c r="FH12" i="6"/>
  <c r="ET4" i="6"/>
  <c r="ES7" i="6"/>
  <c r="FE10" i="6"/>
  <c r="FD14" i="6"/>
  <c r="FI12" i="6"/>
  <c r="FF10" i="6"/>
  <c r="FE14" i="6"/>
  <c r="EU4" i="6"/>
  <c r="ET7" i="6"/>
  <c r="FJ12" i="6"/>
  <c r="EU7" i="6"/>
  <c r="EV4" i="6"/>
  <c r="FG10" i="6"/>
  <c r="FF14" i="6"/>
  <c r="FK12" i="6"/>
  <c r="EV7" i="6"/>
  <c r="EW4" i="6"/>
  <c r="FH10" i="6"/>
  <c r="FG14" i="6"/>
  <c r="FL12" i="6"/>
  <c r="FI10" i="6"/>
  <c r="FH14" i="6"/>
  <c r="EX4" i="6"/>
  <c r="EW7" i="6"/>
  <c r="FM12" i="6"/>
  <c r="EX7" i="6"/>
  <c r="EY4" i="6"/>
  <c r="FJ10" i="6"/>
  <c r="FI14" i="6"/>
  <c r="FN12" i="6"/>
  <c r="FK10" i="6"/>
  <c r="FJ14" i="6"/>
  <c r="EY7" i="6"/>
  <c r="EZ4" i="6"/>
  <c r="FO12" i="6"/>
  <c r="FA4" i="6"/>
  <c r="EZ7" i="6"/>
  <c r="FL10" i="6"/>
  <c r="FK14" i="6"/>
  <c r="FP12" i="6"/>
  <c r="FM10" i="6"/>
  <c r="FL14" i="6"/>
  <c r="FA7" i="6"/>
  <c r="FB4" i="6"/>
  <c r="FQ12" i="6"/>
  <c r="FB7" i="6"/>
  <c r="FC4" i="6"/>
  <c r="FN10" i="6"/>
  <c r="FM14" i="6"/>
  <c r="FR12" i="6"/>
  <c r="FD4" i="6"/>
  <c r="FC7" i="6"/>
  <c r="FO10" i="6"/>
  <c r="FN14" i="6"/>
  <c r="FS12" i="6"/>
  <c r="FP10" i="6"/>
  <c r="FO14" i="6"/>
  <c r="FD7" i="6"/>
  <c r="FE4" i="6"/>
  <c r="FT12" i="6"/>
  <c r="FE7" i="6"/>
  <c r="FF4" i="6"/>
  <c r="FQ10" i="6"/>
  <c r="FP14" i="6"/>
  <c r="FU12" i="6"/>
  <c r="FR10" i="6"/>
  <c r="FQ14" i="6"/>
  <c r="FG4" i="6"/>
  <c r="FF7" i="6"/>
  <c r="FV12" i="6"/>
  <c r="FG7" i="6"/>
  <c r="FH4" i="6"/>
  <c r="FS10" i="6"/>
  <c r="FR14" i="6"/>
  <c r="FW12" i="6"/>
  <c r="FT10" i="6"/>
  <c r="FS14" i="6"/>
  <c r="FH7" i="6"/>
  <c r="FI4" i="6"/>
  <c r="FX12" i="6"/>
  <c r="FI7" i="6"/>
  <c r="FJ4" i="6"/>
  <c r="FU10" i="6"/>
  <c r="FT14" i="6"/>
  <c r="FY12" i="6"/>
  <c r="FV10" i="6"/>
  <c r="FU14" i="6"/>
  <c r="FK4" i="6"/>
  <c r="FJ7" i="6"/>
  <c r="FZ12" i="6"/>
  <c r="FK7" i="6"/>
  <c r="FL4" i="6"/>
  <c r="FW10" i="6"/>
  <c r="FV14" i="6"/>
  <c r="GA12" i="6"/>
  <c r="FX10" i="6"/>
  <c r="FW14" i="6"/>
  <c r="FL7" i="6"/>
  <c r="FM4" i="6"/>
  <c r="GB12" i="6"/>
  <c r="FN4" i="6"/>
  <c r="FM7" i="6"/>
  <c r="FY10" i="6"/>
  <c r="FX14" i="6"/>
  <c r="GC12" i="6"/>
  <c r="FZ10" i="6"/>
  <c r="FY14" i="6"/>
  <c r="FN7" i="6"/>
  <c r="FO4" i="6"/>
  <c r="GD12" i="6"/>
  <c r="FP4" i="6"/>
  <c r="FO7" i="6"/>
  <c r="GA10" i="6"/>
  <c r="FZ14" i="6"/>
  <c r="GE12" i="6"/>
  <c r="GB10" i="6"/>
  <c r="GA14" i="6"/>
  <c r="FQ4" i="6"/>
  <c r="FP7" i="6"/>
  <c r="GF12" i="6"/>
  <c r="FR4" i="6"/>
  <c r="FQ7" i="6"/>
  <c r="GC10" i="6"/>
  <c r="GB14" i="6"/>
  <c r="GG12" i="6"/>
  <c r="GD10" i="6"/>
  <c r="GC14" i="6"/>
  <c r="FS4" i="6"/>
  <c r="FR7" i="6"/>
  <c r="GH12" i="6"/>
  <c r="FT4" i="6"/>
  <c r="FS7" i="6"/>
  <c r="GE10" i="6"/>
  <c r="GD14" i="6"/>
  <c r="GI12" i="6"/>
  <c r="GF10" i="6"/>
  <c r="GE14" i="6"/>
  <c r="FU4" i="6"/>
  <c r="FT7" i="6"/>
  <c r="GJ12" i="6"/>
  <c r="FV4" i="6"/>
  <c r="FU7" i="6"/>
  <c r="GG10" i="6"/>
  <c r="GF14" i="6"/>
  <c r="GK12" i="6"/>
  <c r="GH10" i="6"/>
  <c r="GG14" i="6"/>
  <c r="FV7" i="6"/>
  <c r="FW4" i="6"/>
  <c r="GL12" i="6"/>
  <c r="FX4" i="6"/>
  <c r="FW7" i="6"/>
  <c r="GI10" i="6"/>
  <c r="GH14" i="6"/>
  <c r="GM12" i="6"/>
  <c r="GJ10" i="6"/>
  <c r="GI14" i="6"/>
  <c r="FX7" i="6"/>
  <c r="FY4" i="6"/>
  <c r="GN12" i="6"/>
  <c r="FY7" i="6"/>
  <c r="FZ4" i="6"/>
  <c r="GK10" i="6"/>
  <c r="GJ14" i="6"/>
  <c r="GO12" i="6"/>
  <c r="GL10" i="6"/>
  <c r="GK14" i="6"/>
  <c r="GA4" i="6"/>
  <c r="FZ7" i="6"/>
  <c r="GP12" i="6"/>
  <c r="GB4" i="6"/>
  <c r="GA7" i="6"/>
  <c r="GM10" i="6"/>
  <c r="GL14" i="6"/>
  <c r="GQ12" i="6"/>
  <c r="GN10" i="6"/>
  <c r="GM14" i="6"/>
  <c r="GC4" i="6"/>
  <c r="GB7" i="6"/>
  <c r="GR12" i="6"/>
  <c r="GD4" i="6"/>
  <c r="GC7" i="6"/>
  <c r="GO10" i="6"/>
  <c r="GN14" i="6"/>
  <c r="GS12" i="6"/>
  <c r="GP10" i="6"/>
  <c r="GO14" i="6"/>
  <c r="GD7" i="6"/>
  <c r="GE4" i="6"/>
  <c r="GT12" i="6"/>
  <c r="GE7" i="6"/>
  <c r="GF4" i="6"/>
  <c r="GQ10" i="6"/>
  <c r="GP14" i="6"/>
  <c r="GU12" i="6"/>
  <c r="GR10" i="6"/>
  <c r="GQ14" i="6"/>
  <c r="GF7" i="6"/>
  <c r="GG4" i="6"/>
  <c r="GV12" i="6"/>
  <c r="GG7" i="6"/>
  <c r="GH4" i="6"/>
  <c r="GS10" i="6"/>
  <c r="GR14" i="6"/>
  <c r="GW12" i="6"/>
  <c r="GT10" i="6"/>
  <c r="GS14" i="6"/>
  <c r="GI4" i="6"/>
  <c r="GH7" i="6"/>
  <c r="GX12" i="6"/>
  <c r="GJ4" i="6"/>
  <c r="GI7" i="6"/>
  <c r="GU10" i="6"/>
  <c r="GT14" i="6"/>
  <c r="GY12" i="6"/>
  <c r="GV10" i="6"/>
  <c r="GU14" i="6"/>
  <c r="GJ7" i="6"/>
  <c r="GK4" i="6"/>
  <c r="GZ12" i="6"/>
  <c r="GK7" i="6"/>
  <c r="GL4" i="6"/>
  <c r="GW10" i="6"/>
  <c r="GV14" i="6"/>
  <c r="HA12" i="6"/>
  <c r="GX10" i="6"/>
  <c r="GW14" i="6"/>
  <c r="GL7" i="6"/>
  <c r="GM4" i="6"/>
  <c r="HB12" i="6"/>
  <c r="GM7" i="6"/>
  <c r="GN4" i="6"/>
  <c r="GY10" i="6"/>
  <c r="GX14" i="6"/>
  <c r="HC12" i="6"/>
  <c r="GZ10" i="6"/>
  <c r="GY14" i="6"/>
  <c r="GO4" i="6"/>
  <c r="GN7" i="6"/>
  <c r="HD12" i="6"/>
  <c r="GO7" i="6"/>
  <c r="GP4" i="6"/>
  <c r="HA10" i="6"/>
  <c r="GZ14" i="6"/>
  <c r="HE12" i="6"/>
  <c r="HB10" i="6"/>
  <c r="HA14" i="6"/>
  <c r="GP7" i="6"/>
  <c r="GQ4" i="6"/>
  <c r="HF12" i="6"/>
  <c r="GR4" i="6"/>
  <c r="GQ7" i="6"/>
  <c r="HC10" i="6"/>
  <c r="HB14" i="6"/>
  <c r="HG12" i="6"/>
  <c r="HD10" i="6"/>
  <c r="HC14" i="6"/>
  <c r="GS4" i="6"/>
  <c r="GR7" i="6"/>
  <c r="HH12" i="6"/>
  <c r="GS7" i="6"/>
  <c r="GT4" i="6"/>
  <c r="HE10" i="6"/>
  <c r="HD14" i="6"/>
  <c r="HI12" i="6"/>
  <c r="HF10" i="6"/>
  <c r="HE14" i="6"/>
  <c r="GT7" i="6"/>
  <c r="GU4" i="6"/>
  <c r="HJ12" i="6"/>
  <c r="GU7" i="6"/>
  <c r="GV4" i="6"/>
  <c r="HG10" i="6"/>
  <c r="HF14" i="6"/>
  <c r="HK12" i="6"/>
  <c r="HH10" i="6"/>
  <c r="HG14" i="6"/>
  <c r="GW4" i="6"/>
  <c r="GV7" i="6"/>
  <c r="HL12" i="6"/>
  <c r="GW7" i="6"/>
  <c r="GX4" i="6"/>
  <c r="HI10" i="6"/>
  <c r="HH14" i="6"/>
  <c r="HM12" i="6"/>
  <c r="HJ10" i="6"/>
  <c r="HI14" i="6"/>
  <c r="GX7" i="6"/>
  <c r="GY4" i="6"/>
  <c r="HN12" i="6"/>
  <c r="GZ4" i="6"/>
  <c r="GY7" i="6"/>
  <c r="HK10" i="6"/>
  <c r="HJ14" i="6"/>
  <c r="HO12" i="6"/>
  <c r="HL10" i="6"/>
  <c r="HK14" i="6"/>
  <c r="HA4" i="6"/>
  <c r="GZ7" i="6"/>
  <c r="HP12" i="6"/>
  <c r="HA7" i="6"/>
  <c r="HB4" i="6"/>
  <c r="HM10" i="6"/>
  <c r="HL14" i="6"/>
  <c r="HQ12" i="6"/>
  <c r="HN10" i="6"/>
  <c r="HM14" i="6"/>
  <c r="HB7" i="6"/>
  <c r="HC4" i="6"/>
  <c r="HR12" i="6"/>
  <c r="HC7" i="6"/>
  <c r="HD4" i="6"/>
  <c r="HO10" i="6"/>
  <c r="HN14" i="6"/>
  <c r="HS12" i="6"/>
  <c r="HP10" i="6"/>
  <c r="HO14" i="6"/>
  <c r="HD7" i="6"/>
  <c r="HE4" i="6"/>
  <c r="HT12" i="6"/>
  <c r="HE7" i="6"/>
  <c r="HF4" i="6"/>
  <c r="HQ10" i="6"/>
  <c r="HP14" i="6"/>
  <c r="HU12" i="6"/>
  <c r="HR10" i="6"/>
  <c r="HQ14" i="6"/>
  <c r="HF7" i="6"/>
  <c r="HG4" i="6"/>
  <c r="HV12" i="6"/>
  <c r="HG7" i="6"/>
  <c r="HH4" i="6"/>
  <c r="HS10" i="6"/>
  <c r="HR14" i="6"/>
  <c r="HW12" i="6"/>
  <c r="HT10" i="6"/>
  <c r="HS14" i="6"/>
  <c r="HI4" i="6"/>
  <c r="HH7" i="6"/>
  <c r="HX12" i="6"/>
  <c r="HJ4" i="6"/>
  <c r="HI7" i="6"/>
  <c r="HU10" i="6"/>
  <c r="HT14" i="6"/>
  <c r="HY12" i="6"/>
  <c r="HV10" i="6"/>
  <c r="HU14" i="6"/>
  <c r="HK4" i="6"/>
  <c r="HJ7" i="6"/>
  <c r="HZ12" i="6"/>
  <c r="HK7" i="6"/>
  <c r="HL4" i="6"/>
  <c r="HW10" i="6"/>
  <c r="HV14" i="6"/>
  <c r="IA12" i="6"/>
  <c r="HX10" i="6"/>
  <c r="HW14" i="6"/>
  <c r="HL7" i="6"/>
  <c r="HM4" i="6"/>
  <c r="IB12" i="6"/>
  <c r="HN4" i="6"/>
  <c r="HM7" i="6"/>
  <c r="HY10" i="6"/>
  <c r="HX14" i="6"/>
  <c r="IC12" i="6"/>
  <c r="HZ10" i="6"/>
  <c r="HY14" i="6"/>
  <c r="HO4" i="6"/>
  <c r="HN7" i="6"/>
  <c r="ID12" i="6"/>
  <c r="HO7" i="6"/>
  <c r="HP4" i="6"/>
  <c r="IA10" i="6"/>
  <c r="HZ14" i="6"/>
  <c r="IE12" i="6"/>
  <c r="IB10" i="6"/>
  <c r="IA14" i="6"/>
  <c r="HP7" i="6"/>
  <c r="HQ4" i="6"/>
  <c r="IF12" i="6"/>
  <c r="HQ7" i="6"/>
  <c r="HR4" i="6"/>
  <c r="IC10" i="6"/>
  <c r="IB14" i="6"/>
  <c r="IG12" i="6"/>
  <c r="ID10" i="6"/>
  <c r="IC14" i="6"/>
  <c r="HR7" i="6"/>
  <c r="HS4" i="6"/>
  <c r="IH12" i="6"/>
  <c r="HS7" i="6"/>
  <c r="HT4" i="6"/>
  <c r="IE10" i="6"/>
  <c r="ID14" i="6"/>
  <c r="II12" i="6"/>
  <c r="IF10" i="6"/>
  <c r="IE14" i="6"/>
  <c r="HT7" i="6"/>
  <c r="HU4" i="6"/>
  <c r="IJ12" i="6"/>
  <c r="HU7" i="6"/>
  <c r="HV4" i="6"/>
  <c r="IG10" i="6"/>
  <c r="IF14" i="6"/>
  <c r="IK12" i="6"/>
  <c r="IH10" i="6"/>
  <c r="IG14" i="6"/>
  <c r="HW4" i="6"/>
  <c r="HV7" i="6"/>
  <c r="IL12" i="6"/>
  <c r="HX4" i="6"/>
  <c r="HW7" i="6"/>
  <c r="II10" i="6"/>
  <c r="IH14" i="6"/>
  <c r="IM12" i="6"/>
  <c r="IJ10" i="6"/>
  <c r="II14" i="6"/>
  <c r="HX7" i="6"/>
  <c r="HY4" i="6"/>
  <c r="IN12" i="6"/>
  <c r="HY7" i="6"/>
  <c r="HZ4" i="6"/>
  <c r="IK10" i="6"/>
  <c r="IJ14" i="6"/>
  <c r="IO12" i="6"/>
  <c r="IL10" i="6"/>
  <c r="IK14" i="6"/>
  <c r="IA4" i="6"/>
  <c r="HZ7" i="6"/>
  <c r="IP12" i="6"/>
  <c r="IB4" i="6"/>
  <c r="IA7" i="6"/>
  <c r="IM10" i="6"/>
  <c r="IL14" i="6"/>
  <c r="IQ12" i="6"/>
  <c r="IN10" i="6"/>
  <c r="IM14" i="6"/>
  <c r="IC4" i="6"/>
  <c r="IB7" i="6"/>
  <c r="IR12" i="6"/>
  <c r="IC7" i="6"/>
  <c r="ID4" i="6"/>
  <c r="IO10" i="6"/>
  <c r="IN14" i="6"/>
  <c r="IS12" i="6"/>
  <c r="IP10" i="6"/>
  <c r="IO14" i="6"/>
  <c r="IE4" i="6"/>
  <c r="ID7" i="6"/>
  <c r="IT12" i="6"/>
  <c r="IE7" i="6"/>
  <c r="IF4" i="6"/>
  <c r="IQ10" i="6"/>
  <c r="IP14" i="6"/>
  <c r="IU12" i="6"/>
  <c r="IR10" i="6"/>
  <c r="IQ14" i="6"/>
  <c r="IF7" i="6"/>
  <c r="IG4" i="6"/>
  <c r="IV12" i="6"/>
  <c r="IG7" i="6"/>
  <c r="IH4" i="6"/>
  <c r="IS10" i="6"/>
  <c r="IR14" i="6"/>
  <c r="IW12" i="6"/>
  <c r="IH7" i="6"/>
  <c r="II4" i="6"/>
  <c r="IT10" i="6"/>
  <c r="IS14" i="6"/>
  <c r="IX12" i="6"/>
  <c r="IU10" i="6"/>
  <c r="IT14" i="6"/>
  <c r="IJ4" i="6"/>
  <c r="II7" i="6"/>
  <c r="IY12" i="6"/>
  <c r="IK4" i="6"/>
  <c r="IJ7" i="6"/>
  <c r="IV10" i="6"/>
  <c r="IU14" i="6"/>
  <c r="IZ12" i="6"/>
  <c r="IK7" i="6"/>
  <c r="IL4" i="6"/>
  <c r="IW10" i="6"/>
  <c r="IV14" i="6"/>
  <c r="JA12" i="6"/>
  <c r="IX10" i="6"/>
  <c r="IW14" i="6"/>
  <c r="IL7" i="6"/>
  <c r="IM4" i="6"/>
  <c r="JB12" i="6"/>
  <c r="IM7" i="6"/>
  <c r="IN4" i="6"/>
  <c r="IY10" i="6"/>
  <c r="IX14" i="6"/>
  <c r="JC12" i="6"/>
  <c r="IZ10" i="6"/>
  <c r="IY14" i="6"/>
  <c r="IO4" i="6"/>
  <c r="IN7" i="6"/>
  <c r="JD12" i="6"/>
  <c r="IP4" i="6"/>
  <c r="IO7" i="6"/>
  <c r="JA10" i="6"/>
  <c r="IZ14" i="6"/>
  <c r="JE12" i="6"/>
  <c r="JB10" i="6"/>
  <c r="JA14" i="6"/>
  <c r="IQ4" i="6"/>
  <c r="IP7" i="6"/>
  <c r="JF12" i="6"/>
  <c r="IR4" i="6"/>
  <c r="IQ7" i="6"/>
  <c r="JC10" i="6"/>
  <c r="JB14" i="6"/>
  <c r="JG12" i="6"/>
  <c r="JD10" i="6"/>
  <c r="JC14" i="6"/>
  <c r="IR7" i="6"/>
  <c r="IS4" i="6"/>
  <c r="JH12" i="6"/>
  <c r="IT4" i="6"/>
  <c r="IS7" i="6"/>
  <c r="JE10" i="6"/>
  <c r="JD14" i="6"/>
  <c r="JI12" i="6"/>
  <c r="JF10" i="6"/>
  <c r="JE14" i="6"/>
  <c r="IT7" i="6"/>
  <c r="IU4" i="6"/>
  <c r="JJ12" i="6"/>
  <c r="IU7" i="6"/>
  <c r="IV4" i="6"/>
  <c r="JG10" i="6"/>
  <c r="JF14" i="6"/>
  <c r="JK12" i="6"/>
  <c r="JH10" i="6"/>
  <c r="JG14" i="6"/>
  <c r="IV7" i="6"/>
  <c r="IW4" i="6"/>
  <c r="JL12" i="6"/>
  <c r="IX4" i="6"/>
  <c r="IW7" i="6"/>
  <c r="JI10" i="6"/>
  <c r="JH14" i="6"/>
  <c r="JM12" i="6"/>
  <c r="JJ10" i="6"/>
  <c r="JI14" i="6"/>
  <c r="IY4" i="6"/>
  <c r="IX7" i="6"/>
  <c r="JN12" i="6"/>
  <c r="IY7" i="6"/>
  <c r="IZ4" i="6"/>
  <c r="JK10" i="6"/>
  <c r="JJ14" i="6"/>
  <c r="JO12" i="6"/>
  <c r="JL10" i="6"/>
  <c r="JK14" i="6"/>
  <c r="IZ7" i="6"/>
  <c r="JA4" i="6"/>
  <c r="JP12" i="6"/>
  <c r="JB4" i="6"/>
  <c r="JA7" i="6"/>
  <c r="JM10" i="6"/>
  <c r="JL14" i="6"/>
  <c r="JQ12" i="6"/>
  <c r="JN10" i="6"/>
  <c r="JM14" i="6"/>
  <c r="JB7" i="6"/>
  <c r="JC4" i="6"/>
  <c r="JR12" i="6"/>
  <c r="JC7" i="6"/>
  <c r="JD4" i="6"/>
  <c r="JO10" i="6"/>
  <c r="JN14" i="6"/>
  <c r="JS12" i="6"/>
  <c r="JP10" i="6"/>
  <c r="JO14" i="6"/>
  <c r="JE4" i="6"/>
  <c r="JD7" i="6"/>
  <c r="JT12" i="6"/>
  <c r="JE7" i="6"/>
  <c r="JF4" i="6"/>
  <c r="JQ10" i="6"/>
  <c r="JP14" i="6"/>
  <c r="JU12" i="6"/>
  <c r="JR10" i="6"/>
  <c r="JQ14" i="6"/>
  <c r="JG4" i="6"/>
  <c r="JF7" i="6"/>
  <c r="JV12" i="6"/>
  <c r="JH4" i="6"/>
  <c r="JG7" i="6"/>
  <c r="JS10" i="6"/>
  <c r="JR14" i="6"/>
  <c r="JW12" i="6"/>
  <c r="JT10" i="6"/>
  <c r="JS14" i="6"/>
  <c r="JH7" i="6"/>
  <c r="JI4" i="6"/>
  <c r="JX12" i="6"/>
  <c r="JI7" i="6"/>
  <c r="JJ4" i="6"/>
  <c r="JU10" i="6"/>
  <c r="JT14" i="6"/>
  <c r="JY12" i="6"/>
  <c r="JV10" i="6"/>
  <c r="JU14" i="6"/>
  <c r="JK4" i="6"/>
  <c r="JJ7" i="6"/>
  <c r="JZ12" i="6"/>
  <c r="JK7" i="6"/>
  <c r="JL4" i="6"/>
  <c r="JW10" i="6"/>
  <c r="JV14" i="6"/>
  <c r="KA12" i="6"/>
  <c r="JX10" i="6"/>
  <c r="JW14" i="6"/>
  <c r="JM4" i="6"/>
  <c r="JL7" i="6"/>
  <c r="KB12" i="6"/>
  <c r="JM7" i="6"/>
  <c r="JN4" i="6"/>
  <c r="JY10" i="6"/>
  <c r="JX14" i="6"/>
  <c r="KC12" i="6"/>
  <c r="JZ10" i="6"/>
  <c r="JY14" i="6"/>
  <c r="JN7" i="6"/>
  <c r="JO4" i="6"/>
  <c r="KD12" i="6"/>
  <c r="JP4" i="6"/>
  <c r="JO7" i="6"/>
  <c r="KA10" i="6"/>
  <c r="JZ14" i="6"/>
  <c r="KE12" i="6"/>
  <c r="KB10" i="6"/>
  <c r="KA14" i="6"/>
  <c r="JP7" i="6"/>
  <c r="JQ4" i="6"/>
  <c r="KF12" i="6"/>
  <c r="JQ7" i="6"/>
  <c r="JR4" i="6"/>
  <c r="KC10" i="6"/>
  <c r="KB14" i="6"/>
  <c r="KG12" i="6"/>
  <c r="KD10" i="6"/>
  <c r="KC14" i="6"/>
  <c r="JR7" i="6"/>
  <c r="JS4" i="6"/>
  <c r="KH12" i="6"/>
  <c r="JS7" i="6"/>
  <c r="JT4" i="6"/>
  <c r="KE10" i="6"/>
  <c r="KD14" i="6"/>
  <c r="KI12" i="6"/>
  <c r="KF10" i="6"/>
  <c r="KE14" i="6"/>
  <c r="JT7" i="6"/>
  <c r="JU4" i="6"/>
  <c r="KJ12" i="6"/>
  <c r="JU7" i="6"/>
  <c r="JV4" i="6"/>
  <c r="KG10" i="6"/>
  <c r="KF14" i="6"/>
  <c r="KK12" i="6"/>
  <c r="KH10" i="6"/>
  <c r="KG14" i="6"/>
  <c r="JV7" i="6"/>
  <c r="JW4" i="6"/>
  <c r="KL12" i="6"/>
  <c r="JX4" i="6"/>
  <c r="JW7" i="6"/>
  <c r="KI10" i="6"/>
  <c r="KH14" i="6"/>
  <c r="KM12" i="6"/>
  <c r="KJ10" i="6"/>
  <c r="KI14" i="6"/>
  <c r="JX7" i="6"/>
  <c r="JY4" i="6"/>
  <c r="KN12" i="6"/>
  <c r="JZ4" i="6"/>
  <c r="JY7" i="6"/>
  <c r="KK10" i="6"/>
  <c r="KJ14" i="6"/>
  <c r="KO12" i="6"/>
  <c r="KL10" i="6"/>
  <c r="KK14" i="6"/>
  <c r="KA4" i="6"/>
  <c r="JZ7" i="6"/>
  <c r="KP12" i="6"/>
  <c r="KA7" i="6"/>
  <c r="KB4" i="6"/>
  <c r="KM10" i="6"/>
  <c r="KL14" i="6"/>
  <c r="KQ12" i="6"/>
  <c r="KN10" i="6"/>
  <c r="KM14" i="6"/>
  <c r="KB7" i="6"/>
  <c r="KC4" i="6"/>
  <c r="KR12" i="6"/>
  <c r="KC7" i="6"/>
  <c r="KD4" i="6"/>
  <c r="KO10" i="6"/>
  <c r="KN14" i="6"/>
  <c r="KS12" i="6"/>
  <c r="KP10" i="6"/>
  <c r="KO14" i="6"/>
  <c r="KD7" i="6"/>
  <c r="KE4" i="6"/>
  <c r="KT12" i="6"/>
  <c r="KF4" i="6"/>
  <c r="KE7" i="6"/>
  <c r="KQ10" i="6"/>
  <c r="KP14" i="6"/>
  <c r="KU12" i="6"/>
  <c r="KR10" i="6"/>
  <c r="KQ14" i="6"/>
  <c r="KG4" i="6"/>
  <c r="KF7" i="6"/>
  <c r="KV12" i="6"/>
  <c r="KH4" i="6"/>
  <c r="KG7" i="6"/>
  <c r="KS10" i="6"/>
  <c r="KR14" i="6"/>
  <c r="KW12" i="6"/>
  <c r="KT10" i="6"/>
  <c r="KS14" i="6"/>
  <c r="KI4" i="6"/>
  <c r="KH7" i="6"/>
  <c r="KX12" i="6"/>
  <c r="KI7" i="6"/>
  <c r="KJ4" i="6"/>
  <c r="KU10" i="6"/>
  <c r="KT14" i="6"/>
  <c r="KY12" i="6"/>
  <c r="KV10" i="6"/>
  <c r="KU14" i="6"/>
  <c r="KJ7" i="6"/>
  <c r="KK4" i="6"/>
  <c r="KZ12" i="6"/>
  <c r="KL4" i="6"/>
  <c r="KK7" i="6"/>
  <c r="KW10" i="6"/>
  <c r="KV14" i="6"/>
  <c r="LA12" i="6"/>
  <c r="KX10" i="6"/>
  <c r="KW14" i="6"/>
  <c r="KL7" i="6"/>
  <c r="KM4" i="6"/>
  <c r="LB12" i="6"/>
  <c r="KM7" i="6"/>
  <c r="KN4" i="6"/>
  <c r="KY10" i="6"/>
  <c r="KX14" i="6"/>
  <c r="LC12" i="6"/>
  <c r="KZ10" i="6"/>
  <c r="KY14" i="6"/>
  <c r="KO4" i="6"/>
  <c r="KN7" i="6"/>
  <c r="LD12" i="6"/>
  <c r="KP4" i="6"/>
  <c r="KO7" i="6"/>
  <c r="LA10" i="6"/>
  <c r="KZ14" i="6"/>
  <c r="LB10" i="6"/>
  <c r="LA14" i="6"/>
  <c r="KQ4" i="6"/>
  <c r="KP7" i="6"/>
  <c r="KQ7" i="6"/>
  <c r="KR4" i="6"/>
  <c r="LC10" i="6"/>
  <c r="LB14" i="6"/>
  <c r="LD10" i="6"/>
  <c r="LD14" i="6"/>
  <c r="LC1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<sst xmlns="http://schemas.openxmlformats.org/spreadsheetml/2006/main" count="892" uniqueCount="510">
  <si>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</si>
  <si>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</si>
  <si>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</si>
  <si>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</si>
  <si>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</si>
  <si>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</si>
  <si>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</si>
  <si>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</si>
  <si>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</si>
  <si>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</si>
  <si>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</si>
  <si>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</si>
  <si>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</si>
  <si>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</si>
  <si>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</si>
  <si>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</si>
  <si>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</si>
  <si>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</si>
  <si>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</si>
  <si>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</si>
  <si>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</si>
  <si>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</si>
  <si>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</si>
  <si>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</si>
  <si>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</si>
  <si>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</si>
  <si>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</si>
  <si>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</si>
  <si>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</si>
  <si>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</si>
  <si>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</si>
  <si>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</si>
  <si>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</si>
  <si>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</si>
  <si>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</si>
  <si>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</si>
  <si>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</si>
  <si>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</si>
  <si>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</si>
  <si>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</si>
  <si>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</si>
  <si>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</si>
  <si>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</si>
  <si>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</si>
  <si>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</si>
  <si>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</si>
  <si>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</si>
  <si>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</si>
  <si>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</si>
  <si>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</si>
  <si>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</si>
  <si>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</si>
  <si>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</si>
  <si>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</si>
  <si>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</si>
  <si>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</si>
  <si>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</si>
  <si>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</si>
  <si>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</si>
  <si>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</si>
  <si>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</si>
  <si>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</si>
  <si>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</si>
  <si>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</si>
  <si>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</si>
  <si>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</si>
  <si>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</si>
  <si>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</si>
  <si>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</si>
  <si>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</si>
  <si>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</si>
  <si>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</si>
  <si>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</si>
  <si>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</si>
  <si>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outstanding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</si>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</sst>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6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64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44" fontId="6" fillId="10" borderId="3" xfId="3" applyFont="1" applyFill="1" applyBorder="1" applyAlignment="1" applyProtection="1">
      <alignment horizontal="center"/>
      <protection locked="0"/>
    </xf>
    <xf numFmtId="164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44" fontId="26" fillId="7" borderId="0" xfId="3" applyFont="1" applyFill="1" applyBorder="1" applyProtection="1">
      <protection locked="0"/>
    </xf>
    <xf numFmtId="44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44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191275.35642277217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4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453125" defaultRowHeight="14.25" x14ac:dyDescent="0.15"/>
  <cols>
    <col min="1" max="1" width="9.14453125" style="64"/>
    <col min="2" max="2" width="83.94140625" style="65" bestFit="1" customWidth="1"/>
    <col min="3" max="3" width="18.96484375" style="24" customWidth="1"/>
    <col min="4" max="4" width="13.1796875" style="70" customWidth="1"/>
    <col min="5" max="5" width="16.94921875" style="24" customWidth="1"/>
    <col min="6" max="6" width="18.16015625" style="24" customWidth="1"/>
    <col min="7" max="7" width="5.51171875" style="24" bestFit="1" customWidth="1"/>
    <col min="8" max="8" width="20.17578125" style="24" bestFit="1" customWidth="1"/>
    <col min="9" max="9" width="2.95703125" style="24" customWidth="1"/>
    <col min="10" max="10" width="46.9453125" style="24" bestFit="1" customWidth="1"/>
    <col min="11" max="11" width="6.1875" style="3" customWidth="1"/>
    <col min="12" max="12" width="14.125" style="24" customWidth="1"/>
    <col min="13" max="16384" width="9.14453125" style="24"/>
  </cols>
  <sheetData>
    <row r="1" spans="1:59" s="3" customFormat="1" x14ac:dyDescent="0.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40.5" x14ac:dyDescent="0.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 x14ac:dyDescent="0.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x14ac:dyDescent="0.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 x14ac:dyDescent="0.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 x14ac:dyDescent="0.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 x14ac:dyDescent="0.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15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15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15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15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 x14ac:dyDescent="0.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 x14ac:dyDescent="0.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 x14ac:dyDescent="0.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15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15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15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x14ac:dyDescent="0.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15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15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x14ac:dyDescent="0.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x14ac:dyDescent="0.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15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x14ac:dyDescent="0.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15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15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15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15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15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x14ac:dyDescent="0.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15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15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15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15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x14ac:dyDescent="0.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15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15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x14ac:dyDescent="0.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 x14ac:dyDescent="0.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15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15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15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15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15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 x14ac:dyDescent="0.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 x14ac:dyDescent="0.2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15">
      <c r="C47" s="66">
        <v>43831</v>
      </c>
      <c r="D47" s="721" t="s">
        <v>57</v>
      </c>
      <c r="E47" s="721"/>
      <c r="F47" s="722"/>
      <c r="G47" s="67"/>
      <c r="I47" s="68"/>
      <c r="J47" s="68"/>
    </row>
    <row r="48" spans="1:49" ht="15" thickBot="1" x14ac:dyDescent="0.2">
      <c r="C48" s="69">
        <v>44014</v>
      </c>
      <c r="D48" s="723"/>
      <c r="E48" s="723"/>
      <c r="F48" s="72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453125" defaultRowHeight="15" x14ac:dyDescent="0.2"/>
  <cols>
    <col min="1" max="1" width="7.12890625" customWidth="1"/>
    <col min="2" max="2" width="37.80078125" customWidth="1"/>
    <col min="3" max="3" width="9.14453125" bestFit="1" customWidth="1"/>
    <col min="4" max="4" width="12.10546875" bestFit="1" customWidth="1"/>
    <col min="5" max="5" width="9.953125" customWidth="1"/>
    <col min="6" max="6" width="33.8984375" customWidth="1"/>
  </cols>
  <sheetData>
    <row r="1" spans="2:10" ht="15.75" thickBot="1" x14ac:dyDescent="0.25"/>
    <row r="2" spans="2:10" ht="16.5" thickTop="1" thickBot="1" x14ac:dyDescent="0.25">
      <c r="B2" s="725" t="s">
        <v>58</v>
      </c>
      <c r="C2" s="726"/>
      <c r="D2" s="726"/>
      <c r="E2" s="726"/>
      <c r="F2" s="727"/>
      <c r="G2" s="77"/>
      <c r="H2" s="77"/>
      <c r="I2" s="77"/>
      <c r="J2" s="77"/>
    </row>
    <row r="3" spans="2:10" ht="6.75" customHeight="1" thickTop="1" x14ac:dyDescent="0.2"/>
    <row r="4" spans="2:10" x14ac:dyDescent="0.2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 x14ac:dyDescent="0.2">
      <c r="B5" s="74" t="s">
        <v>64</v>
      </c>
      <c r="C5" s="76"/>
      <c r="D5" s="76"/>
      <c r="E5" s="76"/>
      <c r="F5" s="71"/>
    </row>
    <row r="6" spans="2:10" x14ac:dyDescent="0.2">
      <c r="B6" s="74" t="s">
        <v>65</v>
      </c>
      <c r="C6" s="76"/>
      <c r="D6" s="76"/>
      <c r="E6" s="76"/>
      <c r="F6" s="71"/>
    </row>
    <row r="7" spans="2:10" x14ac:dyDescent="0.2">
      <c r="B7" s="74" t="s">
        <v>66</v>
      </c>
      <c r="C7" s="76"/>
      <c r="D7" s="76"/>
      <c r="E7" s="76"/>
      <c r="F7" s="71"/>
    </row>
    <row r="8" spans="2:10" x14ac:dyDescent="0.2">
      <c r="B8" s="74" t="s">
        <v>67</v>
      </c>
      <c r="C8" s="76"/>
      <c r="D8" s="76"/>
      <c r="E8" s="76"/>
      <c r="F8" s="71"/>
    </row>
    <row r="9" spans="2:10" x14ac:dyDescent="0.2">
      <c r="B9" s="75" t="s">
        <v>68</v>
      </c>
      <c r="C9" s="75"/>
      <c r="D9" s="75"/>
      <c r="E9" s="75"/>
      <c r="F9" s="71"/>
    </row>
    <row r="10" spans="2:10" x14ac:dyDescent="0.2">
      <c r="B10" s="75"/>
      <c r="C10" s="75"/>
      <c r="D10" s="75"/>
      <c r="E10" s="75"/>
      <c r="F10" s="71"/>
    </row>
    <row r="11" spans="2:10" x14ac:dyDescent="0.2">
      <c r="B11" s="75"/>
      <c r="C11" s="75"/>
      <c r="D11" s="75"/>
      <c r="E11" s="75"/>
      <c r="F11" s="71"/>
    </row>
    <row r="12" spans="2:10" x14ac:dyDescent="0.2">
      <c r="B12" s="75"/>
      <c r="C12" s="75"/>
      <c r="D12" s="75"/>
      <c r="E12" s="75"/>
      <c r="F12" s="71"/>
    </row>
    <row r="13" spans="2:10" x14ac:dyDescent="0.2">
      <c r="B13" s="75"/>
      <c r="C13" s="75"/>
      <c r="D13" s="75"/>
      <c r="E13" s="75"/>
      <c r="F13" s="71"/>
    </row>
    <row r="14" spans="2:10" x14ac:dyDescent="0.2">
      <c r="B14" s="75"/>
      <c r="C14" s="75"/>
      <c r="D14" s="75"/>
      <c r="E14" s="75"/>
      <c r="F14" s="71"/>
    </row>
    <row r="15" spans="2:10" ht="15.75" thickBot="1" x14ac:dyDescent="0.25"/>
    <row r="16" spans="2:10" ht="16.5" thickTop="1" thickBot="1" x14ac:dyDescent="0.25">
      <c r="B16" s="725" t="s">
        <v>69</v>
      </c>
      <c r="C16" s="726"/>
      <c r="D16" s="726"/>
      <c r="E16" s="726"/>
      <c r="F16" s="727"/>
    </row>
    <row r="17" spans="2:6" ht="15.75" thickTop="1" x14ac:dyDescent="0.2"/>
    <row r="18" spans="2:6" x14ac:dyDescent="0.2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 x14ac:dyDescent="0.2">
      <c r="B19" s="74" t="s">
        <v>70</v>
      </c>
      <c r="C19" s="76"/>
      <c r="D19" s="76"/>
      <c r="E19" s="76"/>
      <c r="F19" s="71"/>
    </row>
    <row r="20" spans="2:6" x14ac:dyDescent="0.2">
      <c r="B20" s="74" t="s">
        <v>71</v>
      </c>
      <c r="C20" s="76"/>
      <c r="D20" s="76"/>
      <c r="E20" s="76"/>
      <c r="F20" s="71"/>
    </row>
    <row r="21" spans="2:6" x14ac:dyDescent="0.2">
      <c r="B21" s="74" t="s">
        <v>72</v>
      </c>
      <c r="C21" s="76"/>
      <c r="D21" s="76"/>
      <c r="E21" s="76"/>
      <c r="F21" s="71"/>
    </row>
    <row r="22" spans="2:6" x14ac:dyDescent="0.2">
      <c r="B22" s="74"/>
      <c r="C22" s="76"/>
      <c r="D22" s="76"/>
      <c r="E22" s="76"/>
      <c r="F22" s="71"/>
    </row>
    <row r="23" spans="2:6" x14ac:dyDescent="0.2">
      <c r="B23" s="75"/>
      <c r="C23" s="75"/>
      <c r="D23" s="75"/>
      <c r="E23" s="75"/>
      <c r="F23" s="71"/>
    </row>
    <row r="24" spans="2:6" x14ac:dyDescent="0.2">
      <c r="B24" s="75"/>
      <c r="C24" s="75"/>
      <c r="D24" s="75"/>
      <c r="E24" s="75"/>
      <c r="F24" s="71"/>
    </row>
    <row r="25" spans="2:6" x14ac:dyDescent="0.2">
      <c r="B25" s="75"/>
      <c r="C25" s="75"/>
      <c r="D25" s="75"/>
      <c r="E25" s="75"/>
      <c r="F25" s="71"/>
    </row>
    <row r="26" spans="2:6" x14ac:dyDescent="0.2">
      <c r="B26" s="75"/>
      <c r="C26" s="75"/>
      <c r="D26" s="75"/>
      <c r="E26" s="75"/>
      <c r="F26" s="71"/>
    </row>
    <row r="27" spans="2:6" x14ac:dyDescent="0.2">
      <c r="B27" s="75"/>
      <c r="C27" s="75"/>
      <c r="D27" s="75"/>
      <c r="E27" s="75"/>
      <c r="F27" s="71"/>
    </row>
    <row r="28" spans="2:6" x14ac:dyDescent="0.2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="85" zoomScaleNormal="85" workbookViewId="0">
      <selection activeCell="P49" sqref="P49"/>
    </sheetView>
  </sheetViews>
  <sheetFormatPr defaultColWidth="8.203125" defaultRowHeight="14.25" x14ac:dyDescent="0.15"/>
  <cols>
    <col min="1" max="1" width="0.94140625" style="110" customWidth="1"/>
    <col min="2" max="2" width="6.1875" style="169" bestFit="1" customWidth="1"/>
    <col min="3" max="3" width="50.578125" style="24" bestFit="1" customWidth="1"/>
    <col min="4" max="4" width="2.95703125" style="110" customWidth="1"/>
    <col min="5" max="5" width="14.52734375" style="24" customWidth="1"/>
    <col min="6" max="6" width="9.953125" style="166" customWidth="1"/>
    <col min="7" max="7" width="13.5859375" style="64" customWidth="1"/>
    <col min="8" max="8" width="4.9765625" style="110" customWidth="1"/>
    <col min="9" max="9" width="13.1796875" style="110" customWidth="1"/>
    <col min="10" max="10" width="11.1640625" style="111" customWidth="1"/>
    <col min="11" max="11" width="14.52734375" style="110" customWidth="1"/>
    <col min="12" max="12" width="2.15234375" style="110" customWidth="1"/>
    <col min="13" max="13" width="12.5078125" style="110" customWidth="1"/>
    <col min="14" max="14" width="9.953125" style="110" bestFit="1" customWidth="1"/>
    <col min="15" max="15" width="39.14453125" style="110" bestFit="1" customWidth="1"/>
    <col min="16" max="16" width="0.94140625" style="110" customWidth="1"/>
    <col min="17" max="17" width="5.51171875" style="3" customWidth="1"/>
    <col min="18" max="25" width="8.203125" style="110"/>
    <col min="26" max="16384" width="8.203125" style="24"/>
  </cols>
  <sheetData>
    <row r="1" spans="2:28" s="110" customFormat="1" ht="4.5" customHeight="1" x14ac:dyDescent="0.15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 x14ac:dyDescent="0.15">
      <c r="B2" s="174"/>
      <c r="C2" s="175" t="s">
        <v>0</v>
      </c>
      <c r="D2" s="176"/>
      <c r="E2" s="728" t="s">
        <v>73</v>
      </c>
      <c r="F2" s="729"/>
      <c r="G2" s="729"/>
      <c r="H2" s="730"/>
      <c r="K2" s="740" t="s">
        <v>74</v>
      </c>
      <c r="L2" s="741"/>
      <c r="M2" s="741"/>
      <c r="N2" s="741"/>
      <c r="O2" s="404">
        <v>1</v>
      </c>
    </row>
    <row r="3" spans="2:28" s="110" customFormat="1" x14ac:dyDescent="0.15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41"/>
      <c r="L3" s="741"/>
      <c r="M3" s="741"/>
      <c r="N3" s="741"/>
      <c r="Q3" s="3"/>
    </row>
    <row r="4" spans="2:28" s="110" customFormat="1" x14ac:dyDescent="0.15">
      <c r="B4" s="177"/>
      <c r="C4" s="178" t="s">
        <v>76</v>
      </c>
      <c r="D4" s="176"/>
      <c r="E4" s="731" t="s">
        <v>77</v>
      </c>
      <c r="F4" s="732"/>
      <c r="G4" s="732"/>
      <c r="H4" s="733"/>
      <c r="J4" s="111"/>
      <c r="K4" s="741"/>
      <c r="L4" s="741"/>
      <c r="M4" s="741"/>
      <c r="N4" s="741"/>
      <c r="Q4" s="3"/>
    </row>
    <row r="5" spans="2:28" s="110" customFormat="1" x14ac:dyDescent="0.15">
      <c r="B5" s="177"/>
      <c r="C5" s="178" t="s">
        <v>78</v>
      </c>
      <c r="D5" s="176"/>
      <c r="E5" s="731" t="s">
        <v>79</v>
      </c>
      <c r="F5" s="732"/>
      <c r="G5" s="732"/>
      <c r="H5" s="733"/>
      <c r="J5" s="111"/>
      <c r="Q5" s="3"/>
    </row>
    <row r="6" spans="2:28" x14ac:dyDescent="0.15">
      <c r="B6" s="182"/>
      <c r="C6" s="183" t="s">
        <v>80</v>
      </c>
      <c r="D6" s="176"/>
      <c r="E6" s="734">
        <v>3355439</v>
      </c>
      <c r="F6" s="735"/>
      <c r="G6" s="735"/>
      <c r="H6" s="736"/>
    </row>
    <row r="7" spans="2:28" s="110" customFormat="1" x14ac:dyDescent="0.15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 x14ac:dyDescent="0.15">
      <c r="B8" s="742" t="s">
        <v>83</v>
      </c>
      <c r="C8" s="743" t="s">
        <v>84</v>
      </c>
      <c r="D8" s="213"/>
      <c r="E8" s="739" t="s">
        <v>85</v>
      </c>
      <c r="F8" s="235" t="s">
        <v>86</v>
      </c>
      <c r="G8" s="739" t="s">
        <v>87</v>
      </c>
      <c r="H8" s="236"/>
      <c r="I8" s="739" t="s">
        <v>88</v>
      </c>
      <c r="J8" s="235" t="s">
        <v>86</v>
      </c>
      <c r="K8" s="739" t="s">
        <v>89</v>
      </c>
      <c r="M8" s="410" t="s">
        <v>60</v>
      </c>
      <c r="N8" s="679" t="s">
        <v>90</v>
      </c>
      <c r="O8" s="737" t="s">
        <v>91</v>
      </c>
      <c r="Z8" s="110"/>
      <c r="AA8" s="110"/>
      <c r="AB8" s="110"/>
    </row>
    <row r="9" spans="2:28" x14ac:dyDescent="0.15">
      <c r="B9" s="742"/>
      <c r="C9" s="743"/>
      <c r="D9" s="213"/>
      <c r="E9" s="739"/>
      <c r="F9" s="124">
        <f>G41-E19</f>
        <v>44</v>
      </c>
      <c r="G9" s="739"/>
      <c r="H9" s="236"/>
      <c r="I9" s="739"/>
      <c r="J9" s="125">
        <f>K41-I19</f>
        <v>245</v>
      </c>
      <c r="K9" s="739"/>
      <c r="M9" s="360">
        <f>AVERAGE(M11,M18,M21,M28,M35,M39,M46,M43)</f>
        <v>0.87764705882352945</v>
      </c>
      <c r="N9" s="360">
        <f ca="1">AVERAGE(N11,N18,N21,N28,N35,N39,N46,N43)</f>
        <v>0.88549827812400506</v>
      </c>
      <c r="O9" s="738"/>
      <c r="Z9" s="110"/>
      <c r="AA9" s="110"/>
      <c r="AB9" s="110"/>
    </row>
    <row r="10" spans="2:28" s="110" customFormat="1" ht="4.5" customHeight="1" x14ac:dyDescent="0.15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x14ac:dyDescent="0.15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x14ac:dyDescent="0.15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x14ac:dyDescent="0.15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x14ac:dyDescent="0.15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x14ac:dyDescent="0.15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x14ac:dyDescent="0.15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 x14ac:dyDescent="0.15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x14ac:dyDescent="0.15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x14ac:dyDescent="0.15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 x14ac:dyDescent="0.15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x14ac:dyDescent="0.15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x14ac:dyDescent="0.15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x14ac:dyDescent="0.15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x14ac:dyDescent="0.15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x14ac:dyDescent="0.15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x14ac:dyDescent="0.15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 x14ac:dyDescent="0.15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x14ac:dyDescent="0.15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 x14ac:dyDescent="0.15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x14ac:dyDescent="0.15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x14ac:dyDescent="0.15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x14ac:dyDescent="0.15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x14ac:dyDescent="0.15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 x14ac:dyDescent="0.15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x14ac:dyDescent="0.15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x14ac:dyDescent="0.15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x14ac:dyDescent="0.15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 x14ac:dyDescent="0.15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x14ac:dyDescent="0.15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x14ac:dyDescent="0.15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x14ac:dyDescent="0.15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 x14ac:dyDescent="0.15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x14ac:dyDescent="0.15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x14ac:dyDescent="0.15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 x14ac:dyDescent="0.15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x14ac:dyDescent="0.15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23</v>
      </c>
      <c r="K46" s="244">
        <f>MAX(K47:K53)</f>
        <v>46086</v>
      </c>
      <c r="L46" s="112"/>
      <c r="M46" s="359">
        <f>(J47*M47+J48*M48+J50*M50+J51*M51+J52*M52+J53*M53)/SUM(J47:J53)</f>
        <v>0.08</v>
      </c>
      <c r="N46" s="359">
        <f ca="1">(K47*N47+K48*N48+K50*N50+K51*N51+K52*N52+K53*N53)/SUM(K47:K53)</f>
        <v>0.14280975440380453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x14ac:dyDescent="0.15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x14ac:dyDescent="0.15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46071</v>
      </c>
      <c r="J48" s="249">
        <v>4</v>
      </c>
      <c r="K48" s="251">
        <f>WORKDAY.INTL(I48,J48,1,Data!$C$3:$C$39)</f>
        <v>46077</v>
      </c>
      <c r="M48" s="252">
        <v>0</v>
      </c>
      <c r="N48" s="252">
        <v>0</v>
      </c>
      <c r="Y48" s="24"/>
    </row>
    <row r="49" spans="2:28" x14ac:dyDescent="0.15">
      <c r="B49" s="714"/>
      <c r="C49" s="715" t="s">
        <v>140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141</v>
      </c>
      <c r="Y49" s="24"/>
    </row>
    <row r="50" spans="2:28" x14ac:dyDescent="0.15">
      <c r="B50" s="246">
        <v>8.3000000000000007</v>
      </c>
      <c r="C50" s="241" t="s">
        <v>142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46077</v>
      </c>
      <c r="J50" s="249">
        <v>5</v>
      </c>
      <c r="K50" s="251">
        <f>WORKDAY.INTL(I50,J50,1,Data!$C$3:$C$39)</f>
        <v>46084</v>
      </c>
      <c r="M50" s="252">
        <v>0</v>
      </c>
      <c r="N50" s="252">
        <v>0</v>
      </c>
      <c r="O50" s="120"/>
      <c r="Y50" s="24"/>
    </row>
    <row r="51" spans="2:28" x14ac:dyDescent="0.15">
      <c r="B51" s="246">
        <v>8.4</v>
      </c>
      <c r="C51" s="241" t="s">
        <v>143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46071</v>
      </c>
      <c r="J51" s="249">
        <v>7</v>
      </c>
      <c r="K51" s="251">
        <f>WORKDAY.INTL(I51,J51,1,Data!$C$3:$C$39)</f>
        <v>46080</v>
      </c>
      <c r="M51" s="252">
        <v>0</v>
      </c>
      <c r="N51" s="252">
        <v>0</v>
      </c>
      <c r="O51" s="120"/>
      <c r="Y51" s="24"/>
    </row>
    <row r="52" spans="2:28" x14ac:dyDescent="0.15">
      <c r="B52" s="246">
        <v>8.5</v>
      </c>
      <c r="C52" s="241" t="s">
        <v>144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x14ac:dyDescent="0.15">
      <c r="B53" s="246">
        <v>8.6</v>
      </c>
      <c r="C53" s="241" t="s">
        <v>145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46079</v>
      </c>
      <c r="J53" s="249">
        <v>5</v>
      </c>
      <c r="K53" s="251">
        <f>WORKDAY.INTL(I53,J53,1,Data!$C$3:$C$39)</f>
        <v>46086</v>
      </c>
      <c r="M53" s="252">
        <v>0</v>
      </c>
      <c r="N53" s="252">
        <v>0</v>
      </c>
      <c r="O53" s="120"/>
      <c r="Y53" s="24"/>
    </row>
    <row r="54" spans="2:28" s="110" customFormat="1" ht="4.5" customHeight="1" x14ac:dyDescent="0.15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 x14ac:dyDescent="0.15">
      <c r="B55" s="167"/>
      <c r="E55" s="168"/>
      <c r="F55" s="107"/>
      <c r="I55" s="3" t="s">
        <v>146</v>
      </c>
      <c r="J55" s="107"/>
    </row>
    <row r="56" spans="2:28" x14ac:dyDescent="0.15">
      <c r="B56" s="165"/>
      <c r="C56" s="110"/>
      <c r="E56" s="110"/>
      <c r="G56" s="111"/>
      <c r="O56" s="110" t="s">
        <v>147</v>
      </c>
    </row>
    <row r="57" spans="2:28" x14ac:dyDescent="0.15">
      <c r="B57" s="165"/>
      <c r="C57" s="110"/>
      <c r="E57" s="110"/>
      <c r="G57" s="111"/>
      <c r="O57" s="110" t="s">
        <v>148</v>
      </c>
    </row>
    <row r="58" spans="2:28" x14ac:dyDescent="0.15">
      <c r="B58" s="165"/>
      <c r="C58" s="110"/>
      <c r="E58" s="110"/>
      <c r="G58" s="111"/>
    </row>
    <row r="59" spans="2:28" x14ac:dyDescent="0.15">
      <c r="B59" s="165"/>
      <c r="C59" s="110"/>
      <c r="E59" s="110"/>
      <c r="G59" s="111"/>
    </row>
    <row r="60" spans="2:28" x14ac:dyDescent="0.15">
      <c r="B60" s="165"/>
      <c r="C60" s="110"/>
      <c r="E60" s="110"/>
      <c r="G60" s="111"/>
    </row>
    <row r="61" spans="2:28" x14ac:dyDescent="0.15">
      <c r="B61" s="165"/>
      <c r="C61" s="110"/>
      <c r="E61" s="110"/>
      <c r="G61" s="111"/>
    </row>
    <row r="62" spans="2:28" x14ac:dyDescent="0.15">
      <c r="B62" s="165"/>
      <c r="C62" s="110"/>
      <c r="E62" s="110"/>
      <c r="G62" s="111"/>
    </row>
    <row r="63" spans="2:28" x14ac:dyDescent="0.15">
      <c r="B63" s="165"/>
      <c r="C63" s="110"/>
      <c r="E63" s="110"/>
      <c r="G63" s="111"/>
    </row>
    <row r="64" spans="2:28" x14ac:dyDescent="0.15">
      <c r="B64" s="165"/>
      <c r="C64" s="110"/>
      <c r="E64" s="110"/>
      <c r="G64" s="111"/>
    </row>
    <row r="65" spans="2:7" x14ac:dyDescent="0.15">
      <c r="B65" s="165"/>
      <c r="C65" s="110"/>
      <c r="E65" s="110"/>
      <c r="G65" s="111"/>
    </row>
    <row r="66" spans="2:7" x14ac:dyDescent="0.15">
      <c r="B66" s="165"/>
      <c r="C66" s="110"/>
      <c r="E66" s="110"/>
      <c r="G66" s="111"/>
    </row>
    <row r="67" spans="2:7" x14ac:dyDescent="0.15">
      <c r="B67" s="165"/>
      <c r="C67" s="110"/>
      <c r="E67" s="110"/>
      <c r="G67" s="111"/>
    </row>
    <row r="68" spans="2:7" x14ac:dyDescent="0.15">
      <c r="B68" s="165"/>
      <c r="C68" s="110"/>
      <c r="E68" s="110"/>
      <c r="G68" s="111"/>
    </row>
    <row r="69" spans="2:7" x14ac:dyDescent="0.15">
      <c r="B69" s="165"/>
      <c r="C69" s="110"/>
      <c r="E69" s="110"/>
      <c r="G69" s="111"/>
    </row>
    <row r="70" spans="2:7" x14ac:dyDescent="0.15">
      <c r="B70" s="165"/>
      <c r="C70" s="110"/>
      <c r="E70" s="110"/>
      <c r="G70" s="111"/>
    </row>
    <row r="71" spans="2:7" x14ac:dyDescent="0.15">
      <c r="B71" s="165"/>
      <c r="C71" s="110"/>
      <c r="E71" s="110"/>
      <c r="G71" s="111"/>
    </row>
    <row r="72" spans="2:7" x14ac:dyDescent="0.15">
      <c r="B72" s="165"/>
      <c r="C72" s="110"/>
      <c r="E72" s="110"/>
      <c r="G72" s="111"/>
    </row>
    <row r="73" spans="2:7" x14ac:dyDescent="0.15">
      <c r="B73" s="165"/>
      <c r="C73" s="110"/>
      <c r="E73" s="110"/>
      <c r="G73" s="111"/>
    </row>
    <row r="74" spans="2:7" x14ac:dyDescent="0.15">
      <c r="B74" s="165"/>
      <c r="C74" s="110"/>
      <c r="E74" s="110"/>
      <c r="G74" s="111"/>
    </row>
    <row r="75" spans="2:7" x14ac:dyDescent="0.15">
      <c r="B75" s="165"/>
      <c r="C75" s="110"/>
      <c r="E75" s="110"/>
      <c r="G75" s="111"/>
    </row>
    <row r="76" spans="2:7" x14ac:dyDescent="0.15">
      <c r="B76" s="165"/>
      <c r="C76" s="110"/>
      <c r="E76" s="110"/>
      <c r="G76" s="111"/>
    </row>
    <row r="77" spans="2:7" x14ac:dyDescent="0.15">
      <c r="B77" s="165"/>
      <c r="C77" s="110"/>
      <c r="E77" s="110"/>
      <c r="G77" s="111"/>
    </row>
    <row r="78" spans="2:7" x14ac:dyDescent="0.15">
      <c r="B78" s="165"/>
      <c r="C78" s="110"/>
      <c r="E78" s="110"/>
      <c r="G78" s="111"/>
    </row>
    <row r="79" spans="2:7" x14ac:dyDescent="0.15">
      <c r="B79" s="165"/>
      <c r="C79" s="110"/>
      <c r="E79" s="110"/>
      <c r="G79" s="111"/>
    </row>
    <row r="80" spans="2:7" x14ac:dyDescent="0.15">
      <c r="B80" s="165"/>
      <c r="C80" s="110"/>
      <c r="E80" s="110"/>
      <c r="G80" s="111"/>
    </row>
    <row r="81" spans="2:7" x14ac:dyDescent="0.15">
      <c r="B81" s="165"/>
      <c r="C81" s="110"/>
      <c r="E81" s="110"/>
      <c r="G81" s="111"/>
    </row>
    <row r="82" spans="2:7" x14ac:dyDescent="0.15">
      <c r="B82" s="165"/>
      <c r="C82" s="110"/>
      <c r="E82" s="110"/>
      <c r="G82" s="111"/>
    </row>
    <row r="83" spans="2:7" x14ac:dyDescent="0.15">
      <c r="B83" s="165"/>
      <c r="C83" s="110"/>
      <c r="E83" s="110"/>
      <c r="G83" s="111"/>
    </row>
    <row r="84" spans="2:7" x14ac:dyDescent="0.15">
      <c r="B84" s="165"/>
      <c r="C84" s="110"/>
      <c r="E84" s="110"/>
      <c r="G84" s="111"/>
    </row>
    <row r="85" spans="2:7" x14ac:dyDescent="0.15">
      <c r="B85" s="165"/>
      <c r="C85" s="110"/>
      <c r="E85" s="110"/>
      <c r="G85" s="111"/>
    </row>
    <row r="86" spans="2:7" x14ac:dyDescent="0.15">
      <c r="B86" s="165"/>
      <c r="C86" s="110"/>
      <c r="E86" s="110"/>
      <c r="G86" s="111"/>
    </row>
    <row r="87" spans="2:7" x14ac:dyDescent="0.15">
      <c r="B87" s="165"/>
      <c r="C87" s="110"/>
      <c r="E87" s="110"/>
      <c r="G87" s="111"/>
    </row>
    <row r="88" spans="2:7" x14ac:dyDescent="0.15">
      <c r="B88" s="165"/>
      <c r="C88" s="110"/>
      <c r="E88" s="110"/>
      <c r="G88" s="111"/>
    </row>
    <row r="89" spans="2:7" x14ac:dyDescent="0.15">
      <c r="B89" s="165"/>
      <c r="C89" s="110"/>
      <c r="E89" s="110"/>
      <c r="G89" s="111"/>
    </row>
    <row r="90" spans="2:7" x14ac:dyDescent="0.15">
      <c r="B90" s="165"/>
      <c r="C90" s="110"/>
      <c r="E90" s="110"/>
      <c r="G90" s="111"/>
    </row>
    <row r="91" spans="2:7" x14ac:dyDescent="0.15">
      <c r="B91" s="165"/>
      <c r="C91" s="110"/>
      <c r="E91" s="110"/>
      <c r="G91" s="111"/>
    </row>
    <row r="92" spans="2:7" x14ac:dyDescent="0.15">
      <c r="B92" s="165"/>
      <c r="C92" s="110"/>
      <c r="E92" s="110"/>
      <c r="G92" s="111"/>
    </row>
    <row r="93" spans="2:7" x14ac:dyDescent="0.15">
      <c r="B93" s="165"/>
      <c r="C93" s="110"/>
      <c r="E93" s="110"/>
      <c r="G93" s="111"/>
    </row>
    <row r="94" spans="2:7" x14ac:dyDescent="0.15">
      <c r="B94" s="165"/>
      <c r="C94" s="110"/>
      <c r="E94" s="110"/>
      <c r="G94" s="111"/>
    </row>
    <row r="95" spans="2:7" x14ac:dyDescent="0.15">
      <c r="B95" s="165"/>
      <c r="C95" s="110"/>
      <c r="E95" s="110"/>
      <c r="G95" s="111"/>
    </row>
    <row r="96" spans="2:7" x14ac:dyDescent="0.15">
      <c r="B96" s="165"/>
      <c r="C96" s="110"/>
      <c r="E96" s="110"/>
      <c r="G96" s="111"/>
    </row>
    <row r="97" spans="2:7" x14ac:dyDescent="0.15">
      <c r="B97" s="165"/>
      <c r="C97" s="110"/>
      <c r="E97" s="110"/>
      <c r="G97" s="111"/>
    </row>
    <row r="98" spans="2:7" x14ac:dyDescent="0.15">
      <c r="B98" s="165"/>
      <c r="C98" s="110"/>
      <c r="E98" s="110"/>
      <c r="G98" s="111"/>
    </row>
    <row r="99" spans="2:7" x14ac:dyDescent="0.15">
      <c r="B99" s="165"/>
      <c r="C99" s="110"/>
      <c r="E99" s="110"/>
      <c r="G99" s="111"/>
    </row>
    <row r="100" spans="2:7" x14ac:dyDescent="0.15">
      <c r="B100" s="165"/>
      <c r="C100" s="110"/>
      <c r="E100" s="110"/>
      <c r="G100" s="111"/>
    </row>
    <row r="101" spans="2:7" x14ac:dyDescent="0.15">
      <c r="B101" s="165"/>
      <c r="C101" s="110"/>
      <c r="E101" s="110"/>
      <c r="G101" s="111"/>
    </row>
    <row r="102" spans="2:7" x14ac:dyDescent="0.15">
      <c r="B102" s="165"/>
      <c r="C102" s="110"/>
      <c r="E102" s="110"/>
      <c r="G102" s="111"/>
    </row>
    <row r="103" spans="2:7" x14ac:dyDescent="0.15">
      <c r="B103" s="165"/>
      <c r="C103" s="110"/>
      <c r="E103" s="110"/>
      <c r="G103" s="111"/>
    </row>
    <row r="104" spans="2:7" x14ac:dyDescent="0.15">
      <c r="B104" s="165"/>
      <c r="C104" s="110"/>
      <c r="E104" s="110"/>
      <c r="G104" s="111"/>
    </row>
    <row r="105" spans="2:7" x14ac:dyDescent="0.15">
      <c r="B105" s="165"/>
      <c r="C105" s="110"/>
      <c r="E105" s="110"/>
      <c r="G105" s="111"/>
    </row>
    <row r="106" spans="2:7" x14ac:dyDescent="0.15">
      <c r="B106" s="165"/>
      <c r="C106" s="110"/>
      <c r="E106" s="110"/>
      <c r="G106" s="111"/>
    </row>
    <row r="107" spans="2:7" x14ac:dyDescent="0.15">
      <c r="B107" s="165"/>
      <c r="C107" s="110"/>
      <c r="E107" s="110"/>
      <c r="G107" s="111"/>
    </row>
    <row r="108" spans="2:7" x14ac:dyDescent="0.15">
      <c r="B108" s="165"/>
      <c r="C108" s="110"/>
      <c r="E108" s="110"/>
      <c r="G108" s="111"/>
    </row>
    <row r="109" spans="2:7" x14ac:dyDescent="0.15">
      <c r="B109" s="165"/>
      <c r="C109" s="110"/>
      <c r="E109" s="110"/>
      <c r="G109" s="111"/>
    </row>
    <row r="110" spans="2:7" x14ac:dyDescent="0.15">
      <c r="B110" s="165"/>
      <c r="C110" s="110"/>
      <c r="E110" s="110"/>
      <c r="G110" s="111"/>
    </row>
    <row r="111" spans="2:7" x14ac:dyDescent="0.15">
      <c r="B111" s="165"/>
      <c r="C111" s="110"/>
      <c r="E111" s="110"/>
      <c r="G111" s="111"/>
    </row>
    <row r="112" spans="2:7" x14ac:dyDescent="0.15">
      <c r="B112" s="165"/>
      <c r="C112" s="110"/>
      <c r="E112" s="110"/>
      <c r="G112" s="111"/>
    </row>
    <row r="113" spans="2:7" x14ac:dyDescent="0.15">
      <c r="B113" s="165"/>
      <c r="C113" s="110"/>
      <c r="E113" s="110"/>
      <c r="G113" s="111"/>
    </row>
    <row r="114" spans="2:7" x14ac:dyDescent="0.15">
      <c r="B114" s="165"/>
      <c r="C114" s="110"/>
      <c r="E114" s="110"/>
      <c r="G114" s="111"/>
    </row>
    <row r="115" spans="2:7" x14ac:dyDescent="0.15">
      <c r="B115" s="165"/>
      <c r="C115" s="110"/>
      <c r="E115" s="110"/>
      <c r="G115" s="111"/>
    </row>
    <row r="116" spans="2:7" x14ac:dyDescent="0.15">
      <c r="B116" s="165"/>
      <c r="C116" s="110"/>
      <c r="E116" s="110"/>
      <c r="G116" s="111"/>
    </row>
    <row r="117" spans="2:7" x14ac:dyDescent="0.15">
      <c r="B117" s="165"/>
      <c r="C117" s="110"/>
      <c r="E117" s="110"/>
      <c r="G117" s="111"/>
    </row>
    <row r="118" spans="2:7" x14ac:dyDescent="0.15">
      <c r="B118" s="165"/>
      <c r="C118" s="110"/>
      <c r="E118" s="110"/>
      <c r="G118" s="111"/>
    </row>
    <row r="119" spans="2:7" x14ac:dyDescent="0.15">
      <c r="B119" s="165"/>
      <c r="C119" s="110"/>
      <c r="E119" s="110"/>
      <c r="G119" s="111"/>
    </row>
    <row r="120" spans="2:7" x14ac:dyDescent="0.15">
      <c r="B120" s="165"/>
      <c r="C120" s="110"/>
      <c r="E120" s="110"/>
      <c r="G120" s="111"/>
    </row>
    <row r="121" spans="2:7" x14ac:dyDescent="0.15">
      <c r="B121" s="165"/>
      <c r="C121" s="110"/>
      <c r="E121" s="110"/>
      <c r="G121" s="111"/>
    </row>
    <row r="122" spans="2:7" x14ac:dyDescent="0.15">
      <c r="B122" s="165"/>
      <c r="C122" s="110"/>
      <c r="E122" s="110"/>
      <c r="G122" s="111"/>
    </row>
    <row r="123" spans="2:7" x14ac:dyDescent="0.15">
      <c r="B123" s="165"/>
      <c r="C123" s="110"/>
      <c r="E123" s="110"/>
      <c r="G123" s="111"/>
    </row>
    <row r="124" spans="2:7" x14ac:dyDescent="0.15">
      <c r="B124" s="165"/>
      <c r="C124" s="110"/>
      <c r="E124" s="110"/>
      <c r="G124" s="111"/>
    </row>
    <row r="125" spans="2:7" x14ac:dyDescent="0.15">
      <c r="B125" s="165"/>
      <c r="C125" s="110"/>
      <c r="E125" s="110"/>
      <c r="G125" s="111"/>
    </row>
    <row r="126" spans="2:7" x14ac:dyDescent="0.15">
      <c r="B126" s="165"/>
      <c r="C126" s="110"/>
      <c r="E126" s="110"/>
      <c r="G126" s="111"/>
    </row>
    <row r="127" spans="2:7" x14ac:dyDescent="0.15">
      <c r="B127" s="165"/>
      <c r="C127" s="110"/>
      <c r="E127" s="110"/>
      <c r="G127" s="111"/>
    </row>
    <row r="128" spans="2:7" x14ac:dyDescent="0.15">
      <c r="B128" s="165"/>
      <c r="C128" s="110"/>
      <c r="E128" s="110"/>
      <c r="G128" s="111"/>
    </row>
    <row r="129" spans="2:7" x14ac:dyDescent="0.15">
      <c r="B129" s="165"/>
      <c r="C129" s="110"/>
      <c r="E129" s="110"/>
      <c r="G129" s="111"/>
    </row>
    <row r="130" spans="2:7" x14ac:dyDescent="0.15">
      <c r="B130" s="165"/>
      <c r="C130" s="110"/>
      <c r="E130" s="110"/>
      <c r="G130" s="111"/>
    </row>
    <row r="131" spans="2:7" x14ac:dyDescent="0.15">
      <c r="B131" s="165"/>
      <c r="C131" s="110"/>
      <c r="E131" s="110"/>
      <c r="G131" s="111"/>
    </row>
    <row r="132" spans="2:7" x14ac:dyDescent="0.15">
      <c r="B132" s="165"/>
      <c r="C132" s="110"/>
      <c r="E132" s="110"/>
      <c r="G132" s="111"/>
    </row>
    <row r="133" spans="2:7" x14ac:dyDescent="0.15">
      <c r="B133" s="165"/>
      <c r="C133" s="110"/>
      <c r="E133" s="110"/>
      <c r="G133" s="111"/>
    </row>
    <row r="134" spans="2:7" x14ac:dyDescent="0.15">
      <c r="B134" s="165"/>
      <c r="C134" s="110"/>
      <c r="E134" s="110"/>
      <c r="G134" s="111"/>
    </row>
    <row r="135" spans="2:7" x14ac:dyDescent="0.15">
      <c r="B135" s="165"/>
      <c r="C135" s="110"/>
      <c r="E135" s="110"/>
      <c r="G135" s="111"/>
    </row>
    <row r="136" spans="2:7" x14ac:dyDescent="0.15">
      <c r="B136" s="165"/>
      <c r="C136" s="110"/>
      <c r="E136" s="110"/>
      <c r="G136" s="111"/>
    </row>
    <row r="137" spans="2:7" x14ac:dyDescent="0.15">
      <c r="B137" s="165"/>
      <c r="C137" s="110"/>
      <c r="E137" s="110"/>
      <c r="G137" s="111"/>
    </row>
    <row r="138" spans="2:7" x14ac:dyDescent="0.15">
      <c r="B138" s="165"/>
      <c r="C138" s="110"/>
      <c r="E138" s="110"/>
      <c r="G138" s="111"/>
    </row>
    <row r="139" spans="2:7" x14ac:dyDescent="0.15">
      <c r="B139" s="165"/>
      <c r="C139" s="110"/>
      <c r="E139" s="110"/>
      <c r="G139" s="111"/>
    </row>
    <row r="140" spans="2:7" x14ac:dyDescent="0.15">
      <c r="B140" s="165"/>
      <c r="C140" s="110"/>
      <c r="E140" s="110"/>
      <c r="G140" s="111"/>
    </row>
    <row r="141" spans="2:7" x14ac:dyDescent="0.15">
      <c r="B141" s="165"/>
      <c r="C141" s="110"/>
      <c r="E141" s="110"/>
      <c r="G141" s="111"/>
    </row>
    <row r="142" spans="2:7" x14ac:dyDescent="0.15">
      <c r="B142" s="165"/>
      <c r="C142" s="110"/>
      <c r="E142" s="110"/>
      <c r="G142" s="111"/>
    </row>
    <row r="143" spans="2:7" x14ac:dyDescent="0.15">
      <c r="B143" s="165"/>
      <c r="C143" s="110"/>
      <c r="E143" s="110"/>
      <c r="G143" s="111"/>
    </row>
    <row r="144" spans="2:7" x14ac:dyDescent="0.15">
      <c r="B144" s="165"/>
      <c r="C144" s="110"/>
      <c r="E144" s="110"/>
      <c r="G144" s="111"/>
    </row>
    <row r="145" spans="2:7" x14ac:dyDescent="0.15">
      <c r="B145" s="165"/>
      <c r="C145" s="110"/>
      <c r="E145" s="110"/>
      <c r="G145" s="111"/>
    </row>
    <row r="146" spans="2:7" x14ac:dyDescent="0.15">
      <c r="B146" s="165"/>
      <c r="C146" s="110"/>
      <c r="E146" s="110"/>
      <c r="G146" s="111"/>
    </row>
    <row r="147" spans="2:7" x14ac:dyDescent="0.15">
      <c r="B147" s="165"/>
      <c r="C147" s="110"/>
      <c r="E147" s="110"/>
      <c r="G147" s="111"/>
    </row>
    <row r="148" spans="2:7" x14ac:dyDescent="0.15">
      <c r="B148" s="165"/>
      <c r="C148" s="110"/>
      <c r="E148" s="110"/>
      <c r="G148" s="111"/>
    </row>
    <row r="149" spans="2:7" x14ac:dyDescent="0.15">
      <c r="B149" s="165"/>
      <c r="C149" s="110"/>
      <c r="E149" s="110"/>
      <c r="G149" s="111"/>
    </row>
    <row r="150" spans="2:7" x14ac:dyDescent="0.15">
      <c r="B150" s="165"/>
      <c r="C150" s="110"/>
      <c r="E150" s="110"/>
      <c r="G150" s="111"/>
    </row>
    <row r="151" spans="2:7" x14ac:dyDescent="0.15">
      <c r="B151" s="165"/>
      <c r="C151" s="110"/>
      <c r="E151" s="110"/>
      <c r="G151" s="111"/>
    </row>
    <row r="152" spans="2:7" x14ac:dyDescent="0.15">
      <c r="B152" s="165"/>
      <c r="C152" s="110"/>
      <c r="E152" s="110"/>
      <c r="G152" s="111"/>
    </row>
    <row r="153" spans="2:7" x14ac:dyDescent="0.15">
      <c r="B153" s="165"/>
      <c r="C153" s="110"/>
      <c r="E153" s="110"/>
      <c r="G153" s="111"/>
    </row>
    <row r="154" spans="2:7" x14ac:dyDescent="0.15">
      <c r="B154" s="165"/>
      <c r="C154" s="110"/>
      <c r="E154" s="110"/>
      <c r="G154" s="111"/>
    </row>
    <row r="155" spans="2:7" x14ac:dyDescent="0.15">
      <c r="B155" s="165"/>
      <c r="C155" s="110"/>
      <c r="E155" s="110"/>
      <c r="G155" s="111"/>
    </row>
    <row r="156" spans="2:7" x14ac:dyDescent="0.15">
      <c r="B156" s="165"/>
      <c r="C156" s="110"/>
      <c r="E156" s="110"/>
      <c r="G156" s="111"/>
    </row>
    <row r="157" spans="2:7" x14ac:dyDescent="0.15">
      <c r="B157" s="165"/>
      <c r="C157" s="110"/>
      <c r="E157" s="110"/>
      <c r="G157" s="111"/>
    </row>
    <row r="158" spans="2:7" x14ac:dyDescent="0.15">
      <c r="B158" s="165"/>
      <c r="C158" s="110"/>
      <c r="E158" s="110"/>
      <c r="G158" s="111"/>
    </row>
    <row r="159" spans="2:7" x14ac:dyDescent="0.15">
      <c r="B159" s="165"/>
      <c r="C159" s="110"/>
      <c r="E159" s="110"/>
      <c r="G159" s="111"/>
    </row>
    <row r="160" spans="2:7" x14ac:dyDescent="0.15">
      <c r="B160" s="165"/>
      <c r="C160" s="110"/>
      <c r="E160" s="110"/>
      <c r="G160" s="111"/>
    </row>
    <row r="161" spans="2:7" x14ac:dyDescent="0.15">
      <c r="B161" s="165"/>
      <c r="C161" s="110"/>
      <c r="E161" s="110"/>
      <c r="G161" s="111"/>
    </row>
    <row r="162" spans="2:7" x14ac:dyDescent="0.15">
      <c r="B162" s="165"/>
      <c r="C162" s="110"/>
      <c r="E162" s="110"/>
      <c r="G162" s="111"/>
    </row>
    <row r="163" spans="2:7" x14ac:dyDescent="0.15">
      <c r="B163" s="165"/>
      <c r="C163" s="110"/>
      <c r="E163" s="110"/>
      <c r="G163" s="111"/>
    </row>
    <row r="164" spans="2:7" x14ac:dyDescent="0.15">
      <c r="B164" s="165"/>
      <c r="C164" s="110"/>
      <c r="E164" s="110"/>
      <c r="G164" s="111"/>
    </row>
    <row r="165" spans="2:7" x14ac:dyDescent="0.15">
      <c r="B165" s="165"/>
      <c r="C165" s="110"/>
      <c r="E165" s="110"/>
      <c r="G165" s="111"/>
    </row>
    <row r="166" spans="2:7" x14ac:dyDescent="0.15">
      <c r="B166" s="165"/>
      <c r="C166" s="110"/>
      <c r="E166" s="110"/>
      <c r="G166" s="111"/>
    </row>
    <row r="167" spans="2:7" x14ac:dyDescent="0.15">
      <c r="B167" s="165"/>
      <c r="C167" s="110"/>
      <c r="E167" s="110"/>
      <c r="G167" s="111"/>
    </row>
    <row r="168" spans="2:7" x14ac:dyDescent="0.15">
      <c r="B168" s="165"/>
      <c r="C168" s="110"/>
      <c r="E168" s="110"/>
      <c r="G168" s="111"/>
    </row>
    <row r="169" spans="2:7" x14ac:dyDescent="0.15">
      <c r="B169" s="165"/>
      <c r="C169" s="110"/>
      <c r="E169" s="110"/>
      <c r="G169" s="111"/>
    </row>
    <row r="170" spans="2:7" x14ac:dyDescent="0.15">
      <c r="B170" s="165"/>
      <c r="C170" s="110"/>
      <c r="E170" s="110"/>
      <c r="G170" s="111"/>
    </row>
    <row r="171" spans="2:7" x14ac:dyDescent="0.15">
      <c r="B171" s="165"/>
      <c r="C171" s="110"/>
      <c r="E171" s="110"/>
      <c r="G171" s="111"/>
    </row>
    <row r="172" spans="2:7" x14ac:dyDescent="0.15">
      <c r="B172" s="165"/>
      <c r="C172" s="110"/>
      <c r="E172" s="110"/>
      <c r="G172" s="111"/>
    </row>
    <row r="173" spans="2:7" x14ac:dyDescent="0.15">
      <c r="B173" s="165"/>
      <c r="C173" s="110"/>
      <c r="E173" s="110"/>
      <c r="G173" s="111"/>
    </row>
    <row r="174" spans="2:7" x14ac:dyDescent="0.15">
      <c r="B174" s="165"/>
      <c r="C174" s="110"/>
      <c r="E174" s="110"/>
      <c r="G174" s="111"/>
    </row>
    <row r="175" spans="2:7" x14ac:dyDescent="0.15">
      <c r="B175" s="165"/>
      <c r="C175" s="110"/>
      <c r="E175" s="110"/>
      <c r="G175" s="111"/>
    </row>
    <row r="176" spans="2:7" x14ac:dyDescent="0.15">
      <c r="B176" s="165"/>
      <c r="C176" s="110"/>
      <c r="E176" s="110"/>
      <c r="G176" s="111"/>
    </row>
    <row r="177" spans="2:7" x14ac:dyDescent="0.15">
      <c r="B177" s="165"/>
      <c r="C177" s="110"/>
      <c r="E177" s="110"/>
      <c r="G177" s="111"/>
    </row>
    <row r="178" spans="2:7" x14ac:dyDescent="0.15">
      <c r="B178" s="165"/>
      <c r="C178" s="110"/>
      <c r="E178" s="110"/>
      <c r="G178" s="111"/>
    </row>
    <row r="179" spans="2:7" x14ac:dyDescent="0.15">
      <c r="B179" s="165"/>
      <c r="C179" s="110"/>
      <c r="E179" s="110"/>
      <c r="G179" s="111"/>
    </row>
    <row r="180" spans="2:7" x14ac:dyDescent="0.15">
      <c r="B180" s="165"/>
      <c r="C180" s="110"/>
      <c r="E180" s="110"/>
      <c r="G180" s="111"/>
    </row>
    <row r="181" spans="2:7" x14ac:dyDescent="0.15">
      <c r="B181" s="165"/>
      <c r="C181" s="110"/>
      <c r="E181" s="110"/>
      <c r="G181" s="111"/>
    </row>
    <row r="182" spans="2:7" x14ac:dyDescent="0.15">
      <c r="B182" s="165"/>
      <c r="C182" s="110"/>
      <c r="E182" s="110"/>
      <c r="G182" s="111"/>
    </row>
    <row r="183" spans="2:7" x14ac:dyDescent="0.15">
      <c r="B183" s="165"/>
      <c r="C183" s="110"/>
      <c r="E183" s="110"/>
      <c r="G183" s="111"/>
    </row>
    <row r="184" spans="2:7" x14ac:dyDescent="0.15">
      <c r="B184" s="165"/>
      <c r="C184" s="110"/>
      <c r="E184" s="110"/>
      <c r="G184" s="111"/>
    </row>
    <row r="185" spans="2:7" x14ac:dyDescent="0.15">
      <c r="B185" s="165"/>
      <c r="C185" s="110"/>
      <c r="E185" s="110"/>
      <c r="G185" s="111"/>
    </row>
    <row r="186" spans="2:7" x14ac:dyDescent="0.15">
      <c r="B186" s="165"/>
      <c r="C186" s="110"/>
      <c r="E186" s="110"/>
      <c r="G186" s="111"/>
    </row>
    <row r="187" spans="2:7" x14ac:dyDescent="0.15">
      <c r="B187" s="165"/>
      <c r="C187" s="110"/>
      <c r="E187" s="110"/>
      <c r="G187" s="111"/>
    </row>
    <row r="188" spans="2:7" x14ac:dyDescent="0.15">
      <c r="B188" s="165"/>
      <c r="C188" s="110"/>
      <c r="E188" s="110"/>
      <c r="G188" s="111"/>
    </row>
    <row r="189" spans="2:7" x14ac:dyDescent="0.15">
      <c r="B189" s="165"/>
      <c r="C189" s="110"/>
      <c r="E189" s="110"/>
      <c r="G189" s="111"/>
    </row>
    <row r="190" spans="2:7" x14ac:dyDescent="0.15">
      <c r="B190" s="165"/>
      <c r="C190" s="110"/>
      <c r="E190" s="110"/>
      <c r="G190" s="111"/>
    </row>
    <row r="191" spans="2:7" x14ac:dyDescent="0.15">
      <c r="B191" s="165"/>
      <c r="C191" s="110"/>
      <c r="E191" s="110"/>
      <c r="G191" s="111"/>
    </row>
    <row r="192" spans="2:7" x14ac:dyDescent="0.15">
      <c r="B192" s="165"/>
      <c r="C192" s="110"/>
      <c r="E192" s="110"/>
      <c r="G192" s="111"/>
    </row>
    <row r="193" spans="2:7" x14ac:dyDescent="0.15">
      <c r="B193" s="165"/>
      <c r="C193" s="110"/>
      <c r="E193" s="110"/>
      <c r="G193" s="111"/>
    </row>
    <row r="194" spans="2:7" x14ac:dyDescent="0.15">
      <c r="B194" s="165"/>
      <c r="C194" s="110"/>
      <c r="E194" s="110"/>
      <c r="G194" s="111"/>
    </row>
    <row r="195" spans="2:7" x14ac:dyDescent="0.15">
      <c r="B195" s="165"/>
      <c r="C195" s="110"/>
      <c r="E195" s="110"/>
      <c r="G195" s="111"/>
    </row>
    <row r="196" spans="2:7" x14ac:dyDescent="0.15">
      <c r="B196" s="165"/>
      <c r="C196" s="110"/>
      <c r="E196" s="110"/>
      <c r="G196" s="111"/>
    </row>
    <row r="197" spans="2:7" x14ac:dyDescent="0.15">
      <c r="B197" s="165"/>
      <c r="C197" s="110"/>
      <c r="E197" s="110"/>
      <c r="G197" s="111"/>
    </row>
    <row r="198" spans="2:7" x14ac:dyDescent="0.15">
      <c r="B198" s="165"/>
      <c r="C198" s="110"/>
      <c r="E198" s="110"/>
      <c r="G198" s="111"/>
    </row>
    <row r="199" spans="2:7" x14ac:dyDescent="0.15">
      <c r="B199" s="165"/>
      <c r="C199" s="110"/>
      <c r="E199" s="110"/>
      <c r="G199" s="111"/>
    </row>
    <row r="200" spans="2:7" x14ac:dyDescent="0.15">
      <c r="B200" s="165"/>
      <c r="C200" s="110"/>
      <c r="E200" s="110"/>
      <c r="G200" s="111"/>
    </row>
    <row r="201" spans="2:7" x14ac:dyDescent="0.15">
      <c r="B201" s="165"/>
      <c r="C201" s="110"/>
      <c r="E201" s="110"/>
      <c r="G201" s="111"/>
    </row>
    <row r="202" spans="2:7" x14ac:dyDescent="0.15">
      <c r="B202" s="165"/>
      <c r="C202" s="110"/>
      <c r="E202" s="110"/>
      <c r="G202" s="111"/>
    </row>
    <row r="203" spans="2:7" x14ac:dyDescent="0.15">
      <c r="B203" s="165"/>
      <c r="C203" s="110"/>
      <c r="E203" s="110"/>
      <c r="G203" s="111"/>
    </row>
    <row r="204" spans="2:7" x14ac:dyDescent="0.15">
      <c r="B204" s="165"/>
      <c r="C204" s="110"/>
      <c r="E204" s="110"/>
      <c r="G204" s="111"/>
    </row>
    <row r="205" spans="2:7" x14ac:dyDescent="0.15">
      <c r="B205" s="165"/>
      <c r="C205" s="110"/>
      <c r="E205" s="110"/>
      <c r="G205" s="111"/>
    </row>
    <row r="206" spans="2:7" x14ac:dyDescent="0.15">
      <c r="B206" s="165"/>
      <c r="C206" s="110"/>
      <c r="E206" s="110"/>
      <c r="G206" s="111"/>
    </row>
    <row r="207" spans="2:7" x14ac:dyDescent="0.15">
      <c r="B207" s="165"/>
      <c r="C207" s="110"/>
      <c r="E207" s="110"/>
      <c r="G207" s="111"/>
    </row>
    <row r="208" spans="2:7" x14ac:dyDescent="0.15">
      <c r="B208" s="165"/>
      <c r="C208" s="110"/>
      <c r="E208" s="110"/>
      <c r="G208" s="111"/>
    </row>
    <row r="209" spans="2:7" x14ac:dyDescent="0.15">
      <c r="B209" s="165"/>
      <c r="C209" s="110"/>
      <c r="E209" s="110"/>
      <c r="G209" s="111"/>
    </row>
    <row r="210" spans="2:7" x14ac:dyDescent="0.15">
      <c r="B210" s="165"/>
      <c r="C210" s="110"/>
      <c r="E210" s="110"/>
      <c r="G210" s="111"/>
    </row>
    <row r="211" spans="2:7" x14ac:dyDescent="0.15">
      <c r="B211" s="165"/>
      <c r="C211" s="110"/>
      <c r="E211" s="110"/>
      <c r="G211" s="111"/>
    </row>
    <row r="212" spans="2:7" x14ac:dyDescent="0.15">
      <c r="B212" s="165"/>
      <c r="C212" s="110"/>
      <c r="E212" s="110"/>
      <c r="G212" s="111"/>
    </row>
    <row r="213" spans="2:7" x14ac:dyDescent="0.15">
      <c r="B213" s="165"/>
      <c r="C213" s="110"/>
      <c r="E213" s="110"/>
      <c r="G213" s="111"/>
    </row>
    <row r="214" spans="2:7" x14ac:dyDescent="0.15">
      <c r="B214" s="165"/>
      <c r="C214" s="110"/>
      <c r="E214" s="110"/>
      <c r="G214" s="111"/>
    </row>
    <row r="215" spans="2:7" x14ac:dyDescent="0.15">
      <c r="B215" s="165"/>
      <c r="C215" s="110"/>
      <c r="E215" s="110"/>
      <c r="G215" s="111"/>
    </row>
    <row r="216" spans="2:7" x14ac:dyDescent="0.15">
      <c r="B216" s="165"/>
      <c r="C216" s="110"/>
      <c r="E216" s="110"/>
      <c r="G216" s="111"/>
    </row>
    <row r="217" spans="2:7" x14ac:dyDescent="0.15">
      <c r="B217" s="165"/>
      <c r="C217" s="110"/>
      <c r="E217" s="110"/>
      <c r="G217" s="111"/>
    </row>
    <row r="218" spans="2:7" x14ac:dyDescent="0.15">
      <c r="B218" s="165"/>
      <c r="C218" s="110"/>
      <c r="E218" s="110"/>
      <c r="G218" s="111"/>
    </row>
    <row r="219" spans="2:7" x14ac:dyDescent="0.15">
      <c r="B219" s="165"/>
      <c r="C219" s="110"/>
      <c r="E219" s="110"/>
      <c r="G219" s="111"/>
    </row>
    <row r="220" spans="2:7" x14ac:dyDescent="0.15">
      <c r="B220" s="165"/>
      <c r="C220" s="110"/>
      <c r="E220" s="110"/>
      <c r="G220" s="111"/>
    </row>
    <row r="221" spans="2:7" x14ac:dyDescent="0.15">
      <c r="B221" s="165"/>
      <c r="C221" s="110"/>
      <c r="E221" s="110"/>
      <c r="G221" s="111"/>
    </row>
    <row r="222" spans="2:7" x14ac:dyDescent="0.15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203125" defaultRowHeight="15" x14ac:dyDescent="0.2"/>
  <cols>
    <col min="1" max="1" width="5.51171875" style="91" customWidth="1"/>
    <col min="2" max="2" width="5.51171875" style="128" customWidth="1"/>
    <col min="3" max="4" width="23.13671875" style="127" customWidth="1"/>
    <col min="5" max="5" width="6.58984375" style="127" customWidth="1"/>
    <col min="6" max="6" width="16.140625" style="127" customWidth="1"/>
    <col min="7" max="7" width="11.8359375" style="127" bestFit="1" customWidth="1"/>
    <col min="8" max="8" width="18.16015625" style="127" bestFit="1" customWidth="1"/>
    <col min="9" max="9" width="0.94140625" style="127" customWidth="1"/>
    <col min="10" max="10" width="2.95703125" style="91" customWidth="1"/>
    <col min="11" max="11" width="0.94140625" style="173" customWidth="1"/>
    <col min="12" max="12" width="29.19140625" style="91" customWidth="1"/>
    <col min="13" max="13" width="0.94140625" style="127" customWidth="1"/>
    <col min="14" max="14" width="29.19140625" style="127" customWidth="1"/>
    <col min="15" max="15" width="0.94140625" style="91" customWidth="1"/>
    <col min="16" max="16" width="18.83203125" style="127" bestFit="1" customWidth="1"/>
    <col min="17" max="17" width="15.19921875" style="127" bestFit="1" customWidth="1"/>
    <col min="18" max="18" width="18.16015625" style="127" customWidth="1"/>
    <col min="19" max="19" width="16.140625" style="127" bestFit="1" customWidth="1"/>
    <col min="20" max="20" width="18.83203125" style="127" bestFit="1" customWidth="1"/>
    <col min="21" max="21" width="15.19921875" style="91" bestFit="1" customWidth="1"/>
    <col min="22" max="23" width="8.203125" style="91"/>
    <col min="24" max="24" width="5.51171875" style="91" bestFit="1" customWidth="1"/>
    <col min="25" max="25" width="14.125" style="91" bestFit="1" customWidth="1"/>
    <col min="26" max="26" width="8.203125" style="91"/>
    <col min="27" max="27" width="14.125" style="91" bestFit="1" customWidth="1"/>
    <col min="28" max="28" width="8.203125" style="127"/>
    <col min="29" max="29" width="12.5078125" style="127" bestFit="1" customWidth="1"/>
    <col min="30" max="16384" width="8.203125" style="127"/>
  </cols>
  <sheetData>
    <row r="1" spans="1:21" s="91" customFormat="1" ht="14.25" customHeight="1" x14ac:dyDescent="0.15">
      <c r="A1" s="376"/>
      <c r="B1" s="115"/>
      <c r="J1" s="139"/>
    </row>
    <row r="2" spans="1:21" s="91" customFormat="1" ht="14.25" customHeight="1" thickBot="1" x14ac:dyDescent="0.2">
      <c r="A2" s="376"/>
      <c r="B2" s="126" t="s">
        <v>149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75" x14ac:dyDescent="0.15">
      <c r="B3" s="115"/>
      <c r="D3" s="123" t="s">
        <v>150</v>
      </c>
      <c r="F3" s="123" t="s">
        <v>151</v>
      </c>
      <c r="J3" s="139"/>
      <c r="L3" s="408" t="s">
        <v>152</v>
      </c>
      <c r="N3" s="408" t="s">
        <v>153</v>
      </c>
      <c r="P3" s="684" t="s">
        <v>154</v>
      </c>
      <c r="Q3" s="684" t="s">
        <v>155</v>
      </c>
      <c r="R3" s="684" t="s">
        <v>156</v>
      </c>
      <c r="S3" s="684" t="s">
        <v>157</v>
      </c>
      <c r="T3" s="684" t="s">
        <v>158</v>
      </c>
      <c r="U3" s="684" t="s">
        <v>159</v>
      </c>
    </row>
    <row r="4" spans="1:21" s="91" customFormat="1" ht="12.75" x14ac:dyDescent="0.15">
      <c r="B4" s="350">
        <v>1</v>
      </c>
      <c r="C4" s="351" t="s">
        <v>160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161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 x14ac:dyDescent="0.15">
      <c r="B5" s="350">
        <v>2</v>
      </c>
      <c r="C5" s="351" t="s">
        <v>162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163</v>
      </c>
      <c r="H5" s="710" t="s">
        <v>164</v>
      </c>
      <c r="J5" s="139"/>
      <c r="L5" s="374"/>
      <c r="N5" s="409"/>
    </row>
    <row r="6" spans="1:21" s="91" customFormat="1" ht="15" customHeight="1" x14ac:dyDescent="0.15">
      <c r="B6" s="350">
        <v>3</v>
      </c>
      <c r="C6" s="351" t="s">
        <v>165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166</v>
      </c>
    </row>
    <row r="7" spans="1:21" s="91" customFormat="1" ht="15" customHeight="1" thickBot="1" x14ac:dyDescent="0.2">
      <c r="B7" s="350">
        <v>4</v>
      </c>
      <c r="C7" s="351" t="s">
        <v>167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 x14ac:dyDescent="0.15">
      <c r="B8" s="115"/>
      <c r="J8" s="139"/>
    </row>
    <row r="9" spans="1:21" s="91" customFormat="1" ht="9.75" customHeight="1" x14ac:dyDescent="0.15">
      <c r="B9" s="115"/>
      <c r="J9" s="139"/>
    </row>
    <row r="10" spans="1:21" s="91" customFormat="1" ht="12.75" x14ac:dyDescent="0.15">
      <c r="B10" s="126" t="s">
        <v>168</v>
      </c>
      <c r="J10" s="139"/>
      <c r="U10" s="126"/>
    </row>
    <row r="11" spans="1:21" s="91" customFormat="1" ht="14.25" customHeight="1" x14ac:dyDescent="0.15">
      <c r="B11" s="115"/>
      <c r="J11" s="139"/>
    </row>
    <row r="12" spans="1:21" s="91" customFormat="1" ht="24.75" x14ac:dyDescent="0.15">
      <c r="B12" s="129" t="s">
        <v>83</v>
      </c>
      <c r="C12" s="130" t="s">
        <v>169</v>
      </c>
      <c r="D12" s="131"/>
      <c r="E12" s="129" t="s">
        <v>170</v>
      </c>
      <c r="F12" s="129" t="s">
        <v>171</v>
      </c>
      <c r="H12" s="355" t="s">
        <v>172</v>
      </c>
      <c r="J12" s="139"/>
      <c r="L12" s="164" t="s">
        <v>173</v>
      </c>
      <c r="M12" s="132"/>
      <c r="N12" s="164" t="s">
        <v>174</v>
      </c>
      <c r="O12" s="127"/>
      <c r="P12" s="164" t="s">
        <v>175</v>
      </c>
      <c r="R12" s="377" t="s">
        <v>176</v>
      </c>
    </row>
    <row r="13" spans="1:21" s="91" customFormat="1" ht="12.75" x14ac:dyDescent="0.15">
      <c r="B13" s="350">
        <v>1</v>
      </c>
      <c r="C13" s="746" t="s">
        <v>177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178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 x14ac:dyDescent="0.15">
      <c r="B14" s="152">
        <v>2</v>
      </c>
      <c r="C14" s="746" t="s">
        <v>179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178</v>
      </c>
      <c r="N14" s="136">
        <v>45778</v>
      </c>
      <c r="O14" s="127"/>
      <c r="P14" s="136">
        <v>45842</v>
      </c>
      <c r="R14" s="378"/>
    </row>
    <row r="15" spans="1:21" s="91" customFormat="1" ht="12.75" x14ac:dyDescent="0.15">
      <c r="B15" s="350">
        <v>3</v>
      </c>
      <c r="C15" s="746" t="s">
        <v>180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178</v>
      </c>
      <c r="N15" s="136">
        <v>45778</v>
      </c>
      <c r="O15" s="127"/>
      <c r="P15" s="136">
        <v>45828</v>
      </c>
      <c r="R15" s="378"/>
    </row>
    <row r="16" spans="1:21" s="91" customFormat="1" ht="12.75" x14ac:dyDescent="0.15">
      <c r="B16" s="350">
        <v>4</v>
      </c>
      <c r="C16" s="744" t="s">
        <v>181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178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 x14ac:dyDescent="0.15">
      <c r="B17" s="350">
        <v>5</v>
      </c>
      <c r="C17" s="744" t="s">
        <v>182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178</v>
      </c>
      <c r="N17" s="136">
        <v>45778</v>
      </c>
      <c r="O17" s="127"/>
      <c r="P17" s="137">
        <f>'Project Plan'!I51+7</f>
        <v>46078</v>
      </c>
      <c r="R17" s="378"/>
    </row>
    <row r="18" spans="2:18" s="91" customFormat="1" ht="12.75" x14ac:dyDescent="0.1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178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 x14ac:dyDescent="0.15">
      <c r="B19" s="350">
        <v>7</v>
      </c>
      <c r="C19" s="746" t="s">
        <v>183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 x14ac:dyDescent="0.15">
      <c r="B20" s="115"/>
      <c r="E20" s="138"/>
      <c r="F20" s="114"/>
      <c r="H20" s="356"/>
      <c r="J20" s="139"/>
    </row>
    <row r="21" spans="2:18" s="91" customFormat="1" ht="12.75" x14ac:dyDescent="0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 x14ac:dyDescent="0.15">
      <c r="B22" s="140"/>
      <c r="F22" s="141"/>
    </row>
    <row r="23" spans="2:18" s="91" customFormat="1" ht="24.75" customHeight="1" x14ac:dyDescent="0.15">
      <c r="B23" s="142" t="s">
        <v>184</v>
      </c>
      <c r="C23" s="143" t="s">
        <v>185</v>
      </c>
      <c r="D23" s="143"/>
      <c r="F23" s="144"/>
    </row>
    <row r="24" spans="2:18" s="91" customFormat="1" ht="12.75" x14ac:dyDescent="0.15">
      <c r="C24" s="145" t="s">
        <v>186</v>
      </c>
      <c r="D24" s="146"/>
      <c r="F24" s="147"/>
    </row>
    <row r="25" spans="2:18" s="91" customFormat="1" ht="12.75" x14ac:dyDescent="0.15">
      <c r="C25" s="145" t="s">
        <v>187</v>
      </c>
      <c r="D25" s="146"/>
    </row>
    <row r="26" spans="2:18" s="91" customFormat="1" ht="12.75" x14ac:dyDescent="0.15">
      <c r="C26" s="148" t="s">
        <v>188</v>
      </c>
      <c r="D26" s="149"/>
    </row>
    <row r="27" spans="2:18" s="91" customFormat="1" ht="12.75" x14ac:dyDescent="0.15">
      <c r="C27" s="150" t="s">
        <v>189</v>
      </c>
      <c r="D27" s="146"/>
      <c r="L27" s="114"/>
    </row>
    <row r="28" spans="2:18" s="91" customFormat="1" ht="12.75" x14ac:dyDescent="0.15">
      <c r="B28" s="115"/>
      <c r="C28" s="150" t="s">
        <v>190</v>
      </c>
      <c r="D28" s="146"/>
    </row>
    <row r="29" spans="2:18" s="91" customFormat="1" ht="12.75" x14ac:dyDescent="0.15">
      <c r="B29" s="115"/>
      <c r="C29" s="91" t="s">
        <v>191</v>
      </c>
    </row>
    <row r="30" spans="2:18" s="91" customFormat="1" ht="27.75" customHeight="1" x14ac:dyDescent="0.15">
      <c r="B30" s="115"/>
      <c r="C30" s="151" t="s">
        <v>192</v>
      </c>
      <c r="D30" s="151"/>
      <c r="F30" s="147"/>
    </row>
    <row r="31" spans="2:18" s="91" customFormat="1" ht="12.75" x14ac:dyDescent="0.15">
      <c r="B31" s="115"/>
      <c r="F31" s="144"/>
    </row>
    <row r="32" spans="2:18" s="91" customFormat="1" ht="12.75" x14ac:dyDescent="0.15">
      <c r="B32" s="115"/>
      <c r="F32" s="144"/>
    </row>
    <row r="33" spans="2:6" s="91" customFormat="1" ht="12.75" x14ac:dyDescent="0.15">
      <c r="B33" s="115"/>
      <c r="F33" s="144"/>
    </row>
    <row r="34" spans="2:6" s="91" customFormat="1" ht="12.75" x14ac:dyDescent="0.15">
      <c r="B34" s="115"/>
      <c r="F34" s="144"/>
    </row>
    <row r="35" spans="2:6" s="91" customFormat="1" ht="12.75" x14ac:dyDescent="0.15">
      <c r="B35" s="115"/>
    </row>
    <row r="36" spans="2:6" s="91" customFormat="1" ht="12.75" x14ac:dyDescent="0.15">
      <c r="B36" s="115"/>
    </row>
    <row r="37" spans="2:6" s="91" customFormat="1" ht="12.75" x14ac:dyDescent="0.15">
      <c r="B37" s="115"/>
    </row>
    <row r="38" spans="2:6" s="91" customFormat="1" ht="12.75" hidden="1" customHeight="1" x14ac:dyDescent="0.15">
      <c r="B38" s="115"/>
    </row>
    <row r="39" spans="2:6" s="91" customFormat="1" ht="12.75" hidden="1" customHeight="1" x14ac:dyDescent="0.15">
      <c r="B39" s="115"/>
    </row>
    <row r="40" spans="2:6" s="91" customFormat="1" ht="13.5" hidden="1" customHeight="1" x14ac:dyDescent="0.15">
      <c r="B40" s="129" t="s">
        <v>83</v>
      </c>
      <c r="C40" s="130" t="s">
        <v>169</v>
      </c>
      <c r="D40" s="131"/>
      <c r="E40" s="129" t="s">
        <v>170</v>
      </c>
      <c r="F40" s="129" t="s">
        <v>171</v>
      </c>
    </row>
    <row r="41" spans="2:6" s="91" customFormat="1" ht="12.75" hidden="1" customHeight="1" x14ac:dyDescent="0.15">
      <c r="B41" s="152">
        <v>1</v>
      </c>
      <c r="C41" s="153" t="s">
        <v>193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 x14ac:dyDescent="0.15">
      <c r="B42" s="152">
        <v>2</v>
      </c>
      <c r="C42" s="153" t="s">
        <v>179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 x14ac:dyDescent="0.15">
      <c r="B43" s="152">
        <v>3</v>
      </c>
      <c r="C43" s="153" t="s">
        <v>180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 x14ac:dyDescent="0.15">
      <c r="B44" s="152">
        <v>4</v>
      </c>
      <c r="C44" s="153" t="s">
        <v>194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 x14ac:dyDescent="0.2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 x14ac:dyDescent="0.2">
      <c r="B46" s="158"/>
      <c r="C46" s="159" t="s">
        <v>195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 x14ac:dyDescent="0.15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 x14ac:dyDescent="0.15">
      <c r="B48" s="115"/>
    </row>
    <row r="49" spans="2:2" s="91" customFormat="1" ht="12.75" x14ac:dyDescent="0.15">
      <c r="B49" s="115"/>
    </row>
    <row r="50" spans="2:2" s="91" customFormat="1" ht="12.75" x14ac:dyDescent="0.15">
      <c r="B50" s="115"/>
    </row>
    <row r="51" spans="2:2" s="91" customFormat="1" ht="12.75" x14ac:dyDescent="0.15">
      <c r="B51" s="115"/>
    </row>
    <row r="52" spans="2:2" s="91" customFormat="1" ht="12.75" x14ac:dyDescent="0.15">
      <c r="B52" s="115"/>
    </row>
    <row r="53" spans="2:2" s="91" customFormat="1" ht="12.75" x14ac:dyDescent="0.15">
      <c r="B53" s="115"/>
    </row>
    <row r="54" spans="2:2" s="91" customFormat="1" ht="12.75" x14ac:dyDescent="0.15">
      <c r="B54" s="115"/>
    </row>
    <row r="55" spans="2:2" s="91" customFormat="1" ht="12.75" x14ac:dyDescent="0.15">
      <c r="B55" s="115"/>
    </row>
    <row r="56" spans="2:2" s="91" customFormat="1" ht="12.75" x14ac:dyDescent="0.15">
      <c r="B56" s="115"/>
    </row>
    <row r="57" spans="2:2" s="91" customFormat="1" ht="12.75" x14ac:dyDescent="0.15">
      <c r="B57" s="115"/>
    </row>
    <row r="58" spans="2:2" s="91" customFormat="1" ht="12.75" x14ac:dyDescent="0.15">
      <c r="B58" s="115"/>
    </row>
    <row r="59" spans="2:2" s="91" customFormat="1" ht="12.75" x14ac:dyDescent="0.15">
      <c r="B59" s="115"/>
    </row>
    <row r="60" spans="2:2" s="91" customFormat="1" ht="12.75" x14ac:dyDescent="0.15">
      <c r="B60" s="115"/>
    </row>
    <row r="61" spans="2:2" s="91" customFormat="1" ht="12.75" x14ac:dyDescent="0.15">
      <c r="B61" s="115"/>
    </row>
    <row r="62" spans="2:2" s="91" customFormat="1" ht="12.75" x14ac:dyDescent="0.15">
      <c r="B62" s="115"/>
    </row>
    <row r="63" spans="2:2" s="91" customFormat="1" ht="12.75" x14ac:dyDescent="0.15">
      <c r="B63" s="115"/>
    </row>
    <row r="64" spans="2:2" s="91" customFormat="1" ht="12.75" x14ac:dyDescent="0.15">
      <c r="B64" s="115"/>
    </row>
    <row r="65" spans="2:2" s="91" customFormat="1" ht="12.75" x14ac:dyDescent="0.15">
      <c r="B65" s="115"/>
    </row>
    <row r="66" spans="2:2" s="91" customFormat="1" ht="12.75" x14ac:dyDescent="0.15">
      <c r="B66" s="115"/>
    </row>
    <row r="67" spans="2:2" s="91" customFormat="1" ht="12.75" x14ac:dyDescent="0.15">
      <c r="B67" s="115"/>
    </row>
    <row r="68" spans="2:2" s="91" customFormat="1" ht="12.75" x14ac:dyDescent="0.15">
      <c r="B68" s="115"/>
    </row>
    <row r="69" spans="2:2" s="91" customFormat="1" ht="12.75" x14ac:dyDescent="0.15">
      <c r="B69" s="115"/>
    </row>
    <row r="70" spans="2:2" s="91" customFormat="1" ht="12.75" x14ac:dyDescent="0.15">
      <c r="B70" s="115"/>
    </row>
    <row r="71" spans="2:2" s="91" customFormat="1" ht="12.75" x14ac:dyDescent="0.15">
      <c r="B71" s="115"/>
    </row>
    <row r="72" spans="2:2" s="91" customFormat="1" ht="12.75" x14ac:dyDescent="0.15">
      <c r="B72" s="115"/>
    </row>
    <row r="73" spans="2:2" s="91" customFormat="1" ht="12.75" x14ac:dyDescent="0.15">
      <c r="B73" s="115"/>
    </row>
    <row r="74" spans="2:2" s="91" customFormat="1" ht="12.75" x14ac:dyDescent="0.15">
      <c r="B74" s="115"/>
    </row>
    <row r="75" spans="2:2" s="91" customFormat="1" ht="12.75" x14ac:dyDescent="0.15">
      <c r="B75" s="115"/>
    </row>
    <row r="76" spans="2:2" s="91" customFormat="1" ht="12.75" x14ac:dyDescent="0.15">
      <c r="B76" s="115"/>
    </row>
    <row r="77" spans="2:2" s="91" customFormat="1" ht="12.75" x14ac:dyDescent="0.15">
      <c r="B77" s="115"/>
    </row>
    <row r="78" spans="2:2" s="91" customFormat="1" ht="12.75" x14ac:dyDescent="0.15">
      <c r="B78" s="115"/>
    </row>
    <row r="79" spans="2:2" s="91" customFormat="1" ht="12.75" x14ac:dyDescent="0.15">
      <c r="B79" s="115"/>
    </row>
    <row r="80" spans="2:2" s="91" customFormat="1" ht="12.75" x14ac:dyDescent="0.15">
      <c r="B80" s="115"/>
    </row>
    <row r="81" spans="2:2" s="91" customFormat="1" ht="12.75" x14ac:dyDescent="0.15">
      <c r="B81" s="115"/>
    </row>
    <row r="82" spans="2:2" s="91" customFormat="1" ht="12.75" x14ac:dyDescent="0.15">
      <c r="B82" s="115"/>
    </row>
    <row r="83" spans="2:2" s="91" customFormat="1" ht="12.75" x14ac:dyDescent="0.15">
      <c r="B83" s="115"/>
    </row>
    <row r="84" spans="2:2" s="91" customFormat="1" ht="12.75" x14ac:dyDescent="0.15">
      <c r="B84" s="115"/>
    </row>
    <row r="85" spans="2:2" s="91" customFormat="1" ht="12.75" x14ac:dyDescent="0.15">
      <c r="B85" s="115"/>
    </row>
    <row r="86" spans="2:2" s="91" customFormat="1" ht="12.75" x14ac:dyDescent="0.15">
      <c r="B86" s="115"/>
    </row>
    <row r="87" spans="2:2" s="91" customFormat="1" ht="12.75" x14ac:dyDescent="0.15">
      <c r="B87" s="115"/>
    </row>
    <row r="88" spans="2:2" s="91" customFormat="1" ht="12.75" x14ac:dyDescent="0.15">
      <c r="B88" s="115"/>
    </row>
    <row r="89" spans="2:2" s="91" customFormat="1" ht="12.75" x14ac:dyDescent="0.15">
      <c r="B89" s="115"/>
    </row>
    <row r="90" spans="2:2" s="91" customFormat="1" ht="12.75" x14ac:dyDescent="0.15">
      <c r="B90" s="115"/>
    </row>
    <row r="91" spans="2:2" s="91" customFormat="1" ht="12.75" x14ac:dyDescent="0.15">
      <c r="B91" s="115"/>
    </row>
    <row r="92" spans="2:2" s="91" customFormat="1" ht="12.75" x14ac:dyDescent="0.15">
      <c r="B92" s="115"/>
    </row>
    <row r="93" spans="2:2" s="91" customFormat="1" ht="12.75" x14ac:dyDescent="0.15">
      <c r="B93" s="115"/>
    </row>
    <row r="94" spans="2:2" s="91" customFormat="1" ht="12.75" x14ac:dyDescent="0.15">
      <c r="B94" s="115"/>
    </row>
    <row r="95" spans="2:2" s="91" customFormat="1" ht="12.75" x14ac:dyDescent="0.15">
      <c r="B95" s="115"/>
    </row>
    <row r="96" spans="2:2" s="91" customFormat="1" ht="12.75" x14ac:dyDescent="0.15">
      <c r="B96" s="115"/>
    </row>
    <row r="97" spans="2:2" s="91" customFormat="1" ht="12.75" x14ac:dyDescent="0.15">
      <c r="B97" s="115"/>
    </row>
    <row r="98" spans="2:2" s="91" customFormat="1" ht="12.75" x14ac:dyDescent="0.15">
      <c r="B98" s="115"/>
    </row>
    <row r="99" spans="2:2" s="91" customFormat="1" ht="12.75" x14ac:dyDescent="0.15">
      <c r="B99" s="115"/>
    </row>
    <row r="100" spans="2:2" s="91" customFormat="1" ht="12.75" x14ac:dyDescent="0.15">
      <c r="B100" s="115"/>
    </row>
    <row r="101" spans="2:2" s="91" customFormat="1" ht="12.75" x14ac:dyDescent="0.15">
      <c r="B101" s="115"/>
    </row>
    <row r="102" spans="2:2" s="91" customFormat="1" ht="12.75" x14ac:dyDescent="0.15">
      <c r="B102" s="115"/>
    </row>
    <row r="103" spans="2:2" s="91" customFormat="1" ht="12.75" x14ac:dyDescent="0.15">
      <c r="B103" s="115"/>
    </row>
    <row r="104" spans="2:2" s="91" customFormat="1" ht="12.75" x14ac:dyDescent="0.15">
      <c r="B104" s="115"/>
    </row>
    <row r="105" spans="2:2" s="91" customFormat="1" ht="12.75" x14ac:dyDescent="0.15">
      <c r="B105" s="115"/>
    </row>
    <row r="106" spans="2:2" s="91" customFormat="1" ht="12.75" x14ac:dyDescent="0.15">
      <c r="B106" s="115"/>
    </row>
    <row r="107" spans="2:2" s="91" customFormat="1" ht="12.75" x14ac:dyDescent="0.15">
      <c r="B107" s="115"/>
    </row>
    <row r="108" spans="2:2" s="91" customFormat="1" ht="12.75" x14ac:dyDescent="0.15">
      <c r="B108" s="115"/>
    </row>
    <row r="109" spans="2:2" s="91" customFormat="1" ht="12.75" x14ac:dyDescent="0.15">
      <c r="B109" s="115"/>
    </row>
    <row r="110" spans="2:2" s="91" customFormat="1" ht="12.75" x14ac:dyDescent="0.15">
      <c r="B110" s="115"/>
    </row>
    <row r="111" spans="2:2" s="91" customFormat="1" ht="12.75" x14ac:dyDescent="0.15">
      <c r="B111" s="115"/>
    </row>
    <row r="112" spans="2:2" s="91" customFormat="1" ht="12.75" x14ac:dyDescent="0.15">
      <c r="B112" s="115"/>
    </row>
    <row r="113" spans="2:2" s="91" customFormat="1" ht="12.75" x14ac:dyDescent="0.15">
      <c r="B113" s="115"/>
    </row>
    <row r="114" spans="2:2" s="91" customFormat="1" ht="12.75" x14ac:dyDescent="0.15">
      <c r="B114" s="115"/>
    </row>
    <row r="115" spans="2:2" s="91" customFormat="1" ht="12.75" x14ac:dyDescent="0.15">
      <c r="B115" s="115"/>
    </row>
    <row r="116" spans="2:2" s="91" customFormat="1" ht="12.75" x14ac:dyDescent="0.15">
      <c r="B116" s="115"/>
    </row>
    <row r="117" spans="2:2" s="91" customFormat="1" ht="12.75" x14ac:dyDescent="0.15">
      <c r="B117" s="115"/>
    </row>
    <row r="118" spans="2:2" s="91" customFormat="1" ht="12.75" x14ac:dyDescent="0.15">
      <c r="B118" s="115"/>
    </row>
    <row r="119" spans="2:2" s="91" customFormat="1" ht="12.75" x14ac:dyDescent="0.15">
      <c r="B119" s="115"/>
    </row>
    <row r="120" spans="2:2" s="91" customFormat="1" ht="12.75" x14ac:dyDescent="0.15">
      <c r="B120" s="115"/>
    </row>
    <row r="121" spans="2:2" s="91" customFormat="1" ht="12.75" x14ac:dyDescent="0.15">
      <c r="B121" s="115"/>
    </row>
    <row r="122" spans="2:2" s="91" customFormat="1" ht="12.75" x14ac:dyDescent="0.15">
      <c r="B122" s="115"/>
    </row>
    <row r="123" spans="2:2" s="91" customFormat="1" ht="12.75" x14ac:dyDescent="0.15">
      <c r="B123" s="115"/>
    </row>
    <row r="124" spans="2:2" s="91" customFormat="1" ht="12.75" x14ac:dyDescent="0.15">
      <c r="B124" s="115"/>
    </row>
    <row r="125" spans="2:2" s="91" customFormat="1" ht="12.75" x14ac:dyDescent="0.15">
      <c r="B125" s="115"/>
    </row>
    <row r="126" spans="2:2" s="91" customFormat="1" ht="12.75" x14ac:dyDescent="0.15">
      <c r="B126" s="115"/>
    </row>
    <row r="127" spans="2:2" s="91" customFormat="1" ht="12.75" x14ac:dyDescent="0.15">
      <c r="B127" s="115"/>
    </row>
    <row r="128" spans="2:2" s="91" customFormat="1" ht="12.75" x14ac:dyDescent="0.15">
      <c r="B128" s="115"/>
    </row>
    <row r="129" spans="2:2" s="91" customFormat="1" ht="12.75" x14ac:dyDescent="0.15">
      <c r="B129" s="115"/>
    </row>
    <row r="130" spans="2:2" s="91" customFormat="1" ht="12.75" x14ac:dyDescent="0.15">
      <c r="B130" s="115"/>
    </row>
    <row r="131" spans="2:2" s="91" customFormat="1" ht="12.75" x14ac:dyDescent="0.15">
      <c r="B131" s="115"/>
    </row>
    <row r="132" spans="2:2" s="91" customFormat="1" ht="12.75" x14ac:dyDescent="0.15">
      <c r="B132" s="115"/>
    </row>
    <row r="133" spans="2:2" s="91" customFormat="1" ht="12.75" x14ac:dyDescent="0.15">
      <c r="B133" s="115"/>
    </row>
    <row r="134" spans="2:2" s="91" customFormat="1" ht="12.75" x14ac:dyDescent="0.15">
      <c r="B134" s="115"/>
    </row>
    <row r="135" spans="2:2" s="91" customFormat="1" ht="12.75" x14ac:dyDescent="0.15">
      <c r="B135" s="115"/>
    </row>
    <row r="136" spans="2:2" s="91" customFormat="1" ht="12.75" x14ac:dyDescent="0.15">
      <c r="B136" s="115"/>
    </row>
    <row r="137" spans="2:2" s="91" customFormat="1" ht="12.75" x14ac:dyDescent="0.15">
      <c r="B137" s="115"/>
    </row>
    <row r="138" spans="2:2" s="91" customFormat="1" ht="12.75" x14ac:dyDescent="0.15">
      <c r="B138" s="115"/>
    </row>
    <row r="139" spans="2:2" s="91" customFormat="1" ht="12.75" x14ac:dyDescent="0.15">
      <c r="B139" s="115"/>
    </row>
    <row r="140" spans="2:2" s="91" customFormat="1" ht="12.75" x14ac:dyDescent="0.15">
      <c r="B140" s="115"/>
    </row>
    <row r="141" spans="2:2" s="91" customFormat="1" ht="12.75" x14ac:dyDescent="0.15">
      <c r="B141" s="115"/>
    </row>
    <row r="142" spans="2:2" s="91" customFormat="1" ht="12.75" x14ac:dyDescent="0.15">
      <c r="B142" s="115"/>
    </row>
    <row r="143" spans="2:2" s="91" customFormat="1" ht="12.75" x14ac:dyDescent="0.15">
      <c r="B143" s="115"/>
    </row>
    <row r="144" spans="2:2" s="91" customFormat="1" ht="12.75" x14ac:dyDescent="0.15">
      <c r="B144" s="115"/>
    </row>
    <row r="145" spans="2:2" s="91" customFormat="1" ht="12.75" x14ac:dyDescent="0.15">
      <c r="B145" s="115"/>
    </row>
    <row r="146" spans="2:2" s="91" customFormat="1" ht="12.75" x14ac:dyDescent="0.15">
      <c r="B146" s="115"/>
    </row>
    <row r="147" spans="2:2" s="91" customFormat="1" ht="12.75" x14ac:dyDescent="0.15">
      <c r="B147" s="115"/>
    </row>
    <row r="148" spans="2:2" s="91" customFormat="1" ht="12.75" x14ac:dyDescent="0.15">
      <c r="B148" s="115"/>
    </row>
    <row r="149" spans="2:2" s="91" customFormat="1" ht="12.75" x14ac:dyDescent="0.15">
      <c r="B149" s="115"/>
    </row>
    <row r="150" spans="2:2" s="91" customFormat="1" ht="12.75" x14ac:dyDescent="0.15">
      <c r="B150" s="115"/>
    </row>
    <row r="151" spans="2:2" s="91" customFormat="1" ht="12.75" x14ac:dyDescent="0.15">
      <c r="B151" s="115"/>
    </row>
    <row r="152" spans="2:2" s="91" customFormat="1" ht="12.75" x14ac:dyDescent="0.15">
      <c r="B152" s="115"/>
    </row>
    <row r="153" spans="2:2" s="91" customFormat="1" ht="12.75" x14ac:dyDescent="0.15">
      <c r="B153" s="115"/>
    </row>
    <row r="154" spans="2:2" s="91" customFormat="1" ht="12.75" x14ac:dyDescent="0.15">
      <c r="B154" s="115"/>
    </row>
    <row r="155" spans="2:2" s="91" customFormat="1" ht="12.75" x14ac:dyDescent="0.15">
      <c r="B155" s="115"/>
    </row>
    <row r="156" spans="2:2" s="91" customFormat="1" ht="12.75" x14ac:dyDescent="0.15">
      <c r="B156" s="115"/>
    </row>
    <row r="157" spans="2:2" s="91" customFormat="1" ht="12.75" x14ac:dyDescent="0.15">
      <c r="B157" s="115"/>
    </row>
    <row r="158" spans="2:2" s="91" customFormat="1" ht="12.75" x14ac:dyDescent="0.15">
      <c r="B158" s="115"/>
    </row>
    <row r="159" spans="2:2" s="91" customFormat="1" ht="12.75" x14ac:dyDescent="0.15">
      <c r="B159" s="115"/>
    </row>
    <row r="160" spans="2:2" s="91" customFormat="1" ht="12.75" x14ac:dyDescent="0.15">
      <c r="B160" s="115"/>
    </row>
    <row r="161" spans="2:2" s="91" customFormat="1" ht="12.75" x14ac:dyDescent="0.15">
      <c r="B161" s="115"/>
    </row>
    <row r="162" spans="2:2" s="91" customFormat="1" ht="12.75" x14ac:dyDescent="0.15">
      <c r="B162" s="115"/>
    </row>
    <row r="163" spans="2:2" s="91" customFormat="1" ht="12.75" x14ac:dyDescent="0.15">
      <c r="B163" s="115"/>
    </row>
    <row r="164" spans="2:2" s="91" customFormat="1" ht="12.75" x14ac:dyDescent="0.15">
      <c r="B164" s="115"/>
    </row>
    <row r="165" spans="2:2" s="91" customFormat="1" ht="12.75" x14ac:dyDescent="0.15">
      <c r="B165" s="115"/>
    </row>
    <row r="166" spans="2:2" s="91" customFormat="1" ht="12.75" x14ac:dyDescent="0.15">
      <c r="B166" s="115"/>
    </row>
    <row r="167" spans="2:2" s="91" customFormat="1" ht="12.75" x14ac:dyDescent="0.15">
      <c r="B167" s="115"/>
    </row>
    <row r="168" spans="2:2" s="91" customFormat="1" ht="12.75" x14ac:dyDescent="0.15">
      <c r="B168" s="115"/>
    </row>
    <row r="169" spans="2:2" s="91" customFormat="1" ht="12.75" x14ac:dyDescent="0.15">
      <c r="B169" s="115"/>
    </row>
    <row r="170" spans="2:2" s="91" customFormat="1" ht="12.75" x14ac:dyDescent="0.15">
      <c r="B170" s="115"/>
    </row>
    <row r="171" spans="2:2" s="91" customFormat="1" ht="12.75" x14ac:dyDescent="0.15">
      <c r="B171" s="115"/>
    </row>
    <row r="172" spans="2:2" s="91" customFormat="1" ht="12.75" x14ac:dyDescent="0.15">
      <c r="B172" s="115"/>
    </row>
    <row r="173" spans="2:2" s="91" customFormat="1" ht="12.75" x14ac:dyDescent="0.15">
      <c r="B173" s="115"/>
    </row>
    <row r="174" spans="2:2" s="91" customFormat="1" ht="12.75" x14ac:dyDescent="0.15">
      <c r="B174" s="115"/>
    </row>
    <row r="175" spans="2:2" s="91" customFormat="1" ht="12.75" x14ac:dyDescent="0.15">
      <c r="B175" s="115"/>
    </row>
    <row r="176" spans="2:2" s="91" customFormat="1" ht="12.75" x14ac:dyDescent="0.15">
      <c r="B176" s="115"/>
    </row>
    <row r="177" spans="2:2" s="91" customFormat="1" ht="12.75" x14ac:dyDescent="0.15">
      <c r="B177" s="115"/>
    </row>
    <row r="178" spans="2:2" s="91" customFormat="1" ht="12.75" x14ac:dyDescent="0.15">
      <c r="B178" s="115"/>
    </row>
    <row r="179" spans="2:2" s="91" customFormat="1" ht="12.75" x14ac:dyDescent="0.15">
      <c r="B179" s="115"/>
    </row>
    <row r="180" spans="2:2" s="91" customFormat="1" ht="12.75" x14ac:dyDescent="0.15">
      <c r="B180" s="115"/>
    </row>
    <row r="181" spans="2:2" s="91" customFormat="1" ht="12.75" x14ac:dyDescent="0.15">
      <c r="B181" s="115"/>
    </row>
    <row r="182" spans="2:2" s="91" customFormat="1" ht="12.75" x14ac:dyDescent="0.15">
      <c r="B182" s="115"/>
    </row>
    <row r="183" spans="2:2" s="91" customFormat="1" ht="12.75" x14ac:dyDescent="0.15">
      <c r="B183" s="115"/>
    </row>
    <row r="184" spans="2:2" s="91" customFormat="1" ht="12.75" x14ac:dyDescent="0.15">
      <c r="B184" s="115"/>
    </row>
    <row r="185" spans="2:2" s="91" customFormat="1" ht="12.75" x14ac:dyDescent="0.15">
      <c r="B185" s="115"/>
    </row>
    <row r="186" spans="2:2" s="91" customFormat="1" ht="12.75" x14ac:dyDescent="0.15">
      <c r="B186" s="115"/>
    </row>
    <row r="187" spans="2:2" s="91" customFormat="1" ht="12.75" x14ac:dyDescent="0.15">
      <c r="B187" s="115"/>
    </row>
    <row r="188" spans="2:2" s="91" customFormat="1" ht="12.75" x14ac:dyDescent="0.15">
      <c r="B188" s="115"/>
    </row>
    <row r="189" spans="2:2" s="91" customFormat="1" ht="12.75" x14ac:dyDescent="0.15">
      <c r="B189" s="115"/>
    </row>
    <row r="190" spans="2:2" s="91" customFormat="1" ht="12.75" x14ac:dyDescent="0.15">
      <c r="B190" s="115"/>
    </row>
    <row r="191" spans="2:2" s="91" customFormat="1" ht="12.75" x14ac:dyDescent="0.15">
      <c r="B191" s="115"/>
    </row>
    <row r="192" spans="2:2" s="91" customFormat="1" ht="12.75" x14ac:dyDescent="0.15">
      <c r="B192" s="115"/>
    </row>
    <row r="193" spans="2:2" s="91" customFormat="1" ht="12.75" x14ac:dyDescent="0.15">
      <c r="B193" s="115"/>
    </row>
    <row r="194" spans="2:2" s="91" customFormat="1" ht="12.75" x14ac:dyDescent="0.15">
      <c r="B194" s="115"/>
    </row>
    <row r="195" spans="2:2" s="91" customFormat="1" ht="12.75" x14ac:dyDescent="0.15">
      <c r="B195" s="115"/>
    </row>
    <row r="196" spans="2:2" s="91" customFormat="1" ht="12.75" x14ac:dyDescent="0.15">
      <c r="B196" s="115"/>
    </row>
    <row r="197" spans="2:2" s="91" customFormat="1" ht="12.75" x14ac:dyDescent="0.15">
      <c r="B197" s="115"/>
    </row>
    <row r="198" spans="2:2" s="91" customFormat="1" ht="12.75" x14ac:dyDescent="0.15">
      <c r="B198" s="115"/>
    </row>
    <row r="199" spans="2:2" s="91" customFormat="1" ht="12.75" x14ac:dyDescent="0.15">
      <c r="B199" s="115"/>
    </row>
    <row r="200" spans="2:2" s="91" customFormat="1" ht="12.75" x14ac:dyDescent="0.15">
      <c r="B200" s="115"/>
    </row>
    <row r="201" spans="2:2" s="91" customFormat="1" ht="12.75" x14ac:dyDescent="0.15">
      <c r="B201" s="115"/>
    </row>
    <row r="202" spans="2:2" s="91" customFormat="1" ht="12.75" x14ac:dyDescent="0.15">
      <c r="B202" s="115"/>
    </row>
    <row r="203" spans="2:2" s="91" customFormat="1" ht="12.75" x14ac:dyDescent="0.15">
      <c r="B203" s="115"/>
    </row>
    <row r="204" spans="2:2" s="91" customFormat="1" ht="12.75" x14ac:dyDescent="0.15">
      <c r="B204" s="115"/>
    </row>
    <row r="205" spans="2:2" s="91" customFormat="1" ht="12.75" x14ac:dyDescent="0.15">
      <c r="B205" s="115"/>
    </row>
    <row r="206" spans="2:2" s="91" customFormat="1" ht="12.75" x14ac:dyDescent="0.15">
      <c r="B206" s="115"/>
    </row>
    <row r="207" spans="2:2" s="91" customFormat="1" ht="12.75" x14ac:dyDescent="0.15">
      <c r="B207" s="115"/>
    </row>
    <row r="208" spans="2:2" s="91" customFormat="1" ht="12.75" x14ac:dyDescent="0.15">
      <c r="B208" s="115"/>
    </row>
    <row r="209" spans="2:2" s="91" customFormat="1" ht="12.75" x14ac:dyDescent="0.15">
      <c r="B209" s="115"/>
    </row>
    <row r="210" spans="2:2" s="91" customFormat="1" ht="12.75" x14ac:dyDescent="0.15">
      <c r="B210" s="115"/>
    </row>
    <row r="211" spans="2:2" s="91" customFormat="1" ht="12.75" x14ac:dyDescent="0.15">
      <c r="B211" s="115"/>
    </row>
    <row r="212" spans="2:2" s="91" customFormat="1" ht="12.75" x14ac:dyDescent="0.15">
      <c r="B212" s="115"/>
    </row>
    <row r="213" spans="2:2" s="91" customFormat="1" ht="12.75" x14ac:dyDescent="0.15">
      <c r="B213" s="115"/>
    </row>
    <row r="214" spans="2:2" s="91" customFormat="1" ht="12.75" x14ac:dyDescent="0.15">
      <c r="B214" s="115"/>
    </row>
    <row r="215" spans="2:2" s="91" customFormat="1" ht="12.75" x14ac:dyDescent="0.15">
      <c r="B215" s="115"/>
    </row>
    <row r="216" spans="2:2" s="91" customFormat="1" ht="12.75" x14ac:dyDescent="0.15">
      <c r="B216" s="115"/>
    </row>
    <row r="217" spans="2:2" s="91" customFormat="1" ht="12.75" x14ac:dyDescent="0.15">
      <c r="B217" s="115"/>
    </row>
    <row r="218" spans="2:2" s="91" customFormat="1" ht="12.75" x14ac:dyDescent="0.1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453125" defaultRowHeight="12.75" x14ac:dyDescent="0.15"/>
  <cols>
    <col min="1" max="2" width="9.14453125" style="73"/>
    <col min="3" max="3" width="13.1796875" style="73" bestFit="1" customWidth="1"/>
    <col min="4" max="5" width="9.14453125" style="73"/>
    <col min="6" max="6" width="12.5078125" style="73" bestFit="1" customWidth="1"/>
    <col min="7" max="7" width="0.94140625" style="73" customWidth="1"/>
    <col min="8" max="8" width="11.1640625" style="73" bestFit="1" customWidth="1"/>
    <col min="9" max="16384" width="9.14453125" style="73"/>
  </cols>
  <sheetData>
    <row r="1" spans="3:8" ht="13.5" thickBot="1" x14ac:dyDescent="0.2"/>
    <row r="2" spans="3:8" ht="13.5" thickBot="1" x14ac:dyDescent="0.2">
      <c r="C2" s="82" t="s">
        <v>196</v>
      </c>
      <c r="F2" s="82" t="s">
        <v>197</v>
      </c>
    </row>
    <row r="3" spans="3:8" x14ac:dyDescent="0.15">
      <c r="C3" s="79">
        <v>45658</v>
      </c>
      <c r="D3" s="73" t="s">
        <v>198</v>
      </c>
      <c r="F3" s="80" t="s">
        <v>199</v>
      </c>
    </row>
    <row r="4" spans="3:8" x14ac:dyDescent="0.15">
      <c r="C4" s="79">
        <v>45737</v>
      </c>
      <c r="D4" s="73" t="s">
        <v>200</v>
      </c>
      <c r="F4" s="80" t="s">
        <v>201</v>
      </c>
    </row>
    <row r="5" spans="3:8" x14ac:dyDescent="0.15">
      <c r="C5" s="79">
        <v>45765</v>
      </c>
      <c r="D5" s="73" t="s">
        <v>202</v>
      </c>
      <c r="F5" s="80" t="s">
        <v>203</v>
      </c>
    </row>
    <row r="6" spans="3:8" ht="13.5" thickBot="1" x14ac:dyDescent="0.2">
      <c r="C6" s="79">
        <v>45768</v>
      </c>
      <c r="D6" s="73" t="s">
        <v>204</v>
      </c>
      <c r="F6" s="81" t="s">
        <v>205</v>
      </c>
    </row>
    <row r="7" spans="3:8" x14ac:dyDescent="0.15">
      <c r="C7" s="79">
        <v>45774</v>
      </c>
      <c r="D7" s="73" t="s">
        <v>206</v>
      </c>
    </row>
    <row r="8" spans="3:8" x14ac:dyDescent="0.15">
      <c r="C8" s="79">
        <v>45765</v>
      </c>
      <c r="D8" s="73" t="s">
        <v>207</v>
      </c>
    </row>
    <row r="9" spans="3:8" x14ac:dyDescent="0.15">
      <c r="C9" s="79">
        <v>45778</v>
      </c>
      <c r="D9" s="73" t="s">
        <v>208</v>
      </c>
    </row>
    <row r="10" spans="3:8" x14ac:dyDescent="0.15">
      <c r="C10" s="79">
        <v>45824</v>
      </c>
      <c r="D10" s="73" t="s">
        <v>209</v>
      </c>
    </row>
    <row r="11" spans="3:8" x14ac:dyDescent="0.15">
      <c r="C11" s="79">
        <v>45878</v>
      </c>
      <c r="D11" s="73" t="s">
        <v>210</v>
      </c>
    </row>
    <row r="12" spans="3:8" x14ac:dyDescent="0.15">
      <c r="C12" s="79">
        <v>45924</v>
      </c>
      <c r="D12" s="73" t="s">
        <v>211</v>
      </c>
    </row>
    <row r="13" spans="3:8" x14ac:dyDescent="0.15">
      <c r="C13" s="79">
        <v>46007</v>
      </c>
      <c r="D13" s="73" t="s">
        <v>212</v>
      </c>
      <c r="H13" s="73" t="s">
        <v>213</v>
      </c>
    </row>
    <row r="14" spans="3:8" x14ac:dyDescent="0.15">
      <c r="C14" s="79">
        <v>46008</v>
      </c>
    </row>
    <row r="15" spans="3:8" x14ac:dyDescent="0.15">
      <c r="C15" s="79">
        <v>46009</v>
      </c>
    </row>
    <row r="16" spans="3:8" x14ac:dyDescent="0.15">
      <c r="C16" s="79">
        <v>46010</v>
      </c>
    </row>
    <row r="17" spans="3:3" x14ac:dyDescent="0.15">
      <c r="C17" s="79">
        <v>46011</v>
      </c>
    </row>
    <row r="18" spans="3:3" x14ac:dyDescent="0.15">
      <c r="C18" s="79">
        <v>46012</v>
      </c>
    </row>
    <row r="19" spans="3:3" x14ac:dyDescent="0.15">
      <c r="C19" s="79">
        <v>46013</v>
      </c>
    </row>
    <row r="20" spans="3:3" x14ac:dyDescent="0.15">
      <c r="C20" s="79">
        <v>46014</v>
      </c>
    </row>
    <row r="21" spans="3:3" x14ac:dyDescent="0.15">
      <c r="C21" s="79">
        <v>46015</v>
      </c>
    </row>
    <row r="22" spans="3:3" x14ac:dyDescent="0.15">
      <c r="C22" s="79">
        <v>46016</v>
      </c>
    </row>
    <row r="23" spans="3:3" x14ac:dyDescent="0.15">
      <c r="C23" s="79">
        <v>46017</v>
      </c>
    </row>
    <row r="24" spans="3:3" x14ac:dyDescent="0.15">
      <c r="C24" s="79">
        <v>46018</v>
      </c>
    </row>
    <row r="25" spans="3:3" x14ac:dyDescent="0.15">
      <c r="C25" s="79">
        <v>46019</v>
      </c>
    </row>
    <row r="26" spans="3:3" x14ac:dyDescent="0.15">
      <c r="C26" s="79">
        <v>46020</v>
      </c>
    </row>
    <row r="27" spans="3:3" x14ac:dyDescent="0.15">
      <c r="C27" s="79">
        <v>46021</v>
      </c>
    </row>
    <row r="28" spans="3:3" x14ac:dyDescent="0.15">
      <c r="C28" s="79">
        <v>46022</v>
      </c>
    </row>
    <row r="29" spans="3:3" x14ac:dyDescent="0.15">
      <c r="C29" s="79">
        <v>46023</v>
      </c>
    </row>
    <row r="30" spans="3:3" x14ac:dyDescent="0.15">
      <c r="C30" s="79">
        <v>46024</v>
      </c>
    </row>
    <row r="31" spans="3:3" x14ac:dyDescent="0.15">
      <c r="C31" s="79">
        <v>46025</v>
      </c>
    </row>
    <row r="32" spans="3:3" x14ac:dyDescent="0.15">
      <c r="C32" s="79">
        <v>46026</v>
      </c>
    </row>
    <row r="33" spans="3:4" x14ac:dyDescent="0.15">
      <c r="C33" s="79">
        <v>46027</v>
      </c>
    </row>
    <row r="34" spans="3:4" x14ac:dyDescent="0.15">
      <c r="C34" s="79">
        <v>46028</v>
      </c>
    </row>
    <row r="35" spans="3:4" x14ac:dyDescent="0.15">
      <c r="C35" s="79">
        <v>46029</v>
      </c>
    </row>
    <row r="36" spans="3:4" x14ac:dyDescent="0.15">
      <c r="C36" s="79">
        <v>46030</v>
      </c>
    </row>
    <row r="37" spans="3:4" x14ac:dyDescent="0.15">
      <c r="C37" s="79">
        <v>46031</v>
      </c>
    </row>
    <row r="38" spans="3:4" x14ac:dyDescent="0.15">
      <c r="C38" s="79">
        <v>46032</v>
      </c>
    </row>
    <row r="39" spans="3:4" x14ac:dyDescent="0.15">
      <c r="C39" s="79">
        <v>46033</v>
      </c>
      <c r="D39" s="73" t="s">
        <v>214</v>
      </c>
    </row>
    <row r="40" spans="3:4" x14ac:dyDescent="0.15">
      <c r="C40" s="693">
        <v>46034</v>
      </c>
      <c r="D40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03125" defaultRowHeight="14.25" x14ac:dyDescent="0.15"/>
  <cols>
    <col min="1" max="1" width="0.94140625" style="24" customWidth="1"/>
    <col min="2" max="2" width="8.203125" style="64"/>
    <col min="3" max="3" width="2.15234375" style="64" customWidth="1"/>
    <col min="4" max="4" width="21.1171875" style="24" customWidth="1"/>
    <col min="5" max="5" width="0.94140625" style="24" customWidth="1"/>
    <col min="6" max="6" width="19.50390625" style="24" customWidth="1"/>
    <col min="7" max="7" width="0.94140625" style="24" customWidth="1"/>
    <col min="8" max="8" width="18.16015625" style="24" customWidth="1"/>
    <col min="9" max="9" width="2.95703125" style="24" customWidth="1"/>
    <col min="10" max="10" width="21.5234375" style="24" customWidth="1"/>
    <col min="11" max="11" width="2.015625" style="24" customWidth="1"/>
    <col min="12" max="12" width="53.13671875" style="24" customWidth="1"/>
    <col min="13" max="16384" width="8.203125" style="24"/>
  </cols>
  <sheetData>
    <row r="1" spans="1:12" ht="6.75" customHeight="1" x14ac:dyDescent="0.15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x14ac:dyDescent="0.15">
      <c r="A2" s="213"/>
      <c r="B2" s="217" t="s">
        <v>216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 x14ac:dyDescent="0.15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5" thickBot="1" x14ac:dyDescent="0.2">
      <c r="A4" s="213"/>
      <c r="B4" s="748"/>
      <c r="C4" s="748"/>
      <c r="D4" s="748"/>
      <c r="E4" s="412"/>
      <c r="F4" s="218" t="s">
        <v>150</v>
      </c>
      <c r="G4" s="213"/>
      <c r="H4" s="218" t="s">
        <v>151</v>
      </c>
      <c r="I4" s="213"/>
      <c r="J4" s="219" t="s">
        <v>217</v>
      </c>
      <c r="K4" s="110"/>
      <c r="L4" s="110"/>
    </row>
    <row r="5" spans="1:12" ht="15" thickBot="1" x14ac:dyDescent="0.2">
      <c r="A5" s="213"/>
      <c r="B5" s="749" t="s">
        <v>218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 x14ac:dyDescent="0.2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5.5" thickBot="1" x14ac:dyDescent="0.2">
      <c r="A7" s="213"/>
      <c r="B7" s="223" t="s">
        <v>83</v>
      </c>
      <c r="C7" s="224"/>
      <c r="D7" s="223" t="s">
        <v>219</v>
      </c>
      <c r="E7" s="224"/>
      <c r="F7" s="225" t="s">
        <v>220</v>
      </c>
      <c r="G7" s="226"/>
      <c r="H7" s="225" t="s">
        <v>221</v>
      </c>
      <c r="I7" s="226"/>
      <c r="J7" s="225" t="s">
        <v>222</v>
      </c>
      <c r="K7" s="170"/>
      <c r="L7" s="113" t="s">
        <v>223</v>
      </c>
    </row>
    <row r="8" spans="1:12" ht="6.75" customHeight="1" x14ac:dyDescent="0.15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x14ac:dyDescent="0.15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x14ac:dyDescent="0.15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x14ac:dyDescent="0.15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x14ac:dyDescent="0.15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x14ac:dyDescent="0.15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x14ac:dyDescent="0.15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x14ac:dyDescent="0.15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x14ac:dyDescent="0.15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x14ac:dyDescent="0.15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x14ac:dyDescent="0.15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x14ac:dyDescent="0.15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x14ac:dyDescent="0.15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x14ac:dyDescent="0.15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x14ac:dyDescent="0.15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x14ac:dyDescent="0.15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 x14ac:dyDescent="0.15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 x14ac:dyDescent="0.15">
      <c r="A25" s="213"/>
      <c r="B25" s="85"/>
      <c r="C25" s="85"/>
      <c r="D25" s="232" t="s">
        <v>224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 x14ac:dyDescent="0.15">
      <c r="B26" s="107"/>
      <c r="C26" s="107"/>
    </row>
    <row r="27" spans="1:12" x14ac:dyDescent="0.15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 x14ac:dyDescent="0.15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 x14ac:dyDescent="0.15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 x14ac:dyDescent="0.15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 x14ac:dyDescent="0.15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 x14ac:dyDescent="0.15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 x14ac:dyDescent="0.15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 x14ac:dyDescent="0.15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 x14ac:dyDescent="0.15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 x14ac:dyDescent="0.15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 x14ac:dyDescent="0.15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 x14ac:dyDescent="0.15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 x14ac:dyDescent="0.15">
      <c r="B39" s="111"/>
      <c r="C39" s="111"/>
    </row>
    <row r="40" spans="1:12" s="110" customFormat="1" x14ac:dyDescent="0.15">
      <c r="B40" s="111"/>
      <c r="C40" s="111"/>
    </row>
    <row r="41" spans="1:12" s="110" customFormat="1" x14ac:dyDescent="0.15">
      <c r="B41" s="111"/>
      <c r="C41" s="111"/>
    </row>
    <row r="42" spans="1:12" s="110" customFormat="1" x14ac:dyDescent="0.15">
      <c r="B42" s="111"/>
      <c r="C42" s="111"/>
    </row>
    <row r="43" spans="1:12" s="110" customFormat="1" x14ac:dyDescent="0.15">
      <c r="B43" s="111"/>
      <c r="C43" s="111"/>
    </row>
    <row r="44" spans="1:12" s="110" customFormat="1" x14ac:dyDescent="0.15">
      <c r="B44" s="111"/>
      <c r="C44" s="111"/>
    </row>
    <row r="45" spans="1:12" s="110" customFormat="1" x14ac:dyDescent="0.15">
      <c r="B45" s="111"/>
      <c r="C45" s="111"/>
    </row>
    <row r="46" spans="1:12" s="110" customFormat="1" x14ac:dyDescent="0.15">
      <c r="B46" s="111"/>
      <c r="C46" s="111"/>
    </row>
    <row r="47" spans="1:12" s="110" customFormat="1" x14ac:dyDescent="0.15">
      <c r="B47" s="111"/>
      <c r="C47" s="111"/>
    </row>
    <row r="48" spans="1:12" s="110" customFormat="1" x14ac:dyDescent="0.15">
      <c r="B48" s="111"/>
      <c r="C48" s="111"/>
    </row>
    <row r="49" spans="2:3" s="110" customFormat="1" x14ac:dyDescent="0.15">
      <c r="B49" s="111"/>
      <c r="C49" s="111"/>
    </row>
    <row r="50" spans="2:3" s="110" customFormat="1" x14ac:dyDescent="0.15">
      <c r="B50" s="111"/>
      <c r="C50" s="111"/>
    </row>
    <row r="51" spans="2:3" s="110" customFormat="1" x14ac:dyDescent="0.15">
      <c r="B51" s="111"/>
      <c r="C51" s="111"/>
    </row>
    <row r="52" spans="2:3" s="110" customFormat="1" x14ac:dyDescent="0.15">
      <c r="B52" s="111"/>
      <c r="C52" s="111"/>
    </row>
    <row r="53" spans="2:3" s="110" customFormat="1" x14ac:dyDescent="0.15">
      <c r="B53" s="111"/>
      <c r="C53" s="111"/>
    </row>
    <row r="54" spans="2:3" s="110" customFormat="1" x14ac:dyDescent="0.15">
      <c r="B54" s="111"/>
      <c r="C54" s="111"/>
    </row>
    <row r="55" spans="2:3" s="110" customFormat="1" x14ac:dyDescent="0.15">
      <c r="B55" s="111"/>
      <c r="C55" s="111"/>
    </row>
    <row r="56" spans="2:3" s="110" customFormat="1" x14ac:dyDescent="0.15">
      <c r="B56" s="111"/>
      <c r="C56" s="111"/>
    </row>
    <row r="57" spans="2:3" s="110" customFormat="1" x14ac:dyDescent="0.15">
      <c r="B57" s="111"/>
      <c r="C57" s="111"/>
    </row>
    <row r="58" spans="2:3" s="110" customFormat="1" x14ac:dyDescent="0.15">
      <c r="B58" s="111"/>
      <c r="C58" s="111"/>
    </row>
    <row r="59" spans="2:3" s="110" customFormat="1" x14ac:dyDescent="0.15">
      <c r="B59" s="111"/>
      <c r="C59" s="111"/>
    </row>
    <row r="60" spans="2:3" s="110" customFormat="1" x14ac:dyDescent="0.15">
      <c r="B60" s="111"/>
      <c r="C60" s="111"/>
    </row>
    <row r="61" spans="2:3" s="110" customFormat="1" x14ac:dyDescent="0.15">
      <c r="B61" s="111"/>
      <c r="C61" s="111"/>
    </row>
    <row r="62" spans="2:3" s="110" customFormat="1" x14ac:dyDescent="0.15">
      <c r="B62" s="111"/>
      <c r="C62" s="111"/>
    </row>
    <row r="63" spans="2:3" s="110" customFormat="1" x14ac:dyDescent="0.15">
      <c r="B63" s="111"/>
      <c r="C63" s="111"/>
    </row>
    <row r="64" spans="2:3" s="110" customFormat="1" x14ac:dyDescent="0.15">
      <c r="B64" s="111"/>
      <c r="C64" s="111"/>
    </row>
    <row r="65" spans="2:3" s="110" customFormat="1" x14ac:dyDescent="0.15">
      <c r="B65" s="111"/>
      <c r="C65" s="111"/>
    </row>
    <row r="66" spans="2:3" s="110" customFormat="1" x14ac:dyDescent="0.15">
      <c r="B66" s="111"/>
      <c r="C66" s="111"/>
    </row>
    <row r="67" spans="2:3" s="110" customFormat="1" x14ac:dyDescent="0.15">
      <c r="B67" s="111"/>
      <c r="C67" s="111"/>
    </row>
    <row r="68" spans="2:3" s="110" customFormat="1" x14ac:dyDescent="0.15">
      <c r="B68" s="111"/>
      <c r="C68" s="111"/>
    </row>
    <row r="69" spans="2:3" s="110" customFormat="1" x14ac:dyDescent="0.15">
      <c r="B69" s="111"/>
      <c r="C69" s="111"/>
    </row>
    <row r="70" spans="2:3" s="110" customFormat="1" x14ac:dyDescent="0.15">
      <c r="B70" s="111"/>
      <c r="C70" s="111"/>
    </row>
    <row r="71" spans="2:3" s="110" customFormat="1" x14ac:dyDescent="0.15">
      <c r="B71" s="111"/>
      <c r="C71" s="111"/>
    </row>
    <row r="72" spans="2:3" s="110" customFormat="1" x14ac:dyDescent="0.15">
      <c r="B72" s="111"/>
      <c r="C72" s="111"/>
    </row>
    <row r="73" spans="2:3" s="110" customFormat="1" x14ac:dyDescent="0.15">
      <c r="B73" s="111"/>
      <c r="C73" s="111"/>
    </row>
    <row r="74" spans="2:3" s="110" customFormat="1" x14ac:dyDescent="0.15">
      <c r="B74" s="111"/>
      <c r="C74" s="111"/>
    </row>
    <row r="75" spans="2:3" s="110" customFormat="1" x14ac:dyDescent="0.15">
      <c r="B75" s="111"/>
      <c r="C75" s="111"/>
    </row>
    <row r="76" spans="2:3" s="110" customFormat="1" x14ac:dyDescent="0.15">
      <c r="B76" s="111"/>
      <c r="C76" s="111"/>
    </row>
    <row r="77" spans="2:3" s="110" customFormat="1" x14ac:dyDescent="0.15">
      <c r="B77" s="111"/>
      <c r="C77" s="111"/>
    </row>
    <row r="78" spans="2:3" s="110" customFormat="1" x14ac:dyDescent="0.15">
      <c r="B78" s="111"/>
      <c r="C78" s="111"/>
    </row>
    <row r="79" spans="2:3" s="110" customFormat="1" x14ac:dyDescent="0.15">
      <c r="B79" s="111"/>
      <c r="C79" s="111"/>
    </row>
    <row r="80" spans="2:3" s="110" customFormat="1" x14ac:dyDescent="0.15">
      <c r="B80" s="111"/>
      <c r="C80" s="111"/>
    </row>
    <row r="81" spans="2:3" s="110" customFormat="1" x14ac:dyDescent="0.15">
      <c r="B81" s="111"/>
      <c r="C81" s="111"/>
    </row>
    <row r="82" spans="2:3" s="110" customFormat="1" x14ac:dyDescent="0.15">
      <c r="B82" s="111"/>
      <c r="C82" s="111"/>
    </row>
    <row r="83" spans="2:3" s="110" customFormat="1" x14ac:dyDescent="0.15">
      <c r="B83" s="111"/>
      <c r="C83" s="111"/>
    </row>
    <row r="84" spans="2:3" s="110" customFormat="1" x14ac:dyDescent="0.15">
      <c r="B84" s="111"/>
      <c r="C84" s="111"/>
    </row>
    <row r="85" spans="2:3" s="110" customFormat="1" x14ac:dyDescent="0.15">
      <c r="B85" s="111"/>
      <c r="C85" s="111"/>
    </row>
    <row r="86" spans="2:3" s="110" customFormat="1" x14ac:dyDescent="0.15">
      <c r="B86" s="111"/>
      <c r="C86" s="111"/>
    </row>
    <row r="87" spans="2:3" s="110" customFormat="1" x14ac:dyDescent="0.15">
      <c r="B87" s="111"/>
      <c r="C87" s="111"/>
    </row>
    <row r="88" spans="2:3" s="110" customFormat="1" x14ac:dyDescent="0.15">
      <c r="B88" s="111"/>
      <c r="C88" s="111"/>
    </row>
    <row r="89" spans="2:3" s="110" customFormat="1" x14ac:dyDescent="0.15">
      <c r="B89" s="111"/>
      <c r="C89" s="111"/>
    </row>
    <row r="90" spans="2:3" s="110" customFormat="1" x14ac:dyDescent="0.15">
      <c r="B90" s="111"/>
      <c r="C90" s="111"/>
    </row>
    <row r="91" spans="2:3" s="110" customFormat="1" x14ac:dyDescent="0.15">
      <c r="B91" s="111"/>
      <c r="C91" s="111"/>
    </row>
    <row r="92" spans="2:3" s="110" customFormat="1" x14ac:dyDescent="0.15">
      <c r="B92" s="111"/>
      <c r="C92" s="111"/>
    </row>
    <row r="93" spans="2:3" s="110" customFormat="1" x14ac:dyDescent="0.15">
      <c r="B93" s="111"/>
      <c r="C93" s="111"/>
    </row>
    <row r="94" spans="2:3" s="110" customFormat="1" x14ac:dyDescent="0.15">
      <c r="B94" s="111"/>
      <c r="C94" s="111"/>
    </row>
    <row r="95" spans="2:3" s="110" customFormat="1" x14ac:dyDescent="0.15">
      <c r="B95" s="111"/>
      <c r="C95" s="111"/>
    </row>
    <row r="96" spans="2:3" s="110" customFormat="1" x14ac:dyDescent="0.15">
      <c r="B96" s="111"/>
      <c r="C96" s="111"/>
    </row>
    <row r="97" spans="2:3" s="110" customFormat="1" x14ac:dyDescent="0.15">
      <c r="B97" s="111"/>
      <c r="C97" s="111"/>
    </row>
    <row r="98" spans="2:3" s="110" customFormat="1" x14ac:dyDescent="0.15">
      <c r="B98" s="111"/>
      <c r="C98" s="111"/>
    </row>
    <row r="99" spans="2:3" s="110" customFormat="1" x14ac:dyDescent="0.15">
      <c r="B99" s="111"/>
      <c r="C99" s="111"/>
    </row>
    <row r="100" spans="2:3" s="110" customFormat="1" x14ac:dyDescent="0.15">
      <c r="B100" s="111"/>
      <c r="C100" s="111"/>
    </row>
    <row r="101" spans="2:3" s="110" customFormat="1" x14ac:dyDescent="0.15">
      <c r="B101" s="111"/>
      <c r="C101" s="111"/>
    </row>
    <row r="102" spans="2:3" s="110" customFormat="1" x14ac:dyDescent="0.15">
      <c r="B102" s="111"/>
      <c r="C102" s="111"/>
    </row>
    <row r="103" spans="2:3" s="110" customFormat="1" x14ac:dyDescent="0.15">
      <c r="B103" s="111"/>
      <c r="C103" s="111"/>
    </row>
    <row r="104" spans="2:3" s="110" customFormat="1" x14ac:dyDescent="0.15">
      <c r="B104" s="111"/>
      <c r="C104" s="111"/>
    </row>
    <row r="105" spans="2:3" s="110" customFormat="1" x14ac:dyDescent="0.15">
      <c r="B105" s="111"/>
      <c r="C105" s="111"/>
    </row>
    <row r="106" spans="2:3" s="110" customFormat="1" x14ac:dyDescent="0.15">
      <c r="B106" s="111"/>
      <c r="C106" s="111"/>
    </row>
    <row r="107" spans="2:3" s="110" customFormat="1" x14ac:dyDescent="0.15">
      <c r="B107" s="111"/>
      <c r="C107" s="111"/>
    </row>
    <row r="108" spans="2:3" s="110" customFormat="1" x14ac:dyDescent="0.15">
      <c r="B108" s="111"/>
      <c r="C108" s="111"/>
    </row>
    <row r="109" spans="2:3" s="110" customFormat="1" x14ac:dyDescent="0.15">
      <c r="B109" s="111"/>
      <c r="C109" s="111"/>
    </row>
    <row r="110" spans="2:3" s="110" customFormat="1" x14ac:dyDescent="0.15">
      <c r="B110" s="111"/>
      <c r="C110" s="111"/>
    </row>
    <row r="111" spans="2:3" s="110" customFormat="1" x14ac:dyDescent="0.15">
      <c r="B111" s="111"/>
      <c r="C111" s="111"/>
    </row>
    <row r="112" spans="2:3" s="110" customFormat="1" x14ac:dyDescent="0.15">
      <c r="B112" s="111"/>
      <c r="C112" s="111"/>
    </row>
    <row r="113" spans="2:3" s="110" customFormat="1" x14ac:dyDescent="0.15">
      <c r="B113" s="111"/>
      <c r="C113" s="111"/>
    </row>
    <row r="114" spans="2:3" s="110" customFormat="1" x14ac:dyDescent="0.15">
      <c r="B114" s="111"/>
      <c r="C114" s="111"/>
    </row>
    <row r="115" spans="2:3" s="110" customFormat="1" x14ac:dyDescent="0.15">
      <c r="B115" s="111"/>
      <c r="C115" s="111"/>
    </row>
    <row r="116" spans="2:3" s="110" customFormat="1" x14ac:dyDescent="0.15">
      <c r="B116" s="111"/>
      <c r="C116" s="111"/>
    </row>
    <row r="117" spans="2:3" s="110" customFormat="1" x14ac:dyDescent="0.15">
      <c r="B117" s="111"/>
      <c r="C117" s="111"/>
    </row>
    <row r="118" spans="2:3" s="110" customFormat="1" x14ac:dyDescent="0.15">
      <c r="B118" s="111"/>
      <c r="C118" s="111"/>
    </row>
    <row r="119" spans="2:3" s="110" customFormat="1" x14ac:dyDescent="0.15">
      <c r="B119" s="111"/>
      <c r="C119" s="111"/>
    </row>
    <row r="120" spans="2:3" s="110" customFormat="1" x14ac:dyDescent="0.15">
      <c r="B120" s="111"/>
      <c r="C120" s="111"/>
    </row>
    <row r="121" spans="2:3" s="110" customFormat="1" x14ac:dyDescent="0.15">
      <c r="B121" s="111"/>
      <c r="C121" s="111"/>
    </row>
    <row r="122" spans="2:3" s="110" customFormat="1" x14ac:dyDescent="0.15">
      <c r="B122" s="111"/>
      <c r="C122" s="111"/>
    </row>
    <row r="123" spans="2:3" s="110" customFormat="1" x14ac:dyDescent="0.15">
      <c r="B123" s="111"/>
      <c r="C123" s="111"/>
    </row>
    <row r="124" spans="2:3" s="110" customFormat="1" x14ac:dyDescent="0.15">
      <c r="B124" s="111"/>
      <c r="C124" s="111"/>
    </row>
    <row r="125" spans="2:3" s="110" customFormat="1" x14ac:dyDescent="0.15">
      <c r="B125" s="111"/>
      <c r="C125" s="111"/>
    </row>
    <row r="126" spans="2:3" s="110" customFormat="1" x14ac:dyDescent="0.15">
      <c r="B126" s="111"/>
      <c r="C126" s="111"/>
    </row>
    <row r="127" spans="2:3" s="110" customFormat="1" x14ac:dyDescent="0.15">
      <c r="B127" s="111"/>
      <c r="C127" s="111"/>
    </row>
    <row r="128" spans="2:3" s="110" customFormat="1" x14ac:dyDescent="0.15">
      <c r="B128" s="111"/>
      <c r="C128" s="111"/>
    </row>
    <row r="129" spans="2:3" s="110" customFormat="1" x14ac:dyDescent="0.15">
      <c r="B129" s="111"/>
      <c r="C129" s="111"/>
    </row>
    <row r="130" spans="2:3" s="110" customFormat="1" x14ac:dyDescent="0.15">
      <c r="B130" s="111"/>
      <c r="C130" s="111"/>
    </row>
    <row r="131" spans="2:3" s="110" customFormat="1" x14ac:dyDescent="0.15">
      <c r="B131" s="111"/>
      <c r="C131" s="111"/>
    </row>
    <row r="132" spans="2:3" s="110" customFormat="1" x14ac:dyDescent="0.15">
      <c r="B132" s="111"/>
      <c r="C132" s="111"/>
    </row>
    <row r="133" spans="2:3" s="110" customFormat="1" x14ac:dyDescent="0.15">
      <c r="B133" s="111"/>
      <c r="C133" s="111"/>
    </row>
    <row r="134" spans="2:3" s="110" customFormat="1" x14ac:dyDescent="0.15">
      <c r="B134" s="111"/>
      <c r="C134" s="111"/>
    </row>
    <row r="135" spans="2:3" s="110" customFormat="1" x14ac:dyDescent="0.15">
      <c r="B135" s="111"/>
      <c r="C135" s="111"/>
    </row>
    <row r="136" spans="2:3" s="110" customFormat="1" x14ac:dyDescent="0.15">
      <c r="B136" s="111"/>
      <c r="C136" s="111"/>
    </row>
    <row r="137" spans="2:3" s="110" customFormat="1" x14ac:dyDescent="0.15">
      <c r="B137" s="111"/>
      <c r="C137" s="111"/>
    </row>
    <row r="138" spans="2:3" s="110" customFormat="1" x14ac:dyDescent="0.15">
      <c r="B138" s="111"/>
      <c r="C138" s="111"/>
    </row>
    <row r="139" spans="2:3" s="110" customFormat="1" x14ac:dyDescent="0.15">
      <c r="B139" s="111"/>
      <c r="C139" s="111"/>
    </row>
    <row r="140" spans="2:3" s="110" customFormat="1" x14ac:dyDescent="0.15">
      <c r="B140" s="111"/>
      <c r="C140" s="111"/>
    </row>
    <row r="141" spans="2:3" s="110" customFormat="1" x14ac:dyDescent="0.15">
      <c r="B141" s="111"/>
      <c r="C141" s="111"/>
    </row>
    <row r="142" spans="2:3" s="110" customFormat="1" x14ac:dyDescent="0.15">
      <c r="B142" s="111"/>
      <c r="C142" s="111"/>
    </row>
    <row r="143" spans="2:3" s="110" customFormat="1" x14ac:dyDescent="0.15">
      <c r="B143" s="111"/>
      <c r="C143" s="111"/>
    </row>
    <row r="144" spans="2:3" s="110" customFormat="1" x14ac:dyDescent="0.15">
      <c r="B144" s="111"/>
      <c r="C144" s="111"/>
    </row>
    <row r="145" spans="2:3" s="110" customFormat="1" x14ac:dyDescent="0.15">
      <c r="B145" s="111"/>
      <c r="C145" s="111"/>
    </row>
    <row r="146" spans="2:3" s="110" customFormat="1" x14ac:dyDescent="0.15">
      <c r="B146" s="111"/>
      <c r="C146" s="111"/>
    </row>
    <row r="147" spans="2:3" s="110" customFormat="1" x14ac:dyDescent="0.15">
      <c r="B147" s="111"/>
      <c r="C147" s="111"/>
    </row>
    <row r="148" spans="2:3" s="110" customFormat="1" x14ac:dyDescent="0.15">
      <c r="B148" s="111"/>
      <c r="C148" s="111"/>
    </row>
    <row r="149" spans="2:3" s="110" customFormat="1" x14ac:dyDescent="0.15">
      <c r="B149" s="111"/>
      <c r="C149" s="111"/>
    </row>
    <row r="150" spans="2:3" s="110" customFormat="1" x14ac:dyDescent="0.15">
      <c r="B150" s="111"/>
      <c r="C150" s="111"/>
    </row>
    <row r="151" spans="2:3" s="110" customFormat="1" x14ac:dyDescent="0.15">
      <c r="B151" s="111"/>
      <c r="C151" s="111"/>
    </row>
    <row r="152" spans="2:3" s="110" customFormat="1" x14ac:dyDescent="0.15">
      <c r="B152" s="111"/>
      <c r="C152" s="111"/>
    </row>
    <row r="153" spans="2:3" s="110" customFormat="1" x14ac:dyDescent="0.15">
      <c r="B153" s="111"/>
      <c r="C153" s="111"/>
    </row>
    <row r="154" spans="2:3" s="110" customFormat="1" x14ac:dyDescent="0.15">
      <c r="B154" s="111"/>
      <c r="C154" s="111"/>
    </row>
    <row r="155" spans="2:3" s="110" customFormat="1" x14ac:dyDescent="0.15">
      <c r="B155" s="111"/>
      <c r="C155" s="111"/>
    </row>
    <row r="156" spans="2:3" s="110" customFormat="1" x14ac:dyDescent="0.15">
      <c r="B156" s="111"/>
      <c r="C156" s="111"/>
    </row>
    <row r="157" spans="2:3" s="110" customFormat="1" x14ac:dyDescent="0.15">
      <c r="B157" s="111"/>
      <c r="C157" s="111"/>
    </row>
    <row r="158" spans="2:3" s="110" customFormat="1" x14ac:dyDescent="0.15">
      <c r="B158" s="111"/>
      <c r="C158" s="111"/>
    </row>
    <row r="159" spans="2:3" s="110" customFormat="1" x14ac:dyDescent="0.15">
      <c r="B159" s="111"/>
      <c r="C159" s="111"/>
    </row>
    <row r="160" spans="2:3" s="110" customFormat="1" x14ac:dyDescent="0.15">
      <c r="B160" s="111"/>
      <c r="C160" s="111"/>
    </row>
    <row r="161" spans="2:3" s="110" customFormat="1" x14ac:dyDescent="0.15">
      <c r="B161" s="111"/>
      <c r="C161" s="111"/>
    </row>
    <row r="162" spans="2:3" s="110" customFormat="1" x14ac:dyDescent="0.15">
      <c r="B162" s="111"/>
      <c r="C162" s="111"/>
    </row>
    <row r="163" spans="2:3" s="110" customFormat="1" x14ac:dyDescent="0.15">
      <c r="B163" s="111"/>
      <c r="C163" s="111"/>
    </row>
    <row r="164" spans="2:3" s="110" customFormat="1" x14ac:dyDescent="0.15">
      <c r="B164" s="111"/>
      <c r="C164" s="111"/>
    </row>
    <row r="165" spans="2:3" s="110" customFormat="1" x14ac:dyDescent="0.15">
      <c r="B165" s="111"/>
      <c r="C165" s="111"/>
    </row>
    <row r="166" spans="2:3" s="110" customFormat="1" x14ac:dyDescent="0.15">
      <c r="B166" s="111"/>
      <c r="C166" s="111"/>
    </row>
    <row r="167" spans="2:3" s="110" customFormat="1" x14ac:dyDescent="0.15">
      <c r="B167" s="111"/>
      <c r="C167" s="111"/>
    </row>
    <row r="168" spans="2:3" s="110" customFormat="1" x14ac:dyDescent="0.15">
      <c r="B168" s="111"/>
      <c r="C168" s="111"/>
    </row>
    <row r="169" spans="2:3" s="110" customFormat="1" x14ac:dyDescent="0.15">
      <c r="B169" s="111"/>
      <c r="C169" s="111"/>
    </row>
    <row r="170" spans="2:3" s="110" customFormat="1" x14ac:dyDescent="0.15">
      <c r="B170" s="111"/>
      <c r="C170" s="111"/>
    </row>
    <row r="171" spans="2:3" s="110" customFormat="1" x14ac:dyDescent="0.15">
      <c r="B171" s="111"/>
      <c r="C171" s="111"/>
    </row>
    <row r="172" spans="2:3" s="110" customFormat="1" x14ac:dyDescent="0.15">
      <c r="B172" s="111"/>
      <c r="C172" s="111"/>
    </row>
    <row r="173" spans="2:3" s="110" customFormat="1" x14ac:dyDescent="0.15">
      <c r="B173" s="111"/>
      <c r="C173" s="111"/>
    </row>
    <row r="174" spans="2:3" s="110" customFormat="1" x14ac:dyDescent="0.15">
      <c r="B174" s="111"/>
      <c r="C174" s="111"/>
    </row>
    <row r="175" spans="2:3" s="110" customFormat="1" x14ac:dyDescent="0.15">
      <c r="B175" s="111"/>
      <c r="C175" s="111"/>
    </row>
    <row r="176" spans="2:3" s="110" customFormat="1" x14ac:dyDescent="0.15">
      <c r="B176" s="111"/>
      <c r="C176" s="111"/>
    </row>
    <row r="177" spans="2:3" s="110" customFormat="1" x14ac:dyDescent="0.15">
      <c r="B177" s="111"/>
      <c r="C177" s="111"/>
    </row>
    <row r="178" spans="2:3" s="110" customFormat="1" x14ac:dyDescent="0.15">
      <c r="B178" s="111"/>
      <c r="C178" s="111"/>
    </row>
    <row r="179" spans="2:3" s="110" customFormat="1" x14ac:dyDescent="0.15">
      <c r="B179" s="111"/>
      <c r="C179" s="111"/>
    </row>
    <row r="180" spans="2:3" s="110" customFormat="1" x14ac:dyDescent="0.15">
      <c r="B180" s="111"/>
      <c r="C180" s="111"/>
    </row>
    <row r="181" spans="2:3" s="110" customFormat="1" x14ac:dyDescent="0.15">
      <c r="B181" s="111"/>
      <c r="C181" s="111"/>
    </row>
    <row r="182" spans="2:3" s="110" customFormat="1" x14ac:dyDescent="0.15">
      <c r="B182" s="111"/>
      <c r="C182" s="111"/>
    </row>
    <row r="183" spans="2:3" s="110" customFormat="1" x14ac:dyDescent="0.15">
      <c r="B183" s="111"/>
      <c r="C183" s="111"/>
    </row>
    <row r="184" spans="2:3" s="110" customFormat="1" x14ac:dyDescent="0.15">
      <c r="B184" s="111"/>
      <c r="C184" s="111"/>
    </row>
    <row r="185" spans="2:3" s="110" customFormat="1" x14ac:dyDescent="0.15">
      <c r="B185" s="111"/>
      <c r="C185" s="111"/>
    </row>
    <row r="186" spans="2:3" s="110" customFormat="1" x14ac:dyDescent="0.15">
      <c r="B186" s="111"/>
      <c r="C186" s="111"/>
    </row>
    <row r="187" spans="2:3" s="110" customFormat="1" x14ac:dyDescent="0.15">
      <c r="B187" s="111"/>
      <c r="C187" s="111"/>
    </row>
    <row r="188" spans="2:3" s="110" customFormat="1" x14ac:dyDescent="0.15">
      <c r="B188" s="111"/>
      <c r="C188" s="111"/>
    </row>
    <row r="189" spans="2:3" s="110" customFormat="1" x14ac:dyDescent="0.15">
      <c r="B189" s="111"/>
      <c r="C189" s="111"/>
    </row>
    <row r="190" spans="2:3" s="110" customFormat="1" x14ac:dyDescent="0.15">
      <c r="B190" s="111"/>
      <c r="C190" s="111"/>
    </row>
    <row r="191" spans="2:3" s="110" customFormat="1" x14ac:dyDescent="0.15">
      <c r="B191" s="111"/>
      <c r="C191" s="111"/>
    </row>
    <row r="192" spans="2:3" s="110" customFormat="1" x14ac:dyDescent="0.15">
      <c r="B192" s="111"/>
      <c r="C192" s="111"/>
    </row>
    <row r="193" spans="2:3" s="110" customFormat="1" x14ac:dyDescent="0.15">
      <c r="B193" s="111"/>
      <c r="C193" s="111"/>
    </row>
    <row r="194" spans="2:3" s="110" customFormat="1" x14ac:dyDescent="0.15">
      <c r="B194" s="111"/>
      <c r="C194" s="111"/>
    </row>
    <row r="195" spans="2:3" s="110" customFormat="1" x14ac:dyDescent="0.15">
      <c r="B195" s="111"/>
      <c r="C195" s="111"/>
    </row>
    <row r="196" spans="2:3" s="110" customFormat="1" x14ac:dyDescent="0.15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85" zoomScaleNormal="85" workbookViewId="0">
      <pane ySplit="4" topLeftCell="L65" activePane="bottomLeft" state="frozen"/>
      <selection activeCell="X33" sqref="X33"/>
      <selection pane="bottomLeft" activeCell="X33" sqref="X33"/>
    </sheetView>
  </sheetViews>
  <sheetFormatPr defaultColWidth="9.14453125" defaultRowHeight="14.25" x14ac:dyDescent="0.15"/>
  <cols>
    <col min="1" max="1" width="2.15234375" style="110" hidden="1" customWidth="1"/>
    <col min="2" max="2" width="6.1875" style="24" hidden="1" customWidth="1"/>
    <col min="3" max="3" width="20.17578125" style="24" hidden="1" customWidth="1"/>
    <col min="4" max="4" width="51.51953125" style="24" hidden="1" customWidth="1"/>
    <col min="5" max="5" width="11.8359375" style="70" hidden="1" customWidth="1"/>
    <col min="6" max="6" width="16.54296875" style="473" hidden="1" customWidth="1"/>
    <col min="7" max="7" width="16.94921875" style="24" hidden="1" customWidth="1"/>
    <col min="8" max="8" width="16.94921875" style="110" hidden="1" customWidth="1"/>
    <col min="9" max="9" width="22.1953125" style="348" hidden="1" customWidth="1"/>
    <col min="10" max="10" width="22.1953125" style="348" bestFit="1" customWidth="1"/>
    <col min="11" max="12" width="5.51171875" style="110" customWidth="1"/>
    <col min="13" max="13" width="25.55859375" style="110" customWidth="1"/>
    <col min="14" max="14" width="48.15625" style="110" customWidth="1"/>
    <col min="15" max="15" width="15.6015625" style="110" customWidth="1"/>
    <col min="16" max="17" width="16.94921875" style="110" customWidth="1"/>
    <col min="18" max="18" width="47.484375" style="110" bestFit="1" customWidth="1"/>
    <col min="19" max="19" width="39.01171875" style="110" bestFit="1" customWidth="1"/>
    <col min="20" max="23" width="16.94921875" style="110" customWidth="1"/>
    <col min="24" max="24" width="21.1171875" style="110" customWidth="1"/>
    <col min="25" max="25" width="29.19140625" style="110" bestFit="1" customWidth="1"/>
    <col min="26" max="26" width="24.88671875" style="110" bestFit="1" customWidth="1"/>
    <col min="27" max="76" width="16.94921875" style="110" customWidth="1"/>
    <col min="77" max="16384" width="9.14453125" style="24"/>
  </cols>
  <sheetData>
    <row r="1" spans="1:76" s="110" customFormat="1" ht="4.5" customHeight="1" thickBot="1" x14ac:dyDescent="0.2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 x14ac:dyDescent="0.2">
      <c r="B2" s="802" t="s">
        <v>225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226</v>
      </c>
      <c r="M2" s="805"/>
      <c r="N2" s="805"/>
      <c r="O2" s="805"/>
      <c r="P2" s="805"/>
      <c r="Q2" s="805"/>
      <c r="R2" s="806" t="s">
        <v>227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 x14ac:dyDescent="0.2">
      <c r="E3" s="163"/>
      <c r="F3" s="463"/>
      <c r="I3" s="254"/>
      <c r="J3" s="368"/>
      <c r="O3" s="163"/>
      <c r="P3" s="463"/>
      <c r="Q3" s="255"/>
      <c r="X3" s="478"/>
    </row>
    <row r="4" spans="1:76" s="70" customFormat="1" ht="41.25" thickBot="1" x14ac:dyDescent="0.2">
      <c r="A4" s="163"/>
      <c r="B4" s="257" t="s">
        <v>228</v>
      </c>
      <c r="C4" s="258" t="s">
        <v>229</v>
      </c>
      <c r="D4" s="258" t="s">
        <v>230</v>
      </c>
      <c r="E4" s="258" t="s">
        <v>231</v>
      </c>
      <c r="F4" s="464" t="s">
        <v>232</v>
      </c>
      <c r="G4" s="259" t="s">
        <v>233</v>
      </c>
      <c r="H4" s="370" t="s">
        <v>234</v>
      </c>
      <c r="I4" s="260" t="s">
        <v>235</v>
      </c>
      <c r="J4" s="260" t="str">
        <f>IF(J2-'Revenue Tracking'!D4&gt;=0, "Total Revenue", "ERROR on REV" )</f>
        <v>Total Revenue</v>
      </c>
      <c r="K4" s="163"/>
      <c r="L4" s="257" t="s">
        <v>228</v>
      </c>
      <c r="M4" s="258" t="s">
        <v>236</v>
      </c>
      <c r="N4" s="258" t="s">
        <v>230</v>
      </c>
      <c r="O4" s="258" t="s">
        <v>231</v>
      </c>
      <c r="P4" s="464" t="s">
        <v>232</v>
      </c>
      <c r="Q4" s="372" t="s">
        <v>237</v>
      </c>
      <c r="R4" s="620" t="s">
        <v>238</v>
      </c>
      <c r="S4" s="621" t="s">
        <v>173</v>
      </c>
      <c r="T4" s="370" t="s">
        <v>174</v>
      </c>
      <c r="U4" s="371" t="s">
        <v>239</v>
      </c>
      <c r="V4" s="372" t="s">
        <v>240</v>
      </c>
      <c r="W4" s="370" t="s">
        <v>234</v>
      </c>
      <c r="X4" s="479" t="s">
        <v>235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 x14ac:dyDescent="0.2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 x14ac:dyDescent="0.15">
      <c r="B6" s="279">
        <v>1</v>
      </c>
      <c r="C6" s="349" t="s">
        <v>241</v>
      </c>
      <c r="D6" s="280" t="s">
        <v>242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243</v>
      </c>
      <c r="N6" s="280" t="s">
        <v>244</v>
      </c>
      <c r="O6" s="548">
        <v>597</v>
      </c>
      <c r="P6" s="436">
        <f>1.99*620</f>
        <v>1233.8</v>
      </c>
      <c r="Q6" s="390">
        <v>281646.11</v>
      </c>
      <c r="R6" s="586" t="s">
        <v>245</v>
      </c>
      <c r="S6" s="623" t="s">
        <v>246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 x14ac:dyDescent="0.15">
      <c r="B7" s="309">
        <v>1</v>
      </c>
      <c r="C7" s="417"/>
      <c r="D7" s="388" t="s">
        <v>247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243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246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 x14ac:dyDescent="0.15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243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 x14ac:dyDescent="0.15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243</v>
      </c>
      <c r="N9" s="484"/>
      <c r="O9" s="550"/>
      <c r="P9" s="443"/>
      <c r="Q9" s="385">
        <v>4601.3999999999996</v>
      </c>
      <c r="R9" s="588"/>
      <c r="S9" s="625" t="s">
        <v>248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 x14ac:dyDescent="0.15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243</v>
      </c>
      <c r="N10" s="484" t="s">
        <v>249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250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 x14ac:dyDescent="0.2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243</v>
      </c>
      <c r="N11" s="418" t="s">
        <v>251</v>
      </c>
      <c r="O11" s="551"/>
      <c r="P11" s="459"/>
      <c r="Q11" s="328">
        <v>600</v>
      </c>
      <c r="R11" s="589"/>
      <c r="S11" s="626" t="s">
        <v>250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252</v>
      </c>
      <c r="Z11" s="605" t="s">
        <v>253</v>
      </c>
    </row>
    <row r="12" spans="1:76" ht="15" thickBot="1" x14ac:dyDescent="0.2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254</v>
      </c>
      <c r="Z12" s="607">
        <f>G54</f>
        <v>392189.72608695651</v>
      </c>
    </row>
    <row r="13" spans="1:76" ht="14.25" customHeight="1" x14ac:dyDescent="0.15">
      <c r="B13" s="291">
        <v>2</v>
      </c>
      <c r="C13" s="317" t="s">
        <v>255</v>
      </c>
      <c r="D13" s="317" t="s">
        <v>256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257</v>
      </c>
      <c r="N13" s="317" t="s">
        <v>258</v>
      </c>
      <c r="O13" s="553">
        <v>3</v>
      </c>
      <c r="P13" s="456">
        <v>68870.349999999991</v>
      </c>
      <c r="Q13" s="294">
        <f>O13*P13</f>
        <v>206611.05</v>
      </c>
      <c r="R13" s="591" t="s">
        <v>245</v>
      </c>
      <c r="S13" s="628" t="s">
        <v>246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259</v>
      </c>
      <c r="Z13" s="608">
        <f>G29</f>
        <v>182845.7</v>
      </c>
    </row>
    <row r="14" spans="1:76" ht="14.25" customHeight="1" x14ac:dyDescent="0.15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257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260</v>
      </c>
      <c r="Z14" s="607">
        <f>G92</f>
        <v>92522.5</v>
      </c>
    </row>
    <row r="15" spans="1:76" ht="14.25" customHeight="1" x14ac:dyDescent="0.15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257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261</v>
      </c>
      <c r="Z15" s="607">
        <f>G93</f>
        <v>195930</v>
      </c>
    </row>
    <row r="16" spans="1:76" ht="14.25" customHeight="1" x14ac:dyDescent="0.15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257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262</v>
      </c>
      <c r="Z16" s="607">
        <f>G106</f>
        <v>8500</v>
      </c>
    </row>
    <row r="17" spans="1:26" ht="14.25" customHeight="1" x14ac:dyDescent="0.15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257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263</v>
      </c>
      <c r="Z17" s="607">
        <f>G107</f>
        <v>25764.600000000002</v>
      </c>
    </row>
    <row r="18" spans="1:26" ht="14.25" customHeight="1" x14ac:dyDescent="0.15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257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264</v>
      </c>
      <c r="Z18" s="607">
        <f>G113</f>
        <v>4563.333333333333</v>
      </c>
    </row>
    <row r="19" spans="1:26" ht="15" customHeight="1" thickBot="1" x14ac:dyDescent="0.2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257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265</v>
      </c>
      <c r="Z19" s="607">
        <v>0</v>
      </c>
    </row>
    <row r="20" spans="1:26" ht="15" thickBot="1" x14ac:dyDescent="0.2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 x14ac:dyDescent="0.15">
      <c r="B21" s="279">
        <v>3</v>
      </c>
      <c r="C21" s="307" t="s">
        <v>266</v>
      </c>
      <c r="D21" s="325" t="s">
        <v>267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268</v>
      </c>
      <c r="N21" s="325" t="s">
        <v>269</v>
      </c>
      <c r="O21" s="548"/>
      <c r="P21" s="436"/>
      <c r="Q21" s="282">
        <v>66124.800000000003</v>
      </c>
      <c r="R21" s="594" t="s">
        <v>270</v>
      </c>
      <c r="S21" s="631" t="s">
        <v>271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272</v>
      </c>
      <c r="Z21" s="609">
        <v>0</v>
      </c>
    </row>
    <row r="22" spans="1:26" ht="14.25" customHeight="1" x14ac:dyDescent="0.15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268</v>
      </c>
      <c r="N22" s="326" t="s">
        <v>273</v>
      </c>
      <c r="O22" s="549"/>
      <c r="P22" s="458"/>
      <c r="Q22" s="313">
        <v>1252</v>
      </c>
      <c r="R22" s="587" t="s">
        <v>274</v>
      </c>
      <c r="S22" s="624" t="s">
        <v>275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195</v>
      </c>
      <c r="Z22" s="607">
        <f>SUM(Z12:Z21)</f>
        <v>902315.85942028987</v>
      </c>
    </row>
    <row r="23" spans="1:26" ht="14.25" customHeight="1" x14ac:dyDescent="0.15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268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276</v>
      </c>
      <c r="Z23" s="610">
        <f>+Z22*0.85</f>
        <v>766968.48050724634</v>
      </c>
    </row>
    <row r="24" spans="1:26" ht="14.25" customHeight="1" x14ac:dyDescent="0.15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268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277</v>
      </c>
      <c r="Z24" s="609">
        <f>Z23/'Project Plan'!$E$3/1000</f>
        <v>2.0728877851547201</v>
      </c>
    </row>
    <row r="25" spans="1:26" ht="14.25" customHeight="1" x14ac:dyDescent="0.15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268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 x14ac:dyDescent="0.2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268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278</v>
      </c>
      <c r="Z26" s="613" t="s">
        <v>279</v>
      </c>
    </row>
    <row r="27" spans="1:26" ht="15" thickBot="1" x14ac:dyDescent="0.2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 x14ac:dyDescent="0.15">
      <c r="B28" s="291">
        <v>4</v>
      </c>
      <c r="C28" s="292" t="s">
        <v>259</v>
      </c>
      <c r="D28" s="292" t="s">
        <v>280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281</v>
      </c>
      <c r="N28" s="292" t="s">
        <v>282</v>
      </c>
      <c r="O28" s="545">
        <v>8000</v>
      </c>
      <c r="P28" s="456">
        <v>13.4</v>
      </c>
      <c r="Q28" s="294">
        <f>O28*P28</f>
        <v>107200</v>
      </c>
      <c r="R28" s="591" t="s">
        <v>245</v>
      </c>
      <c r="S28" s="628" t="s">
        <v>283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 x14ac:dyDescent="0.15">
      <c r="B29" s="318">
        <v>4</v>
      </c>
      <c r="C29" s="407"/>
      <c r="D29" s="407" t="s">
        <v>284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281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 x14ac:dyDescent="0.15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281</v>
      </c>
      <c r="N30" s="407" t="s">
        <v>285</v>
      </c>
      <c r="O30" s="546">
        <v>6000</v>
      </c>
      <c r="P30" s="452">
        <v>14</v>
      </c>
      <c r="Q30" s="298">
        <f>88500-4500</f>
        <v>84000</v>
      </c>
      <c r="R30" s="794" t="s">
        <v>286</v>
      </c>
      <c r="S30" s="629" t="s">
        <v>287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 x14ac:dyDescent="0.15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281</v>
      </c>
      <c r="N31" s="407" t="s">
        <v>288</v>
      </c>
      <c r="O31" s="554">
        <v>1</v>
      </c>
      <c r="P31" s="452"/>
      <c r="Q31" s="298">
        <v>4500</v>
      </c>
      <c r="R31" s="795"/>
      <c r="S31" s="629" t="s">
        <v>287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 x14ac:dyDescent="0.15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281</v>
      </c>
      <c r="N32" s="407" t="s">
        <v>289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290</v>
      </c>
      <c r="S32" s="629" t="s">
        <v>291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 x14ac:dyDescent="0.15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281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291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 x14ac:dyDescent="0.15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281</v>
      </c>
      <c r="N34" s="407" t="s">
        <v>292</v>
      </c>
      <c r="O34" s="554"/>
      <c r="P34" s="566">
        <v>0.2</v>
      </c>
      <c r="Q34" s="298">
        <f t="shared" si="2"/>
        <v>37010.257834180222</v>
      </c>
      <c r="R34" s="793"/>
      <c r="S34" s="629" t="s">
        <v>293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 x14ac:dyDescent="0.15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281</v>
      </c>
      <c r="N35" s="407" t="s">
        <v>294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 x14ac:dyDescent="0.15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281</v>
      </c>
      <c r="N36" s="407" t="s">
        <v>294</v>
      </c>
      <c r="O36" s="554"/>
      <c r="P36" s="566">
        <v>0.11</v>
      </c>
      <c r="Q36" s="298">
        <f>O32*P36</f>
        <v>20355.641808799119</v>
      </c>
      <c r="R36" s="793"/>
      <c r="S36" s="629" t="s">
        <v>295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 x14ac:dyDescent="0.15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281</v>
      </c>
      <c r="N37" s="407" t="s">
        <v>181</v>
      </c>
      <c r="O37" s="554"/>
      <c r="P37" s="566">
        <v>0.1</v>
      </c>
      <c r="Q37" s="298">
        <f t="shared" si="2"/>
        <v>18505.128917090111</v>
      </c>
      <c r="R37" s="793"/>
      <c r="S37" s="629" t="s">
        <v>296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272</v>
      </c>
      <c r="Z37" s="615">
        <v>0</v>
      </c>
    </row>
    <row r="38" spans="1:26" ht="14.25" customHeight="1" x14ac:dyDescent="0.15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281</v>
      </c>
      <c r="N38" s="407" t="s">
        <v>297</v>
      </c>
      <c r="O38" s="554"/>
      <c r="P38" s="566">
        <v>0.1</v>
      </c>
      <c r="Q38" s="298">
        <v>18505.11</v>
      </c>
      <c r="R38" s="793"/>
      <c r="S38" s="629" t="s">
        <v>298</v>
      </c>
      <c r="T38" s="651">
        <v>45900</v>
      </c>
      <c r="U38" s="661">
        <v>21883.095781176376</v>
      </c>
      <c r="V38" s="800"/>
      <c r="W38" s="576">
        <f t="shared" si="4"/>
        <v>46084</v>
      </c>
      <c r="X38" s="774"/>
      <c r="Y38" s="614" t="s">
        <v>272</v>
      </c>
      <c r="Z38" s="616">
        <v>0</v>
      </c>
    </row>
    <row r="39" spans="1:26" ht="14.25" customHeight="1" x14ac:dyDescent="0.15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281</v>
      </c>
      <c r="N39" s="407" t="s">
        <v>299</v>
      </c>
      <c r="O39" s="554"/>
      <c r="P39" s="566">
        <v>0.05</v>
      </c>
      <c r="Q39" s="298">
        <v>9252.5</v>
      </c>
      <c r="R39" s="793"/>
      <c r="S39" s="629" t="s">
        <v>300</v>
      </c>
      <c r="T39" s="651">
        <v>45900</v>
      </c>
      <c r="U39" s="661">
        <v>10941.482850700935</v>
      </c>
      <c r="V39" s="800"/>
      <c r="W39" s="576">
        <f t="shared" si="4"/>
        <v>46084</v>
      </c>
      <c r="X39" s="774"/>
      <c r="Y39" s="614" t="s">
        <v>195</v>
      </c>
      <c r="Z39" s="615">
        <v>810300</v>
      </c>
    </row>
    <row r="40" spans="1:26" ht="14.25" customHeight="1" x14ac:dyDescent="0.15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281</v>
      </c>
      <c r="N40" s="407" t="s">
        <v>301</v>
      </c>
      <c r="O40" s="554"/>
      <c r="P40" s="566">
        <v>0.05</v>
      </c>
      <c r="Q40" s="298">
        <v>9252.5</v>
      </c>
      <c r="R40" s="792"/>
      <c r="S40" s="629" t="s">
        <v>302</v>
      </c>
      <c r="T40" s="651">
        <v>45900</v>
      </c>
      <c r="U40" s="661">
        <v>10941.482850700935</v>
      </c>
      <c r="V40" s="800"/>
      <c r="W40" s="576">
        <f t="shared" si="4"/>
        <v>46107</v>
      </c>
      <c r="X40" s="774"/>
      <c r="Y40" s="617" t="s">
        <v>277</v>
      </c>
      <c r="Z40" s="616">
        <f>Z39/'Project Plan'!$E$3/1000</f>
        <v>2.19</v>
      </c>
    </row>
    <row r="41" spans="1:26" ht="14.25" customHeight="1" x14ac:dyDescent="0.15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281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 x14ac:dyDescent="0.15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281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 x14ac:dyDescent="0.2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281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5" thickBot="1" x14ac:dyDescent="0.2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 x14ac:dyDescent="0.15">
      <c r="B45" s="279">
        <v>5</v>
      </c>
      <c r="C45" s="307" t="s">
        <v>303</v>
      </c>
      <c r="D45" s="325" t="s">
        <v>304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305</v>
      </c>
      <c r="N45" s="325" t="s">
        <v>306</v>
      </c>
      <c r="O45" s="548"/>
      <c r="P45" s="436"/>
      <c r="Q45" s="282">
        <v>8598.35</v>
      </c>
      <c r="R45" s="594" t="s">
        <v>245</v>
      </c>
      <c r="S45" s="631" t="s">
        <v>307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 x14ac:dyDescent="0.15">
      <c r="B46" s="284">
        <v>5</v>
      </c>
      <c r="C46" s="308"/>
      <c r="D46" s="311" t="s">
        <v>308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305</v>
      </c>
      <c r="N46" s="285" t="s">
        <v>309</v>
      </c>
      <c r="O46" s="556"/>
      <c r="P46" s="451"/>
      <c r="Q46" s="313">
        <v>13695</v>
      </c>
      <c r="R46" s="587" t="s">
        <v>310</v>
      </c>
      <c r="S46" s="624" t="s">
        <v>311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 x14ac:dyDescent="0.15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305</v>
      </c>
      <c r="N47" s="285"/>
      <c r="O47" s="556"/>
      <c r="P47" s="451"/>
      <c r="Q47" s="313">
        <v>214.28</v>
      </c>
      <c r="R47" s="587"/>
      <c r="S47" s="624" t="s">
        <v>312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 x14ac:dyDescent="0.15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305</v>
      </c>
      <c r="N48" s="311" t="s">
        <v>313</v>
      </c>
      <c r="O48" s="549"/>
      <c r="P48" s="458"/>
      <c r="Q48" s="313">
        <v>11169</v>
      </c>
      <c r="R48" s="587"/>
      <c r="S48" s="624" t="s">
        <v>314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 x14ac:dyDescent="0.15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305</v>
      </c>
      <c r="N49" s="311" t="s">
        <v>315</v>
      </c>
      <c r="O49" s="549"/>
      <c r="P49" s="458"/>
      <c r="Q49" s="313">
        <v>2250.5</v>
      </c>
      <c r="R49" s="587" t="s">
        <v>316</v>
      </c>
      <c r="S49" s="624" t="s">
        <v>317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 x14ac:dyDescent="0.15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305</v>
      </c>
      <c r="N50" s="386" t="s">
        <v>318</v>
      </c>
      <c r="O50" s="550"/>
      <c r="P50" s="443"/>
      <c r="Q50" s="385">
        <v>7197.5</v>
      </c>
      <c r="R50" s="588" t="s">
        <v>319</v>
      </c>
      <c r="S50" s="625" t="s">
        <v>320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 x14ac:dyDescent="0.15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305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 x14ac:dyDescent="0.2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305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5" thickBot="1" x14ac:dyDescent="0.2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 x14ac:dyDescent="0.15">
      <c r="B54" s="291">
        <v>6</v>
      </c>
      <c r="C54" s="292" t="s">
        <v>254</v>
      </c>
      <c r="D54" s="293" t="s">
        <v>321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322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 x14ac:dyDescent="0.15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322</v>
      </c>
      <c r="N55" s="442" t="s">
        <v>323</v>
      </c>
      <c r="O55" s="554"/>
      <c r="P55" s="452"/>
      <c r="Q55" s="319">
        <v>117330.71</v>
      </c>
      <c r="R55" s="592" t="s">
        <v>324</v>
      </c>
      <c r="S55" s="629" t="s">
        <v>325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 x14ac:dyDescent="0.15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322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 x14ac:dyDescent="0.15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322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 x14ac:dyDescent="0.15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322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 x14ac:dyDescent="0.15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322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 x14ac:dyDescent="0.15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322</v>
      </c>
      <c r="N60" s="407" t="s">
        <v>289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290</v>
      </c>
      <c r="S60" s="629" t="s">
        <v>291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 x14ac:dyDescent="0.15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322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291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 x14ac:dyDescent="0.15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322</v>
      </c>
      <c r="N62" s="407" t="s">
        <v>292</v>
      </c>
      <c r="O62" s="554"/>
      <c r="P62" s="566">
        <v>0.2</v>
      </c>
      <c r="Q62" s="298">
        <f t="shared" si="6"/>
        <v>18478.90688055849</v>
      </c>
      <c r="R62" s="793"/>
      <c r="S62" s="629" t="s">
        <v>293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 x14ac:dyDescent="0.15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322</v>
      </c>
      <c r="N63" s="407" t="s">
        <v>294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 x14ac:dyDescent="0.15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322</v>
      </c>
      <c r="N64" s="407" t="s">
        <v>294</v>
      </c>
      <c r="O64" s="554"/>
      <c r="P64" s="566">
        <v>0.11</v>
      </c>
      <c r="Q64" s="298">
        <f>O60*P64</f>
        <v>10163.398784307168</v>
      </c>
      <c r="R64" s="793"/>
      <c r="S64" s="629" t="s">
        <v>295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 x14ac:dyDescent="0.15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322</v>
      </c>
      <c r="N65" s="407" t="s">
        <v>181</v>
      </c>
      <c r="O65" s="554"/>
      <c r="P65" s="566">
        <v>0.1</v>
      </c>
      <c r="Q65" s="298">
        <v>9239.4599999999991</v>
      </c>
      <c r="R65" s="793"/>
      <c r="S65" s="629" t="s">
        <v>296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 x14ac:dyDescent="0.15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322</v>
      </c>
      <c r="N66" s="407" t="s">
        <v>297</v>
      </c>
      <c r="O66" s="554"/>
      <c r="P66" s="566">
        <v>0.1</v>
      </c>
      <c r="Q66" s="298">
        <v>9239.41</v>
      </c>
      <c r="R66" s="793"/>
      <c r="S66" s="633" t="s">
        <v>298</v>
      </c>
      <c r="T66" s="651">
        <v>45900</v>
      </c>
      <c r="U66" s="676">
        <v>19633.931328447623</v>
      </c>
      <c r="V66" s="800"/>
      <c r="W66" s="576">
        <f t="shared" si="8"/>
        <v>46084</v>
      </c>
      <c r="X66" s="774"/>
      <c r="Y66" s="481"/>
    </row>
    <row r="67" spans="1:25" ht="14.25" customHeight="1" x14ac:dyDescent="0.15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322</v>
      </c>
      <c r="N67" s="407" t="s">
        <v>299</v>
      </c>
      <c r="O67" s="554"/>
      <c r="P67" s="566">
        <v>0.05</v>
      </c>
      <c r="Q67" s="298">
        <v>4619.7</v>
      </c>
      <c r="R67" s="793"/>
      <c r="S67" s="633" t="s">
        <v>300</v>
      </c>
      <c r="T67" s="651">
        <v>45900</v>
      </c>
      <c r="U67" s="676">
        <v>9816.9550391236535</v>
      </c>
      <c r="V67" s="800"/>
      <c r="W67" s="576">
        <f t="shared" si="8"/>
        <v>46084</v>
      </c>
      <c r="X67" s="774"/>
      <c r="Y67" s="481"/>
    </row>
    <row r="68" spans="1:25" ht="14.25" customHeight="1" x14ac:dyDescent="0.15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322</v>
      </c>
      <c r="N68" s="407" t="s">
        <v>301</v>
      </c>
      <c r="O68" s="554"/>
      <c r="P68" s="566">
        <v>0.05</v>
      </c>
      <c r="Q68" s="298">
        <v>4619.7</v>
      </c>
      <c r="R68" s="792"/>
      <c r="S68" s="633" t="s">
        <v>302</v>
      </c>
      <c r="T68" s="651">
        <v>45900</v>
      </c>
      <c r="U68" s="676">
        <v>9816.9550391236535</v>
      </c>
      <c r="V68" s="800"/>
      <c r="W68" s="576">
        <f t="shared" si="8"/>
        <v>46107</v>
      </c>
      <c r="X68" s="774"/>
      <c r="Y68" s="481"/>
    </row>
    <row r="69" spans="1:25" ht="14.25" customHeight="1" x14ac:dyDescent="0.15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322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 x14ac:dyDescent="0.15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322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 x14ac:dyDescent="0.2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322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5" thickBot="1" x14ac:dyDescent="0.2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 x14ac:dyDescent="0.15">
      <c r="B73" s="379">
        <v>7</v>
      </c>
      <c r="C73" s="307" t="s">
        <v>326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327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 x14ac:dyDescent="0.15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327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 x14ac:dyDescent="0.15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327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 x14ac:dyDescent="0.15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327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 x14ac:dyDescent="0.15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327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 x14ac:dyDescent="0.15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327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 x14ac:dyDescent="0.15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327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 x14ac:dyDescent="0.2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327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5" thickBot="1" x14ac:dyDescent="0.2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 x14ac:dyDescent="0.15">
      <c r="B82" s="330">
        <v>8</v>
      </c>
      <c r="C82" s="292" t="s">
        <v>328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329</v>
      </c>
      <c r="N82" s="331" t="s">
        <v>330</v>
      </c>
      <c r="O82" s="560"/>
      <c r="P82" s="415"/>
      <c r="Q82" s="332">
        <v>245754.52</v>
      </c>
      <c r="R82" s="591" t="s">
        <v>331</v>
      </c>
      <c r="S82" s="628" t="s">
        <v>332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 x14ac:dyDescent="0.15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329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 x14ac:dyDescent="0.15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329</v>
      </c>
      <c r="N84" s="333" t="s">
        <v>333</v>
      </c>
      <c r="O84" s="414"/>
      <c r="P84" s="460">
        <v>18219.57</v>
      </c>
      <c r="Q84" s="322">
        <f>P84</f>
        <v>18219.57</v>
      </c>
      <c r="R84" s="592"/>
      <c r="S84" s="629" t="s">
        <v>334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 x14ac:dyDescent="0.15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329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 x14ac:dyDescent="0.15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329</v>
      </c>
      <c r="N86" s="333" t="s">
        <v>335</v>
      </c>
      <c r="O86" s="557"/>
      <c r="P86" s="460"/>
      <c r="Q86" s="322">
        <f>21400*0.8</f>
        <v>17120</v>
      </c>
      <c r="R86" s="791" t="s">
        <v>336</v>
      </c>
      <c r="S86" s="629" t="s">
        <v>337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 x14ac:dyDescent="0.15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329</v>
      </c>
      <c r="N87" s="333" t="s">
        <v>338</v>
      </c>
      <c r="O87" s="557"/>
      <c r="P87" s="460"/>
      <c r="Q87" s="322">
        <f>21400*0.2</f>
        <v>4280</v>
      </c>
      <c r="R87" s="792"/>
      <c r="S87" s="629" t="s">
        <v>337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 x14ac:dyDescent="0.15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329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 x14ac:dyDescent="0.15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329</v>
      </c>
      <c r="N89" s="333" t="s">
        <v>339</v>
      </c>
      <c r="O89" s="557"/>
      <c r="P89" s="460"/>
      <c r="Q89" s="322">
        <v>16725</v>
      </c>
      <c r="R89" s="596" t="s">
        <v>340</v>
      </c>
      <c r="S89" s="633" t="s">
        <v>341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 x14ac:dyDescent="0.2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329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 x14ac:dyDescent="0.3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342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 x14ac:dyDescent="0.15">
      <c r="B92" s="309">
        <v>9</v>
      </c>
      <c r="C92" s="441" t="s">
        <v>343</v>
      </c>
      <c r="D92" s="325" t="s">
        <v>344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345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 x14ac:dyDescent="0.15">
      <c r="B93" s="309">
        <v>9</v>
      </c>
      <c r="C93" s="441"/>
      <c r="D93" s="326" t="s">
        <v>346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345</v>
      </c>
      <c r="N93" s="326" t="s">
        <v>289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290</v>
      </c>
      <c r="S93" s="624" t="s">
        <v>291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 x14ac:dyDescent="0.15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345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291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 x14ac:dyDescent="0.15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345</v>
      </c>
      <c r="N95" s="384" t="s">
        <v>292</v>
      </c>
      <c r="O95" s="550"/>
      <c r="P95" s="567">
        <v>0.2</v>
      </c>
      <c r="Q95" s="313">
        <f t="shared" si="10"/>
        <v>96624.049320276026</v>
      </c>
      <c r="R95" s="789"/>
      <c r="S95" s="625" t="s">
        <v>293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 x14ac:dyDescent="0.15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345</v>
      </c>
      <c r="N96" s="384" t="s">
        <v>294</v>
      </c>
      <c r="O96" s="550"/>
      <c r="P96" s="567">
        <v>0.14000000000000001</v>
      </c>
      <c r="Q96" s="313">
        <v>67636.83</v>
      </c>
      <c r="R96" s="789"/>
      <c r="S96" s="625" t="s">
        <v>347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 x14ac:dyDescent="0.15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345</v>
      </c>
      <c r="N97" s="384" t="s">
        <v>294</v>
      </c>
      <c r="O97" s="550"/>
      <c r="P97" s="567">
        <v>0.11</v>
      </c>
      <c r="Q97" s="313">
        <f>O93*P97</f>
        <v>53143.227126151811</v>
      </c>
      <c r="R97" s="789"/>
      <c r="S97" s="625" t="s">
        <v>295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 x14ac:dyDescent="0.15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345</v>
      </c>
      <c r="N98" s="384" t="s">
        <v>181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 x14ac:dyDescent="0.15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345</v>
      </c>
      <c r="N99" s="384" t="s">
        <v>297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46084</v>
      </c>
      <c r="X99" s="780"/>
      <c r="Y99" s="481"/>
    </row>
    <row r="100" spans="1:25" ht="15" customHeight="1" x14ac:dyDescent="0.15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345</v>
      </c>
      <c r="N100" s="384" t="s">
        <v>299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46084</v>
      </c>
      <c r="X100" s="780"/>
      <c r="Y100" s="481"/>
    </row>
    <row r="101" spans="1:25" ht="15" customHeight="1" x14ac:dyDescent="0.15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345</v>
      </c>
      <c r="N101" s="384" t="s">
        <v>301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46107</v>
      </c>
      <c r="X101" s="780"/>
      <c r="Y101" s="481"/>
    </row>
    <row r="102" spans="1:25" ht="15" customHeight="1" x14ac:dyDescent="0.15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345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 x14ac:dyDescent="0.15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345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 x14ac:dyDescent="0.2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345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5" thickBot="1" x14ac:dyDescent="0.2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 x14ac:dyDescent="0.15">
      <c r="B106" s="267">
        <v>10</v>
      </c>
      <c r="C106" s="268" t="s">
        <v>348</v>
      </c>
      <c r="D106" s="268" t="s">
        <v>262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349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 x14ac:dyDescent="0.15">
      <c r="B107" s="338">
        <v>10</v>
      </c>
      <c r="C107" s="339"/>
      <c r="D107" s="339" t="s">
        <v>263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349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 x14ac:dyDescent="0.15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349</v>
      </c>
      <c r="N108" s="339" t="s">
        <v>350</v>
      </c>
      <c r="O108" s="563"/>
      <c r="P108" s="470"/>
      <c r="Q108" s="341">
        <v>4600</v>
      </c>
      <c r="R108" s="601"/>
      <c r="S108" s="637" t="s">
        <v>351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 x14ac:dyDescent="0.15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349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 x14ac:dyDescent="0.15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349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 x14ac:dyDescent="0.15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349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 x14ac:dyDescent="0.15">
      <c r="B112" s="338">
        <v>10</v>
      </c>
      <c r="C112" s="339"/>
      <c r="D112" s="339" t="s">
        <v>352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349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 x14ac:dyDescent="0.15">
      <c r="B113" s="338">
        <v>10</v>
      </c>
      <c r="C113" s="339"/>
      <c r="D113" s="339" t="s">
        <v>264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349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 x14ac:dyDescent="0.15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349</v>
      </c>
      <c r="N114" s="339" t="s">
        <v>289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290</v>
      </c>
      <c r="S114" s="638" t="s">
        <v>291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 x14ac:dyDescent="0.15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349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291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 x14ac:dyDescent="0.15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349</v>
      </c>
      <c r="N116" s="339" t="s">
        <v>292</v>
      </c>
      <c r="O116" s="563"/>
      <c r="P116" s="570">
        <v>0.2</v>
      </c>
      <c r="Q116" s="341">
        <f t="shared" si="15"/>
        <v>9946.7859649852708</v>
      </c>
      <c r="R116" s="786"/>
      <c r="S116" s="638" t="s">
        <v>293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 x14ac:dyDescent="0.15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349</v>
      </c>
      <c r="N117" s="339" t="s">
        <v>294</v>
      </c>
      <c r="O117" s="563"/>
      <c r="P117" s="570">
        <v>0.14000000000000001</v>
      </c>
      <c r="Q117" s="341">
        <v>6962.75</v>
      </c>
      <c r="R117" s="786"/>
      <c r="S117" s="638" t="s">
        <v>347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 x14ac:dyDescent="0.15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349</v>
      </c>
      <c r="N118" s="339" t="s">
        <v>294</v>
      </c>
      <c r="O118" s="563"/>
      <c r="P118" s="570">
        <v>0.11</v>
      </c>
      <c r="Q118" s="341">
        <f>O114*P118</f>
        <v>5470.7322807418986</v>
      </c>
      <c r="R118" s="786"/>
      <c r="S118" s="638" t="s">
        <v>295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 x14ac:dyDescent="0.15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349</v>
      </c>
      <c r="N119" s="339" t="s">
        <v>181</v>
      </c>
      <c r="O119" s="563"/>
      <c r="P119" s="570">
        <v>0.1</v>
      </c>
      <c r="Q119" s="341">
        <v>4973.41</v>
      </c>
      <c r="R119" s="786"/>
      <c r="S119" s="638" t="s">
        <v>296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 x14ac:dyDescent="0.15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349</v>
      </c>
      <c r="N120" s="339" t="s">
        <v>297</v>
      </c>
      <c r="O120" s="563"/>
      <c r="P120" s="570">
        <v>0.1</v>
      </c>
      <c r="Q120" s="341">
        <v>4973.3</v>
      </c>
      <c r="R120" s="786"/>
      <c r="S120" s="638" t="s">
        <v>298</v>
      </c>
      <c r="T120" s="652">
        <v>45900</v>
      </c>
      <c r="U120" s="663">
        <v>6248.7381531461197</v>
      </c>
      <c r="V120" s="766"/>
      <c r="W120" s="584">
        <f t="shared" si="14"/>
        <v>46084</v>
      </c>
      <c r="X120" s="760"/>
      <c r="Y120" s="481"/>
    </row>
    <row r="121" spans="1:25" ht="14.25" customHeight="1" x14ac:dyDescent="0.15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349</v>
      </c>
      <c r="N121" s="339" t="s">
        <v>299</v>
      </c>
      <c r="O121" s="563"/>
      <c r="P121" s="570">
        <v>0.05</v>
      </c>
      <c r="Q121" s="341">
        <f t="shared" si="15"/>
        <v>2486.6964912463177</v>
      </c>
      <c r="R121" s="786"/>
      <c r="S121" s="638" t="s">
        <v>300</v>
      </c>
      <c r="T121" s="652">
        <v>45900</v>
      </c>
      <c r="U121" s="663">
        <v>3124.4274908301227</v>
      </c>
      <c r="V121" s="766"/>
      <c r="W121" s="584">
        <f t="shared" si="14"/>
        <v>46084</v>
      </c>
      <c r="X121" s="760"/>
      <c r="Y121" s="481"/>
    </row>
    <row r="122" spans="1:25" ht="14.25" customHeight="1" x14ac:dyDescent="0.15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349</v>
      </c>
      <c r="N122" s="339" t="s">
        <v>301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302</v>
      </c>
      <c r="T122" s="652">
        <v>45900</v>
      </c>
      <c r="U122" s="663">
        <v>3124.4274908301227</v>
      </c>
      <c r="V122" s="766"/>
      <c r="W122" s="584">
        <f t="shared" si="14"/>
        <v>46107</v>
      </c>
      <c r="X122" s="760"/>
      <c r="Y122" s="481"/>
    </row>
    <row r="123" spans="1:25" ht="14.25" customHeight="1" x14ac:dyDescent="0.15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349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 x14ac:dyDescent="0.15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349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 x14ac:dyDescent="0.2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349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5" thickBot="1" x14ac:dyDescent="0.2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 x14ac:dyDescent="0.15">
      <c r="B127" s="279">
        <v>11</v>
      </c>
      <c r="C127" s="280" t="s">
        <v>353</v>
      </c>
      <c r="D127" s="349" t="s">
        <v>354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355</v>
      </c>
      <c r="N127" s="349" t="s">
        <v>354</v>
      </c>
      <c r="O127" s="281"/>
      <c r="P127" s="436"/>
      <c r="Q127" s="282">
        <v>10160.799999999999</v>
      </c>
      <c r="R127" s="594"/>
      <c r="S127" s="631" t="s">
        <v>356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 x14ac:dyDescent="0.15">
      <c r="B128" s="309">
        <v>11</v>
      </c>
      <c r="C128" s="311"/>
      <c r="D128" s="311" t="s">
        <v>357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355</v>
      </c>
      <c r="N128" s="311" t="s">
        <v>357</v>
      </c>
      <c r="O128" s="312"/>
      <c r="P128" s="458"/>
      <c r="Q128" s="313">
        <v>8212.24</v>
      </c>
      <c r="R128" s="587" t="s">
        <v>358</v>
      </c>
      <c r="S128" s="624" t="s">
        <v>359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 x14ac:dyDescent="0.15">
      <c r="B129" s="309">
        <v>11</v>
      </c>
      <c r="C129" s="311"/>
      <c r="D129" s="311" t="s">
        <v>360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355</v>
      </c>
      <c r="N129" s="311" t="s">
        <v>360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 x14ac:dyDescent="0.15">
      <c r="B130" s="309">
        <v>11</v>
      </c>
      <c r="C130" s="386"/>
      <c r="D130" s="386" t="s">
        <v>361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355</v>
      </c>
      <c r="N130" s="386" t="s">
        <v>361</v>
      </c>
      <c r="O130" s="405"/>
      <c r="P130" s="443"/>
      <c r="Q130" s="385">
        <v>5100</v>
      </c>
      <c r="R130" s="588" t="s">
        <v>362</v>
      </c>
      <c r="S130" s="625" t="s">
        <v>363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 x14ac:dyDescent="0.2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355</v>
      </c>
      <c r="N131" s="315" t="s">
        <v>364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 x14ac:dyDescent="0.2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 x14ac:dyDescent="0.15">
      <c r="B133" s="267">
        <v>12</v>
      </c>
      <c r="C133" s="268" t="s">
        <v>365</v>
      </c>
      <c r="D133" s="268" t="s">
        <v>366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367</v>
      </c>
      <c r="N133" s="268" t="s">
        <v>366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 x14ac:dyDescent="0.2">
      <c r="B134" s="271">
        <v>12</v>
      </c>
      <c r="C134" s="342" t="s">
        <v>365</v>
      </c>
      <c r="D134" s="342" t="s">
        <v>368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367</v>
      </c>
      <c r="N134" s="342" t="s">
        <v>368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5" thickBot="1" x14ac:dyDescent="0.2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 x14ac:dyDescent="0.15">
      <c r="B136" s="279">
        <v>13</v>
      </c>
      <c r="C136" s="280" t="s">
        <v>369</v>
      </c>
      <c r="D136" s="349" t="s">
        <v>370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371</v>
      </c>
      <c r="N136" s="349" t="s">
        <v>372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 x14ac:dyDescent="0.15">
      <c r="B137" s="309">
        <v>13</v>
      </c>
      <c r="C137" s="311"/>
      <c r="D137" s="311" t="s">
        <v>373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371</v>
      </c>
      <c r="N137" s="311" t="s">
        <v>373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 x14ac:dyDescent="0.15">
      <c r="B138" s="309">
        <v>13</v>
      </c>
      <c r="C138" s="311"/>
      <c r="D138" s="311" t="s">
        <v>374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371</v>
      </c>
      <c r="N138" s="311" t="s">
        <v>374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 x14ac:dyDescent="0.15">
      <c r="B139" s="309">
        <v>13</v>
      </c>
      <c r="C139" s="311"/>
      <c r="D139" s="311" t="s">
        <v>375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371</v>
      </c>
      <c r="N139" s="311" t="s">
        <v>375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 x14ac:dyDescent="0.15">
      <c r="B140" s="309">
        <v>13</v>
      </c>
      <c r="C140" s="311"/>
      <c r="D140" s="311" t="s">
        <v>376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371</v>
      </c>
      <c r="N140" s="311" t="s">
        <v>376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 x14ac:dyDescent="0.2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371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5" thickBot="1" x14ac:dyDescent="0.2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 x14ac:dyDescent="0.15">
      <c r="B143" s="267">
        <v>14</v>
      </c>
      <c r="C143" s="268" t="s">
        <v>377</v>
      </c>
      <c r="D143" s="268" t="s">
        <v>378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379</v>
      </c>
      <c r="N143" s="268" t="s">
        <v>380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 x14ac:dyDescent="0.15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379</v>
      </c>
      <c r="N144" s="339" t="s">
        <v>380</v>
      </c>
      <c r="O144" s="563"/>
      <c r="P144" s="470"/>
      <c r="Q144" s="341">
        <v>1399.43</v>
      </c>
      <c r="R144" s="602"/>
      <c r="S144" s="638" t="s">
        <v>381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 x14ac:dyDescent="0.15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379</v>
      </c>
      <c r="N145" s="339" t="s">
        <v>380</v>
      </c>
      <c r="O145" s="563"/>
      <c r="P145" s="470"/>
      <c r="Q145" s="341">
        <v>1699.57</v>
      </c>
      <c r="R145" s="602"/>
      <c r="S145" s="638" t="s">
        <v>381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 x14ac:dyDescent="0.15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379</v>
      </c>
      <c r="N146" s="339" t="s">
        <v>380</v>
      </c>
      <c r="O146" s="563"/>
      <c r="P146" s="470"/>
      <c r="Q146" s="341">
        <v>502.18</v>
      </c>
      <c r="R146" s="602"/>
      <c r="S146" s="638" t="s">
        <v>381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 x14ac:dyDescent="0.15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379</v>
      </c>
      <c r="N147" s="339" t="s">
        <v>380</v>
      </c>
      <c r="O147" s="563"/>
      <c r="P147" s="470"/>
      <c r="Q147" s="341">
        <v>380.32</v>
      </c>
      <c r="R147" s="602"/>
      <c r="S147" s="638" t="s">
        <v>381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 x14ac:dyDescent="0.15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379</v>
      </c>
      <c r="N148" s="339" t="s">
        <v>380</v>
      </c>
      <c r="O148" s="563"/>
      <c r="P148" s="470"/>
      <c r="Q148" s="341">
        <v>0</v>
      </c>
      <c r="R148" s="602"/>
      <c r="S148" s="638" t="s">
        <v>381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 x14ac:dyDescent="0.15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379</v>
      </c>
      <c r="N149" s="339" t="s">
        <v>380</v>
      </c>
      <c r="O149" s="563"/>
      <c r="P149" s="470"/>
      <c r="Q149" s="341">
        <v>125.19</v>
      </c>
      <c r="R149" s="602"/>
      <c r="S149" s="638" t="s">
        <v>381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 x14ac:dyDescent="0.15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379</v>
      </c>
      <c r="N150" s="339" t="s">
        <v>380</v>
      </c>
      <c r="O150" s="563"/>
      <c r="P150" s="470"/>
      <c r="Q150" s="341">
        <v>0</v>
      </c>
      <c r="R150" s="692"/>
      <c r="S150" s="638" t="s">
        <v>381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 x14ac:dyDescent="0.15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379</v>
      </c>
      <c r="N151" s="339" t="s">
        <v>380</v>
      </c>
      <c r="O151" s="563"/>
      <c r="P151" s="470"/>
      <c r="Q151" s="341">
        <v>244.66</v>
      </c>
      <c r="R151" s="602"/>
      <c r="S151" s="638" t="s">
        <v>381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 x14ac:dyDescent="0.15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379</v>
      </c>
      <c r="N152" s="339" t="s">
        <v>380</v>
      </c>
      <c r="O152" s="563"/>
      <c r="P152" s="470"/>
      <c r="Q152" s="341">
        <v>315.11</v>
      </c>
      <c r="R152" s="602"/>
      <c r="S152" s="638" t="s">
        <v>381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 x14ac:dyDescent="0.15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379</v>
      </c>
      <c r="N153" s="339" t="s">
        <v>380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 x14ac:dyDescent="0.15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379</v>
      </c>
      <c r="N154" s="339" t="s">
        <v>380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 x14ac:dyDescent="0.15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379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x14ac:dyDescent="0.1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 x14ac:dyDescent="0.15">
      <c r="B157" s="279">
        <v>15</v>
      </c>
      <c r="C157" s="280" t="s">
        <v>382</v>
      </c>
      <c r="D157" s="280" t="s">
        <v>383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384</v>
      </c>
      <c r="N157" s="280" t="s">
        <v>385</v>
      </c>
      <c r="O157" s="281"/>
      <c r="P157" s="436"/>
      <c r="Q157" s="282">
        <f>503000/2</f>
        <v>251500</v>
      </c>
      <c r="R157" s="594"/>
      <c r="S157" s="631" t="s">
        <v>386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 x14ac:dyDescent="0.1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384</v>
      </c>
      <c r="N158" s="311" t="s">
        <v>387</v>
      </c>
      <c r="O158" s="549"/>
      <c r="P158" s="458"/>
      <c r="Q158" s="313">
        <v>251500</v>
      </c>
      <c r="R158" s="587"/>
      <c r="S158" s="624" t="s">
        <v>386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 x14ac:dyDescent="0.1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384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 x14ac:dyDescent="0.1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384</v>
      </c>
      <c r="N160" s="311" t="s">
        <v>388</v>
      </c>
      <c r="O160" s="675">
        <v>0.5</v>
      </c>
      <c r="P160" s="458">
        <v>143138</v>
      </c>
      <c r="Q160" s="313">
        <v>27040.37</v>
      </c>
      <c r="R160" s="587"/>
      <c r="S160" s="624" t="s">
        <v>389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 x14ac:dyDescent="0.1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384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389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 x14ac:dyDescent="0.1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384</v>
      </c>
      <c r="N162" s="311"/>
      <c r="O162" s="549"/>
      <c r="P162" s="458"/>
      <c r="Q162" s="313">
        <f>O160*P160</f>
        <v>71569</v>
      </c>
      <c r="R162" s="587"/>
      <c r="S162" s="624" t="s">
        <v>389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 x14ac:dyDescent="0.1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384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 x14ac:dyDescent="0.1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384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 x14ac:dyDescent="0.1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384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 x14ac:dyDescent="0.1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384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 x14ac:dyDescent="0.1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384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 x14ac:dyDescent="0.1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384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 x14ac:dyDescent="0.2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384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 x14ac:dyDescent="0.15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 x14ac:dyDescent="0.15">
      <c r="B171" s="110"/>
      <c r="C171" s="641" t="s">
        <v>390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 x14ac:dyDescent="0.15">
      <c r="B172" s="110"/>
      <c r="C172" s="641" t="s">
        <v>391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 x14ac:dyDescent="0.15">
      <c r="B173" s="110"/>
      <c r="C173" s="641" t="s">
        <v>392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 x14ac:dyDescent="0.15">
      <c r="B174" s="110"/>
      <c r="C174" s="641" t="s">
        <v>284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 x14ac:dyDescent="0.15">
      <c r="B175" s="110"/>
      <c r="C175" s="641" t="s">
        <v>321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 x14ac:dyDescent="0.15">
      <c r="B176" s="110"/>
      <c r="C176" s="641" t="s">
        <v>304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 x14ac:dyDescent="0.15">
      <c r="B177" s="110"/>
      <c r="C177" s="641" t="s">
        <v>393</v>
      </c>
      <c r="D177" s="65">
        <v>0</v>
      </c>
      <c r="E177" s="543"/>
      <c r="F177" s="641">
        <v>0</v>
      </c>
      <c r="G177" s="110"/>
      <c r="I177" s="254"/>
      <c r="J177" s="254"/>
    </row>
    <row r="178" spans="2:10" x14ac:dyDescent="0.15">
      <c r="B178" s="110"/>
      <c r="C178" s="641" t="s">
        <v>394</v>
      </c>
      <c r="D178" s="65">
        <v>0</v>
      </c>
      <c r="E178" s="543"/>
      <c r="F178" s="641">
        <v>0</v>
      </c>
      <c r="G178" s="110"/>
      <c r="I178" s="254"/>
      <c r="J178" s="254"/>
    </row>
    <row r="179" spans="2:10" x14ac:dyDescent="0.15">
      <c r="B179" s="110"/>
      <c r="C179" s="641" t="s">
        <v>395</v>
      </c>
      <c r="D179" s="65">
        <v>0</v>
      </c>
      <c r="E179" s="543"/>
      <c r="F179" s="641">
        <v>0</v>
      </c>
      <c r="G179" s="110"/>
      <c r="I179" s="254"/>
      <c r="J179" s="254"/>
    </row>
    <row r="180" spans="2:10" x14ac:dyDescent="0.15">
      <c r="B180" s="110"/>
      <c r="C180" s="641" t="s">
        <v>396</v>
      </c>
      <c r="D180" s="65">
        <v>0</v>
      </c>
      <c r="E180" s="543"/>
      <c r="F180" s="641">
        <v>0</v>
      </c>
      <c r="G180" s="110"/>
      <c r="I180" s="254"/>
      <c r="J180" s="254"/>
    </row>
    <row r="181" spans="2:10" x14ac:dyDescent="0.15">
      <c r="B181" s="110"/>
      <c r="C181" s="641" t="s">
        <v>397</v>
      </c>
      <c r="D181" s="65">
        <v>0</v>
      </c>
      <c r="E181" s="543"/>
      <c r="F181" s="641">
        <v>0</v>
      </c>
      <c r="G181" s="110"/>
      <c r="I181" s="254"/>
      <c r="J181" s="254"/>
    </row>
    <row r="182" spans="2:10" x14ac:dyDescent="0.15">
      <c r="B182" s="110"/>
      <c r="C182" s="641" t="s">
        <v>398</v>
      </c>
      <c r="D182" s="65"/>
      <c r="E182" s="543"/>
      <c r="F182" s="641"/>
      <c r="G182" s="110"/>
      <c r="I182" s="254"/>
      <c r="J182" s="254"/>
    </row>
    <row r="183" spans="2:10" x14ac:dyDescent="0.15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 x14ac:dyDescent="0.15">
      <c r="C184" s="641" t="s">
        <v>399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 x14ac:dyDescent="0.15">
      <c r="C185" s="641" t="s">
        <v>400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 x14ac:dyDescent="0.15">
      <c r="C186" s="641" t="s">
        <v>401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 x14ac:dyDescent="0.15">
      <c r="C187" s="641" t="s">
        <v>402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 x14ac:dyDescent="0.15">
      <c r="C188" s="641" t="s">
        <v>403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 x14ac:dyDescent="0.15">
      <c r="C189" s="641" t="s">
        <v>404</v>
      </c>
      <c r="D189" s="641">
        <v>0</v>
      </c>
      <c r="E189" s="543"/>
      <c r="F189" s="641">
        <v>0</v>
      </c>
      <c r="I189" s="254"/>
      <c r="J189" s="254"/>
    </row>
    <row r="190" spans="2:10" s="110" customFormat="1" x14ac:dyDescent="0.15">
      <c r="C190" s="641" t="s">
        <v>405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 x14ac:dyDescent="0.15">
      <c r="C191" s="641" t="s">
        <v>406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 x14ac:dyDescent="0.15">
      <c r="C192" s="641" t="s">
        <v>407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 x14ac:dyDescent="0.15">
      <c r="C193" s="641" t="s">
        <v>408</v>
      </c>
      <c r="D193" s="641">
        <v>0</v>
      </c>
      <c r="E193" s="543"/>
      <c r="F193" s="641">
        <v>0</v>
      </c>
      <c r="I193" s="254"/>
      <c r="J193" s="254"/>
    </row>
    <row r="194" spans="3:10" s="110" customFormat="1" x14ac:dyDescent="0.15">
      <c r="C194" s="641" t="s">
        <v>395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 x14ac:dyDescent="0.15">
      <c r="C195" s="641"/>
      <c r="D195" s="641"/>
      <c r="E195" s="543"/>
      <c r="F195" s="641"/>
      <c r="I195" s="254"/>
      <c r="J195" s="254"/>
    </row>
    <row r="196" spans="3:10" s="110" customFormat="1" x14ac:dyDescent="0.15">
      <c r="C196" s="641" t="s">
        <v>409</v>
      </c>
      <c r="D196" s="641"/>
      <c r="E196" s="543"/>
      <c r="F196" s="641"/>
      <c r="I196" s="254"/>
      <c r="J196" s="254"/>
    </row>
    <row r="197" spans="3:10" s="110" customFormat="1" x14ac:dyDescent="0.15">
      <c r="C197" s="641" t="s">
        <v>410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 x14ac:dyDescent="0.15">
      <c r="C198" s="547"/>
      <c r="D198" s="547"/>
      <c r="E198" s="163"/>
      <c r="F198" s="463"/>
      <c r="I198" s="254"/>
      <c r="J198" s="254"/>
    </row>
    <row r="199" spans="3:10" s="110" customFormat="1" x14ac:dyDescent="0.15">
      <c r="C199" s="547"/>
      <c r="D199" s="547"/>
      <c r="E199" s="163"/>
      <c r="F199" s="463"/>
      <c r="I199" s="254"/>
      <c r="J199" s="254"/>
    </row>
    <row r="200" spans="3:10" s="110" customFormat="1" x14ac:dyDescent="0.15">
      <c r="C200" s="547"/>
      <c r="D200" s="547"/>
      <c r="E200" s="163"/>
      <c r="F200" s="463"/>
      <c r="I200" s="254"/>
      <c r="J200" s="254"/>
    </row>
    <row r="201" spans="3:10" s="110" customFormat="1" x14ac:dyDescent="0.15">
      <c r="C201" s="547"/>
      <c r="D201" s="547"/>
      <c r="E201" s="163"/>
      <c r="F201" s="463"/>
      <c r="I201" s="254"/>
      <c r="J201" s="254"/>
    </row>
    <row r="202" spans="3:10" s="110" customFormat="1" x14ac:dyDescent="0.15">
      <c r="C202" s="547"/>
      <c r="D202" s="547"/>
      <c r="E202" s="163"/>
      <c r="F202" s="463"/>
      <c r="I202" s="254"/>
      <c r="J202" s="254"/>
    </row>
    <row r="203" spans="3:10" s="110" customFormat="1" x14ac:dyDescent="0.15">
      <c r="C203" s="547"/>
      <c r="D203" s="547"/>
      <c r="E203" s="163"/>
      <c r="F203" s="463"/>
      <c r="I203" s="254"/>
      <c r="J203" s="254"/>
    </row>
    <row r="204" spans="3:10" s="110" customFormat="1" x14ac:dyDescent="0.15">
      <c r="C204" s="547"/>
      <c r="D204" s="547"/>
      <c r="E204" s="163"/>
      <c r="F204" s="463"/>
      <c r="I204" s="254"/>
      <c r="J204" s="254"/>
    </row>
    <row r="205" spans="3:10" s="110" customFormat="1" x14ac:dyDescent="0.15">
      <c r="C205" s="547"/>
      <c r="D205" s="547"/>
      <c r="E205" s="163"/>
      <c r="F205" s="463"/>
      <c r="I205" s="254"/>
      <c r="J205" s="254"/>
    </row>
    <row r="206" spans="3:10" s="110" customFormat="1" x14ac:dyDescent="0.15">
      <c r="C206" s="547"/>
      <c r="D206" s="547"/>
      <c r="E206" s="163"/>
      <c r="F206" s="463"/>
      <c r="I206" s="254"/>
      <c r="J206" s="254"/>
    </row>
    <row r="207" spans="3:10" s="110" customFormat="1" x14ac:dyDescent="0.15">
      <c r="C207" s="547"/>
      <c r="D207" s="547"/>
      <c r="E207" s="163"/>
      <c r="F207" s="463"/>
      <c r="I207" s="254"/>
      <c r="J207" s="254"/>
    </row>
    <row r="208" spans="3:10" s="110" customFormat="1" x14ac:dyDescent="0.15">
      <c r="C208" s="547"/>
      <c r="D208" s="547"/>
      <c r="E208" s="163"/>
      <c r="F208" s="463"/>
      <c r="I208" s="254"/>
      <c r="J208" s="254"/>
    </row>
    <row r="209" spans="3:10" s="110" customFormat="1" x14ac:dyDescent="0.15">
      <c r="C209" s="547"/>
      <c r="D209" s="547"/>
      <c r="E209" s="163"/>
      <c r="F209" s="463"/>
      <c r="I209" s="254"/>
      <c r="J209" s="254"/>
    </row>
    <row r="210" spans="3:10" s="110" customFormat="1" x14ac:dyDescent="0.15">
      <c r="C210" s="547"/>
      <c r="D210" s="547"/>
      <c r="E210" s="163"/>
      <c r="F210" s="463"/>
      <c r="I210" s="254"/>
      <c r="J210" s="254"/>
    </row>
    <row r="211" spans="3:10" s="110" customFormat="1" x14ac:dyDescent="0.15">
      <c r="C211" s="547"/>
      <c r="D211" s="547"/>
      <c r="E211" s="163"/>
      <c r="F211" s="463"/>
      <c r="I211" s="254"/>
      <c r="J211" s="254"/>
    </row>
    <row r="212" spans="3:10" s="110" customFormat="1" x14ac:dyDescent="0.15">
      <c r="C212" s="547"/>
      <c r="D212" s="547"/>
      <c r="E212" s="163"/>
      <c r="F212" s="463"/>
      <c r="I212" s="254"/>
      <c r="J212" s="254"/>
    </row>
    <row r="213" spans="3:10" s="110" customFormat="1" x14ac:dyDescent="0.15">
      <c r="C213" s="547"/>
      <c r="D213" s="547"/>
      <c r="E213" s="163"/>
      <c r="F213" s="463"/>
      <c r="I213" s="254"/>
      <c r="J213" s="254"/>
    </row>
    <row r="214" spans="3:10" s="110" customFormat="1" x14ac:dyDescent="0.15">
      <c r="C214" s="547"/>
      <c r="D214" s="547"/>
      <c r="E214" s="163"/>
      <c r="F214" s="463"/>
      <c r="I214" s="254"/>
      <c r="J214" s="254"/>
    </row>
    <row r="215" spans="3:10" s="110" customFormat="1" x14ac:dyDescent="0.15">
      <c r="C215" s="547"/>
      <c r="D215" s="547"/>
      <c r="E215" s="163"/>
      <c r="F215" s="463"/>
      <c r="I215" s="254"/>
      <c r="J215" s="254"/>
    </row>
    <row r="216" spans="3:10" s="110" customFormat="1" x14ac:dyDescent="0.15">
      <c r="C216" s="547"/>
      <c r="D216" s="547"/>
      <c r="E216" s="163"/>
      <c r="F216" s="463"/>
      <c r="I216" s="254"/>
      <c r="J216" s="254"/>
    </row>
    <row r="217" spans="3:10" s="110" customFormat="1" x14ac:dyDescent="0.15">
      <c r="C217" s="547"/>
      <c r="D217" s="547"/>
      <c r="E217" s="163"/>
      <c r="F217" s="463"/>
      <c r="I217" s="254"/>
      <c r="J217" s="254"/>
    </row>
    <row r="218" spans="3:10" s="110" customFormat="1" x14ac:dyDescent="0.15">
      <c r="E218" s="163"/>
      <c r="F218" s="463"/>
      <c r="I218" s="254"/>
      <c r="J218" s="254"/>
    </row>
    <row r="219" spans="3:10" s="110" customFormat="1" x14ac:dyDescent="0.15">
      <c r="E219" s="163"/>
      <c r="F219" s="463"/>
      <c r="I219" s="254"/>
      <c r="J219" s="254"/>
    </row>
    <row r="220" spans="3:10" s="110" customFormat="1" x14ac:dyDescent="0.15">
      <c r="E220" s="163"/>
      <c r="F220" s="463"/>
      <c r="I220" s="254"/>
      <c r="J220" s="254"/>
    </row>
    <row r="221" spans="3:10" s="110" customFormat="1" x14ac:dyDescent="0.15">
      <c r="E221" s="163"/>
      <c r="F221" s="463"/>
      <c r="I221" s="254"/>
      <c r="J221" s="254"/>
    </row>
    <row r="222" spans="3:10" s="110" customFormat="1" x14ac:dyDescent="0.15">
      <c r="E222" s="163"/>
      <c r="F222" s="463"/>
      <c r="I222" s="254"/>
      <c r="J222" s="254"/>
    </row>
    <row r="223" spans="3:10" s="110" customFormat="1" x14ac:dyDescent="0.15">
      <c r="E223" s="163"/>
      <c r="F223" s="463"/>
      <c r="I223" s="254"/>
      <c r="J223" s="254"/>
    </row>
    <row r="224" spans="3:10" s="110" customFormat="1" x14ac:dyDescent="0.15">
      <c r="E224" s="163"/>
      <c r="F224" s="463"/>
      <c r="I224" s="254"/>
      <c r="J224" s="254"/>
    </row>
    <row r="225" spans="5:10" s="110" customFormat="1" x14ac:dyDescent="0.15">
      <c r="E225" s="163"/>
      <c r="F225" s="463"/>
      <c r="I225" s="254"/>
      <c r="J225" s="254"/>
    </row>
    <row r="226" spans="5:10" s="110" customFormat="1" x14ac:dyDescent="0.15">
      <c r="E226" s="163"/>
      <c r="F226" s="463"/>
      <c r="I226" s="254"/>
      <c r="J226" s="254"/>
    </row>
    <row r="227" spans="5:10" s="110" customFormat="1" x14ac:dyDescent="0.15">
      <c r="E227" s="163"/>
      <c r="F227" s="463"/>
      <c r="I227" s="254"/>
      <c r="J227" s="254"/>
    </row>
    <row r="228" spans="5:10" s="110" customFormat="1" x14ac:dyDescent="0.15">
      <c r="E228" s="163"/>
      <c r="F228" s="463"/>
      <c r="I228" s="254"/>
      <c r="J228" s="254"/>
    </row>
    <row r="229" spans="5:10" s="110" customFormat="1" x14ac:dyDescent="0.15">
      <c r="E229" s="163"/>
      <c r="F229" s="463"/>
      <c r="I229" s="254"/>
      <c r="J229" s="254"/>
    </row>
    <row r="230" spans="5:10" s="110" customFormat="1" x14ac:dyDescent="0.15">
      <c r="E230" s="163"/>
      <c r="F230" s="463"/>
      <c r="I230" s="254"/>
      <c r="J230" s="254"/>
    </row>
    <row r="231" spans="5:10" s="110" customFormat="1" x14ac:dyDescent="0.15">
      <c r="E231" s="163"/>
      <c r="F231" s="463"/>
      <c r="I231" s="254"/>
      <c r="J231" s="254"/>
    </row>
    <row r="232" spans="5:10" s="110" customFormat="1" x14ac:dyDescent="0.15">
      <c r="E232" s="163"/>
      <c r="F232" s="463"/>
      <c r="I232" s="254"/>
      <c r="J232" s="254"/>
    </row>
    <row r="233" spans="5:10" s="110" customFormat="1" x14ac:dyDescent="0.15">
      <c r="E233" s="163"/>
      <c r="F233" s="463"/>
      <c r="I233" s="254"/>
      <c r="J233" s="254"/>
    </row>
    <row r="234" spans="5:10" s="110" customFormat="1" x14ac:dyDescent="0.15">
      <c r="E234" s="163"/>
      <c r="F234" s="463"/>
      <c r="I234" s="254"/>
      <c r="J234" s="254"/>
    </row>
    <row r="235" spans="5:10" s="110" customFormat="1" x14ac:dyDescent="0.15">
      <c r="E235" s="163"/>
      <c r="F235" s="463"/>
      <c r="I235" s="254"/>
      <c r="J235" s="254"/>
    </row>
    <row r="236" spans="5:10" s="110" customFormat="1" x14ac:dyDescent="0.15">
      <c r="E236" s="163"/>
      <c r="F236" s="463"/>
      <c r="I236" s="254"/>
      <c r="J236" s="254"/>
    </row>
    <row r="237" spans="5:10" s="110" customFormat="1" x14ac:dyDescent="0.15">
      <c r="E237" s="163"/>
      <c r="F237" s="463"/>
      <c r="I237" s="254"/>
      <c r="J237" s="254"/>
    </row>
    <row r="238" spans="5:10" s="110" customFormat="1" x14ac:dyDescent="0.15">
      <c r="E238" s="163"/>
      <c r="F238" s="463"/>
      <c r="I238" s="254"/>
      <c r="J238" s="254"/>
    </row>
    <row r="239" spans="5:10" s="110" customFormat="1" x14ac:dyDescent="0.15">
      <c r="E239" s="163"/>
      <c r="F239" s="463"/>
      <c r="I239" s="254"/>
      <c r="J239" s="254"/>
    </row>
    <row r="240" spans="5:10" s="110" customFormat="1" x14ac:dyDescent="0.15">
      <c r="E240" s="163"/>
      <c r="F240" s="463"/>
      <c r="I240" s="254"/>
      <c r="J240" s="254"/>
    </row>
    <row r="241" spans="5:10" s="110" customFormat="1" x14ac:dyDescent="0.15">
      <c r="E241" s="163"/>
      <c r="F241" s="463"/>
      <c r="I241" s="254"/>
      <c r="J241" s="254"/>
    </row>
    <row r="242" spans="5:10" s="110" customFormat="1" x14ac:dyDescent="0.15">
      <c r="E242" s="163"/>
      <c r="F242" s="463"/>
      <c r="I242" s="254"/>
      <c r="J242" s="254"/>
    </row>
    <row r="243" spans="5:10" s="110" customFormat="1" x14ac:dyDescent="0.15">
      <c r="E243" s="163"/>
      <c r="F243" s="463"/>
      <c r="I243" s="254"/>
      <c r="J243" s="254"/>
    </row>
    <row r="244" spans="5:10" s="110" customFormat="1" x14ac:dyDescent="0.15">
      <c r="E244" s="163"/>
      <c r="F244" s="463"/>
      <c r="I244" s="254"/>
      <c r="J244" s="254"/>
    </row>
    <row r="245" spans="5:10" s="110" customFormat="1" x14ac:dyDescent="0.15">
      <c r="E245" s="163"/>
      <c r="F245" s="463"/>
      <c r="I245" s="254"/>
      <c r="J245" s="254"/>
    </row>
    <row r="246" spans="5:10" s="110" customFormat="1" x14ac:dyDescent="0.15">
      <c r="E246" s="163"/>
      <c r="F246" s="463"/>
      <c r="I246" s="254"/>
      <c r="J246" s="254"/>
    </row>
    <row r="247" spans="5:10" s="110" customFormat="1" x14ac:dyDescent="0.15">
      <c r="E247" s="163"/>
      <c r="F247" s="463"/>
      <c r="I247" s="254"/>
      <c r="J247" s="254"/>
    </row>
    <row r="248" spans="5:10" s="110" customFormat="1" x14ac:dyDescent="0.15">
      <c r="E248" s="163"/>
      <c r="F248" s="463"/>
      <c r="I248" s="254"/>
      <c r="J248" s="254"/>
    </row>
    <row r="249" spans="5:10" s="110" customFormat="1" x14ac:dyDescent="0.15">
      <c r="E249" s="163"/>
      <c r="F249" s="463"/>
      <c r="I249" s="254"/>
      <c r="J249" s="254"/>
    </row>
    <row r="250" spans="5:10" s="110" customFormat="1" x14ac:dyDescent="0.15">
      <c r="E250" s="163"/>
      <c r="F250" s="463"/>
      <c r="I250" s="254"/>
      <c r="J250" s="254"/>
    </row>
    <row r="251" spans="5:10" s="110" customFormat="1" x14ac:dyDescent="0.15">
      <c r="E251" s="163"/>
      <c r="F251" s="463"/>
      <c r="I251" s="254"/>
      <c r="J251" s="254"/>
    </row>
    <row r="252" spans="5:10" s="110" customFormat="1" x14ac:dyDescent="0.15">
      <c r="E252" s="163"/>
      <c r="F252" s="463"/>
      <c r="I252" s="254"/>
      <c r="J252" s="254"/>
    </row>
    <row r="253" spans="5:10" s="110" customFormat="1" x14ac:dyDescent="0.15">
      <c r="E253" s="163"/>
      <c r="F253" s="463"/>
      <c r="I253" s="254"/>
      <c r="J253" s="254"/>
    </row>
    <row r="254" spans="5:10" s="110" customFormat="1" x14ac:dyDescent="0.15">
      <c r="E254" s="163"/>
      <c r="F254" s="463"/>
      <c r="I254" s="254"/>
      <c r="J254" s="254"/>
    </row>
    <row r="255" spans="5:10" s="110" customFormat="1" x14ac:dyDescent="0.15">
      <c r="E255" s="163"/>
      <c r="F255" s="463"/>
      <c r="I255" s="254"/>
      <c r="J255" s="254"/>
    </row>
    <row r="256" spans="5:10" s="110" customFormat="1" x14ac:dyDescent="0.15">
      <c r="E256" s="163"/>
      <c r="F256" s="463"/>
      <c r="I256" s="254"/>
      <c r="J256" s="254"/>
    </row>
    <row r="257" spans="5:10" s="110" customFormat="1" x14ac:dyDescent="0.15">
      <c r="E257" s="163"/>
      <c r="F257" s="463"/>
      <c r="I257" s="254"/>
      <c r="J257" s="254"/>
    </row>
    <row r="258" spans="5:10" s="110" customFormat="1" x14ac:dyDescent="0.15">
      <c r="E258" s="163"/>
      <c r="F258" s="463"/>
      <c r="I258" s="254"/>
      <c r="J258" s="254"/>
    </row>
    <row r="259" spans="5:10" s="110" customFormat="1" x14ac:dyDescent="0.15">
      <c r="E259" s="163"/>
      <c r="F259" s="463"/>
      <c r="I259" s="254"/>
      <c r="J259" s="254"/>
    </row>
    <row r="260" spans="5:10" s="110" customFormat="1" x14ac:dyDescent="0.15">
      <c r="E260" s="163"/>
      <c r="F260" s="463"/>
      <c r="I260" s="254"/>
      <c r="J260" s="254"/>
    </row>
    <row r="261" spans="5:10" s="110" customFormat="1" x14ac:dyDescent="0.15">
      <c r="E261" s="163"/>
      <c r="F261" s="463"/>
      <c r="I261" s="254"/>
      <c r="J261" s="254"/>
    </row>
    <row r="262" spans="5:10" s="110" customFormat="1" x14ac:dyDescent="0.15">
      <c r="E262" s="163"/>
      <c r="F262" s="463"/>
      <c r="I262" s="254"/>
      <c r="J262" s="254"/>
    </row>
    <row r="263" spans="5:10" s="110" customFormat="1" x14ac:dyDescent="0.15">
      <c r="E263" s="163"/>
      <c r="F263" s="463"/>
      <c r="I263" s="254"/>
      <c r="J263" s="254"/>
    </row>
    <row r="264" spans="5:10" s="110" customFormat="1" x14ac:dyDescent="0.15">
      <c r="E264" s="163"/>
      <c r="F264" s="463"/>
      <c r="I264" s="254"/>
      <c r="J264" s="254"/>
    </row>
    <row r="265" spans="5:10" s="110" customFormat="1" x14ac:dyDescent="0.15">
      <c r="E265" s="163"/>
      <c r="F265" s="463"/>
      <c r="I265" s="254"/>
      <c r="J265" s="254"/>
    </row>
    <row r="266" spans="5:10" s="110" customFormat="1" x14ac:dyDescent="0.15">
      <c r="E266" s="163"/>
      <c r="F266" s="463"/>
      <c r="I266" s="254"/>
      <c r="J266" s="254"/>
    </row>
    <row r="267" spans="5:10" s="110" customFormat="1" x14ac:dyDescent="0.15">
      <c r="E267" s="163"/>
      <c r="F267" s="463"/>
      <c r="I267" s="254"/>
      <c r="J267" s="254"/>
    </row>
    <row r="268" spans="5:10" s="110" customFormat="1" x14ac:dyDescent="0.15">
      <c r="E268" s="163"/>
      <c r="F268" s="463"/>
      <c r="I268" s="254"/>
      <c r="J268" s="254"/>
    </row>
    <row r="269" spans="5:10" s="110" customFormat="1" x14ac:dyDescent="0.15">
      <c r="E269" s="163"/>
      <c r="F269" s="463"/>
      <c r="I269" s="254"/>
      <c r="J269" s="254"/>
    </row>
    <row r="270" spans="5:10" s="110" customFormat="1" x14ac:dyDescent="0.15">
      <c r="E270" s="163"/>
      <c r="F270" s="463"/>
      <c r="I270" s="254"/>
      <c r="J270" s="254"/>
    </row>
    <row r="271" spans="5:10" s="110" customFormat="1" x14ac:dyDescent="0.15">
      <c r="E271" s="163"/>
      <c r="F271" s="463"/>
      <c r="I271" s="254"/>
      <c r="J271" s="254"/>
    </row>
    <row r="272" spans="5:10" s="110" customFormat="1" x14ac:dyDescent="0.15">
      <c r="E272" s="163"/>
      <c r="F272" s="463"/>
      <c r="I272" s="254"/>
      <c r="J272" s="254"/>
    </row>
    <row r="273" spans="5:10" s="110" customFormat="1" x14ac:dyDescent="0.15">
      <c r="E273" s="163"/>
      <c r="F273" s="463"/>
      <c r="I273" s="254"/>
      <c r="J273" s="254"/>
    </row>
    <row r="274" spans="5:10" s="110" customFormat="1" x14ac:dyDescent="0.15">
      <c r="E274" s="163"/>
      <c r="F274" s="463"/>
      <c r="I274" s="254"/>
      <c r="J274" s="254"/>
    </row>
    <row r="275" spans="5:10" s="110" customFormat="1" x14ac:dyDescent="0.15">
      <c r="E275" s="163"/>
      <c r="F275" s="463"/>
      <c r="I275" s="254"/>
      <c r="J275" s="254"/>
    </row>
    <row r="276" spans="5:10" s="110" customFormat="1" x14ac:dyDescent="0.15">
      <c r="E276" s="163"/>
      <c r="F276" s="463"/>
      <c r="I276" s="254"/>
      <c r="J276" s="254"/>
    </row>
    <row r="277" spans="5:10" s="110" customFormat="1" x14ac:dyDescent="0.15">
      <c r="E277" s="163"/>
      <c r="F277" s="463"/>
      <c r="I277" s="254"/>
      <c r="J277" s="254"/>
    </row>
    <row r="278" spans="5:10" s="110" customFormat="1" x14ac:dyDescent="0.15">
      <c r="E278" s="163"/>
      <c r="F278" s="463"/>
      <c r="I278" s="254"/>
      <c r="J278" s="254"/>
    </row>
    <row r="279" spans="5:10" s="110" customFormat="1" x14ac:dyDescent="0.15">
      <c r="E279" s="163"/>
      <c r="F279" s="463"/>
      <c r="I279" s="254"/>
      <c r="J279" s="254"/>
    </row>
    <row r="280" spans="5:10" s="110" customFormat="1" x14ac:dyDescent="0.15">
      <c r="E280" s="163"/>
      <c r="F280" s="463"/>
      <c r="I280" s="254"/>
      <c r="J280" s="254"/>
    </row>
    <row r="281" spans="5:10" s="110" customFormat="1" x14ac:dyDescent="0.15">
      <c r="E281" s="163"/>
      <c r="F281" s="463"/>
      <c r="I281" s="254"/>
      <c r="J281" s="254"/>
    </row>
    <row r="282" spans="5:10" s="110" customFormat="1" x14ac:dyDescent="0.15">
      <c r="E282" s="163"/>
      <c r="F282" s="463"/>
      <c r="I282" s="254"/>
      <c r="J282" s="254"/>
    </row>
    <row r="283" spans="5:10" s="110" customFormat="1" x14ac:dyDescent="0.15">
      <c r="E283" s="163"/>
      <c r="F283" s="463"/>
      <c r="I283" s="254"/>
      <c r="J283" s="254"/>
    </row>
    <row r="284" spans="5:10" s="110" customFormat="1" x14ac:dyDescent="0.15">
      <c r="E284" s="163"/>
      <c r="F284" s="463"/>
      <c r="I284" s="254"/>
      <c r="J284" s="254"/>
    </row>
    <row r="285" spans="5:10" s="110" customFormat="1" x14ac:dyDescent="0.15">
      <c r="E285" s="163"/>
      <c r="F285" s="463"/>
      <c r="I285" s="254"/>
      <c r="J285" s="254"/>
    </row>
    <row r="286" spans="5:10" s="110" customFormat="1" x14ac:dyDescent="0.15">
      <c r="E286" s="163"/>
      <c r="F286" s="463"/>
      <c r="I286" s="254"/>
      <c r="J286" s="254"/>
    </row>
    <row r="287" spans="5:10" s="110" customFormat="1" x14ac:dyDescent="0.15">
      <c r="E287" s="163"/>
      <c r="F287" s="463"/>
      <c r="I287" s="254"/>
      <c r="J287" s="254"/>
    </row>
    <row r="288" spans="5:10" s="110" customFormat="1" x14ac:dyDescent="0.15">
      <c r="E288" s="163"/>
      <c r="F288" s="463"/>
      <c r="I288" s="254"/>
      <c r="J288" s="254"/>
    </row>
    <row r="289" spans="5:10" s="110" customFormat="1" x14ac:dyDescent="0.15">
      <c r="E289" s="163"/>
      <c r="F289" s="463"/>
      <c r="I289" s="254"/>
      <c r="J289" s="254"/>
    </row>
    <row r="290" spans="5:10" s="110" customFormat="1" x14ac:dyDescent="0.15">
      <c r="E290" s="163"/>
      <c r="F290" s="463"/>
      <c r="I290" s="254"/>
      <c r="J290" s="254"/>
    </row>
    <row r="291" spans="5:10" s="110" customFormat="1" x14ac:dyDescent="0.15">
      <c r="E291" s="163"/>
      <c r="F291" s="463"/>
      <c r="I291" s="254"/>
      <c r="J291" s="254"/>
    </row>
    <row r="292" spans="5:10" s="110" customFormat="1" x14ac:dyDescent="0.15">
      <c r="E292" s="163"/>
      <c r="F292" s="463"/>
      <c r="I292" s="254"/>
      <c r="J292" s="254"/>
    </row>
    <row r="293" spans="5:10" s="110" customFormat="1" x14ac:dyDescent="0.15">
      <c r="E293" s="163"/>
      <c r="F293" s="463"/>
      <c r="I293" s="254"/>
      <c r="J293" s="254"/>
    </row>
    <row r="294" spans="5:10" s="110" customFormat="1" x14ac:dyDescent="0.15">
      <c r="E294" s="163"/>
      <c r="F294" s="463"/>
      <c r="I294" s="254"/>
      <c r="J294" s="254"/>
    </row>
    <row r="295" spans="5:10" s="110" customFormat="1" x14ac:dyDescent="0.15">
      <c r="E295" s="163"/>
      <c r="F295" s="463"/>
      <c r="I295" s="254"/>
      <c r="J295" s="254"/>
    </row>
    <row r="296" spans="5:10" s="110" customFormat="1" x14ac:dyDescent="0.15">
      <c r="E296" s="163"/>
      <c r="F296" s="463"/>
      <c r="I296" s="254"/>
      <c r="J296" s="254"/>
    </row>
    <row r="297" spans="5:10" s="110" customFormat="1" x14ac:dyDescent="0.15">
      <c r="E297" s="163"/>
      <c r="F297" s="463"/>
      <c r="I297" s="254"/>
      <c r="J297" s="254"/>
    </row>
    <row r="298" spans="5:10" s="110" customFormat="1" x14ac:dyDescent="0.15">
      <c r="E298" s="163"/>
      <c r="F298" s="463"/>
      <c r="I298" s="254"/>
      <c r="J298" s="254"/>
    </row>
    <row r="299" spans="5:10" s="110" customFormat="1" x14ac:dyDescent="0.15">
      <c r="E299" s="163"/>
      <c r="F299" s="463"/>
      <c r="I299" s="254"/>
      <c r="J299" s="254"/>
    </row>
    <row r="300" spans="5:10" s="110" customFormat="1" x14ac:dyDescent="0.15">
      <c r="E300" s="163"/>
      <c r="F300" s="463"/>
      <c r="I300" s="254"/>
      <c r="J300" s="254"/>
    </row>
    <row r="301" spans="5:10" s="110" customFormat="1" x14ac:dyDescent="0.15">
      <c r="E301" s="163"/>
      <c r="F301" s="463"/>
      <c r="I301" s="254"/>
      <c r="J301" s="254"/>
    </row>
    <row r="302" spans="5:10" s="110" customFormat="1" x14ac:dyDescent="0.15">
      <c r="E302" s="163"/>
      <c r="F302" s="463"/>
      <c r="I302" s="254"/>
      <c r="J302" s="254"/>
    </row>
    <row r="303" spans="5:10" s="110" customFormat="1" x14ac:dyDescent="0.15">
      <c r="E303" s="163"/>
      <c r="F303" s="463"/>
      <c r="I303" s="254"/>
      <c r="J303" s="254"/>
    </row>
    <row r="304" spans="5:10" s="110" customFormat="1" x14ac:dyDescent="0.15">
      <c r="E304" s="163"/>
      <c r="F304" s="463"/>
      <c r="I304" s="254"/>
      <c r="J304" s="254"/>
    </row>
    <row r="305" spans="5:10" s="110" customFormat="1" x14ac:dyDescent="0.15">
      <c r="E305" s="163"/>
      <c r="F305" s="463"/>
      <c r="I305" s="254"/>
      <c r="J305" s="254"/>
    </row>
    <row r="306" spans="5:10" s="110" customFormat="1" x14ac:dyDescent="0.15">
      <c r="E306" s="163"/>
      <c r="F306" s="463"/>
      <c r="I306" s="254"/>
      <c r="J306" s="254"/>
    </row>
    <row r="307" spans="5:10" s="110" customFormat="1" x14ac:dyDescent="0.15">
      <c r="E307" s="163"/>
      <c r="F307" s="463"/>
      <c r="I307" s="254"/>
      <c r="J307" s="254"/>
    </row>
    <row r="308" spans="5:10" s="110" customFormat="1" x14ac:dyDescent="0.15">
      <c r="E308" s="163"/>
      <c r="F308" s="463"/>
      <c r="I308" s="254"/>
      <c r="J308" s="254"/>
    </row>
    <row r="309" spans="5:10" s="110" customFormat="1" x14ac:dyDescent="0.15">
      <c r="E309" s="163"/>
      <c r="F309" s="463"/>
      <c r="I309" s="254"/>
      <c r="J309" s="254"/>
    </row>
    <row r="310" spans="5:10" s="110" customFormat="1" x14ac:dyDescent="0.15">
      <c r="E310" s="163"/>
      <c r="F310" s="463"/>
      <c r="I310" s="254"/>
      <c r="J310" s="254"/>
    </row>
    <row r="311" spans="5:10" s="110" customFormat="1" x14ac:dyDescent="0.15">
      <c r="E311" s="163"/>
      <c r="F311" s="463"/>
      <c r="I311" s="254"/>
      <c r="J311" s="254"/>
    </row>
    <row r="312" spans="5:10" s="110" customFormat="1" x14ac:dyDescent="0.15">
      <c r="E312" s="163"/>
      <c r="F312" s="463"/>
      <c r="I312" s="254"/>
      <c r="J312" s="254"/>
    </row>
    <row r="313" spans="5:10" s="110" customFormat="1" x14ac:dyDescent="0.15">
      <c r="E313" s="163"/>
      <c r="F313" s="463"/>
      <c r="I313" s="254"/>
      <c r="J313" s="254"/>
    </row>
    <row r="314" spans="5:10" s="110" customFormat="1" x14ac:dyDescent="0.15">
      <c r="E314" s="163"/>
      <c r="F314" s="463"/>
      <c r="I314" s="254"/>
      <c r="J314" s="254"/>
    </row>
    <row r="315" spans="5:10" s="110" customFormat="1" x14ac:dyDescent="0.15">
      <c r="E315" s="163"/>
      <c r="F315" s="463"/>
      <c r="I315" s="254"/>
      <c r="J315" s="254"/>
    </row>
    <row r="316" spans="5:10" s="110" customFormat="1" x14ac:dyDescent="0.15">
      <c r="E316" s="163"/>
      <c r="F316" s="463"/>
      <c r="I316" s="254"/>
      <c r="J316" s="254"/>
    </row>
    <row r="317" spans="5:10" s="110" customFormat="1" x14ac:dyDescent="0.15">
      <c r="E317" s="163"/>
      <c r="F317" s="463"/>
      <c r="I317" s="254"/>
      <c r="J317" s="254"/>
    </row>
    <row r="318" spans="5:10" s="110" customFormat="1" x14ac:dyDescent="0.15">
      <c r="E318" s="163"/>
      <c r="F318" s="463"/>
      <c r="I318" s="254"/>
      <c r="J318" s="254"/>
    </row>
    <row r="319" spans="5:10" s="110" customFormat="1" x14ac:dyDescent="0.15">
      <c r="E319" s="163"/>
      <c r="F319" s="463"/>
      <c r="I319" s="254"/>
      <c r="J319" s="254"/>
    </row>
    <row r="320" spans="5:10" s="110" customFormat="1" x14ac:dyDescent="0.15">
      <c r="E320" s="163"/>
      <c r="F320" s="463"/>
      <c r="I320" s="254"/>
      <c r="J320" s="254"/>
    </row>
    <row r="321" spans="5:10" s="110" customFormat="1" x14ac:dyDescent="0.15">
      <c r="E321" s="163"/>
      <c r="F321" s="463"/>
      <c r="I321" s="254"/>
      <c r="J321" s="254"/>
    </row>
    <row r="322" spans="5:10" s="110" customFormat="1" x14ac:dyDescent="0.15">
      <c r="E322" s="163"/>
      <c r="F322" s="463"/>
      <c r="I322" s="254"/>
      <c r="J322" s="254"/>
    </row>
    <row r="323" spans="5:10" s="110" customFormat="1" x14ac:dyDescent="0.15">
      <c r="E323" s="163"/>
      <c r="F323" s="463"/>
      <c r="I323" s="254"/>
      <c r="J323" s="254"/>
    </row>
    <row r="324" spans="5:10" s="110" customFormat="1" x14ac:dyDescent="0.15">
      <c r="E324" s="163"/>
      <c r="F324" s="463"/>
      <c r="I324" s="254"/>
      <c r="J324" s="254"/>
    </row>
    <row r="325" spans="5:10" s="110" customFormat="1" x14ac:dyDescent="0.15">
      <c r="E325" s="163"/>
      <c r="F325" s="463"/>
      <c r="I325" s="254"/>
      <c r="J325" s="254"/>
    </row>
    <row r="326" spans="5:10" s="110" customFormat="1" x14ac:dyDescent="0.15">
      <c r="E326" s="163"/>
      <c r="F326" s="463"/>
      <c r="I326" s="254"/>
      <c r="J326" s="254"/>
    </row>
    <row r="327" spans="5:10" s="110" customFormat="1" x14ac:dyDescent="0.15">
      <c r="E327" s="163"/>
      <c r="F327" s="463"/>
      <c r="I327" s="254"/>
      <c r="J327" s="254"/>
    </row>
    <row r="328" spans="5:10" s="110" customFormat="1" x14ac:dyDescent="0.15">
      <c r="E328" s="163"/>
      <c r="F328" s="463"/>
      <c r="I328" s="254"/>
      <c r="J328" s="254"/>
    </row>
    <row r="329" spans="5:10" s="110" customFormat="1" x14ac:dyDescent="0.15">
      <c r="E329" s="163"/>
      <c r="F329" s="463"/>
      <c r="I329" s="254"/>
      <c r="J329" s="254"/>
    </row>
    <row r="330" spans="5:10" s="110" customFormat="1" x14ac:dyDescent="0.15">
      <c r="E330" s="163"/>
      <c r="F330" s="463"/>
      <c r="I330" s="254"/>
      <c r="J330" s="254"/>
    </row>
    <row r="331" spans="5:10" s="110" customFormat="1" x14ac:dyDescent="0.15">
      <c r="E331" s="163"/>
      <c r="F331" s="463"/>
      <c r="I331" s="254"/>
      <c r="J331" s="254"/>
    </row>
    <row r="332" spans="5:10" s="110" customFormat="1" x14ac:dyDescent="0.15">
      <c r="E332" s="163"/>
      <c r="F332" s="463"/>
      <c r="I332" s="254"/>
      <c r="J332" s="254"/>
    </row>
    <row r="333" spans="5:10" s="110" customFormat="1" x14ac:dyDescent="0.15">
      <c r="E333" s="163"/>
      <c r="F333" s="463"/>
      <c r="I333" s="254"/>
      <c r="J333" s="254"/>
    </row>
    <row r="334" spans="5:10" s="110" customFormat="1" x14ac:dyDescent="0.15">
      <c r="E334" s="163"/>
      <c r="F334" s="463"/>
      <c r="I334" s="254"/>
      <c r="J334" s="254"/>
    </row>
    <row r="335" spans="5:10" s="110" customFormat="1" x14ac:dyDescent="0.15">
      <c r="E335" s="163"/>
      <c r="F335" s="463"/>
      <c r="I335" s="254"/>
      <c r="J335" s="254"/>
    </row>
    <row r="336" spans="5:10" s="110" customFormat="1" x14ac:dyDescent="0.15">
      <c r="E336" s="163"/>
      <c r="F336" s="463"/>
      <c r="I336" s="254"/>
      <c r="J336" s="254"/>
    </row>
    <row r="337" spans="5:10" s="110" customFormat="1" x14ac:dyDescent="0.15">
      <c r="E337" s="163"/>
      <c r="F337" s="463"/>
      <c r="I337" s="254"/>
      <c r="J337" s="254"/>
    </row>
    <row r="338" spans="5:10" s="110" customFormat="1" x14ac:dyDescent="0.15">
      <c r="E338" s="163"/>
      <c r="F338" s="463"/>
      <c r="I338" s="254"/>
      <c r="J338" s="254"/>
    </row>
    <row r="339" spans="5:10" s="110" customFormat="1" x14ac:dyDescent="0.15">
      <c r="E339" s="163"/>
      <c r="F339" s="463"/>
      <c r="I339" s="254"/>
      <c r="J339" s="254"/>
    </row>
    <row r="340" spans="5:10" s="110" customFormat="1" x14ac:dyDescent="0.15">
      <c r="E340" s="163"/>
      <c r="F340" s="463"/>
      <c r="I340" s="254"/>
      <c r="J340" s="254"/>
    </row>
    <row r="341" spans="5:10" s="110" customFormat="1" x14ac:dyDescent="0.15">
      <c r="E341" s="163"/>
      <c r="F341" s="463"/>
      <c r="I341" s="254"/>
      <c r="J341" s="254"/>
    </row>
    <row r="342" spans="5:10" s="110" customFormat="1" x14ac:dyDescent="0.15">
      <c r="E342" s="163"/>
      <c r="F342" s="463"/>
      <c r="I342" s="254"/>
      <c r="J342" s="254"/>
    </row>
    <row r="343" spans="5:10" s="110" customFormat="1" x14ac:dyDescent="0.15">
      <c r="E343" s="163"/>
      <c r="F343" s="463"/>
      <c r="I343" s="254"/>
      <c r="J343" s="254"/>
    </row>
    <row r="344" spans="5:10" s="110" customFormat="1" x14ac:dyDescent="0.15">
      <c r="E344" s="163"/>
      <c r="F344" s="463"/>
      <c r="I344" s="254"/>
      <c r="J344" s="254"/>
    </row>
    <row r="345" spans="5:10" s="110" customFormat="1" x14ac:dyDescent="0.15">
      <c r="E345" s="163"/>
      <c r="F345" s="463"/>
      <c r="I345" s="254"/>
      <c r="J345" s="254"/>
    </row>
    <row r="346" spans="5:10" s="110" customFormat="1" x14ac:dyDescent="0.15">
      <c r="E346" s="163"/>
      <c r="F346" s="463"/>
      <c r="I346" s="254"/>
      <c r="J346" s="254"/>
    </row>
    <row r="347" spans="5:10" s="110" customFormat="1" x14ac:dyDescent="0.15">
      <c r="E347" s="163"/>
      <c r="F347" s="463"/>
      <c r="I347" s="254"/>
      <c r="J347" s="254"/>
    </row>
    <row r="348" spans="5:10" s="110" customFormat="1" x14ac:dyDescent="0.15">
      <c r="E348" s="163"/>
      <c r="F348" s="463"/>
      <c r="I348" s="254"/>
      <c r="J348" s="254"/>
    </row>
    <row r="349" spans="5:10" s="110" customFormat="1" x14ac:dyDescent="0.15">
      <c r="E349" s="163"/>
      <c r="F349" s="463"/>
      <c r="I349" s="254"/>
      <c r="J349" s="254"/>
    </row>
    <row r="350" spans="5:10" s="110" customFormat="1" x14ac:dyDescent="0.15">
      <c r="E350" s="163"/>
      <c r="F350" s="463"/>
      <c r="I350" s="254"/>
      <c r="J350" s="254"/>
    </row>
    <row r="351" spans="5:10" s="110" customFormat="1" x14ac:dyDescent="0.15">
      <c r="E351" s="163"/>
      <c r="F351" s="463"/>
      <c r="I351" s="254"/>
      <c r="J351" s="254"/>
    </row>
    <row r="352" spans="5:10" s="110" customFormat="1" x14ac:dyDescent="0.15">
      <c r="E352" s="163"/>
      <c r="F352" s="463"/>
      <c r="I352" s="254"/>
      <c r="J352" s="254"/>
    </row>
    <row r="353" spans="5:10" s="110" customFormat="1" x14ac:dyDescent="0.15">
      <c r="E353" s="163"/>
      <c r="F353" s="463"/>
      <c r="I353" s="254"/>
      <c r="J353" s="254"/>
    </row>
    <row r="354" spans="5:10" s="110" customFormat="1" x14ac:dyDescent="0.15">
      <c r="E354" s="163"/>
      <c r="F354" s="463"/>
      <c r="I354" s="254"/>
      <c r="J354" s="254"/>
    </row>
    <row r="355" spans="5:10" s="110" customFormat="1" x14ac:dyDescent="0.15">
      <c r="E355" s="163"/>
      <c r="F355" s="463"/>
      <c r="I355" s="254"/>
      <c r="J355" s="254"/>
    </row>
    <row r="356" spans="5:10" s="110" customFormat="1" x14ac:dyDescent="0.15">
      <c r="E356" s="163"/>
      <c r="F356" s="463"/>
      <c r="I356" s="254"/>
      <c r="J356" s="254"/>
    </row>
    <row r="357" spans="5:10" s="110" customFormat="1" x14ac:dyDescent="0.15">
      <c r="E357" s="163"/>
      <c r="F357" s="463"/>
      <c r="I357" s="254"/>
      <c r="J357" s="254"/>
    </row>
    <row r="358" spans="5:10" s="110" customFormat="1" x14ac:dyDescent="0.15">
      <c r="E358" s="163"/>
      <c r="F358" s="463"/>
      <c r="I358" s="254"/>
      <c r="J358" s="254"/>
    </row>
    <row r="359" spans="5:10" s="110" customFormat="1" x14ac:dyDescent="0.15">
      <c r="E359" s="163"/>
      <c r="F359" s="463"/>
      <c r="I359" s="254"/>
      <c r="J359" s="254"/>
    </row>
    <row r="360" spans="5:10" s="110" customFormat="1" x14ac:dyDescent="0.15">
      <c r="E360" s="163"/>
      <c r="F360" s="463"/>
      <c r="I360" s="254"/>
      <c r="J360" s="254"/>
    </row>
    <row r="361" spans="5:10" s="110" customFormat="1" x14ac:dyDescent="0.15">
      <c r="E361" s="163"/>
      <c r="F361" s="463"/>
      <c r="I361" s="254"/>
      <c r="J361" s="254"/>
    </row>
    <row r="362" spans="5:10" s="110" customFormat="1" x14ac:dyDescent="0.15">
      <c r="E362" s="163"/>
      <c r="F362" s="463"/>
      <c r="I362" s="254"/>
      <c r="J362" s="254"/>
    </row>
    <row r="363" spans="5:10" s="110" customFormat="1" x14ac:dyDescent="0.15">
      <c r="E363" s="163"/>
      <c r="F363" s="463"/>
      <c r="I363" s="254"/>
      <c r="J363" s="254"/>
    </row>
    <row r="364" spans="5:10" s="110" customFormat="1" x14ac:dyDescent="0.15">
      <c r="E364" s="163"/>
      <c r="F364" s="463"/>
      <c r="I364" s="254"/>
      <c r="J364" s="254"/>
    </row>
    <row r="365" spans="5:10" s="110" customFormat="1" x14ac:dyDescent="0.15">
      <c r="E365" s="163"/>
      <c r="F365" s="463"/>
      <c r="I365" s="254"/>
      <c r="J365" s="254"/>
    </row>
    <row r="366" spans="5:10" s="110" customFormat="1" x14ac:dyDescent="0.15">
      <c r="E366" s="163"/>
      <c r="F366" s="463"/>
      <c r="I366" s="254"/>
      <c r="J366" s="254"/>
    </row>
    <row r="367" spans="5:10" s="110" customFormat="1" x14ac:dyDescent="0.15">
      <c r="E367" s="163"/>
      <c r="F367" s="463"/>
      <c r="I367" s="254"/>
      <c r="J367" s="254"/>
    </row>
    <row r="368" spans="5:10" s="110" customFormat="1" x14ac:dyDescent="0.15">
      <c r="E368" s="163"/>
      <c r="F368" s="463"/>
      <c r="I368" s="254"/>
      <c r="J368" s="254"/>
    </row>
    <row r="369" spans="5:10" s="110" customFormat="1" x14ac:dyDescent="0.15">
      <c r="E369" s="163"/>
      <c r="F369" s="463"/>
      <c r="I369" s="254"/>
      <c r="J369" s="254"/>
    </row>
    <row r="370" spans="5:10" s="110" customFormat="1" x14ac:dyDescent="0.15">
      <c r="E370" s="163"/>
      <c r="F370" s="463"/>
      <c r="I370" s="254"/>
      <c r="J370" s="254"/>
    </row>
    <row r="371" spans="5:10" s="110" customFormat="1" x14ac:dyDescent="0.15">
      <c r="E371" s="163"/>
      <c r="F371" s="463"/>
      <c r="I371" s="254"/>
      <c r="J371" s="254"/>
    </row>
    <row r="372" spans="5:10" s="110" customFormat="1" x14ac:dyDescent="0.15">
      <c r="E372" s="163"/>
      <c r="F372" s="463"/>
      <c r="I372" s="254"/>
      <c r="J372" s="254"/>
    </row>
    <row r="373" spans="5:10" s="110" customFormat="1" x14ac:dyDescent="0.15">
      <c r="E373" s="163"/>
      <c r="F373" s="463"/>
      <c r="I373" s="254"/>
      <c r="J373" s="254"/>
    </row>
    <row r="374" spans="5:10" s="110" customFormat="1" x14ac:dyDescent="0.15">
      <c r="E374" s="163"/>
      <c r="F374" s="463"/>
      <c r="I374" s="254"/>
      <c r="J374" s="254"/>
    </row>
    <row r="375" spans="5:10" s="110" customFormat="1" x14ac:dyDescent="0.15">
      <c r="E375" s="163"/>
      <c r="F375" s="463"/>
      <c r="I375" s="254"/>
      <c r="J375" s="254"/>
    </row>
    <row r="376" spans="5:10" s="110" customFormat="1" x14ac:dyDescent="0.15">
      <c r="E376" s="163"/>
      <c r="F376" s="463"/>
      <c r="I376" s="254"/>
      <c r="J376" s="254"/>
    </row>
    <row r="377" spans="5:10" s="110" customFormat="1" x14ac:dyDescent="0.15">
      <c r="E377" s="163"/>
      <c r="F377" s="463"/>
      <c r="I377" s="254"/>
      <c r="J377" s="254"/>
    </row>
    <row r="378" spans="5:10" s="110" customFormat="1" x14ac:dyDescent="0.15">
      <c r="E378" s="163"/>
      <c r="F378" s="463"/>
      <c r="I378" s="254"/>
      <c r="J378" s="254"/>
    </row>
    <row r="379" spans="5:10" s="110" customFormat="1" x14ac:dyDescent="0.15">
      <c r="E379" s="163"/>
      <c r="F379" s="463"/>
      <c r="I379" s="254"/>
      <c r="J379" s="254"/>
    </row>
    <row r="380" spans="5:10" s="110" customFormat="1" x14ac:dyDescent="0.15">
      <c r="E380" s="163"/>
      <c r="F380" s="463"/>
      <c r="I380" s="254"/>
      <c r="J380" s="254"/>
    </row>
    <row r="381" spans="5:10" s="110" customFormat="1" x14ac:dyDescent="0.15">
      <c r="E381" s="163"/>
      <c r="F381" s="463"/>
      <c r="I381" s="254"/>
      <c r="J381" s="254"/>
    </row>
    <row r="382" spans="5:10" s="110" customFormat="1" x14ac:dyDescent="0.15">
      <c r="E382" s="163"/>
      <c r="F382" s="463"/>
      <c r="I382" s="254"/>
      <c r="J382" s="254"/>
    </row>
    <row r="383" spans="5:10" s="110" customFormat="1" x14ac:dyDescent="0.15">
      <c r="E383" s="163"/>
      <c r="F383" s="463"/>
      <c r="I383" s="254"/>
      <c r="J383" s="254"/>
    </row>
    <row r="384" spans="5:10" s="110" customFormat="1" x14ac:dyDescent="0.15">
      <c r="E384" s="163"/>
      <c r="F384" s="463"/>
      <c r="I384" s="254"/>
      <c r="J384" s="254"/>
    </row>
    <row r="385" spans="5:10" s="110" customFormat="1" x14ac:dyDescent="0.15">
      <c r="E385" s="163"/>
      <c r="F385" s="463"/>
      <c r="I385" s="254"/>
      <c r="J385" s="254"/>
    </row>
    <row r="386" spans="5:10" s="110" customFormat="1" x14ac:dyDescent="0.15">
      <c r="E386" s="163"/>
      <c r="F386" s="463"/>
      <c r="I386" s="254"/>
      <c r="J386" s="254"/>
    </row>
    <row r="387" spans="5:10" s="110" customFormat="1" x14ac:dyDescent="0.15">
      <c r="E387" s="163"/>
      <c r="F387" s="463"/>
      <c r="I387" s="254"/>
      <c r="J387" s="254"/>
    </row>
    <row r="388" spans="5:10" s="110" customFormat="1" x14ac:dyDescent="0.15">
      <c r="E388" s="163"/>
      <c r="F388" s="463"/>
      <c r="I388" s="254"/>
      <c r="J388" s="254"/>
    </row>
    <row r="389" spans="5:10" s="110" customFormat="1" x14ac:dyDescent="0.15">
      <c r="E389" s="163"/>
      <c r="F389" s="463"/>
      <c r="I389" s="254"/>
      <c r="J389" s="254"/>
    </row>
    <row r="390" spans="5:10" s="110" customFormat="1" x14ac:dyDescent="0.15">
      <c r="E390" s="163"/>
      <c r="F390" s="463"/>
      <c r="I390" s="254"/>
      <c r="J390" s="254"/>
    </row>
    <row r="391" spans="5:10" s="110" customFormat="1" x14ac:dyDescent="0.15">
      <c r="E391" s="163"/>
      <c r="F391" s="463"/>
      <c r="I391" s="254"/>
      <c r="J391" s="254"/>
    </row>
    <row r="392" spans="5:10" s="110" customFormat="1" x14ac:dyDescent="0.15">
      <c r="E392" s="163"/>
      <c r="F392" s="463"/>
      <c r="I392" s="254"/>
      <c r="J392" s="254"/>
    </row>
    <row r="393" spans="5:10" s="110" customFormat="1" x14ac:dyDescent="0.15">
      <c r="E393" s="163"/>
      <c r="F393" s="463"/>
      <c r="I393" s="254"/>
      <c r="J393" s="254"/>
    </row>
    <row r="394" spans="5:10" s="110" customFormat="1" x14ac:dyDescent="0.15">
      <c r="E394" s="163"/>
      <c r="F394" s="463"/>
      <c r="I394" s="254"/>
      <c r="J394" s="254"/>
    </row>
    <row r="395" spans="5:10" s="110" customFormat="1" x14ac:dyDescent="0.15">
      <c r="E395" s="163"/>
      <c r="F395" s="463"/>
      <c r="I395" s="254"/>
      <c r="J395" s="254"/>
    </row>
    <row r="396" spans="5:10" s="110" customFormat="1" x14ac:dyDescent="0.15">
      <c r="E396" s="163"/>
      <c r="F396" s="463"/>
      <c r="I396" s="254"/>
      <c r="J396" s="254"/>
    </row>
    <row r="397" spans="5:10" s="110" customFormat="1" x14ac:dyDescent="0.15">
      <c r="E397" s="163"/>
      <c r="F397" s="463"/>
      <c r="I397" s="254"/>
      <c r="J397" s="254"/>
    </row>
    <row r="398" spans="5:10" s="110" customFormat="1" x14ac:dyDescent="0.15">
      <c r="E398" s="163"/>
      <c r="F398" s="463"/>
      <c r="I398" s="254"/>
      <c r="J398" s="254"/>
    </row>
    <row r="399" spans="5:10" s="110" customFormat="1" x14ac:dyDescent="0.15">
      <c r="E399" s="163"/>
      <c r="F399" s="463"/>
      <c r="I399" s="254"/>
      <c r="J399" s="254"/>
    </row>
    <row r="400" spans="5:10" s="110" customFormat="1" x14ac:dyDescent="0.15">
      <c r="E400" s="163"/>
      <c r="F400" s="463"/>
      <c r="I400" s="254"/>
      <c r="J400" s="254"/>
    </row>
    <row r="401" spans="5:10" s="110" customFormat="1" x14ac:dyDescent="0.15">
      <c r="E401" s="163"/>
      <c r="F401" s="463"/>
      <c r="I401" s="254"/>
      <c r="J401" s="254"/>
    </row>
    <row r="402" spans="5:10" s="110" customFormat="1" x14ac:dyDescent="0.15">
      <c r="E402" s="163"/>
      <c r="F402" s="463"/>
      <c r="I402" s="254"/>
      <c r="J402" s="254"/>
    </row>
    <row r="403" spans="5:10" s="110" customFormat="1" x14ac:dyDescent="0.15">
      <c r="E403" s="163"/>
      <c r="F403" s="463"/>
      <c r="I403" s="254"/>
      <c r="J403" s="254"/>
    </row>
    <row r="404" spans="5:10" s="110" customFormat="1" x14ac:dyDescent="0.15">
      <c r="E404" s="163"/>
      <c r="F404" s="463"/>
      <c r="I404" s="254"/>
      <c r="J404" s="254"/>
    </row>
    <row r="405" spans="5:10" s="110" customFormat="1" x14ac:dyDescent="0.15">
      <c r="E405" s="163"/>
      <c r="F405" s="463"/>
      <c r="I405" s="254"/>
      <c r="J405" s="254"/>
    </row>
    <row r="406" spans="5:10" s="110" customFormat="1" x14ac:dyDescent="0.15">
      <c r="E406" s="163"/>
      <c r="F406" s="463"/>
      <c r="I406" s="254"/>
      <c r="J406" s="254"/>
    </row>
    <row r="407" spans="5:10" s="110" customFormat="1" x14ac:dyDescent="0.15">
      <c r="E407" s="163"/>
      <c r="F407" s="463"/>
      <c r="I407" s="254"/>
      <c r="J407" s="254"/>
    </row>
    <row r="408" spans="5:10" s="110" customFormat="1" x14ac:dyDescent="0.15">
      <c r="E408" s="163"/>
      <c r="F408" s="463"/>
      <c r="I408" s="254"/>
      <c r="J408" s="254"/>
    </row>
    <row r="409" spans="5:10" s="110" customFormat="1" x14ac:dyDescent="0.15">
      <c r="E409" s="163"/>
      <c r="F409" s="463"/>
      <c r="I409" s="254"/>
      <c r="J409" s="254"/>
    </row>
    <row r="410" spans="5:10" s="110" customFormat="1" x14ac:dyDescent="0.15">
      <c r="E410" s="163"/>
      <c r="F410" s="463"/>
      <c r="I410" s="254"/>
      <c r="J410" s="254"/>
    </row>
    <row r="411" spans="5:10" s="110" customFormat="1" x14ac:dyDescent="0.15">
      <c r="E411" s="163"/>
      <c r="F411" s="463"/>
      <c r="I411" s="254"/>
      <c r="J411" s="254"/>
    </row>
    <row r="412" spans="5:10" s="110" customFormat="1" x14ac:dyDescent="0.15">
      <c r="E412" s="163"/>
      <c r="F412" s="463"/>
      <c r="I412" s="254"/>
      <c r="J412" s="254"/>
    </row>
    <row r="413" spans="5:10" s="110" customFormat="1" x14ac:dyDescent="0.15">
      <c r="E413" s="163"/>
      <c r="F413" s="463"/>
      <c r="I413" s="254"/>
      <c r="J413" s="254"/>
    </row>
    <row r="414" spans="5:10" s="110" customFormat="1" x14ac:dyDescent="0.15">
      <c r="E414" s="163"/>
      <c r="F414" s="463"/>
      <c r="I414" s="254"/>
      <c r="J414" s="254"/>
    </row>
    <row r="415" spans="5:10" s="110" customFormat="1" x14ac:dyDescent="0.15">
      <c r="E415" s="163"/>
      <c r="F415" s="463"/>
      <c r="I415" s="254"/>
      <c r="J415" s="254"/>
    </row>
    <row r="416" spans="5:10" s="110" customFormat="1" x14ac:dyDescent="0.15">
      <c r="E416" s="163"/>
      <c r="F416" s="463"/>
      <c r="I416" s="254"/>
      <c r="J416" s="254"/>
    </row>
    <row r="417" spans="5:10" s="110" customFormat="1" x14ac:dyDescent="0.15">
      <c r="E417" s="163"/>
      <c r="F417" s="463"/>
      <c r="I417" s="254"/>
      <c r="J417" s="254"/>
    </row>
    <row r="418" spans="5:10" s="110" customFormat="1" x14ac:dyDescent="0.15">
      <c r="E418" s="163"/>
      <c r="F418" s="463"/>
      <c r="I418" s="254"/>
      <c r="J418" s="254"/>
    </row>
    <row r="419" spans="5:10" s="110" customFormat="1" x14ac:dyDescent="0.15">
      <c r="E419" s="163"/>
      <c r="F419" s="463"/>
      <c r="I419" s="254"/>
      <c r="J419" s="254"/>
    </row>
    <row r="420" spans="5:10" s="110" customFormat="1" x14ac:dyDescent="0.15">
      <c r="E420" s="163"/>
      <c r="F420" s="463"/>
      <c r="I420" s="254"/>
      <c r="J420" s="254"/>
    </row>
    <row r="421" spans="5:10" s="110" customFormat="1" x14ac:dyDescent="0.15">
      <c r="E421" s="163"/>
      <c r="F421" s="463"/>
      <c r="I421" s="254"/>
      <c r="J421" s="254"/>
    </row>
    <row r="422" spans="5:10" s="110" customFormat="1" x14ac:dyDescent="0.15">
      <c r="E422" s="163"/>
      <c r="F422" s="463"/>
      <c r="I422" s="254"/>
      <c r="J422" s="254"/>
    </row>
    <row r="423" spans="5:10" s="110" customFormat="1" x14ac:dyDescent="0.15">
      <c r="E423" s="163"/>
      <c r="F423" s="463"/>
      <c r="I423" s="254"/>
      <c r="J423" s="254"/>
    </row>
    <row r="424" spans="5:10" s="110" customFormat="1" x14ac:dyDescent="0.15">
      <c r="E424" s="163"/>
      <c r="F424" s="463"/>
      <c r="I424" s="254"/>
      <c r="J424" s="254"/>
    </row>
    <row r="425" spans="5:10" s="110" customFormat="1" x14ac:dyDescent="0.15">
      <c r="E425" s="163"/>
      <c r="F425" s="463"/>
      <c r="I425" s="254"/>
      <c r="J425" s="254"/>
    </row>
    <row r="426" spans="5:10" s="110" customFormat="1" x14ac:dyDescent="0.15">
      <c r="E426" s="163"/>
      <c r="F426" s="463"/>
      <c r="I426" s="254"/>
      <c r="J426" s="254"/>
    </row>
    <row r="427" spans="5:10" s="110" customFormat="1" x14ac:dyDescent="0.15">
      <c r="E427" s="163"/>
      <c r="F427" s="463"/>
      <c r="I427" s="254"/>
      <c r="J427" s="254"/>
    </row>
    <row r="428" spans="5:10" s="110" customFormat="1" x14ac:dyDescent="0.15">
      <c r="E428" s="163"/>
      <c r="F428" s="463"/>
      <c r="I428" s="254"/>
      <c r="J428" s="254"/>
    </row>
    <row r="429" spans="5:10" s="110" customFormat="1" x14ac:dyDescent="0.15">
      <c r="E429" s="163"/>
      <c r="F429" s="463"/>
      <c r="I429" s="254"/>
      <c r="J429" s="254"/>
    </row>
    <row r="430" spans="5:10" s="110" customFormat="1" x14ac:dyDescent="0.15">
      <c r="E430" s="163"/>
      <c r="F430" s="463"/>
      <c r="I430" s="254"/>
      <c r="J430" s="254"/>
    </row>
    <row r="431" spans="5:10" s="110" customFormat="1" x14ac:dyDescent="0.15">
      <c r="E431" s="163"/>
      <c r="F431" s="463"/>
      <c r="I431" s="254"/>
      <c r="J431" s="254"/>
    </row>
    <row r="432" spans="5:10" s="110" customFormat="1" x14ac:dyDescent="0.15">
      <c r="E432" s="163"/>
      <c r="F432" s="463"/>
      <c r="I432" s="254"/>
      <c r="J432" s="254"/>
    </row>
    <row r="433" spans="5:10" s="110" customFormat="1" x14ac:dyDescent="0.15">
      <c r="E433" s="163"/>
      <c r="F433" s="463"/>
      <c r="I433" s="254"/>
      <c r="J433" s="254"/>
    </row>
    <row r="434" spans="5:10" s="110" customFormat="1" x14ac:dyDescent="0.15">
      <c r="E434" s="163"/>
      <c r="F434" s="463"/>
      <c r="I434" s="254"/>
      <c r="J434" s="254"/>
    </row>
    <row r="435" spans="5:10" s="110" customFormat="1" x14ac:dyDescent="0.15">
      <c r="E435" s="163"/>
      <c r="F435" s="463"/>
      <c r="I435" s="254"/>
      <c r="J435" s="254"/>
    </row>
    <row r="436" spans="5:10" s="110" customFormat="1" x14ac:dyDescent="0.15">
      <c r="E436" s="163"/>
      <c r="F436" s="463"/>
      <c r="I436" s="254"/>
      <c r="J436" s="254"/>
    </row>
    <row r="437" spans="5:10" s="110" customFormat="1" x14ac:dyDescent="0.15">
      <c r="E437" s="163"/>
      <c r="F437" s="463"/>
      <c r="I437" s="254"/>
      <c r="J437" s="254"/>
    </row>
    <row r="438" spans="5:10" s="110" customFormat="1" x14ac:dyDescent="0.15">
      <c r="E438" s="163"/>
      <c r="F438" s="463"/>
      <c r="I438" s="254"/>
      <c r="J438" s="254"/>
    </row>
    <row r="439" spans="5:10" s="110" customFormat="1" x14ac:dyDescent="0.15">
      <c r="E439" s="163"/>
      <c r="F439" s="463"/>
      <c r="I439" s="254"/>
      <c r="J439" s="254"/>
    </row>
    <row r="440" spans="5:10" s="110" customFormat="1" x14ac:dyDescent="0.15">
      <c r="E440" s="163"/>
      <c r="F440" s="463"/>
      <c r="I440" s="254"/>
      <c r="J440" s="254"/>
    </row>
    <row r="441" spans="5:10" s="110" customFormat="1" x14ac:dyDescent="0.15">
      <c r="E441" s="163"/>
      <c r="F441" s="463"/>
      <c r="I441" s="254"/>
      <c r="J441" s="254"/>
    </row>
    <row r="442" spans="5:10" s="110" customFormat="1" x14ac:dyDescent="0.15">
      <c r="E442" s="163"/>
      <c r="F442" s="463"/>
      <c r="I442" s="254"/>
      <c r="J442" s="254"/>
    </row>
    <row r="443" spans="5:10" s="110" customFormat="1" x14ac:dyDescent="0.15">
      <c r="E443" s="163"/>
      <c r="F443" s="463"/>
      <c r="I443" s="254"/>
      <c r="J443" s="254"/>
    </row>
    <row r="444" spans="5:10" s="110" customFormat="1" x14ac:dyDescent="0.15">
      <c r="E444" s="163"/>
      <c r="F444" s="463"/>
      <c r="I444" s="254"/>
      <c r="J444" s="254"/>
    </row>
    <row r="445" spans="5:10" s="110" customFormat="1" x14ac:dyDescent="0.15">
      <c r="E445" s="163"/>
      <c r="F445" s="463"/>
      <c r="I445" s="254"/>
      <c r="J445" s="254"/>
    </row>
    <row r="446" spans="5:10" s="110" customFormat="1" x14ac:dyDescent="0.15">
      <c r="E446" s="163"/>
      <c r="F446" s="463"/>
      <c r="I446" s="254"/>
      <c r="J446" s="254"/>
    </row>
    <row r="447" spans="5:10" s="110" customFormat="1" x14ac:dyDescent="0.15">
      <c r="E447" s="163"/>
      <c r="F447" s="463"/>
      <c r="I447" s="254"/>
      <c r="J447" s="254"/>
    </row>
    <row r="448" spans="5:10" s="110" customFormat="1" x14ac:dyDescent="0.15">
      <c r="E448" s="163"/>
      <c r="F448" s="463"/>
      <c r="I448" s="254"/>
      <c r="J448" s="254"/>
    </row>
    <row r="449" spans="5:10" s="110" customFormat="1" x14ac:dyDescent="0.15">
      <c r="E449" s="163"/>
      <c r="F449" s="463"/>
      <c r="I449" s="254"/>
      <c r="J449" s="254"/>
    </row>
    <row r="450" spans="5:10" s="110" customFormat="1" x14ac:dyDescent="0.15">
      <c r="E450" s="163"/>
      <c r="F450" s="463"/>
      <c r="I450" s="254"/>
      <c r="J450" s="254"/>
    </row>
    <row r="451" spans="5:10" s="110" customFormat="1" x14ac:dyDescent="0.15">
      <c r="E451" s="163"/>
      <c r="F451" s="463"/>
      <c r="I451" s="254"/>
      <c r="J451" s="254"/>
    </row>
    <row r="452" spans="5:10" s="110" customFormat="1" x14ac:dyDescent="0.15">
      <c r="E452" s="163"/>
      <c r="F452" s="463"/>
      <c r="I452" s="254"/>
      <c r="J452" s="254"/>
    </row>
    <row r="453" spans="5:10" s="110" customFormat="1" x14ac:dyDescent="0.15">
      <c r="E453" s="163"/>
      <c r="F453" s="463"/>
      <c r="I453" s="254"/>
      <c r="J453" s="254"/>
    </row>
    <row r="454" spans="5:10" s="110" customFormat="1" x14ac:dyDescent="0.15">
      <c r="E454" s="163"/>
      <c r="F454" s="463"/>
      <c r="I454" s="254"/>
      <c r="J454" s="254"/>
    </row>
    <row r="455" spans="5:10" s="110" customFormat="1" x14ac:dyDescent="0.15">
      <c r="E455" s="163"/>
      <c r="F455" s="463"/>
      <c r="I455" s="254"/>
      <c r="J455" s="254"/>
    </row>
    <row r="456" spans="5:10" s="110" customFormat="1" x14ac:dyDescent="0.15">
      <c r="E456" s="163"/>
      <c r="F456" s="463"/>
      <c r="I456" s="254"/>
      <c r="J456" s="254"/>
    </row>
    <row r="457" spans="5:10" s="110" customFormat="1" x14ac:dyDescent="0.15">
      <c r="E457" s="163"/>
      <c r="F457" s="463"/>
      <c r="I457" s="254"/>
      <c r="J457" s="254"/>
    </row>
    <row r="458" spans="5:10" s="110" customFormat="1" x14ac:dyDescent="0.15">
      <c r="E458" s="163"/>
      <c r="F458" s="463"/>
      <c r="I458" s="254"/>
      <c r="J458" s="254"/>
    </row>
    <row r="459" spans="5:10" s="110" customFormat="1" x14ac:dyDescent="0.15">
      <c r="E459" s="163"/>
      <c r="F459" s="463"/>
      <c r="I459" s="254"/>
      <c r="J459" s="254"/>
    </row>
    <row r="460" spans="5:10" s="110" customFormat="1" x14ac:dyDescent="0.15">
      <c r="E460" s="163"/>
      <c r="F460" s="463"/>
      <c r="I460" s="254"/>
      <c r="J460" s="254"/>
    </row>
    <row r="461" spans="5:10" s="110" customFormat="1" x14ac:dyDescent="0.15">
      <c r="E461" s="163"/>
      <c r="F461" s="463"/>
      <c r="I461" s="254"/>
      <c r="J461" s="254"/>
    </row>
    <row r="462" spans="5:10" s="110" customFormat="1" x14ac:dyDescent="0.15">
      <c r="E462" s="163"/>
      <c r="F462" s="463"/>
      <c r="I462" s="254"/>
      <c r="J462" s="254"/>
    </row>
    <row r="463" spans="5:10" s="110" customFormat="1" x14ac:dyDescent="0.15">
      <c r="E463" s="163"/>
      <c r="F463" s="463"/>
      <c r="I463" s="254"/>
      <c r="J463" s="254"/>
    </row>
    <row r="464" spans="5:10" s="110" customFormat="1" x14ac:dyDescent="0.15">
      <c r="E464" s="163"/>
      <c r="F464" s="463"/>
      <c r="I464" s="254"/>
      <c r="J464" s="254"/>
    </row>
    <row r="465" spans="5:10" s="110" customFormat="1" x14ac:dyDescent="0.15">
      <c r="E465" s="163"/>
      <c r="F465" s="463"/>
      <c r="I465" s="254"/>
      <c r="J465" s="254"/>
    </row>
    <row r="466" spans="5:10" s="110" customFormat="1" x14ac:dyDescent="0.15">
      <c r="E466" s="163"/>
      <c r="F466" s="463"/>
      <c r="I466" s="254"/>
      <c r="J466" s="254"/>
    </row>
    <row r="467" spans="5:10" s="110" customFormat="1" x14ac:dyDescent="0.15">
      <c r="E467" s="163"/>
      <c r="F467" s="463"/>
      <c r="I467" s="254"/>
      <c r="J467" s="254"/>
    </row>
    <row r="468" spans="5:10" s="110" customFormat="1" x14ac:dyDescent="0.15">
      <c r="E468" s="163"/>
      <c r="F468" s="463"/>
      <c r="I468" s="254"/>
      <c r="J468" s="254"/>
    </row>
    <row r="469" spans="5:10" s="110" customFormat="1" x14ac:dyDescent="0.15">
      <c r="E469" s="163"/>
      <c r="F469" s="463"/>
      <c r="I469" s="254"/>
      <c r="J469" s="254"/>
    </row>
    <row r="470" spans="5:10" s="110" customFormat="1" x14ac:dyDescent="0.15">
      <c r="E470" s="163"/>
      <c r="F470" s="463"/>
      <c r="I470" s="254"/>
      <c r="J470" s="254"/>
    </row>
    <row r="471" spans="5:10" s="110" customFormat="1" x14ac:dyDescent="0.15">
      <c r="E471" s="163"/>
      <c r="F471" s="463"/>
      <c r="I471" s="254"/>
      <c r="J471" s="254"/>
    </row>
    <row r="472" spans="5:10" s="110" customFormat="1" x14ac:dyDescent="0.15">
      <c r="E472" s="163"/>
      <c r="F472" s="463"/>
      <c r="I472" s="254"/>
      <c r="J472" s="254"/>
    </row>
    <row r="473" spans="5:10" s="110" customFormat="1" x14ac:dyDescent="0.15">
      <c r="E473" s="163"/>
      <c r="F473" s="463"/>
      <c r="I473" s="254"/>
      <c r="J473" s="254"/>
    </row>
    <row r="474" spans="5:10" s="110" customFormat="1" x14ac:dyDescent="0.15">
      <c r="E474" s="163"/>
      <c r="F474" s="463"/>
      <c r="I474" s="254"/>
      <c r="J474" s="254"/>
    </row>
    <row r="475" spans="5:10" s="110" customFormat="1" x14ac:dyDescent="0.15">
      <c r="E475" s="163"/>
      <c r="F475" s="463"/>
      <c r="I475" s="254"/>
      <c r="J475" s="254"/>
    </row>
    <row r="476" spans="5:10" s="110" customFormat="1" x14ac:dyDescent="0.15">
      <c r="E476" s="163"/>
      <c r="F476" s="463"/>
      <c r="I476" s="254"/>
      <c r="J476" s="254"/>
    </row>
    <row r="477" spans="5:10" s="110" customFormat="1" x14ac:dyDescent="0.15">
      <c r="E477" s="163"/>
      <c r="F477" s="463"/>
      <c r="I477" s="254"/>
      <c r="J477" s="254"/>
    </row>
    <row r="478" spans="5:10" s="110" customFormat="1" x14ac:dyDescent="0.15">
      <c r="E478" s="163"/>
      <c r="F478" s="463"/>
      <c r="I478" s="254"/>
      <c r="J478" s="254"/>
    </row>
    <row r="479" spans="5:10" s="110" customFormat="1" x14ac:dyDescent="0.15">
      <c r="E479" s="163"/>
      <c r="F479" s="463"/>
      <c r="I479" s="254"/>
      <c r="J479" s="254"/>
    </row>
    <row r="480" spans="5:10" s="110" customFormat="1" x14ac:dyDescent="0.15">
      <c r="E480" s="163"/>
      <c r="F480" s="463"/>
      <c r="I480" s="254"/>
      <c r="J480" s="254"/>
    </row>
    <row r="481" spans="5:10" s="110" customFormat="1" x14ac:dyDescent="0.15">
      <c r="E481" s="163"/>
      <c r="F481" s="463"/>
      <c r="I481" s="254"/>
      <c r="J481" s="254"/>
    </row>
    <row r="482" spans="5:10" s="110" customFormat="1" x14ac:dyDescent="0.15">
      <c r="E482" s="163"/>
      <c r="F482" s="463"/>
      <c r="I482" s="254"/>
      <c r="J482" s="254"/>
    </row>
    <row r="483" spans="5:10" s="110" customFormat="1" x14ac:dyDescent="0.15">
      <c r="E483" s="163"/>
      <c r="F483" s="463"/>
      <c r="I483" s="254"/>
      <c r="J483" s="254"/>
    </row>
    <row r="484" spans="5:10" s="110" customFormat="1" x14ac:dyDescent="0.15">
      <c r="E484" s="163"/>
      <c r="F484" s="463"/>
      <c r="I484" s="254"/>
      <c r="J484" s="254"/>
    </row>
    <row r="485" spans="5:10" s="110" customFormat="1" x14ac:dyDescent="0.15">
      <c r="E485" s="163"/>
      <c r="F485" s="463"/>
      <c r="I485" s="254"/>
      <c r="J485" s="254"/>
    </row>
    <row r="486" spans="5:10" s="110" customFormat="1" x14ac:dyDescent="0.15">
      <c r="E486" s="163"/>
      <c r="F486" s="463"/>
      <c r="I486" s="254"/>
      <c r="J486" s="254"/>
    </row>
    <row r="487" spans="5:10" s="110" customFormat="1" x14ac:dyDescent="0.15">
      <c r="E487" s="163"/>
      <c r="F487" s="463"/>
      <c r="I487" s="254"/>
      <c r="J487" s="254"/>
    </row>
    <row r="488" spans="5:10" s="110" customFormat="1" x14ac:dyDescent="0.15">
      <c r="E488" s="163"/>
      <c r="F488" s="463"/>
      <c r="I488" s="254"/>
      <c r="J488" s="254"/>
    </row>
    <row r="489" spans="5:10" s="110" customFormat="1" x14ac:dyDescent="0.15">
      <c r="E489" s="163"/>
      <c r="F489" s="463"/>
      <c r="I489" s="254"/>
      <c r="J489" s="254"/>
    </row>
    <row r="490" spans="5:10" s="110" customFormat="1" x14ac:dyDescent="0.15">
      <c r="E490" s="163"/>
      <c r="F490" s="463"/>
      <c r="I490" s="254"/>
      <c r="J490" s="254"/>
    </row>
    <row r="491" spans="5:10" s="110" customFormat="1" x14ac:dyDescent="0.15">
      <c r="E491" s="163"/>
      <c r="F491" s="463"/>
      <c r="I491" s="254"/>
      <c r="J491" s="254"/>
    </row>
    <row r="492" spans="5:10" s="110" customFormat="1" x14ac:dyDescent="0.15">
      <c r="E492" s="163"/>
      <c r="F492" s="463"/>
      <c r="I492" s="254"/>
      <c r="J492" s="254"/>
    </row>
    <row r="493" spans="5:10" s="110" customFormat="1" x14ac:dyDescent="0.15">
      <c r="E493" s="163"/>
      <c r="F493" s="463"/>
      <c r="I493" s="254"/>
      <c r="J493" s="254"/>
    </row>
    <row r="494" spans="5:10" s="110" customFormat="1" x14ac:dyDescent="0.15">
      <c r="E494" s="163"/>
      <c r="F494" s="463"/>
      <c r="I494" s="254"/>
      <c r="J494" s="254"/>
    </row>
    <row r="495" spans="5:10" s="110" customFormat="1" x14ac:dyDescent="0.15">
      <c r="E495" s="163"/>
      <c r="F495" s="463"/>
      <c r="I495" s="254"/>
      <c r="J495" s="254"/>
    </row>
    <row r="496" spans="5:10" s="110" customFormat="1" x14ac:dyDescent="0.15">
      <c r="E496" s="163"/>
      <c r="F496" s="463"/>
      <c r="I496" s="254"/>
      <c r="J496" s="254"/>
    </row>
    <row r="497" spans="5:10" s="110" customFormat="1" x14ac:dyDescent="0.15">
      <c r="E497" s="163"/>
      <c r="F497" s="463"/>
      <c r="I497" s="254"/>
      <c r="J497" s="254"/>
    </row>
    <row r="498" spans="5:10" s="110" customFormat="1" x14ac:dyDescent="0.15">
      <c r="E498" s="163"/>
      <c r="F498" s="463"/>
      <c r="I498" s="254"/>
      <c r="J498" s="254"/>
    </row>
    <row r="499" spans="5:10" s="110" customFormat="1" x14ac:dyDescent="0.15">
      <c r="E499" s="163"/>
      <c r="F499" s="463"/>
      <c r="I499" s="254"/>
      <c r="J499" s="254"/>
    </row>
    <row r="500" spans="5:10" s="110" customFormat="1" x14ac:dyDescent="0.15">
      <c r="E500" s="163"/>
      <c r="F500" s="463"/>
      <c r="I500" s="254"/>
      <c r="J500" s="254"/>
    </row>
    <row r="501" spans="5:10" s="110" customFormat="1" x14ac:dyDescent="0.15">
      <c r="E501" s="163"/>
      <c r="F501" s="463"/>
      <c r="I501" s="254"/>
      <c r="J501" s="254"/>
    </row>
    <row r="502" spans="5:10" s="110" customFormat="1" x14ac:dyDescent="0.15">
      <c r="E502" s="163"/>
      <c r="F502" s="463"/>
      <c r="I502" s="254"/>
      <c r="J502" s="254"/>
    </row>
    <row r="503" spans="5:10" s="110" customFormat="1" x14ac:dyDescent="0.15">
      <c r="E503" s="163"/>
      <c r="F503" s="463"/>
      <c r="I503" s="254"/>
      <c r="J503" s="254"/>
    </row>
    <row r="504" spans="5:10" s="110" customFormat="1" x14ac:dyDescent="0.15">
      <c r="E504" s="163"/>
      <c r="F504" s="463"/>
      <c r="I504" s="254"/>
      <c r="J504" s="254"/>
    </row>
    <row r="505" spans="5:10" s="110" customFormat="1" x14ac:dyDescent="0.15">
      <c r="E505" s="163"/>
      <c r="F505" s="463"/>
      <c r="I505" s="254"/>
      <c r="J505" s="254"/>
    </row>
    <row r="506" spans="5:10" s="110" customFormat="1" x14ac:dyDescent="0.15">
      <c r="E506" s="163"/>
      <c r="F506" s="463"/>
      <c r="I506" s="254"/>
      <c r="J506" s="254"/>
    </row>
    <row r="507" spans="5:10" s="110" customFormat="1" x14ac:dyDescent="0.15">
      <c r="E507" s="163"/>
      <c r="F507" s="463"/>
      <c r="I507" s="254"/>
      <c r="J507" s="254"/>
    </row>
    <row r="508" spans="5:10" s="110" customFormat="1" x14ac:dyDescent="0.15">
      <c r="E508" s="163"/>
      <c r="F508" s="463"/>
      <c r="I508" s="254"/>
      <c r="J508" s="254"/>
    </row>
    <row r="509" spans="5:10" s="110" customFormat="1" x14ac:dyDescent="0.15">
      <c r="E509" s="163"/>
      <c r="F509" s="463"/>
      <c r="I509" s="254"/>
      <c r="J509" s="254"/>
    </row>
    <row r="510" spans="5:10" s="110" customFormat="1" x14ac:dyDescent="0.15">
      <c r="E510" s="163"/>
      <c r="F510" s="463"/>
      <c r="I510" s="254"/>
      <c r="J510" s="254"/>
    </row>
    <row r="511" spans="5:10" s="110" customFormat="1" x14ac:dyDescent="0.15">
      <c r="E511" s="163"/>
      <c r="F511" s="463"/>
      <c r="I511" s="254"/>
      <c r="J511" s="254"/>
    </row>
    <row r="512" spans="5:10" s="110" customFormat="1" x14ac:dyDescent="0.15">
      <c r="E512" s="163"/>
      <c r="F512" s="463"/>
      <c r="I512" s="254"/>
      <c r="J512" s="254"/>
    </row>
    <row r="513" spans="5:10" s="110" customFormat="1" x14ac:dyDescent="0.15">
      <c r="E513" s="163"/>
      <c r="F513" s="463"/>
      <c r="I513" s="254"/>
      <c r="J513" s="254"/>
    </row>
    <row r="514" spans="5:10" s="110" customFormat="1" x14ac:dyDescent="0.15">
      <c r="E514" s="163"/>
      <c r="F514" s="463"/>
      <c r="I514" s="254"/>
      <c r="J514" s="254"/>
    </row>
    <row r="515" spans="5:10" s="110" customFormat="1" x14ac:dyDescent="0.15">
      <c r="E515" s="163"/>
      <c r="F515" s="463"/>
      <c r="I515" s="254"/>
      <c r="J515" s="254"/>
    </row>
    <row r="516" spans="5:10" s="110" customFormat="1" x14ac:dyDescent="0.15">
      <c r="E516" s="163"/>
      <c r="F516" s="463"/>
      <c r="I516" s="254"/>
      <c r="J516" s="254"/>
    </row>
    <row r="517" spans="5:10" s="110" customFormat="1" x14ac:dyDescent="0.15">
      <c r="E517" s="163"/>
      <c r="F517" s="463"/>
      <c r="I517" s="254"/>
      <c r="J517" s="254"/>
    </row>
    <row r="518" spans="5:10" s="110" customFormat="1" x14ac:dyDescent="0.15">
      <c r="E518" s="163"/>
      <c r="F518" s="463"/>
      <c r="I518" s="254"/>
      <c r="J518" s="254"/>
    </row>
    <row r="519" spans="5:10" s="110" customFormat="1" x14ac:dyDescent="0.15">
      <c r="E519" s="163"/>
      <c r="F519" s="463"/>
      <c r="I519" s="254"/>
      <c r="J519" s="254"/>
    </row>
    <row r="520" spans="5:10" s="110" customFormat="1" x14ac:dyDescent="0.15">
      <c r="E520" s="163"/>
      <c r="F520" s="463"/>
      <c r="I520" s="254"/>
      <c r="J520" s="254"/>
    </row>
    <row r="521" spans="5:10" s="110" customFormat="1" x14ac:dyDescent="0.15">
      <c r="E521" s="163"/>
      <c r="F521" s="463"/>
      <c r="I521" s="254"/>
      <c r="J521" s="254"/>
    </row>
    <row r="522" spans="5:10" s="110" customFormat="1" x14ac:dyDescent="0.15">
      <c r="E522" s="163"/>
      <c r="F522" s="463"/>
      <c r="I522" s="254"/>
      <c r="J522" s="254"/>
    </row>
    <row r="523" spans="5:10" s="110" customFormat="1" x14ac:dyDescent="0.15">
      <c r="E523" s="163"/>
      <c r="F523" s="463"/>
      <c r="I523" s="254"/>
      <c r="J523" s="254"/>
    </row>
    <row r="524" spans="5:10" s="110" customFormat="1" x14ac:dyDescent="0.15">
      <c r="E524" s="163"/>
      <c r="F524" s="463"/>
      <c r="I524" s="254"/>
      <c r="J524" s="254"/>
    </row>
    <row r="525" spans="5:10" s="110" customFormat="1" x14ac:dyDescent="0.15">
      <c r="E525" s="163"/>
      <c r="F525" s="463"/>
      <c r="I525" s="254"/>
      <c r="J525" s="254"/>
    </row>
    <row r="526" spans="5:10" s="110" customFormat="1" x14ac:dyDescent="0.15">
      <c r="E526" s="163"/>
      <c r="F526" s="463"/>
      <c r="I526" s="254"/>
      <c r="J526" s="254"/>
    </row>
    <row r="527" spans="5:10" s="110" customFormat="1" x14ac:dyDescent="0.15">
      <c r="E527" s="163"/>
      <c r="F527" s="463"/>
      <c r="I527" s="254"/>
      <c r="J527" s="254"/>
    </row>
    <row r="528" spans="5:10" s="110" customFormat="1" x14ac:dyDescent="0.15">
      <c r="E528" s="163"/>
      <c r="F528" s="463"/>
      <c r="I528" s="254"/>
      <c r="J528" s="254"/>
    </row>
    <row r="529" spans="5:10" s="110" customFormat="1" x14ac:dyDescent="0.15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bottomLeft" activeCell="X33" sqref="X33"/>
      <selection pane="topRight" activeCell="X33" sqref="X33"/>
      <selection pane="bottomRight" activeCell="X33" sqref="X33"/>
    </sheetView>
  </sheetViews>
  <sheetFormatPr defaultColWidth="9.14453125" defaultRowHeight="15" x14ac:dyDescent="0.2"/>
  <cols>
    <col min="1" max="1" width="9.14453125" customWidth="1"/>
    <col min="2" max="2" width="34.5703125" customWidth="1"/>
    <col min="3" max="3" width="18.5625" bestFit="1" customWidth="1"/>
    <col min="4" max="4" width="21.1171875" customWidth="1"/>
    <col min="5" max="5" width="4.16796875" customWidth="1"/>
    <col min="6" max="6" width="16.140625" bestFit="1" customWidth="1"/>
    <col min="7" max="7" width="20.17578125" customWidth="1"/>
    <col min="8" max="316" width="15.19921875" bestFit="1" customWidth="1"/>
    <col min="317" max="317" width="9.14453125" style="189"/>
  </cols>
  <sheetData>
    <row r="1" spans="1:794" x14ac:dyDescent="0.2">
      <c r="D1" s="185" t="s">
        <v>411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 x14ac:dyDescent="0.2">
      <c r="A2" s="809" t="s">
        <v>412</v>
      </c>
      <c r="B2" s="190"/>
      <c r="C2" s="191" t="s">
        <v>240</v>
      </c>
      <c r="D2" s="191" t="s">
        <v>240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 x14ac:dyDescent="0.2">
      <c r="A3" s="810"/>
      <c r="B3" s="193" t="s">
        <v>160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 x14ac:dyDescent="0.2">
      <c r="A4" s="810"/>
      <c r="B4" s="193" t="s">
        <v>413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 x14ac:dyDescent="0.2">
      <c r="A5" s="810"/>
      <c r="B5" s="197" t="s">
        <v>162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 x14ac:dyDescent="0.2">
      <c r="A6" s="810"/>
      <c r="B6" s="197" t="s">
        <v>414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 x14ac:dyDescent="0.2">
      <c r="A7" s="810"/>
      <c r="B7" s="202" t="s">
        <v>415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 x14ac:dyDescent="0.2">
      <c r="A8" s="809" t="s">
        <v>151</v>
      </c>
      <c r="B8" s="190"/>
      <c r="C8" s="191" t="s">
        <v>240</v>
      </c>
      <c r="D8" s="191" t="s">
        <v>240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 x14ac:dyDescent="0.2">
      <c r="A9" s="810"/>
      <c r="B9" s="207" t="s">
        <v>416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1342175.6000000001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 x14ac:dyDescent="0.2">
      <c r="A10" s="810"/>
      <c r="B10" s="207" t="s">
        <v>417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3187667.05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 x14ac:dyDescent="0.2">
      <c r="A11" s="810"/>
      <c r="B11" s="210" t="s">
        <v>418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 x14ac:dyDescent="0.2">
      <c r="A12" s="810"/>
      <c r="B12" s="210" t="s">
        <v>419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 x14ac:dyDescent="0.2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 x14ac:dyDescent="0.2">
      <c r="A14" s="810"/>
      <c r="B14" s="202" t="s">
        <v>420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191275.35642277217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 x14ac:dyDescent="0.2"/>
    <row r="16" spans="1:794" s="189" customFormat="1" x14ac:dyDescent="0.2">
      <c r="C16" s="191" t="s">
        <v>240</v>
      </c>
      <c r="D16" s="191" t="s">
        <v>240</v>
      </c>
    </row>
    <row r="17" spans="1:316" x14ac:dyDescent="0.2">
      <c r="A17" s="811"/>
      <c r="B17" s="193" t="s">
        <v>421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 x14ac:dyDescent="0.2">
      <c r="A18" s="811"/>
      <c r="B18" s="193" t="s">
        <v>422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 x14ac:dyDescent="0.2"/>
    <row r="33" spans="25:25" x14ac:dyDescent="0.2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203125" defaultRowHeight="15" x14ac:dyDescent="0.2"/>
  <cols>
    <col min="1" max="1" width="21.7890625" bestFit="1" customWidth="1"/>
    <col min="2" max="2" width="16.94921875" style="406" bestFit="1" customWidth="1"/>
    <col min="3" max="3" width="11.97265625" style="406" bestFit="1" customWidth="1"/>
    <col min="4" max="4" width="13.1796875" style="406" bestFit="1" customWidth="1"/>
    <col min="5" max="5" width="14.796875" style="406" bestFit="1" customWidth="1"/>
    <col min="6" max="8" width="13.1796875" style="406" bestFit="1" customWidth="1"/>
    <col min="9" max="9" width="11.8359375" style="406" bestFit="1" customWidth="1"/>
    <col min="10" max="10" width="13.1796875" bestFit="1" customWidth="1"/>
    <col min="11" max="11" width="11.8359375" bestFit="1" customWidth="1"/>
    <col min="12" max="12" width="4.83984375" bestFit="1" customWidth="1"/>
    <col min="13" max="14" width="13.1796875" bestFit="1" customWidth="1"/>
    <col min="15" max="15" width="11.97265625" bestFit="1" customWidth="1"/>
    <col min="16" max="16" width="14.796875" bestFit="1" customWidth="1"/>
    <col min="17" max="18" width="11.56640625" bestFit="1" customWidth="1"/>
    <col min="19" max="19" width="13.1796875" bestFit="1" customWidth="1"/>
  </cols>
  <sheetData>
    <row r="3" spans="1:16" x14ac:dyDescent="0.2">
      <c r="A3" s="445" t="s">
        <v>423</v>
      </c>
      <c r="B3" s="445" t="s">
        <v>424</v>
      </c>
      <c r="C3"/>
      <c r="D3"/>
      <c r="E3"/>
      <c r="F3"/>
      <c r="G3"/>
      <c r="H3"/>
      <c r="I3"/>
    </row>
    <row r="4" spans="1:16" x14ac:dyDescent="0.2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427</v>
      </c>
    </row>
    <row r="5" spans="1:16" x14ac:dyDescent="0.2">
      <c r="A5" s="446" t="s">
        <v>426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 x14ac:dyDescent="0.2">
      <c r="A6" s="446" t="s">
        <v>243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 x14ac:dyDescent="0.2">
      <c r="A7" s="446" t="s">
        <v>257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 x14ac:dyDescent="0.2">
      <c r="A8" s="446" t="s">
        <v>268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 x14ac:dyDescent="0.2">
      <c r="A9" s="446" t="s">
        <v>281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 x14ac:dyDescent="0.2">
      <c r="A10" s="446" t="s">
        <v>305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 x14ac:dyDescent="0.2">
      <c r="A11" s="446" t="s">
        <v>322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 x14ac:dyDescent="0.2">
      <c r="A12" s="446" t="s">
        <v>329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 x14ac:dyDescent="0.2">
      <c r="A13" s="446" t="s">
        <v>345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 x14ac:dyDescent="0.2">
      <c r="A14" s="446" t="s">
        <v>349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 x14ac:dyDescent="0.2">
      <c r="A15" s="446" t="s">
        <v>355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 x14ac:dyDescent="0.2">
      <c r="A16" s="446" t="s">
        <v>371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 x14ac:dyDescent="0.2">
      <c r="A17" s="446" t="s">
        <v>379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 x14ac:dyDescent="0.2">
      <c r="A18" s="446" t="s">
        <v>384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 x14ac:dyDescent="0.2">
      <c r="A19" s="446" t="s">
        <v>367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 x14ac:dyDescent="0.2">
      <c r="A20" s="446" t="s">
        <v>327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 x14ac:dyDescent="0.2">
      <c r="A21" s="446" t="s">
        <v>427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 x14ac:dyDescent="0.2">
      <c r="B22"/>
      <c r="C22"/>
      <c r="D22"/>
      <c r="E22"/>
      <c r="F22"/>
      <c r="G22"/>
      <c r="H22"/>
      <c r="I22"/>
    </row>
    <row r="23" spans="1:16" x14ac:dyDescent="0.2">
      <c r="B23"/>
      <c r="C23"/>
      <c r="D23"/>
      <c r="E23"/>
      <c r="F23"/>
      <c r="G23"/>
      <c r="H23"/>
      <c r="I23"/>
    </row>
    <row r="24" spans="1:16" x14ac:dyDescent="0.2">
      <c r="B24"/>
      <c r="C24"/>
      <c r="D24"/>
      <c r="E24"/>
      <c r="F24"/>
      <c r="G24"/>
      <c r="H24"/>
      <c r="I24"/>
    </row>
    <row r="25" spans="1:16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078125" defaultRowHeight="15" x14ac:dyDescent="0.2"/>
  <cols>
    <col min="1" max="1" width="39.4140625" style="364" bestFit="1" customWidth="1"/>
    <col min="2" max="2" width="16.94921875" style="365" bestFit="1" customWidth="1"/>
    <col min="3" max="3" width="11.97265625" style="364" bestFit="1" customWidth="1"/>
    <col min="4" max="4" width="13.1796875" style="364" bestFit="1" customWidth="1"/>
    <col min="5" max="5" width="14.796875" style="364" bestFit="1" customWidth="1"/>
    <col min="6" max="7" width="13.1796875" style="364" bestFit="1" customWidth="1"/>
    <col min="8" max="8" width="11.97265625" style="364" bestFit="1" customWidth="1"/>
    <col min="9" max="11" width="11.8359375" style="364" bestFit="1" customWidth="1"/>
    <col min="12" max="12" width="4.83984375" style="364" bestFit="1" customWidth="1"/>
    <col min="13" max="13" width="10.625" style="364" bestFit="1" customWidth="1"/>
    <col min="14" max="14" width="13.1796875" style="364" bestFit="1" customWidth="1"/>
    <col min="15" max="15" width="11.97265625" style="364" bestFit="1" customWidth="1"/>
    <col min="16" max="16" width="14.796875" style="364" bestFit="1" customWidth="1"/>
    <col min="17" max="18" width="11.1640625" style="364" bestFit="1" customWidth="1"/>
    <col min="19" max="19" width="13.5859375" style="364" bestFit="1" customWidth="1"/>
    <col min="20" max="16384" width="12.5078125" style="364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445" t="s">
        <v>428</v>
      </c>
      <c r="B3" s="445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427</v>
      </c>
      <c r="Q4"/>
      <c r="R4"/>
      <c r="S4"/>
      <c r="T4"/>
    </row>
    <row r="5" spans="1:20" x14ac:dyDescent="0.2">
      <c r="A5" s="446" t="s">
        <v>426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 x14ac:dyDescent="0.2">
      <c r="A6" s="446" t="s">
        <v>243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 x14ac:dyDescent="0.2">
      <c r="A7" s="446" t="s">
        <v>257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 x14ac:dyDescent="0.2">
      <c r="A8" s="446" t="s">
        <v>268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 x14ac:dyDescent="0.2">
      <c r="A9" s="446" t="s">
        <v>281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 x14ac:dyDescent="0.2">
      <c r="A10" s="446" t="s">
        <v>305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 x14ac:dyDescent="0.2">
      <c r="A11" s="446" t="s">
        <v>322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 x14ac:dyDescent="0.2">
      <c r="A12" s="446" t="s">
        <v>329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 x14ac:dyDescent="0.2">
      <c r="A13" s="446" t="s">
        <v>345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 x14ac:dyDescent="0.2">
      <c r="A14" s="446" t="s">
        <v>349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 x14ac:dyDescent="0.2">
      <c r="A15" s="446" t="s">
        <v>355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 x14ac:dyDescent="0.2">
      <c r="A16" s="446" t="s">
        <v>371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 x14ac:dyDescent="0.2">
      <c r="A17" s="446" t="s">
        <v>379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 x14ac:dyDescent="0.2">
      <c r="A18" s="446" t="s">
        <v>384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 x14ac:dyDescent="0.2">
      <c r="A19" s="446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 x14ac:dyDescent="0.2">
      <c r="A20" s="446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 x14ac:dyDescent="0.2">
      <c r="A21" s="446" t="s">
        <v>427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 x14ac:dyDescent="0.2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5" x14ac:dyDescent="0.2"/>
  <cols>
    <col min="1" max="1" width="6.1875" customWidth="1"/>
    <col min="2" max="2" width="21.1171875" customWidth="1"/>
    <col min="3" max="3" width="28.78515625" customWidth="1"/>
    <col min="4" max="4" width="15.19921875" customWidth="1"/>
    <col min="5" max="5" width="16.54296875" customWidth="1"/>
    <col min="6" max="6" width="6.05078125" customWidth="1"/>
  </cols>
  <sheetData>
    <row r="1" spans="2:15" ht="15.75" thickBot="1" x14ac:dyDescent="0.25"/>
    <row r="2" spans="2:15" ht="18.75" x14ac:dyDescent="0.2">
      <c r="B2" s="813" t="s">
        <v>429</v>
      </c>
      <c r="C2" s="813"/>
      <c r="D2" s="813"/>
      <c r="E2" s="813"/>
      <c r="H2" s="814" t="s">
        <v>430</v>
      </c>
      <c r="I2" s="815"/>
      <c r="J2" s="815"/>
      <c r="K2" s="815"/>
      <c r="L2" s="815"/>
      <c r="M2" s="815"/>
      <c r="N2" s="815"/>
      <c r="O2" s="816"/>
    </row>
    <row r="3" spans="2:15" x14ac:dyDescent="0.2">
      <c r="B3" s="686"/>
      <c r="H3" s="817"/>
      <c r="I3" s="818"/>
      <c r="J3" s="818"/>
      <c r="K3" s="818"/>
      <c r="L3" s="818"/>
      <c r="M3" s="818"/>
      <c r="N3" s="818"/>
      <c r="O3" s="819"/>
    </row>
    <row r="4" spans="2:15" x14ac:dyDescent="0.2">
      <c r="B4" s="687" t="s">
        <v>431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 x14ac:dyDescent="0.2">
      <c r="B5" s="687" t="s">
        <v>432</v>
      </c>
      <c r="C5" s="688" t="s">
        <v>433</v>
      </c>
      <c r="H5" s="817"/>
      <c r="I5" s="818"/>
      <c r="J5" s="818"/>
      <c r="K5" s="818"/>
      <c r="L5" s="818"/>
      <c r="M5" s="818"/>
      <c r="N5" s="818"/>
      <c r="O5" s="819"/>
    </row>
    <row r="6" spans="2:15" x14ac:dyDescent="0.2">
      <c r="B6" s="687" t="s">
        <v>434</v>
      </c>
      <c r="C6" s="688" t="s">
        <v>435</v>
      </c>
      <c r="H6" s="817"/>
      <c r="I6" s="818"/>
      <c r="J6" s="818"/>
      <c r="K6" s="818"/>
      <c r="L6" s="818"/>
      <c r="M6" s="818"/>
      <c r="N6" s="818"/>
      <c r="O6" s="819"/>
    </row>
    <row r="7" spans="2:15" x14ac:dyDescent="0.2">
      <c r="B7" s="687" t="s">
        <v>436</v>
      </c>
      <c r="C7" s="688" t="s">
        <v>77</v>
      </c>
      <c r="H7" s="817"/>
      <c r="I7" s="818"/>
      <c r="J7" s="818"/>
      <c r="K7" s="818"/>
      <c r="L7" s="818"/>
      <c r="M7" s="818"/>
      <c r="N7" s="818"/>
      <c r="O7" s="819"/>
    </row>
    <row r="8" spans="2:15" x14ac:dyDescent="0.2">
      <c r="B8" s="686"/>
      <c r="H8" s="817"/>
      <c r="I8" s="818"/>
      <c r="J8" s="818"/>
      <c r="K8" s="818"/>
      <c r="L8" s="818"/>
      <c r="M8" s="818"/>
      <c r="N8" s="818"/>
      <c r="O8" s="819"/>
    </row>
    <row r="9" spans="2:15" x14ac:dyDescent="0.2">
      <c r="B9" s="823" t="s">
        <v>437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.75" thickBot="1" x14ac:dyDescent="0.25">
      <c r="B10" s="823" t="s">
        <v>438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 x14ac:dyDescent="0.2">
      <c r="B11" s="689" t="s">
        <v>439</v>
      </c>
      <c r="C11" s="812" t="s">
        <v>440</v>
      </c>
      <c r="D11" s="812"/>
      <c r="E11" s="812"/>
    </row>
    <row r="12" spans="2:15" x14ac:dyDescent="0.2">
      <c r="B12" s="689" t="s">
        <v>441</v>
      </c>
      <c r="C12" s="812" t="s">
        <v>440</v>
      </c>
      <c r="D12" s="812"/>
      <c r="E12" s="812"/>
    </row>
    <row r="13" spans="2:15" x14ac:dyDescent="0.2">
      <c r="B13" s="689" t="s">
        <v>442</v>
      </c>
      <c r="C13" s="812" t="s">
        <v>440</v>
      </c>
      <c r="D13" s="812"/>
      <c r="E13" s="812"/>
    </row>
    <row r="14" spans="2:15" x14ac:dyDescent="0.2">
      <c r="B14" s="689" t="s">
        <v>443</v>
      </c>
      <c r="C14" s="812" t="s">
        <v>444</v>
      </c>
      <c r="D14" s="812"/>
      <c r="E14" s="812"/>
    </row>
    <row r="15" spans="2:15" x14ac:dyDescent="0.2">
      <c r="B15" s="689" t="s">
        <v>445</v>
      </c>
      <c r="C15" s="812" t="s">
        <v>446</v>
      </c>
      <c r="D15" s="812"/>
      <c r="E15" s="812"/>
    </row>
    <row r="16" spans="2:15" ht="15" customHeight="1" x14ac:dyDescent="0.2">
      <c r="B16" s="689" t="s">
        <v>447</v>
      </c>
      <c r="C16" s="812" t="s">
        <v>448</v>
      </c>
      <c r="D16" s="812"/>
      <c r="E16" s="812"/>
    </row>
    <row r="17" spans="2:5" x14ac:dyDescent="0.2">
      <c r="B17" s="686"/>
    </row>
    <row r="18" spans="2:5" x14ac:dyDescent="0.2">
      <c r="B18" s="824" t="s">
        <v>449</v>
      </c>
      <c r="C18" s="824"/>
      <c r="D18" s="824"/>
      <c r="E18" s="824"/>
    </row>
    <row r="19" spans="2:5" x14ac:dyDescent="0.2">
      <c r="B19" s="689" t="s">
        <v>450</v>
      </c>
      <c r="C19" s="689" t="s">
        <v>451</v>
      </c>
      <c r="D19" s="689" t="s">
        <v>452</v>
      </c>
      <c r="E19" s="689" t="s">
        <v>62</v>
      </c>
    </row>
    <row r="20" spans="2:5" ht="15" customHeight="1" x14ac:dyDescent="0.2">
      <c r="B20" s="689" t="s">
        <v>453</v>
      </c>
      <c r="C20" s="689" t="s">
        <v>454</v>
      </c>
      <c r="D20" s="690" t="s">
        <v>455</v>
      </c>
      <c r="E20" s="691">
        <v>45953</v>
      </c>
    </row>
    <row r="21" spans="2:5" x14ac:dyDescent="0.2">
      <c r="B21" s="689"/>
      <c r="C21" s="689"/>
      <c r="D21" s="689"/>
      <c r="E21" s="689"/>
    </row>
    <row r="22" spans="2:5" x14ac:dyDescent="0.2">
      <c r="B22" s="689"/>
      <c r="C22" s="689"/>
      <c r="D22" s="689"/>
      <c r="E22" s="689"/>
    </row>
    <row r="23" spans="2:5" x14ac:dyDescent="0.2">
      <c r="B23" s="689"/>
      <c r="C23" s="689"/>
      <c r="D23" s="689"/>
      <c r="E23" s="689"/>
    </row>
    <row r="24" spans="2:5" x14ac:dyDescent="0.2">
      <c r="B24" s="689"/>
      <c r="C24" s="689"/>
      <c r="D24" s="689"/>
      <c r="E24" s="689"/>
    </row>
    <row r="25" spans="2:5" x14ac:dyDescent="0.2">
      <c r="B25" s="689"/>
      <c r="C25" s="689"/>
      <c r="D25" s="689"/>
      <c r="E25" s="689"/>
    </row>
    <row r="26" spans="2:5" x14ac:dyDescent="0.2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03125" defaultRowHeight="15" x14ac:dyDescent="0.2"/>
  <cols>
    <col min="4" max="4" width="9.01171875" customWidth="1"/>
  </cols>
  <sheetData>
    <row r="1" spans="1:4" x14ac:dyDescent="0.2">
      <c r="A1" s="108" t="s">
        <v>456</v>
      </c>
    </row>
    <row r="2" spans="1:4" x14ac:dyDescent="0.2">
      <c r="A2" s="826"/>
      <c r="B2" s="826"/>
      <c r="C2" s="826"/>
      <c r="D2" s="71"/>
    </row>
    <row r="3" spans="1:4" x14ac:dyDescent="0.2">
      <c r="A3" s="825" t="s">
        <v>457</v>
      </c>
      <c r="B3" s="825"/>
      <c r="C3" s="825"/>
      <c r="D3" s="109">
        <v>0.32</v>
      </c>
    </row>
    <row r="4" spans="1:4" x14ac:dyDescent="0.2">
      <c r="A4" s="825" t="s">
        <v>398</v>
      </c>
      <c r="B4" s="825"/>
      <c r="C4" s="825"/>
      <c r="D4" s="109">
        <v>0.5</v>
      </c>
    </row>
    <row r="5" spans="1:4" x14ac:dyDescent="0.2">
      <c r="A5" s="825" t="s">
        <v>409</v>
      </c>
      <c r="B5" s="825"/>
      <c r="C5" s="825"/>
      <c r="D5" s="109">
        <v>0.15</v>
      </c>
    </row>
    <row r="6" spans="1:4" x14ac:dyDescent="0.2">
      <c r="A6" s="825" t="s">
        <v>458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453125" defaultRowHeight="12.75" x14ac:dyDescent="0.15"/>
  <cols>
    <col min="1" max="1" width="9.14453125" style="86"/>
    <col min="2" max="2" width="22.1953125" style="86" customWidth="1"/>
    <col min="3" max="3" width="4.16796875" style="86" customWidth="1"/>
    <col min="4" max="4" width="14.125" style="86" bestFit="1" customWidth="1"/>
    <col min="5" max="5" width="2.95703125" style="86" customWidth="1"/>
    <col min="6" max="6" width="15.19921875" style="86" customWidth="1"/>
    <col min="7" max="7" width="2.15234375" style="86" customWidth="1"/>
    <col min="8" max="8" width="16.140625" style="86" bestFit="1" customWidth="1"/>
    <col min="9" max="9" width="6.1875" style="86" customWidth="1"/>
    <col min="10" max="10" width="13.5859375" style="86" bestFit="1" customWidth="1"/>
    <col min="11" max="11" width="2.15234375" style="86" customWidth="1"/>
    <col min="12" max="12" width="14.125" style="86" bestFit="1" customWidth="1"/>
    <col min="13" max="13" width="2.95703125" style="86" customWidth="1"/>
    <col min="14" max="14" width="45.19921875" style="86" customWidth="1"/>
    <col min="15" max="16384" width="9.14453125" style="86"/>
  </cols>
  <sheetData>
    <row r="2" spans="2:14" s="92" customFormat="1" ht="18" x14ac:dyDescent="0.2">
      <c r="B2" s="827" t="s">
        <v>459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x14ac:dyDescent="0.15">
      <c r="B4" s="90" t="s">
        <v>460</v>
      </c>
      <c r="C4" s="84"/>
      <c r="D4" s="88" t="s">
        <v>461</v>
      </c>
      <c r="E4" s="93"/>
      <c r="F4" s="88" t="s">
        <v>462</v>
      </c>
      <c r="H4" s="88" t="s">
        <v>463</v>
      </c>
      <c r="I4" s="93"/>
      <c r="J4" s="88" t="s">
        <v>464</v>
      </c>
      <c r="L4" s="88" t="s">
        <v>463</v>
      </c>
      <c r="M4" s="88"/>
      <c r="N4" s="88" t="s">
        <v>465</v>
      </c>
    </row>
    <row r="5" spans="2:14" ht="4.5" customHeight="1" x14ac:dyDescent="0.15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 x14ac:dyDescent="0.15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x14ac:dyDescent="0.15">
      <c r="B7" s="84"/>
      <c r="C7" s="84"/>
      <c r="D7" s="87"/>
      <c r="E7" s="93"/>
      <c r="F7" s="105" t="s">
        <v>466</v>
      </c>
      <c r="H7" s="97"/>
      <c r="I7" s="93"/>
      <c r="J7" s="105" t="s">
        <v>466</v>
      </c>
      <c r="L7" s="97"/>
      <c r="M7" s="97"/>
    </row>
    <row r="8" spans="2:14" ht="6" customHeight="1" x14ac:dyDescent="0.15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x14ac:dyDescent="0.15">
      <c r="B9" s="90" t="s">
        <v>255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x14ac:dyDescent="0.15">
      <c r="B10" s="106" t="s">
        <v>255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x14ac:dyDescent="0.15">
      <c r="B11" s="106" t="s">
        <v>467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x14ac:dyDescent="0.15">
      <c r="B12" s="106" t="s">
        <v>468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x14ac:dyDescent="0.15">
      <c r="B13" s="106" t="s">
        <v>469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x14ac:dyDescent="0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x14ac:dyDescent="0.15">
      <c r="B15" s="84"/>
      <c r="C15" s="84"/>
      <c r="D15" s="87"/>
      <c r="E15" s="93"/>
      <c r="F15" s="105" t="s">
        <v>466</v>
      </c>
      <c r="H15" s="97"/>
      <c r="I15" s="93"/>
      <c r="J15" s="105" t="s">
        <v>466</v>
      </c>
      <c r="L15" s="97"/>
      <c r="M15" s="97"/>
    </row>
    <row r="16" spans="2:14" ht="6" customHeight="1" x14ac:dyDescent="0.15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x14ac:dyDescent="0.15">
      <c r="B17" s="90" t="s">
        <v>470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 x14ac:dyDescent="0.15">
      <c r="B18" s="106" t="s">
        <v>470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 x14ac:dyDescent="0.15">
      <c r="B19" s="106" t="s">
        <v>469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 x14ac:dyDescent="0.15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x14ac:dyDescent="0.15">
      <c r="B21" s="84"/>
      <c r="C21" s="84"/>
      <c r="D21" s="87"/>
      <c r="E21" s="93"/>
      <c r="F21" s="105" t="s">
        <v>466</v>
      </c>
      <c r="H21" s="97"/>
      <c r="I21" s="93"/>
      <c r="J21" s="105" t="s">
        <v>466</v>
      </c>
      <c r="L21" s="97"/>
      <c r="M21" s="97"/>
    </row>
    <row r="22" spans="2:13" ht="6" customHeight="1" x14ac:dyDescent="0.15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x14ac:dyDescent="0.15">
      <c r="B23" s="90" t="s">
        <v>471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 x14ac:dyDescent="0.15">
      <c r="B24" s="106" t="s">
        <v>471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x14ac:dyDescent="0.15">
      <c r="B25" s="106" t="s">
        <v>469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 x14ac:dyDescent="0.15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x14ac:dyDescent="0.15">
      <c r="B27" s="84"/>
      <c r="C27" s="84"/>
      <c r="D27" s="87"/>
      <c r="E27" s="96"/>
      <c r="F27" s="105" t="s">
        <v>466</v>
      </c>
      <c r="H27" s="97"/>
      <c r="I27" s="93"/>
      <c r="J27" s="105" t="s">
        <v>466</v>
      </c>
      <c r="L27" s="97"/>
      <c r="M27" s="97"/>
    </row>
    <row r="28" spans="2:13" ht="6" customHeight="1" x14ac:dyDescent="0.15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x14ac:dyDescent="0.15">
      <c r="B29" s="90" t="s">
        <v>472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 x14ac:dyDescent="0.15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 x14ac:dyDescent="0.15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 x14ac:dyDescent="0.15">
      <c r="B32" s="106" t="s">
        <v>469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 x14ac:dyDescent="0.15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x14ac:dyDescent="0.15">
      <c r="B34" s="84"/>
      <c r="C34" s="84"/>
      <c r="D34" s="87"/>
      <c r="E34" s="96"/>
      <c r="F34" s="105" t="s">
        <v>466</v>
      </c>
      <c r="H34" s="97"/>
      <c r="I34" s="93"/>
      <c r="J34" s="105" t="s">
        <v>466</v>
      </c>
      <c r="L34" s="97"/>
      <c r="M34" s="97"/>
    </row>
    <row r="35" spans="2:13" x14ac:dyDescent="0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x14ac:dyDescent="0.15">
      <c r="B36" s="90" t="s">
        <v>473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 x14ac:dyDescent="0.15">
      <c r="B37" s="106" t="s">
        <v>474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 x14ac:dyDescent="0.15">
      <c r="B38" s="106" t="s">
        <v>475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 x14ac:dyDescent="0.15">
      <c r="B39" s="106" t="s">
        <v>476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 x14ac:dyDescent="0.15">
      <c r="B40" s="106" t="s">
        <v>477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 x14ac:dyDescent="0.15">
      <c r="B41" s="106" t="s">
        <v>478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x14ac:dyDescent="0.15">
      <c r="B42" s="98"/>
      <c r="C42" s="84"/>
      <c r="D42" s="95"/>
      <c r="E42" s="96"/>
      <c r="F42" s="95"/>
      <c r="I42" s="96"/>
      <c r="J42" s="95"/>
    </row>
    <row r="43" spans="2:13" x14ac:dyDescent="0.15">
      <c r="B43" s="90" t="s">
        <v>479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 x14ac:dyDescent="0.15">
      <c r="B47" s="84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453125" defaultRowHeight="12.75" x14ac:dyDescent="0.15"/>
  <cols>
    <col min="1" max="1" width="9.14453125" style="86"/>
    <col min="2" max="2" width="22.1953125" style="86" customWidth="1"/>
    <col min="3" max="3" width="4.16796875" style="86" customWidth="1"/>
    <col min="4" max="4" width="14.125" style="86" bestFit="1" customWidth="1"/>
    <col min="5" max="5" width="6.9921875" style="86" customWidth="1"/>
    <col min="6" max="6" width="2.95703125" style="86" customWidth="1"/>
    <col min="7" max="7" width="18.5625" style="86" customWidth="1"/>
    <col min="8" max="8" width="9.14453125" style="86" bestFit="1" customWidth="1"/>
    <col min="9" max="9" width="2.015625" style="86" customWidth="1"/>
    <col min="10" max="10" width="14.125" style="86" bestFit="1" customWidth="1"/>
    <col min="11" max="11" width="2.15234375" style="86" customWidth="1"/>
    <col min="12" max="12" width="20.17578125" style="86" customWidth="1"/>
    <col min="13" max="13" width="9.14453125" style="86" bestFit="1" customWidth="1"/>
    <col min="14" max="14" width="0.8046875" style="86" customWidth="1"/>
    <col min="15" max="15" width="14.125" style="86" bestFit="1" customWidth="1"/>
    <col min="16" max="16384" width="9.14453125" style="86"/>
  </cols>
  <sheetData>
    <row r="2" spans="2:15" s="92" customFormat="1" ht="18" x14ac:dyDescent="0.2">
      <c r="B2" s="827" t="s">
        <v>481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x14ac:dyDescent="0.15">
      <c r="B4" s="90" t="s">
        <v>460</v>
      </c>
      <c r="C4" s="84"/>
      <c r="D4" s="88" t="s">
        <v>461</v>
      </c>
      <c r="E4" s="93"/>
      <c r="F4" s="93"/>
      <c r="G4" s="88" t="s">
        <v>482</v>
      </c>
      <c r="H4" s="94"/>
      <c r="J4" s="88" t="s">
        <v>463</v>
      </c>
      <c r="L4" s="88" t="s">
        <v>483</v>
      </c>
      <c r="M4" s="94"/>
      <c r="O4" s="88" t="s">
        <v>463</v>
      </c>
    </row>
    <row r="5" spans="2:15" ht="5.25" customHeight="1" x14ac:dyDescent="0.15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x14ac:dyDescent="0.15">
      <c r="B6" s="84" t="s">
        <v>254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x14ac:dyDescent="0.15">
      <c r="B7" s="84" t="s">
        <v>259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x14ac:dyDescent="0.15">
      <c r="B8" s="84" t="s">
        <v>260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x14ac:dyDescent="0.15">
      <c r="B9" s="84" t="s">
        <v>261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 x14ac:dyDescent="0.15">
      <c r="B10" s="84" t="s">
        <v>262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 x14ac:dyDescent="0.15">
      <c r="B11" s="84" t="s">
        <v>484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 x14ac:dyDescent="0.15">
      <c r="B12" s="84" t="s">
        <v>264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 x14ac:dyDescent="0.15">
      <c r="B13" s="84" t="s">
        <v>265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 x14ac:dyDescent="0.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x14ac:dyDescent="0.15">
      <c r="B15" s="90" t="s">
        <v>479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x14ac:dyDescent="0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x14ac:dyDescent="0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x14ac:dyDescent="0.15">
      <c r="B18" s="90" t="s">
        <v>460</v>
      </c>
      <c r="C18" s="84"/>
      <c r="D18" s="88" t="s">
        <v>461</v>
      </c>
      <c r="E18" s="93"/>
      <c r="F18" s="93"/>
      <c r="G18" s="88" t="s">
        <v>485</v>
      </c>
      <c r="H18" s="94"/>
      <c r="J18" s="88" t="s">
        <v>463</v>
      </c>
      <c r="L18" s="88" t="s">
        <v>486</v>
      </c>
      <c r="M18" s="94"/>
      <c r="O18" s="88" t="s">
        <v>463</v>
      </c>
    </row>
    <row r="19" spans="2:15" ht="7.5" customHeight="1" x14ac:dyDescent="0.15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x14ac:dyDescent="0.15">
      <c r="B20" s="84" t="s">
        <v>487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x14ac:dyDescent="0.15">
      <c r="B21" s="84" t="s">
        <v>488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x14ac:dyDescent="0.15">
      <c r="B22" s="84" t="s">
        <v>489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x14ac:dyDescent="0.15">
      <c r="B23" s="84" t="s">
        <v>490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 x14ac:dyDescent="0.15">
      <c r="B24" s="84" t="s">
        <v>264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 x14ac:dyDescent="0.15">
      <c r="B25" s="84" t="s">
        <v>491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 x14ac:dyDescent="0.15">
      <c r="B26" s="84" t="s">
        <v>262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 x14ac:dyDescent="0.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x14ac:dyDescent="0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x14ac:dyDescent="0.15">
      <c r="B29" s="90" t="s">
        <v>479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 x14ac:dyDescent="0.2">
      <c r="B32" s="100" t="s">
        <v>492</v>
      </c>
      <c r="C32" s="101"/>
      <c r="D32" s="101"/>
    </row>
    <row r="33" spans="2:4" ht="13.5" thickTop="1" x14ac:dyDescent="0.15"/>
    <row r="34" spans="2:4" x14ac:dyDescent="0.15">
      <c r="B34" s="86" t="s">
        <v>461</v>
      </c>
      <c r="D34" s="97" t="e">
        <f>D15</f>
        <v>#REF!</v>
      </c>
    </row>
    <row r="35" spans="2:4" x14ac:dyDescent="0.15">
      <c r="B35" s="97" t="str">
        <f>G4</f>
        <v>Cosmic Sun</v>
      </c>
      <c r="D35" s="97">
        <f>G15</f>
        <v>775642.7699999999</v>
      </c>
    </row>
    <row r="36" spans="2:4" x14ac:dyDescent="0.15">
      <c r="B36" s="97" t="str">
        <f>L4</f>
        <v>Matthews Group</v>
      </c>
      <c r="D36" s="97">
        <f>L15</f>
        <v>0</v>
      </c>
    </row>
    <row r="37" spans="2:4" x14ac:dyDescent="0.15">
      <c r="B37" s="97" t="str">
        <f>G18</f>
        <v>&gt;Installer Name 3&lt;</v>
      </c>
      <c r="D37" s="97">
        <f>G29</f>
        <v>0</v>
      </c>
    </row>
    <row r="38" spans="2:4" x14ac:dyDescent="0.15">
      <c r="B38" s="97" t="str">
        <f>L18</f>
        <v>&gt;Installer Name 4&lt;</v>
      </c>
      <c r="D38" s="97">
        <f>L29</f>
        <v>0</v>
      </c>
    </row>
    <row r="39" spans="2:4" ht="13.5" thickBot="1" x14ac:dyDescent="0.2">
      <c r="B39" s="102"/>
      <c r="C39" s="101"/>
      <c r="D39" s="101"/>
    </row>
    <row r="40" spans="2:4" ht="13.5" thickTop="1" x14ac:dyDescent="0.15">
      <c r="B40" s="103" t="e">
        <f>IF(D40&lt;D34,"Saving","Loss")</f>
        <v>#REF!</v>
      </c>
      <c r="C40" s="103"/>
      <c r="D40" s="104" t="e">
        <f>D34-MIN(D35:D38)</f>
        <v>#REF!</v>
      </c>
    </row>
    <row r="41" spans="2:4" x14ac:dyDescent="0.15">
      <c r="B41" s="103"/>
      <c r="C41" s="103"/>
      <c r="D41" s="104"/>
    </row>
    <row r="42" spans="2:4" x14ac:dyDescent="0.15">
      <c r="B42" s="84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453125" defaultRowHeight="15" x14ac:dyDescent="0.2"/>
  <cols>
    <col min="1" max="1" width="0.8046875" customWidth="1"/>
    <col min="2" max="2" width="8.203125" bestFit="1" customWidth="1"/>
    <col min="3" max="3" width="45.19921875" customWidth="1"/>
    <col min="4" max="4" width="34.16796875" customWidth="1"/>
    <col min="5" max="5" width="15.19921875" customWidth="1"/>
    <col min="6" max="6" width="11.97265625" bestFit="1" customWidth="1"/>
    <col min="7" max="7" width="9.14453125" bestFit="1" customWidth="1"/>
    <col min="8" max="8" width="12.5078125" bestFit="1" customWidth="1"/>
    <col min="9" max="9" width="9.953125" customWidth="1"/>
    <col min="10" max="10" width="19.50390625" bestFit="1" customWidth="1"/>
  </cols>
  <sheetData>
    <row r="1" spans="2:14" x14ac:dyDescent="0.2">
      <c r="B1" s="829" t="str">
        <f>D15</f>
        <v>Randfontein</v>
      </c>
      <c r="C1" s="829"/>
      <c r="D1" s="829"/>
      <c r="E1" s="828" t="s">
        <v>494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 x14ac:dyDescent="0.2"/>
    <row r="3" spans="2:14" x14ac:dyDescent="0.2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 x14ac:dyDescent="0.2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 x14ac:dyDescent="0.2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 x14ac:dyDescent="0.2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 x14ac:dyDescent="0.2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 x14ac:dyDescent="0.2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 x14ac:dyDescent="0.2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 x14ac:dyDescent="0.2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Certificate - Financial Close!Print_Area</vt:lpstr>
      <vt:lpstr>Project Plan!Print_Area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