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2" documentId="13_ncr:1_{2473AA54-0E02-4422-B2AA-DE31959F4533}" xr6:coauthVersionLast="47" xr6:coauthVersionMax="47" xr10:uidLastSave="{FF48BC15-40A1-4B82-8789-B543CB2C5F27}"/>
  <bookViews>
    <workbookView xWindow="-110" yWindow="-110" windowWidth="19420" windowHeight="11500" tabRatio="576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K13" i="2"/>
  <c r="I13" i="2"/>
  <c r="H6" i="5"/>
  <c r="Q71" i="18"/>
  <c r="Q70" i="18"/>
  <c r="P6" i="18"/>
  <c r="W48" i="18"/>
  <c r="Z27" i="18"/>
  <c r="O112" i="18"/>
  <c r="O96" i="18"/>
  <c r="W17" i="18"/>
  <c r="W15" i="18"/>
  <c r="W108" i="18"/>
  <c r="W85" i="18"/>
  <c r="W83" i="18"/>
  <c r="W81" i="18"/>
  <c r="W79" i="18"/>
  <c r="W71" i="18"/>
  <c r="W70" i="18"/>
  <c r="W55" i="18"/>
  <c r="T55" i="18"/>
  <c r="W47" i="18"/>
  <c r="W14" i="18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I23" i="2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T45" i="18"/>
  <c r="T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8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4" i="2"/>
  <c r="K14" i="2" l="1"/>
  <c r="I17" i="2" s="1"/>
  <c r="I16" i="2"/>
  <c r="E41" i="2"/>
  <c r="N12" i="2"/>
  <c r="I15" i="2" l="1"/>
  <c r="G41" i="2"/>
  <c r="E37" i="2" s="1"/>
  <c r="E39" i="2"/>
  <c r="G37" i="2" l="1"/>
  <c r="G32" i="2" s="1"/>
  <c r="E32" i="2"/>
  <c r="K15" i="2"/>
  <c r="I25" i="2"/>
  <c r="K25" i="2" s="1"/>
  <c r="G39" i="2"/>
  <c r="F39" i="2" s="1"/>
  <c r="K17" i="2"/>
  <c r="K16" i="2"/>
  <c r="C4" i="24"/>
  <c r="C7" i="23"/>
  <c r="C4" i="23"/>
  <c r="Q130" i="18"/>
  <c r="I27" i="2" l="1"/>
  <c r="I29" i="2"/>
  <c r="K29" i="2" s="1"/>
  <c r="F32" i="2"/>
  <c r="I11" i="2"/>
  <c r="K11" i="2"/>
  <c r="K27" i="2"/>
  <c r="K20" i="2"/>
  <c r="I19" i="2"/>
  <c r="I34" i="2"/>
  <c r="I40" i="2"/>
  <c r="N14" i="2"/>
  <c r="N29" i="2" l="1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M52" i="2"/>
  <c r="M48" i="2"/>
  <c r="M43" i="2"/>
  <c r="M32" i="2"/>
  <c r="M39" i="2"/>
  <c r="M22" i="2"/>
  <c r="M11" i="2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W97" i="18"/>
  <c r="W96" i="18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N22" i="2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9" i="2" s="1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N32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N43" i="2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N48" i="2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52" i="2"/>
  <c r="N9" i="2" s="1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<sst xmlns="http://schemas.openxmlformats.org/spreadsheetml/2006/main" count="782" uniqueCount="448">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</sst>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48</c:v>
                  </c:pt>
                  <c:pt idx="4">
                    <c:v>18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46081</c:v>
                </c:pt>
                <c:pt idx="2">
                  <c:v>46050</c:v>
                </c:pt>
                <c:pt idx="3">
                  <c:v>46057</c:v>
                </c:pt>
                <c:pt idx="4">
                  <c:v>46081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2471764.1142763421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1400</c:v>
                </c:pt>
                <c:pt idx="4">
                  <c:v>83900</c:v>
                </c:pt>
                <c:pt idx="5">
                  <c:v>83900</c:v>
                </c:pt>
                <c:pt idx="6">
                  <c:v>314312.41263285035</c:v>
                </c:pt>
                <c:pt idx="7">
                  <c:v>315712.41263285035</c:v>
                </c:pt>
                <c:pt idx="8">
                  <c:v>315712.41263285035</c:v>
                </c:pt>
                <c:pt idx="9">
                  <c:v>376712.41263285035</c:v>
                </c:pt>
                <c:pt idx="10">
                  <c:v>376712.41263285035</c:v>
                </c:pt>
                <c:pt idx="11">
                  <c:v>1981129.4609797909</c:v>
                </c:pt>
                <c:pt idx="12">
                  <c:v>2109259.3910860713</c:v>
                </c:pt>
                <c:pt idx="13">
                  <c:v>2109259.3910860713</c:v>
                </c:pt>
                <c:pt idx="14">
                  <c:v>2267671.8037189217</c:v>
                </c:pt>
                <c:pt idx="15">
                  <c:v>3267249.3037189217</c:v>
                </c:pt>
                <c:pt idx="16">
                  <c:v>3268649.3037189217</c:v>
                </c:pt>
                <c:pt idx="17">
                  <c:v>3300331.7862454918</c:v>
                </c:pt>
                <c:pt idx="18">
                  <c:v>3300331.7862454918</c:v>
                </c:pt>
                <c:pt idx="19">
                  <c:v>3300331.7862454918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-1400</c:v>
                </c:pt>
                <c:pt idx="4">
                  <c:v>1563942.7428508946</c:v>
                </c:pt>
                <c:pt idx="5">
                  <c:v>1563942.7428508946</c:v>
                </c:pt>
                <c:pt idx="6">
                  <c:v>1333530.3302180441</c:v>
                </c:pt>
                <c:pt idx="7">
                  <c:v>2156051.7016434916</c:v>
                </c:pt>
                <c:pt idx="8">
                  <c:v>2773992.7302125772</c:v>
                </c:pt>
                <c:pt idx="9">
                  <c:v>2712992.7302125772</c:v>
                </c:pt>
                <c:pt idx="10">
                  <c:v>2712992.7302125772</c:v>
                </c:pt>
                <c:pt idx="11">
                  <c:v>1108575.6818656367</c:v>
                </c:pt>
                <c:pt idx="12">
                  <c:v>2628288.4946102505</c:v>
                </c:pt>
                <c:pt idx="13">
                  <c:v>2731278.6660384317</c:v>
                </c:pt>
                <c:pt idx="14">
                  <c:v>2572866.2534055812</c:v>
                </c:pt>
                <c:pt idx="15">
                  <c:v>1882259.267690124</c:v>
                </c:pt>
                <c:pt idx="16">
                  <c:v>1880859.267690124</c:v>
                </c:pt>
                <c:pt idx="17">
                  <c:v>1849176.7851635539</c:v>
                </c:pt>
                <c:pt idx="18">
                  <c:v>1849176.7851635539</c:v>
                </c:pt>
                <c:pt idx="19">
                  <c:v>1849176.7851635539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1555.5555555555557</c:v>
                </c:pt>
                <c:pt idx="3">
                  <c:v>1555.5555555555557</c:v>
                </c:pt>
                <c:pt idx="4">
                  <c:v>1555.5555555555557</c:v>
                </c:pt>
                <c:pt idx="5">
                  <c:v>1555.5555555555557</c:v>
                </c:pt>
                <c:pt idx="6">
                  <c:v>3173763.7229555729</c:v>
                </c:pt>
                <c:pt idx="7">
                  <c:v>3173763.7229555729</c:v>
                </c:pt>
                <c:pt idx="8">
                  <c:v>3173763.7229555729</c:v>
                </c:pt>
                <c:pt idx="9">
                  <c:v>3173763.7229555729</c:v>
                </c:pt>
                <c:pt idx="10">
                  <c:v>3173763.7229555729</c:v>
                </c:pt>
                <c:pt idx="11">
                  <c:v>3729922.8760326183</c:v>
                </c:pt>
                <c:pt idx="12">
                  <c:v>3729922.8760326183</c:v>
                </c:pt>
                <c:pt idx="13">
                  <c:v>3729922.8760326183</c:v>
                </c:pt>
                <c:pt idx="14">
                  <c:v>3729922.8760326183</c:v>
                </c:pt>
                <c:pt idx="15">
                  <c:v>4082737.0503011798</c:v>
                </c:pt>
                <c:pt idx="16">
                  <c:v>4082737.0503011798</c:v>
                </c:pt>
                <c:pt idx="17">
                  <c:v>4082737.0503011798</c:v>
                </c:pt>
                <c:pt idx="18">
                  <c:v>4082737.0503011798</c:v>
                </c:pt>
                <c:pt idx="19">
                  <c:v>4119606.8571272371</c:v>
                </c:pt>
                <c:pt idx="20">
                  <c:v>4119606.8571272371</c:v>
                </c:pt>
                <c:pt idx="21">
                  <c:v>4119606.8571272371</c:v>
                </c:pt>
                <c:pt idx="22">
                  <c:v>4119606.8571272371</c:v>
                </c:pt>
                <c:pt idx="23">
                  <c:v>4119606.8571272371</c:v>
                </c:pt>
                <c:pt idx="24">
                  <c:v>4119606.8571272371</c:v>
                </c:pt>
                <c:pt idx="25">
                  <c:v>4119606.8571272371</c:v>
                </c:pt>
                <c:pt idx="26">
                  <c:v>4119606.8571272371</c:v>
                </c:pt>
                <c:pt idx="27">
                  <c:v>4119606.8571272371</c:v>
                </c:pt>
                <c:pt idx="28">
                  <c:v>4119606.8571272371</c:v>
                </c:pt>
                <c:pt idx="29">
                  <c:v>4119606.8571272371</c:v>
                </c:pt>
                <c:pt idx="30">
                  <c:v>4119606.8571272371</c:v>
                </c:pt>
                <c:pt idx="31">
                  <c:v>4119606.8571272371</c:v>
                </c:pt>
                <c:pt idx="32">
                  <c:v>4119606.8571272371</c:v>
                </c:pt>
                <c:pt idx="33">
                  <c:v>4119606.8571272371</c:v>
                </c:pt>
                <c:pt idx="34">
                  <c:v>4119606.8571272371</c:v>
                </c:pt>
                <c:pt idx="35">
                  <c:v>4119606.8571272371</c:v>
                </c:pt>
                <c:pt idx="36">
                  <c:v>4119606.8571272371</c:v>
                </c:pt>
                <c:pt idx="37">
                  <c:v>4119606.8571272371</c:v>
                </c:pt>
                <c:pt idx="38">
                  <c:v>4119606.8571272371</c:v>
                </c:pt>
                <c:pt idx="39">
                  <c:v>4119606.8571272371</c:v>
                </c:pt>
                <c:pt idx="40">
                  <c:v>4119606.8571272371</c:v>
                </c:pt>
                <c:pt idx="41">
                  <c:v>4119606.8571272371</c:v>
                </c:pt>
                <c:pt idx="42">
                  <c:v>4119606.8571272371</c:v>
                </c:pt>
                <c:pt idx="43">
                  <c:v>4119606.8571272371</c:v>
                </c:pt>
                <c:pt idx="44">
                  <c:v>4119606.8571272371</c:v>
                </c:pt>
                <c:pt idx="45">
                  <c:v>4119606.8571272371</c:v>
                </c:pt>
                <c:pt idx="46">
                  <c:v>4119606.8571272371</c:v>
                </c:pt>
                <c:pt idx="47">
                  <c:v>4119606.8571272371</c:v>
                </c:pt>
                <c:pt idx="48">
                  <c:v>4119606.8571272371</c:v>
                </c:pt>
                <c:pt idx="49">
                  <c:v>4119606.8571272371</c:v>
                </c:pt>
                <c:pt idx="50">
                  <c:v>4119606.8571272371</c:v>
                </c:pt>
                <c:pt idx="51">
                  <c:v>4119606.8571272371</c:v>
                </c:pt>
                <c:pt idx="52">
                  <c:v>4119606.8571272371</c:v>
                </c:pt>
                <c:pt idx="53">
                  <c:v>4119606.8571272371</c:v>
                </c:pt>
                <c:pt idx="54">
                  <c:v>4119606.8571272371</c:v>
                </c:pt>
                <c:pt idx="55">
                  <c:v>4119606.8571272371</c:v>
                </c:pt>
                <c:pt idx="56">
                  <c:v>4119606.8571272371</c:v>
                </c:pt>
                <c:pt idx="57">
                  <c:v>4119606.8571272371</c:v>
                </c:pt>
                <c:pt idx="58">
                  <c:v>4119606.8571272371</c:v>
                </c:pt>
                <c:pt idx="59">
                  <c:v>4119606.8571272371</c:v>
                </c:pt>
                <c:pt idx="60">
                  <c:v>4119606.8571272371</c:v>
                </c:pt>
                <c:pt idx="61">
                  <c:v>4119606.8571272371</c:v>
                </c:pt>
                <c:pt idx="62">
                  <c:v>4119606.8571272371</c:v>
                </c:pt>
                <c:pt idx="63">
                  <c:v>4119606.8571272371</c:v>
                </c:pt>
                <c:pt idx="64">
                  <c:v>4119606.8571272371</c:v>
                </c:pt>
                <c:pt idx="65">
                  <c:v>4119606.8571272371</c:v>
                </c:pt>
                <c:pt idx="66">
                  <c:v>4119606.8571272371</c:v>
                </c:pt>
                <c:pt idx="67">
                  <c:v>4119606.8571272371</c:v>
                </c:pt>
                <c:pt idx="68">
                  <c:v>4119606.8571272371</c:v>
                </c:pt>
                <c:pt idx="69">
                  <c:v>4119606.8571272371</c:v>
                </c:pt>
                <c:pt idx="70">
                  <c:v>4119606.8571272371</c:v>
                </c:pt>
                <c:pt idx="71">
                  <c:v>4119606.8571272371</c:v>
                </c:pt>
                <c:pt idx="72">
                  <c:v>4119606.8571272371</c:v>
                </c:pt>
                <c:pt idx="73">
                  <c:v>4119606.8571272371</c:v>
                </c:pt>
                <c:pt idx="74">
                  <c:v>4119606.8571272371</c:v>
                </c:pt>
                <c:pt idx="75">
                  <c:v>4119606.8571272371</c:v>
                </c:pt>
                <c:pt idx="76">
                  <c:v>4119606.8571272371</c:v>
                </c:pt>
                <c:pt idx="77">
                  <c:v>4119606.8571272371</c:v>
                </c:pt>
                <c:pt idx="78">
                  <c:v>4119606.8571272371</c:v>
                </c:pt>
                <c:pt idx="79">
                  <c:v>4119606.8571272371</c:v>
                </c:pt>
                <c:pt idx="80">
                  <c:v>4119606.8571272371</c:v>
                </c:pt>
                <c:pt idx="81">
                  <c:v>4119606.8571272371</c:v>
                </c:pt>
                <c:pt idx="82">
                  <c:v>4119606.8571272371</c:v>
                </c:pt>
                <c:pt idx="83">
                  <c:v>4119606.8571272371</c:v>
                </c:pt>
                <c:pt idx="84">
                  <c:v>4119606.8571272371</c:v>
                </c:pt>
                <c:pt idx="85">
                  <c:v>4119606.8571272371</c:v>
                </c:pt>
                <c:pt idx="86">
                  <c:v>4119606.8571272371</c:v>
                </c:pt>
                <c:pt idx="87">
                  <c:v>4119606.8571272371</c:v>
                </c:pt>
                <c:pt idx="88">
                  <c:v>4119606.8571272371</c:v>
                </c:pt>
                <c:pt idx="89">
                  <c:v>4119606.8571272371</c:v>
                </c:pt>
                <c:pt idx="90">
                  <c:v>4119606.8571272371</c:v>
                </c:pt>
                <c:pt idx="91">
                  <c:v>4119606.8571272371</c:v>
                </c:pt>
                <c:pt idx="92">
                  <c:v>4119606.8571272371</c:v>
                </c:pt>
                <c:pt idx="93">
                  <c:v>4119606.8571272371</c:v>
                </c:pt>
                <c:pt idx="94">
                  <c:v>4119606.8571272371</c:v>
                </c:pt>
                <c:pt idx="95">
                  <c:v>4119606.8571272371</c:v>
                </c:pt>
                <c:pt idx="96">
                  <c:v>4119606.8571272371</c:v>
                </c:pt>
                <c:pt idx="97">
                  <c:v>4119606.8571272371</c:v>
                </c:pt>
                <c:pt idx="98">
                  <c:v>4119606.8571272371</c:v>
                </c:pt>
                <c:pt idx="99">
                  <c:v>4119606.8571272371</c:v>
                </c:pt>
                <c:pt idx="100">
                  <c:v>4119606.8571272371</c:v>
                </c:pt>
                <c:pt idx="101">
                  <c:v>4119606.8571272371</c:v>
                </c:pt>
                <c:pt idx="102">
                  <c:v>4119606.8571272371</c:v>
                </c:pt>
                <c:pt idx="103">
                  <c:v>4119606.8571272371</c:v>
                </c:pt>
                <c:pt idx="104">
                  <c:v>4119606.8571272371</c:v>
                </c:pt>
                <c:pt idx="105">
                  <c:v>4119606.8571272371</c:v>
                </c:pt>
                <c:pt idx="106">
                  <c:v>4119606.8571272371</c:v>
                </c:pt>
                <c:pt idx="107">
                  <c:v>4119606.8571272371</c:v>
                </c:pt>
                <c:pt idx="108">
                  <c:v>4119606.8571272371</c:v>
                </c:pt>
                <c:pt idx="109">
                  <c:v>4119606.8571272371</c:v>
                </c:pt>
                <c:pt idx="110">
                  <c:v>4119606.8571272371</c:v>
                </c:pt>
                <c:pt idx="111">
                  <c:v>4119606.8571272371</c:v>
                </c:pt>
                <c:pt idx="112">
                  <c:v>4119606.8571272371</c:v>
                </c:pt>
                <c:pt idx="113">
                  <c:v>4119606.8571272371</c:v>
                </c:pt>
                <c:pt idx="114">
                  <c:v>4119606.8571272371</c:v>
                </c:pt>
                <c:pt idx="115">
                  <c:v>4119606.8571272371</c:v>
                </c:pt>
                <c:pt idx="116">
                  <c:v>4119606.8571272371</c:v>
                </c:pt>
                <c:pt idx="117">
                  <c:v>4119606.8571272371</c:v>
                </c:pt>
                <c:pt idx="118">
                  <c:v>4119606.8571272371</c:v>
                </c:pt>
                <c:pt idx="119">
                  <c:v>4119606.8571272371</c:v>
                </c:pt>
                <c:pt idx="120">
                  <c:v>4119606.8571272371</c:v>
                </c:pt>
                <c:pt idx="121">
                  <c:v>4119606.8571272371</c:v>
                </c:pt>
                <c:pt idx="122">
                  <c:v>4119606.8571272371</c:v>
                </c:pt>
                <c:pt idx="123">
                  <c:v>4119606.8571272371</c:v>
                </c:pt>
                <c:pt idx="124">
                  <c:v>4119606.8571272371</c:v>
                </c:pt>
                <c:pt idx="125">
                  <c:v>4119606.8571272371</c:v>
                </c:pt>
                <c:pt idx="126">
                  <c:v>4119606.8571272371</c:v>
                </c:pt>
                <c:pt idx="127">
                  <c:v>4119606.8571272371</c:v>
                </c:pt>
                <c:pt idx="128">
                  <c:v>4119606.8571272371</c:v>
                </c:pt>
                <c:pt idx="129">
                  <c:v>4119606.8571272371</c:v>
                </c:pt>
                <c:pt idx="130">
                  <c:v>4119606.8571272371</c:v>
                </c:pt>
                <c:pt idx="131">
                  <c:v>4119606.8571272371</c:v>
                </c:pt>
                <c:pt idx="132">
                  <c:v>4119606.8571272371</c:v>
                </c:pt>
                <c:pt idx="133">
                  <c:v>4119606.8571272371</c:v>
                </c:pt>
                <c:pt idx="134">
                  <c:v>4119606.8571272371</c:v>
                </c:pt>
                <c:pt idx="135">
                  <c:v>4119606.8571272371</c:v>
                </c:pt>
                <c:pt idx="136">
                  <c:v>4119606.8571272371</c:v>
                </c:pt>
                <c:pt idx="137">
                  <c:v>4119606.8571272371</c:v>
                </c:pt>
                <c:pt idx="138">
                  <c:v>4119606.8571272371</c:v>
                </c:pt>
                <c:pt idx="139">
                  <c:v>4119606.8571272371</c:v>
                </c:pt>
                <c:pt idx="140">
                  <c:v>4119606.8571272371</c:v>
                </c:pt>
                <c:pt idx="141">
                  <c:v>4119606.8571272371</c:v>
                </c:pt>
                <c:pt idx="142">
                  <c:v>4119606.8571272371</c:v>
                </c:pt>
                <c:pt idx="143">
                  <c:v>4119606.8571272371</c:v>
                </c:pt>
                <c:pt idx="144">
                  <c:v>4119606.8571272371</c:v>
                </c:pt>
                <c:pt idx="145">
                  <c:v>4119606.8571272371</c:v>
                </c:pt>
                <c:pt idx="146">
                  <c:v>4119606.8571272371</c:v>
                </c:pt>
                <c:pt idx="147">
                  <c:v>4119606.8571272371</c:v>
                </c:pt>
                <c:pt idx="148">
                  <c:v>4119606.8571272371</c:v>
                </c:pt>
                <c:pt idx="149">
                  <c:v>4119606.8571272371</c:v>
                </c:pt>
                <c:pt idx="150">
                  <c:v>4119606.8571272371</c:v>
                </c:pt>
                <c:pt idx="151">
                  <c:v>4119606.8571272371</c:v>
                </c:pt>
                <c:pt idx="152">
                  <c:v>4119606.8571272371</c:v>
                </c:pt>
                <c:pt idx="153">
                  <c:v>4119606.8571272371</c:v>
                </c:pt>
                <c:pt idx="154">
                  <c:v>4119606.8571272371</c:v>
                </c:pt>
                <c:pt idx="155">
                  <c:v>4119606.8571272371</c:v>
                </c:pt>
                <c:pt idx="156">
                  <c:v>4119606.8571272371</c:v>
                </c:pt>
                <c:pt idx="157">
                  <c:v>4119606.8571272371</c:v>
                </c:pt>
                <c:pt idx="158">
                  <c:v>4119606.8571272371</c:v>
                </c:pt>
                <c:pt idx="159">
                  <c:v>4119606.8571272371</c:v>
                </c:pt>
                <c:pt idx="160">
                  <c:v>4119606.8571272371</c:v>
                </c:pt>
                <c:pt idx="161">
                  <c:v>4119606.8571272371</c:v>
                </c:pt>
                <c:pt idx="162">
                  <c:v>4119606.8571272371</c:v>
                </c:pt>
                <c:pt idx="163">
                  <c:v>4119606.8571272371</c:v>
                </c:pt>
                <c:pt idx="164">
                  <c:v>4119606.8571272371</c:v>
                </c:pt>
                <c:pt idx="165">
                  <c:v>4119606.8571272371</c:v>
                </c:pt>
                <c:pt idx="166">
                  <c:v>4119606.8571272371</c:v>
                </c:pt>
                <c:pt idx="167">
                  <c:v>4119606.8571272371</c:v>
                </c:pt>
                <c:pt idx="168">
                  <c:v>4119606.8571272371</c:v>
                </c:pt>
                <c:pt idx="169">
                  <c:v>4119606.8571272371</c:v>
                </c:pt>
                <c:pt idx="170">
                  <c:v>4119606.8571272371</c:v>
                </c:pt>
                <c:pt idx="171">
                  <c:v>4119606.8571272371</c:v>
                </c:pt>
                <c:pt idx="172">
                  <c:v>4119606.8571272371</c:v>
                </c:pt>
                <c:pt idx="173">
                  <c:v>4119606.8571272371</c:v>
                </c:pt>
                <c:pt idx="174">
                  <c:v>4119606.8571272371</c:v>
                </c:pt>
                <c:pt idx="175">
                  <c:v>4119606.8571272371</c:v>
                </c:pt>
                <c:pt idx="176">
                  <c:v>4119606.8571272371</c:v>
                </c:pt>
                <c:pt idx="177">
                  <c:v>4119606.8571272371</c:v>
                </c:pt>
                <c:pt idx="178">
                  <c:v>4119606.8571272371</c:v>
                </c:pt>
                <c:pt idx="179">
                  <c:v>4119606.8571272371</c:v>
                </c:pt>
                <c:pt idx="180">
                  <c:v>4119606.8571272371</c:v>
                </c:pt>
                <c:pt idx="181">
                  <c:v>4119606.8571272371</c:v>
                </c:pt>
                <c:pt idx="182">
                  <c:v>4119606.8571272371</c:v>
                </c:pt>
                <c:pt idx="183">
                  <c:v>4119606.8571272371</c:v>
                </c:pt>
                <c:pt idx="184">
                  <c:v>4119606.8571272371</c:v>
                </c:pt>
                <c:pt idx="185">
                  <c:v>4119606.8571272371</c:v>
                </c:pt>
                <c:pt idx="186">
                  <c:v>4119606.8571272371</c:v>
                </c:pt>
                <c:pt idx="187">
                  <c:v>4119606.8571272371</c:v>
                </c:pt>
                <c:pt idx="188">
                  <c:v>4119606.8571272371</c:v>
                </c:pt>
                <c:pt idx="189">
                  <c:v>4119606.8571272371</c:v>
                </c:pt>
                <c:pt idx="190">
                  <c:v>4119606.8571272371</c:v>
                </c:pt>
                <c:pt idx="191">
                  <c:v>4119606.8571272371</c:v>
                </c:pt>
                <c:pt idx="192">
                  <c:v>4119606.8571272371</c:v>
                </c:pt>
                <c:pt idx="193">
                  <c:v>4119606.8571272371</c:v>
                </c:pt>
                <c:pt idx="194">
                  <c:v>4119606.8571272371</c:v>
                </c:pt>
                <c:pt idx="195">
                  <c:v>4119606.8571272371</c:v>
                </c:pt>
                <c:pt idx="196">
                  <c:v>4119606.8571272371</c:v>
                </c:pt>
                <c:pt idx="197">
                  <c:v>4119606.8571272371</c:v>
                </c:pt>
                <c:pt idx="198">
                  <c:v>4119606.8571272371</c:v>
                </c:pt>
                <c:pt idx="199">
                  <c:v>4119606.8571272371</c:v>
                </c:pt>
                <c:pt idx="200">
                  <c:v>4119606.8571272371</c:v>
                </c:pt>
                <c:pt idx="201">
                  <c:v>4119606.8571272371</c:v>
                </c:pt>
                <c:pt idx="202">
                  <c:v>4119606.8571272371</c:v>
                </c:pt>
                <c:pt idx="203">
                  <c:v>4119606.8571272371</c:v>
                </c:pt>
                <c:pt idx="204">
                  <c:v>4119606.8571272371</c:v>
                </c:pt>
                <c:pt idx="205">
                  <c:v>4119606.8571272371</c:v>
                </c:pt>
                <c:pt idx="206">
                  <c:v>4119606.8571272371</c:v>
                </c:pt>
                <c:pt idx="207">
                  <c:v>4119606.8571272371</c:v>
                </c:pt>
                <c:pt idx="208">
                  <c:v>4119606.8571272371</c:v>
                </c:pt>
                <c:pt idx="209">
                  <c:v>4119606.8571272371</c:v>
                </c:pt>
                <c:pt idx="210">
                  <c:v>4119606.8571272371</c:v>
                </c:pt>
                <c:pt idx="211">
                  <c:v>4119606.8571272371</c:v>
                </c:pt>
                <c:pt idx="212">
                  <c:v>4119606.8571272371</c:v>
                </c:pt>
                <c:pt idx="213">
                  <c:v>4119606.8571272371</c:v>
                </c:pt>
                <c:pt idx="214">
                  <c:v>4119606.8571272371</c:v>
                </c:pt>
                <c:pt idx="215">
                  <c:v>4119606.8571272371</c:v>
                </c:pt>
                <c:pt idx="216">
                  <c:v>4119606.8571272371</c:v>
                </c:pt>
                <c:pt idx="217">
                  <c:v>4119606.8571272371</c:v>
                </c:pt>
                <c:pt idx="218">
                  <c:v>4119606.8571272371</c:v>
                </c:pt>
                <c:pt idx="219">
                  <c:v>4119606.8571272371</c:v>
                </c:pt>
                <c:pt idx="220">
                  <c:v>4119606.8571272371</c:v>
                </c:pt>
                <c:pt idx="221">
                  <c:v>4119606.8571272371</c:v>
                </c:pt>
                <c:pt idx="222">
                  <c:v>4119606.8571272371</c:v>
                </c:pt>
                <c:pt idx="223">
                  <c:v>4119606.8571272371</c:v>
                </c:pt>
                <c:pt idx="224">
                  <c:v>4119606.8571272371</c:v>
                </c:pt>
                <c:pt idx="225">
                  <c:v>4119606.8571272371</c:v>
                </c:pt>
                <c:pt idx="226">
                  <c:v>4119606.8571272371</c:v>
                </c:pt>
                <c:pt idx="227">
                  <c:v>4119606.8571272371</c:v>
                </c:pt>
                <c:pt idx="228">
                  <c:v>4119606.8571272371</c:v>
                </c:pt>
                <c:pt idx="229">
                  <c:v>4119606.8571272371</c:v>
                </c:pt>
                <c:pt idx="230">
                  <c:v>4119606.8571272371</c:v>
                </c:pt>
                <c:pt idx="231">
                  <c:v>4119606.8571272371</c:v>
                </c:pt>
                <c:pt idx="232">
                  <c:v>4119606.8571272371</c:v>
                </c:pt>
                <c:pt idx="233">
                  <c:v>4119606.8571272371</c:v>
                </c:pt>
                <c:pt idx="234">
                  <c:v>4119606.8571272371</c:v>
                </c:pt>
                <c:pt idx="235">
                  <c:v>4119606.8571272371</c:v>
                </c:pt>
                <c:pt idx="236">
                  <c:v>4119606.8571272371</c:v>
                </c:pt>
                <c:pt idx="237">
                  <c:v>4119606.8571272371</c:v>
                </c:pt>
                <c:pt idx="238">
                  <c:v>4119606.8571272371</c:v>
                </c:pt>
                <c:pt idx="239">
                  <c:v>4119606.8571272371</c:v>
                </c:pt>
                <c:pt idx="240">
                  <c:v>4119606.8571272371</c:v>
                </c:pt>
                <c:pt idx="241">
                  <c:v>4119606.8571272371</c:v>
                </c:pt>
                <c:pt idx="242">
                  <c:v>4119606.8571272371</c:v>
                </c:pt>
                <c:pt idx="243">
                  <c:v>4119606.8571272371</c:v>
                </c:pt>
                <c:pt idx="244">
                  <c:v>4119606.8571272371</c:v>
                </c:pt>
                <c:pt idx="245">
                  <c:v>4119606.8571272371</c:v>
                </c:pt>
                <c:pt idx="246">
                  <c:v>4119606.8571272371</c:v>
                </c:pt>
                <c:pt idx="247">
                  <c:v>4119606.8571272371</c:v>
                </c:pt>
                <c:pt idx="248">
                  <c:v>4119606.8571272371</c:v>
                </c:pt>
                <c:pt idx="249">
                  <c:v>4119606.8571272371</c:v>
                </c:pt>
                <c:pt idx="250">
                  <c:v>4119606.8571272371</c:v>
                </c:pt>
                <c:pt idx="251">
                  <c:v>4119606.8571272371</c:v>
                </c:pt>
                <c:pt idx="252">
                  <c:v>4119606.8571272371</c:v>
                </c:pt>
                <c:pt idx="253">
                  <c:v>4119606.8571272371</c:v>
                </c:pt>
                <c:pt idx="254">
                  <c:v>4119606.8571272371</c:v>
                </c:pt>
                <c:pt idx="255">
                  <c:v>4119606.8571272371</c:v>
                </c:pt>
                <c:pt idx="256">
                  <c:v>4119606.8571272371</c:v>
                </c:pt>
                <c:pt idx="257">
                  <c:v>4119606.8571272371</c:v>
                </c:pt>
                <c:pt idx="258">
                  <c:v>4119606.8571272371</c:v>
                </c:pt>
                <c:pt idx="259">
                  <c:v>4119606.8571272371</c:v>
                </c:pt>
                <c:pt idx="260">
                  <c:v>4119606.8571272371</c:v>
                </c:pt>
                <c:pt idx="261">
                  <c:v>4119606.8571272371</c:v>
                </c:pt>
                <c:pt idx="262">
                  <c:v>4119606.8571272371</c:v>
                </c:pt>
                <c:pt idx="263">
                  <c:v>4119606.8571272371</c:v>
                </c:pt>
                <c:pt idx="264">
                  <c:v>4119606.8571272371</c:v>
                </c:pt>
                <c:pt idx="265">
                  <c:v>4119606.8571272371</c:v>
                </c:pt>
                <c:pt idx="266">
                  <c:v>4119606.8571272371</c:v>
                </c:pt>
                <c:pt idx="267">
                  <c:v>4119606.8571272371</c:v>
                </c:pt>
                <c:pt idx="268">
                  <c:v>4119606.8571272371</c:v>
                </c:pt>
                <c:pt idx="269">
                  <c:v>4119606.8571272371</c:v>
                </c:pt>
                <c:pt idx="270">
                  <c:v>4119606.8571272371</c:v>
                </c:pt>
                <c:pt idx="271">
                  <c:v>4119606.8571272371</c:v>
                </c:pt>
                <c:pt idx="272">
                  <c:v>4119606.8571272371</c:v>
                </c:pt>
                <c:pt idx="273">
                  <c:v>4119606.8571272371</c:v>
                </c:pt>
                <c:pt idx="274">
                  <c:v>4119606.8571272371</c:v>
                </c:pt>
                <c:pt idx="275">
                  <c:v>4119606.8571272371</c:v>
                </c:pt>
                <c:pt idx="276">
                  <c:v>4119606.8571272371</c:v>
                </c:pt>
                <c:pt idx="277">
                  <c:v>4119606.8571272371</c:v>
                </c:pt>
                <c:pt idx="278">
                  <c:v>4119606.8571272371</c:v>
                </c:pt>
                <c:pt idx="279">
                  <c:v>4119606.8571272371</c:v>
                </c:pt>
                <c:pt idx="280">
                  <c:v>4119606.8571272371</c:v>
                </c:pt>
                <c:pt idx="281">
                  <c:v>4119606.8571272371</c:v>
                </c:pt>
                <c:pt idx="282">
                  <c:v>4119606.8571272371</c:v>
                </c:pt>
                <c:pt idx="283">
                  <c:v>4119606.8571272371</c:v>
                </c:pt>
                <c:pt idx="284">
                  <c:v>4119606.8571272371</c:v>
                </c:pt>
                <c:pt idx="285">
                  <c:v>4119606.8571272371</c:v>
                </c:pt>
                <c:pt idx="286">
                  <c:v>4119606.8571272371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Eon Van Rensburg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zoomScale="85" zoomScaleNormal="85" workbookViewId="0">
      <selection activeCell="C13" sqref="C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46056</v>
      </c>
      <c r="O1" s="305">
        <f ca="1">TODAY()</f>
        <v>46056</v>
      </c>
      <c r="Q1" s="1"/>
    </row>
    <row r="2" spans="2:28" ht="15" customHeight="1" thickBot="1">
      <c r="B2" s="88"/>
      <c r="C2" s="89" t="s">
        <v>156</v>
      </c>
      <c r="D2" s="90"/>
      <c r="E2" s="566" t="s">
        <v>397</v>
      </c>
      <c r="F2" s="567"/>
      <c r="G2" s="567"/>
      <c r="H2" s="568"/>
      <c r="I2" s="661" t="s">
        <v>157</v>
      </c>
      <c r="J2" s="662"/>
      <c r="K2" s="587">
        <f>NETWORKDAYS(I19,K43,Data!C3:C60)</f>
        <v>31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6.2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398</v>
      </c>
      <c r="F4" s="94"/>
      <c r="G4" s="94"/>
      <c r="H4" s="94"/>
      <c r="I4" s="661" t="s">
        <v>161</v>
      </c>
      <c r="J4" s="662"/>
      <c r="K4" s="588">
        <f>E3/K3</f>
        <v>67.741935483870961</v>
      </c>
      <c r="Q4" s="1"/>
    </row>
    <row r="5" spans="2:28" s="26" customFormat="1">
      <c r="B5" s="91"/>
      <c r="C5" s="92" t="s">
        <v>162</v>
      </c>
      <c r="D5" s="90"/>
      <c r="E5" s="565" t="s">
        <v>446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165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166</v>
      </c>
      <c r="D8" s="126"/>
      <c r="E8" s="667" t="s">
        <v>167</v>
      </c>
      <c r="F8" s="148" t="s">
        <v>168</v>
      </c>
      <c r="G8" s="667" t="s">
        <v>169</v>
      </c>
      <c r="H8" s="149"/>
      <c r="I8" s="667" t="s">
        <v>170</v>
      </c>
      <c r="J8" s="148" t="s">
        <v>168</v>
      </c>
      <c r="K8" s="667" t="s">
        <v>171</v>
      </c>
      <c r="M8" s="584" t="s">
        <v>44</v>
      </c>
      <c r="N8" s="585" t="s">
        <v>172</v>
      </c>
      <c r="O8" s="663" t="s">
        <v>173</v>
      </c>
      <c r="Z8" s="26"/>
      <c r="AA8" s="26"/>
      <c r="AB8" s="26"/>
    </row>
    <row r="9" spans="2:28">
      <c r="B9" s="665"/>
      <c r="C9" s="666"/>
      <c r="D9" s="126"/>
      <c r="E9" s="667"/>
      <c r="F9" s="40">
        <f>G43-E20</f>
        <v>46</v>
      </c>
      <c r="G9" s="667"/>
      <c r="H9" s="149"/>
      <c r="I9" s="667"/>
      <c r="J9" s="41">
        <f>K43-I20</f>
        <v>46</v>
      </c>
      <c r="K9" s="667"/>
      <c r="M9" s="265">
        <f>AVERAGE(M11,M19,M22,M32,M39,M43,M52,M48)</f>
        <v>3.205128205128205E-3</v>
      </c>
      <c r="N9" s="265">
        <f ca="1">AVERAGE(N11,N19,N22,N32,N39,N43,N52,N48)</f>
        <v>4.2959310537808396E-2</v>
      </c>
      <c r="O9" s="664"/>
      <c r="S9" s="586">
        <f ca="1">TODAY()</f>
        <v>46056</v>
      </c>
      <c r="T9" s="586">
        <f ca="1">TODAY()</f>
        <v>46056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174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28</v>
      </c>
      <c r="K11" s="571">
        <f>MAX(K12:K18)</f>
        <v>46071</v>
      </c>
      <c r="L11" s="574"/>
      <c r="M11" s="575">
        <f>(J12*M12+J14*M14+J15*M15+J16*M16+J17*M17)/SUM(J12:J17)</f>
        <v>2.564102564102564E-2</v>
      </c>
      <c r="N11" s="575">
        <f ca="1">(K12*N12+K14*N14+K15*N15+K16*N16+K17*N17)/SUM(K12:K17)</f>
        <v>0.2697828586867036</v>
      </c>
      <c r="O11" s="33"/>
      <c r="P11" s="26"/>
      <c r="Q11" s="34"/>
    </row>
    <row r="12" spans="2:28" s="26" customFormat="1">
      <c r="B12" s="157" t="s">
        <v>175</v>
      </c>
      <c r="C12" s="158" t="s">
        <v>176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177</v>
      </c>
      <c r="T12" s="537" t="s">
        <v>124</v>
      </c>
      <c r="U12" s="537" t="s">
        <v>168</v>
      </c>
      <c r="V12" s="537" t="s">
        <v>178</v>
      </c>
    </row>
    <row r="13" spans="2:28" s="26" customFormat="1">
      <c r="B13" s="157"/>
      <c r="C13" s="158" t="s">
        <v>447</v>
      </c>
      <c r="D13" s="126"/>
      <c r="E13" s="576"/>
      <c r="F13" s="577"/>
      <c r="G13" s="576"/>
      <c r="H13" s="578"/>
      <c r="I13" s="576">
        <f>I12</f>
        <v>46043</v>
      </c>
      <c r="J13" s="577">
        <v>16</v>
      </c>
      <c r="K13" s="576">
        <f>WORKDAY.INTL(I13,J13,1,Data!$C$3:$C$60)</f>
        <v>46065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179</v>
      </c>
      <c r="C14" s="158" t="s">
        <v>180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K12</f>
        <v>46043</v>
      </c>
      <c r="J14" s="577">
        <v>15</v>
      </c>
      <c r="K14" s="576">
        <f>WORKDAY.INTL(I14,J14,1,Data!$C$3:$C$60)</f>
        <v>46064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0.61904761904761907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28</v>
      </c>
      <c r="V14" s="538">
        <f>K11</f>
        <v>46071</v>
      </c>
    </row>
    <row r="15" spans="2:28" s="26" customFormat="1">
      <c r="B15" s="157" t="s">
        <v>181</v>
      </c>
      <c r="C15" s="158" t="s">
        <v>182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46064</v>
      </c>
      <c r="J15" s="577">
        <v>1</v>
      </c>
      <c r="K15" s="576">
        <f>WORKDAY.INTL(I15,J15,1,Data!$C$3:$C$60)</f>
        <v>46065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46081</v>
      </c>
      <c r="U15" s="539">
        <f>J19</f>
        <v>1</v>
      </c>
      <c r="V15" s="538">
        <f>K19</f>
        <v>46082</v>
      </c>
    </row>
    <row r="16" spans="2:28" s="26" customFormat="1">
      <c r="B16" s="157" t="s">
        <v>183</v>
      </c>
      <c r="C16" s="158" t="s">
        <v>184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46057</v>
      </c>
      <c r="J16" s="577">
        <v>1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46050</v>
      </c>
      <c r="U16" s="539">
        <f>J22</f>
        <v>61</v>
      </c>
      <c r="V16" s="538">
        <f>K22</f>
        <v>46111</v>
      </c>
    </row>
    <row r="17" spans="2:28" s="26" customFormat="1">
      <c r="B17" s="157" t="s">
        <v>185</v>
      </c>
      <c r="C17" s="158" t="s">
        <v>186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46064</v>
      </c>
      <c r="J17" s="577">
        <v>5</v>
      </c>
      <c r="K17" s="576">
        <f>WORKDAY.INTL(I17,J17,1,Data!$C$3:$C$60)</f>
        <v>46071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46057</v>
      </c>
      <c r="U17" s="539">
        <f>J32</f>
        <v>48</v>
      </c>
      <c r="V17" s="538">
        <f>K32</f>
        <v>46105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46081</v>
      </c>
      <c r="U18" s="539">
        <f>J39</f>
        <v>18</v>
      </c>
      <c r="V18" s="538">
        <f>K39</f>
        <v>46099</v>
      </c>
    </row>
    <row r="19" spans="2:28" s="28" customFormat="1">
      <c r="B19" s="155">
        <v>2</v>
      </c>
      <c r="C19" s="156" t="s">
        <v>187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46081</v>
      </c>
      <c r="J19" s="572">
        <f>K19-I19</f>
        <v>1</v>
      </c>
      <c r="K19" s="571">
        <f>MAX(K20:K21)</f>
        <v>46082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46111</v>
      </c>
      <c r="U19" s="539">
        <f>J43</f>
        <v>16</v>
      </c>
      <c r="V19" s="538">
        <f>K43</f>
        <v>46127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188</v>
      </c>
      <c r="C20" s="158" t="s">
        <v>189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46081</v>
      </c>
      <c r="J20" s="577">
        <v>1</v>
      </c>
      <c r="K20" s="576">
        <f>I20+J20</f>
        <v>46082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46120</v>
      </c>
      <c r="U20" s="539">
        <f>J48</f>
        <v>8</v>
      </c>
      <c r="V20" s="538">
        <f>K48</f>
        <v>46128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46125</v>
      </c>
      <c r="U21" s="539">
        <f>J52</f>
        <v>11</v>
      </c>
      <c r="V21" s="538">
        <f>K52</f>
        <v>46136</v>
      </c>
    </row>
    <row r="22" spans="2:28" s="28" customFormat="1">
      <c r="B22" s="155">
        <v>3</v>
      </c>
      <c r="C22" s="156" t="s">
        <v>190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46050</v>
      </c>
      <c r="J22" s="572">
        <f>K22-I22</f>
        <v>61</v>
      </c>
      <c r="K22" s="571">
        <f>MAX(K23:K31)</f>
        <v>46111</v>
      </c>
      <c r="L22" s="574"/>
      <c r="M22" s="575">
        <f>(J23*M23+J24*M24+J25*M25+J27*M27+J30*M30)/SUM(J23:J30)</f>
        <v>0</v>
      </c>
      <c r="N22" s="575">
        <f ca="1">(J23*N23+J24*N24+J25*N25+J27*N27+J30*N30)/SUM(J23:J30)</f>
        <v>7.389162561576354E-2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191</v>
      </c>
      <c r="C23" s="158" t="s">
        <v>192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46081</v>
      </c>
      <c r="J23" s="577">
        <v>1</v>
      </c>
      <c r="K23" s="576">
        <f>WORKDAY.INTL(I23,J23,1,Data!$C$3:$C$60)</f>
        <v>46083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193</v>
      </c>
      <c r="C24" s="158" t="s">
        <v>194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46083</v>
      </c>
      <c r="J24" s="577">
        <v>1</v>
      </c>
      <c r="K24" s="576">
        <f>WORKDAY.INTL(I24,J24,1,Data!$C$3:$C$60)</f>
        <v>46084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195</v>
      </c>
      <c r="C25" s="158" t="s">
        <v>196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46050</v>
      </c>
      <c r="J25" s="577">
        <v>30</v>
      </c>
      <c r="K25" s="576">
        <f>WORKDAY.INTL(I25,J25,1,Data!$C$3:$C$60)</f>
        <v>46092</v>
      </c>
      <c r="L25" s="77"/>
      <c r="M25" s="579">
        <v>0</v>
      </c>
      <c r="N25" s="579">
        <f t="shared" ca="1" si="1"/>
        <v>0.14285714285714285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197</v>
      </c>
      <c r="C26" s="158" t="s">
        <v>434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46083</v>
      </c>
      <c r="J26" s="577">
        <v>1</v>
      </c>
      <c r="K26" s="576">
        <f>K23</f>
        <v>46083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198</v>
      </c>
      <c r="C27" s="158" t="s">
        <v>440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46092</v>
      </c>
      <c r="J27" s="577">
        <v>10</v>
      </c>
      <c r="K27" s="576">
        <f>WORKDAY.INTL(I27,J27,1,Data!$C$3:$C$60)</f>
        <v>46106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435</v>
      </c>
      <c r="C28" s="158" t="s">
        <v>437</v>
      </c>
      <c r="D28" s="126"/>
      <c r="E28" s="576"/>
      <c r="F28" s="577"/>
      <c r="G28" s="576"/>
      <c r="H28" s="578"/>
      <c r="I28" s="576">
        <f>WORKDAY.INTL(K27,0,1,Data!$C$3:$C$60)</f>
        <v>46106</v>
      </c>
      <c r="J28" s="577">
        <v>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441</v>
      </c>
      <c r="C29" s="158" t="s">
        <v>438</v>
      </c>
      <c r="D29" s="126"/>
      <c r="E29" s="576"/>
      <c r="F29" s="577"/>
      <c r="G29" s="576"/>
      <c r="H29" s="578"/>
      <c r="I29" s="576">
        <f>K25</f>
        <v>46092</v>
      </c>
      <c r="J29" s="577">
        <v>12</v>
      </c>
      <c r="K29" s="576">
        <f>WORKDAY.INTL(I29,J29,1,Data!$C$3:$C$60)</f>
        <v>46108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442</v>
      </c>
      <c r="C30" s="158" t="s">
        <v>439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46108</v>
      </c>
      <c r="J30" s="577">
        <v>1</v>
      </c>
      <c r="K30" s="576">
        <f>WORKDAY.INTL(I30,J30,1,Data!$C$3:$C$60)</f>
        <v>46111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199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46057</v>
      </c>
      <c r="J32" s="572">
        <f>K32-I32</f>
        <v>48</v>
      </c>
      <c r="K32" s="571">
        <f>MAX(K34:K38)</f>
        <v>46105</v>
      </c>
      <c r="L32" s="574"/>
      <c r="M32" s="575">
        <f>(J34*M34+J35*M35+J37*M37)/SUM(J34:J37)</f>
        <v>0</v>
      </c>
      <c r="N32" s="575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200</v>
      </c>
      <c r="C34" s="158" t="s">
        <v>201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46081</v>
      </c>
      <c r="J34" s="577">
        <v>1</v>
      </c>
      <c r="K34" s="576">
        <f>WORKDAY.INTL(I34,J34,1,Data!$C$3:$C$60)</f>
        <v>46083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202</v>
      </c>
      <c r="C35" s="158" t="s">
        <v>203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46083</v>
      </c>
      <c r="J35" s="577">
        <v>3</v>
      </c>
      <c r="K35" s="576">
        <f>WORKDAY.INTL(I35,J35,1,Data!$C$3:$C$60)</f>
        <v>46086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204</v>
      </c>
      <c r="C36" s="158" t="s">
        <v>205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v>46057</v>
      </c>
      <c r="J36" s="577">
        <v>1</v>
      </c>
      <c r="K36" s="576">
        <f>WORKDAY.INTL(I36,J36,1,Data!$C$3:$C$60)</f>
        <v>46058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206</v>
      </c>
      <c r="C37" s="154" t="s">
        <v>207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46096</v>
      </c>
      <c r="J37" s="577">
        <v>7</v>
      </c>
      <c r="K37" s="582">
        <f>WORKDAY.INTL(I37,J37,1,Data!$C$3:$C$60)</f>
        <v>46105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208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46081</v>
      </c>
      <c r="J39" s="572">
        <f>K39-I39</f>
        <v>18</v>
      </c>
      <c r="K39" s="571">
        <f>MAX(K40:K42)</f>
        <v>46099</v>
      </c>
      <c r="L39" s="574"/>
      <c r="M39" s="575">
        <f>(J40*M40+J41*M41)/SUM(J40:J41)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209</v>
      </c>
      <c r="C40" s="158" t="s">
        <v>210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46081</v>
      </c>
      <c r="J40" s="577">
        <v>1</v>
      </c>
      <c r="K40" s="576">
        <f>WORKDAY.INTL(I40,J40,1,Data!$C$3:$C$60)</f>
        <v>46083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211</v>
      </c>
      <c r="C41" s="158" t="s">
        <v>212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46086</v>
      </c>
      <c r="J41" s="577">
        <v>9</v>
      </c>
      <c r="K41" s="576">
        <f>WORKDAY.INTL(I41,J41,1,Data!$C$3:$C$60)</f>
        <v>46099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213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46111</v>
      </c>
      <c r="J43" s="572">
        <f>K43-I43</f>
        <v>16</v>
      </c>
      <c r="K43" s="571">
        <f>MAX(K44:K47)</f>
        <v>46127</v>
      </c>
      <c r="L43" s="574"/>
      <c r="M43" s="575">
        <f>(J44*M44+J45*M45+J46*M46)/SUM(J44:J46)</f>
        <v>0</v>
      </c>
      <c r="N43" s="575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214</v>
      </c>
      <c r="C44" s="154" t="s">
        <v>436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46111</v>
      </c>
      <c r="J44" s="577">
        <v>1</v>
      </c>
      <c r="K44" s="582">
        <f>WORKDAY.INTL(I44,J44,1,Data!$C$3:$C$60)</f>
        <v>46112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215</v>
      </c>
      <c r="C45" s="154" t="s">
        <v>443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46119</v>
      </c>
      <c r="J45" s="577">
        <v>1</v>
      </c>
      <c r="K45" s="582">
        <f>WORKDAY.INTL(I45,J45,1,Data!$C$3:$C$60)</f>
        <v>46120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216</v>
      </c>
      <c r="C46" s="154" t="s">
        <v>217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46120</v>
      </c>
      <c r="J46" s="577">
        <v>5</v>
      </c>
      <c r="K46" s="582">
        <f>WORKDAY.INTL(I46,J46,1,Data!$C$3:$C$60)</f>
        <v>46127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218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46120</v>
      </c>
      <c r="J48" s="572">
        <f>K48-I48</f>
        <v>8</v>
      </c>
      <c r="K48" s="571">
        <f>MAX(K49:K51)</f>
        <v>46128</v>
      </c>
      <c r="L48" s="574"/>
      <c r="M48" s="575">
        <f>(J49*M49+J50*M50)/SUM(J49:J50)</f>
        <v>0</v>
      </c>
      <c r="N48" s="575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219</v>
      </c>
      <c r="C49" s="154" t="s">
        <v>220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46120</v>
      </c>
      <c r="J49" s="577">
        <v>3</v>
      </c>
      <c r="K49" s="582">
        <f>WORKDAY.INTL(I49,J49,1,Data!$C$3:$C$60)</f>
        <v>46125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221</v>
      </c>
      <c r="C50" s="154" t="s">
        <v>222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46125</v>
      </c>
      <c r="J50" s="577">
        <v>3</v>
      </c>
      <c r="K50" s="582">
        <f>WORKDAY.INTL(I50,J50,1,Data!$C$3:$C$60)</f>
        <v>46128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223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46125</v>
      </c>
      <c r="J52" s="572">
        <f>K52-I52</f>
        <v>11</v>
      </c>
      <c r="K52" s="571">
        <f>MAX(K53:K55)</f>
        <v>46136</v>
      </c>
      <c r="L52" s="574"/>
      <c r="M52" s="575">
        <f>(J53*M53+J54*M54+J55*M55)/SUM(J53:J55)</f>
        <v>0</v>
      </c>
      <c r="N52" s="575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224</v>
      </c>
      <c r="C53" s="154" t="s">
        <v>225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46125</v>
      </c>
      <c r="J53" s="577">
        <v>4</v>
      </c>
      <c r="K53" s="582">
        <f>WORKDAY.INTL(I53,J53,1,Data!$C$3:$C$60)</f>
        <v>46129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226</v>
      </c>
      <c r="C54" s="154" t="s">
        <v>227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46129</v>
      </c>
      <c r="J54" s="577">
        <v>1</v>
      </c>
      <c r="K54" s="582">
        <f>WORKDAY.INTL(I54,J54,1,Data!$C$3:$C$60)</f>
        <v>46132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228</v>
      </c>
      <c r="C55" s="154" t="s">
        <v>229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46129</v>
      </c>
      <c r="J55" s="577">
        <v>5</v>
      </c>
      <c r="K55" s="582">
        <f>WORKDAY.INTL(I55,J55,1,Data!$C$3:$C$60)</f>
        <v>46136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12:N17 M23:N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opLeftCell="A3" zoomScale="93" zoomScaleNormal="130" workbookViewId="0">
      <selection activeCell="E16" sqref="E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444</v>
      </c>
      <c r="H5" s="636" t="s">
        <v>445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57" t="s">
        <v>139</v>
      </c>
      <c r="D13" s="658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46062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57" t="s">
        <v>140</v>
      </c>
      <c r="D14" s="658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46088</v>
      </c>
      <c r="R14" s="280"/>
      <c r="S14" s="53"/>
    </row>
    <row r="15" spans="1:41" s="24" customFormat="1" ht="12.5">
      <c r="B15" s="589">
        <v>3</v>
      </c>
      <c r="C15" s="657" t="s">
        <v>141</v>
      </c>
      <c r="D15" s="658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46090</v>
      </c>
      <c r="R15" s="280"/>
      <c r="S15" s="53"/>
    </row>
    <row r="16" spans="1:41" s="24" customFormat="1" ht="12.5">
      <c r="B16" s="599">
        <v>4</v>
      </c>
      <c r="C16" s="659" t="s">
        <v>429</v>
      </c>
      <c r="D16" s="660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46090</v>
      </c>
      <c r="R16" s="280"/>
      <c r="S16" s="53"/>
    </row>
    <row r="17" spans="2:19" s="24" customFormat="1" ht="12.5">
      <c r="B17" s="589">
        <v>5</v>
      </c>
      <c r="C17" s="659" t="s">
        <v>430</v>
      </c>
      <c r="D17" s="660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46118</v>
      </c>
      <c r="R17" s="280"/>
      <c r="S17" s="53"/>
    </row>
    <row r="18" spans="2:19" s="24" customFormat="1" ht="12.5">
      <c r="B18" s="599">
        <v>6</v>
      </c>
      <c r="C18" s="659" t="s">
        <v>431</v>
      </c>
      <c r="D18" s="660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46126</v>
      </c>
      <c r="R18" s="280"/>
      <c r="S18" s="53"/>
    </row>
    <row r="19" spans="2:19" s="24" customFormat="1" ht="12.5">
      <c r="B19" s="589">
        <v>7</v>
      </c>
      <c r="C19" s="659" t="s">
        <v>432</v>
      </c>
      <c r="D19" s="660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46143</v>
      </c>
      <c r="R19" s="280"/>
      <c r="S19" s="53"/>
    </row>
    <row r="20" spans="2:19" s="24" customFormat="1" ht="12.5">
      <c r="B20" s="599">
        <v>8</v>
      </c>
      <c r="C20" s="659" t="s">
        <v>433</v>
      </c>
      <c r="D20" s="66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2.5">
      <c r="B21" s="589">
        <v>9</v>
      </c>
      <c r="C21" s="659" t="s">
        <v>143</v>
      </c>
      <c r="D21" s="66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59" t="s">
        <v>143</v>
      </c>
      <c r="D22" s="66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59" t="s">
        <v>143</v>
      </c>
      <c r="D23" s="66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57" t="s">
        <v>143</v>
      </c>
      <c r="D24" s="65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:XFD13 A14:B14 G14 A15 F15:G15 O13 A16 A17 F16:G16 F17:G17 I16:O16 I17:O17 Q16:XFD16 Q17:XFD17 Q14:XFD14 Q15:XFD15 I14:K14 I15:O15 O14 A2:S3 X2:XFD3 A23:A24 C23:XFD2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231</v>
      </c>
      <c r="K4" s="26"/>
      <c r="L4" s="26"/>
    </row>
    <row r="5" spans="1:12" ht="14.5" thickBot="1">
      <c r="A5" s="126"/>
      <c r="B5" s="669" t="s">
        <v>232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233</v>
      </c>
      <c r="G7" s="139"/>
      <c r="H7" s="138" t="s">
        <v>234</v>
      </c>
      <c r="I7" s="139"/>
      <c r="J7" s="138" t="s">
        <v>235</v>
      </c>
      <c r="K7" s="84"/>
      <c r="L7" s="29" t="s">
        <v>236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I1" zoomScale="76" zoomScaleNormal="85" workbookViewId="0">
      <pane ySplit="4" topLeftCell="A5" activePane="bottomLeft" state="frozen"/>
      <selection activeCell="X33" sqref="X33"/>
      <selection pane="bottomLeft" activeCell="N70" sqref="N70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238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239</v>
      </c>
      <c r="M2" s="673"/>
      <c r="N2" s="673"/>
      <c r="O2" s="673"/>
      <c r="P2" s="673"/>
      <c r="Q2" s="673"/>
      <c r="R2" s="680" t="s">
        <v>240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241</v>
      </c>
      <c r="C4" s="164" t="s">
        <v>242</v>
      </c>
      <c r="D4" s="164" t="s">
        <v>243</v>
      </c>
      <c r="E4" s="164" t="s">
        <v>244</v>
      </c>
      <c r="F4" s="363" t="s">
        <v>245</v>
      </c>
      <c r="G4" s="165" t="s">
        <v>246</v>
      </c>
      <c r="H4" s="273" t="s">
        <v>247</v>
      </c>
      <c r="I4" s="166" t="s">
        <v>248</v>
      </c>
      <c r="J4" s="166" t="str">
        <f>IF(J2-'Revenue Tracking'!D4&gt;=0, "Total Revenue", "ERROR on REV" )</f>
        <v>Total Revenue</v>
      </c>
      <c r="K4" s="77"/>
      <c r="L4" s="163" t="s">
        <v>241</v>
      </c>
      <c r="M4" s="164" t="s">
        <v>249</v>
      </c>
      <c r="N4" s="164" t="s">
        <v>243</v>
      </c>
      <c r="O4" s="164" t="s">
        <v>244</v>
      </c>
      <c r="P4" s="363" t="s">
        <v>245</v>
      </c>
      <c r="Q4" s="274" t="s">
        <v>250</v>
      </c>
      <c r="R4" s="496" t="s">
        <v>251</v>
      </c>
      <c r="S4" s="497" t="s">
        <v>135</v>
      </c>
      <c r="T4" s="521" t="s">
        <v>136</v>
      </c>
      <c r="U4" s="522" t="s">
        <v>252</v>
      </c>
      <c r="V4" s="274" t="s">
        <v>253</v>
      </c>
      <c r="W4" s="521" t="s">
        <v>254</v>
      </c>
      <c r="X4" s="166" t="s">
        <v>248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255</v>
      </c>
      <c r="D6" s="186" t="s">
        <v>256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257</v>
      </c>
      <c r="N6" s="186" t="s">
        <v>417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46081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46141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258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257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257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257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257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257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259</v>
      </c>
      <c r="Z11" s="486" t="s">
        <v>260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261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399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262</v>
      </c>
      <c r="N14" s="309" t="s">
        <v>418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v>46081</v>
      </c>
      <c r="U14" s="401">
        <f t="shared" si="2"/>
        <v>203998.44813996466</v>
      </c>
      <c r="V14" s="693"/>
      <c r="W14" s="458">
        <f>T14+30</f>
        <v>46111</v>
      </c>
      <c r="X14" s="684"/>
      <c r="Y14" s="608" t="s">
        <v>264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262</v>
      </c>
      <c r="N15" s="309" t="s">
        <v>406</v>
      </c>
      <c r="O15" s="438"/>
      <c r="P15" s="351"/>
      <c r="Q15" s="375">
        <v>3900</v>
      </c>
      <c r="R15" s="474"/>
      <c r="S15" s="505"/>
      <c r="T15" s="416">
        <f t="shared" si="1"/>
        <v>46112</v>
      </c>
      <c r="U15" s="401">
        <f t="shared" si="2"/>
        <v>3850.7039724401634</v>
      </c>
      <c r="V15" s="693"/>
      <c r="W15" s="458">
        <f>W14</f>
        <v>46111</v>
      </c>
      <c r="X15" s="684"/>
      <c r="Y15" s="608" t="s">
        <v>265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262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266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262</v>
      </c>
      <c r="N17" s="309" t="s">
        <v>428</v>
      </c>
      <c r="O17" s="438"/>
      <c r="P17" s="351"/>
      <c r="Q17" s="375">
        <v>41640.600000000006</v>
      </c>
      <c r="R17" s="474"/>
      <c r="S17" s="505"/>
      <c r="T17" s="416">
        <f t="shared" si="1"/>
        <v>46112</v>
      </c>
      <c r="U17" s="401">
        <f t="shared" si="2"/>
        <v>41114.262521741504</v>
      </c>
      <c r="V17" s="693"/>
      <c r="W17" s="458">
        <f>W15</f>
        <v>46111</v>
      </c>
      <c r="X17" s="684"/>
      <c r="Y17" s="608" t="s">
        <v>267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262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268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269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270</v>
      </c>
      <c r="Z20" s="487">
        <v>0</v>
      </c>
      <c r="AA20" s="526"/>
    </row>
    <row r="21" spans="1:27" ht="14.25" customHeight="1">
      <c r="B21" s="185">
        <v>3</v>
      </c>
      <c r="C21" s="213" t="s">
        <v>271</v>
      </c>
      <c r="D21" s="231" t="s">
        <v>272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273</v>
      </c>
      <c r="N21" s="231" t="s">
        <v>274</v>
      </c>
      <c r="O21" s="432"/>
      <c r="P21" s="336"/>
      <c r="Q21" s="188">
        <v>111074</v>
      </c>
      <c r="R21" s="476"/>
      <c r="S21" s="507"/>
      <c r="T21" s="606">
        <v>46081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46111</v>
      </c>
      <c r="X21" s="674">
        <f>SUM(Q21:Q26)</f>
        <v>111074</v>
      </c>
      <c r="Y21" s="608" t="s">
        <v>275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273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273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276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273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277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273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273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278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263</v>
      </c>
      <c r="D28" s="198" t="s">
        <v>279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280</v>
      </c>
      <c r="N28" s="198" t="s">
        <v>281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v>46081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46111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282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280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280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280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283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280</v>
      </c>
      <c r="N32" s="309" t="s">
        <v>284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46081</v>
      </c>
      <c r="U32" s="401">
        <f t="shared" si="4"/>
        <v>13349.333512522921</v>
      </c>
      <c r="V32" s="693"/>
      <c r="W32" s="458">
        <f>W96</f>
        <v>46081</v>
      </c>
      <c r="X32" s="684"/>
      <c r="Y32" s="611" t="s">
        <v>285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280</v>
      </c>
      <c r="N33" s="309" t="s">
        <v>187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46081</v>
      </c>
      <c r="U33" s="401">
        <f t="shared" si="4"/>
        <v>20024.000268784381</v>
      </c>
      <c r="V33" s="693"/>
      <c r="W33" s="458">
        <f t="shared" ref="W33:W39" si="9">W97</f>
        <v>46081</v>
      </c>
      <c r="X33" s="684"/>
      <c r="Y33" s="611" t="s">
        <v>286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280</v>
      </c>
      <c r="N34" s="309" t="s">
        <v>287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46118</v>
      </c>
      <c r="X34" s="684"/>
      <c r="Y34" s="611" t="s">
        <v>420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280</v>
      </c>
      <c r="N35" s="309" t="s">
        <v>288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46112</v>
      </c>
      <c r="U35" s="401">
        <f t="shared" si="4"/>
        <v>33373.333781307301</v>
      </c>
      <c r="V35" s="693"/>
      <c r="W35" s="458">
        <f t="shared" si="9"/>
        <v>46112</v>
      </c>
      <c r="X35" s="684"/>
      <c r="Y35" s="611" t="s">
        <v>270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280</v>
      </c>
      <c r="N36" s="309" t="s">
        <v>289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46142</v>
      </c>
      <c r="U36" s="401">
        <f t="shared" si="4"/>
        <v>13349.333512522921</v>
      </c>
      <c r="V36" s="693"/>
      <c r="W36" s="458">
        <f t="shared" si="9"/>
        <v>46134</v>
      </c>
      <c r="X36" s="684"/>
      <c r="Y36" s="611" t="s">
        <v>275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280</v>
      </c>
      <c r="N37" s="309" t="s">
        <v>290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46142</v>
      </c>
      <c r="U37" s="401">
        <f t="shared" si="4"/>
        <v>13349.333512522921</v>
      </c>
      <c r="V37" s="693"/>
      <c r="W37" s="458">
        <f t="shared" si="9"/>
        <v>46135</v>
      </c>
      <c r="X37" s="684"/>
      <c r="Y37" s="611" t="s">
        <v>275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280</v>
      </c>
      <c r="N38" s="309" t="s">
        <v>291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46142</v>
      </c>
      <c r="U38" s="401">
        <f t="shared" si="4"/>
        <v>6674.6667562614603</v>
      </c>
      <c r="V38" s="693"/>
      <c r="W38" s="458">
        <f t="shared" si="9"/>
        <v>46135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280</v>
      </c>
      <c r="N39" s="309" t="s">
        <v>292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46173</v>
      </c>
      <c r="U39" s="401">
        <f t="shared" si="4"/>
        <v>6674.6667562614603</v>
      </c>
      <c r="V39" s="693"/>
      <c r="W39" s="458">
        <f t="shared" si="9"/>
        <v>46158</v>
      </c>
      <c r="X39" s="684"/>
      <c r="Y39" s="612" t="s">
        <v>277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280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280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280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293</v>
      </c>
      <c r="D44" s="231" t="s">
        <v>294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295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296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295</v>
      </c>
      <c r="N45" s="191" t="s">
        <v>296</v>
      </c>
      <c r="O45" s="440"/>
      <c r="P45" s="350"/>
      <c r="Q45" s="219">
        <v>26000</v>
      </c>
      <c r="R45" s="517"/>
      <c r="S45" s="500"/>
      <c r="T45" s="411">
        <f t="shared" si="1"/>
        <v>46081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297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295</v>
      </c>
      <c r="N46" s="217" t="s">
        <v>297</v>
      </c>
      <c r="O46" s="433"/>
      <c r="P46" s="357"/>
      <c r="Q46" s="219">
        <v>15000</v>
      </c>
      <c r="R46" s="469"/>
      <c r="S46" s="500"/>
      <c r="T46" s="411">
        <f t="shared" si="1"/>
        <v>46081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403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295</v>
      </c>
      <c r="N47" s="217" t="s">
        <v>419</v>
      </c>
      <c r="O47" s="433"/>
      <c r="P47" s="357"/>
      <c r="Q47" s="219">
        <v>90000</v>
      </c>
      <c r="R47" s="469"/>
      <c r="S47" s="500"/>
      <c r="T47" s="411">
        <v>46081</v>
      </c>
      <c r="U47" s="396">
        <f t="shared" si="10"/>
        <v>122420.26266416509</v>
      </c>
      <c r="V47" s="690"/>
      <c r="W47" s="453">
        <f>T47+30</f>
        <v>46111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295</v>
      </c>
      <c r="N48" s="288" t="s">
        <v>406</v>
      </c>
      <c r="O48" s="434"/>
      <c r="P48" s="343"/>
      <c r="Q48" s="287">
        <v>25000</v>
      </c>
      <c r="R48" s="470"/>
      <c r="S48" s="501"/>
      <c r="T48" s="411">
        <v>46081</v>
      </c>
      <c r="U48" s="396">
        <f t="shared" si="10"/>
        <v>34005.628517823643</v>
      </c>
      <c r="V48" s="690"/>
      <c r="W48" s="453">
        <f>T48+30</f>
        <v>46111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295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295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261</v>
      </c>
      <c r="D52" s="199" t="s">
        <v>298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299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299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v>46081</v>
      </c>
      <c r="U53" s="401">
        <f t="shared" si="11"/>
        <v>245363.71162621913</v>
      </c>
      <c r="V53" s="693"/>
      <c r="W53" s="458">
        <f>T53+30</f>
        <v>46111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299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299</v>
      </c>
      <c r="N55" s="342" t="s">
        <v>425</v>
      </c>
      <c r="O55" s="438"/>
      <c r="P55" s="351"/>
      <c r="Q55" s="225">
        <v>40000</v>
      </c>
      <c r="R55" s="474"/>
      <c r="S55" s="505"/>
      <c r="T55" s="416">
        <f>T53</f>
        <v>46081</v>
      </c>
      <c r="U55" s="401">
        <f t="shared" si="11"/>
        <v>51430.321102146496</v>
      </c>
      <c r="V55" s="693"/>
      <c r="W55" s="458">
        <f>W53</f>
        <v>46111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299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299</v>
      </c>
      <c r="N58" s="309" t="s">
        <v>284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46081</v>
      </c>
      <c r="U58" s="401">
        <f t="shared" si="11"/>
        <v>20734.831615816678</v>
      </c>
      <c r="V58" s="693"/>
      <c r="W58" s="458">
        <f>W96</f>
        <v>46081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299</v>
      </c>
      <c r="N59" s="309" t="s">
        <v>187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46081</v>
      </c>
      <c r="U59" s="401">
        <f t="shared" si="11"/>
        <v>31102.247423725014</v>
      </c>
      <c r="V59" s="693"/>
      <c r="W59" s="458">
        <f t="shared" ref="W59:W65" si="13">W97</f>
        <v>46081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299</v>
      </c>
      <c r="N60" s="309" t="s">
        <v>287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46118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299</v>
      </c>
      <c r="N61" s="309" t="s">
        <v>288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46112</v>
      </c>
      <c r="U61" s="401">
        <f t="shared" si="11"/>
        <v>51837.079039541684</v>
      </c>
      <c r="V61" s="693"/>
      <c r="W61" s="458">
        <f t="shared" si="13"/>
        <v>46112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299</v>
      </c>
      <c r="N62" s="309" t="s">
        <v>289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46142</v>
      </c>
      <c r="U62" s="401">
        <f t="shared" si="11"/>
        <v>20734.831615816678</v>
      </c>
      <c r="V62" s="693"/>
      <c r="W62" s="458">
        <f t="shared" si="13"/>
        <v>46134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299</v>
      </c>
      <c r="N63" s="309" t="s">
        <v>290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46142</v>
      </c>
      <c r="U63" s="406">
        <f t="shared" si="11"/>
        <v>20734.831615816678</v>
      </c>
      <c r="V63" s="693"/>
      <c r="W63" s="458">
        <f t="shared" si="13"/>
        <v>46135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299</v>
      </c>
      <c r="N64" s="309" t="s">
        <v>291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46142</v>
      </c>
      <c r="U64" s="406">
        <f t="shared" si="11"/>
        <v>10367.415807908339</v>
      </c>
      <c r="V64" s="693"/>
      <c r="W64" s="458">
        <f t="shared" si="13"/>
        <v>46135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299</v>
      </c>
      <c r="N65" s="309" t="s">
        <v>292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46173</v>
      </c>
      <c r="U65" s="406">
        <f t="shared" si="11"/>
        <v>10367.415807908339</v>
      </c>
      <c r="V65" s="693"/>
      <c r="W65" s="458">
        <f t="shared" si="13"/>
        <v>46158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299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299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300</v>
      </c>
      <c r="D70" s="282" t="s">
        <v>408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301</v>
      </c>
      <c r="N70" s="282" t="s">
        <v>408</v>
      </c>
      <c r="O70" s="360"/>
      <c r="P70" s="366"/>
      <c r="Q70" s="283">
        <f>372400*1.15</f>
        <v>428259.99999999994</v>
      </c>
      <c r="R70" s="480"/>
      <c r="S70" s="511"/>
      <c r="T70" s="421">
        <v>46081</v>
      </c>
      <c r="U70" s="524">
        <f>(Q70/$X$70*$J$70)</f>
        <v>579140.49794104393</v>
      </c>
      <c r="V70" s="695">
        <f>J70-SUM(U70:U77)</f>
        <v>0</v>
      </c>
      <c r="W70" s="463">
        <f>T70+30</f>
        <v>46111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409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301</v>
      </c>
      <c r="N71" s="286" t="s">
        <v>409</v>
      </c>
      <c r="O71" s="307"/>
      <c r="P71" s="343"/>
      <c r="Q71" s="287">
        <f>15820*1.15</f>
        <v>18193</v>
      </c>
      <c r="R71" s="470"/>
      <c r="S71" s="501"/>
      <c r="T71" s="412">
        <v>46081</v>
      </c>
      <c r="U71" s="397">
        <f t="shared" ref="U71:U77" si="14">(Q71/$X$70*$J$70)</f>
        <v>24602.585062909013</v>
      </c>
      <c r="V71" s="696"/>
      <c r="W71" s="454">
        <f>T71+30</f>
        <v>46111</v>
      </c>
      <c r="X71" s="675"/>
    </row>
    <row r="72" spans="1:24" ht="14.25" customHeight="1">
      <c r="B72" s="284">
        <v>7</v>
      </c>
      <c r="C72" s="285"/>
      <c r="D72" s="286" t="s">
        <v>410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301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411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301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412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301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413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301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414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301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301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302</v>
      </c>
      <c r="D79" s="237" t="s">
        <v>400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303</v>
      </c>
      <c r="N79" s="237" t="s">
        <v>400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v>46081</v>
      </c>
      <c r="U79" s="400">
        <f>(Q79/$X$79*$J$79)</f>
        <v>120554.88997555013</v>
      </c>
      <c r="V79" s="713">
        <f>J79-SUM(U79:U93)</f>
        <v>0</v>
      </c>
      <c r="W79" s="457">
        <f>T79-14</f>
        <v>46067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401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303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303</v>
      </c>
      <c r="N81" s="239" t="s">
        <v>423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303</v>
      </c>
      <c r="N82" s="239" t="s">
        <v>424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402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303</v>
      </c>
      <c r="N83" s="239" t="s">
        <v>421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303</v>
      </c>
      <c r="N84" s="239" t="s">
        <v>422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404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303</v>
      </c>
      <c r="N85" s="239" t="s">
        <v>426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303</v>
      </c>
      <c r="N86" s="239" t="s">
        <v>427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405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303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303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406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303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303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407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303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303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303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304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305</v>
      </c>
      <c r="D95" s="231" t="s">
        <v>306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307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308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307</v>
      </c>
      <c r="N96" s="232" t="s">
        <v>284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46081</v>
      </c>
      <c r="U96" s="397">
        <f t="shared" si="20"/>
        <v>37075.555555555555</v>
      </c>
      <c r="V96" s="690"/>
      <c r="W96" s="453">
        <f>'Project Plan'!I20</f>
        <v>46081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307</v>
      </c>
      <c r="N97" s="286" t="s">
        <v>187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46081</v>
      </c>
      <c r="U97" s="397">
        <f t="shared" si="20"/>
        <v>55613.333333333321</v>
      </c>
      <c r="V97" s="690"/>
      <c r="W97" s="454">
        <f>'Project Plan'!I20</f>
        <v>46081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307</v>
      </c>
      <c r="N98" s="286" t="s">
        <v>287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46118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307</v>
      </c>
      <c r="N99" s="286" t="s">
        <v>288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46112</v>
      </c>
      <c r="U99" s="397">
        <f t="shared" si="20"/>
        <v>92688.888888888876</v>
      </c>
      <c r="V99" s="690"/>
      <c r="W99" s="454">
        <f>'Project Plan'!K32+7</f>
        <v>46112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307</v>
      </c>
      <c r="N100" s="286" t="s">
        <v>289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46142</v>
      </c>
      <c r="U100" s="397">
        <f t="shared" si="20"/>
        <v>37075.555555555555</v>
      </c>
      <c r="V100" s="690"/>
      <c r="W100" s="454">
        <f>'Project Plan'!K43+7</f>
        <v>46134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307</v>
      </c>
      <c r="N101" s="286" t="s">
        <v>290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46142</v>
      </c>
      <c r="U101" s="397">
        <f t="shared" si="20"/>
        <v>37075.555555555555</v>
      </c>
      <c r="V101" s="690"/>
      <c r="W101" s="454">
        <f>'Project Plan'!K50+7</f>
        <v>46135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307</v>
      </c>
      <c r="N102" s="286" t="s">
        <v>291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46142</v>
      </c>
      <c r="U102" s="397">
        <f t="shared" si="20"/>
        <v>18537.777777777777</v>
      </c>
      <c r="V102" s="690"/>
      <c r="W102" s="454">
        <f>'Project Plan'!K50+7</f>
        <v>46135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307</v>
      </c>
      <c r="N103" s="286" t="s">
        <v>292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46173</v>
      </c>
      <c r="U103" s="397">
        <f t="shared" si="20"/>
        <v>18537.777777777777</v>
      </c>
      <c r="V103" s="690"/>
      <c r="W103" s="454">
        <f>'Project Plan'!K50+30</f>
        <v>46158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307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307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307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309</v>
      </c>
      <c r="D108" s="174" t="s">
        <v>266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310</v>
      </c>
      <c r="N108" s="174" t="s">
        <v>311</v>
      </c>
      <c r="O108" s="443"/>
      <c r="P108" s="368"/>
      <c r="Q108" s="242">
        <v>24000</v>
      </c>
      <c r="R108" s="482"/>
      <c r="S108" s="512"/>
      <c r="T108" s="423">
        <v>46081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46081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267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310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311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310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268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310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310</v>
      </c>
      <c r="N112" s="245" t="s">
        <v>284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46081</v>
      </c>
      <c r="U112" s="409">
        <f t="shared" si="22"/>
        <v>2579.892968219413</v>
      </c>
      <c r="V112" s="711"/>
      <c r="W112" s="466">
        <f>W96</f>
        <v>46081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310</v>
      </c>
      <c r="N113" s="245" t="s">
        <v>187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46081</v>
      </c>
      <c r="U113" s="409">
        <f t="shared" si="22"/>
        <v>3869.839452329119</v>
      </c>
      <c r="V113" s="711"/>
      <c r="W113" s="466">
        <f t="shared" ref="W113:W119" si="25">W97</f>
        <v>46081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310</v>
      </c>
      <c r="N114" s="245" t="s">
        <v>287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46118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310</v>
      </c>
      <c r="N115" s="245" t="s">
        <v>288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46112</v>
      </c>
      <c r="U115" s="409">
        <f t="shared" si="22"/>
        <v>6449.732420548532</v>
      </c>
      <c r="V115" s="711"/>
      <c r="W115" s="466">
        <f t="shared" si="25"/>
        <v>46112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310</v>
      </c>
      <c r="N116" s="245" t="s">
        <v>289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46142</v>
      </c>
      <c r="U116" s="409">
        <f t="shared" si="22"/>
        <v>2579.892968219413</v>
      </c>
      <c r="V116" s="711"/>
      <c r="W116" s="466">
        <f t="shared" si="25"/>
        <v>46134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310</v>
      </c>
      <c r="N117" s="245" t="s">
        <v>290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46142</v>
      </c>
      <c r="U117" s="409">
        <f t="shared" si="22"/>
        <v>2579.892968219413</v>
      </c>
      <c r="V117" s="711"/>
      <c r="W117" s="466">
        <f t="shared" si="25"/>
        <v>46135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310</v>
      </c>
      <c r="N118" s="245" t="s">
        <v>291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46142</v>
      </c>
      <c r="U118" s="409">
        <f t="shared" si="22"/>
        <v>1289.9464841097065</v>
      </c>
      <c r="V118" s="711"/>
      <c r="W118" s="466">
        <f t="shared" si="25"/>
        <v>46135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310</v>
      </c>
      <c r="N119" s="245" t="s">
        <v>292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46173</v>
      </c>
      <c r="U119" s="409">
        <f t="shared" si="22"/>
        <v>1289.9464841097065</v>
      </c>
      <c r="V119" s="711"/>
      <c r="W119" s="466">
        <f t="shared" si="25"/>
        <v>46158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310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310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310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312</v>
      </c>
      <c r="D124" s="255" t="s">
        <v>313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314</v>
      </c>
      <c r="N124" s="255" t="s">
        <v>313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46141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315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314</v>
      </c>
      <c r="N125" s="217" t="s">
        <v>316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314</v>
      </c>
      <c r="N126" s="217" t="s">
        <v>415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415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314</v>
      </c>
      <c r="N127" s="288" t="s">
        <v>317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416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314</v>
      </c>
      <c r="N128" s="221" t="s">
        <v>416</v>
      </c>
      <c r="O128" s="222"/>
      <c r="P128" s="358"/>
      <c r="Q128" s="234">
        <v>7000</v>
      </c>
      <c r="R128" s="471"/>
      <c r="S128" s="502"/>
      <c r="T128" s="413">
        <f t="shared" si="15"/>
        <v>46081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318</v>
      </c>
      <c r="D130" s="174" t="s">
        <v>319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320</v>
      </c>
      <c r="N130" s="174" t="s">
        <v>319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318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320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321</v>
      </c>
      <c r="D133" s="255" t="s">
        <v>322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323</v>
      </c>
      <c r="N133" s="255" t="s">
        <v>324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323</v>
      </c>
      <c r="N134" s="217" t="s">
        <v>325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323</v>
      </c>
      <c r="N135" s="217" t="s">
        <v>326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323</v>
      </c>
      <c r="N136" s="217" t="s">
        <v>327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323</v>
      </c>
      <c r="N137" s="217" t="s">
        <v>328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323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329</v>
      </c>
      <c r="D140" s="174" t="s">
        <v>330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331</v>
      </c>
      <c r="N140" s="174" t="s">
        <v>332</v>
      </c>
      <c r="O140" s="443"/>
      <c r="P140" s="527"/>
      <c r="Q140" s="532">
        <f>$G$140/4</f>
        <v>1400</v>
      </c>
      <c r="R140" s="529"/>
      <c r="S140" s="518"/>
      <c r="T140" s="423">
        <v>46053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46060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331</v>
      </c>
      <c r="N141" s="245" t="s">
        <v>332</v>
      </c>
      <c r="O141" s="444"/>
      <c r="P141" s="528"/>
      <c r="Q141" s="531">
        <f>$G$140/4</f>
        <v>1400</v>
      </c>
      <c r="R141" s="530"/>
      <c r="S141" s="518"/>
      <c r="T141" s="425">
        <v>46081</v>
      </c>
      <c r="U141" s="409">
        <f t="shared" si="28"/>
        <v>1555.5555555555557</v>
      </c>
      <c r="V141" s="711"/>
      <c r="W141" s="466">
        <f>T141+7</f>
        <v>46088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331</v>
      </c>
      <c r="N142" s="245" t="s">
        <v>332</v>
      </c>
      <c r="O142" s="444"/>
      <c r="P142" s="369"/>
      <c r="Q142" s="247">
        <f>$G$140/4</f>
        <v>1400</v>
      </c>
      <c r="R142" s="484"/>
      <c r="S142" s="518"/>
      <c r="T142" s="425">
        <v>46112</v>
      </c>
      <c r="U142" s="409">
        <f t="shared" si="28"/>
        <v>1555.5555555555557</v>
      </c>
      <c r="V142" s="711"/>
      <c r="W142" s="466">
        <f>T142+7</f>
        <v>46119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331</v>
      </c>
      <c r="N143" s="245" t="s">
        <v>332</v>
      </c>
      <c r="O143" s="444"/>
      <c r="P143" s="369"/>
      <c r="Q143" s="247">
        <f>$G$140/4</f>
        <v>1400</v>
      </c>
      <c r="R143" s="484"/>
      <c r="S143" s="512"/>
      <c r="T143" s="425">
        <v>46142</v>
      </c>
      <c r="U143" s="409">
        <f t="shared" si="28"/>
        <v>1555.5555555555557</v>
      </c>
      <c r="V143" s="711"/>
      <c r="W143" s="466">
        <f>T143+7</f>
        <v>46149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331</v>
      </c>
      <c r="N144" s="245" t="s">
        <v>332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331</v>
      </c>
      <c r="N145" s="245" t="s">
        <v>332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331</v>
      </c>
      <c r="N146" s="245" t="s">
        <v>332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331</v>
      </c>
      <c r="N147" s="245" t="s">
        <v>332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331</v>
      </c>
      <c r="N148" s="245" t="s">
        <v>332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331</v>
      </c>
      <c r="N149" s="245" t="s">
        <v>332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331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331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333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334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334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334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334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334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334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334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334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334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334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334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334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335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336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337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282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298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338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339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340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341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342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343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344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345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346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347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348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349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350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351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352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353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354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341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355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356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357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358</v>
      </c>
      <c r="B2" s="103"/>
      <c r="C2" s="104" t="s">
        <v>253</v>
      </c>
      <c r="D2" s="104" t="s">
        <v>253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360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253</v>
      </c>
      <c r="D8" s="104" t="s">
        <v>253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362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1647842.7428508946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823921.37142544729</v>
      </c>
      <c r="N9" s="122">
        <f>SUMIFS('Revenue Tracking'!$F$13:$F$24, 'Revenue Tracking'!$P$13:$P$24, "&gt;="&amp;N1,'Revenue Tracking'!$P$13:$P$24, "&lt;"&amp;O1)</f>
        <v>617941.02856908552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1647842.7428508946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2471764.1142763421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364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1400</v>
      </c>
      <c r="J11" s="125">
        <f>SUMIFS('Expenditure Breakdown'!$Q$6:$Q$172, 'Expenditure Breakdown'!$W$6:$W$172, "&gt;="&amp;J1,'Expenditure Breakdown'!$W$6:$W$172, "&lt;"&amp;K1)</f>
        <v>82500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230412.41263285038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1604417.0483469407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158412.41263285035</v>
      </c>
      <c r="U11" s="125">
        <f>SUMIFS('Expenditure Breakdown'!$Q$6:$Q$172, 'Expenditure Breakdown'!$W$6:$W$172, "&gt;="&amp;U1,'Expenditure Breakdown'!$W$6:$W$172, "&lt;"&amp;V1)</f>
        <v>999577.50000000012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1400</v>
      </c>
      <c r="J12" s="125">
        <f t="shared" si="26"/>
        <v>83900</v>
      </c>
      <c r="K12" s="125">
        <f t="shared" si="26"/>
        <v>83900</v>
      </c>
      <c r="L12" s="125">
        <f t="shared" si="26"/>
        <v>314312.41263285035</v>
      </c>
      <c r="M12" s="125">
        <f t="shared" si="26"/>
        <v>315712.41263285035</v>
      </c>
      <c r="N12" s="125">
        <f t="shared" si="26"/>
        <v>315712.41263285035</v>
      </c>
      <c r="O12" s="125">
        <f t="shared" si="26"/>
        <v>376712.41263285035</v>
      </c>
      <c r="P12" s="125">
        <f t="shared" si="26"/>
        <v>376712.41263285035</v>
      </c>
      <c r="Q12" s="125">
        <f t="shared" si="26"/>
        <v>1981129.4609797909</v>
      </c>
      <c r="R12" s="125">
        <f t="shared" si="26"/>
        <v>2109259.3910860713</v>
      </c>
      <c r="S12" s="125">
        <f t="shared" si="26"/>
        <v>2109259.3910860713</v>
      </c>
      <c r="T12" s="125">
        <f t="shared" si="26"/>
        <v>2267671.8037189217</v>
      </c>
      <c r="U12" s="125">
        <f t="shared" si="26"/>
        <v>3267249.3037189217</v>
      </c>
      <c r="V12" s="125">
        <f t="shared" si="26"/>
        <v>3268649.3037189217</v>
      </c>
      <c r="W12" s="125">
        <f t="shared" si="26"/>
        <v>3300331.7862454918</v>
      </c>
      <c r="X12" s="125">
        <f t="shared" si="26"/>
        <v>3300331.7862454918</v>
      </c>
      <c r="Y12" s="125">
        <f t="shared" si="26"/>
        <v>3300331.7862454918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-1400</v>
      </c>
      <c r="J14" s="118">
        <f t="shared" si="32"/>
        <v>1563942.7428508946</v>
      </c>
      <c r="K14" s="118">
        <f t="shared" si="32"/>
        <v>1563942.7428508946</v>
      </c>
      <c r="L14" s="118">
        <f t="shared" si="32"/>
        <v>1333530.3302180441</v>
      </c>
      <c r="M14" s="118">
        <f t="shared" si="32"/>
        <v>2156051.7016434916</v>
      </c>
      <c r="N14" s="118">
        <f t="shared" si="32"/>
        <v>2773992.7302125772</v>
      </c>
      <c r="O14" s="118">
        <f t="shared" si="32"/>
        <v>2712992.7302125772</v>
      </c>
      <c r="P14" s="118">
        <f t="shared" si="32"/>
        <v>2712992.7302125772</v>
      </c>
      <c r="Q14" s="118">
        <f t="shared" si="32"/>
        <v>1108575.6818656367</v>
      </c>
      <c r="R14" s="118">
        <f t="shared" si="32"/>
        <v>2628288.4946102505</v>
      </c>
      <c r="S14" s="118">
        <f t="shared" si="32"/>
        <v>2731278.6660384317</v>
      </c>
      <c r="T14" s="118">
        <f t="shared" si="32"/>
        <v>2572866.2534055812</v>
      </c>
      <c r="U14" s="118">
        <f t="shared" si="32"/>
        <v>1882259.267690124</v>
      </c>
      <c r="V14" s="118">
        <f t="shared" si="32"/>
        <v>1880859.267690124</v>
      </c>
      <c r="W14" s="118">
        <f t="shared" si="32"/>
        <v>1849176.7851635539</v>
      </c>
      <c r="X14" s="118">
        <f t="shared" si="32"/>
        <v>1849176.7851635539</v>
      </c>
      <c r="Y14" s="118">
        <f t="shared" si="32"/>
        <v>1849176.7851635539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253</v>
      </c>
      <c r="D16" s="104" t="s">
        <v>253</v>
      </c>
    </row>
    <row r="17" spans="1:292">
      <c r="A17" s="726"/>
      <c r="B17" s="106" t="s">
        <v>367</v>
      </c>
      <c r="C17" s="275">
        <f>C3-D17</f>
        <v>0</v>
      </c>
      <c r="D17" s="107">
        <f>SUM(F17:KF17)</f>
        <v>4119606.8571272371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1555.5555555555557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3172208.1674000174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556159.15307704546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352814.17426856136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36869.806826057284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368</v>
      </c>
      <c r="C18" s="275">
        <f>D17-D18</f>
        <v>0</v>
      </c>
      <c r="D18" s="107">
        <f>MAX(F18:KF18)</f>
        <v>4119606.8571272371</v>
      </c>
      <c r="E18" s="117"/>
      <c r="F18" s="125">
        <f>F17</f>
        <v>0</v>
      </c>
      <c r="G18" s="125">
        <f>F18+G17</f>
        <v>0</v>
      </c>
      <c r="H18" s="125">
        <f>G18+H17</f>
        <v>1555.5555555555557</v>
      </c>
      <c r="I18" s="125">
        <f t="shared" ref="I18:BT18" si="37">H18+I17</f>
        <v>1555.5555555555557</v>
      </c>
      <c r="J18" s="125">
        <f t="shared" si="37"/>
        <v>1555.5555555555557</v>
      </c>
      <c r="K18" s="125">
        <f t="shared" si="37"/>
        <v>1555.5555555555557</v>
      </c>
      <c r="L18" s="125">
        <f t="shared" si="37"/>
        <v>3173763.7229555729</v>
      </c>
      <c r="M18" s="125">
        <f t="shared" si="37"/>
        <v>3173763.7229555729</v>
      </c>
      <c r="N18" s="125">
        <f t="shared" si="37"/>
        <v>3173763.7229555729</v>
      </c>
      <c r="O18" s="125">
        <f t="shared" si="37"/>
        <v>3173763.7229555729</v>
      </c>
      <c r="P18" s="125">
        <f t="shared" si="37"/>
        <v>3173763.7229555729</v>
      </c>
      <c r="Q18" s="125">
        <f t="shared" si="37"/>
        <v>3729922.8760326183</v>
      </c>
      <c r="R18" s="125">
        <f t="shared" si="37"/>
        <v>3729922.8760326183</v>
      </c>
      <c r="S18" s="125">
        <f t="shared" si="37"/>
        <v>3729922.8760326183</v>
      </c>
      <c r="T18" s="125">
        <f t="shared" si="37"/>
        <v>3729922.8760326183</v>
      </c>
      <c r="U18" s="125">
        <f t="shared" si="37"/>
        <v>4082737.0503011798</v>
      </c>
      <c r="V18" s="125">
        <f t="shared" si="37"/>
        <v>4082737.0503011798</v>
      </c>
      <c r="W18" s="125">
        <f t="shared" si="37"/>
        <v>4082737.0503011798</v>
      </c>
      <c r="X18" s="125">
        <f t="shared" si="37"/>
        <v>4082737.0503011798</v>
      </c>
      <c r="Y18" s="125">
        <f t="shared" si="37"/>
        <v>4119606.8571272371</v>
      </c>
      <c r="Z18" s="125">
        <f t="shared" si="37"/>
        <v>4119606.8571272371</v>
      </c>
      <c r="AA18" s="125">
        <f t="shared" si="37"/>
        <v>4119606.8571272371</v>
      </c>
      <c r="AB18" s="125">
        <f t="shared" si="37"/>
        <v>4119606.8571272371</v>
      </c>
      <c r="AC18" s="125">
        <f t="shared" si="37"/>
        <v>4119606.8571272371</v>
      </c>
      <c r="AD18" s="125">
        <f>AC18+AD17</f>
        <v>4119606.8571272371</v>
      </c>
      <c r="AE18" s="125">
        <f t="shared" si="37"/>
        <v>4119606.8571272371</v>
      </c>
      <c r="AF18" s="125">
        <f t="shared" si="37"/>
        <v>4119606.8571272371</v>
      </c>
      <c r="AG18" s="125">
        <f t="shared" si="37"/>
        <v>4119606.8571272371</v>
      </c>
      <c r="AH18" s="125">
        <f t="shared" si="37"/>
        <v>4119606.8571272371</v>
      </c>
      <c r="AI18" s="125">
        <f t="shared" si="37"/>
        <v>4119606.8571272371</v>
      </c>
      <c r="AJ18" s="125">
        <f t="shared" si="37"/>
        <v>4119606.8571272371</v>
      </c>
      <c r="AK18" s="125">
        <f t="shared" si="37"/>
        <v>4119606.8571272371</v>
      </c>
      <c r="AL18" s="125">
        <f t="shared" si="37"/>
        <v>4119606.8571272371</v>
      </c>
      <c r="AM18" s="125">
        <f t="shared" si="37"/>
        <v>4119606.8571272371</v>
      </c>
      <c r="AN18" s="125">
        <f t="shared" si="37"/>
        <v>4119606.8571272371</v>
      </c>
      <c r="AO18" s="125">
        <f t="shared" si="37"/>
        <v>4119606.8571272371</v>
      </c>
      <c r="AP18" s="125">
        <f t="shared" si="37"/>
        <v>4119606.8571272371</v>
      </c>
      <c r="AQ18" s="125">
        <f t="shared" si="37"/>
        <v>4119606.8571272371</v>
      </c>
      <c r="AR18" s="125">
        <f t="shared" si="37"/>
        <v>4119606.8571272371</v>
      </c>
      <c r="AS18" s="125">
        <f t="shared" si="37"/>
        <v>4119606.8571272371</v>
      </c>
      <c r="AT18" s="125">
        <f t="shared" si="37"/>
        <v>4119606.8571272371</v>
      </c>
      <c r="AU18" s="125">
        <f t="shared" si="37"/>
        <v>4119606.8571272371</v>
      </c>
      <c r="AV18" s="125">
        <f t="shared" si="37"/>
        <v>4119606.8571272371</v>
      </c>
      <c r="AW18" s="125">
        <f t="shared" si="37"/>
        <v>4119606.8571272371</v>
      </c>
      <c r="AX18" s="125">
        <f t="shared" si="37"/>
        <v>4119606.8571272371</v>
      </c>
      <c r="AY18" s="125">
        <f t="shared" si="37"/>
        <v>4119606.8571272371</v>
      </c>
      <c r="AZ18" s="125">
        <f t="shared" si="37"/>
        <v>4119606.8571272371</v>
      </c>
      <c r="BA18" s="125">
        <f t="shared" si="37"/>
        <v>4119606.8571272371</v>
      </c>
      <c r="BB18" s="125">
        <f t="shared" si="37"/>
        <v>4119606.8571272371</v>
      </c>
      <c r="BC18" s="125">
        <f t="shared" si="37"/>
        <v>4119606.8571272371</v>
      </c>
      <c r="BD18" s="125">
        <f t="shared" si="37"/>
        <v>4119606.8571272371</v>
      </c>
      <c r="BE18" s="125">
        <f t="shared" si="37"/>
        <v>4119606.8571272371</v>
      </c>
      <c r="BF18" s="125">
        <f t="shared" si="37"/>
        <v>4119606.8571272371</v>
      </c>
      <c r="BG18" s="125">
        <f t="shared" si="37"/>
        <v>4119606.8571272371</v>
      </c>
      <c r="BH18" s="125">
        <f t="shared" si="37"/>
        <v>4119606.8571272371</v>
      </c>
      <c r="BI18" s="125">
        <f t="shared" si="37"/>
        <v>4119606.8571272371</v>
      </c>
      <c r="BJ18" s="125">
        <f t="shared" si="37"/>
        <v>4119606.8571272371</v>
      </c>
      <c r="BK18" s="125">
        <f t="shared" si="37"/>
        <v>4119606.8571272371</v>
      </c>
      <c r="BL18" s="125">
        <f t="shared" si="37"/>
        <v>4119606.8571272371</v>
      </c>
      <c r="BM18" s="125">
        <f t="shared" si="37"/>
        <v>4119606.8571272371</v>
      </c>
      <c r="BN18" s="125">
        <f t="shared" si="37"/>
        <v>4119606.8571272371</v>
      </c>
      <c r="BO18" s="125">
        <f t="shared" si="37"/>
        <v>4119606.8571272371</v>
      </c>
      <c r="BP18" s="125">
        <f t="shared" si="37"/>
        <v>4119606.8571272371</v>
      </c>
      <c r="BQ18" s="125">
        <f t="shared" si="37"/>
        <v>4119606.8571272371</v>
      </c>
      <c r="BR18" s="125">
        <f t="shared" si="37"/>
        <v>4119606.8571272371</v>
      </c>
      <c r="BS18" s="125">
        <f t="shared" si="37"/>
        <v>4119606.8571272371</v>
      </c>
      <c r="BT18" s="125">
        <f t="shared" si="37"/>
        <v>4119606.8571272371</v>
      </c>
      <c r="BU18" s="125">
        <f t="shared" ref="BU18:EF18" si="38">BT18+BU17</f>
        <v>4119606.8571272371</v>
      </c>
      <c r="BV18" s="125">
        <f t="shared" si="38"/>
        <v>4119606.8571272371</v>
      </c>
      <c r="BW18" s="125">
        <f t="shared" si="38"/>
        <v>4119606.8571272371</v>
      </c>
      <c r="BX18" s="125">
        <f t="shared" si="38"/>
        <v>4119606.8571272371</v>
      </c>
      <c r="BY18" s="125">
        <f t="shared" si="38"/>
        <v>4119606.8571272371</v>
      </c>
      <c r="BZ18" s="125">
        <f t="shared" si="38"/>
        <v>4119606.8571272371</v>
      </c>
      <c r="CA18" s="125">
        <f t="shared" si="38"/>
        <v>4119606.8571272371</v>
      </c>
      <c r="CB18" s="125">
        <f t="shared" si="38"/>
        <v>4119606.8571272371</v>
      </c>
      <c r="CC18" s="125">
        <f t="shared" si="38"/>
        <v>4119606.8571272371</v>
      </c>
      <c r="CD18" s="125">
        <f t="shared" si="38"/>
        <v>4119606.8571272371</v>
      </c>
      <c r="CE18" s="125">
        <f t="shared" si="38"/>
        <v>4119606.8571272371</v>
      </c>
      <c r="CF18" s="125">
        <f t="shared" si="38"/>
        <v>4119606.8571272371</v>
      </c>
      <c r="CG18" s="125">
        <f t="shared" si="38"/>
        <v>4119606.8571272371</v>
      </c>
      <c r="CH18" s="125">
        <f t="shared" si="38"/>
        <v>4119606.8571272371</v>
      </c>
      <c r="CI18" s="125">
        <f t="shared" si="38"/>
        <v>4119606.8571272371</v>
      </c>
      <c r="CJ18" s="125">
        <f t="shared" si="38"/>
        <v>4119606.8571272371</v>
      </c>
      <c r="CK18" s="125">
        <f t="shared" si="38"/>
        <v>4119606.8571272371</v>
      </c>
      <c r="CL18" s="125">
        <f t="shared" si="38"/>
        <v>4119606.8571272371</v>
      </c>
      <c r="CM18" s="125">
        <f t="shared" si="38"/>
        <v>4119606.8571272371</v>
      </c>
      <c r="CN18" s="125">
        <f t="shared" si="38"/>
        <v>4119606.8571272371</v>
      </c>
      <c r="CO18" s="125">
        <f t="shared" si="38"/>
        <v>4119606.8571272371</v>
      </c>
      <c r="CP18" s="125">
        <f t="shared" si="38"/>
        <v>4119606.8571272371</v>
      </c>
      <c r="CQ18" s="125">
        <f t="shared" si="38"/>
        <v>4119606.8571272371</v>
      </c>
      <c r="CR18" s="125">
        <f t="shared" si="38"/>
        <v>4119606.8571272371</v>
      </c>
      <c r="CS18" s="125">
        <f t="shared" si="38"/>
        <v>4119606.8571272371</v>
      </c>
      <c r="CT18" s="125">
        <f t="shared" si="38"/>
        <v>4119606.8571272371</v>
      </c>
      <c r="CU18" s="125">
        <f t="shared" si="38"/>
        <v>4119606.8571272371</v>
      </c>
      <c r="CV18" s="125">
        <f t="shared" si="38"/>
        <v>4119606.8571272371</v>
      </c>
      <c r="CW18" s="125">
        <f t="shared" si="38"/>
        <v>4119606.8571272371</v>
      </c>
      <c r="CX18" s="125">
        <f t="shared" si="38"/>
        <v>4119606.8571272371</v>
      </c>
      <c r="CY18" s="125">
        <f t="shared" si="38"/>
        <v>4119606.8571272371</v>
      </c>
      <c r="CZ18" s="125">
        <f t="shared" si="38"/>
        <v>4119606.8571272371</v>
      </c>
      <c r="DA18" s="125">
        <f t="shared" si="38"/>
        <v>4119606.8571272371</v>
      </c>
      <c r="DB18" s="125">
        <f t="shared" si="38"/>
        <v>4119606.8571272371</v>
      </c>
      <c r="DC18" s="125">
        <f t="shared" si="38"/>
        <v>4119606.8571272371</v>
      </c>
      <c r="DD18" s="125">
        <f t="shared" si="38"/>
        <v>4119606.8571272371</v>
      </c>
      <c r="DE18" s="125">
        <f t="shared" si="38"/>
        <v>4119606.8571272371</v>
      </c>
      <c r="DF18" s="125">
        <f t="shared" si="38"/>
        <v>4119606.8571272371</v>
      </c>
      <c r="DG18" s="125">
        <f t="shared" si="38"/>
        <v>4119606.8571272371</v>
      </c>
      <c r="DH18" s="125">
        <f t="shared" si="38"/>
        <v>4119606.8571272371</v>
      </c>
      <c r="DI18" s="125">
        <f t="shared" si="38"/>
        <v>4119606.8571272371</v>
      </c>
      <c r="DJ18" s="125">
        <f t="shared" si="38"/>
        <v>4119606.8571272371</v>
      </c>
      <c r="DK18" s="125">
        <f t="shared" si="38"/>
        <v>4119606.8571272371</v>
      </c>
      <c r="DL18" s="125">
        <f t="shared" si="38"/>
        <v>4119606.8571272371</v>
      </c>
      <c r="DM18" s="125">
        <f t="shared" si="38"/>
        <v>4119606.8571272371</v>
      </c>
      <c r="DN18" s="125">
        <f t="shared" si="38"/>
        <v>4119606.8571272371</v>
      </c>
      <c r="DO18" s="125">
        <f t="shared" si="38"/>
        <v>4119606.8571272371</v>
      </c>
      <c r="DP18" s="125">
        <f t="shared" si="38"/>
        <v>4119606.8571272371</v>
      </c>
      <c r="DQ18" s="125">
        <f t="shared" si="38"/>
        <v>4119606.8571272371</v>
      </c>
      <c r="DR18" s="125">
        <f t="shared" si="38"/>
        <v>4119606.8571272371</v>
      </c>
      <c r="DS18" s="125">
        <f t="shared" si="38"/>
        <v>4119606.8571272371</v>
      </c>
      <c r="DT18" s="125">
        <f t="shared" si="38"/>
        <v>4119606.8571272371</v>
      </c>
      <c r="DU18" s="125">
        <f t="shared" si="38"/>
        <v>4119606.8571272371</v>
      </c>
      <c r="DV18" s="125">
        <f t="shared" si="38"/>
        <v>4119606.8571272371</v>
      </c>
      <c r="DW18" s="125">
        <f t="shared" si="38"/>
        <v>4119606.8571272371</v>
      </c>
      <c r="DX18" s="125">
        <f t="shared" si="38"/>
        <v>4119606.8571272371</v>
      </c>
      <c r="DY18" s="125">
        <f t="shared" si="38"/>
        <v>4119606.8571272371</v>
      </c>
      <c r="DZ18" s="125">
        <f t="shared" si="38"/>
        <v>4119606.8571272371</v>
      </c>
      <c r="EA18" s="125">
        <f t="shared" si="38"/>
        <v>4119606.8571272371</v>
      </c>
      <c r="EB18" s="125">
        <f t="shared" si="38"/>
        <v>4119606.8571272371</v>
      </c>
      <c r="EC18" s="125">
        <f t="shared" si="38"/>
        <v>4119606.8571272371</v>
      </c>
      <c r="ED18" s="125">
        <f t="shared" si="38"/>
        <v>4119606.8571272371</v>
      </c>
      <c r="EE18" s="125">
        <f t="shared" si="38"/>
        <v>4119606.8571272371</v>
      </c>
      <c r="EF18" s="125">
        <f t="shared" si="38"/>
        <v>4119606.8571272371</v>
      </c>
      <c r="EG18" s="125">
        <f t="shared" ref="EG18:GR18" si="39">EF18+EG17</f>
        <v>4119606.8571272371</v>
      </c>
      <c r="EH18" s="125">
        <f t="shared" si="39"/>
        <v>4119606.8571272371</v>
      </c>
      <c r="EI18" s="125">
        <f t="shared" si="39"/>
        <v>4119606.8571272371</v>
      </c>
      <c r="EJ18" s="125">
        <f t="shared" si="39"/>
        <v>4119606.8571272371</v>
      </c>
      <c r="EK18" s="125">
        <f t="shared" si="39"/>
        <v>4119606.8571272371</v>
      </c>
      <c r="EL18" s="125">
        <f t="shared" si="39"/>
        <v>4119606.8571272371</v>
      </c>
      <c r="EM18" s="125">
        <f t="shared" si="39"/>
        <v>4119606.8571272371</v>
      </c>
      <c r="EN18" s="125">
        <f t="shared" si="39"/>
        <v>4119606.8571272371</v>
      </c>
      <c r="EO18" s="125">
        <f t="shared" si="39"/>
        <v>4119606.8571272371</v>
      </c>
      <c r="EP18" s="125">
        <f t="shared" si="39"/>
        <v>4119606.8571272371</v>
      </c>
      <c r="EQ18" s="125">
        <f t="shared" si="39"/>
        <v>4119606.8571272371</v>
      </c>
      <c r="ER18" s="125">
        <f t="shared" si="39"/>
        <v>4119606.8571272371</v>
      </c>
      <c r="ES18" s="125">
        <f t="shared" si="39"/>
        <v>4119606.8571272371</v>
      </c>
      <c r="ET18" s="125">
        <f t="shared" si="39"/>
        <v>4119606.8571272371</v>
      </c>
      <c r="EU18" s="125">
        <f t="shared" si="39"/>
        <v>4119606.8571272371</v>
      </c>
      <c r="EV18" s="125">
        <f t="shared" si="39"/>
        <v>4119606.8571272371</v>
      </c>
      <c r="EW18" s="125">
        <f t="shared" si="39"/>
        <v>4119606.8571272371</v>
      </c>
      <c r="EX18" s="125">
        <f t="shared" si="39"/>
        <v>4119606.8571272371</v>
      </c>
      <c r="EY18" s="125">
        <f t="shared" si="39"/>
        <v>4119606.8571272371</v>
      </c>
      <c r="EZ18" s="125">
        <f t="shared" si="39"/>
        <v>4119606.8571272371</v>
      </c>
      <c r="FA18" s="125">
        <f t="shared" si="39"/>
        <v>4119606.8571272371</v>
      </c>
      <c r="FB18" s="125">
        <f t="shared" si="39"/>
        <v>4119606.8571272371</v>
      </c>
      <c r="FC18" s="125">
        <f t="shared" si="39"/>
        <v>4119606.8571272371</v>
      </c>
      <c r="FD18" s="125">
        <f t="shared" si="39"/>
        <v>4119606.8571272371</v>
      </c>
      <c r="FE18" s="125">
        <f t="shared" si="39"/>
        <v>4119606.8571272371</v>
      </c>
      <c r="FF18" s="125">
        <f t="shared" si="39"/>
        <v>4119606.8571272371</v>
      </c>
      <c r="FG18" s="125">
        <f t="shared" si="39"/>
        <v>4119606.8571272371</v>
      </c>
      <c r="FH18" s="125">
        <f t="shared" si="39"/>
        <v>4119606.8571272371</v>
      </c>
      <c r="FI18" s="125">
        <f t="shared" si="39"/>
        <v>4119606.8571272371</v>
      </c>
      <c r="FJ18" s="125">
        <f t="shared" si="39"/>
        <v>4119606.8571272371</v>
      </c>
      <c r="FK18" s="125">
        <f t="shared" si="39"/>
        <v>4119606.8571272371</v>
      </c>
      <c r="FL18" s="125">
        <f t="shared" si="39"/>
        <v>4119606.8571272371</v>
      </c>
      <c r="FM18" s="125">
        <f t="shared" si="39"/>
        <v>4119606.8571272371</v>
      </c>
      <c r="FN18" s="125">
        <f t="shared" si="39"/>
        <v>4119606.8571272371</v>
      </c>
      <c r="FO18" s="125">
        <f t="shared" si="39"/>
        <v>4119606.8571272371</v>
      </c>
      <c r="FP18" s="125">
        <f t="shared" si="39"/>
        <v>4119606.8571272371</v>
      </c>
      <c r="FQ18" s="125">
        <f t="shared" si="39"/>
        <v>4119606.8571272371</v>
      </c>
      <c r="FR18" s="125">
        <f t="shared" si="39"/>
        <v>4119606.8571272371</v>
      </c>
      <c r="FS18" s="125">
        <f t="shared" si="39"/>
        <v>4119606.8571272371</v>
      </c>
      <c r="FT18" s="125">
        <f t="shared" si="39"/>
        <v>4119606.8571272371</v>
      </c>
      <c r="FU18" s="125">
        <f t="shared" si="39"/>
        <v>4119606.8571272371</v>
      </c>
      <c r="FV18" s="125">
        <f t="shared" si="39"/>
        <v>4119606.8571272371</v>
      </c>
      <c r="FW18" s="125">
        <f t="shared" si="39"/>
        <v>4119606.8571272371</v>
      </c>
      <c r="FX18" s="125">
        <f t="shared" si="39"/>
        <v>4119606.8571272371</v>
      </c>
      <c r="FY18" s="125">
        <f t="shared" si="39"/>
        <v>4119606.8571272371</v>
      </c>
      <c r="FZ18" s="125">
        <f t="shared" si="39"/>
        <v>4119606.8571272371</v>
      </c>
      <c r="GA18" s="125">
        <f t="shared" si="39"/>
        <v>4119606.8571272371</v>
      </c>
      <c r="GB18" s="125">
        <f t="shared" si="39"/>
        <v>4119606.8571272371</v>
      </c>
      <c r="GC18" s="125">
        <f t="shared" si="39"/>
        <v>4119606.8571272371</v>
      </c>
      <c r="GD18" s="125">
        <f t="shared" si="39"/>
        <v>4119606.8571272371</v>
      </c>
      <c r="GE18" s="125">
        <f t="shared" si="39"/>
        <v>4119606.8571272371</v>
      </c>
      <c r="GF18" s="125">
        <f t="shared" si="39"/>
        <v>4119606.8571272371</v>
      </c>
      <c r="GG18" s="125">
        <f t="shared" si="39"/>
        <v>4119606.8571272371</v>
      </c>
      <c r="GH18" s="125">
        <f t="shared" si="39"/>
        <v>4119606.8571272371</v>
      </c>
      <c r="GI18" s="125">
        <f t="shared" si="39"/>
        <v>4119606.8571272371</v>
      </c>
      <c r="GJ18" s="125">
        <f t="shared" si="39"/>
        <v>4119606.8571272371</v>
      </c>
      <c r="GK18" s="125">
        <f t="shared" si="39"/>
        <v>4119606.8571272371</v>
      </c>
      <c r="GL18" s="125">
        <f t="shared" si="39"/>
        <v>4119606.8571272371</v>
      </c>
      <c r="GM18" s="125">
        <f t="shared" si="39"/>
        <v>4119606.8571272371</v>
      </c>
      <c r="GN18" s="125">
        <f t="shared" si="39"/>
        <v>4119606.8571272371</v>
      </c>
      <c r="GO18" s="125">
        <f t="shared" si="39"/>
        <v>4119606.8571272371</v>
      </c>
      <c r="GP18" s="125">
        <f t="shared" si="39"/>
        <v>4119606.8571272371</v>
      </c>
      <c r="GQ18" s="125">
        <f t="shared" si="39"/>
        <v>4119606.8571272371</v>
      </c>
      <c r="GR18" s="125">
        <f t="shared" si="39"/>
        <v>4119606.8571272371</v>
      </c>
      <c r="GS18" s="125">
        <f t="shared" ref="GS18:JD18" si="40">GR18+GS17</f>
        <v>4119606.8571272371</v>
      </c>
      <c r="GT18" s="125">
        <f t="shared" si="40"/>
        <v>4119606.8571272371</v>
      </c>
      <c r="GU18" s="125">
        <f t="shared" si="40"/>
        <v>4119606.8571272371</v>
      </c>
      <c r="GV18" s="125">
        <f t="shared" si="40"/>
        <v>4119606.8571272371</v>
      </c>
      <c r="GW18" s="125">
        <f t="shared" si="40"/>
        <v>4119606.8571272371</v>
      </c>
      <c r="GX18" s="125">
        <f t="shared" si="40"/>
        <v>4119606.8571272371</v>
      </c>
      <c r="GY18" s="125">
        <f t="shared" si="40"/>
        <v>4119606.8571272371</v>
      </c>
      <c r="GZ18" s="125">
        <f t="shared" si="40"/>
        <v>4119606.8571272371</v>
      </c>
      <c r="HA18" s="125">
        <f t="shared" si="40"/>
        <v>4119606.8571272371</v>
      </c>
      <c r="HB18" s="125">
        <f t="shared" si="40"/>
        <v>4119606.8571272371</v>
      </c>
      <c r="HC18" s="125">
        <f t="shared" si="40"/>
        <v>4119606.8571272371</v>
      </c>
      <c r="HD18" s="125">
        <f t="shared" si="40"/>
        <v>4119606.8571272371</v>
      </c>
      <c r="HE18" s="125">
        <f t="shared" si="40"/>
        <v>4119606.8571272371</v>
      </c>
      <c r="HF18" s="125">
        <f t="shared" si="40"/>
        <v>4119606.8571272371</v>
      </c>
      <c r="HG18" s="125">
        <f t="shared" si="40"/>
        <v>4119606.8571272371</v>
      </c>
      <c r="HH18" s="125">
        <f t="shared" si="40"/>
        <v>4119606.8571272371</v>
      </c>
      <c r="HI18" s="125">
        <f t="shared" si="40"/>
        <v>4119606.8571272371</v>
      </c>
      <c r="HJ18" s="125">
        <f t="shared" si="40"/>
        <v>4119606.8571272371</v>
      </c>
      <c r="HK18" s="125">
        <f t="shared" si="40"/>
        <v>4119606.8571272371</v>
      </c>
      <c r="HL18" s="125">
        <f t="shared" si="40"/>
        <v>4119606.8571272371</v>
      </c>
      <c r="HM18" s="125">
        <f t="shared" si="40"/>
        <v>4119606.8571272371</v>
      </c>
      <c r="HN18" s="125">
        <f t="shared" si="40"/>
        <v>4119606.8571272371</v>
      </c>
      <c r="HO18" s="125">
        <f t="shared" si="40"/>
        <v>4119606.8571272371</v>
      </c>
      <c r="HP18" s="125">
        <f t="shared" si="40"/>
        <v>4119606.8571272371</v>
      </c>
      <c r="HQ18" s="125">
        <f t="shared" si="40"/>
        <v>4119606.8571272371</v>
      </c>
      <c r="HR18" s="125">
        <f t="shared" si="40"/>
        <v>4119606.8571272371</v>
      </c>
      <c r="HS18" s="125">
        <f t="shared" si="40"/>
        <v>4119606.8571272371</v>
      </c>
      <c r="HT18" s="125">
        <f t="shared" si="40"/>
        <v>4119606.8571272371</v>
      </c>
      <c r="HU18" s="125">
        <f t="shared" si="40"/>
        <v>4119606.8571272371</v>
      </c>
      <c r="HV18" s="125">
        <f t="shared" si="40"/>
        <v>4119606.8571272371</v>
      </c>
      <c r="HW18" s="125">
        <f t="shared" si="40"/>
        <v>4119606.8571272371</v>
      </c>
      <c r="HX18" s="125">
        <f t="shared" si="40"/>
        <v>4119606.8571272371</v>
      </c>
      <c r="HY18" s="125">
        <f t="shared" si="40"/>
        <v>4119606.8571272371</v>
      </c>
      <c r="HZ18" s="125">
        <f t="shared" si="40"/>
        <v>4119606.8571272371</v>
      </c>
      <c r="IA18" s="125">
        <f t="shared" si="40"/>
        <v>4119606.8571272371</v>
      </c>
      <c r="IB18" s="125">
        <f t="shared" si="40"/>
        <v>4119606.8571272371</v>
      </c>
      <c r="IC18" s="125">
        <f t="shared" si="40"/>
        <v>4119606.8571272371</v>
      </c>
      <c r="ID18" s="125">
        <f t="shared" si="40"/>
        <v>4119606.8571272371</v>
      </c>
      <c r="IE18" s="125">
        <f t="shared" si="40"/>
        <v>4119606.8571272371</v>
      </c>
      <c r="IF18" s="125">
        <f t="shared" si="40"/>
        <v>4119606.8571272371</v>
      </c>
      <c r="IG18" s="125">
        <f t="shared" si="40"/>
        <v>4119606.8571272371</v>
      </c>
      <c r="IH18" s="125">
        <f t="shared" si="40"/>
        <v>4119606.8571272371</v>
      </c>
      <c r="II18" s="125">
        <f t="shared" si="40"/>
        <v>4119606.8571272371</v>
      </c>
      <c r="IJ18" s="125">
        <f t="shared" si="40"/>
        <v>4119606.8571272371</v>
      </c>
      <c r="IK18" s="125">
        <f t="shared" si="40"/>
        <v>4119606.8571272371</v>
      </c>
      <c r="IL18" s="125">
        <f t="shared" si="40"/>
        <v>4119606.8571272371</v>
      </c>
      <c r="IM18" s="125">
        <f t="shared" si="40"/>
        <v>4119606.8571272371</v>
      </c>
      <c r="IN18" s="125">
        <f t="shared" si="40"/>
        <v>4119606.8571272371</v>
      </c>
      <c r="IO18" s="125">
        <f t="shared" si="40"/>
        <v>4119606.8571272371</v>
      </c>
      <c r="IP18" s="125">
        <f t="shared" si="40"/>
        <v>4119606.8571272371</v>
      </c>
      <c r="IQ18" s="125">
        <f t="shared" si="40"/>
        <v>4119606.8571272371</v>
      </c>
      <c r="IR18" s="125">
        <f t="shared" si="40"/>
        <v>4119606.8571272371</v>
      </c>
      <c r="IS18" s="125">
        <f t="shared" si="40"/>
        <v>4119606.8571272371</v>
      </c>
      <c r="IT18" s="125">
        <f t="shared" si="40"/>
        <v>4119606.8571272371</v>
      </c>
      <c r="IU18" s="125">
        <f t="shared" si="40"/>
        <v>4119606.8571272371</v>
      </c>
      <c r="IV18" s="125">
        <f t="shared" si="40"/>
        <v>4119606.8571272371</v>
      </c>
      <c r="IW18" s="125">
        <f t="shared" si="40"/>
        <v>4119606.8571272371</v>
      </c>
      <c r="IX18" s="125">
        <f t="shared" si="40"/>
        <v>4119606.8571272371</v>
      </c>
      <c r="IY18" s="125">
        <f t="shared" si="40"/>
        <v>4119606.8571272371</v>
      </c>
      <c r="IZ18" s="125">
        <f t="shared" si="40"/>
        <v>4119606.8571272371</v>
      </c>
      <c r="JA18" s="125">
        <f t="shared" si="40"/>
        <v>4119606.8571272371</v>
      </c>
      <c r="JB18" s="125">
        <f t="shared" si="40"/>
        <v>4119606.8571272371</v>
      </c>
      <c r="JC18" s="125">
        <f t="shared" si="40"/>
        <v>4119606.8571272371</v>
      </c>
      <c r="JD18" s="125">
        <f t="shared" si="40"/>
        <v>4119606.8571272371</v>
      </c>
      <c r="JE18" s="125">
        <f t="shared" ref="JE18:KF18" si="41">JD18+JE17</f>
        <v>4119606.8571272371</v>
      </c>
      <c r="JF18" s="125">
        <f t="shared" si="41"/>
        <v>4119606.8571272371</v>
      </c>
      <c r="JG18" s="125">
        <f t="shared" si="41"/>
        <v>4119606.8571272371</v>
      </c>
      <c r="JH18" s="125">
        <f t="shared" si="41"/>
        <v>4119606.8571272371</v>
      </c>
      <c r="JI18" s="125">
        <f t="shared" si="41"/>
        <v>4119606.8571272371</v>
      </c>
      <c r="JJ18" s="125">
        <f t="shared" si="41"/>
        <v>4119606.8571272371</v>
      </c>
      <c r="JK18" s="125">
        <f t="shared" si="41"/>
        <v>4119606.8571272371</v>
      </c>
      <c r="JL18" s="125">
        <f t="shared" si="41"/>
        <v>4119606.8571272371</v>
      </c>
      <c r="JM18" s="125">
        <f t="shared" si="41"/>
        <v>4119606.8571272371</v>
      </c>
      <c r="JN18" s="125">
        <f t="shared" si="41"/>
        <v>4119606.8571272371</v>
      </c>
      <c r="JO18" s="125">
        <f t="shared" si="41"/>
        <v>4119606.8571272371</v>
      </c>
      <c r="JP18" s="125">
        <f t="shared" si="41"/>
        <v>4119606.8571272371</v>
      </c>
      <c r="JQ18" s="125">
        <f t="shared" si="41"/>
        <v>4119606.8571272371</v>
      </c>
      <c r="JR18" s="125">
        <f t="shared" si="41"/>
        <v>4119606.8571272371</v>
      </c>
      <c r="JS18" s="125">
        <f t="shared" si="41"/>
        <v>4119606.8571272371</v>
      </c>
      <c r="JT18" s="125">
        <f t="shared" si="41"/>
        <v>4119606.8571272371</v>
      </c>
      <c r="JU18" s="125">
        <f t="shared" si="41"/>
        <v>4119606.8571272371</v>
      </c>
      <c r="JV18" s="125">
        <f t="shared" si="41"/>
        <v>4119606.8571272371</v>
      </c>
      <c r="JW18" s="125">
        <f t="shared" si="41"/>
        <v>4119606.8571272371</v>
      </c>
      <c r="JX18" s="125">
        <f t="shared" si="41"/>
        <v>4119606.8571272371</v>
      </c>
      <c r="JY18" s="125">
        <f t="shared" si="41"/>
        <v>4119606.8571272371</v>
      </c>
      <c r="JZ18" s="125">
        <f t="shared" si="41"/>
        <v>4119606.8571272371</v>
      </c>
      <c r="KA18" s="125">
        <f t="shared" si="41"/>
        <v>4119606.8571272371</v>
      </c>
      <c r="KB18" s="125">
        <f t="shared" si="41"/>
        <v>4119606.8571272371</v>
      </c>
      <c r="KC18" s="125">
        <f t="shared" si="41"/>
        <v>4119606.8571272371</v>
      </c>
      <c r="KD18" s="125">
        <f t="shared" si="41"/>
        <v>4119606.8571272371</v>
      </c>
      <c r="KE18" s="125">
        <f t="shared" si="41"/>
        <v>4119606.8571272371</v>
      </c>
      <c r="KF18" s="125">
        <f t="shared" si="41"/>
        <v>4119606.8571272371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369</v>
      </c>
      <c r="B3" s="540" t="s">
        <v>370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371</v>
      </c>
      <c r="B4" t="s">
        <v>372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373</v>
      </c>
      <c r="K4"/>
      <c r="L4"/>
      <c r="M4"/>
      <c r="N4"/>
      <c r="O4"/>
      <c r="P4"/>
      <c r="Q4"/>
      <c r="R4"/>
      <c r="S4"/>
      <c r="T4"/>
    </row>
    <row r="5" spans="1:20">
      <c r="A5" s="345" t="s">
        <v>372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257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262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273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280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295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299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303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307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310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314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323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320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301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373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0" t="s">
        <v>374</v>
      </c>
      <c r="B3" s="540" t="s">
        <v>370</v>
      </c>
      <c r="C3"/>
      <c r="D3"/>
      <c r="E3"/>
      <c r="F3"/>
      <c r="G3"/>
      <c r="H3"/>
      <c r="I3"/>
    </row>
    <row r="4" spans="1:10">
      <c r="A4" s="540" t="s">
        <v>371</v>
      </c>
      <c r="B4" t="s">
        <v>372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373</v>
      </c>
    </row>
    <row r="5" spans="1:10">
      <c r="A5" s="345" t="s">
        <v>372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257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262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273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280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295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299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303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307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310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314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323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334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320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301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373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375</v>
      </c>
      <c r="F2" s="19" t="s">
        <v>376</v>
      </c>
    </row>
    <row r="3" spans="3:8">
      <c r="C3" s="15">
        <v>45658</v>
      </c>
      <c r="D3" s="9" t="s">
        <v>377</v>
      </c>
      <c r="F3" s="17" t="s">
        <v>378</v>
      </c>
    </row>
    <row r="4" spans="3:8">
      <c r="C4" s="15">
        <v>45737</v>
      </c>
      <c r="D4" s="9" t="s">
        <v>379</v>
      </c>
      <c r="F4" s="17" t="s">
        <v>380</v>
      </c>
    </row>
    <row r="5" spans="3:8">
      <c r="C5" s="15">
        <v>45765</v>
      </c>
      <c r="D5" s="9" t="s">
        <v>381</v>
      </c>
      <c r="F5" s="17" t="s">
        <v>382</v>
      </c>
    </row>
    <row r="6" spans="3:8" ht="13" thickBot="1">
      <c r="C6" s="15">
        <v>45768</v>
      </c>
      <c r="D6" s="9" t="s">
        <v>383</v>
      </c>
      <c r="F6" s="18" t="s">
        <v>384</v>
      </c>
    </row>
    <row r="7" spans="3:8">
      <c r="C7" s="15">
        <v>45774</v>
      </c>
      <c r="D7" s="9" t="s">
        <v>385</v>
      </c>
    </row>
    <row r="8" spans="3:8">
      <c r="C8" s="15">
        <v>45765</v>
      </c>
      <c r="D8" s="9" t="s">
        <v>386</v>
      </c>
    </row>
    <row r="9" spans="3:8">
      <c r="C9" s="15">
        <v>45778</v>
      </c>
      <c r="D9" s="9" t="s">
        <v>387</v>
      </c>
    </row>
    <row r="10" spans="3:8">
      <c r="C10" s="15">
        <v>45824</v>
      </c>
      <c r="D10" s="9" t="s">
        <v>388</v>
      </c>
    </row>
    <row r="11" spans="3:8">
      <c r="C11" s="15">
        <v>45878</v>
      </c>
      <c r="D11" s="9" t="s">
        <v>389</v>
      </c>
    </row>
    <row r="12" spans="3:8">
      <c r="C12" s="15">
        <v>45924</v>
      </c>
      <c r="D12" s="9" t="s">
        <v>390</v>
      </c>
    </row>
    <row r="13" spans="3:8">
      <c r="C13" s="15">
        <v>46007</v>
      </c>
      <c r="D13" s="9" t="s">
        <v>391</v>
      </c>
      <c r="F13" s="20"/>
      <c r="H13" s="9" t="s">
        <v>392</v>
      </c>
    </row>
    <row r="14" spans="3:8">
      <c r="C14" s="15">
        <v>46016</v>
      </c>
      <c r="D14" s="9" t="s">
        <v>393</v>
      </c>
    </row>
    <row r="15" spans="3:8">
      <c r="C15" s="15">
        <v>46017</v>
      </c>
      <c r="D15" s="9" t="s">
        <v>394</v>
      </c>
    </row>
    <row r="16" spans="3:8">
      <c r="C16" s="15">
        <v>46006</v>
      </c>
      <c r="D16" s="9" t="s">
        <v>395</v>
      </c>
    </row>
    <row r="17" spans="3:4">
      <c r="C17" s="15">
        <v>46007</v>
      </c>
      <c r="D17" s="9" t="s">
        <v>395</v>
      </c>
    </row>
    <row r="18" spans="3:4">
      <c r="C18" s="15">
        <v>46008</v>
      </c>
      <c r="D18" s="9" t="s">
        <v>395</v>
      </c>
    </row>
    <row r="19" spans="3:4">
      <c r="C19" s="15">
        <v>46009</v>
      </c>
      <c r="D19" s="9" t="s">
        <v>395</v>
      </c>
    </row>
    <row r="20" spans="3:4">
      <c r="C20" s="15">
        <v>46010</v>
      </c>
      <c r="D20" s="9" t="s">
        <v>395</v>
      </c>
    </row>
    <row r="21" spans="3:4">
      <c r="C21" s="15">
        <v>46011</v>
      </c>
      <c r="D21" s="9" t="s">
        <v>395</v>
      </c>
    </row>
    <row r="22" spans="3:4">
      <c r="C22" s="15">
        <v>46012</v>
      </c>
      <c r="D22" s="9" t="s">
        <v>395</v>
      </c>
    </row>
    <row r="23" spans="3:4">
      <c r="C23" s="15">
        <v>46013</v>
      </c>
      <c r="D23" s="9" t="s">
        <v>395</v>
      </c>
    </row>
    <row r="24" spans="3:4">
      <c r="C24" s="15">
        <v>46014</v>
      </c>
      <c r="D24" s="9" t="s">
        <v>395</v>
      </c>
    </row>
    <row r="25" spans="3:4">
      <c r="C25" s="15">
        <v>46015</v>
      </c>
      <c r="D25" s="9" t="s">
        <v>395</v>
      </c>
    </row>
    <row r="26" spans="3:4">
      <c r="C26" s="15">
        <v>46016</v>
      </c>
      <c r="D26" s="9" t="s">
        <v>395</v>
      </c>
    </row>
    <row r="27" spans="3:4">
      <c r="C27" s="15">
        <v>46017</v>
      </c>
      <c r="D27" s="9" t="s">
        <v>395</v>
      </c>
    </row>
    <row r="28" spans="3:4">
      <c r="C28" s="15">
        <v>46018</v>
      </c>
      <c r="D28" s="9" t="s">
        <v>395</v>
      </c>
    </row>
    <row r="29" spans="3:4">
      <c r="C29" s="15">
        <v>46019</v>
      </c>
      <c r="D29" s="9" t="s">
        <v>395</v>
      </c>
    </row>
    <row r="30" spans="3:4">
      <c r="C30" s="15">
        <v>46020</v>
      </c>
      <c r="D30" s="9" t="s">
        <v>395</v>
      </c>
    </row>
    <row r="31" spans="3:4">
      <c r="C31" s="15">
        <v>46021</v>
      </c>
      <c r="D31" s="9" t="s">
        <v>395</v>
      </c>
    </row>
    <row r="32" spans="3:4">
      <c r="C32" s="15">
        <v>46022</v>
      </c>
      <c r="D32" s="9" t="s">
        <v>395</v>
      </c>
    </row>
    <row r="33" spans="3:4">
      <c r="C33" s="15">
        <v>46023</v>
      </c>
      <c r="D33" s="9" t="s">
        <v>395</v>
      </c>
    </row>
    <row r="34" spans="3:4">
      <c r="C34" s="15">
        <v>46024</v>
      </c>
      <c r="D34" s="9" t="s">
        <v>395</v>
      </c>
    </row>
    <row r="35" spans="3:4">
      <c r="C35" s="15">
        <v>46025</v>
      </c>
      <c r="D35" s="9" t="s">
        <v>395</v>
      </c>
    </row>
    <row r="36" spans="3:4">
      <c r="C36" s="15">
        <v>46026</v>
      </c>
      <c r="D36" s="9" t="s">
        <v>395</v>
      </c>
    </row>
    <row r="37" spans="3:4">
      <c r="C37" s="15">
        <v>46027</v>
      </c>
      <c r="D37" s="9" t="s">
        <v>395</v>
      </c>
    </row>
    <row r="38" spans="3:4">
      <c r="C38" s="15">
        <v>46028</v>
      </c>
      <c r="D38" s="9" t="s">
        <v>395</v>
      </c>
    </row>
    <row r="39" spans="3:4">
      <c r="C39" s="15">
        <v>46029</v>
      </c>
      <c r="D39" s="9" t="s">
        <v>395</v>
      </c>
    </row>
    <row r="40" spans="3:4">
      <c r="C40" s="15">
        <v>46030</v>
      </c>
      <c r="D40" s="9" t="s">
        <v>395</v>
      </c>
    </row>
    <row r="41" spans="3:4">
      <c r="C41" s="15"/>
      <c r="D41" s="9" t="s">
        <v>395</v>
      </c>
    </row>
    <row r="42" spans="3:4">
      <c r="C42" s="15"/>
      <c r="D42" s="9" t="s">
        <v>395</v>
      </c>
    </row>
    <row r="43" spans="3:4">
      <c r="C43" s="15"/>
      <c r="D43" s="9" t="s">
        <v>395</v>
      </c>
    </row>
    <row r="44" spans="3:4">
      <c r="C44" s="15"/>
      <c r="D44" s="9" t="s">
        <v>395</v>
      </c>
    </row>
    <row r="45" spans="3:4">
      <c r="C45" s="15"/>
      <c r="D45" s="9" t="s">
        <v>395</v>
      </c>
    </row>
    <row r="46" spans="3:4">
      <c r="C46" s="15"/>
      <c r="D46" s="9" t="s">
        <v>395</v>
      </c>
    </row>
    <row r="47" spans="3:4">
      <c r="C47" s="15"/>
      <c r="D47" s="9" t="s">
        <v>395</v>
      </c>
    </row>
    <row r="48" spans="3:4">
      <c r="C48" s="15"/>
      <c r="D48" s="9" t="s">
        <v>395</v>
      </c>
    </row>
    <row r="49" spans="3:4">
      <c r="C49" s="15">
        <v>46102</v>
      </c>
      <c r="D49" s="9" t="s">
        <v>379</v>
      </c>
    </row>
    <row r="50" spans="3:4">
      <c r="C50" s="15">
        <v>46115</v>
      </c>
      <c r="D50" s="9" t="s">
        <v>381</v>
      </c>
    </row>
    <row r="51" spans="3:4">
      <c r="C51" s="15">
        <v>46118</v>
      </c>
      <c r="D51" s="9" t="s">
        <v>383</v>
      </c>
    </row>
    <row r="52" spans="3:4">
      <c r="C52" s="15">
        <v>46139</v>
      </c>
      <c r="D52" s="9" t="s">
        <v>385</v>
      </c>
    </row>
    <row r="53" spans="3:4">
      <c r="C53" s="15">
        <v>46143</v>
      </c>
      <c r="D53" s="9" t="s">
        <v>387</v>
      </c>
    </row>
    <row r="54" spans="3:4">
      <c r="C54" s="15">
        <v>46189</v>
      </c>
      <c r="D54" s="9" t="s">
        <v>388</v>
      </c>
    </row>
    <row r="55" spans="3:4">
      <c r="C55" s="15">
        <v>46243</v>
      </c>
      <c r="D55" s="9" t="s">
        <v>389</v>
      </c>
    </row>
    <row r="56" spans="3:4">
      <c r="C56" s="15">
        <v>46244</v>
      </c>
      <c r="D56" s="9" t="s">
        <v>396</v>
      </c>
    </row>
    <row r="57" spans="3:4">
      <c r="C57" s="15">
        <v>46289</v>
      </c>
      <c r="D57" s="9" t="s">
        <v>390</v>
      </c>
    </row>
    <row r="58" spans="3:4">
      <c r="C58" s="15">
        <v>46372</v>
      </c>
      <c r="D58" s="9" t="s">
        <v>391</v>
      </c>
    </row>
    <row r="59" spans="3:4">
      <c r="C59" s="15">
        <v>46381</v>
      </c>
      <c r="D59" s="9" t="s">
        <v>393</v>
      </c>
    </row>
    <row r="60" spans="3:4" ht="13" thickBot="1">
      <c r="C60" s="16">
        <v>46382</v>
      </c>
      <c r="D60" s="9" t="s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2026-02-03T10:15:39Z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