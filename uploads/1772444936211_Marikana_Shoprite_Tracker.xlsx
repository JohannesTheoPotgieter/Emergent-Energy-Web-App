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0" documentId="13_ncr:1_{457F1F40-F6F4-415A-9055-9CBF9B2A3DC8}" xr6:coauthVersionLast="47" xr6:coauthVersionMax="47" xr10:uidLastSave="{F46B16D7-908C-4F33-9DE4-0135996DF8DA}"/>
  <bookViews>
    <workbookView xWindow="-110" yWindow="-110" windowWidth="19420" windowHeight="11500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<sst xmlns="http://schemas.openxmlformats.org/spreadsheetml/2006/main" count="913" uniqueCount="535">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</sst>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4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269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5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4" t="s">
        <v>69</v>
      </c>
      <c r="C16" s="735"/>
      <c r="D16" s="735"/>
      <c r="E16" s="735"/>
      <c r="F16" s="73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B37" zoomScaleNormal="100" workbookViewId="0">
      <selection activeCell="M51" sqref="M5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269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" style="112" bestFit="1" customWidth="1"/>
    <col min="15" max="15" width="106.269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46080</v>
      </c>
      <c r="O1" s="405">
        <f ca="1">TODAY()</f>
        <v>46080</v>
      </c>
      <c r="Q1" s="3"/>
    </row>
    <row r="2" spans="2:28">
      <c r="B2" s="176"/>
      <c r="C2" s="177" t="s">
        <v>0</v>
      </c>
      <c r="D2" s="178"/>
      <c r="E2" s="719" t="s">
        <v>73</v>
      </c>
      <c r="F2" s="720"/>
      <c r="G2" s="720"/>
      <c r="H2" s="721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2" t="s">
        <v>76</v>
      </c>
      <c r="F4" s="723"/>
      <c r="G4" s="723"/>
      <c r="H4" s="724"/>
      <c r="J4" s="113"/>
      <c r="Q4" s="3"/>
    </row>
    <row r="5" spans="2:28" s="112" customFormat="1">
      <c r="B5" s="179"/>
      <c r="C5" s="180" t="s">
        <v>77</v>
      </c>
      <c r="D5" s="178"/>
      <c r="E5" s="722" t="s">
        <v>78</v>
      </c>
      <c r="F5" s="723"/>
      <c r="G5" s="723"/>
      <c r="H5" s="724"/>
      <c r="J5" s="113"/>
      <c r="Q5" s="3"/>
    </row>
    <row r="6" spans="2:28">
      <c r="B6" s="184"/>
      <c r="C6" s="185" t="s">
        <v>79</v>
      </c>
      <c r="D6" s="178"/>
      <c r="E6" s="725">
        <v>8906375</v>
      </c>
      <c r="F6" s="726"/>
      <c r="G6" s="726"/>
      <c r="H6" s="727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16" t="s">
        <v>81</v>
      </c>
      <c r="C8" s="717" t="s">
        <v>82</v>
      </c>
      <c r="D8" s="215"/>
      <c r="E8" s="718" t="s">
        <v>83</v>
      </c>
      <c r="F8" s="237" t="s">
        <v>84</v>
      </c>
      <c r="G8" s="718" t="s">
        <v>85</v>
      </c>
      <c r="H8" s="238"/>
      <c r="I8" s="718" t="s">
        <v>86</v>
      </c>
      <c r="J8" s="237" t="s">
        <v>84</v>
      </c>
      <c r="K8" s="718" t="s">
        <v>87</v>
      </c>
      <c r="M8" s="412" t="s">
        <v>60</v>
      </c>
      <c r="N8" s="678" t="s">
        <v>88</v>
      </c>
      <c r="O8" s="728" t="s">
        <v>89</v>
      </c>
      <c r="Z8" s="112"/>
      <c r="AA8" s="112"/>
      <c r="AB8" s="112"/>
    </row>
    <row r="9" spans="2:28">
      <c r="B9" s="716"/>
      <c r="C9" s="717"/>
      <c r="D9" s="215"/>
      <c r="E9" s="718"/>
      <c r="F9" s="126">
        <f>G41-E19</f>
        <v>90</v>
      </c>
      <c r="G9" s="718"/>
      <c r="H9" s="238"/>
      <c r="I9" s="718"/>
      <c r="J9" s="127">
        <f>K41-I19</f>
        <v>117</v>
      </c>
      <c r="K9" s="718"/>
      <c r="M9" s="362">
        <f>AVERAGE(M11,M18,M21,M28,M35,M39,M46,M43)</f>
        <v>1</v>
      </c>
      <c r="N9" s="362">
        <f ca="1">AVERAGE(N11,N18,N21,N28,N35,N39,N46,N43)</f>
        <v>1</v>
      </c>
      <c r="O9" s="72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2.26953125" style="129" bestFit="1" customWidth="1"/>
    <col min="8" max="8" width="15.453125" style="129" customWidth="1"/>
    <col min="9" max="9" width="1.453125" style="129" customWidth="1"/>
    <col min="10" max="10" width="3.269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129" customWidth="1"/>
    <col min="16" max="16" width="20.54296875" style="129" bestFit="1" customWidth="1"/>
    <col min="17" max="17" width="16.26953125" style="129" bestFit="1" customWidth="1"/>
    <col min="18" max="18" width="20.54296875" style="129" customWidth="1"/>
    <col min="19" max="19" width="16.7265625" style="93" bestFit="1" customWidth="1"/>
    <col min="20" max="20" width="20.54296875" style="129" bestFit="1" customWidth="1"/>
    <col min="21" max="21" width="16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2.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2.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2.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2.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2.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2.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2.5">
      <c r="C24" s="147" t="s">
        <v>182</v>
      </c>
      <c r="D24" s="148"/>
      <c r="F24" s="149"/>
    </row>
    <row r="25" spans="2:19" s="93" customFormat="1" ht="12.5">
      <c r="C25" s="147" t="s">
        <v>183</v>
      </c>
      <c r="D25" s="148"/>
    </row>
    <row r="26" spans="2:19" s="93" customFormat="1" ht="12.5">
      <c r="C26" s="150" t="s">
        <v>184</v>
      </c>
      <c r="D26" s="151"/>
    </row>
    <row r="27" spans="2:19" s="93" customFormat="1" ht="12.5">
      <c r="C27" s="152" t="s">
        <v>185</v>
      </c>
      <c r="D27" s="148"/>
    </row>
    <row r="28" spans="2:19" s="93" customFormat="1" ht="12.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2.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269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6.5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70" zoomScaleNormal="70" workbookViewId="0">
      <pane ySplit="4" topLeftCell="A157" activePane="bottomLeft" state="frozen"/>
      <selection activeCell="X33" sqref="X33"/>
      <selection pane="bottomLeft" activeCell="S67" sqref="S6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9.26953125" style="70" hidden="1" customWidth="1"/>
    <col min="6" max="6" width="16.54296875" style="475" hidden="1" customWidth="1"/>
    <col min="7" max="7" width="17.26953125" style="24" hidden="1" customWidth="1"/>
    <col min="8" max="8" width="17.453125" style="112" hidden="1" customWidth="1"/>
    <col min="9" max="9" width="22.26953125" style="350" hidden="1" customWidth="1"/>
    <col min="10" max="10" width="22.453125" style="350" customWidth="1"/>
    <col min="11" max="12" width="5.54296875" style="112" customWidth="1"/>
    <col min="13" max="13" width="25.54296875" style="112" customWidth="1"/>
    <col min="14" max="14" width="48.26953125" style="112" customWidth="1"/>
    <col min="15" max="15" width="15.54296875" style="112" customWidth="1"/>
    <col min="16" max="17" width="17.453125" style="112" customWidth="1"/>
    <col min="18" max="18" width="46.453125" style="112" bestFit="1" customWidth="1"/>
    <col min="19" max="19" width="41.7265625" style="112" bestFit="1" customWidth="1"/>
    <col min="20" max="23" width="17.453125" style="112" customWidth="1"/>
    <col min="24" max="24" width="21.26953125" style="112" customWidth="1"/>
    <col min="25" max="25" width="29.26953125" style="112" bestFit="1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6" t="s">
        <v>224</v>
      </c>
      <c r="C2" s="777"/>
      <c r="D2" s="777"/>
      <c r="E2" s="777"/>
      <c r="F2" s="777"/>
      <c r="G2" s="777"/>
      <c r="H2" s="677"/>
      <c r="I2" s="258">
        <f>SUM(I6:I168)</f>
        <v>8264787.1907145996</v>
      </c>
      <c r="J2" s="258">
        <f>SUM(J6:J168)</f>
        <v>8906374.7836404331</v>
      </c>
      <c r="L2" s="778" t="s">
        <v>225</v>
      </c>
      <c r="M2" s="779"/>
      <c r="N2" s="779"/>
      <c r="O2" s="779"/>
      <c r="P2" s="779"/>
      <c r="Q2" s="779"/>
      <c r="R2" s="780" t="s">
        <v>226</v>
      </c>
      <c r="S2" s="781"/>
      <c r="T2" s="781"/>
      <c r="U2" s="781"/>
      <c r="V2" s="781"/>
      <c r="W2" s="782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58">
        <f>SUM(G6:G11)</f>
        <v>1793009.85</v>
      </c>
      <c r="J6" s="758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70">
        <f>J6-SUM(U6:U11)</f>
        <v>-1.5449556522071362E-3</v>
      </c>
      <c r="W6" s="535">
        <f>T6+90</f>
        <v>45867</v>
      </c>
      <c r="X6" s="783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59"/>
      <c r="J7" s="759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71"/>
      <c r="W7" s="573"/>
      <c r="X7" s="78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59"/>
      <c r="J8" s="759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71"/>
      <c r="W8" s="573"/>
      <c r="X8" s="78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59"/>
      <c r="J9" s="759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71"/>
      <c r="W9" s="537">
        <v>45866</v>
      </c>
      <c r="X9" s="78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59"/>
      <c r="J10" s="759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71"/>
      <c r="W10" s="574"/>
      <c r="X10" s="78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0"/>
      <c r="J11" s="760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72"/>
      <c r="W11" s="575"/>
      <c r="X11" s="785"/>
      <c r="Y11" s="606" t="s">
        <v>249</v>
      </c>
      <c r="Z11" s="607" t="s">
        <v>250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43">
        <f>SUM(G13:G19)</f>
        <v>480000</v>
      </c>
      <c r="J13" s="743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95">
        <f>J13-SUM(U13:U19)</f>
        <v>0</v>
      </c>
      <c r="W13" s="538">
        <v>45867</v>
      </c>
      <c r="X13" s="746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44"/>
      <c r="J14" s="744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96"/>
      <c r="W14" s="697">
        <v>45995</v>
      </c>
      <c r="X14" s="747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44"/>
      <c r="J15" s="744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96"/>
      <c r="W15" s="697">
        <v>45995</v>
      </c>
      <c r="X15" s="747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44"/>
      <c r="J16" s="744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96"/>
      <c r="W16" s="539">
        <v>45991</v>
      </c>
      <c r="X16" s="747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44"/>
      <c r="J17" s="744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96"/>
      <c r="W17" s="578"/>
      <c r="X17" s="747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44"/>
      <c r="J18" s="744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96"/>
      <c r="W18" s="578"/>
      <c r="X18" s="747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45"/>
      <c r="J19" s="745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97"/>
      <c r="W19" s="579"/>
      <c r="X19" s="748"/>
      <c r="Y19" s="608" t="s">
        <v>266</v>
      </c>
      <c r="Z19" s="609">
        <v>0</v>
      </c>
    </row>
    <row r="20" spans="1:27" ht="14.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58">
        <f>SUM(G21:G26)</f>
        <v>371182.5</v>
      </c>
      <c r="J21" s="758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70">
        <f>J21-SUM(U21:U26)</f>
        <v>0</v>
      </c>
      <c r="W21" s="540">
        <v>45867</v>
      </c>
      <c r="X21" s="783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59"/>
      <c r="J22" s="759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71"/>
      <c r="W22" s="536">
        <v>45838</v>
      </c>
      <c r="X22" s="784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59"/>
      <c r="J23" s="759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71"/>
      <c r="W23" s="647">
        <v>45869</v>
      </c>
      <c r="X23" s="784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59"/>
      <c r="J24" s="759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71"/>
      <c r="W24" s="647">
        <v>45869</v>
      </c>
      <c r="X24" s="784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59"/>
      <c r="J25" s="759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71"/>
      <c r="W25" s="574"/>
      <c r="X25" s="784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60"/>
      <c r="J26" s="760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72"/>
      <c r="W26" s="575"/>
      <c r="X26" s="785"/>
      <c r="Y26" s="614" t="s">
        <v>147</v>
      </c>
      <c r="Z26" s="615" t="s">
        <v>281</v>
      </c>
    </row>
    <row r="27" spans="1:27" ht="14.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43">
        <f>SUM(G28:G42)</f>
        <v>650651</v>
      </c>
      <c r="J28" s="743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95">
        <f>J28-SUM(U28:U42)</f>
        <v>4.1254821699112654E-3</v>
      </c>
      <c r="W28" s="538">
        <f>W6</f>
        <v>45867</v>
      </c>
      <c r="X28" s="746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44"/>
      <c r="J29" s="744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96"/>
      <c r="W29" s="578"/>
      <c r="X29" s="747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44"/>
      <c r="J30" s="744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96"/>
      <c r="W30" s="578"/>
      <c r="X30" s="747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44"/>
      <c r="J31" s="744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96"/>
      <c r="W31" s="578"/>
      <c r="X31" s="747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44"/>
      <c r="J32" s="744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86" t="s">
        <v>289</v>
      </c>
      <c r="S32" s="631" t="s">
        <v>290</v>
      </c>
      <c r="T32" s="659">
        <v>45808</v>
      </c>
      <c r="U32" s="666">
        <v>34732.164501646854</v>
      </c>
      <c r="V32" s="796"/>
      <c r="W32" s="539">
        <f>W91</f>
        <v>45813</v>
      </c>
      <c r="X32" s="747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44"/>
      <c r="J33" s="744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87"/>
      <c r="S33" s="631" t="s">
        <v>292</v>
      </c>
      <c r="T33" s="659">
        <f t="shared" si="0"/>
        <v>45838</v>
      </c>
      <c r="U33" s="666">
        <v>93962.946171462478</v>
      </c>
      <c r="V33" s="796"/>
      <c r="W33" s="539">
        <v>45827</v>
      </c>
      <c r="X33" s="747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44"/>
      <c r="J34" s="744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87"/>
      <c r="S34" s="631" t="s">
        <v>295</v>
      </c>
      <c r="T34" s="659">
        <v>45869</v>
      </c>
      <c r="U34" s="666">
        <v>111329.06805130039</v>
      </c>
      <c r="V34" s="796"/>
      <c r="W34" s="539">
        <f t="shared" ref="W34:W39" si="4">W93</f>
        <v>45946</v>
      </c>
      <c r="X34" s="747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44"/>
      <c r="J35" s="744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87"/>
      <c r="S35" s="631" t="s">
        <v>295</v>
      </c>
      <c r="T35" s="659">
        <v>45869</v>
      </c>
      <c r="U35" s="666">
        <v>128695.11006412546</v>
      </c>
      <c r="V35" s="796"/>
      <c r="W35" s="539">
        <f t="shared" si="4"/>
        <v>45946</v>
      </c>
      <c r="X35" s="747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44"/>
      <c r="J36" s="744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87"/>
      <c r="S36" s="631" t="s">
        <v>295</v>
      </c>
      <c r="T36" s="659">
        <v>45869</v>
      </c>
      <c r="U36" s="666">
        <v>34732.164025650192</v>
      </c>
      <c r="V36" s="796"/>
      <c r="W36" s="539">
        <v>45946</v>
      </c>
      <c r="X36" s="747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44"/>
      <c r="J37" s="744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87"/>
      <c r="S37" s="631" t="s">
        <v>295</v>
      </c>
      <c r="T37" s="659">
        <v>45869</v>
      </c>
      <c r="U37" s="666">
        <v>34732.164025650192</v>
      </c>
      <c r="V37" s="796"/>
      <c r="W37" s="539">
        <v>46051</v>
      </c>
      <c r="X37" s="747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44"/>
      <c r="J38" s="744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87"/>
      <c r="S38" s="631" t="s">
        <v>295</v>
      </c>
      <c r="T38" s="659">
        <v>45869</v>
      </c>
      <c r="U38" s="666">
        <v>17366.082012825096</v>
      </c>
      <c r="V38" s="796"/>
      <c r="W38" s="539">
        <f t="shared" si="4"/>
        <v>46058</v>
      </c>
      <c r="X38" s="747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44"/>
      <c r="J39" s="744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88"/>
      <c r="S39" s="631" t="s">
        <v>295</v>
      </c>
      <c r="T39" s="659">
        <v>45869</v>
      </c>
      <c r="U39" s="666">
        <v>17366.082012825096</v>
      </c>
      <c r="V39" s="796"/>
      <c r="W39" s="578">
        <f t="shared" si="4"/>
        <v>46088</v>
      </c>
      <c r="X39" s="747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44"/>
      <c r="J40" s="744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96"/>
      <c r="W40" s="578"/>
      <c r="X40" s="747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44"/>
      <c r="J41" s="744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96"/>
      <c r="W41" s="578"/>
      <c r="X41" s="747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45"/>
      <c r="J42" s="745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97"/>
      <c r="W42" s="579"/>
      <c r="X42" s="748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58">
        <f>SUM(G44:G51)</f>
        <v>49000</v>
      </c>
      <c r="J44" s="758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70">
        <f>J44-SUM(U44:U51)</f>
        <v>-1.9466186495264992E-4</v>
      </c>
      <c r="W44" s="540">
        <v>45855</v>
      </c>
      <c r="X44" s="783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59"/>
      <c r="J45" s="759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71"/>
      <c r="W45" s="536">
        <v>45806</v>
      </c>
      <c r="X45" s="784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59"/>
      <c r="J46" s="759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71"/>
      <c r="W46" s="674">
        <v>45867</v>
      </c>
      <c r="X46" s="784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59"/>
      <c r="J47" s="759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71"/>
      <c r="W47" s="536">
        <v>45838</v>
      </c>
      <c r="X47" s="784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59"/>
      <c r="J48" s="759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71"/>
      <c r="W48" s="536">
        <v>45799</v>
      </c>
      <c r="X48" s="784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59"/>
      <c r="J49" s="759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71"/>
      <c r="W49" s="574"/>
      <c r="X49" s="784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59"/>
      <c r="J50" s="759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71"/>
      <c r="W50" s="574"/>
      <c r="X50" s="784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60"/>
      <c r="J51" s="760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72"/>
      <c r="W51" s="575"/>
      <c r="X51" s="785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43">
        <f>SUM(G53:G69)</f>
        <v>792658.7130434782</v>
      </c>
      <c r="J53" s="743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95">
        <f>J53-SUM(U53:U69)</f>
        <v>4.6744045102968812E-3</v>
      </c>
      <c r="W53" s="577"/>
      <c r="X53" s="746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44"/>
      <c r="J54" s="744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96"/>
      <c r="W54" s="539">
        <v>45899</v>
      </c>
      <c r="X54" s="747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44"/>
      <c r="J55" s="744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96"/>
      <c r="W55" s="578"/>
      <c r="X55" s="747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44"/>
      <c r="J56" s="744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96"/>
      <c r="W56" s="578"/>
      <c r="X56" s="747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44"/>
      <c r="J57" s="744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96"/>
      <c r="W57" s="578"/>
      <c r="X57" s="747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44"/>
      <c r="J58" s="744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96"/>
      <c r="W58" s="578"/>
      <c r="X58" s="747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44"/>
      <c r="J59" s="744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86" t="s">
        <v>289</v>
      </c>
      <c r="S59" s="631" t="s">
        <v>290</v>
      </c>
      <c r="T59" s="659">
        <v>45808</v>
      </c>
      <c r="U59" s="666">
        <v>38574.474130122508</v>
      </c>
      <c r="V59" s="796"/>
      <c r="W59" s="539">
        <f>W91</f>
        <v>45813</v>
      </c>
      <c r="X59" s="747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44"/>
      <c r="J60" s="744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87"/>
      <c r="S60" s="631" t="s">
        <v>292</v>
      </c>
      <c r="T60" s="659">
        <f t="shared" si="0"/>
        <v>45838</v>
      </c>
      <c r="U60" s="666">
        <v>57861.711195183751</v>
      </c>
      <c r="V60" s="796"/>
      <c r="W60" s="539">
        <v>45827</v>
      </c>
      <c r="X60" s="747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44"/>
      <c r="J61" s="744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87"/>
      <c r="S61" s="631" t="s">
        <v>295</v>
      </c>
      <c r="T61" s="659">
        <v>45869</v>
      </c>
      <c r="U61" s="666">
        <v>74640.903999768474</v>
      </c>
      <c r="V61" s="796"/>
      <c r="W61" s="539">
        <f t="shared" ref="W61:W66" si="8">W93</f>
        <v>45946</v>
      </c>
      <c r="X61" s="747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44"/>
      <c r="J62" s="744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87"/>
      <c r="S62" s="631" t="s">
        <v>295</v>
      </c>
      <c r="T62" s="659">
        <v>45869</v>
      </c>
      <c r="U62" s="666">
        <v>95042.829999710593</v>
      </c>
      <c r="V62" s="796"/>
      <c r="W62" s="539">
        <f t="shared" si="8"/>
        <v>45946</v>
      </c>
      <c r="X62" s="747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44"/>
      <c r="J63" s="744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87"/>
      <c r="S63" s="631" t="s">
        <v>295</v>
      </c>
      <c r="T63" s="659">
        <v>45869</v>
      </c>
      <c r="U63" s="666">
        <v>38017.131999884237</v>
      </c>
      <c r="V63" s="796"/>
      <c r="W63" s="539">
        <f t="shared" si="8"/>
        <v>45946</v>
      </c>
      <c r="X63" s="747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44"/>
      <c r="J64" s="744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87"/>
      <c r="S64" s="635" t="s">
        <v>295</v>
      </c>
      <c r="T64" s="659">
        <v>45869</v>
      </c>
      <c r="U64" s="675">
        <v>38017.131999884237</v>
      </c>
      <c r="V64" s="796"/>
      <c r="W64" s="539">
        <v>46051</v>
      </c>
      <c r="X64" s="747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44"/>
      <c r="J65" s="744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87"/>
      <c r="S65" s="635" t="s">
        <v>295</v>
      </c>
      <c r="T65" s="659">
        <v>45869</v>
      </c>
      <c r="U65" s="675">
        <v>19008.565999942119</v>
      </c>
      <c r="V65" s="796"/>
      <c r="W65" s="539">
        <f>W97</f>
        <v>46058</v>
      </c>
      <c r="X65" s="747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44"/>
      <c r="J66" s="744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88"/>
      <c r="S66" s="635" t="s">
        <v>295</v>
      </c>
      <c r="T66" s="659">
        <v>45869</v>
      </c>
      <c r="U66" s="675">
        <v>19008.565999942119</v>
      </c>
      <c r="V66" s="796"/>
      <c r="W66" s="578">
        <f t="shared" si="8"/>
        <v>46088</v>
      </c>
      <c r="X66" s="747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44"/>
      <c r="J67" s="744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96"/>
      <c r="W67" s="581"/>
      <c r="X67" s="747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44"/>
      <c r="J68" s="744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96"/>
      <c r="W68" s="581"/>
      <c r="X68" s="747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45"/>
      <c r="J69" s="745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97"/>
      <c r="W69" s="579"/>
      <c r="X69" s="748"/>
      <c r="Y69" s="483"/>
    </row>
    <row r="70" spans="1:25" ht="14.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58">
        <f>SUM(G71:G78)</f>
        <v>0</v>
      </c>
      <c r="J71" s="758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92">
        <f>J71-SUM(U71:U78)</f>
        <v>0</v>
      </c>
      <c r="W71" s="583"/>
      <c r="X71" s="783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59"/>
      <c r="J72" s="759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93"/>
      <c r="W72" s="574"/>
      <c r="X72" s="784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59"/>
      <c r="J73" s="759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93"/>
      <c r="W73" s="574"/>
      <c r="X73" s="784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59"/>
      <c r="J74" s="759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93"/>
      <c r="W74" s="574"/>
      <c r="X74" s="784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59"/>
      <c r="J75" s="759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93"/>
      <c r="W75" s="574"/>
      <c r="X75" s="784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59"/>
      <c r="J76" s="759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93"/>
      <c r="W76" s="574"/>
      <c r="X76" s="78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59"/>
      <c r="J77" s="759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93"/>
      <c r="W77" s="574"/>
      <c r="X77" s="784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60"/>
      <c r="J78" s="760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94"/>
      <c r="W78" s="575"/>
      <c r="X78" s="785"/>
      <c r="Y78" s="483"/>
    </row>
    <row r="79" spans="1:25" ht="14.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43">
        <f>D176</f>
        <v>200000</v>
      </c>
      <c r="J80" s="743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67">
        <f>J80-SUM(U80:U88)</f>
        <v>0</v>
      </c>
      <c r="W80" s="695">
        <v>45961</v>
      </c>
      <c r="X80" s="746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44"/>
      <c r="J81" s="744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68"/>
      <c r="W81" s="578">
        <v>46081</v>
      </c>
      <c r="X81" s="747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44"/>
      <c r="J82" s="744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68"/>
      <c r="W82" s="539">
        <v>45869</v>
      </c>
      <c r="X82" s="747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44"/>
      <c r="J83" s="744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68"/>
      <c r="W83" s="539">
        <v>46037</v>
      </c>
      <c r="X83" s="747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44"/>
      <c r="J84" s="744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68"/>
      <c r="W84" s="539">
        <v>45932</v>
      </c>
      <c r="X84" s="747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44"/>
      <c r="J85" s="744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68"/>
      <c r="W85" s="697">
        <v>45961</v>
      </c>
      <c r="X85" s="747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44"/>
      <c r="J86" s="744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68"/>
      <c r="W86" s="692">
        <v>45943</v>
      </c>
      <c r="X86" s="747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44"/>
      <c r="J87" s="744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68"/>
      <c r="W87" s="698">
        <v>45960</v>
      </c>
      <c r="X87" s="747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45"/>
      <c r="J88" s="745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69"/>
      <c r="W88" s="696">
        <f>T88</f>
        <v>45961</v>
      </c>
      <c r="X88" s="748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55">
        <f>SUM(G90:G101)</f>
        <v>675037.5</v>
      </c>
      <c r="J90" s="758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70">
        <f>J90-SUM(U90:U101)</f>
        <v>0</v>
      </c>
      <c r="W90" s="580"/>
      <c r="X90" s="761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56"/>
      <c r="J91" s="759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73" t="s">
        <v>289</v>
      </c>
      <c r="S91" s="626" t="s">
        <v>290</v>
      </c>
      <c r="T91" s="647">
        <v>45808</v>
      </c>
      <c r="U91" s="663">
        <v>79416.176470588238</v>
      </c>
      <c r="V91" s="771"/>
      <c r="W91" s="536">
        <v>45813</v>
      </c>
      <c r="X91" s="76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56"/>
      <c r="J92" s="759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74"/>
      <c r="S92" s="627" t="s">
        <v>292</v>
      </c>
      <c r="T92" s="662">
        <f t="shared" si="9"/>
        <v>45838</v>
      </c>
      <c r="U92" s="664">
        <v>119124.26470588233</v>
      </c>
      <c r="V92" s="771"/>
      <c r="W92" s="537">
        <v>45827</v>
      </c>
      <c r="X92" s="76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56"/>
      <c r="J93" s="759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74"/>
      <c r="S93" s="627" t="s">
        <v>295</v>
      </c>
      <c r="T93" s="662">
        <v>45900</v>
      </c>
      <c r="U93" s="681">
        <v>158832.35294117648</v>
      </c>
      <c r="V93" s="771"/>
      <c r="W93" s="537">
        <v>45946</v>
      </c>
      <c r="X93" s="76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56"/>
      <c r="J94" s="759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74"/>
      <c r="S94" s="627" t="s">
        <v>295</v>
      </c>
      <c r="T94" s="662">
        <v>45930</v>
      </c>
      <c r="U94" s="681">
        <v>198540.44117647057</v>
      </c>
      <c r="V94" s="771"/>
      <c r="W94" s="537">
        <v>45946</v>
      </c>
      <c r="X94" s="76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56"/>
      <c r="J95" s="759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74"/>
      <c r="S95" s="627" t="s">
        <v>295</v>
      </c>
      <c r="T95" s="662">
        <v>45930</v>
      </c>
      <c r="U95" s="681">
        <v>79416.176470588238</v>
      </c>
      <c r="V95" s="771"/>
      <c r="W95" s="537">
        <v>45946</v>
      </c>
      <c r="X95" s="76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56"/>
      <c r="J96" s="759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74"/>
      <c r="S96" s="627" t="s">
        <v>295</v>
      </c>
      <c r="T96" s="662">
        <v>45961</v>
      </c>
      <c r="U96" s="681">
        <v>79416.176470588238</v>
      </c>
      <c r="V96" s="771"/>
      <c r="W96" s="537">
        <v>46051</v>
      </c>
      <c r="X96" s="76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56"/>
      <c r="J97" s="759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74"/>
      <c r="S97" s="627" t="s">
        <v>295</v>
      </c>
      <c r="T97" s="662">
        <v>45961</v>
      </c>
      <c r="U97" s="681">
        <v>39708.088235294119</v>
      </c>
      <c r="V97" s="771"/>
      <c r="W97" s="537">
        <f>W96+7</f>
        <v>46058</v>
      </c>
      <c r="X97" s="76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56"/>
      <c r="J98" s="759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75"/>
      <c r="S98" s="627" t="s">
        <v>295</v>
      </c>
      <c r="T98" s="662">
        <v>45961</v>
      </c>
      <c r="U98" s="681">
        <v>39708.088235294119</v>
      </c>
      <c r="V98" s="771"/>
      <c r="W98" s="574">
        <f>W97+30</f>
        <v>46088</v>
      </c>
      <c r="X98" s="76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56"/>
      <c r="J99" s="759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71"/>
      <c r="W99" s="574"/>
      <c r="X99" s="76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56"/>
      <c r="J100" s="759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71"/>
      <c r="W100" s="574"/>
      <c r="X100" s="76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57"/>
      <c r="J101" s="760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72"/>
      <c r="W101" s="575"/>
      <c r="X101" s="763"/>
      <c r="Y101" s="483"/>
    </row>
    <row r="102" spans="1:25" ht="14.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4">
        <f>J103-SUM(U103:U125)</f>
        <v>2.7171161491423845E-3</v>
      </c>
      <c r="W103" s="584"/>
      <c r="X103" s="752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0"/>
      <c r="J104" s="750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5"/>
      <c r="W104" s="585"/>
      <c r="X104" s="753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0"/>
      <c r="J105" s="750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5"/>
      <c r="W105" s="542">
        <v>45841</v>
      </c>
      <c r="X105" s="753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0"/>
      <c r="J106" s="750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5"/>
      <c r="W106" s="542">
        <v>45869</v>
      </c>
      <c r="X106" s="753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0"/>
      <c r="J107" s="750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5"/>
      <c r="W107" s="542">
        <v>45901</v>
      </c>
      <c r="X107" s="753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0"/>
      <c r="J108" s="750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5"/>
      <c r="W108" s="542">
        <v>45932</v>
      </c>
      <c r="X108" s="753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0"/>
      <c r="J109" s="750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5"/>
      <c r="W109" s="542">
        <v>45967</v>
      </c>
      <c r="X109" s="753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0"/>
      <c r="J110" s="750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5"/>
      <c r="W110" s="542">
        <v>45989</v>
      </c>
      <c r="X110" s="753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0"/>
      <c r="J111" s="750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5"/>
      <c r="W111" s="710">
        <v>46031</v>
      </c>
      <c r="X111" s="753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0"/>
      <c r="J112" s="750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5"/>
      <c r="W112" s="543">
        <v>46051</v>
      </c>
      <c r="X112" s="753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0"/>
      <c r="J113" s="750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5"/>
      <c r="W113" s="586"/>
      <c r="X113" s="753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0"/>
      <c r="J114" s="750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5"/>
      <c r="W114" s="586"/>
      <c r="X114" s="753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0"/>
      <c r="J115" s="750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89" t="s">
        <v>289</v>
      </c>
      <c r="S115" s="640" t="s">
        <v>290</v>
      </c>
      <c r="T115" s="660">
        <v>45808</v>
      </c>
      <c r="U115" s="668">
        <v>13755.818652350752</v>
      </c>
      <c r="V115" s="765"/>
      <c r="W115" s="543">
        <f t="shared" ref="W115:W122" si="13">W91</f>
        <v>45813</v>
      </c>
      <c r="X115" s="753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0"/>
      <c r="J116" s="750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90"/>
      <c r="S116" s="640" t="s">
        <v>292</v>
      </c>
      <c r="T116" s="660">
        <f t="shared" si="9"/>
        <v>45838</v>
      </c>
      <c r="U116" s="668">
        <v>21378.532448070888</v>
      </c>
      <c r="V116" s="765"/>
      <c r="W116" s="543">
        <f t="shared" si="13"/>
        <v>45827</v>
      </c>
      <c r="X116" s="753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0"/>
      <c r="J117" s="750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90"/>
      <c r="S117" s="640" t="s">
        <v>295</v>
      </c>
      <c r="T117" s="660">
        <v>45869</v>
      </c>
      <c r="U117" s="668">
        <v>27377.769393766906</v>
      </c>
      <c r="V117" s="765"/>
      <c r="W117" s="543">
        <f t="shared" si="13"/>
        <v>45946</v>
      </c>
      <c r="X117" s="753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0"/>
      <c r="J118" s="750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90"/>
      <c r="S118" s="640" t="s">
        <v>295</v>
      </c>
      <c r="T118" s="660">
        <v>45869</v>
      </c>
      <c r="U118" s="668">
        <v>34222.21174220863</v>
      </c>
      <c r="V118" s="765"/>
      <c r="W118" s="543">
        <f t="shared" si="13"/>
        <v>45946</v>
      </c>
      <c r="X118" s="753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0"/>
      <c r="J119" s="750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90"/>
      <c r="S119" s="640" t="s">
        <v>295</v>
      </c>
      <c r="T119" s="660">
        <v>45869</v>
      </c>
      <c r="U119" s="668">
        <v>13688.884696883453</v>
      </c>
      <c r="V119" s="765"/>
      <c r="W119" s="543">
        <f t="shared" si="13"/>
        <v>45946</v>
      </c>
      <c r="X119" s="753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0"/>
      <c r="J120" s="750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90"/>
      <c r="S120" s="640" t="s">
        <v>295</v>
      </c>
      <c r="T120" s="660">
        <v>45869</v>
      </c>
      <c r="U120" s="668">
        <v>13688.884696883453</v>
      </c>
      <c r="V120" s="765"/>
      <c r="W120" s="543">
        <f t="shared" si="13"/>
        <v>46051</v>
      </c>
      <c r="X120" s="753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0"/>
      <c r="J121" s="750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90"/>
      <c r="S121" s="640" t="s">
        <v>295</v>
      </c>
      <c r="T121" s="660">
        <v>45869</v>
      </c>
      <c r="U121" s="668">
        <v>6844.4423484417266</v>
      </c>
      <c r="V121" s="765"/>
      <c r="W121" s="543">
        <f t="shared" si="13"/>
        <v>46058</v>
      </c>
      <c r="X121" s="753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0"/>
      <c r="J122" s="750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91"/>
      <c r="S122" s="640" t="s">
        <v>295</v>
      </c>
      <c r="T122" s="660">
        <v>45869</v>
      </c>
      <c r="U122" s="668">
        <v>6844.4423484417266</v>
      </c>
      <c r="V122" s="765"/>
      <c r="W122" s="586">
        <f t="shared" si="13"/>
        <v>46088</v>
      </c>
      <c r="X122" s="753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0"/>
      <c r="J123" s="750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5"/>
      <c r="W123" s="586"/>
      <c r="X123" s="753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0"/>
      <c r="J124" s="750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5"/>
      <c r="W124" s="586"/>
      <c r="X124" s="753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1"/>
      <c r="J125" s="751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6"/>
      <c r="W125" s="587"/>
      <c r="X125" s="754"/>
      <c r="Y125" s="483"/>
    </row>
    <row r="126" spans="1:25" ht="14.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58">
        <f>SUM(G127:G131)</f>
        <v>141863.75</v>
      </c>
      <c r="J127" s="758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70">
        <f>J127-SUM(U127:U131)</f>
        <v>2.4124817573465407E-3</v>
      </c>
      <c r="W127" s="540">
        <v>45988</v>
      </c>
      <c r="X127" s="783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59"/>
      <c r="J128" s="759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71"/>
      <c r="W128" s="653">
        <v>45757</v>
      </c>
      <c r="X128" s="784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59"/>
      <c r="J129" s="759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71"/>
      <c r="W129" s="653">
        <v>45989</v>
      </c>
      <c r="X129" s="784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59"/>
      <c r="J130" s="759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71"/>
      <c r="W130" s="574"/>
      <c r="X130" s="784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60"/>
      <c r="J131" s="760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72"/>
      <c r="W131" s="575"/>
      <c r="X131" s="785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98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2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1"/>
      <c r="J134" s="751"/>
      <c r="K134" s="799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58">
        <f>SUM(G136:G140)</f>
        <v>266463.94891304348</v>
      </c>
      <c r="J136" s="758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70">
        <f>J136-SUM(U136:U141)</f>
        <v>0</v>
      </c>
      <c r="W136" s="708">
        <v>45991</v>
      </c>
      <c r="X136" s="783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59"/>
      <c r="J137" s="759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71"/>
      <c r="W137" s="573"/>
      <c r="X137" s="784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59"/>
      <c r="J138" s="759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71"/>
      <c r="W138" s="573"/>
      <c r="X138" s="784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59"/>
      <c r="J139" s="759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71"/>
      <c r="W139" s="573"/>
      <c r="X139" s="784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59"/>
      <c r="J140" s="759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71"/>
      <c r="W140" s="573"/>
      <c r="X140" s="784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60"/>
      <c r="J141" s="760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72"/>
      <c r="W141" s="575"/>
      <c r="X141" s="785"/>
      <c r="Y141" s="483"/>
    </row>
    <row r="142" spans="1:25" ht="14.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4">
        <f>J143-SUM(U143:U154)</f>
        <v>-1.1372965309419669E-4</v>
      </c>
      <c r="W143" s="650">
        <v>45785</v>
      </c>
      <c r="X143" s="752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0"/>
      <c r="J144" s="750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5"/>
      <c r="W144" s="651">
        <v>45777</v>
      </c>
      <c r="X144" s="753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0"/>
      <c r="J145" s="750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5"/>
      <c r="W145" s="543">
        <v>45808</v>
      </c>
      <c r="X145" s="753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0"/>
      <c r="J146" s="750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5"/>
      <c r="W146" s="543">
        <v>45842</v>
      </c>
      <c r="X146" s="753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0"/>
      <c r="J147" s="750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5"/>
      <c r="W147" s="543">
        <v>45869</v>
      </c>
      <c r="X147" s="753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0"/>
      <c r="J148" s="750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5"/>
      <c r="W148" s="651">
        <v>45900</v>
      </c>
      <c r="X148" s="753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0"/>
      <c r="J149" s="750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5"/>
      <c r="W149" s="651">
        <v>45940</v>
      </c>
      <c r="X149" s="753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0"/>
      <c r="J150" s="750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5"/>
      <c r="W150" s="651">
        <v>45961</v>
      </c>
      <c r="X150" s="753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0"/>
      <c r="J151" s="750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5"/>
      <c r="W151" s="651">
        <v>45996</v>
      </c>
      <c r="X151" s="753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0"/>
      <c r="J152" s="750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5"/>
      <c r="W152" s="586"/>
      <c r="X152" s="753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0"/>
      <c r="J153" s="750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5"/>
      <c r="W153" s="586"/>
      <c r="X153" s="753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1"/>
      <c r="J154" s="751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6"/>
      <c r="W154" s="587"/>
      <c r="X154" s="754"/>
      <c r="Y154" s="483"/>
    </row>
    <row r="155" spans="1:25" ht="14.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58">
        <f>SUM(G156:G167)</f>
        <v>2500000</v>
      </c>
      <c r="J156" s="758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70">
        <f>J156-SUM(U156:U167)</f>
        <v>-2.4901703000068665E-3</v>
      </c>
      <c r="W156" s="540">
        <v>45841</v>
      </c>
      <c r="X156" s="783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59"/>
      <c r="J157" s="759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71"/>
      <c r="W157" s="536">
        <v>45954</v>
      </c>
      <c r="X157" s="784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59"/>
      <c r="J158" s="759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71"/>
      <c r="W158" s="573"/>
      <c r="X158" s="784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59"/>
      <c r="J159" s="759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71"/>
      <c r="W159" s="573"/>
      <c r="X159" s="784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59"/>
      <c r="J160" s="759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71"/>
      <c r="W160" s="573"/>
      <c r="X160" s="784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59"/>
      <c r="J161" s="759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71"/>
      <c r="W161" s="573"/>
      <c r="X161" s="78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59"/>
      <c r="J162" s="759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71"/>
      <c r="W162" s="573"/>
      <c r="X162" s="78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59"/>
      <c r="J163" s="759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73" t="s">
        <v>414</v>
      </c>
      <c r="S163" s="626" t="s">
        <v>415</v>
      </c>
      <c r="T163" s="647">
        <v>45961</v>
      </c>
      <c r="U163" s="503"/>
      <c r="V163" s="771"/>
      <c r="W163" s="536">
        <v>45967</v>
      </c>
      <c r="X163" s="78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59"/>
      <c r="J164" s="759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75"/>
      <c r="S164" s="626" t="s">
        <v>415</v>
      </c>
      <c r="T164" s="652">
        <v>45961</v>
      </c>
      <c r="U164" s="503" t="s">
        <v>179</v>
      </c>
      <c r="V164" s="771"/>
      <c r="W164" s="573">
        <f>W122</f>
        <v>46088</v>
      </c>
      <c r="X164" s="78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59"/>
      <c r="J165" s="759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71"/>
      <c r="W165" s="573"/>
      <c r="X165" s="78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59"/>
      <c r="J166" s="759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71"/>
      <c r="W166" s="573"/>
      <c r="X166" s="784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60"/>
      <c r="J167" s="760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72"/>
      <c r="W167" s="575"/>
      <c r="X167" s="785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7:I131"/>
    <mergeCell ref="J127:J131"/>
    <mergeCell ref="X127:X131"/>
    <mergeCell ref="I133:I134"/>
    <mergeCell ref="J133:J134"/>
    <mergeCell ref="K133:K134"/>
    <mergeCell ref="X133:X134"/>
    <mergeCell ref="V127:V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X6:X11"/>
    <mergeCell ref="V6:V11"/>
    <mergeCell ref="V13:V19"/>
    <mergeCell ref="V21:V26"/>
    <mergeCell ref="V28:V42"/>
    <mergeCell ref="X21:X26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topRight" activeCell="X33" sqref="X33"/>
      <selection pane="bottomLeft" activeCell="X33" sqref="X33"/>
      <selection pane="bottomRight" activeCell="BE35" sqref="BE3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H10" sqref="H10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3" width="14.81640625" style="408" bestFit="1" customWidth="1"/>
    <col min="4" max="4" width="13.26953125" style="408" bestFit="1" customWidth="1"/>
    <col min="5" max="5" width="14.81640625" style="408" bestFit="1" customWidth="1"/>
    <col min="6" max="9" width="13.26953125" style="408" bestFit="1" customWidth="1"/>
    <col min="10" max="11" width="12" bestFit="1" customWidth="1"/>
    <col min="12" max="12" width="14.7265625" bestFit="1" customWidth="1"/>
    <col min="13" max="13" width="12" bestFit="1" customWidth="1"/>
    <col min="14" max="14" width="14.81640625" bestFit="1" customWidth="1"/>
    <col min="15" max="15" width="14.72656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3" width="14.81640625" style="366" bestFit="1" customWidth="1"/>
    <col min="4" max="4" width="13.26953125" style="366" bestFit="1" customWidth="1"/>
    <col min="5" max="6" width="14.81640625" style="366" bestFit="1" customWidth="1"/>
    <col min="7" max="10" width="13.26953125" style="366" bestFit="1" customWidth="1"/>
    <col min="11" max="11" width="11.7265625" style="366" bestFit="1" customWidth="1"/>
    <col min="12" max="12" width="4.81640625" style="366" bestFit="1" customWidth="1"/>
    <col min="13" max="13" width="10.54296875" style="366" bestFit="1" customWidth="1"/>
    <col min="14" max="14" width="14.81640625" style="366" bestFit="1" customWidth="1"/>
    <col min="15" max="15" width="14.453125" style="366" bestFit="1" customWidth="1"/>
    <col min="16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05" t="s">
        <v>454</v>
      </c>
      <c r="C2" s="805"/>
      <c r="D2" s="805"/>
      <c r="E2" s="805"/>
      <c r="H2" s="806" t="s">
        <v>455</v>
      </c>
      <c r="I2" s="807"/>
      <c r="J2" s="807"/>
      <c r="K2" s="807"/>
      <c r="L2" s="807"/>
      <c r="M2" s="807"/>
      <c r="N2" s="807"/>
      <c r="O2" s="808"/>
    </row>
    <row r="3" spans="2:15">
      <c r="B3" s="685"/>
      <c r="H3" s="809"/>
      <c r="I3" s="810"/>
      <c r="J3" s="810"/>
      <c r="K3" s="810"/>
      <c r="L3" s="810"/>
      <c r="M3" s="810"/>
      <c r="N3" s="810"/>
      <c r="O3" s="811"/>
    </row>
    <row r="4" spans="2:15">
      <c r="B4" s="686" t="s">
        <v>456</v>
      </c>
      <c r="C4" s="687" t="str">
        <f>'Project Plan'!E2</f>
        <v>Marikana Shoprite</v>
      </c>
      <c r="H4" s="809"/>
      <c r="I4" s="810"/>
      <c r="J4" s="810"/>
      <c r="K4" s="810"/>
      <c r="L4" s="810"/>
      <c r="M4" s="810"/>
      <c r="N4" s="810"/>
      <c r="O4" s="811"/>
    </row>
    <row r="5" spans="2:15">
      <c r="B5" s="686" t="s">
        <v>457</v>
      </c>
      <c r="C5" s="687" t="s">
        <v>458</v>
      </c>
      <c r="H5" s="809"/>
      <c r="I5" s="810"/>
      <c r="J5" s="810"/>
      <c r="K5" s="810"/>
      <c r="L5" s="810"/>
      <c r="M5" s="810"/>
      <c r="N5" s="810"/>
      <c r="O5" s="811"/>
    </row>
    <row r="6" spans="2:15">
      <c r="B6" s="686" t="s">
        <v>459</v>
      </c>
      <c r="C6" s="687" t="s">
        <v>460</v>
      </c>
      <c r="H6" s="809"/>
      <c r="I6" s="810"/>
      <c r="J6" s="810"/>
      <c r="K6" s="810"/>
      <c r="L6" s="810"/>
      <c r="M6" s="810"/>
      <c r="N6" s="810"/>
      <c r="O6" s="811"/>
    </row>
    <row r="7" spans="2:15">
      <c r="B7" s="686" t="s">
        <v>461</v>
      </c>
      <c r="C7" s="687" t="s">
        <v>76</v>
      </c>
      <c r="H7" s="809"/>
      <c r="I7" s="810"/>
      <c r="J7" s="810"/>
      <c r="K7" s="810"/>
      <c r="L7" s="810"/>
      <c r="M7" s="810"/>
      <c r="N7" s="810"/>
      <c r="O7" s="811"/>
    </row>
    <row r="8" spans="2:15">
      <c r="B8" s="685"/>
      <c r="H8" s="809"/>
      <c r="I8" s="810"/>
      <c r="J8" s="810"/>
      <c r="K8" s="810"/>
      <c r="L8" s="810"/>
      <c r="M8" s="810"/>
      <c r="N8" s="810"/>
      <c r="O8" s="811"/>
    </row>
    <row r="9" spans="2:15">
      <c r="B9" s="815" t="s">
        <v>462</v>
      </c>
      <c r="C9" s="815"/>
      <c r="D9" s="815"/>
      <c r="E9" s="815"/>
      <c r="H9" s="809"/>
      <c r="I9" s="810"/>
      <c r="J9" s="810"/>
      <c r="K9" s="810"/>
      <c r="L9" s="810"/>
      <c r="M9" s="810"/>
      <c r="N9" s="810"/>
      <c r="O9" s="811"/>
    </row>
    <row r="10" spans="2:15" ht="15" thickBot="1">
      <c r="B10" s="815" t="s">
        <v>463</v>
      </c>
      <c r="C10" s="815"/>
      <c r="D10" s="815"/>
      <c r="E10" s="815"/>
      <c r="H10" s="812"/>
      <c r="I10" s="813"/>
      <c r="J10" s="813"/>
      <c r="K10" s="813"/>
      <c r="L10" s="813"/>
      <c r="M10" s="813"/>
      <c r="N10" s="813"/>
      <c r="O10" s="814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04" t="s">
        <v>474</v>
      </c>
      <c r="C18" s="804"/>
      <c r="D18" s="804"/>
      <c r="E18" s="804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 ht="13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 ht="13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517</v>
      </c>
      <c r="C32" s="103"/>
      <c r="D32" s="103"/>
    </row>
    <row r="33" spans="2:4" ht="13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2444C-F6CD-4B7C-87D5-F400AE254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