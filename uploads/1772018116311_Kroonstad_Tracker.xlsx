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970EBA6A-D179-4DF2-8C27-682AC6E41050}" xr6:coauthVersionLast="47" xr6:coauthVersionMax="47" xr10:uidLastSave="{CF7A62E9-C6BA-4D35-B8A1-2F2A3B9572D7}"/>
  <bookViews>
    <workbookView xWindow="-110" yWindow="-110" windowWidth="19420" windowHeight="11500" tabRatio="878" firstSheet="1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<sst xmlns="http://schemas.openxmlformats.org/spreadsheetml/2006/main" count="886" uniqueCount="511">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</sst>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170555555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3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s v="31/01/2025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 - VO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8584.7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livery of Clamps for Waterpoints"/>
    <m/>
    <m/>
    <n v="261.39999999999998"/>
    <m/>
    <s v="DSV Inv: 180158820"/>
    <x v="8"/>
    <m/>
    <m/>
    <d v="2026-01-29T00:00:00"/>
    <m/>
  </r>
  <r>
    <n v="8"/>
    <x v="8"/>
    <s v="Clamps"/>
    <n v="30"/>
    <n v="28.35"/>
    <n v="850.5"/>
    <m/>
    <s v="Allocated from Joburg Storeroom"/>
    <x v="10"/>
    <m/>
    <m/>
    <d v="2026-01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1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 - VO"/>
    <m/>
    <m/>
    <n v="16006.25"/>
    <s v="PO4342-DPK-20250930 - RV Approved"/>
    <s v="Cosmic Sun: CS_KRN_009"/>
    <x v="11"/>
    <n v="0"/>
    <m/>
    <d v="2025-10-02T00:00:00"/>
    <m/>
  </r>
  <r>
    <n v="15"/>
    <x v="15"/>
    <s v="Matriarch - Labour &amp; Call Out - VO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 - VO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6" t="s">
        <v>57</v>
      </c>
      <c r="E47" s="706"/>
      <c r="F47" s="707"/>
      <c r="G47" s="67"/>
      <c r="I47" s="68"/>
      <c r="J47" s="68"/>
    </row>
    <row r="48" spans="1:49" ht="14.5" thickBot="1">
      <c r="C48" s="69">
        <v>44014</v>
      </c>
      <c r="D48" s="708"/>
      <c r="E48" s="708"/>
      <c r="F48" s="70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0" t="s">
        <v>58</v>
      </c>
      <c r="C2" s="711"/>
      <c r="D2" s="711"/>
      <c r="E2" s="711"/>
      <c r="F2" s="71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0" t="s">
        <v>69</v>
      </c>
      <c r="C16" s="711"/>
      <c r="D16" s="711"/>
      <c r="E16" s="711"/>
      <c r="F16" s="71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11.5429687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6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54296875" style="129" customWidth="1"/>
    <col min="18" max="18" width="112.1796875" style="129" bestFit="1" customWidth="1"/>
    <col min="19" max="19" width="4.453125" style="129" customWidth="1"/>
    <col min="20" max="20" width="14.453125" style="129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3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3">
      <c r="B13" s="353">
        <v>1</v>
      </c>
      <c r="C13" s="715" t="s">
        <v>96</v>
      </c>
      <c r="D13" s="716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5">
      <c r="B14" s="155">
        <v>2</v>
      </c>
      <c r="C14" s="715" t="s">
        <v>98</v>
      </c>
      <c r="D14" s="716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5">
      <c r="B15" s="353">
        <v>3</v>
      </c>
      <c r="C15" s="715" t="s">
        <v>99</v>
      </c>
      <c r="D15" s="716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5">
      <c r="B16" s="353">
        <v>4</v>
      </c>
      <c r="C16" s="713" t="s">
        <v>100</v>
      </c>
      <c r="D16" s="714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5">
      <c r="B17" s="353">
        <v>5</v>
      </c>
      <c r="C17" s="713" t="s">
        <v>101</v>
      </c>
      <c r="D17" s="714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5">
      <c r="B18" s="353">
        <v>6</v>
      </c>
      <c r="C18" s="713" t="s">
        <v>54</v>
      </c>
      <c r="D18" s="714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5">
      <c r="B19" s="353">
        <v>7</v>
      </c>
      <c r="C19" s="715" t="s">
        <v>102</v>
      </c>
      <c r="D19" s="71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5">
      <c r="C24" s="148" t="s">
        <v>105</v>
      </c>
      <c r="D24" s="149"/>
      <c r="F24" s="150"/>
    </row>
    <row r="25" spans="2:19" s="93" customFormat="1" ht="12.5">
      <c r="C25" s="148" t="s">
        <v>106</v>
      </c>
      <c r="D25" s="149"/>
    </row>
    <row r="26" spans="2:19" s="93" customFormat="1" ht="12.5">
      <c r="C26" s="151" t="s">
        <v>107</v>
      </c>
      <c r="D26" s="152"/>
    </row>
    <row r="27" spans="2:19" s="93" customFormat="1" ht="12.5">
      <c r="C27" s="153" t="s">
        <v>108</v>
      </c>
      <c r="D27" s="149"/>
    </row>
    <row r="28" spans="2:19" s="93" customFormat="1" ht="12.5">
      <c r="B28" s="117"/>
      <c r="C28" s="153" t="s">
        <v>109</v>
      </c>
      <c r="D28" s="149"/>
    </row>
    <row r="29" spans="2:19" s="93" customFormat="1" ht="12.5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C7" sqref="C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0.816406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>
      <c r="B2" s="177"/>
      <c r="C2" s="178" t="s">
        <v>0</v>
      </c>
      <c r="D2" s="179"/>
      <c r="E2" s="717" t="s">
        <v>115</v>
      </c>
      <c r="F2" s="718"/>
      <c r="G2" s="718"/>
      <c r="H2" s="719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20" t="s">
        <v>118</v>
      </c>
      <c r="F4" s="721"/>
      <c r="G4" s="721"/>
      <c r="H4" s="722"/>
      <c r="J4" s="113"/>
      <c r="Q4" s="3"/>
    </row>
    <row r="5" spans="2:28" s="112" customFormat="1">
      <c r="B5" s="180"/>
      <c r="C5" s="181" t="s">
        <v>119</v>
      </c>
      <c r="D5" s="179"/>
      <c r="E5" s="720" t="s">
        <v>120</v>
      </c>
      <c r="F5" s="721"/>
      <c r="G5" s="721"/>
      <c r="H5" s="722"/>
      <c r="J5" s="113"/>
      <c r="Q5" s="3"/>
    </row>
    <row r="6" spans="2:28">
      <c r="B6" s="185"/>
      <c r="C6" s="186" t="s">
        <v>121</v>
      </c>
      <c r="D6" s="179"/>
      <c r="E6" s="723">
        <v>3786732</v>
      </c>
      <c r="F6" s="724"/>
      <c r="G6" s="724"/>
      <c r="H6" s="725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29" t="s">
        <v>87</v>
      </c>
      <c r="C8" s="730" t="s">
        <v>124</v>
      </c>
      <c r="D8" s="216"/>
      <c r="E8" s="728" t="s">
        <v>125</v>
      </c>
      <c r="F8" s="238" t="s">
        <v>126</v>
      </c>
      <c r="G8" s="728" t="s">
        <v>127</v>
      </c>
      <c r="H8" s="239"/>
      <c r="I8" s="728" t="s">
        <v>128</v>
      </c>
      <c r="J8" s="238" t="s">
        <v>126</v>
      </c>
      <c r="K8" s="728" t="s">
        <v>129</v>
      </c>
      <c r="M8" s="412" t="s">
        <v>60</v>
      </c>
      <c r="N8" s="689" t="s">
        <v>130</v>
      </c>
      <c r="O8" s="726" t="s">
        <v>131</v>
      </c>
      <c r="Z8" s="112"/>
      <c r="AA8" s="112"/>
      <c r="AB8" s="112"/>
    </row>
    <row r="9" spans="2:28">
      <c r="B9" s="729"/>
      <c r="C9" s="730"/>
      <c r="D9" s="216"/>
      <c r="E9" s="728"/>
      <c r="F9" s="126">
        <f>G41-E19</f>
        <v>52</v>
      </c>
      <c r="G9" s="728"/>
      <c r="H9" s="239"/>
      <c r="I9" s="728"/>
      <c r="J9" s="127">
        <f>K41-I19</f>
        <v>91</v>
      </c>
      <c r="K9" s="728"/>
      <c r="M9" s="363">
        <f>AVERAGE(M11,M18,M21,M28,M35,M39,M46,M43)</f>
        <v>1</v>
      </c>
      <c r="N9" s="363">
        <f>AVERAGE(N11,N18,N21,N28,N35,N39,N46,N43)</f>
        <v>1</v>
      </c>
      <c r="O9" s="72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3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3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A142" activePane="bottomLeft" state="frozen"/>
      <selection activeCell="X33" sqref="X33"/>
      <selection pane="bottomLeft" activeCell="R92" sqref="R9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5" hidden="1" customWidth="1"/>
    <col min="7" max="7" width="17.1796875" style="24" hidden="1" customWidth="1"/>
    <col min="8" max="8" width="17.453125" style="112" hidden="1" customWidth="1"/>
    <col min="9" max="9" width="22.1796875" style="351" hidden="1" customWidth="1"/>
    <col min="10" max="10" width="22.453125" style="351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6.1796875" style="112" bestFit="1" customWidth="1"/>
    <col min="19" max="19" width="37.81640625" style="112" bestFit="1" customWidth="1"/>
    <col min="20" max="23" width="17.453125" style="112" customWidth="1"/>
    <col min="24" max="24" width="21.453125" style="112" customWidth="1"/>
    <col min="25" max="25" width="29.179687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71" t="s">
        <v>216</v>
      </c>
      <c r="C2" s="772"/>
      <c r="D2" s="772"/>
      <c r="E2" s="772"/>
      <c r="F2" s="772"/>
      <c r="G2" s="772"/>
      <c r="H2" s="688"/>
      <c r="I2" s="259">
        <f>SUM(I6:I170)</f>
        <v>3478221.2560353545</v>
      </c>
      <c r="J2" s="259">
        <f>SUM(J6:J170)</f>
        <v>3786732.1258286592</v>
      </c>
      <c r="L2" s="773" t="s">
        <v>217</v>
      </c>
      <c r="M2" s="774"/>
      <c r="N2" s="774"/>
      <c r="O2" s="774"/>
      <c r="P2" s="774"/>
      <c r="Q2" s="774"/>
      <c r="R2" s="775" t="s">
        <v>218</v>
      </c>
      <c r="S2" s="776"/>
      <c r="T2" s="776"/>
      <c r="U2" s="776"/>
      <c r="V2" s="776"/>
      <c r="W2" s="777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5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33">
        <f>SUM(G6:G11)</f>
        <v>822562.51</v>
      </c>
      <c r="J6" s="733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45">
        <f>J6-SUM(U6:U11)</f>
        <v>0</v>
      </c>
      <c r="W6" s="535">
        <v>45867</v>
      </c>
      <c r="X6" s="736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34"/>
      <c r="J7" s="734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46"/>
      <c r="W7" s="574"/>
      <c r="X7" s="73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34"/>
      <c r="J8" s="734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46"/>
      <c r="W8" s="574"/>
      <c r="X8" s="73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34"/>
      <c r="J9" s="734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46"/>
      <c r="W9" s="575"/>
      <c r="X9" s="73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34"/>
      <c r="J10" s="734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46"/>
      <c r="W10" s="575"/>
      <c r="X10" s="737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35"/>
      <c r="J11" s="735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47"/>
      <c r="W11" s="576"/>
      <c r="X11" s="738"/>
      <c r="Y11" s="607" t="s">
        <v>239</v>
      </c>
      <c r="Z11" s="608" t="s">
        <v>240</v>
      </c>
    </row>
    <row r="12" spans="1:76" ht="14.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62">
        <f>SUM(G13:G19)</f>
        <v>210000</v>
      </c>
      <c r="J13" s="762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53">
        <f>J13-SUM(U13:U19)</f>
        <v>0</v>
      </c>
      <c r="W13" s="539">
        <v>45867</v>
      </c>
      <c r="X13" s="765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63"/>
      <c r="J14" s="763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54"/>
      <c r="W14" s="579"/>
      <c r="X14" s="766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63"/>
      <c r="J15" s="763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54"/>
      <c r="W15" s="579"/>
      <c r="X15" s="766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63"/>
      <c r="J16" s="763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54"/>
      <c r="W16" s="579"/>
      <c r="X16" s="766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63"/>
      <c r="J17" s="763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54"/>
      <c r="W17" s="579"/>
      <c r="X17" s="766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63"/>
      <c r="J18" s="763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54"/>
      <c r="W18" s="579"/>
      <c r="X18" s="766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64"/>
      <c r="J19" s="764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55"/>
      <c r="W19" s="580"/>
      <c r="X19" s="767"/>
      <c r="Y19" s="609" t="s">
        <v>252</v>
      </c>
      <c r="Z19" s="610">
        <v>0</v>
      </c>
    </row>
    <row r="20" spans="1:26" ht="14.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33">
        <f>SUM(G21:G29)</f>
        <v>176179.5</v>
      </c>
      <c r="J21" s="733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45">
        <f>J21-SUM(U21:U29)</f>
        <v>4.3917411821894348E-3</v>
      </c>
      <c r="W21" s="541">
        <v>45835</v>
      </c>
      <c r="X21" s="736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34"/>
      <c r="J22" s="734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46"/>
      <c r="W22" s="679">
        <v>45838</v>
      </c>
      <c r="X22" s="737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34"/>
      <c r="J23" s="734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46"/>
      <c r="W23" s="679">
        <v>45869</v>
      </c>
      <c r="X23" s="737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34"/>
      <c r="J24" s="734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46"/>
      <c r="W24" s="679"/>
      <c r="X24" s="737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34"/>
      <c r="J25" s="734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46"/>
      <c r="W25" s="679">
        <v>45867</v>
      </c>
      <c r="X25" s="737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34"/>
      <c r="J26" s="734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46"/>
      <c r="W26" s="574"/>
      <c r="X26" s="737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34"/>
      <c r="J27" s="734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46"/>
      <c r="W27" s="575"/>
      <c r="X27" s="737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34"/>
      <c r="J28" s="734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46"/>
      <c r="W28" s="575"/>
      <c r="X28" s="737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35"/>
      <c r="J29" s="735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47"/>
      <c r="W29" s="576"/>
      <c r="X29" s="738"/>
      <c r="Y29" s="615" t="s">
        <v>268</v>
      </c>
      <c r="Z29" s="616" t="s">
        <v>269</v>
      </c>
    </row>
    <row r="30" spans="1:26" ht="14.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62">
        <f>SUM(G31:G45)</f>
        <v>317797.8</v>
      </c>
      <c r="J31" s="762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53">
        <f>J31-SUM(U31:U45)</f>
        <v>-1.0530209226999432E-2</v>
      </c>
      <c r="W31" s="539">
        <f>W13</f>
        <v>45867</v>
      </c>
      <c r="X31" s="765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63"/>
      <c r="J32" s="763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54"/>
      <c r="W32" s="540">
        <f>W31</f>
        <v>45867</v>
      </c>
      <c r="X32" s="766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63"/>
      <c r="J33" s="763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54"/>
      <c r="W33" s="540">
        <v>45890</v>
      </c>
      <c r="X33" s="766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63"/>
      <c r="J34" s="763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54"/>
      <c r="W34" s="579"/>
      <c r="X34" s="766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63"/>
      <c r="J35" s="763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5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54"/>
      <c r="W35" s="540">
        <f>W96</f>
        <v>45792</v>
      </c>
      <c r="X35" s="766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63"/>
      <c r="J36" s="763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57"/>
      <c r="S36" s="632" t="s">
        <v>280</v>
      </c>
      <c r="T36" s="659">
        <v>45808</v>
      </c>
      <c r="U36" s="674">
        <v>29171.625589765634</v>
      </c>
      <c r="V36" s="754"/>
      <c r="W36" s="540">
        <f t="shared" ref="W36:W42" si="4">W97</f>
        <v>45813</v>
      </c>
      <c r="X36" s="766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63"/>
      <c r="J37" s="763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57"/>
      <c r="S37" s="632" t="s">
        <v>282</v>
      </c>
      <c r="T37" s="658">
        <v>45838</v>
      </c>
      <c r="U37" s="674">
        <v>29692.357080377973</v>
      </c>
      <c r="V37" s="754"/>
      <c r="W37" s="540">
        <f t="shared" si="4"/>
        <v>45876</v>
      </c>
      <c r="X37" s="766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63"/>
      <c r="J38" s="763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57"/>
      <c r="S38" s="632" t="s">
        <v>284</v>
      </c>
      <c r="T38" s="658">
        <v>45838</v>
      </c>
      <c r="U38" s="674">
        <v>37115.450306425788</v>
      </c>
      <c r="V38" s="754"/>
      <c r="W38" s="540">
        <f t="shared" si="4"/>
        <v>45849</v>
      </c>
      <c r="X38" s="766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63"/>
      <c r="J39" s="763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57"/>
      <c r="S39" s="632" t="s">
        <v>285</v>
      </c>
      <c r="T39" s="658">
        <v>45838</v>
      </c>
      <c r="U39" s="674">
        <v>14846.186452095628</v>
      </c>
      <c r="V39" s="754"/>
      <c r="W39" s="540">
        <f t="shared" si="4"/>
        <v>45904</v>
      </c>
      <c r="X39" s="766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63"/>
      <c r="J40" s="763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57"/>
      <c r="S40" s="632" t="s">
        <v>287</v>
      </c>
      <c r="T40" s="658">
        <v>45838</v>
      </c>
      <c r="U40" s="674">
        <v>14846.186452095628</v>
      </c>
      <c r="V40" s="754"/>
      <c r="W40" s="540">
        <f t="shared" si="4"/>
        <v>45904</v>
      </c>
      <c r="X40" s="766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63"/>
      <c r="J41" s="763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57"/>
      <c r="S41" s="632" t="s">
        <v>289</v>
      </c>
      <c r="T41" s="658">
        <v>45838</v>
      </c>
      <c r="U41" s="674">
        <v>7423.0932260478139</v>
      </c>
      <c r="V41" s="754"/>
      <c r="W41" s="540">
        <f t="shared" si="4"/>
        <v>45925</v>
      </c>
      <c r="X41" s="766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63"/>
      <c r="J42" s="763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58"/>
      <c r="S42" s="632" t="s">
        <v>291</v>
      </c>
      <c r="T42" s="658">
        <v>45838</v>
      </c>
      <c r="U42" s="674">
        <v>7423.0932260478139</v>
      </c>
      <c r="V42" s="754"/>
      <c r="W42" s="540">
        <f t="shared" si="4"/>
        <v>45954</v>
      </c>
      <c r="X42" s="766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63"/>
      <c r="J43" s="763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54"/>
      <c r="W43" s="579"/>
      <c r="X43" s="766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63"/>
      <c r="J44" s="763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54"/>
      <c r="W44" s="579"/>
      <c r="X44" s="766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64"/>
      <c r="J45" s="764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55"/>
      <c r="W45" s="580"/>
      <c r="X45" s="767"/>
      <c r="Y45" s="483"/>
    </row>
    <row r="46" spans="1:26" ht="14.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33">
        <f>SUM(G47:G56)</f>
        <v>49000</v>
      </c>
      <c r="J47" s="733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45">
        <f>J47-SUM(U47:U56)</f>
        <v>4.9348232496413402E-3</v>
      </c>
      <c r="W47" s="541">
        <v>45855</v>
      </c>
      <c r="X47" s="736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34"/>
      <c r="J48" s="734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46"/>
      <c r="W48" s="541">
        <v>45946</v>
      </c>
      <c r="X48" s="737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34"/>
      <c r="J49" s="734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46"/>
      <c r="W49" s="699">
        <v>45991</v>
      </c>
      <c r="X49" s="737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34"/>
      <c r="J50" s="734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46"/>
      <c r="W50" s="536">
        <v>45806</v>
      </c>
      <c r="X50" s="737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34"/>
      <c r="J51" s="734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46"/>
      <c r="W51" s="679">
        <v>45867</v>
      </c>
      <c r="X51" s="737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34"/>
      <c r="J52" s="734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46"/>
      <c r="W52" s="536">
        <v>45838</v>
      </c>
      <c r="X52" s="737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34"/>
      <c r="J53" s="734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46"/>
      <c r="W53" s="536">
        <v>45799</v>
      </c>
      <c r="X53" s="737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34"/>
      <c r="J54" s="734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46"/>
      <c r="W54" s="575"/>
      <c r="X54" s="737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34"/>
      <c r="J55" s="734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46"/>
      <c r="W55" s="575"/>
      <c r="X55" s="737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35"/>
      <c r="J56" s="735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47"/>
      <c r="W56" s="576"/>
      <c r="X56" s="738"/>
      <c r="Y56" s="483"/>
    </row>
    <row r="57" spans="1:25" ht="14.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62">
        <f>SUM(G58:G74)</f>
        <v>398615.72608695651</v>
      </c>
      <c r="J58" s="762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53">
        <f>J58-SUM(U58:U74)</f>
        <v>-1.7342904466204345E-3</v>
      </c>
      <c r="W58" s="578"/>
      <c r="X58" s="765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63"/>
      <c r="J59" s="763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54"/>
      <c r="W59" s="540">
        <v>45867</v>
      </c>
      <c r="X59" s="766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63"/>
      <c r="J60" s="763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54"/>
      <c r="W60" s="579"/>
      <c r="X60" s="766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63"/>
      <c r="J61" s="763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54"/>
      <c r="W61" s="579"/>
      <c r="X61" s="766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63"/>
      <c r="J62" s="763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54"/>
      <c r="W62" s="579"/>
      <c r="X62" s="766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63"/>
      <c r="J63" s="763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54"/>
      <c r="W63" s="579"/>
      <c r="X63" s="766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63"/>
      <c r="J64" s="763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5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54"/>
      <c r="W64" s="540">
        <f>W96</f>
        <v>45792</v>
      </c>
      <c r="X64" s="766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63"/>
      <c r="J65" s="763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57"/>
      <c r="S65" s="660" t="s">
        <v>280</v>
      </c>
      <c r="T65" s="659">
        <v>45808</v>
      </c>
      <c r="U65" s="674">
        <v>36387.227924933693</v>
      </c>
      <c r="V65" s="754"/>
      <c r="W65" s="540">
        <f t="shared" ref="W65:W71" si="8">W97</f>
        <v>45813</v>
      </c>
      <c r="X65" s="766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63"/>
      <c r="J66" s="763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57"/>
      <c r="S66" s="660" t="s">
        <v>282</v>
      </c>
      <c r="T66" s="658">
        <v>45838</v>
      </c>
      <c r="U66" s="674">
        <v>47231.552512479211</v>
      </c>
      <c r="V66" s="754"/>
      <c r="W66" s="540">
        <f>W98</f>
        <v>45876</v>
      </c>
      <c r="X66" s="766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63"/>
      <c r="J67" s="763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57"/>
      <c r="S67" s="660" t="s">
        <v>284</v>
      </c>
      <c r="T67" s="658">
        <v>45838</v>
      </c>
      <c r="U67" s="674">
        <v>59931.628140599008</v>
      </c>
      <c r="V67" s="754"/>
      <c r="W67" s="540">
        <f t="shared" si="8"/>
        <v>45849</v>
      </c>
      <c r="X67" s="766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63"/>
      <c r="J68" s="763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57"/>
      <c r="S68" s="660" t="s">
        <v>285</v>
      </c>
      <c r="T68" s="658">
        <v>45838</v>
      </c>
      <c r="U68" s="674">
        <v>23972.651256239606</v>
      </c>
      <c r="V68" s="754"/>
      <c r="W68" s="540">
        <f t="shared" si="8"/>
        <v>45904</v>
      </c>
      <c r="X68" s="766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63"/>
      <c r="J69" s="763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57"/>
      <c r="S69" s="660" t="s">
        <v>287</v>
      </c>
      <c r="T69" s="680">
        <v>45838</v>
      </c>
      <c r="U69" s="682">
        <v>23972.651256239606</v>
      </c>
      <c r="V69" s="754"/>
      <c r="W69" s="540">
        <f t="shared" si="8"/>
        <v>45904</v>
      </c>
      <c r="X69" s="766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63"/>
      <c r="J70" s="763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57"/>
      <c r="S70" s="660" t="s">
        <v>289</v>
      </c>
      <c r="T70" s="680">
        <v>45838</v>
      </c>
      <c r="U70" s="682">
        <v>11986.325628119803</v>
      </c>
      <c r="V70" s="754"/>
      <c r="W70" s="540">
        <f t="shared" si="8"/>
        <v>45925</v>
      </c>
      <c r="X70" s="766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63"/>
      <c r="J71" s="763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58"/>
      <c r="S71" s="660" t="s">
        <v>291</v>
      </c>
      <c r="T71" s="680">
        <v>45838</v>
      </c>
      <c r="U71" s="682">
        <v>11986.325628119803</v>
      </c>
      <c r="V71" s="754"/>
      <c r="W71" s="540">
        <f t="shared" si="8"/>
        <v>45954</v>
      </c>
      <c r="X71" s="766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63"/>
      <c r="J72" s="763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54"/>
      <c r="W72" s="582"/>
      <c r="X72" s="766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63"/>
      <c r="J73" s="763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54"/>
      <c r="W73" s="582"/>
      <c r="X73" s="766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64"/>
      <c r="J74" s="764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55"/>
      <c r="W74" s="580"/>
      <c r="X74" s="767"/>
      <c r="Y74" s="483"/>
    </row>
    <row r="75" spans="1:25" ht="14.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33">
        <f>SUM(G76:G83)</f>
        <v>0</v>
      </c>
      <c r="J76" s="733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68">
        <f>J76-SUM(U76:U83)</f>
        <v>0</v>
      </c>
      <c r="W76" s="584"/>
      <c r="X76" s="736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34"/>
      <c r="J77" s="734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69"/>
      <c r="W77" s="575"/>
      <c r="X77" s="737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34"/>
      <c r="J78" s="734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69"/>
      <c r="W78" s="575"/>
      <c r="X78" s="737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34"/>
      <c r="J79" s="734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69"/>
      <c r="W79" s="575"/>
      <c r="X79" s="73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34"/>
      <c r="J80" s="734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69"/>
      <c r="W80" s="575"/>
      <c r="X80" s="73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34"/>
      <c r="J81" s="734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69"/>
      <c r="W81" s="575"/>
      <c r="X81" s="73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34"/>
      <c r="J82" s="734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69"/>
      <c r="W82" s="575"/>
      <c r="X82" s="737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35"/>
      <c r="J83" s="735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70"/>
      <c r="W83" s="576"/>
      <c r="X83" s="738"/>
      <c r="Y83" s="483"/>
    </row>
    <row r="84" spans="1:25" ht="14.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62">
        <f>D178</f>
        <v>0</v>
      </c>
      <c r="J85" s="762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84">
        <f>J85-SUM(U85:U93)</f>
        <v>0</v>
      </c>
      <c r="W85" s="578"/>
      <c r="X85" s="765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63"/>
      <c r="J86" s="763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85"/>
      <c r="W86" s="579"/>
      <c r="X86" s="766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63"/>
      <c r="J87" s="763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85"/>
      <c r="W87" s="700">
        <v>46009</v>
      </c>
      <c r="X87" s="766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63"/>
      <c r="J88" s="763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85"/>
      <c r="W88" s="540">
        <v>45939</v>
      </c>
      <c r="X88" s="766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63"/>
      <c r="J89" s="763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85"/>
      <c r="W89" s="540">
        <v>45974</v>
      </c>
      <c r="X89" s="766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63"/>
      <c r="J90" s="763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85"/>
      <c r="W90" s="700">
        <v>46051</v>
      </c>
      <c r="X90" s="766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63"/>
      <c r="J91" s="763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85"/>
      <c r="W91" s="700">
        <v>46053</v>
      </c>
      <c r="X91" s="766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63"/>
      <c r="J92" s="763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85"/>
      <c r="W92" s="582"/>
      <c r="X92" s="766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64"/>
      <c r="J93" s="764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86"/>
      <c r="W93" s="580"/>
      <c r="X93" s="767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78">
        <f>SUM(G95:G106)</f>
        <v>316662.5</v>
      </c>
      <c r="J95" s="733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45">
        <f>J95-SUM(U95:U106)</f>
        <v>0</v>
      </c>
      <c r="W95" s="581"/>
      <c r="X95" s="78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79"/>
      <c r="J96" s="734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87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46"/>
      <c r="W96" s="536">
        <v>45792</v>
      </c>
      <c r="X96" s="78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79"/>
      <c r="J97" s="734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88"/>
      <c r="S97" s="628" t="s">
        <v>280</v>
      </c>
      <c r="T97" s="663">
        <v>45808</v>
      </c>
      <c r="U97" s="671">
        <v>55881.617647058818</v>
      </c>
      <c r="V97" s="746"/>
      <c r="W97" s="537">
        <v>45813</v>
      </c>
      <c r="X97" s="78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79"/>
      <c r="J98" s="734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88"/>
      <c r="S98" s="628" t="s">
        <v>282</v>
      </c>
      <c r="T98" s="645">
        <v>45838</v>
      </c>
      <c r="U98" s="671">
        <v>74508.823529411762</v>
      </c>
      <c r="V98" s="746"/>
      <c r="W98" s="537">
        <v>45876</v>
      </c>
      <c r="X98" s="78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79"/>
      <c r="J99" s="734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88"/>
      <c r="S99" s="628" t="s">
        <v>284</v>
      </c>
      <c r="T99" s="645">
        <v>45838</v>
      </c>
      <c r="U99" s="671">
        <v>93136.029411764699</v>
      </c>
      <c r="V99" s="746"/>
      <c r="W99" s="537">
        <v>45849</v>
      </c>
      <c r="X99" s="78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79"/>
      <c r="J100" s="734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88"/>
      <c r="S100" s="628" t="s">
        <v>285</v>
      </c>
      <c r="T100" s="645">
        <v>45838</v>
      </c>
      <c r="U100" s="671">
        <v>37254.411764705881</v>
      </c>
      <c r="V100" s="746"/>
      <c r="W100" s="537">
        <v>45904</v>
      </c>
      <c r="X100" s="78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79"/>
      <c r="J101" s="734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88"/>
      <c r="S101" s="628" t="s">
        <v>287</v>
      </c>
      <c r="T101" s="645">
        <v>45838</v>
      </c>
      <c r="U101" s="671">
        <v>37254.411764705881</v>
      </c>
      <c r="V101" s="746"/>
      <c r="W101" s="537">
        <v>45904</v>
      </c>
      <c r="X101" s="78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79"/>
      <c r="J102" s="734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88"/>
      <c r="S102" s="628" t="s">
        <v>289</v>
      </c>
      <c r="T102" s="645">
        <v>45838</v>
      </c>
      <c r="U102" s="671">
        <v>18627.205882352941</v>
      </c>
      <c r="V102" s="746"/>
      <c r="W102" s="537">
        <v>45925</v>
      </c>
      <c r="X102" s="78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79"/>
      <c r="J103" s="734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89"/>
      <c r="S103" s="628" t="s">
        <v>291</v>
      </c>
      <c r="T103" s="645">
        <v>45838</v>
      </c>
      <c r="U103" s="671">
        <v>18627.205882352941</v>
      </c>
      <c r="V103" s="746"/>
      <c r="W103" s="537">
        <v>45954</v>
      </c>
      <c r="X103" s="78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79"/>
      <c r="J104" s="734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46"/>
      <c r="W104" s="575"/>
      <c r="X104" s="78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79"/>
      <c r="J105" s="734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46"/>
      <c r="W105" s="575"/>
      <c r="X105" s="78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80"/>
      <c r="J106" s="735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47"/>
      <c r="W106" s="576"/>
      <c r="X106" s="783"/>
      <c r="Y106" s="483"/>
    </row>
    <row r="107" spans="1:25" ht="14.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0">
        <f>J108-SUM(U108:U127)</f>
        <v>-3.5881018557120115E-3</v>
      </c>
      <c r="W108" s="585"/>
      <c r="X108" s="743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8"/>
      <c r="J109" s="748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1"/>
      <c r="W109" s="586"/>
      <c r="X109" s="749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8"/>
      <c r="J110" s="748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1"/>
      <c r="W110" s="543">
        <v>45827</v>
      </c>
      <c r="X110" s="749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8"/>
      <c r="J111" s="748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1"/>
      <c r="W111" s="586"/>
      <c r="X111" s="749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8"/>
      <c r="J112" s="748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1"/>
      <c r="W112" s="586"/>
      <c r="X112" s="749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8"/>
      <c r="J113" s="748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1"/>
      <c r="W113" s="586"/>
      <c r="X113" s="749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8"/>
      <c r="J114" s="748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1"/>
      <c r="W114" s="586"/>
      <c r="X114" s="749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8"/>
      <c r="J115" s="748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1"/>
      <c r="W115" s="586"/>
      <c r="X115" s="749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8"/>
      <c r="J116" s="748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1"/>
      <c r="W116" s="586"/>
      <c r="X116" s="749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8"/>
      <c r="J117" s="748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5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1"/>
      <c r="W117" s="544">
        <f t="shared" ref="W117:W124" si="12">W96</f>
        <v>45792</v>
      </c>
      <c r="X117" s="749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8"/>
      <c r="J118" s="748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60"/>
      <c r="S118" s="661" t="s">
        <v>280</v>
      </c>
      <c r="T118" s="662">
        <v>45808</v>
      </c>
      <c r="U118" s="677">
        <v>5909.1672337403561</v>
      </c>
      <c r="V118" s="751"/>
      <c r="W118" s="544">
        <f t="shared" si="12"/>
        <v>45813</v>
      </c>
      <c r="X118" s="749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8"/>
      <c r="J119" s="748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60"/>
      <c r="S119" s="641" t="s">
        <v>282</v>
      </c>
      <c r="T119" s="657">
        <v>45838</v>
      </c>
      <c r="U119" s="677">
        <v>7878.8896449871418</v>
      </c>
      <c r="V119" s="751"/>
      <c r="W119" s="544">
        <f t="shared" si="12"/>
        <v>45876</v>
      </c>
      <c r="X119" s="749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8"/>
      <c r="J120" s="748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60"/>
      <c r="S120" s="641" t="s">
        <v>284</v>
      </c>
      <c r="T120" s="657">
        <v>45838</v>
      </c>
      <c r="U120" s="677">
        <v>9848.6120562339256</v>
      </c>
      <c r="V120" s="751"/>
      <c r="W120" s="544">
        <f t="shared" si="12"/>
        <v>45849</v>
      </c>
      <c r="X120" s="749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8"/>
      <c r="J121" s="748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60"/>
      <c r="S121" s="641" t="s">
        <v>285</v>
      </c>
      <c r="T121" s="657">
        <v>45838</v>
      </c>
      <c r="U121" s="677">
        <v>3939.4448224935709</v>
      </c>
      <c r="V121" s="751"/>
      <c r="W121" s="544">
        <f t="shared" si="12"/>
        <v>45904</v>
      </c>
      <c r="X121" s="749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8"/>
      <c r="J122" s="748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60"/>
      <c r="S122" s="641" t="s">
        <v>287</v>
      </c>
      <c r="T122" s="657">
        <v>45838</v>
      </c>
      <c r="U122" s="677">
        <v>3939.4448224935709</v>
      </c>
      <c r="V122" s="751"/>
      <c r="W122" s="544">
        <f t="shared" si="12"/>
        <v>45904</v>
      </c>
      <c r="X122" s="749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8"/>
      <c r="J123" s="748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60"/>
      <c r="S123" s="641" t="s">
        <v>289</v>
      </c>
      <c r="T123" s="657">
        <v>45838</v>
      </c>
      <c r="U123" s="677">
        <v>1969.7224112467854</v>
      </c>
      <c r="V123" s="751"/>
      <c r="W123" s="544">
        <f t="shared" si="12"/>
        <v>45925</v>
      </c>
      <c r="X123" s="749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8"/>
      <c r="J124" s="748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61"/>
      <c r="S124" s="641" t="s">
        <v>291</v>
      </c>
      <c r="T124" s="657">
        <v>45838</v>
      </c>
      <c r="U124" s="677">
        <v>1969.7224112467854</v>
      </c>
      <c r="V124" s="751"/>
      <c r="W124" s="544">
        <f t="shared" si="12"/>
        <v>45954</v>
      </c>
      <c r="X124" s="749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8"/>
      <c r="J125" s="748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1"/>
      <c r="W125" s="587"/>
      <c r="X125" s="749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8"/>
      <c r="J126" s="748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1"/>
      <c r="W126" s="587"/>
      <c r="X126" s="749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0"/>
      <c r="J127" s="740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2"/>
      <c r="W127" s="588"/>
      <c r="X127" s="744"/>
      <c r="Y127" s="483"/>
    </row>
    <row r="128" spans="1:25" ht="14.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33">
        <f>SUM(G129:G133)</f>
        <v>117575.5</v>
      </c>
      <c r="J129" s="733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45">
        <f>J129-SUM(U129:U133)</f>
        <v>3.6223639326635748E-3</v>
      </c>
      <c r="W129" s="541">
        <v>45911</v>
      </c>
      <c r="X129" s="736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34"/>
      <c r="J130" s="734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46"/>
      <c r="W130" s="652">
        <v>45757</v>
      </c>
      <c r="X130" s="737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34"/>
      <c r="J131" s="734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46"/>
      <c r="W131" s="574"/>
      <c r="X131" s="737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34"/>
      <c r="J132" s="734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46"/>
      <c r="W132" s="537">
        <v>45834</v>
      </c>
      <c r="X132" s="737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35"/>
      <c r="J133" s="735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47"/>
      <c r="W133" s="538">
        <v>45869</v>
      </c>
      <c r="X133" s="738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41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3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0"/>
      <c r="J136" s="740"/>
      <c r="K136" s="742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33">
        <f>SUM(G138:G142)</f>
        <v>131304.62170108696</v>
      </c>
      <c r="J138" s="733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45">
        <f>J138-SUM(U138:U143)</f>
        <v>0</v>
      </c>
      <c r="W138" s="541">
        <v>45869</v>
      </c>
      <c r="X138" s="736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34"/>
      <c r="J139" s="734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46"/>
      <c r="W139" s="536">
        <f>W138</f>
        <v>45869</v>
      </c>
      <c r="X139" s="737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34"/>
      <c r="J140" s="734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46"/>
      <c r="W140" s="536">
        <f>W138</f>
        <v>45869</v>
      </c>
      <c r="X140" s="737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34"/>
      <c r="J141" s="734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46"/>
      <c r="W141" s="536">
        <f>W138</f>
        <v>45869</v>
      </c>
      <c r="X141" s="737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34"/>
      <c r="J142" s="734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46"/>
      <c r="W142" s="536">
        <f>W138</f>
        <v>45869</v>
      </c>
      <c r="X142" s="737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35"/>
      <c r="J143" s="735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47"/>
      <c r="W143" s="576"/>
      <c r="X143" s="738"/>
      <c r="Y143" s="483"/>
    </row>
    <row r="144" spans="1:25" ht="14.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0">
        <f>J145-SUM(U145:U156)</f>
        <v>7.0656795469403733E-4</v>
      </c>
      <c r="W145" s="650">
        <v>45785</v>
      </c>
      <c r="X145" s="743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8"/>
      <c r="J146" s="748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1"/>
      <c r="W146" s="544">
        <v>45777</v>
      </c>
      <c r="X146" s="749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8"/>
      <c r="J147" s="748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1"/>
      <c r="W147" s="681">
        <v>45815</v>
      </c>
      <c r="X147" s="749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8"/>
      <c r="J148" s="748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1"/>
      <c r="W148" s="681">
        <v>45842</v>
      </c>
      <c r="X148" s="749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8"/>
      <c r="J149" s="748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1"/>
      <c r="W149" s="544">
        <v>45876</v>
      </c>
      <c r="X149" s="749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8"/>
      <c r="J150" s="748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1"/>
      <c r="W150" s="544">
        <v>45900</v>
      </c>
      <c r="X150" s="749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8"/>
      <c r="J151" s="748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1"/>
      <c r="W151" s="697">
        <v>45930</v>
      </c>
      <c r="X151" s="749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8"/>
      <c r="J152" s="748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1"/>
      <c r="W152" s="697">
        <v>45961</v>
      </c>
      <c r="X152" s="749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8"/>
      <c r="J153" s="748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1"/>
      <c r="W153" s="697">
        <v>45991</v>
      </c>
      <c r="X153" s="749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8"/>
      <c r="J154" s="748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1"/>
      <c r="W154" s="697">
        <v>46022</v>
      </c>
      <c r="X154" s="749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8"/>
      <c r="J155" s="748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1"/>
      <c r="W155" s="587"/>
      <c r="X155" s="749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0"/>
      <c r="J156" s="740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2"/>
      <c r="W156" s="588"/>
      <c r="X156" s="744"/>
      <c r="Y156" s="483"/>
    </row>
    <row r="157" spans="1:25" ht="14.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33">
        <f>SUM(G158:G169)</f>
        <v>800000</v>
      </c>
      <c r="J158" s="733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45">
        <f>J158-SUM(U158:U169)</f>
        <v>0</v>
      </c>
      <c r="W158" s="541">
        <v>45834</v>
      </c>
      <c r="X158" s="736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34"/>
      <c r="J159" s="734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46"/>
      <c r="W159" s="536">
        <v>45918</v>
      </c>
      <c r="X159" s="737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34"/>
      <c r="J160" s="734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46"/>
      <c r="W160" s="574"/>
      <c r="X160" s="737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34"/>
      <c r="J161" s="734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46"/>
      <c r="W161" s="574"/>
      <c r="X161" s="737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34"/>
      <c r="J162" s="734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46"/>
      <c r="W162" s="536">
        <v>45932</v>
      </c>
      <c r="X162" s="737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34"/>
      <c r="J163" s="734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46"/>
      <c r="W163" s="652">
        <v>45991</v>
      </c>
      <c r="X163" s="737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34"/>
      <c r="J164" s="734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46"/>
      <c r="W164" s="652">
        <v>45980</v>
      </c>
      <c r="X164" s="737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34"/>
      <c r="J165" s="734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46"/>
      <c r="W165" s="574"/>
      <c r="X165" s="737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34"/>
      <c r="J166" s="734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46"/>
      <c r="W166" s="574"/>
      <c r="X166" s="737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34"/>
      <c r="J167" s="734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46"/>
      <c r="W167" s="574"/>
      <c r="X167" s="737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34"/>
      <c r="J168" s="734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46"/>
      <c r="W168" s="574"/>
      <c r="X168" s="737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35"/>
      <c r="J169" s="735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47"/>
      <c r="W169" s="576"/>
      <c r="X169" s="738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  <mergeCell ref="I21:I29"/>
    <mergeCell ref="J21:J29"/>
    <mergeCell ref="I31:I45"/>
    <mergeCell ref="J31:J45"/>
    <mergeCell ref="X31:X45"/>
    <mergeCell ref="B2:G2"/>
    <mergeCell ref="L2:Q2"/>
    <mergeCell ref="I6:I11"/>
    <mergeCell ref="J6:J11"/>
    <mergeCell ref="R2:W2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X6:X11"/>
    <mergeCell ref="V6:V11"/>
    <mergeCell ref="V13:V19"/>
    <mergeCell ref="V21:V29"/>
    <mergeCell ref="V31:V45"/>
    <mergeCell ref="X21:X29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2" sqref="I12"/>
    </sheetView>
  </sheetViews>
  <sheetFormatPr defaultColWidth="12.54296875" defaultRowHeight="14.5"/>
  <cols>
    <col min="1" max="1" width="39.453125" style="367" bestFit="1" customWidth="1"/>
    <col min="2" max="2" width="17.26953125" style="368" bestFit="1" customWidth="1"/>
    <col min="3" max="3" width="12" style="367" bestFit="1" customWidth="1"/>
    <col min="4" max="5" width="14.81640625" style="367" bestFit="1" customWidth="1"/>
    <col min="6" max="6" width="13.26953125" style="367" bestFit="1" customWidth="1"/>
    <col min="7" max="7" width="12" style="367" bestFit="1" customWidth="1"/>
    <col min="8" max="8" width="10.54296875" style="367" bestFit="1" customWidth="1"/>
    <col min="9" max="11" width="11.7265625" style="367" bestFit="1" customWidth="1"/>
    <col min="12" max="12" width="4.81640625" style="367" bestFit="1" customWidth="1"/>
    <col min="13" max="13" width="11.7265625" style="367" bestFit="1" customWidth="1"/>
    <col min="14" max="14" width="14.81640625" style="367" bestFit="1" customWidth="1"/>
    <col min="15" max="18" width="11.453125" style="367" bestFit="1" customWidth="1"/>
    <col min="19" max="19" width="13.54296875" style="367" bestFit="1" customWidth="1"/>
    <col min="20" max="16384" width="12.5429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332</v>
      </c>
      <c r="N4" t="s">
        <v>428</v>
      </c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/>
      <c r="N6" s="685">
        <v>934730.125</v>
      </c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/>
      <c r="N7" s="685">
        <v>238636.36363636365</v>
      </c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/>
      <c r="N8" s="685">
        <v>200203.97288098611</v>
      </c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/>
      <c r="N9" s="685">
        <v>361133.87416657282</v>
      </c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/>
      <c r="N10" s="685">
        <v>55681.813246994934</v>
      </c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/>
      <c r="N11" s="685">
        <v>452972.4177421956</v>
      </c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/>
      <c r="N13" s="685">
        <v>372544.1176470588</v>
      </c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/>
      <c r="N14" s="685">
        <v>75266.121235160681</v>
      </c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/>
      <c r="N15" s="685">
        <v>138324.11402469489</v>
      </c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/>
      <c r="N16" s="685">
        <v>149209.79738759881</v>
      </c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/>
      <c r="N17" s="685">
        <v>8029.4110581379282</v>
      </c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/>
      <c r="N18" s="685">
        <v>800000</v>
      </c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/>
      <c r="N21" s="685">
        <v>3786732.1280257651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5" width="14.8164062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265625" bestFit="1" customWidth="1"/>
    <col min="11" max="11" width="12" bestFit="1" customWidth="1"/>
    <col min="12" max="12" width="4.81640625" bestFit="1" customWidth="1"/>
    <col min="13" max="13" width="11.7265625" bestFit="1" customWidth="1"/>
    <col min="14" max="14" width="14.81640625" bestFit="1" customWidth="1"/>
    <col min="15" max="15" width="13.8164062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332</v>
      </c>
      <c r="N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778527.79999999993</v>
      </c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/>
      <c r="N8" s="450">
        <v>67072.02</v>
      </c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/>
      <c r="N9" s="450">
        <v>228221.76749999999</v>
      </c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/>
      <c r="N10" s="450">
        <v>35927.14</v>
      </c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/>
      <c r="N11" s="450">
        <v>200393.09000000003</v>
      </c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850.5</v>
      </c>
      <c r="N12" s="450">
        <v>68584.800000000003</v>
      </c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/>
      <c r="N13" s="450">
        <v>470550</v>
      </c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/>
      <c r="N14" s="450">
        <v>46421.600000000006</v>
      </c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/>
      <c r="N15" s="450">
        <v>33449.729999999996</v>
      </c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/>
      <c r="N16" s="450">
        <v>47334.15</v>
      </c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/>
      <c r="N17" s="450">
        <v>10913.24</v>
      </c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/>
      <c r="N18" s="450">
        <v>595762.5</v>
      </c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850.5</v>
      </c>
      <c r="N21" s="450">
        <v>2789768.8875000002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95" t="s">
        <v>430</v>
      </c>
      <c r="C2" s="795"/>
      <c r="D2" s="795"/>
      <c r="E2" s="795"/>
      <c r="H2" s="796" t="s">
        <v>431</v>
      </c>
      <c r="I2" s="797"/>
      <c r="J2" s="797"/>
      <c r="K2" s="797"/>
      <c r="L2" s="797"/>
      <c r="M2" s="797"/>
      <c r="N2" s="797"/>
      <c r="O2" s="798"/>
    </row>
    <row r="3" spans="2:15">
      <c r="B3" s="691"/>
      <c r="H3" s="799"/>
      <c r="I3" s="800"/>
      <c r="J3" s="800"/>
      <c r="K3" s="800"/>
      <c r="L3" s="800"/>
      <c r="M3" s="800"/>
      <c r="N3" s="800"/>
      <c r="O3" s="801"/>
    </row>
    <row r="4" spans="2:15">
      <c r="B4" s="692" t="s">
        <v>432</v>
      </c>
      <c r="C4" s="693" t="str">
        <f>'Project Plan'!E2</f>
        <v>Kroonstad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2" t="s">
        <v>433</v>
      </c>
      <c r="C5" s="693" t="s">
        <v>434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2" t="s">
        <v>435</v>
      </c>
      <c r="C6" s="693" t="s">
        <v>436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2" t="s">
        <v>437</v>
      </c>
      <c r="C7" s="693" t="s">
        <v>118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1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438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439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794" t="s">
        <v>450</v>
      </c>
      <c r="C18" s="794"/>
      <c r="D18" s="794"/>
      <c r="E18" s="794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1749D13-DAAA-4E89-A37B-319F4DA67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2026-02-24T16:09:10Z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