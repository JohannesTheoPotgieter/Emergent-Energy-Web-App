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6" documentId="13_ncr:1_{C8A13B6E-D381-4ABA-939D-24E73EE90B2A}" xr6:coauthVersionLast="47" xr6:coauthVersionMax="47" xr10:uidLastSave="{03034F7B-1032-44D7-8452-003FEB0A90DF}"/>
  <bookViews>
    <workbookView xWindow="-108" yWindow="-108" windowWidth="23256" windowHeight="12456" tabRatio="621" firstSheet="7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59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V6" i="18"/>
  <c r="Q7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U132" i="18"/>
  <c r="F17" i="5"/>
  <c r="F18" i="5"/>
  <c r="F19" i="5"/>
  <c r="F13" i="5"/>
  <c r="C3" i="6"/>
  <c r="F20" i="5"/>
  <c r="H22" i="3"/>
  <c r="U155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1" i="18" l="1"/>
  <c r="U166" i="18"/>
  <c r="U168" i="18"/>
  <c r="U164" i="18"/>
  <c r="H23" i="3"/>
  <c r="J23" i="3" s="1"/>
  <c r="U165" i="18"/>
  <c r="N35" i="2"/>
  <c r="M9" i="2"/>
  <c r="J22" i="3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0" i="2"/>
  <c r="K48" i="2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<sst xmlns="http://schemas.openxmlformats.org/spreadsheetml/2006/main" count="920" uniqueCount="522">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</sst>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3263855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-785255.24250000017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0" t="s">
        <v>57</v>
      </c>
      <c r="E47" s="710"/>
      <c r="F47" s="711"/>
      <c r="G47" s="67"/>
      <c r="I47" s="68"/>
      <c r="J47" s="68"/>
    </row>
    <row r="48" spans="1:49" ht="14.45" thickBot="1">
      <c r="C48" s="69">
        <v>44014</v>
      </c>
      <c r="D48" s="712"/>
      <c r="E48" s="712"/>
      <c r="F48" s="71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" customWidth="1"/>
    <col min="3" max="3" width="28.85546875" customWidth="1"/>
    <col min="4" max="4" width="15.28515625" customWidth="1"/>
    <col min="5" max="5" width="16.5703125" customWidth="1"/>
    <col min="6" max="6" width="5.85546875" customWidth="1"/>
  </cols>
  <sheetData>
    <row r="1" spans="2:15" ht="15" thickBot="1"/>
    <row r="2" spans="2:15" ht="18">
      <c r="B2" s="716" t="s">
        <v>58</v>
      </c>
      <c r="C2" s="716"/>
      <c r="D2" s="716"/>
      <c r="E2" s="716"/>
      <c r="H2" s="717" t="s">
        <v>59</v>
      </c>
      <c r="I2" s="718"/>
      <c r="J2" s="718"/>
      <c r="K2" s="718"/>
      <c r="L2" s="718"/>
      <c r="M2" s="718"/>
      <c r="N2" s="718"/>
      <c r="O2" s="719"/>
    </row>
    <row r="3" spans="2:15">
      <c r="B3" s="690"/>
      <c r="H3" s="720"/>
      <c r="I3" s="721"/>
      <c r="J3" s="721"/>
      <c r="K3" s="721"/>
      <c r="L3" s="721"/>
      <c r="M3" s="721"/>
      <c r="N3" s="721"/>
      <c r="O3" s="722"/>
    </row>
    <row r="4" spans="2:15">
      <c r="B4" s="691" t="s">
        <v>60</v>
      </c>
      <c r="C4" s="692" t="str">
        <f>'Project Plan'!E2</f>
        <v>Sibasa</v>
      </c>
      <c r="H4" s="720"/>
      <c r="I4" s="721"/>
      <c r="J4" s="721"/>
      <c r="K4" s="721"/>
      <c r="L4" s="721"/>
      <c r="M4" s="721"/>
      <c r="N4" s="721"/>
      <c r="O4" s="722"/>
    </row>
    <row r="5" spans="2:15">
      <c r="B5" s="691" t="s">
        <v>61</v>
      </c>
      <c r="C5" s="692" t="s">
        <v>62</v>
      </c>
      <c r="H5" s="720"/>
      <c r="I5" s="721"/>
      <c r="J5" s="721"/>
      <c r="K5" s="721"/>
      <c r="L5" s="721"/>
      <c r="M5" s="721"/>
      <c r="N5" s="721"/>
      <c r="O5" s="722"/>
    </row>
    <row r="6" spans="2:15">
      <c r="B6" s="691" t="s">
        <v>63</v>
      </c>
      <c r="C6" s="692" t="s">
        <v>64</v>
      </c>
      <c r="H6" s="720"/>
      <c r="I6" s="721"/>
      <c r="J6" s="721"/>
      <c r="K6" s="721"/>
      <c r="L6" s="721"/>
      <c r="M6" s="721"/>
      <c r="N6" s="721"/>
      <c r="O6" s="722"/>
    </row>
    <row r="7" spans="2:15">
      <c r="B7" s="691" t="s">
        <v>65</v>
      </c>
      <c r="C7" s="692" t="s">
        <v>66</v>
      </c>
      <c r="H7" s="720"/>
      <c r="I7" s="721"/>
      <c r="J7" s="721"/>
      <c r="K7" s="721"/>
      <c r="L7" s="721"/>
      <c r="M7" s="721"/>
      <c r="N7" s="721"/>
      <c r="O7" s="722"/>
    </row>
    <row r="8" spans="2:15">
      <c r="B8" s="690"/>
      <c r="H8" s="720"/>
      <c r="I8" s="721"/>
      <c r="J8" s="721"/>
      <c r="K8" s="721"/>
      <c r="L8" s="721"/>
      <c r="M8" s="721"/>
      <c r="N8" s="721"/>
      <c r="O8" s="722"/>
    </row>
    <row r="9" spans="2:15">
      <c r="B9" s="726" t="s">
        <v>67</v>
      </c>
      <c r="C9" s="726"/>
      <c r="D9" s="726"/>
      <c r="E9" s="726"/>
      <c r="H9" s="720"/>
      <c r="I9" s="721"/>
      <c r="J9" s="721"/>
      <c r="K9" s="721"/>
      <c r="L9" s="721"/>
      <c r="M9" s="721"/>
      <c r="N9" s="721"/>
      <c r="O9" s="722"/>
    </row>
    <row r="10" spans="2:15" ht="15" thickBot="1">
      <c r="B10" s="726" t="s">
        <v>68</v>
      </c>
      <c r="C10" s="726"/>
      <c r="D10" s="726"/>
      <c r="E10" s="726"/>
      <c r="H10" s="723"/>
      <c r="I10" s="724"/>
      <c r="J10" s="724"/>
      <c r="K10" s="724"/>
      <c r="L10" s="724"/>
      <c r="M10" s="724"/>
      <c r="N10" s="724"/>
      <c r="O10" s="725"/>
    </row>
    <row r="11" spans="2:15">
      <c r="B11" s="693" t="s">
        <v>69</v>
      </c>
      <c r="C11" s="714" t="s">
        <v>70</v>
      </c>
      <c r="D11" s="714"/>
      <c r="E11" s="714"/>
    </row>
    <row r="12" spans="2:15">
      <c r="B12" s="693" t="s">
        <v>71</v>
      </c>
      <c r="C12" s="714" t="s">
        <v>70</v>
      </c>
      <c r="D12" s="714"/>
      <c r="E12" s="714"/>
    </row>
    <row r="13" spans="2:15">
      <c r="B13" s="693" t="s">
        <v>72</v>
      </c>
      <c r="C13" s="714" t="s">
        <v>70</v>
      </c>
      <c r="D13" s="714"/>
      <c r="E13" s="714"/>
    </row>
    <row r="14" spans="2:15">
      <c r="B14" s="693" t="s">
        <v>73</v>
      </c>
      <c r="C14" s="714" t="s">
        <v>74</v>
      </c>
      <c r="D14" s="714"/>
      <c r="E14" s="714"/>
    </row>
    <row r="15" spans="2:15">
      <c r="B15" s="693" t="s">
        <v>75</v>
      </c>
      <c r="C15" s="714" t="s">
        <v>76</v>
      </c>
      <c r="D15" s="714"/>
      <c r="E15" s="714"/>
    </row>
    <row r="16" spans="2:15" ht="15" customHeight="1">
      <c r="B16" s="693" t="s">
        <v>77</v>
      </c>
      <c r="C16" s="714" t="s">
        <v>78</v>
      </c>
      <c r="D16" s="714"/>
      <c r="E16" s="714"/>
    </row>
    <row r="17" spans="2:5">
      <c r="B17" s="690"/>
    </row>
    <row r="18" spans="2:5">
      <c r="B18" s="715" t="s">
        <v>79</v>
      </c>
      <c r="C18" s="715"/>
      <c r="D18" s="715"/>
      <c r="E18" s="715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8515625" defaultRowHeight="14.45"/>
  <cols>
    <col min="1" max="1" width="7.28515625" customWidth="1"/>
    <col min="2" max="2" width="37.855468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727" t="s">
        <v>87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97</v>
      </c>
      <c r="C16" s="728"/>
      <c r="D16" s="728"/>
      <c r="E16" s="728"/>
      <c r="F16" s="729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3" zoomScale="85" zoomScaleNormal="85" workbookViewId="0">
      <selection activeCell="P2" sqref="P2"/>
    </sheetView>
  </sheetViews>
  <sheetFormatPr defaultColWidth="8.28515625" defaultRowHeight="13.9"/>
  <cols>
    <col min="1" max="1" width="1.28515625" style="111" customWidth="1"/>
    <col min="2" max="2" width="6.28515625" style="170" bestFit="1" customWidth="1"/>
    <col min="3" max="3" width="50.5703125" style="24" bestFit="1" customWidth="1"/>
    <col min="4" max="4" width="3.28515625" style="111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1" customWidth="1"/>
    <col min="9" max="9" width="12" style="111" bestFit="1" customWidth="1"/>
    <col min="10" max="10" width="11.28515625" style="112" customWidth="1"/>
    <col min="11" max="11" width="14.5703125" style="111" customWidth="1"/>
    <col min="12" max="12" width="2.28515625" style="111" customWidth="1"/>
    <col min="13" max="13" width="12.5703125" style="111" customWidth="1"/>
    <col min="14" max="14" width="11" style="111" bestFit="1" customWidth="1"/>
    <col min="15" max="15" width="67.85546875" style="111" bestFit="1" customWidth="1"/>
    <col min="16" max="16" width="1.28515625" style="111" customWidth="1"/>
    <col min="17" max="17" width="5.5703125" style="3" customWidth="1"/>
    <col min="18" max="25" width="8.28515625" style="111"/>
    <col min="26" max="16384" width="8.2851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46071</v>
      </c>
      <c r="O1" s="404">
        <f ca="1">TODAY()</f>
        <v>46071</v>
      </c>
      <c r="Q1" s="3"/>
    </row>
    <row r="2" spans="2:28">
      <c r="B2" s="175"/>
      <c r="C2" s="176" t="s">
        <v>0</v>
      </c>
      <c r="D2" s="177"/>
      <c r="E2" s="730" t="s">
        <v>101</v>
      </c>
      <c r="F2" s="731"/>
      <c r="G2" s="731"/>
      <c r="H2" s="732"/>
      <c r="N2" s="405">
        <v>0</v>
      </c>
      <c r="O2" s="742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43"/>
      <c r="Q3" s="3"/>
    </row>
    <row r="4" spans="2:28" s="111" customFormat="1">
      <c r="B4" s="178"/>
      <c r="C4" s="179" t="s">
        <v>104</v>
      </c>
      <c r="D4" s="177"/>
      <c r="E4" s="733" t="s">
        <v>66</v>
      </c>
      <c r="F4" s="734"/>
      <c r="G4" s="734"/>
      <c r="H4" s="735"/>
      <c r="J4" s="112"/>
      <c r="O4" s="743"/>
      <c r="Q4" s="3"/>
    </row>
    <row r="5" spans="2:28" s="111" customFormat="1">
      <c r="B5" s="178"/>
      <c r="C5" s="179" t="s">
        <v>105</v>
      </c>
      <c r="D5" s="177"/>
      <c r="E5" s="733" t="s">
        <v>106</v>
      </c>
      <c r="F5" s="734"/>
      <c r="G5" s="734"/>
      <c r="H5" s="735"/>
      <c r="J5" s="112"/>
      <c r="O5" s="743"/>
      <c r="Q5" s="3"/>
    </row>
    <row r="6" spans="2:28">
      <c r="B6" s="183"/>
      <c r="C6" s="184" t="s">
        <v>107</v>
      </c>
      <c r="D6" s="177"/>
      <c r="E6" s="736">
        <v>4662650</v>
      </c>
      <c r="F6" s="737"/>
      <c r="G6" s="737"/>
      <c r="H6" s="738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44" t="s">
        <v>110</v>
      </c>
      <c r="C8" s="745" t="s">
        <v>111</v>
      </c>
      <c r="D8" s="214"/>
      <c r="E8" s="741" t="s">
        <v>112</v>
      </c>
      <c r="F8" s="236" t="s">
        <v>113</v>
      </c>
      <c r="G8" s="741" t="s">
        <v>114</v>
      </c>
      <c r="H8" s="237"/>
      <c r="I8" s="741" t="s">
        <v>115</v>
      </c>
      <c r="J8" s="236" t="s">
        <v>113</v>
      </c>
      <c r="K8" s="741" t="s">
        <v>116</v>
      </c>
      <c r="M8" s="411" t="s">
        <v>89</v>
      </c>
      <c r="N8" s="683" t="s">
        <v>117</v>
      </c>
      <c r="O8" s="739" t="s">
        <v>118</v>
      </c>
      <c r="Z8" s="111"/>
      <c r="AA8" s="111"/>
      <c r="AB8" s="111"/>
    </row>
    <row r="9" spans="2:28">
      <c r="B9" s="744"/>
      <c r="C9" s="745"/>
      <c r="D9" s="214"/>
      <c r="E9" s="741"/>
      <c r="F9" s="125">
        <f>G41-E19</f>
        <v>61</v>
      </c>
      <c r="G9" s="741"/>
      <c r="H9" s="237"/>
      <c r="I9" s="741"/>
      <c r="J9" s="126">
        <f>K41-I19</f>
        <v>266</v>
      </c>
      <c r="K9" s="741"/>
      <c r="M9" s="361">
        <f>AVERAGE(M11,M18,M21,M28,M35,M39,M46,M43)</f>
        <v>0.88802083333333337</v>
      </c>
      <c r="N9" s="361">
        <f ca="1">AVERAGE(N11,N18,N21,N28,N35,N39,N46,N43)</f>
        <v>0.875</v>
      </c>
      <c r="O9" s="740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9</v>
      </c>
      <c r="K46" s="245">
        <f>MAX(K47:K52)</f>
        <v>46080</v>
      </c>
      <c r="L46" s="113"/>
      <c r="M46" s="360">
        <f>(J47*M47+J48*M48+J49*M49+J50*M50+J51*M51+J52*M52)/SUM(J47:J52)</f>
        <v>0.10416666666666667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0.3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46077</v>
      </c>
      <c r="J51" s="250">
        <v>1</v>
      </c>
      <c r="K51" s="252">
        <f>WORKDAY.INTL(I51,J51,1,Data!$C$3:$C$44)</f>
        <v>46078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46075</v>
      </c>
      <c r="J52" s="250">
        <v>5</v>
      </c>
      <c r="K52" s="252">
        <f>WORKDAY.INTL(I52,J52,1,Data!$C$3:$C$44)</f>
        <v>46080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topLeftCell="A4" zoomScaleNormal="100" workbookViewId="0">
      <selection activeCell="P19" sqref="P19"/>
    </sheetView>
  </sheetViews>
  <sheetFormatPr defaultColWidth="8.28515625" defaultRowHeight="14.45"/>
  <cols>
    <col min="1" max="1" width="5.5703125" style="92" customWidth="1"/>
    <col min="2" max="2" width="5.5703125" style="129" customWidth="1"/>
    <col min="3" max="4" width="23.28515625" style="128" customWidth="1"/>
    <col min="5" max="5" width="6.5703125" style="128" customWidth="1"/>
    <col min="6" max="6" width="16.28515625" style="128" customWidth="1"/>
    <col min="7" max="7" width="11.85546875" style="128" bestFit="1" customWidth="1"/>
    <col min="8" max="8" width="18" style="128" bestFit="1" customWidth="1"/>
    <col min="9" max="9" width="1.28515625" style="128" customWidth="1"/>
    <col min="10" max="10" width="3.28515625" style="92" customWidth="1"/>
    <col min="11" max="11" width="1.28515625" style="174" customWidth="1"/>
    <col min="12" max="12" width="29.28515625" style="92" customWidth="1"/>
    <col min="13" max="13" width="1.28515625" style="128" customWidth="1"/>
    <col min="14" max="14" width="29.28515625" style="128" customWidth="1"/>
    <col min="15" max="15" width="1.28515625" style="92" customWidth="1"/>
    <col min="16" max="16" width="18.85546875" style="128" bestFit="1" customWidth="1"/>
    <col min="17" max="17" width="15" style="128" bestFit="1" customWidth="1"/>
    <col min="18" max="18" width="20.28515625" style="128" customWidth="1"/>
    <col min="19" max="19" width="16" style="92" bestFit="1" customWidth="1"/>
    <col min="20" max="20" width="18.85546875" style="128" bestFit="1" customWidth="1"/>
    <col min="21" max="21" width="15" style="92" bestFit="1" customWidth="1"/>
    <col min="22" max="23" width="8.28515625" style="92"/>
    <col min="24" max="24" width="5.5703125" style="92" bestFit="1" customWidth="1"/>
    <col min="25" max="25" width="14.28515625" style="92" bestFit="1" customWidth="1"/>
    <col min="26" max="26" width="8.28515625" style="92"/>
    <col min="27" max="27" width="14.28515625" style="92" bestFit="1" customWidth="1"/>
    <col min="28" max="28" width="8.28515625" style="128"/>
    <col min="29" max="29" width="12.5703125" style="128" bestFit="1" customWidth="1"/>
    <col min="30" max="16384" width="8.2851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15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5">
      <c r="B12" s="130" t="s">
        <v>110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15">
      <c r="B13" s="351">
        <v>1</v>
      </c>
      <c r="C13" s="748" t="s">
        <v>200</v>
      </c>
      <c r="D13" s="749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15">
      <c r="B14" s="153">
        <v>2</v>
      </c>
      <c r="C14" s="748" t="s">
        <v>202</v>
      </c>
      <c r="D14" s="749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1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3.15">
      <c r="B16" s="153">
        <v>3</v>
      </c>
      <c r="C16" s="746" t="s">
        <v>203</v>
      </c>
      <c r="D16" s="747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15">
      <c r="B17" s="351">
        <v>4</v>
      </c>
      <c r="C17" s="746" t="s">
        <v>204</v>
      </c>
      <c r="D17" s="747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3.15">
      <c r="B18" s="351">
        <v>5</v>
      </c>
      <c r="C18" s="746" t="s">
        <v>205</v>
      </c>
      <c r="D18" s="747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46078</v>
      </c>
      <c r="R18" s="379"/>
    </row>
    <row r="19" spans="2:19" s="92" customFormat="1" ht="13.15">
      <c r="B19" s="351">
        <v>6</v>
      </c>
      <c r="C19" s="746" t="s">
        <v>54</v>
      </c>
      <c r="D19" s="747"/>
      <c r="E19" s="134">
        <v>0.05</v>
      </c>
      <c r="F19" s="135">
        <f t="shared" si="0"/>
        <v>233132.5</v>
      </c>
      <c r="G19" s="354"/>
      <c r="H19" s="137">
        <f>'Project Plan'!K51+7</f>
        <v>46085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46085</v>
      </c>
      <c r="R19" s="379"/>
    </row>
    <row r="20" spans="2:19" s="92" customFormat="1" ht="13.15">
      <c r="B20" s="351">
        <v>7</v>
      </c>
      <c r="C20" s="748" t="s">
        <v>206</v>
      </c>
      <c r="D20" s="749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3.15">
      <c r="C25" s="146" t="s">
        <v>209</v>
      </c>
      <c r="D25" s="147"/>
      <c r="F25" s="148"/>
    </row>
    <row r="26" spans="2:19" s="92" customFormat="1" ht="13.15">
      <c r="C26" s="146" t="s">
        <v>210</v>
      </c>
      <c r="D26" s="147"/>
    </row>
    <row r="27" spans="2:19" s="92" customFormat="1" ht="13.15">
      <c r="C27" s="149" t="s">
        <v>211</v>
      </c>
      <c r="D27" s="150"/>
    </row>
    <row r="28" spans="2:19" s="92" customFormat="1" ht="13.15">
      <c r="C28" s="151" t="s">
        <v>212</v>
      </c>
      <c r="D28" s="147"/>
    </row>
    <row r="29" spans="2:19" s="92" customFormat="1" ht="13.15">
      <c r="B29" s="116"/>
      <c r="C29" s="151" t="s">
        <v>213</v>
      </c>
      <c r="D29" s="147"/>
    </row>
    <row r="30" spans="2:19" s="92" customFormat="1" ht="13.15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3.15">
      <c r="B32" s="116"/>
      <c r="F32" s="145"/>
    </row>
    <row r="33" spans="2:6" s="92" customFormat="1" ht="13.15">
      <c r="B33" s="116"/>
      <c r="F33" s="145"/>
    </row>
    <row r="34" spans="2:6" s="92" customFormat="1" ht="13.15">
      <c r="B34" s="116"/>
      <c r="F34" s="145"/>
    </row>
    <row r="35" spans="2:6" s="92" customFormat="1" ht="13.15">
      <c r="B35" s="116"/>
      <c r="F35" s="145"/>
    </row>
    <row r="36" spans="2:6" s="92" customFormat="1" ht="13.15">
      <c r="B36" s="116"/>
    </row>
    <row r="37" spans="2:6" s="92" customFormat="1" ht="13.15">
      <c r="B37" s="116"/>
    </row>
    <row r="38" spans="2:6" s="92" customFormat="1" ht="13.1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15">
      <c r="B50" s="116"/>
    </row>
    <row r="51" spans="2:2" s="92" customFormat="1" ht="13.15">
      <c r="B51" s="116"/>
    </row>
    <row r="52" spans="2:2" s="92" customFormat="1" ht="13.15">
      <c r="B52" s="116"/>
    </row>
    <row r="53" spans="2:2" s="92" customFormat="1" ht="13.15">
      <c r="B53" s="116"/>
    </row>
    <row r="54" spans="2:2" s="92" customFormat="1" ht="13.15">
      <c r="B54" s="116"/>
    </row>
    <row r="55" spans="2:2" s="92" customFormat="1" ht="13.15">
      <c r="B55" s="116"/>
    </row>
    <row r="56" spans="2:2" s="92" customFormat="1" ht="13.15">
      <c r="B56" s="116"/>
    </row>
    <row r="57" spans="2:2" s="92" customFormat="1" ht="13.15">
      <c r="B57" s="116"/>
    </row>
    <row r="58" spans="2:2" s="92" customFormat="1" ht="13.15">
      <c r="B58" s="116"/>
    </row>
    <row r="59" spans="2:2" s="92" customFormat="1" ht="13.15">
      <c r="B59" s="116"/>
    </row>
    <row r="60" spans="2:2" s="92" customFormat="1" ht="13.15">
      <c r="B60" s="116"/>
    </row>
    <row r="61" spans="2:2" s="92" customFormat="1" ht="13.15">
      <c r="B61" s="116"/>
    </row>
    <row r="62" spans="2:2" s="92" customFormat="1" ht="13.15">
      <c r="B62" s="116"/>
    </row>
    <row r="63" spans="2:2" s="92" customFormat="1" ht="13.15">
      <c r="B63" s="116"/>
    </row>
    <row r="64" spans="2:2" s="92" customFormat="1" ht="13.15">
      <c r="B64" s="116"/>
    </row>
    <row r="65" spans="2:2" s="92" customFormat="1" ht="13.15">
      <c r="B65" s="116"/>
    </row>
    <row r="66" spans="2:2" s="92" customFormat="1" ht="13.15">
      <c r="B66" s="116"/>
    </row>
    <row r="67" spans="2:2" s="92" customFormat="1" ht="13.15">
      <c r="B67" s="116"/>
    </row>
    <row r="68" spans="2:2" s="92" customFormat="1" ht="13.15">
      <c r="B68" s="116"/>
    </row>
    <row r="69" spans="2:2" s="92" customFormat="1" ht="13.15">
      <c r="B69" s="116"/>
    </row>
    <row r="70" spans="2:2" s="92" customFormat="1" ht="13.15">
      <c r="B70" s="116"/>
    </row>
    <row r="71" spans="2:2" s="92" customFormat="1" ht="13.15">
      <c r="B71" s="116"/>
    </row>
    <row r="72" spans="2:2" s="92" customFormat="1" ht="13.15">
      <c r="B72" s="116"/>
    </row>
    <row r="73" spans="2:2" s="92" customFormat="1" ht="13.15">
      <c r="B73" s="116"/>
    </row>
    <row r="74" spans="2:2" s="92" customFormat="1" ht="13.15">
      <c r="B74" s="116"/>
    </row>
    <row r="75" spans="2:2" s="92" customFormat="1" ht="13.15">
      <c r="B75" s="116"/>
    </row>
    <row r="76" spans="2:2" s="92" customFormat="1" ht="13.15">
      <c r="B76" s="116"/>
    </row>
    <row r="77" spans="2:2" s="92" customFormat="1" ht="13.15">
      <c r="B77" s="116"/>
    </row>
    <row r="78" spans="2:2" s="92" customFormat="1" ht="13.15">
      <c r="B78" s="116"/>
    </row>
    <row r="79" spans="2:2" s="92" customFormat="1" ht="13.15">
      <c r="B79" s="116"/>
    </row>
    <row r="80" spans="2:2" s="92" customFormat="1" ht="13.15">
      <c r="B80" s="116"/>
    </row>
    <row r="81" spans="2:2" s="92" customFormat="1" ht="13.15">
      <c r="B81" s="116"/>
    </row>
    <row r="82" spans="2:2" s="92" customFormat="1" ht="13.15">
      <c r="B82" s="116"/>
    </row>
    <row r="83" spans="2:2" s="92" customFormat="1" ht="13.15">
      <c r="B83" s="116"/>
    </row>
    <row r="84" spans="2:2" s="92" customFormat="1" ht="13.15">
      <c r="B84" s="116"/>
    </row>
    <row r="85" spans="2:2" s="92" customFormat="1" ht="13.15">
      <c r="B85" s="116"/>
    </row>
    <row r="86" spans="2:2" s="92" customFormat="1" ht="13.15">
      <c r="B86" s="116"/>
    </row>
    <row r="87" spans="2:2" s="92" customFormat="1" ht="13.15">
      <c r="B87" s="116"/>
    </row>
    <row r="88" spans="2:2" s="92" customFormat="1" ht="13.15">
      <c r="B88" s="116"/>
    </row>
    <row r="89" spans="2:2" s="92" customFormat="1" ht="13.15">
      <c r="B89" s="116"/>
    </row>
    <row r="90" spans="2:2" s="92" customFormat="1" ht="13.15">
      <c r="B90" s="116"/>
    </row>
    <row r="91" spans="2:2" s="92" customFormat="1" ht="13.15">
      <c r="B91" s="116"/>
    </row>
    <row r="92" spans="2:2" s="92" customFormat="1" ht="13.15">
      <c r="B92" s="116"/>
    </row>
    <row r="93" spans="2:2" s="92" customFormat="1" ht="13.15">
      <c r="B93" s="116"/>
    </row>
    <row r="94" spans="2:2" s="92" customFormat="1" ht="13.15">
      <c r="B94" s="116"/>
    </row>
    <row r="95" spans="2:2" s="92" customFormat="1" ht="13.15">
      <c r="B95" s="116"/>
    </row>
    <row r="96" spans="2:2" s="92" customFormat="1" ht="13.15">
      <c r="B96" s="116"/>
    </row>
    <row r="97" spans="2:2" s="92" customFormat="1" ht="13.15">
      <c r="B97" s="116"/>
    </row>
    <row r="98" spans="2:2" s="92" customFormat="1" ht="13.15">
      <c r="B98" s="116"/>
    </row>
    <row r="99" spans="2:2" s="92" customFormat="1" ht="13.15">
      <c r="B99" s="116"/>
    </row>
    <row r="100" spans="2:2" s="92" customFormat="1" ht="13.15">
      <c r="B100" s="116"/>
    </row>
    <row r="101" spans="2:2" s="92" customFormat="1" ht="13.15">
      <c r="B101" s="116"/>
    </row>
    <row r="102" spans="2:2" s="92" customFormat="1" ht="13.15">
      <c r="B102" s="116"/>
    </row>
    <row r="103" spans="2:2" s="92" customFormat="1" ht="13.15">
      <c r="B103" s="116"/>
    </row>
    <row r="104" spans="2:2" s="92" customFormat="1" ht="13.15">
      <c r="B104" s="116"/>
    </row>
    <row r="105" spans="2:2" s="92" customFormat="1" ht="13.15">
      <c r="B105" s="116"/>
    </row>
    <row r="106" spans="2:2" s="92" customFormat="1" ht="13.15">
      <c r="B106" s="116"/>
    </row>
    <row r="107" spans="2:2" s="92" customFormat="1" ht="13.15">
      <c r="B107" s="116"/>
    </row>
    <row r="108" spans="2:2" s="92" customFormat="1" ht="13.15">
      <c r="B108" s="116"/>
    </row>
    <row r="109" spans="2:2" s="92" customFormat="1" ht="13.15">
      <c r="B109" s="116"/>
    </row>
    <row r="110" spans="2:2" s="92" customFormat="1" ht="13.15">
      <c r="B110" s="116"/>
    </row>
    <row r="111" spans="2:2" s="92" customFormat="1" ht="13.15">
      <c r="B111" s="116"/>
    </row>
    <row r="112" spans="2:2" s="92" customFormat="1" ht="13.15">
      <c r="B112" s="116"/>
    </row>
    <row r="113" spans="2:2" s="92" customFormat="1" ht="13.15">
      <c r="B113" s="116"/>
    </row>
    <row r="114" spans="2:2" s="92" customFormat="1" ht="13.15">
      <c r="B114" s="116"/>
    </row>
    <row r="115" spans="2:2" s="92" customFormat="1" ht="13.15">
      <c r="B115" s="116"/>
    </row>
    <row r="116" spans="2:2" s="92" customFormat="1" ht="13.15">
      <c r="B116" s="116"/>
    </row>
    <row r="117" spans="2:2" s="92" customFormat="1" ht="13.15">
      <c r="B117" s="116"/>
    </row>
    <row r="118" spans="2:2" s="92" customFormat="1" ht="13.15">
      <c r="B118" s="116"/>
    </row>
    <row r="119" spans="2:2" s="92" customFormat="1" ht="13.15">
      <c r="B119" s="116"/>
    </row>
    <row r="120" spans="2:2" s="92" customFormat="1" ht="13.15">
      <c r="B120" s="116"/>
    </row>
    <row r="121" spans="2:2" s="92" customFormat="1" ht="13.15">
      <c r="B121" s="116"/>
    </row>
    <row r="122" spans="2:2" s="92" customFormat="1" ht="13.15">
      <c r="B122" s="116"/>
    </row>
    <row r="123" spans="2:2" s="92" customFormat="1" ht="13.15">
      <c r="B123" s="116"/>
    </row>
    <row r="124" spans="2:2" s="92" customFormat="1" ht="13.15">
      <c r="B124" s="116"/>
    </row>
    <row r="125" spans="2:2" s="92" customFormat="1" ht="13.15">
      <c r="B125" s="116"/>
    </row>
    <row r="126" spans="2:2" s="92" customFormat="1" ht="13.15">
      <c r="B126" s="116"/>
    </row>
    <row r="127" spans="2:2" s="92" customFormat="1" ht="13.15">
      <c r="B127" s="116"/>
    </row>
    <row r="128" spans="2:2" s="92" customFormat="1" ht="13.15">
      <c r="B128" s="116"/>
    </row>
    <row r="129" spans="2:2" s="92" customFormat="1" ht="13.15">
      <c r="B129" s="116"/>
    </row>
    <row r="130" spans="2:2" s="92" customFormat="1" ht="13.15">
      <c r="B130" s="116"/>
    </row>
    <row r="131" spans="2:2" s="92" customFormat="1" ht="13.15">
      <c r="B131" s="116"/>
    </row>
    <row r="132" spans="2:2" s="92" customFormat="1" ht="13.15">
      <c r="B132" s="116"/>
    </row>
    <row r="133" spans="2:2" s="92" customFormat="1" ht="13.15">
      <c r="B133" s="116"/>
    </row>
    <row r="134" spans="2:2" s="92" customFormat="1" ht="13.15">
      <c r="B134" s="116"/>
    </row>
    <row r="135" spans="2:2" s="92" customFormat="1" ht="13.15">
      <c r="B135" s="116"/>
    </row>
    <row r="136" spans="2:2" s="92" customFormat="1" ht="13.15">
      <c r="B136" s="116"/>
    </row>
    <row r="137" spans="2:2" s="92" customFormat="1" ht="13.15">
      <c r="B137" s="116"/>
    </row>
    <row r="138" spans="2:2" s="92" customFormat="1" ht="13.15">
      <c r="B138" s="116"/>
    </row>
    <row r="139" spans="2:2" s="92" customFormat="1" ht="13.15">
      <c r="B139" s="116"/>
    </row>
    <row r="140" spans="2:2" s="92" customFormat="1" ht="13.15">
      <c r="B140" s="116"/>
    </row>
    <row r="141" spans="2:2" s="92" customFormat="1" ht="13.15">
      <c r="B141" s="116"/>
    </row>
    <row r="142" spans="2:2" s="92" customFormat="1" ht="13.15">
      <c r="B142" s="116"/>
    </row>
    <row r="143" spans="2:2" s="92" customFormat="1" ht="13.15">
      <c r="B143" s="116"/>
    </row>
    <row r="144" spans="2:2" s="92" customFormat="1" ht="13.15">
      <c r="B144" s="116"/>
    </row>
    <row r="145" spans="2:2" s="92" customFormat="1" ht="13.15">
      <c r="B145" s="116"/>
    </row>
    <row r="146" spans="2:2" s="92" customFormat="1" ht="13.15">
      <c r="B146" s="116"/>
    </row>
    <row r="147" spans="2:2" s="92" customFormat="1" ht="13.15">
      <c r="B147" s="116"/>
    </row>
    <row r="148" spans="2:2" s="92" customFormat="1" ht="13.15">
      <c r="B148" s="116"/>
    </row>
    <row r="149" spans="2:2" s="92" customFormat="1" ht="13.15">
      <c r="B149" s="116"/>
    </row>
    <row r="150" spans="2:2" s="92" customFormat="1" ht="13.15">
      <c r="B150" s="116"/>
    </row>
    <row r="151" spans="2:2" s="92" customFormat="1" ht="13.15">
      <c r="B151" s="116"/>
    </row>
    <row r="152" spans="2:2" s="92" customFormat="1" ht="13.15">
      <c r="B152" s="116"/>
    </row>
    <row r="153" spans="2:2" s="92" customFormat="1" ht="13.15">
      <c r="B153" s="116"/>
    </row>
    <row r="154" spans="2:2" s="92" customFormat="1" ht="13.15">
      <c r="B154" s="116"/>
    </row>
    <row r="155" spans="2:2" s="92" customFormat="1" ht="13.15">
      <c r="B155" s="116"/>
    </row>
    <row r="156" spans="2:2" s="92" customFormat="1" ht="13.15">
      <c r="B156" s="116"/>
    </row>
    <row r="157" spans="2:2" s="92" customFormat="1" ht="13.15">
      <c r="B157" s="116"/>
    </row>
    <row r="158" spans="2:2" s="92" customFormat="1" ht="13.15">
      <c r="B158" s="116"/>
    </row>
    <row r="159" spans="2:2" s="92" customFormat="1" ht="13.15">
      <c r="B159" s="116"/>
    </row>
    <row r="160" spans="2:2" s="92" customFormat="1" ht="13.15">
      <c r="B160" s="116"/>
    </row>
    <row r="161" spans="2:2" s="92" customFormat="1" ht="13.15">
      <c r="B161" s="116"/>
    </row>
    <row r="162" spans="2:2" s="92" customFormat="1" ht="13.15">
      <c r="B162" s="116"/>
    </row>
    <row r="163" spans="2:2" s="92" customFormat="1" ht="13.15">
      <c r="B163" s="116"/>
    </row>
    <row r="164" spans="2:2" s="92" customFormat="1" ht="13.15">
      <c r="B164" s="116"/>
    </row>
    <row r="165" spans="2:2" s="92" customFormat="1" ht="13.15">
      <c r="B165" s="116"/>
    </row>
    <row r="166" spans="2:2" s="92" customFormat="1" ht="13.15">
      <c r="B166" s="116"/>
    </row>
    <row r="167" spans="2:2" s="92" customFormat="1" ht="13.15">
      <c r="B167" s="116"/>
    </row>
    <row r="168" spans="2:2" s="92" customFormat="1" ht="13.15">
      <c r="B168" s="116"/>
    </row>
    <row r="169" spans="2:2" s="92" customFormat="1" ht="13.15">
      <c r="B169" s="116"/>
    </row>
    <row r="170" spans="2:2" s="92" customFormat="1" ht="13.15">
      <c r="B170" s="116"/>
    </row>
    <row r="171" spans="2:2" s="92" customFormat="1" ht="13.15">
      <c r="B171" s="116"/>
    </row>
    <row r="172" spans="2:2" s="92" customFormat="1" ht="13.15">
      <c r="B172" s="116"/>
    </row>
    <row r="173" spans="2:2" s="92" customFormat="1" ht="13.15">
      <c r="B173" s="116"/>
    </row>
    <row r="174" spans="2:2" s="92" customFormat="1" ht="13.15">
      <c r="B174" s="116"/>
    </row>
    <row r="175" spans="2:2" s="92" customFormat="1" ht="13.15">
      <c r="B175" s="116"/>
    </row>
    <row r="176" spans="2:2" s="92" customFormat="1" ht="13.15">
      <c r="B176" s="116"/>
    </row>
    <row r="177" spans="2:2" s="92" customFormat="1" ht="13.15">
      <c r="B177" s="116"/>
    </row>
    <row r="178" spans="2:2" s="92" customFormat="1" ht="13.15">
      <c r="B178" s="116"/>
    </row>
    <row r="179" spans="2:2" s="92" customFormat="1" ht="13.15">
      <c r="B179" s="116"/>
    </row>
    <row r="180" spans="2:2" s="92" customFormat="1" ht="13.15">
      <c r="B180" s="116"/>
    </row>
    <row r="181" spans="2:2" s="92" customFormat="1" ht="13.15">
      <c r="B181" s="116"/>
    </row>
    <row r="182" spans="2:2" s="92" customFormat="1" ht="13.15">
      <c r="B182" s="116"/>
    </row>
    <row r="183" spans="2:2" s="92" customFormat="1" ht="13.15">
      <c r="B183" s="116"/>
    </row>
    <row r="184" spans="2:2" s="92" customFormat="1" ht="13.15">
      <c r="B184" s="116"/>
    </row>
    <row r="185" spans="2:2" s="92" customFormat="1" ht="13.15">
      <c r="B185" s="116"/>
    </row>
    <row r="186" spans="2:2" s="92" customFormat="1" ht="13.15">
      <c r="B186" s="116"/>
    </row>
    <row r="187" spans="2:2" s="92" customFormat="1" ht="13.15">
      <c r="B187" s="116"/>
    </row>
    <row r="188" spans="2:2" s="92" customFormat="1" ht="13.15">
      <c r="B188" s="116"/>
    </row>
    <row r="189" spans="2:2" s="92" customFormat="1" ht="13.15">
      <c r="B189" s="116"/>
    </row>
    <row r="190" spans="2:2" s="92" customFormat="1" ht="13.15">
      <c r="B190" s="116"/>
    </row>
    <row r="191" spans="2:2" s="92" customFormat="1" ht="13.15">
      <c r="B191" s="116"/>
    </row>
    <row r="192" spans="2:2" s="92" customFormat="1" ht="13.15">
      <c r="B192" s="116"/>
    </row>
    <row r="193" spans="2:2" s="92" customFormat="1" ht="13.15">
      <c r="B193" s="116"/>
    </row>
    <row r="194" spans="2:2" s="92" customFormat="1" ht="13.15">
      <c r="B194" s="116"/>
    </row>
    <row r="195" spans="2:2" s="92" customFormat="1" ht="13.15">
      <c r="B195" s="116"/>
    </row>
    <row r="196" spans="2:2" s="92" customFormat="1" ht="13.15">
      <c r="B196" s="116"/>
    </row>
    <row r="197" spans="2:2" s="92" customFormat="1" ht="13.15">
      <c r="B197" s="116"/>
    </row>
    <row r="198" spans="2:2" s="92" customFormat="1" ht="13.15">
      <c r="B198" s="116"/>
    </row>
    <row r="199" spans="2:2" s="92" customFormat="1" ht="13.15">
      <c r="B199" s="116"/>
    </row>
    <row r="200" spans="2:2" s="92" customFormat="1" ht="13.15">
      <c r="B200" s="116"/>
    </row>
    <row r="201" spans="2:2" s="92" customFormat="1" ht="13.15">
      <c r="B201" s="116"/>
    </row>
    <row r="202" spans="2:2" s="92" customFormat="1" ht="13.15">
      <c r="B202" s="116"/>
    </row>
    <row r="203" spans="2:2" s="92" customFormat="1" ht="13.15">
      <c r="B203" s="116"/>
    </row>
    <row r="204" spans="2:2" s="92" customFormat="1" ht="13.15">
      <c r="B204" s="116"/>
    </row>
    <row r="205" spans="2:2" s="92" customFormat="1" ht="13.15">
      <c r="B205" s="116"/>
    </row>
    <row r="206" spans="2:2" s="92" customFormat="1" ht="13.15">
      <c r="B206" s="116"/>
    </row>
    <row r="207" spans="2:2" s="92" customFormat="1" ht="13.15">
      <c r="B207" s="116"/>
    </row>
    <row r="208" spans="2:2" s="92" customFormat="1" ht="13.15">
      <c r="B208" s="116"/>
    </row>
    <row r="209" spans="2:2" s="92" customFormat="1" ht="13.15">
      <c r="B209" s="116"/>
    </row>
    <row r="210" spans="2:2" s="92" customFormat="1" ht="13.15">
      <c r="B210" s="116"/>
    </row>
    <row r="211" spans="2:2" s="92" customFormat="1" ht="13.15">
      <c r="B211" s="116"/>
    </row>
    <row r="212" spans="2:2" s="92" customFormat="1" ht="13.15">
      <c r="B212" s="116"/>
    </row>
    <row r="213" spans="2:2" s="92" customFormat="1" ht="13.15">
      <c r="B213" s="116"/>
    </row>
    <row r="214" spans="2:2" s="92" customFormat="1" ht="13.15">
      <c r="B214" s="116"/>
    </row>
    <row r="215" spans="2:2" s="92" customFormat="1" ht="13.15">
      <c r="B215" s="116"/>
    </row>
    <row r="216" spans="2:2" s="92" customFormat="1" ht="13.15">
      <c r="B216" s="116"/>
    </row>
    <row r="217" spans="2:2" s="92" customFormat="1" ht="13.15">
      <c r="B217" s="116"/>
    </row>
    <row r="218" spans="2:2" s="92" customFormat="1" ht="13.15">
      <c r="B218" s="116"/>
    </row>
    <row r="219" spans="2:2" s="92" customFormat="1" ht="13.1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9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9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J11" sqref="J11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50"/>
      <c r="C4" s="750"/>
      <c r="D4" s="750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45" thickBot="1">
      <c r="A5" s="214"/>
      <c r="B5" s="751" t="s">
        <v>242</v>
      </c>
      <c r="C5" s="751"/>
      <c r="D5" s="751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K1" zoomScale="70" zoomScaleNormal="70" workbookViewId="0">
      <pane ySplit="4" topLeftCell="A67" activePane="bottomLeft" state="frozen"/>
      <selection pane="bottomLeft" activeCell="K84" sqref="A84:XFD84"/>
      <selection activeCell="X33" sqref="X33"/>
    </sheetView>
  </sheetViews>
  <sheetFormatPr defaultColWidth="9.28515625" defaultRowHeight="13.9"/>
  <cols>
    <col min="1" max="1" width="2.28515625" style="111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" style="24" hidden="1" customWidth="1"/>
    <col min="8" max="8" width="17.28515625" style="111" hidden="1" customWidth="1"/>
    <col min="9" max="9" width="22" style="349" hidden="1" customWidth="1"/>
    <col min="10" max="10" width="22.285156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28515625" style="111" customWidth="1"/>
    <col min="18" max="18" width="47" style="111" customWidth="1"/>
    <col min="19" max="19" width="43" style="111" customWidth="1"/>
    <col min="20" max="23" width="17.28515625" style="111" customWidth="1"/>
    <col min="24" max="24" width="21.28515625" style="111" customWidth="1"/>
    <col min="25" max="25" width="29" style="111" bestFit="1" customWidth="1"/>
    <col min="26" max="26" width="24.85546875" style="111" bestFit="1" customWidth="1"/>
    <col min="27" max="76" width="17.28515625" style="111" customWidth="1"/>
    <col min="77" max="16384" width="9.2851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3" t="s">
        <v>249</v>
      </c>
      <c r="C2" s="804"/>
      <c r="D2" s="804"/>
      <c r="E2" s="804"/>
      <c r="F2" s="804"/>
      <c r="G2" s="804"/>
      <c r="H2" s="502"/>
      <c r="I2" s="257">
        <f>SUM(I6:I169)</f>
        <v>4250720.1452194713</v>
      </c>
      <c r="J2" s="257">
        <f>SUM(J6:J169)</f>
        <v>4662649.8793863859</v>
      </c>
      <c r="L2" s="805" t="s">
        <v>250</v>
      </c>
      <c r="M2" s="806"/>
      <c r="N2" s="806"/>
      <c r="O2" s="806"/>
      <c r="P2" s="806"/>
      <c r="Q2" s="806"/>
      <c r="R2" s="807" t="s">
        <v>251</v>
      </c>
      <c r="S2" s="808"/>
      <c r="T2" s="808"/>
      <c r="U2" s="808"/>
      <c r="V2" s="808"/>
      <c r="W2" s="809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52">
        <f>SUM(G6:G11)</f>
        <v>1020809.8300000001</v>
      </c>
      <c r="J6" s="752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64">
        <f>J6-SUM(U6:U11)</f>
        <v>0</v>
      </c>
      <c r="W6" s="681">
        <v>45867</v>
      </c>
      <c r="X6" s="755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53"/>
      <c r="J7" s="753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65"/>
      <c r="W7" s="572">
        <v>46118</v>
      </c>
      <c r="X7" s="75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53"/>
      <c r="J8" s="753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65"/>
      <c r="W8" s="572">
        <v>46118</v>
      </c>
      <c r="X8" s="75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3"/>
      <c r="J9" s="753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65"/>
      <c r="W9" s="573"/>
      <c r="X9" s="75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3"/>
      <c r="J10" s="753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65"/>
      <c r="W10" s="573"/>
      <c r="X10" s="756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4"/>
      <c r="J11" s="754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66"/>
      <c r="W11" s="574"/>
      <c r="X11" s="757"/>
      <c r="Y11" s="605" t="s">
        <v>275</v>
      </c>
      <c r="Z11" s="606" t="s">
        <v>276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99">
        <f>J13-SUM(U13:U19)</f>
        <v>0</v>
      </c>
      <c r="W13" s="537">
        <v>45855</v>
      </c>
      <c r="X13" s="775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800"/>
      <c r="W14" s="577"/>
      <c r="X14" s="776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800"/>
      <c r="W15" s="577"/>
      <c r="X15" s="776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800"/>
      <c r="W16" s="577"/>
      <c r="X16" s="776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800"/>
      <c r="W17" s="577"/>
      <c r="X17" s="776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800"/>
      <c r="W18" s="577"/>
      <c r="X18" s="776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801"/>
      <c r="W19" s="578"/>
      <c r="X19" s="777"/>
      <c r="Y19" s="607" t="s">
        <v>289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52">
        <f>SUM(G21:G26)</f>
        <v>379532.79</v>
      </c>
      <c r="J21" s="752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64">
        <f>J21-SUM(U21:U26)</f>
        <v>0</v>
      </c>
      <c r="W21" s="539">
        <v>45835</v>
      </c>
      <c r="X21" s="755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53"/>
      <c r="J22" s="753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65"/>
      <c r="W22" s="535">
        <v>45806</v>
      </c>
      <c r="X22" s="756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3"/>
      <c r="J23" s="753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65"/>
      <c r="W23" s="572"/>
      <c r="X23" s="756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53"/>
      <c r="J24" s="753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65"/>
      <c r="W24" s="573"/>
      <c r="X24" s="756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3"/>
      <c r="J25" s="753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65"/>
      <c r="W25" s="573"/>
      <c r="X25" s="756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4"/>
      <c r="J26" s="754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66"/>
      <c r="W26" s="574"/>
      <c r="X26" s="757"/>
      <c r="Y26" s="613" t="s">
        <v>302</v>
      </c>
      <c r="Z26" s="614" t="s">
        <v>303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802" t="s">
        <v>307</v>
      </c>
      <c r="S28" s="629" t="s">
        <v>308</v>
      </c>
      <c r="T28" s="659">
        <f>T13</f>
        <v>45808</v>
      </c>
      <c r="U28" s="670">
        <v>156288.25034527844</v>
      </c>
      <c r="V28" s="79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95"/>
      <c r="S29" s="630" t="s">
        <v>308</v>
      </c>
      <c r="T29" s="650">
        <v>45808</v>
      </c>
      <c r="U29" s="671">
        <v>49367.508883362796</v>
      </c>
      <c r="V29" s="80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80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80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93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80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305</v>
      </c>
      <c r="N33" s="408" t="s">
        <v>129</v>
      </c>
      <c r="O33" s="555"/>
      <c r="P33" s="567">
        <v>0.15</v>
      </c>
      <c r="Q33" s="299">
        <v>22117.84</v>
      </c>
      <c r="R33" s="794"/>
      <c r="S33" s="630" t="s">
        <v>316</v>
      </c>
      <c r="T33" s="652">
        <f t="shared" si="0"/>
        <v>45808</v>
      </c>
      <c r="U33" s="671">
        <v>31108.337968113872</v>
      </c>
      <c r="V33" s="80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94"/>
      <c r="S34" s="630" t="s">
        <v>318</v>
      </c>
      <c r="T34" s="650">
        <v>45838</v>
      </c>
      <c r="U34" s="671">
        <v>31723.315389013693</v>
      </c>
      <c r="V34" s="80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94"/>
      <c r="S35" s="630" t="s">
        <v>320</v>
      </c>
      <c r="T35" s="650">
        <v>45838</v>
      </c>
      <c r="U35" s="671">
        <v>39654.144236267115</v>
      </c>
      <c r="V35" s="80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94"/>
      <c r="S36" s="630" t="s">
        <v>321</v>
      </c>
      <c r="T36" s="650">
        <v>45838</v>
      </c>
      <c r="U36" s="671">
        <v>15861.657694506846</v>
      </c>
      <c r="V36" s="800"/>
      <c r="W36" s="577">
        <f>W99</f>
        <v>46072</v>
      </c>
      <c r="X36" s="776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94"/>
      <c r="S37" s="630" t="s">
        <v>323</v>
      </c>
      <c r="T37" s="650">
        <v>45838</v>
      </c>
      <c r="U37" s="671">
        <v>15861.657694506846</v>
      </c>
      <c r="V37" s="800"/>
      <c r="W37" s="577">
        <f>W100</f>
        <v>46072</v>
      </c>
      <c r="X37" s="776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94"/>
      <c r="S38" s="630" t="s">
        <v>325</v>
      </c>
      <c r="T38" s="650">
        <v>45838</v>
      </c>
      <c r="U38" s="671">
        <v>7930.8288472534232</v>
      </c>
      <c r="V38" s="800"/>
      <c r="W38" s="577">
        <f>W101</f>
        <v>46081</v>
      </c>
      <c r="X38" s="776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95"/>
      <c r="S39" s="630" t="s">
        <v>327</v>
      </c>
      <c r="T39" s="650">
        <v>45838</v>
      </c>
      <c r="U39" s="671">
        <v>7930.8288472534232</v>
      </c>
      <c r="V39" s="800"/>
      <c r="W39" s="577">
        <f t="shared" si="3"/>
        <v>46111</v>
      </c>
      <c r="X39" s="776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80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80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801"/>
      <c r="W42" s="578"/>
      <c r="X42" s="777"/>
      <c r="Y42" s="482"/>
    </row>
    <row r="43" spans="1:2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52">
        <f>SUM(G44:G51)</f>
        <v>49000</v>
      </c>
      <c r="J44" s="752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64">
        <f>J44-SUM(U44:U51)</f>
        <v>2.1546278730966151E-4</v>
      </c>
      <c r="W44" s="539">
        <v>45855</v>
      </c>
      <c r="X44" s="755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53"/>
      <c r="J45" s="753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65"/>
      <c r="W45" s="535">
        <v>45806</v>
      </c>
      <c r="X45" s="756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53"/>
      <c r="J46" s="753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65"/>
      <c r="W46" s="680">
        <v>45867</v>
      </c>
      <c r="X46" s="756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53"/>
      <c r="J47" s="753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65"/>
      <c r="W47" s="535">
        <v>45838</v>
      </c>
      <c r="X47" s="756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53"/>
      <c r="J48" s="753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65"/>
      <c r="W48" s="535">
        <v>45799</v>
      </c>
      <c r="X48" s="756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53"/>
      <c r="J49" s="753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65"/>
      <c r="W49" s="573"/>
      <c r="X49" s="756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53"/>
      <c r="J50" s="753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65"/>
      <c r="W50" s="573"/>
      <c r="X50" s="756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54"/>
      <c r="J51" s="754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66"/>
      <c r="W51" s="574"/>
      <c r="X51" s="757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9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80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80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80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80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80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93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80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343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94"/>
      <c r="S60" s="630" t="s">
        <v>316</v>
      </c>
      <c r="T60" s="652">
        <f t="shared" si="0"/>
        <v>45808</v>
      </c>
      <c r="U60" s="671">
        <v>38206.422043669249</v>
      </c>
      <c r="V60" s="80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94"/>
      <c r="S61" s="630" t="s">
        <v>318</v>
      </c>
      <c r="T61" s="650">
        <v>45838</v>
      </c>
      <c r="U61" s="671">
        <v>50115.369886193017</v>
      </c>
      <c r="V61" s="80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94"/>
      <c r="S62" s="630" t="s">
        <v>320</v>
      </c>
      <c r="T62" s="650">
        <v>45838</v>
      </c>
      <c r="U62" s="671">
        <v>62644.212357741279</v>
      </c>
      <c r="V62" s="80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94"/>
      <c r="S63" s="630" t="s">
        <v>321</v>
      </c>
      <c r="T63" s="650">
        <v>45838</v>
      </c>
      <c r="U63" s="671">
        <v>25057.684943096509</v>
      </c>
      <c r="V63" s="800"/>
      <c r="W63" s="577">
        <f>W99</f>
        <v>46072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94"/>
      <c r="S64" s="634" t="s">
        <v>323</v>
      </c>
      <c r="T64" s="677">
        <v>45838</v>
      </c>
      <c r="U64" s="679">
        <v>25057.684943096509</v>
      </c>
      <c r="V64" s="800"/>
      <c r="W64" s="577">
        <f>W100</f>
        <v>46072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94"/>
      <c r="S65" s="634" t="s">
        <v>325</v>
      </c>
      <c r="T65" s="677">
        <v>45838</v>
      </c>
      <c r="U65" s="679">
        <v>12528.842471548254</v>
      </c>
      <c r="V65" s="80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95"/>
      <c r="S66" s="634" t="s">
        <v>327</v>
      </c>
      <c r="T66" s="677">
        <v>45838</v>
      </c>
      <c r="U66" s="679">
        <v>12528.842471548254</v>
      </c>
      <c r="V66" s="80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80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80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801"/>
      <c r="W69" s="578"/>
      <c r="X69" s="777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52">
        <f>SUM(G71:G78)</f>
        <v>0</v>
      </c>
      <c r="J71" s="752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96">
        <f>J71-SUM(U71:U78)</f>
        <v>0</v>
      </c>
      <c r="W71" s="582"/>
      <c r="X71" s="755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53"/>
      <c r="J72" s="753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97"/>
      <c r="W72" s="573"/>
      <c r="X72" s="756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53"/>
      <c r="J73" s="753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97"/>
      <c r="W73" s="573"/>
      <c r="X73" s="756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53"/>
      <c r="J74" s="753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97"/>
      <c r="W74" s="573"/>
      <c r="X74" s="756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3"/>
      <c r="J75" s="753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97"/>
      <c r="W75" s="573"/>
      <c r="X75" s="756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3"/>
      <c r="J76" s="753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97"/>
      <c r="W76" s="573"/>
      <c r="X76" s="756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53"/>
      <c r="J77" s="753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97"/>
      <c r="W77" s="573"/>
      <c r="X77" s="756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54"/>
      <c r="J78" s="754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98"/>
      <c r="W78" s="574"/>
      <c r="X78" s="757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84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85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85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85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85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85"/>
      <c r="W85" s="577">
        <v>46072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93" t="s">
        <v>361</v>
      </c>
      <c r="S86" s="630" t="s">
        <v>362</v>
      </c>
      <c r="T86" s="687">
        <v>45961</v>
      </c>
      <c r="U86" s="508"/>
      <c r="V86" s="785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94"/>
      <c r="S87" s="634" t="s">
        <v>364</v>
      </c>
      <c r="T87" s="650">
        <v>46022</v>
      </c>
      <c r="U87" s="513"/>
      <c r="V87" s="785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95"/>
      <c r="S88" s="634" t="s">
        <v>366</v>
      </c>
      <c r="T88" s="650">
        <v>46081</v>
      </c>
      <c r="U88" s="513"/>
      <c r="V88" s="785"/>
      <c r="W88" s="580">
        <v>46072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85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350</v>
      </c>
      <c r="N90" s="334" t="s">
        <v>367</v>
      </c>
      <c r="O90" s="558"/>
      <c r="P90" s="685"/>
      <c r="Q90" s="323">
        <v>31876</v>
      </c>
      <c r="R90" s="597" t="s">
        <v>368</v>
      </c>
      <c r="S90" s="634" t="s">
        <v>369</v>
      </c>
      <c r="T90" s="677">
        <v>46053</v>
      </c>
      <c r="U90" s="513"/>
      <c r="V90" s="785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85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86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370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371</v>
      </c>
      <c r="D94" s="326" t="s">
        <v>372</v>
      </c>
      <c r="E94" s="313"/>
      <c r="F94" s="437"/>
      <c r="G94" s="620">
        <f>D183</f>
        <v>116707.5</v>
      </c>
      <c r="H94" s="535">
        <v>45791</v>
      </c>
      <c r="I94" s="778">
        <f>SUM(G94:G105)</f>
        <v>368077.5</v>
      </c>
      <c r="J94" s="752">
        <f>F183+F184</f>
        <v>433032.3529411765</v>
      </c>
      <c r="K94" s="287"/>
      <c r="L94" s="310">
        <v>9</v>
      </c>
      <c r="M94" s="423" t="s">
        <v>373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64">
        <f>J94-SUM(U94:U105)</f>
        <v>0</v>
      </c>
      <c r="W94" s="579"/>
      <c r="X94" s="781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374</v>
      </c>
      <c r="E95" s="313"/>
      <c r="F95" s="459"/>
      <c r="G95" s="620">
        <f>D184</f>
        <v>251370</v>
      </c>
      <c r="H95" s="535">
        <v>45792</v>
      </c>
      <c r="I95" s="779"/>
      <c r="J95" s="753"/>
      <c r="K95" s="287"/>
      <c r="L95" s="310">
        <v>9</v>
      </c>
      <c r="M95" s="423" t="s">
        <v>373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787" t="s">
        <v>375</v>
      </c>
      <c r="S95" s="625" t="s">
        <v>315</v>
      </c>
      <c r="T95" s="643">
        <f t="shared" si="9"/>
        <v>45808</v>
      </c>
      <c r="U95" s="667">
        <v>43303.23529411765</v>
      </c>
      <c r="V95" s="765"/>
      <c r="W95" s="535">
        <v>45792</v>
      </c>
      <c r="X95" s="78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79"/>
      <c r="J96" s="753"/>
      <c r="K96" s="287"/>
      <c r="L96" s="383">
        <v>9</v>
      </c>
      <c r="M96" s="501" t="s">
        <v>373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788"/>
      <c r="S96" s="626" t="s">
        <v>316</v>
      </c>
      <c r="T96" s="654">
        <f t="shared" si="9"/>
        <v>45808</v>
      </c>
      <c r="U96" s="668">
        <v>64954.852941176476</v>
      </c>
      <c r="V96" s="765"/>
      <c r="W96" s="536">
        <v>45806</v>
      </c>
      <c r="X96" s="782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79"/>
      <c r="J97" s="753"/>
      <c r="K97" s="287"/>
      <c r="L97" s="383">
        <v>9</v>
      </c>
      <c r="M97" s="501" t="s">
        <v>373</v>
      </c>
      <c r="N97" s="385" t="s">
        <v>317</v>
      </c>
      <c r="O97" s="551"/>
      <c r="P97" s="568">
        <v>0.2</v>
      </c>
      <c r="Q97" s="314">
        <f t="shared" si="10"/>
        <v>112070</v>
      </c>
      <c r="R97" s="788"/>
      <c r="S97" s="626" t="s">
        <v>318</v>
      </c>
      <c r="T97" s="676">
        <v>45838</v>
      </c>
      <c r="U97" s="668">
        <v>86606.470588235301</v>
      </c>
      <c r="V97" s="765"/>
      <c r="W97" s="536">
        <v>45890</v>
      </c>
      <c r="X97" s="78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79"/>
      <c r="J98" s="753"/>
      <c r="K98" s="287"/>
      <c r="L98" s="383">
        <v>9</v>
      </c>
      <c r="M98" s="501" t="s">
        <v>373</v>
      </c>
      <c r="N98" s="385" t="s">
        <v>319</v>
      </c>
      <c r="O98" s="551"/>
      <c r="P98" s="568">
        <v>0.25</v>
      </c>
      <c r="Q98" s="314">
        <f t="shared" si="10"/>
        <v>140087.5</v>
      </c>
      <c r="R98" s="788"/>
      <c r="S98" s="626" t="s">
        <v>320</v>
      </c>
      <c r="T98" s="676">
        <v>45838</v>
      </c>
      <c r="U98" s="668">
        <v>108258.08823529413</v>
      </c>
      <c r="V98" s="765"/>
      <c r="W98" s="536">
        <v>45834</v>
      </c>
      <c r="X98" s="78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9"/>
      <c r="J99" s="753"/>
      <c r="K99" s="287"/>
      <c r="L99" s="383">
        <v>9</v>
      </c>
      <c r="M99" s="501" t="s">
        <v>373</v>
      </c>
      <c r="N99" s="385" t="s">
        <v>204</v>
      </c>
      <c r="O99" s="551"/>
      <c r="P99" s="568">
        <v>0.1</v>
      </c>
      <c r="Q99" s="314">
        <f t="shared" si="10"/>
        <v>56035</v>
      </c>
      <c r="R99" s="788"/>
      <c r="S99" s="626" t="s">
        <v>321</v>
      </c>
      <c r="T99" s="676">
        <v>45838</v>
      </c>
      <c r="U99" s="668">
        <v>43303.23529411765</v>
      </c>
      <c r="V99" s="765"/>
      <c r="W99" s="573">
        <v>46072</v>
      </c>
      <c r="X99" s="78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9"/>
      <c r="J100" s="753"/>
      <c r="K100" s="287"/>
      <c r="L100" s="383">
        <v>9</v>
      </c>
      <c r="M100" s="501" t="s">
        <v>373</v>
      </c>
      <c r="N100" s="385" t="s">
        <v>322</v>
      </c>
      <c r="O100" s="551"/>
      <c r="P100" s="568">
        <v>0.1</v>
      </c>
      <c r="Q100" s="314">
        <f t="shared" si="10"/>
        <v>56035</v>
      </c>
      <c r="R100" s="788"/>
      <c r="S100" s="626" t="s">
        <v>323</v>
      </c>
      <c r="T100" s="676">
        <v>45838</v>
      </c>
      <c r="U100" s="668">
        <v>43303.23529411765</v>
      </c>
      <c r="V100" s="765"/>
      <c r="W100" s="573">
        <v>46072</v>
      </c>
      <c r="X100" s="78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79"/>
      <c r="J101" s="753"/>
      <c r="K101" s="287"/>
      <c r="L101" s="383">
        <v>9</v>
      </c>
      <c r="M101" s="501" t="s">
        <v>373</v>
      </c>
      <c r="N101" s="385" t="s">
        <v>324</v>
      </c>
      <c r="O101" s="551"/>
      <c r="P101" s="568">
        <v>0.05</v>
      </c>
      <c r="Q101" s="314">
        <f t="shared" si="10"/>
        <v>28017.5</v>
      </c>
      <c r="R101" s="788"/>
      <c r="S101" s="626" t="s">
        <v>325</v>
      </c>
      <c r="T101" s="676">
        <v>45838</v>
      </c>
      <c r="U101" s="668">
        <v>21651.617647058825</v>
      </c>
      <c r="V101" s="765"/>
      <c r="W101" s="573">
        <v>46081</v>
      </c>
      <c r="X101" s="78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79"/>
      <c r="J102" s="753"/>
      <c r="K102" s="287"/>
      <c r="L102" s="383">
        <v>9</v>
      </c>
      <c r="M102" s="501" t="s">
        <v>373</v>
      </c>
      <c r="N102" s="385" t="s">
        <v>326</v>
      </c>
      <c r="O102" s="551"/>
      <c r="P102" s="568">
        <v>0.05</v>
      </c>
      <c r="Q102" s="314">
        <f t="shared" si="10"/>
        <v>28017.5</v>
      </c>
      <c r="R102" s="789"/>
      <c r="S102" s="626" t="s">
        <v>327</v>
      </c>
      <c r="T102" s="676">
        <v>45838</v>
      </c>
      <c r="U102" s="668">
        <v>21651.617647058825</v>
      </c>
      <c r="V102" s="765"/>
      <c r="W102" s="573">
        <v>46111</v>
      </c>
      <c r="X102" s="78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9"/>
      <c r="J103" s="753"/>
      <c r="K103" s="287"/>
      <c r="L103" s="383">
        <v>9</v>
      </c>
      <c r="M103" s="501" t="s">
        <v>373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65"/>
      <c r="W103" s="573"/>
      <c r="X103" s="782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79"/>
      <c r="J104" s="753"/>
      <c r="K104" s="287"/>
      <c r="L104" s="383">
        <v>9</v>
      </c>
      <c r="M104" s="501" t="s">
        <v>373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65"/>
      <c r="W104" s="573"/>
      <c r="X104" s="782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80"/>
      <c r="J105" s="754"/>
      <c r="K105" s="363"/>
      <c r="L105" s="315">
        <v>9</v>
      </c>
      <c r="M105" s="441" t="s">
        <v>373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66"/>
      <c r="W105" s="574"/>
      <c r="X105" s="783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376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58">
        <f>SUM(G107:G126)</f>
        <v>99195.133333333331</v>
      </c>
      <c r="J107" s="758">
        <f>F187+F190+F191+F189</f>
        <v>116700.15686274509</v>
      </c>
      <c r="K107" s="338"/>
      <c r="L107" s="268">
        <v>10</v>
      </c>
      <c r="M107" s="434" t="s">
        <v>377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67">
        <f>J107-SUM(U107:U126)</f>
        <v>-4.5931361673865467E-3</v>
      </c>
      <c r="W107" s="583"/>
      <c r="X107" s="761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59"/>
      <c r="J108" s="759"/>
      <c r="K108" s="271"/>
      <c r="L108" s="339">
        <v>10</v>
      </c>
      <c r="M108" s="435" t="s">
        <v>377</v>
      </c>
      <c r="N108" s="340" t="s">
        <v>378</v>
      </c>
      <c r="O108" s="564"/>
      <c r="P108" s="471"/>
      <c r="Q108" s="342">
        <v>2825</v>
      </c>
      <c r="R108" s="602" t="s">
        <v>379</v>
      </c>
      <c r="S108" s="638" t="s">
        <v>380</v>
      </c>
      <c r="T108" s="658">
        <f t="shared" si="9"/>
        <v>45808</v>
      </c>
      <c r="U108" s="674">
        <v>4422.2947097561009</v>
      </c>
      <c r="V108" s="768"/>
      <c r="W108" s="541">
        <v>45806</v>
      </c>
      <c r="X108" s="762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59"/>
      <c r="J109" s="759"/>
      <c r="K109" s="271"/>
      <c r="L109" s="339">
        <v>10</v>
      </c>
      <c r="M109" s="435" t="s">
        <v>377</v>
      </c>
      <c r="N109" s="340" t="s">
        <v>381</v>
      </c>
      <c r="O109" s="564"/>
      <c r="P109" s="471"/>
      <c r="Q109" s="342">
        <v>1905</v>
      </c>
      <c r="R109" s="602" t="s">
        <v>382</v>
      </c>
      <c r="S109" s="638" t="s">
        <v>383</v>
      </c>
      <c r="T109" s="658">
        <v>45838</v>
      </c>
      <c r="U109" s="674">
        <v>2982.1137777293352</v>
      </c>
      <c r="V109" s="768"/>
      <c r="W109" s="541">
        <v>45820</v>
      </c>
      <c r="X109" s="762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59"/>
      <c r="J110" s="759"/>
      <c r="K110" s="271"/>
      <c r="L110" s="339">
        <v>10</v>
      </c>
      <c r="M110" s="435" t="s">
        <v>377</v>
      </c>
      <c r="N110" s="340" t="s">
        <v>384</v>
      </c>
      <c r="O110" s="564"/>
      <c r="P110" s="471"/>
      <c r="Q110" s="342">
        <v>29000</v>
      </c>
      <c r="R110" s="602" t="s">
        <v>385</v>
      </c>
      <c r="S110" s="638" t="s">
        <v>386</v>
      </c>
      <c r="T110" s="658">
        <v>45991</v>
      </c>
      <c r="U110" s="701"/>
      <c r="V110" s="768"/>
      <c r="W110" s="541">
        <v>45989</v>
      </c>
      <c r="X110" s="762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59"/>
      <c r="J111" s="759"/>
      <c r="K111" s="271"/>
      <c r="L111" s="339">
        <v>10</v>
      </c>
      <c r="M111" s="435" t="s">
        <v>377</v>
      </c>
      <c r="N111" s="340" t="s">
        <v>387</v>
      </c>
      <c r="O111" s="564"/>
      <c r="P111" s="471"/>
      <c r="Q111" s="342">
        <v>19333.349999999999</v>
      </c>
      <c r="R111" s="602"/>
      <c r="S111" s="638" t="s">
        <v>388</v>
      </c>
      <c r="T111" s="658">
        <v>46022</v>
      </c>
      <c r="U111" s="701"/>
      <c r="V111" s="768"/>
      <c r="W111" s="703">
        <v>46031</v>
      </c>
      <c r="X111" s="762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59"/>
      <c r="J112" s="759"/>
      <c r="K112" s="271"/>
      <c r="L112" s="339">
        <v>10</v>
      </c>
      <c r="M112" s="435" t="s">
        <v>377</v>
      </c>
      <c r="N112" s="340"/>
      <c r="O112" s="564"/>
      <c r="P112" s="471"/>
      <c r="Q112" s="342"/>
      <c r="R112" s="602"/>
      <c r="S112" s="638"/>
      <c r="T112" s="532"/>
      <c r="U112" s="516"/>
      <c r="V112" s="768"/>
      <c r="W112" s="584"/>
      <c r="X112" s="762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59"/>
      <c r="J113" s="759"/>
      <c r="K113" s="271"/>
      <c r="L113" s="339">
        <v>10</v>
      </c>
      <c r="M113" s="435" t="s">
        <v>377</v>
      </c>
      <c r="N113" s="340"/>
      <c r="O113" s="564"/>
      <c r="P113" s="471"/>
      <c r="Q113" s="342"/>
      <c r="R113" s="602"/>
      <c r="S113" s="638"/>
      <c r="T113" s="532"/>
      <c r="U113" s="516"/>
      <c r="V113" s="768"/>
      <c r="W113" s="584"/>
      <c r="X113" s="762"/>
      <c r="Y113" s="482"/>
    </row>
    <row r="114" spans="1:25" ht="14.25" customHeight="1">
      <c r="B114" s="339">
        <v>10</v>
      </c>
      <c r="C114" s="340"/>
      <c r="D114" s="340" t="s">
        <v>389</v>
      </c>
      <c r="E114" s="341"/>
      <c r="F114" s="471"/>
      <c r="G114" s="342">
        <f>D190</f>
        <v>55200</v>
      </c>
      <c r="H114" s="541">
        <v>45825</v>
      </c>
      <c r="I114" s="759"/>
      <c r="J114" s="759"/>
      <c r="K114" s="271"/>
      <c r="L114" s="339">
        <v>10</v>
      </c>
      <c r="M114" s="435" t="s">
        <v>377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68"/>
      <c r="W114" s="584"/>
      <c r="X114" s="762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59"/>
      <c r="J115" s="759"/>
      <c r="K115" s="271"/>
      <c r="L115" s="339">
        <v>10</v>
      </c>
      <c r="M115" s="435" t="s">
        <v>377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68"/>
      <c r="W115" s="584"/>
      <c r="X115" s="76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59"/>
      <c r="J116" s="759"/>
      <c r="K116" s="271"/>
      <c r="L116" s="339">
        <v>10</v>
      </c>
      <c r="M116" s="435" t="s">
        <v>377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790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68"/>
      <c r="W116" s="542">
        <f t="shared" ref="W116:W123" si="12">W95</f>
        <v>45792</v>
      </c>
      <c r="X116" s="76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59"/>
      <c r="J117" s="759"/>
      <c r="K117" s="271"/>
      <c r="L117" s="339">
        <v>10</v>
      </c>
      <c r="M117" s="435" t="s">
        <v>377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791"/>
      <c r="S117" s="639" t="s">
        <v>316</v>
      </c>
      <c r="T117" s="653">
        <f t="shared" si="9"/>
        <v>45808</v>
      </c>
      <c r="U117" s="675">
        <v>7784.584945259372</v>
      </c>
      <c r="V117" s="768"/>
      <c r="W117" s="542">
        <f t="shared" si="12"/>
        <v>45806</v>
      </c>
      <c r="X117" s="762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59"/>
      <c r="J118" s="759"/>
      <c r="K118" s="271"/>
      <c r="L118" s="339">
        <v>10</v>
      </c>
      <c r="M118" s="435" t="s">
        <v>377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791"/>
      <c r="S118" s="639" t="s">
        <v>318</v>
      </c>
      <c r="T118" s="651">
        <v>45838</v>
      </c>
      <c r="U118" s="675">
        <v>10379.446593679164</v>
      </c>
      <c r="V118" s="768"/>
      <c r="W118" s="542">
        <f t="shared" si="12"/>
        <v>45890</v>
      </c>
      <c r="X118" s="76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59"/>
      <c r="J119" s="759"/>
      <c r="K119" s="271"/>
      <c r="L119" s="339">
        <v>10</v>
      </c>
      <c r="M119" s="435" t="s">
        <v>377</v>
      </c>
      <c r="N119" s="340" t="s">
        <v>319</v>
      </c>
      <c r="O119" s="564"/>
      <c r="P119" s="571">
        <v>0.25</v>
      </c>
      <c r="Q119" s="342">
        <f t="shared" si="13"/>
        <v>8288.1</v>
      </c>
      <c r="R119" s="791"/>
      <c r="S119" s="639" t="s">
        <v>320</v>
      </c>
      <c r="T119" s="651">
        <v>45838</v>
      </c>
      <c r="U119" s="675">
        <v>12974.308242098954</v>
      </c>
      <c r="V119" s="768"/>
      <c r="W119" s="542">
        <f t="shared" si="12"/>
        <v>45834</v>
      </c>
      <c r="X119" s="76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59"/>
      <c r="J120" s="759"/>
      <c r="K120" s="271"/>
      <c r="L120" s="339">
        <v>10</v>
      </c>
      <c r="M120" s="435" t="s">
        <v>377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791"/>
      <c r="S120" s="639" t="s">
        <v>321</v>
      </c>
      <c r="T120" s="651">
        <v>45838</v>
      </c>
      <c r="U120" s="675">
        <v>5189.723296839582</v>
      </c>
      <c r="V120" s="768"/>
      <c r="W120" s="585">
        <f t="shared" si="12"/>
        <v>46072</v>
      </c>
      <c r="X120" s="762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59"/>
      <c r="J121" s="759"/>
      <c r="K121" s="271"/>
      <c r="L121" s="339">
        <v>10</v>
      </c>
      <c r="M121" s="435" t="s">
        <v>377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791"/>
      <c r="S121" s="639" t="s">
        <v>323</v>
      </c>
      <c r="T121" s="651">
        <v>45838</v>
      </c>
      <c r="U121" s="675">
        <v>5189.723296839582</v>
      </c>
      <c r="V121" s="768"/>
      <c r="W121" s="585">
        <f t="shared" si="12"/>
        <v>46072</v>
      </c>
      <c r="X121" s="76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59"/>
      <c r="J122" s="759"/>
      <c r="K122" s="271"/>
      <c r="L122" s="339">
        <v>10</v>
      </c>
      <c r="M122" s="435" t="s">
        <v>377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791"/>
      <c r="S122" s="639" t="s">
        <v>325</v>
      </c>
      <c r="T122" s="651">
        <v>45838</v>
      </c>
      <c r="U122" s="675">
        <v>2594.861648419791</v>
      </c>
      <c r="V122" s="768"/>
      <c r="W122" s="585">
        <f t="shared" si="12"/>
        <v>46081</v>
      </c>
      <c r="X122" s="762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59"/>
      <c r="J123" s="759"/>
      <c r="K123" s="271"/>
      <c r="L123" s="339">
        <v>10</v>
      </c>
      <c r="M123" s="435" t="s">
        <v>377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792"/>
      <c r="S123" s="639" t="s">
        <v>327</v>
      </c>
      <c r="T123" s="651">
        <v>45838</v>
      </c>
      <c r="U123" s="675">
        <v>2594.861648419791</v>
      </c>
      <c r="V123" s="768"/>
      <c r="W123" s="585">
        <f t="shared" si="12"/>
        <v>46111</v>
      </c>
      <c r="X123" s="762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59"/>
      <c r="J124" s="759"/>
      <c r="K124" s="271"/>
      <c r="L124" s="339">
        <v>10</v>
      </c>
      <c r="M124" s="435" t="s">
        <v>377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68"/>
      <c r="W124" s="585"/>
      <c r="X124" s="762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59"/>
      <c r="J125" s="759"/>
      <c r="K125" s="271"/>
      <c r="L125" s="339">
        <v>10</v>
      </c>
      <c r="M125" s="435" t="s">
        <v>377</v>
      </c>
      <c r="N125" s="340" t="s">
        <v>390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68"/>
      <c r="W125" s="585"/>
      <c r="X125" s="762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60"/>
      <c r="J126" s="760"/>
      <c r="K126" s="274"/>
      <c r="L126" s="272">
        <v>10</v>
      </c>
      <c r="M126" s="436" t="s">
        <v>377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69"/>
      <c r="W126" s="586"/>
      <c r="X126" s="763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391</v>
      </c>
      <c r="D128" s="350" t="s">
        <v>392</v>
      </c>
      <c r="E128" s="282"/>
      <c r="F128" s="437"/>
      <c r="G128" s="283">
        <v>11670.75</v>
      </c>
      <c r="H128" s="539">
        <v>45869</v>
      </c>
      <c r="I128" s="752">
        <f>SUM(G128:G132)</f>
        <v>115012.25</v>
      </c>
      <c r="J128" s="752">
        <f>F186</f>
        <v>135308.5294117647</v>
      </c>
      <c r="K128" s="284"/>
      <c r="L128" s="280">
        <v>11</v>
      </c>
      <c r="M128" s="350" t="s">
        <v>393</v>
      </c>
      <c r="N128" s="350" t="s">
        <v>392</v>
      </c>
      <c r="O128" s="282"/>
      <c r="P128" s="437"/>
      <c r="Q128" s="283">
        <v>12824.57</v>
      </c>
      <c r="R128" s="595"/>
      <c r="S128" s="632" t="s">
        <v>394</v>
      </c>
      <c r="T128" s="665">
        <v>45869</v>
      </c>
      <c r="U128" s="673">
        <v>35947.271874197439</v>
      </c>
      <c r="V128" s="764">
        <f>J128-SUM(U128:U132)</f>
        <v>1.5215865860227495E-3</v>
      </c>
      <c r="W128" s="539">
        <v>45869</v>
      </c>
      <c r="X128" s="755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395</v>
      </c>
      <c r="E129" s="313"/>
      <c r="F129" s="459"/>
      <c r="G129" s="314">
        <v>23341.5</v>
      </c>
      <c r="H129" s="645">
        <v>45757</v>
      </c>
      <c r="I129" s="753"/>
      <c r="J129" s="753"/>
      <c r="K129" s="287"/>
      <c r="L129" s="310">
        <v>11</v>
      </c>
      <c r="M129" s="389" t="s">
        <v>393</v>
      </c>
      <c r="N129" s="312" t="s">
        <v>395</v>
      </c>
      <c r="O129" s="313"/>
      <c r="P129" s="459"/>
      <c r="Q129" s="314">
        <v>9019.6</v>
      </c>
      <c r="R129" s="588" t="s">
        <v>396</v>
      </c>
      <c r="S129" s="625" t="s">
        <v>397</v>
      </c>
      <c r="T129" s="644">
        <v>45777</v>
      </c>
      <c r="U129" s="649">
        <v>45725.470512089683</v>
      </c>
      <c r="V129" s="765"/>
      <c r="W129" s="645">
        <v>45757</v>
      </c>
      <c r="X129" s="756"/>
      <c r="Y129" s="482"/>
    </row>
    <row r="130" spans="1:25" ht="15" customHeight="1">
      <c r="B130" s="310">
        <v>11</v>
      </c>
      <c r="C130" s="312"/>
      <c r="D130" s="312" t="s">
        <v>398</v>
      </c>
      <c r="E130" s="313"/>
      <c r="F130" s="459"/>
      <c r="G130" s="314">
        <v>80000</v>
      </c>
      <c r="H130" s="535">
        <v>45862</v>
      </c>
      <c r="I130" s="753"/>
      <c r="J130" s="753"/>
      <c r="K130" s="287"/>
      <c r="L130" s="310">
        <v>11</v>
      </c>
      <c r="M130" s="389" t="s">
        <v>393</v>
      </c>
      <c r="N130" s="312" t="s">
        <v>399</v>
      </c>
      <c r="O130" s="313"/>
      <c r="P130" s="459"/>
      <c r="Q130" s="314">
        <v>8830.7999999999993</v>
      </c>
      <c r="R130" s="588"/>
      <c r="S130" s="625" t="s">
        <v>400</v>
      </c>
      <c r="T130" s="643">
        <v>45838</v>
      </c>
      <c r="U130" s="667">
        <v>33638.622666479321</v>
      </c>
      <c r="V130" s="765"/>
      <c r="W130" s="535">
        <v>45862</v>
      </c>
      <c r="X130" s="756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53"/>
      <c r="J131" s="753"/>
      <c r="K131" s="287"/>
      <c r="L131" s="310">
        <v>11</v>
      </c>
      <c r="M131" s="389" t="s">
        <v>393</v>
      </c>
      <c r="N131" s="387" t="s">
        <v>401</v>
      </c>
      <c r="O131" s="406"/>
      <c r="P131" s="444"/>
      <c r="Q131" s="386">
        <v>6000</v>
      </c>
      <c r="R131" s="589"/>
      <c r="S131" s="626" t="s">
        <v>402</v>
      </c>
      <c r="T131" s="676">
        <v>45869</v>
      </c>
      <c r="U131" s="668">
        <v>19997.162837411677</v>
      </c>
      <c r="V131" s="765"/>
      <c r="W131" s="536">
        <v>45869</v>
      </c>
      <c r="X131" s="756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54"/>
      <c r="J132" s="754"/>
      <c r="K132" s="288"/>
      <c r="L132" s="315">
        <v>11</v>
      </c>
      <c r="M132" s="419" t="s">
        <v>393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66"/>
      <c r="W132" s="574"/>
      <c r="X132" s="757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403</v>
      </c>
      <c r="D134" s="269" t="s">
        <v>404</v>
      </c>
      <c r="E134" s="270"/>
      <c r="F134" s="470"/>
      <c r="G134" s="337">
        <v>75353.000152484499</v>
      </c>
      <c r="H134" s="536">
        <v>45872</v>
      </c>
      <c r="I134" s="758">
        <f>SUM(G134:G135)</f>
        <v>90423.600182981405</v>
      </c>
      <c r="J134" s="758">
        <v>0</v>
      </c>
      <c r="K134" s="770"/>
      <c r="L134" s="268">
        <v>12</v>
      </c>
      <c r="M134" s="269" t="s">
        <v>405</v>
      </c>
      <c r="N134" s="269" t="s">
        <v>404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61">
        <f>SUM(Q134:Q135)</f>
        <v>0</v>
      </c>
      <c r="Y134" s="482"/>
    </row>
    <row r="135" spans="1:25" ht="15" customHeight="1" thickBot="1">
      <c r="B135" s="272">
        <v>12</v>
      </c>
      <c r="C135" s="343" t="s">
        <v>403</v>
      </c>
      <c r="D135" s="343" t="s">
        <v>406</v>
      </c>
      <c r="E135" s="344"/>
      <c r="F135" s="472"/>
      <c r="G135" s="273">
        <v>15070.600030496902</v>
      </c>
      <c r="H135" s="536">
        <v>45873</v>
      </c>
      <c r="I135" s="760"/>
      <c r="J135" s="760"/>
      <c r="K135" s="771"/>
      <c r="L135" s="272">
        <v>12</v>
      </c>
      <c r="M135" s="343" t="s">
        <v>405</v>
      </c>
      <c r="N135" s="343" t="s">
        <v>406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63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407</v>
      </c>
      <c r="D137" s="350" t="s">
        <v>408</v>
      </c>
      <c r="E137" s="282"/>
      <c r="F137" s="437"/>
      <c r="G137" s="283">
        <v>41791.570150362328</v>
      </c>
      <c r="H137" s="539">
        <v>45869</v>
      </c>
      <c r="I137" s="752">
        <f>SUM(G137:G141)</f>
        <v>158920.9330075052</v>
      </c>
      <c r="J137" s="752">
        <f>F185</f>
        <v>180591.96932671044</v>
      </c>
      <c r="K137" s="284"/>
      <c r="L137" s="280">
        <v>13</v>
      </c>
      <c r="M137" s="350" t="s">
        <v>409</v>
      </c>
      <c r="N137" s="350" t="s">
        <v>410</v>
      </c>
      <c r="O137" s="549"/>
      <c r="P137" s="437"/>
      <c r="Q137" s="283">
        <f>'Project Plan'!$E$6*1.25%</f>
        <v>58283.125</v>
      </c>
      <c r="R137" s="595"/>
      <c r="S137" s="632" t="s">
        <v>411</v>
      </c>
      <c r="T137" s="665">
        <v>45869</v>
      </c>
      <c r="U137" s="673">
        <v>180591.96932671044</v>
      </c>
      <c r="V137" s="764">
        <f>J137-SUM(U137:U142)</f>
        <v>0</v>
      </c>
      <c r="W137" s="539">
        <v>45869</v>
      </c>
      <c r="X137" s="755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412</v>
      </c>
      <c r="E138" s="313"/>
      <c r="F138" s="459"/>
      <c r="G138" s="314">
        <v>26285.714285714286</v>
      </c>
      <c r="H138" s="535">
        <f>H137</f>
        <v>45869</v>
      </c>
      <c r="I138" s="753"/>
      <c r="J138" s="753"/>
      <c r="K138" s="287"/>
      <c r="L138" s="310">
        <v>13</v>
      </c>
      <c r="M138" s="389" t="s">
        <v>409</v>
      </c>
      <c r="N138" s="312" t="s">
        <v>412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65"/>
      <c r="W138" s="535">
        <f>W137</f>
        <v>45869</v>
      </c>
      <c r="X138" s="756"/>
      <c r="Y138" s="482"/>
    </row>
    <row r="139" spans="1:25" ht="15.75" customHeight="1">
      <c r="B139" s="310">
        <v>13</v>
      </c>
      <c r="C139" s="312"/>
      <c r="D139" s="312" t="s">
        <v>413</v>
      </c>
      <c r="E139" s="313"/>
      <c r="F139" s="459"/>
      <c r="G139" s="314">
        <v>34000</v>
      </c>
      <c r="H139" s="535">
        <f>H137</f>
        <v>45869</v>
      </c>
      <c r="I139" s="753"/>
      <c r="J139" s="753"/>
      <c r="K139" s="287"/>
      <c r="L139" s="310">
        <v>13</v>
      </c>
      <c r="M139" s="389" t="s">
        <v>409</v>
      </c>
      <c r="N139" s="312" t="s">
        <v>413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65"/>
      <c r="W139" s="535">
        <f>W137</f>
        <v>45869</v>
      </c>
      <c r="X139" s="756"/>
      <c r="Y139" s="482"/>
    </row>
    <row r="140" spans="1:25" ht="15.75" customHeight="1">
      <c r="B140" s="310">
        <v>13</v>
      </c>
      <c r="C140" s="312"/>
      <c r="D140" s="312" t="s">
        <v>414</v>
      </c>
      <c r="E140" s="313"/>
      <c r="F140" s="459"/>
      <c r="G140" s="314">
        <v>34171.428571428572</v>
      </c>
      <c r="H140" s="535">
        <f>H137</f>
        <v>45869</v>
      </c>
      <c r="I140" s="753"/>
      <c r="J140" s="753"/>
      <c r="K140" s="287"/>
      <c r="L140" s="310">
        <v>13</v>
      </c>
      <c r="M140" s="389" t="s">
        <v>409</v>
      </c>
      <c r="N140" s="312" t="s">
        <v>414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65"/>
      <c r="W140" s="535">
        <f>W137</f>
        <v>45869</v>
      </c>
      <c r="X140" s="756"/>
      <c r="Y140" s="482"/>
    </row>
    <row r="141" spans="1:25" ht="15.75" customHeight="1">
      <c r="B141" s="310">
        <v>13</v>
      </c>
      <c r="C141" s="312"/>
      <c r="D141" s="312" t="s">
        <v>415</v>
      </c>
      <c r="E141" s="313"/>
      <c r="F141" s="459"/>
      <c r="G141" s="314">
        <v>22672.219999999998</v>
      </c>
      <c r="H141" s="535">
        <f>H137</f>
        <v>45869</v>
      </c>
      <c r="I141" s="753"/>
      <c r="J141" s="753"/>
      <c r="K141" s="287"/>
      <c r="L141" s="310">
        <v>13</v>
      </c>
      <c r="M141" s="389" t="s">
        <v>409</v>
      </c>
      <c r="N141" s="312" t="s">
        <v>415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65"/>
      <c r="W141" s="535">
        <f>W137</f>
        <v>45869</v>
      </c>
      <c r="X141" s="756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4"/>
      <c r="J142" s="754"/>
      <c r="K142" s="363"/>
      <c r="L142" s="315">
        <v>13</v>
      </c>
      <c r="M142" s="419" t="s">
        <v>409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66"/>
      <c r="W142" s="574"/>
      <c r="X142" s="757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416</v>
      </c>
      <c r="D144" s="269" t="s">
        <v>417</v>
      </c>
      <c r="E144" s="270"/>
      <c r="F144" s="470"/>
      <c r="G144" s="337">
        <v>8050</v>
      </c>
      <c r="H144" s="648">
        <v>45777</v>
      </c>
      <c r="I144" s="758">
        <f>SUM(G144:G155)</f>
        <v>8050</v>
      </c>
      <c r="J144" s="758">
        <f>F196</f>
        <v>9470.5882352941171</v>
      </c>
      <c r="K144" s="338"/>
      <c r="L144" s="268">
        <v>14</v>
      </c>
      <c r="M144" s="434" t="s">
        <v>418</v>
      </c>
      <c r="N144" s="269" t="s">
        <v>419</v>
      </c>
      <c r="O144" s="563"/>
      <c r="P144" s="470"/>
      <c r="Q144" s="337">
        <v>10950</v>
      </c>
      <c r="R144" s="601"/>
      <c r="S144" s="637" t="s">
        <v>420</v>
      </c>
      <c r="T144" s="646">
        <f t="shared" si="9"/>
        <v>45777</v>
      </c>
      <c r="U144" s="647">
        <v>5699.53</v>
      </c>
      <c r="V144" s="767">
        <f>J144-SUM(U144:U155)</f>
        <v>1.773850361132645E-3</v>
      </c>
      <c r="W144" s="648">
        <v>45777</v>
      </c>
      <c r="X144" s="761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59"/>
      <c r="J145" s="759"/>
      <c r="K145" s="271"/>
      <c r="L145" s="339">
        <v>14</v>
      </c>
      <c r="M145" s="435" t="s">
        <v>418</v>
      </c>
      <c r="N145" s="340" t="s">
        <v>419</v>
      </c>
      <c r="O145" s="564"/>
      <c r="P145" s="471"/>
      <c r="Q145" s="342">
        <v>7624.05</v>
      </c>
      <c r="R145" s="603"/>
      <c r="S145" s="639" t="s">
        <v>421</v>
      </c>
      <c r="T145" s="651">
        <v>45808</v>
      </c>
      <c r="U145" s="675">
        <v>2681.3708204656295</v>
      </c>
      <c r="V145" s="768"/>
      <c r="W145" s="678">
        <v>45814</v>
      </c>
      <c r="X145" s="76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59"/>
      <c r="J146" s="759"/>
      <c r="K146" s="271"/>
      <c r="L146" s="339">
        <v>14</v>
      </c>
      <c r="M146" s="435" t="s">
        <v>418</v>
      </c>
      <c r="N146" s="340" t="s">
        <v>419</v>
      </c>
      <c r="O146" s="564"/>
      <c r="P146" s="471"/>
      <c r="Q146" s="342">
        <v>10878.61</v>
      </c>
      <c r="R146" s="603"/>
      <c r="S146" s="639" t="s">
        <v>421</v>
      </c>
      <c r="T146" s="653">
        <v>45838</v>
      </c>
      <c r="U146" s="675">
        <v>598.82221983413319</v>
      </c>
      <c r="V146" s="768"/>
      <c r="W146" s="678">
        <v>45842</v>
      </c>
      <c r="X146" s="76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59"/>
      <c r="J147" s="759"/>
      <c r="K147" s="271"/>
      <c r="L147" s="339">
        <v>14</v>
      </c>
      <c r="M147" s="435" t="s">
        <v>418</v>
      </c>
      <c r="N147" s="340" t="s">
        <v>419</v>
      </c>
      <c r="O147" s="564"/>
      <c r="P147" s="471"/>
      <c r="Q147" s="342">
        <v>0</v>
      </c>
      <c r="R147" s="603"/>
      <c r="S147" s="639" t="s">
        <v>421</v>
      </c>
      <c r="T147" s="651">
        <v>45869</v>
      </c>
      <c r="U147" s="675">
        <f>(Q147/$X$144*$J$144)</f>
        <v>0</v>
      </c>
      <c r="V147" s="768"/>
      <c r="W147" s="542">
        <v>45876</v>
      </c>
      <c r="X147" s="76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59"/>
      <c r="J148" s="759"/>
      <c r="K148" s="271"/>
      <c r="L148" s="339">
        <v>14</v>
      </c>
      <c r="M148" s="435" t="s">
        <v>418</v>
      </c>
      <c r="N148" s="340" t="s">
        <v>419</v>
      </c>
      <c r="O148" s="564"/>
      <c r="P148" s="471"/>
      <c r="Q148" s="342">
        <f>$G$144/10</f>
        <v>805</v>
      </c>
      <c r="R148" s="603"/>
      <c r="S148" s="639" t="s">
        <v>421</v>
      </c>
      <c r="T148" s="651">
        <v>45900</v>
      </c>
      <c r="U148" s="675">
        <v>490.86342114399349</v>
      </c>
      <c r="V148" s="768"/>
      <c r="W148" s="542">
        <v>45905</v>
      </c>
      <c r="X148" s="76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59"/>
      <c r="J149" s="759"/>
      <c r="K149" s="271"/>
      <c r="L149" s="339">
        <v>14</v>
      </c>
      <c r="M149" s="435" t="s">
        <v>418</v>
      </c>
      <c r="N149" s="340" t="s">
        <v>419</v>
      </c>
      <c r="O149" s="564"/>
      <c r="P149" s="471"/>
      <c r="Q149" s="342">
        <v>0</v>
      </c>
      <c r="R149" s="603"/>
      <c r="S149" s="639" t="s">
        <v>421</v>
      </c>
      <c r="T149" s="697">
        <v>45930</v>
      </c>
      <c r="U149" s="706">
        <v>0</v>
      </c>
      <c r="V149" s="768"/>
      <c r="W149" s="698">
        <v>45930</v>
      </c>
      <c r="X149" s="76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59"/>
      <c r="J150" s="759"/>
      <c r="K150" s="271"/>
      <c r="L150" s="339">
        <v>14</v>
      </c>
      <c r="M150" s="435" t="s">
        <v>418</v>
      </c>
      <c r="N150" s="340" t="s">
        <v>419</v>
      </c>
      <c r="O150" s="564"/>
      <c r="P150" s="471"/>
      <c r="Q150" s="342">
        <v>1247.83</v>
      </c>
      <c r="R150" s="603"/>
      <c r="S150" s="639" t="s">
        <v>421</v>
      </c>
      <c r="T150" s="697">
        <v>45961</v>
      </c>
      <c r="U150" s="706">
        <v>0</v>
      </c>
      <c r="V150" s="768"/>
      <c r="W150" s="698">
        <v>45968</v>
      </c>
      <c r="X150" s="76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59"/>
      <c r="J151" s="759"/>
      <c r="K151" s="271"/>
      <c r="L151" s="339">
        <v>14</v>
      </c>
      <c r="M151" s="435" t="s">
        <v>418</v>
      </c>
      <c r="N151" s="340" t="s">
        <v>419</v>
      </c>
      <c r="O151" s="564"/>
      <c r="P151" s="471"/>
      <c r="Q151" s="696">
        <v>4630.1400000000003</v>
      </c>
      <c r="R151" s="603"/>
      <c r="S151" s="639" t="s">
        <v>421</v>
      </c>
      <c r="T151" s="697">
        <v>45991</v>
      </c>
      <c r="U151" s="706">
        <v>0</v>
      </c>
      <c r="V151" s="768"/>
      <c r="W151" s="698">
        <v>45996</v>
      </c>
      <c r="X151" s="762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59"/>
      <c r="J152" s="759"/>
      <c r="K152" s="271"/>
      <c r="L152" s="339">
        <v>14</v>
      </c>
      <c r="M152" s="435" t="s">
        <v>418</v>
      </c>
      <c r="N152" s="340" t="s">
        <v>419</v>
      </c>
      <c r="O152" s="564"/>
      <c r="P152" s="471"/>
      <c r="Q152" s="342">
        <v>0</v>
      </c>
      <c r="R152" s="603"/>
      <c r="S152" s="639" t="s">
        <v>421</v>
      </c>
      <c r="T152" s="697">
        <v>46053</v>
      </c>
      <c r="U152" s="706">
        <v>0</v>
      </c>
      <c r="V152" s="768"/>
      <c r="W152" s="698">
        <v>46058</v>
      </c>
      <c r="X152" s="762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59"/>
      <c r="J153" s="759"/>
      <c r="K153" s="271"/>
      <c r="L153" s="339">
        <v>14</v>
      </c>
      <c r="M153" s="435" t="s">
        <v>418</v>
      </c>
      <c r="N153" s="340" t="s">
        <v>419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68"/>
      <c r="W153" s="585">
        <v>46086</v>
      </c>
      <c r="X153" s="762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59"/>
      <c r="J154" s="759"/>
      <c r="K154" s="271"/>
      <c r="L154" s="339">
        <v>14</v>
      </c>
      <c r="M154" s="435" t="s">
        <v>418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68"/>
      <c r="W154" s="585">
        <v>46121</v>
      </c>
      <c r="X154" s="762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0"/>
      <c r="J155" s="760"/>
      <c r="K155" s="274"/>
      <c r="L155" s="272">
        <v>14</v>
      </c>
      <c r="M155" s="436" t="s">
        <v>418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69"/>
      <c r="W155" s="586"/>
      <c r="X155" s="763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422</v>
      </c>
      <c r="D157" s="281" t="s">
        <v>423</v>
      </c>
      <c r="E157" s="282"/>
      <c r="F157" s="437"/>
      <c r="G157" s="283">
        <f>D193</f>
        <v>650000</v>
      </c>
      <c r="H157" s="539">
        <v>45849</v>
      </c>
      <c r="I157" s="752">
        <f>SUM(G157:G168)</f>
        <v>650000</v>
      </c>
      <c r="J157" s="752">
        <f>F193</f>
        <v>650000</v>
      </c>
      <c r="K157" s="284"/>
      <c r="L157" s="280">
        <v>15</v>
      </c>
      <c r="M157" s="350" t="s">
        <v>424</v>
      </c>
      <c r="N157" s="281" t="s">
        <v>425</v>
      </c>
      <c r="O157" s="282"/>
      <c r="P157" s="437"/>
      <c r="Q157" s="283">
        <f>699000/2</f>
        <v>349500</v>
      </c>
      <c r="R157" s="595"/>
      <c r="S157" s="632" t="s">
        <v>426</v>
      </c>
      <c r="T157" s="665">
        <v>45838</v>
      </c>
      <c r="U157" s="673">
        <v>291623.87676508346</v>
      </c>
      <c r="V157" s="764">
        <f>J157-SUM(U157:U168)</f>
        <v>15368.847260346869</v>
      </c>
      <c r="W157" s="539">
        <v>45849</v>
      </c>
      <c r="X157" s="755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53"/>
      <c r="J158" s="753"/>
      <c r="K158" s="287"/>
      <c r="L158" s="310">
        <v>15</v>
      </c>
      <c r="M158" s="389" t="s">
        <v>424</v>
      </c>
      <c r="N158" s="312" t="s">
        <v>427</v>
      </c>
      <c r="O158" s="550"/>
      <c r="P158" s="459"/>
      <c r="Q158" s="314">
        <f>699000/2</f>
        <v>349500</v>
      </c>
      <c r="R158" s="588"/>
      <c r="S158" s="625" t="s">
        <v>426</v>
      </c>
      <c r="T158" s="643">
        <v>45838</v>
      </c>
      <c r="U158" s="667">
        <v>291623.87676508346</v>
      </c>
      <c r="V158" s="765"/>
      <c r="W158" s="572">
        <f>'Project Plan'!K39+7</f>
        <v>46071</v>
      </c>
      <c r="X158" s="756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3"/>
      <c r="J159" s="753"/>
      <c r="K159" s="287"/>
      <c r="L159" s="310">
        <v>15</v>
      </c>
      <c r="M159" s="389" t="s">
        <v>424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65"/>
      <c r="W159" s="572"/>
      <c r="X159" s="756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53"/>
      <c r="J160" s="753"/>
      <c r="K160" s="287"/>
      <c r="L160" s="310">
        <v>15</v>
      </c>
      <c r="M160" s="389" t="s">
        <v>424</v>
      </c>
      <c r="N160" s="312" t="s">
        <v>428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65"/>
      <c r="W160" s="572"/>
      <c r="X160" s="756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3"/>
      <c r="J161" s="753"/>
      <c r="K161" s="287"/>
      <c r="L161" s="310">
        <v>15</v>
      </c>
      <c r="M161" s="389" t="s">
        <v>424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65"/>
      <c r="W161" s="572"/>
      <c r="X161" s="756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3"/>
      <c r="J162" s="753"/>
      <c r="K162" s="287"/>
      <c r="L162" s="310">
        <v>15</v>
      </c>
      <c r="M162" s="389" t="s">
        <v>424</v>
      </c>
      <c r="N162" s="312"/>
      <c r="O162" s="709"/>
      <c r="P162" s="459"/>
      <c r="Q162" s="314"/>
      <c r="R162" s="588"/>
      <c r="S162" s="625"/>
      <c r="T162" s="644"/>
      <c r="U162" s="503"/>
      <c r="V162" s="765"/>
      <c r="W162" s="572"/>
      <c r="X162" s="756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3"/>
      <c r="J163" s="753"/>
      <c r="K163" s="287"/>
      <c r="L163" s="310">
        <v>15</v>
      </c>
      <c r="M163" s="389" t="s">
        <v>424</v>
      </c>
      <c r="N163" s="312" t="s">
        <v>429</v>
      </c>
      <c r="O163" s="709"/>
      <c r="P163" s="459"/>
      <c r="Q163" s="314">
        <v>24295</v>
      </c>
      <c r="R163" s="588"/>
      <c r="S163" s="625" t="s">
        <v>357</v>
      </c>
      <c r="T163" s="643"/>
      <c r="U163" s="503"/>
      <c r="V163" s="765"/>
      <c r="W163" s="572"/>
      <c r="X163" s="756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3"/>
      <c r="J164" s="753"/>
      <c r="K164" s="287"/>
      <c r="L164" s="310">
        <v>15</v>
      </c>
      <c r="M164" s="389" t="s">
        <v>424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65"/>
      <c r="W164" s="572"/>
      <c r="X164" s="756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3"/>
      <c r="J165" s="753"/>
      <c r="K165" s="287"/>
      <c r="L165" s="310">
        <v>15</v>
      </c>
      <c r="M165" s="389" t="s">
        <v>424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65"/>
      <c r="W165" s="572"/>
      <c r="X165" s="756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3"/>
      <c r="J166" s="753"/>
      <c r="K166" s="287"/>
      <c r="L166" s="310">
        <v>15</v>
      </c>
      <c r="M166" s="389" t="s">
        <v>424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65"/>
      <c r="W166" s="572"/>
      <c r="X166" s="756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3"/>
      <c r="J167" s="753"/>
      <c r="K167" s="287"/>
      <c r="L167" s="310">
        <v>15</v>
      </c>
      <c r="M167" s="389" t="s">
        <v>424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65"/>
      <c r="W167" s="572"/>
      <c r="X167" s="756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4"/>
      <c r="J168" s="754"/>
      <c r="K168" s="288"/>
      <c r="L168" s="315">
        <v>15</v>
      </c>
      <c r="M168" s="419" t="s">
        <v>424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66"/>
      <c r="W168" s="574"/>
      <c r="X168" s="757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430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431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432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433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434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435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436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437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438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439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440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441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442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443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444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445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446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447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448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435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449</v>
      </c>
      <c r="D195" s="642"/>
      <c r="E195" s="544"/>
      <c r="F195" s="642"/>
      <c r="I195" s="255"/>
      <c r="J195" s="255"/>
    </row>
    <row r="196" spans="3:10" s="111" customFormat="1">
      <c r="C196" s="642" t="s">
        <v>450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BD10" sqref="BD10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0"/>
  </cols>
  <sheetData>
    <row r="1" spans="1:794">
      <c r="D1" s="186" t="s">
        <v>451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0" t="s">
        <v>452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1"/>
      <c r="B4" s="194" t="s">
        <v>453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1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1"/>
      <c r="B6" s="198" t="s">
        <v>454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1"/>
      <c r="B7" s="203" t="s">
        <v>455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0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8" t="s">
        <v>456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699397.5</v>
      </c>
      <c r="BK9" s="210">
        <f>SUMIFS('Revenue Tracking'!$F$13:$F$20, 'Revenue Tracking'!$P$13:$P$20, "&gt;="&amp;BK1,'Revenue Tracking'!$P$13:$P$20, "&lt;"&amp;BL1)</f>
        <v>1165662.5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1"/>
      <c r="B10" s="208" t="s">
        <v>457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3263855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1"/>
      <c r="B11" s="211" t="s">
        <v>458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644150.21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1"/>
      <c r="B12" s="211" t="s">
        <v>459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1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3" t="s">
        <v>460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-785255.24250000017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2"/>
      <c r="B17" s="194" t="s">
        <v>461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2"/>
      <c r="B18" s="194" t="s">
        <v>462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5" width="14.855468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85546875" style="365" bestFit="1" customWidth="1"/>
    <col min="17" max="18" width="11.285156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463</v>
      </c>
      <c r="B3" s="446" t="s">
        <v>464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465</v>
      </c>
      <c r="B4" t="s">
        <v>466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467</v>
      </c>
      <c r="Q4"/>
      <c r="R4"/>
      <c r="S4"/>
      <c r="T4"/>
    </row>
    <row r="5" spans="1:20">
      <c r="A5" s="447" t="s">
        <v>466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373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377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393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409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418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424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467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85156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855468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85546875" bestFit="1" customWidth="1"/>
    <col min="17" max="18" width="11.5703125" bestFit="1" customWidth="1"/>
    <col min="19" max="19" width="13.28515625" bestFit="1" customWidth="1"/>
  </cols>
  <sheetData>
    <row r="3" spans="1:16">
      <c r="A3" s="446" t="s">
        <v>468</v>
      </c>
      <c r="B3" s="446" t="s">
        <v>464</v>
      </c>
      <c r="C3"/>
      <c r="D3"/>
      <c r="E3"/>
      <c r="F3"/>
      <c r="G3"/>
      <c r="H3"/>
      <c r="I3"/>
    </row>
    <row r="4" spans="1:16">
      <c r="A4" s="446" t="s">
        <v>465</v>
      </c>
      <c r="B4" t="s">
        <v>466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467</v>
      </c>
    </row>
    <row r="5" spans="1:16">
      <c r="A5" s="447" t="s">
        <v>466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373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377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393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409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418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424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467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9" t="s">
        <v>469</v>
      </c>
    </row>
    <row r="2" spans="1:4">
      <c r="A2" s="814"/>
      <c r="B2" s="814"/>
      <c r="C2" s="814"/>
      <c r="D2" s="71"/>
    </row>
    <row r="3" spans="1:4">
      <c r="A3" s="813" t="s">
        <v>470</v>
      </c>
      <c r="B3" s="813"/>
      <c r="C3" s="813"/>
      <c r="D3" s="110">
        <v>0.32</v>
      </c>
    </row>
    <row r="4" spans="1:4">
      <c r="A4" s="813" t="s">
        <v>438</v>
      </c>
      <c r="B4" s="813"/>
      <c r="C4" s="813"/>
      <c r="D4" s="110">
        <v>0.5</v>
      </c>
    </row>
    <row r="5" spans="1:4">
      <c r="A5" s="813" t="s">
        <v>449</v>
      </c>
      <c r="B5" s="813"/>
      <c r="C5" s="813"/>
      <c r="D5" s="110">
        <v>0.15</v>
      </c>
    </row>
    <row r="6" spans="1:4">
      <c r="A6" s="813" t="s">
        <v>471</v>
      </c>
      <c r="B6" s="813"/>
      <c r="C6" s="813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3.28515625" style="87" customWidth="1"/>
    <col min="6" max="6" width="15.28515625" style="87" customWidth="1"/>
    <col min="7" max="7" width="2.28515625" style="87" customWidth="1"/>
    <col min="8" max="8" width="16.28515625" style="87" bestFit="1" customWidth="1"/>
    <col min="9" max="9" width="6.28515625" style="87" customWidth="1"/>
    <col min="10" max="10" width="13.5703125" style="87" bestFit="1" customWidth="1"/>
    <col min="11" max="11" width="2.28515625" style="87" customWidth="1"/>
    <col min="12" max="12" width="14.28515625" style="87" bestFit="1" customWidth="1"/>
    <col min="13" max="13" width="3" style="87" customWidth="1"/>
    <col min="14" max="14" width="45.28515625" style="87" customWidth="1"/>
    <col min="15" max="16384" width="9.28515625" style="87"/>
  </cols>
  <sheetData>
    <row r="2" spans="2:14" s="93" customFormat="1" ht="17.45">
      <c r="B2" s="815" t="s">
        <v>472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>
      <c r="B4" s="91" t="s">
        <v>473</v>
      </c>
      <c r="C4" s="85"/>
      <c r="D4" s="89" t="s">
        <v>474</v>
      </c>
      <c r="E4" s="94"/>
      <c r="F4" s="89" t="s">
        <v>475</v>
      </c>
      <c r="H4" s="89" t="s">
        <v>476</v>
      </c>
      <c r="I4" s="94"/>
      <c r="J4" s="89" t="s">
        <v>477</v>
      </c>
      <c r="L4" s="89" t="s">
        <v>476</v>
      </c>
      <c r="M4" s="89"/>
      <c r="N4" s="89" t="s">
        <v>478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479</v>
      </c>
      <c r="H7" s="98"/>
      <c r="I7" s="94"/>
      <c r="J7" s="106" t="s">
        <v>479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480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481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482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479</v>
      </c>
      <c r="H15" s="98"/>
      <c r="I15" s="94"/>
      <c r="J15" s="106" t="s">
        <v>479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483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483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482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479</v>
      </c>
      <c r="H21" s="98"/>
      <c r="I21" s="94"/>
      <c r="J21" s="106" t="s">
        <v>479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482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479</v>
      </c>
      <c r="H27" s="98"/>
      <c r="I27" s="94"/>
      <c r="J27" s="106" t="s">
        <v>479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484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482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479</v>
      </c>
      <c r="H34" s="98"/>
      <c r="I34" s="94"/>
      <c r="J34" s="106" t="s">
        <v>479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485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486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487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488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489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490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491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7" style="87" customWidth="1"/>
    <col min="6" max="6" width="3.28515625" style="87" customWidth="1"/>
    <col min="7" max="7" width="18.5703125" style="87" customWidth="1"/>
    <col min="8" max="8" width="9.28515625" style="87" bestFit="1" customWidth="1"/>
    <col min="9" max="9" width="2" style="87" customWidth="1"/>
    <col min="10" max="10" width="14.28515625" style="87" bestFit="1" customWidth="1"/>
    <col min="11" max="11" width="2.28515625" style="87" customWidth="1"/>
    <col min="12" max="12" width="20.28515625" style="87" customWidth="1"/>
    <col min="13" max="13" width="9.28515625" style="87" bestFit="1" customWidth="1"/>
    <col min="14" max="14" width="0.85546875" style="87" customWidth="1"/>
    <col min="15" max="15" width="14.28515625" style="87" bestFit="1" customWidth="1"/>
    <col min="16" max="16384" width="9.28515625" style="87"/>
  </cols>
  <sheetData>
    <row r="2" spans="2:15" s="93" customFormat="1" ht="17.45">
      <c r="B2" s="815" t="s">
        <v>493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>
      <c r="B4" s="91" t="s">
        <v>473</v>
      </c>
      <c r="C4" s="85"/>
      <c r="D4" s="89" t="s">
        <v>474</v>
      </c>
      <c r="E4" s="94"/>
      <c r="F4" s="94"/>
      <c r="G4" s="89" t="s">
        <v>494</v>
      </c>
      <c r="H4" s="95"/>
      <c r="J4" s="89" t="s">
        <v>476</v>
      </c>
      <c r="L4" s="89" t="s">
        <v>495</v>
      </c>
      <c r="M4" s="95"/>
      <c r="O4" s="89" t="s">
        <v>476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496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491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473</v>
      </c>
      <c r="C18" s="85"/>
      <c r="D18" s="89" t="s">
        <v>474</v>
      </c>
      <c r="E18" s="94"/>
      <c r="F18" s="94"/>
      <c r="G18" s="89" t="s">
        <v>497</v>
      </c>
      <c r="H18" s="95"/>
      <c r="J18" s="89" t="s">
        <v>476</v>
      </c>
      <c r="L18" s="89" t="s">
        <v>498</v>
      </c>
      <c r="M18" s="95"/>
      <c r="O18" s="89" t="s">
        <v>476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499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500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501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502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503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491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9" thickBot="1">
      <c r="B32" s="101" t="s">
        <v>504</v>
      </c>
      <c r="C32" s="102"/>
      <c r="D32" s="102"/>
    </row>
    <row r="33" spans="2:4" ht="13.9" thickTop="1"/>
    <row r="34" spans="2:4">
      <c r="B34" s="87" t="s">
        <v>474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9" thickBot="1">
      <c r="B39" s="103"/>
      <c r="C39" s="102"/>
      <c r="D39" s="102"/>
    </row>
    <row r="40" spans="2:4" ht="13.9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85546875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7" t="str">
        <f>D15</f>
        <v>Sibasa</v>
      </c>
      <c r="C1" s="817"/>
      <c r="D1" s="817"/>
      <c r="E1" s="816" t="s">
        <v>506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507</v>
      </c>
      <c r="C3" s="72" t="s">
        <v>508</v>
      </c>
      <c r="D3" s="72" t="s">
        <v>509</v>
      </c>
      <c r="E3" s="78" t="s">
        <v>510</v>
      </c>
      <c r="F3" s="78" t="s">
        <v>511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6F1B8584-E221-43D6-B4D7-0206EBEB264A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2026-02-18T14:15:31Z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