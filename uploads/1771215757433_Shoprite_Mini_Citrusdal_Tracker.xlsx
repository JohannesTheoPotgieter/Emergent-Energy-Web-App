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2" documentId="6_{75E6EAB9-0DA5-4053-AB0C-6D7CCF22EEDA}" xr6:coauthVersionLast="47" xr6:coauthVersionMax="47" xr10:uidLastSave="{CF4E10C0-A9DB-428E-8911-F1EB7C2FA5BF}"/>
  <bookViews>
    <workbookView xWindow="-98" yWindow="-98" windowWidth="21795" windowHeight="12975" tabRatio="766" firstSheet="4" activeTab="6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9" i="2"/>
  <c r="N32" i="2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W107" i="18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<sst xmlns="http://schemas.openxmlformats.org/spreadsheetml/2006/main" count="969" uniqueCount="556">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</sst>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7" fillId="0" borderId="16" xfId="0" applyNumberFormat="1" applyFont="1" applyBorder="1" applyAlignment="1" applyProtection="1">
      <alignment horizontal="center" vertical="center"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7" fontId="6" fillId="7" borderId="2" xfId="3" applyFont="1" applyFill="1" applyBorder="1" applyProtection="1">
      <protection locked="0"/>
    </xf>
    <xf numFmtId="167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7" fontId="6" fillId="6" borderId="2" xfId="3" applyFont="1" applyFill="1" applyBorder="1" applyProtection="1">
      <protection locked="0"/>
    </xf>
    <xf numFmtId="167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Protection="1"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1331109.7560000001</c:v>
                </c:pt>
                <c:pt idx="32">
                  <c:v>1331109.7560000001</c:v>
                </c:pt>
                <c:pt idx="33">
                  <c:v>1356168.986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673628.81943159015</c:v>
                </c:pt>
                <c:pt idx="32">
                  <c:v>673628.81943159015</c:v>
                </c:pt>
                <c:pt idx="33">
                  <c:v>648569.58943159017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597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4" t="s">
        <v>57</v>
      </c>
      <c r="E47" s="794"/>
      <c r="F47" s="795"/>
      <c r="G47" s="67"/>
      <c r="I47" s="68"/>
      <c r="J47" s="68"/>
    </row>
    <row r="48" spans="1:49" ht="13.9" thickBot="1">
      <c r="C48" s="69">
        <v>44014</v>
      </c>
      <c r="D48" s="796"/>
      <c r="E48" s="796"/>
      <c r="F48" s="79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25"/>
  <cols>
    <col min="1" max="1" width="6.3984375" customWidth="1"/>
    <col min="2" max="2" width="21.5976562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9" t="s">
        <v>58</v>
      </c>
      <c r="C2" s="799"/>
      <c r="D2" s="799"/>
      <c r="E2" s="799"/>
      <c r="H2" s="800" t="s">
        <v>59</v>
      </c>
      <c r="I2" s="801"/>
      <c r="J2" s="801"/>
      <c r="K2" s="801"/>
      <c r="L2" s="801"/>
      <c r="M2" s="801"/>
      <c r="N2" s="801"/>
      <c r="O2" s="802"/>
    </row>
    <row r="3" spans="2:15">
      <c r="B3" s="663"/>
      <c r="H3" s="803"/>
      <c r="I3" s="804"/>
      <c r="J3" s="804"/>
      <c r="K3" s="804"/>
      <c r="L3" s="804"/>
      <c r="M3" s="804"/>
      <c r="N3" s="804"/>
      <c r="O3" s="805"/>
    </row>
    <row r="4" spans="2:15">
      <c r="B4" s="664" t="s">
        <v>60</v>
      </c>
      <c r="C4" s="665" t="str">
        <f>'Project Plan'!E2</f>
        <v>Shoprite Mini_Citrusdal</v>
      </c>
      <c r="H4" s="803"/>
      <c r="I4" s="804"/>
      <c r="J4" s="804"/>
      <c r="K4" s="804"/>
      <c r="L4" s="804"/>
      <c r="M4" s="804"/>
      <c r="N4" s="804"/>
      <c r="O4" s="805"/>
    </row>
    <row r="5" spans="2:15">
      <c r="B5" s="664" t="s">
        <v>61</v>
      </c>
      <c r="C5" s="665" t="s">
        <v>62</v>
      </c>
      <c r="H5" s="803"/>
      <c r="I5" s="804"/>
      <c r="J5" s="804"/>
      <c r="K5" s="804"/>
      <c r="L5" s="804"/>
      <c r="M5" s="804"/>
      <c r="N5" s="804"/>
      <c r="O5" s="805"/>
    </row>
    <row r="6" spans="2:15">
      <c r="B6" s="664" t="s">
        <v>63</v>
      </c>
      <c r="C6" s="665" t="s">
        <v>64</v>
      </c>
      <c r="H6" s="803"/>
      <c r="I6" s="804"/>
      <c r="J6" s="804"/>
      <c r="K6" s="804"/>
      <c r="L6" s="804"/>
      <c r="M6" s="804"/>
      <c r="N6" s="804"/>
      <c r="O6" s="805"/>
    </row>
    <row r="7" spans="2:15">
      <c r="B7" s="664" t="s">
        <v>65</v>
      </c>
      <c r="C7" s="665" t="s">
        <v>66</v>
      </c>
      <c r="H7" s="803"/>
      <c r="I7" s="804"/>
      <c r="J7" s="804"/>
      <c r="K7" s="804"/>
      <c r="L7" s="804"/>
      <c r="M7" s="804"/>
      <c r="N7" s="804"/>
      <c r="O7" s="805"/>
    </row>
    <row r="8" spans="2:15">
      <c r="B8" s="663"/>
      <c r="H8" s="803"/>
      <c r="I8" s="804"/>
      <c r="J8" s="804"/>
      <c r="K8" s="804"/>
      <c r="L8" s="804"/>
      <c r="M8" s="804"/>
      <c r="N8" s="804"/>
      <c r="O8" s="805"/>
    </row>
    <row r="9" spans="2:15">
      <c r="B9" s="809" t="s">
        <v>67</v>
      </c>
      <c r="C9" s="809"/>
      <c r="D9" s="809"/>
      <c r="E9" s="80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3"/>
      <c r="I9" s="804"/>
      <c r="J9" s="804"/>
      <c r="K9" s="804"/>
      <c r="L9" s="804"/>
      <c r="M9" s="804"/>
      <c r="N9" s="804"/>
      <c r="O9" s="805"/>
    </row>
    <row r="10" spans="2:15" ht="14.65" thickBot="1">
      <c r="B10" s="809" t="s">
        <v>68</v>
      </c>
      <c r="C10" s="809"/>
      <c r="D10" s="809"/>
      <c r="E10" s="809"/>
      <c r="H10" s="806"/>
      <c r="I10" s="807"/>
      <c r="J10" s="807"/>
      <c r="K10" s="807"/>
      <c r="L10" s="807"/>
      <c r="M10" s="807"/>
      <c r="N10" s="807"/>
      <c r="O10" s="808"/>
    </row>
    <row r="11" spans="2:15">
      <c r="B11" s="666" t="s">
        <v>69</v>
      </c>
      <c r="C11" s="798"/>
      <c r="D11" s="798"/>
      <c r="E11" s="798"/>
    </row>
    <row r="12" spans="2:15">
      <c r="B12" s="666" t="s">
        <v>70</v>
      </c>
      <c r="C12" s="798"/>
      <c r="D12" s="798"/>
      <c r="E12" s="798"/>
    </row>
    <row r="13" spans="2:15">
      <c r="B13" s="666" t="s">
        <v>71</v>
      </c>
      <c r="C13" s="798"/>
      <c r="D13" s="798"/>
      <c r="E13" s="798"/>
    </row>
    <row r="14" spans="2:15">
      <c r="B14" s="666" t="s">
        <v>72</v>
      </c>
      <c r="C14" s="798"/>
      <c r="D14" s="798"/>
      <c r="E14" s="798"/>
    </row>
    <row r="15" spans="2:15">
      <c r="B15" s="666" t="s">
        <v>73</v>
      </c>
      <c r="C15" s="798"/>
      <c r="D15" s="798"/>
      <c r="E15" s="798"/>
    </row>
    <row r="16" spans="2:15" ht="15" customHeight="1">
      <c r="B16" s="666" t="s">
        <v>74</v>
      </c>
      <c r="C16" s="798"/>
      <c r="D16" s="798"/>
      <c r="E16" s="798"/>
    </row>
    <row r="17" spans="2:5">
      <c r="B17" s="663"/>
    </row>
    <row r="18" spans="2:5">
      <c r="B18" s="810" t="s">
        <v>75</v>
      </c>
      <c r="C18" s="810"/>
      <c r="D18" s="810"/>
      <c r="E18" s="810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25"/>
  <cols>
    <col min="1" max="1" width="6.3984375" customWidth="1"/>
    <col min="2" max="2" width="21.5976562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9" t="s">
        <v>80</v>
      </c>
      <c r="C2" s="799"/>
      <c r="D2" s="799"/>
      <c r="E2" s="799"/>
      <c r="H2" s="800" t="s">
        <v>81</v>
      </c>
      <c r="I2" s="801"/>
      <c r="J2" s="801"/>
      <c r="K2" s="801"/>
      <c r="L2" s="801"/>
      <c r="M2" s="801"/>
      <c r="N2" s="801"/>
      <c r="O2" s="802"/>
    </row>
    <row r="3" spans="2:15">
      <c r="B3" s="663"/>
      <c r="H3" s="803"/>
      <c r="I3" s="804"/>
      <c r="J3" s="804"/>
      <c r="K3" s="804"/>
      <c r="L3" s="804"/>
      <c r="M3" s="804"/>
      <c r="N3" s="804"/>
      <c r="O3" s="805"/>
    </row>
    <row r="4" spans="2:15">
      <c r="B4" s="664" t="s">
        <v>60</v>
      </c>
      <c r="C4" s="665" t="str">
        <f>'Project Plan'!E2</f>
        <v>Shoprite Mini_Citrusdal</v>
      </c>
      <c r="H4" s="803"/>
      <c r="I4" s="804"/>
      <c r="J4" s="804"/>
      <c r="K4" s="804"/>
      <c r="L4" s="804"/>
      <c r="M4" s="804"/>
      <c r="N4" s="804"/>
      <c r="O4" s="805"/>
    </row>
    <row r="5" spans="2:15">
      <c r="B5" s="664" t="s">
        <v>82</v>
      </c>
      <c r="C5" s="665"/>
      <c r="H5" s="803"/>
      <c r="I5" s="804"/>
      <c r="J5" s="804"/>
      <c r="K5" s="804"/>
      <c r="L5" s="804"/>
      <c r="M5" s="804"/>
      <c r="N5" s="804"/>
      <c r="O5" s="805"/>
    </row>
    <row r="6" spans="2:15">
      <c r="B6" s="664" t="s">
        <v>63</v>
      </c>
      <c r="C6" s="665" t="s">
        <v>64</v>
      </c>
      <c r="H6" s="803"/>
      <c r="I6" s="804"/>
      <c r="J6" s="804"/>
      <c r="K6" s="804"/>
      <c r="L6" s="804"/>
      <c r="M6" s="804"/>
      <c r="N6" s="804"/>
      <c r="O6" s="805"/>
    </row>
    <row r="7" spans="2:15">
      <c r="B7" s="664" t="s">
        <v>83</v>
      </c>
      <c r="C7" s="665" t="str">
        <f>'Project Plan'!E5</f>
        <v>Peet Verreynne</v>
      </c>
      <c r="H7" s="803"/>
      <c r="I7" s="804"/>
      <c r="J7" s="804"/>
      <c r="K7" s="804"/>
      <c r="L7" s="804"/>
      <c r="M7" s="804"/>
      <c r="N7" s="804"/>
      <c r="O7" s="805"/>
    </row>
    <row r="8" spans="2:15">
      <c r="B8" s="664" t="s">
        <v>84</v>
      </c>
      <c r="C8" s="665"/>
      <c r="H8" s="803"/>
      <c r="I8" s="804"/>
      <c r="J8" s="804"/>
      <c r="K8" s="804"/>
      <c r="L8" s="804"/>
      <c r="M8" s="804"/>
      <c r="N8" s="804"/>
      <c r="O8" s="805"/>
    </row>
    <row r="9" spans="2:15">
      <c r="B9" s="663"/>
      <c r="H9" s="803"/>
      <c r="I9" s="804"/>
      <c r="J9" s="804"/>
      <c r="K9" s="804"/>
      <c r="L9" s="804"/>
      <c r="M9" s="804"/>
      <c r="N9" s="804"/>
      <c r="O9" s="805"/>
    </row>
    <row r="10" spans="2:15">
      <c r="B10" s="809" t="s">
        <v>67</v>
      </c>
      <c r="C10" s="809"/>
      <c r="D10" s="809"/>
      <c r="E10" s="809"/>
      <c r="H10" s="803"/>
      <c r="I10" s="804"/>
      <c r="J10" s="804"/>
      <c r="K10" s="804"/>
      <c r="L10" s="804"/>
      <c r="M10" s="804"/>
      <c r="N10" s="804"/>
      <c r="O10" s="805"/>
    </row>
    <row r="11" spans="2:15" ht="14.65" thickBot="1">
      <c r="B11" s="809" t="s">
        <v>68</v>
      </c>
      <c r="C11" s="809"/>
      <c r="D11" s="809"/>
      <c r="E11" s="809"/>
      <c r="H11" s="806"/>
      <c r="I11" s="807"/>
      <c r="J11" s="807"/>
      <c r="K11" s="807"/>
      <c r="L11" s="807"/>
      <c r="M11" s="807"/>
      <c r="N11" s="807"/>
      <c r="O11" s="808"/>
    </row>
    <row r="12" spans="2:15" ht="25.5">
      <c r="B12" s="666" t="s">
        <v>85</v>
      </c>
      <c r="C12" s="798"/>
      <c r="D12" s="798"/>
      <c r="E12" s="798"/>
    </row>
    <row r="13" spans="2:15">
      <c r="B13" s="666" t="s">
        <v>86</v>
      </c>
      <c r="C13" s="798"/>
      <c r="D13" s="798"/>
      <c r="E13" s="798"/>
    </row>
    <row r="14" spans="2:15">
      <c r="B14" s="666" t="s">
        <v>87</v>
      </c>
      <c r="C14" s="798"/>
      <c r="D14" s="798"/>
      <c r="E14" s="798"/>
    </row>
    <row r="15" spans="2:15">
      <c r="B15" s="666" t="s">
        <v>88</v>
      </c>
      <c r="C15" s="798"/>
      <c r="D15" s="798"/>
      <c r="E15" s="798"/>
    </row>
    <row r="16" spans="2:15" ht="25.5">
      <c r="B16" s="666" t="s">
        <v>89</v>
      </c>
      <c r="C16" s="798"/>
      <c r="D16" s="798"/>
      <c r="E16" s="798"/>
    </row>
    <row r="17" spans="2:5">
      <c r="B17" s="666" t="s">
        <v>90</v>
      </c>
      <c r="C17" s="798"/>
      <c r="D17" s="798"/>
      <c r="E17" s="798"/>
    </row>
    <row r="18" spans="2:5">
      <c r="B18" s="666" t="s">
        <v>91</v>
      </c>
      <c r="C18" s="798"/>
      <c r="D18" s="798"/>
      <c r="E18" s="798"/>
    </row>
    <row r="19" spans="2:5">
      <c r="B19" s="666" t="s">
        <v>92</v>
      </c>
      <c r="C19" s="798"/>
      <c r="D19" s="798"/>
      <c r="E19" s="798"/>
    </row>
    <row r="20" spans="2:5">
      <c r="B20" s="666" t="s">
        <v>93</v>
      </c>
      <c r="C20" s="798"/>
      <c r="D20" s="798"/>
      <c r="E20" s="798"/>
    </row>
    <row r="21" spans="2:5">
      <c r="B21" s="666" t="s">
        <v>94</v>
      </c>
      <c r="C21" s="798"/>
      <c r="D21" s="798"/>
      <c r="E21" s="798"/>
    </row>
    <row r="22" spans="2:5" ht="15" customHeight="1">
      <c r="B22" s="666" t="s">
        <v>74</v>
      </c>
      <c r="C22" s="798"/>
      <c r="D22" s="798"/>
      <c r="E22" s="798"/>
    </row>
    <row r="23" spans="2:5">
      <c r="B23" s="663"/>
    </row>
    <row r="24" spans="2:5">
      <c r="B24" s="810" t="s">
        <v>75</v>
      </c>
      <c r="C24" s="810"/>
      <c r="D24" s="810"/>
      <c r="E24" s="810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59765625" bestFit="1" customWidth="1"/>
    <col min="10" max="10" width="14.59765625" customWidth="1"/>
    <col min="11" max="11" width="77.3984375" customWidth="1"/>
  </cols>
  <sheetData>
    <row r="1" spans="2:15">
      <c r="B1" s="811"/>
      <c r="C1" s="812"/>
      <c r="D1" s="812"/>
      <c r="E1" s="812"/>
      <c r="F1" s="813" t="s">
        <v>95</v>
      </c>
      <c r="G1" s="813"/>
      <c r="H1" s="813"/>
      <c r="I1" s="813"/>
      <c r="J1" s="813"/>
      <c r="K1" s="814"/>
      <c r="L1" s="77"/>
      <c r="M1" s="77"/>
      <c r="N1" s="77"/>
      <c r="O1" s="77"/>
    </row>
    <row r="2" spans="2:15" ht="6.75" customHeight="1"/>
    <row r="3" spans="2:15" s="668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59765625" bestFit="1" customWidth="1"/>
    <col min="5" max="5" width="10.3984375" customWidth="1"/>
    <col min="6" max="6" width="33.3984375" customWidth="1"/>
  </cols>
  <sheetData>
    <row r="1" spans="2:10" ht="14.65" thickBot="1"/>
    <row r="2" spans="2:10" ht="15" thickTop="1" thickBot="1">
      <c r="B2" s="815" t="s">
        <v>136</v>
      </c>
      <c r="C2" s="816"/>
      <c r="D2" s="816"/>
      <c r="E2" s="816"/>
      <c r="F2" s="817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15" t="s">
        <v>143</v>
      </c>
      <c r="C16" s="816"/>
      <c r="D16" s="816"/>
      <c r="E16" s="816"/>
      <c r="F16" s="817"/>
    </row>
    <row r="17" spans="2:6" ht="14.6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 ht="13.9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F1" zoomScaleNormal="100" workbookViewId="0">
      <selection activeCell="O32" sqref="O32"/>
    </sheetView>
  </sheetViews>
  <sheetFormatPr defaultColWidth="8.3984375" defaultRowHeight="13.5"/>
  <cols>
    <col min="1" max="1" width="1.3984375" style="112" customWidth="1"/>
    <col min="2" max="2" width="6.3984375" style="172" bestFit="1" customWidth="1"/>
    <col min="3" max="3" width="50.59765625" style="24" bestFit="1" customWidth="1"/>
    <col min="4" max="4" width="3.3984375" style="112" customWidth="1"/>
    <col min="5" max="5" width="14.59765625" style="24" customWidth="1"/>
    <col min="6" max="6" width="10.3984375" style="169" customWidth="1"/>
    <col min="7" max="7" width="13.59765625" style="64" customWidth="1"/>
    <col min="8" max="8" width="5" style="112" customWidth="1"/>
    <col min="9" max="9" width="14.265625" style="112" bestFit="1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1.398437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18" width="8.3984375" style="112"/>
    <col min="19" max="19" width="17.3984375" style="112" bestFit="1" customWidth="1"/>
    <col min="20" max="22" width="12.59765625" style="112" customWidth="1"/>
    <col min="23" max="23" width="8.3984375" style="112"/>
    <col min="24" max="25" width="10.3984375" style="112" bestFit="1" customWidth="1"/>
    <col min="26" max="16384" width="8.398437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46066</v>
      </c>
      <c r="O1" s="403">
        <f ca="1">TODAY()</f>
        <v>46066</v>
      </c>
      <c r="Q1" s="3"/>
    </row>
    <row r="2" spans="2:28" ht="13.9">
      <c r="B2" s="177"/>
      <c r="C2" s="178" t="s">
        <v>0</v>
      </c>
      <c r="D2" s="179"/>
      <c r="E2" s="818" t="s">
        <v>169</v>
      </c>
      <c r="F2" s="819"/>
      <c r="G2" s="819"/>
      <c r="H2" s="820"/>
      <c r="N2" s="404">
        <v>0</v>
      </c>
      <c r="O2" s="404">
        <v>1</v>
      </c>
    </row>
    <row r="3" spans="2:28" s="112" customFormat="1" ht="13.9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 ht="13.9">
      <c r="B4" s="180"/>
      <c r="C4" s="181" t="s">
        <v>172</v>
      </c>
      <c r="D4" s="179"/>
      <c r="E4" s="821" t="s">
        <v>173</v>
      </c>
      <c r="F4" s="822"/>
      <c r="G4" s="822"/>
      <c r="H4" s="823"/>
      <c r="J4" s="634"/>
      <c r="K4" s="635"/>
      <c r="N4" s="121">
        <f>N3/5</f>
        <v>5.4</v>
      </c>
      <c r="O4" s="121" t="s">
        <v>174</v>
      </c>
      <c r="Q4" s="3"/>
    </row>
    <row r="5" spans="2:28" s="112" customFormat="1" ht="13.9">
      <c r="B5" s="180"/>
      <c r="C5" s="181" t="s">
        <v>175</v>
      </c>
      <c r="D5" s="179"/>
      <c r="E5" s="821" t="s">
        <v>173</v>
      </c>
      <c r="F5" s="822"/>
      <c r="G5" s="822"/>
      <c r="H5" s="823"/>
      <c r="J5" s="113"/>
      <c r="N5" s="650">
        <f>E3/N4</f>
        <v>46.296296296296291</v>
      </c>
      <c r="O5" s="118" t="s">
        <v>176</v>
      </c>
      <c r="Q5" s="3"/>
    </row>
    <row r="6" spans="2:28" ht="13.9">
      <c r="B6" s="185"/>
      <c r="C6" s="186" t="s">
        <v>177</v>
      </c>
      <c r="D6" s="179"/>
      <c r="E6" s="824">
        <v>2034295.7254315901</v>
      </c>
      <c r="F6" s="825"/>
      <c r="G6" s="825"/>
      <c r="H6" s="826"/>
      <c r="I6" s="732"/>
    </row>
    <row r="7" spans="2:28" s="112" customFormat="1" ht="13.9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830" t="s">
        <v>180</v>
      </c>
      <c r="C8" s="831" t="s">
        <v>181</v>
      </c>
      <c r="D8" s="216"/>
      <c r="E8" s="829" t="s">
        <v>182</v>
      </c>
      <c r="F8" s="238" t="s">
        <v>183</v>
      </c>
      <c r="G8" s="829" t="s">
        <v>184</v>
      </c>
      <c r="H8" s="239"/>
      <c r="I8" s="829" t="s">
        <v>185</v>
      </c>
      <c r="J8" s="238" t="s">
        <v>183</v>
      </c>
      <c r="K8" s="829" t="s">
        <v>186</v>
      </c>
      <c r="M8" s="410" t="s">
        <v>102</v>
      </c>
      <c r="N8" s="410" t="s">
        <v>102</v>
      </c>
      <c r="O8" s="827" t="s">
        <v>187</v>
      </c>
      <c r="Z8" s="112"/>
      <c r="AA8" s="112"/>
      <c r="AB8" s="112"/>
    </row>
    <row r="9" spans="2:28" ht="13.9">
      <c r="B9" s="830"/>
      <c r="C9" s="831"/>
      <c r="D9" s="216"/>
      <c r="E9" s="829"/>
      <c r="F9" s="126">
        <f>G41-E19</f>
        <v>34</v>
      </c>
      <c r="G9" s="829"/>
      <c r="H9" s="239"/>
      <c r="I9" s="829"/>
      <c r="J9" s="127">
        <f>K41-I19</f>
        <v>36</v>
      </c>
      <c r="K9" s="829"/>
      <c r="M9" s="363">
        <f>AVERAGE(M11,M18,M21,M28,M35,M39,M46,M43)</f>
        <v>1</v>
      </c>
      <c r="N9" s="363">
        <f ca="1">AVERAGE(N11,N18,N21,N28,N35,N39,N46,N43)</f>
        <v>1</v>
      </c>
      <c r="O9" s="82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46066</v>
      </c>
      <c r="Y12" s="655">
        <f ca="1">TODAY()</f>
        <v>46066</v>
      </c>
    </row>
    <row r="13" spans="2:28" s="112" customFormat="1" ht="13.9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 ht="13.9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 ht="13.9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 ht="13.9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 ht="13.9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(J30*M30+J31*M31+J33*M33+J32*M32)/SUM(J30:J33)</f>
        <v>1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 ht="13.9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 ht="13.9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 ht="13.9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 ht="13.9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 ht="13.9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 ht="13.9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 ht="13.9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 ht="13.9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3984375" defaultRowHeight="14.25"/>
  <cols>
    <col min="1" max="1" width="5.59765625" style="93" customWidth="1"/>
    <col min="2" max="2" width="5.59765625" style="131" customWidth="1"/>
    <col min="3" max="4" width="23.3984375" style="129" customWidth="1"/>
    <col min="5" max="5" width="6.59765625" style="129" customWidth="1"/>
    <col min="6" max="6" width="16.3984375" style="129" customWidth="1"/>
    <col min="7" max="7" width="4.3984375" style="129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6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5.59765625" style="129" customWidth="1"/>
    <col min="18" max="18" width="112.3984375" style="129" bestFit="1" customWidth="1"/>
    <col min="19" max="19" width="4.3984375" style="129" customWidth="1"/>
    <col min="20" max="20" width="19.59765625" style="129" bestFit="1" customWidth="1"/>
    <col min="21" max="21" width="15.3984375" style="93" bestFit="1" customWidth="1"/>
    <col min="22" max="22" width="20.3984375" style="93" bestFit="1" customWidth="1"/>
    <col min="23" max="23" width="16.3984375" style="93" bestFit="1" customWidth="1"/>
    <col min="24" max="24" width="19.59765625" style="93" bestFit="1" customWidth="1"/>
    <col min="25" max="25" width="15.3984375" style="93" bestFit="1" customWidth="1"/>
    <col min="26" max="26" width="8.3984375" style="93"/>
    <col min="27" max="27" width="14.59765625" style="93" bestFit="1" customWidth="1"/>
    <col min="28" max="28" width="8.3984375" style="129"/>
    <col min="29" max="29" width="12.59765625" style="129" bestFit="1" customWidth="1"/>
    <col min="30" max="40" width="8.3984375" style="129"/>
    <col min="41" max="41" width="9.3984375" style="129" bestFit="1" customWidth="1"/>
    <col min="42" max="16384" width="8.398437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3.15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25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3.15">
      <c r="B13" s="353">
        <v>1</v>
      </c>
      <c r="C13" s="834" t="s">
        <v>269</v>
      </c>
      <c r="D13" s="835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2.75">
      <c r="B14" s="155">
        <v>2</v>
      </c>
      <c r="C14" s="834" t="s">
        <v>271</v>
      </c>
      <c r="D14" s="835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2.75">
      <c r="B15" s="353">
        <v>3</v>
      </c>
      <c r="C15" s="834" t="s">
        <v>272</v>
      </c>
      <c r="D15" s="835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2.75">
      <c r="B16" s="353">
        <v>4</v>
      </c>
      <c r="C16" s="832" t="s">
        <v>233</v>
      </c>
      <c r="D16" s="833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2.75">
      <c r="B17" s="353">
        <v>5</v>
      </c>
      <c r="C17" s="832" t="s">
        <v>54</v>
      </c>
      <c r="D17" s="833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2.75">
      <c r="B18" s="353">
        <v>6</v>
      </c>
      <c r="C18" s="832" t="s">
        <v>273</v>
      </c>
      <c r="D18" s="833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2.75">
      <c r="B19" s="353">
        <v>7</v>
      </c>
      <c r="C19" s="834" t="s">
        <v>275</v>
      </c>
      <c r="D19" s="835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15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2.75">
      <c r="C24" s="148" t="s">
        <v>278</v>
      </c>
      <c r="D24" s="149"/>
      <c r="F24" s="150"/>
      <c r="H24" s="736"/>
    </row>
    <row r="25" spans="2:19" s="93" customFormat="1" ht="12.75">
      <c r="C25" s="148" t="s">
        <v>279</v>
      </c>
      <c r="D25" s="149"/>
    </row>
    <row r="26" spans="2:19" s="93" customFormat="1" ht="12.75">
      <c r="C26" s="151" t="s">
        <v>280</v>
      </c>
      <c r="D26" s="152"/>
    </row>
    <row r="27" spans="2:19" s="93" customFormat="1" ht="12.75">
      <c r="C27" s="153" t="s">
        <v>281</v>
      </c>
      <c r="D27" s="149"/>
    </row>
    <row r="28" spans="2:19" s="93" customFormat="1" ht="12.75">
      <c r="B28" s="117"/>
      <c r="C28" s="153" t="s">
        <v>282</v>
      </c>
      <c r="D28" s="149"/>
    </row>
    <row r="29" spans="2:19" s="93" customFormat="1" ht="12.75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2.75">
      <c r="B31" s="117"/>
      <c r="F31" s="147"/>
    </row>
    <row r="32" spans="2:19" s="93" customFormat="1" ht="12.75">
      <c r="B32" s="117"/>
      <c r="F32" s="147"/>
      <c r="L32" s="717"/>
    </row>
    <row r="33" spans="2:12" s="93" customFormat="1" ht="12.75">
      <c r="B33" s="117"/>
      <c r="F33" s="147"/>
      <c r="L33" s="717"/>
    </row>
    <row r="34" spans="2:12" s="93" customFormat="1" ht="12.75">
      <c r="B34" s="117"/>
      <c r="F34" s="147"/>
    </row>
    <row r="35" spans="2:12" s="93" customFormat="1" ht="12.75">
      <c r="B35" s="117"/>
    </row>
    <row r="36" spans="2:12" s="93" customFormat="1" ht="12.75">
      <c r="B36" s="117"/>
    </row>
    <row r="37" spans="2:12" s="93" customFormat="1" ht="12.75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3.15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3.15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activeCell="X33" sqref="X33"/>
      <selection pane="bottomLeft" activeCell="B17" sqref="B17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597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36"/>
      <c r="C4" s="836"/>
      <c r="D4" s="836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25" thickBot="1">
      <c r="A5" s="216"/>
      <c r="B5" s="837" t="s">
        <v>310</v>
      </c>
      <c r="C5" s="837"/>
      <c r="D5" s="837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 ht="13.9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 ht="13.9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 ht="13.9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 ht="13.9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 ht="13.9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 ht="13.9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 ht="13.9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 ht="13.9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 ht="13.9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 ht="13.9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 ht="13.9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 ht="13.9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 ht="13.9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opLeftCell="M1" zoomScale="85" zoomScaleNormal="85" workbookViewId="0">
      <pane ySplit="4" topLeftCell="A33" activePane="bottomLeft" state="frozen"/>
      <selection activeCell="X33" sqref="X33"/>
      <selection pane="bottomLeft" activeCell="R34" sqref="R34:R43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2" hidden="1" customWidth="1"/>
    <col min="7" max="8" width="17.3984375" style="24" hidden="1" customWidth="1"/>
    <col min="9" max="9" width="22.3984375" style="351" hidden="1" customWidth="1"/>
    <col min="10" max="10" width="22.3984375" style="351" customWidth="1"/>
    <col min="11" max="12" width="5.59765625" style="112" customWidth="1"/>
    <col min="13" max="13" width="25.59765625" style="112" customWidth="1"/>
    <col min="14" max="14" width="48.3984375" style="112" customWidth="1"/>
    <col min="15" max="15" width="15.3984375" style="112" customWidth="1"/>
    <col min="16" max="17" width="17.3984375" style="112" customWidth="1"/>
    <col min="18" max="18" width="39.3984375" style="112" bestFit="1" customWidth="1"/>
    <col min="19" max="19" width="25.3984375" style="112" customWidth="1"/>
    <col min="20" max="21" width="17.3984375" style="536" customWidth="1"/>
    <col min="22" max="22" width="17.3984375" style="112" customWidth="1"/>
    <col min="23" max="23" width="17.3984375" style="536" customWidth="1"/>
    <col min="24" max="24" width="21.59765625" style="112" customWidth="1"/>
    <col min="25" max="25" width="35.59765625" style="112" customWidth="1"/>
    <col min="26" max="26" width="18" style="112" bestFit="1" customWidth="1"/>
    <col min="27" max="27" width="23.59765625" style="112" customWidth="1"/>
    <col min="28" max="28" width="24.3984375" style="112" hidden="1" customWidth="1"/>
    <col min="29" max="29" width="29.59765625" style="112" hidden="1" customWidth="1"/>
    <col min="30" max="30" width="17.3984375" style="112" hidden="1" customWidth="1"/>
    <col min="31" max="31" width="12.59765625" style="112" customWidth="1"/>
    <col min="32" max="32" width="23.59765625" style="112" customWidth="1"/>
    <col min="33" max="76" width="17.3984375" style="112" customWidth="1"/>
    <col min="77" max="16384" width="9.398437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787" t="s">
        <v>316</v>
      </c>
      <c r="C2" s="788"/>
      <c r="D2" s="788"/>
      <c r="E2" s="788"/>
      <c r="F2" s="788"/>
      <c r="G2" s="788"/>
      <c r="H2" s="501"/>
      <c r="I2" s="259">
        <f>SUM(I6:I171)</f>
        <v>1676320.9560688739</v>
      </c>
      <c r="J2" s="259">
        <f>SUM(J6:J171)</f>
        <v>2034295.725431588</v>
      </c>
      <c r="L2" s="789" t="s">
        <v>317</v>
      </c>
      <c r="M2" s="790"/>
      <c r="N2" s="790"/>
      <c r="O2" s="790"/>
      <c r="P2" s="790"/>
      <c r="Q2" s="790"/>
      <c r="R2" s="791" t="s">
        <v>318</v>
      </c>
      <c r="S2" s="792"/>
      <c r="T2" s="792"/>
      <c r="U2" s="792"/>
      <c r="V2" s="792"/>
      <c r="W2" s="793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40">
        <f>SUM(G6:G12)</f>
        <v>568406.77500000002</v>
      </c>
      <c r="J6" s="740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49">
        <f>J6-SUM(U6:U12)</f>
        <v>29557.150000000023</v>
      </c>
      <c r="W6" s="721">
        <v>46009</v>
      </c>
      <c r="X6" s="737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41"/>
      <c r="J7" s="741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50"/>
      <c r="W7" s="558"/>
      <c r="X7" s="738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41"/>
      <c r="J8" s="741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50"/>
      <c r="W8" s="722">
        <f>W6</f>
        <v>46009</v>
      </c>
      <c r="X8" s="738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41"/>
      <c r="J9" s="741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50"/>
      <c r="W9" s="719">
        <v>45991</v>
      </c>
      <c r="X9" s="738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41"/>
      <c r="J10" s="741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50"/>
      <c r="W10" s="719">
        <v>46009</v>
      </c>
      <c r="X10" s="738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41"/>
      <c r="J11" s="741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50"/>
      <c r="W11" s="719"/>
      <c r="X11" s="738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42"/>
      <c r="J12" s="742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51"/>
      <c r="W12" s="560"/>
      <c r="X12" s="739"/>
      <c r="Y12" s="591" t="s">
        <v>343</v>
      </c>
      <c r="Z12" s="592" t="s">
        <v>344</v>
      </c>
    </row>
    <row r="13" spans="1:76" ht="14.25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772">
        <f>SUM(G14:G20)</f>
        <v>140000</v>
      </c>
      <c r="J14" s="772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768">
        <f>J14-SUM(U14:U20)</f>
        <v>0</v>
      </c>
      <c r="W14" s="699">
        <f>W6</f>
        <v>46009</v>
      </c>
      <c r="X14" s="775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773"/>
      <c r="J15" s="773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769"/>
      <c r="W15" s="639"/>
      <c r="X15" s="776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773"/>
      <c r="J16" s="773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769"/>
      <c r="W16" s="563"/>
      <c r="X16" s="776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773"/>
      <c r="J17" s="773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769"/>
      <c r="W17" s="563"/>
      <c r="X17" s="776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773"/>
      <c r="J18" s="773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769"/>
      <c r="W18" s="563"/>
      <c r="X18" s="776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773"/>
      <c r="J19" s="773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769"/>
      <c r="W19" s="563"/>
      <c r="X19" s="776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774"/>
      <c r="J20" s="774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770"/>
      <c r="W20" s="564"/>
      <c r="X20" s="777"/>
      <c r="Y20" s="593" t="s">
        <v>355</v>
      </c>
      <c r="Z20" s="594">
        <v>0</v>
      </c>
      <c r="AA20" s="640"/>
    </row>
    <row r="21" spans="1:30" ht="14.25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40">
        <f>SUM(G22:G28)</f>
        <v>100040</v>
      </c>
      <c r="J22" s="740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49">
        <f>J22-SUM(U22:U28)</f>
        <v>0</v>
      </c>
      <c r="W22" s="723">
        <f>T22+30</f>
        <v>46021</v>
      </c>
      <c r="X22" s="737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41"/>
      <c r="J23" s="741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50"/>
      <c r="W23" s="722">
        <f>T23+30</f>
        <v>46021</v>
      </c>
      <c r="X23" s="738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41"/>
      <c r="J24" s="741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50"/>
      <c r="W24" s="558"/>
      <c r="X24" s="738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41"/>
      <c r="J25" s="741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50"/>
      <c r="W25" s="559"/>
      <c r="X25" s="738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41"/>
      <c r="J26" s="741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50"/>
      <c r="W26" s="559"/>
      <c r="X26" s="738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41"/>
      <c r="J27" s="741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50"/>
      <c r="W27" s="559"/>
      <c r="X27" s="738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42"/>
      <c r="J28" s="742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51"/>
      <c r="W28" s="560"/>
      <c r="X28" s="739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25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772">
        <f>SUM(G30:G46)</f>
        <v>196743.5</v>
      </c>
      <c r="J30" s="772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768">
        <f>J30-SUM(U30:U46)</f>
        <v>3.2408590486738831E-3</v>
      </c>
      <c r="W30" s="699">
        <v>45961</v>
      </c>
      <c r="X30" s="775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773"/>
      <c r="J31" s="773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769"/>
      <c r="W31" s="700">
        <v>45961</v>
      </c>
      <c r="X31" s="776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773"/>
      <c r="J32" s="773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769"/>
      <c r="W32" s="563"/>
      <c r="X32" s="776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773"/>
      <c r="J33" s="773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769"/>
      <c r="W33" s="563"/>
      <c r="X33" s="776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773"/>
      <c r="J34" s="773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763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769"/>
      <c r="W34" s="705">
        <f>W98</f>
        <v>45967</v>
      </c>
      <c r="X34" s="776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773"/>
      <c r="J35" s="773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771"/>
      <c r="S35" s="616" t="s">
        <v>381</v>
      </c>
      <c r="T35" s="707">
        <f t="shared" ref="T35:T36" si="6">T99</f>
        <v>45991</v>
      </c>
      <c r="U35" s="696">
        <v>14140.272035416547</v>
      </c>
      <c r="V35" s="769"/>
      <c r="W35" s="705">
        <f t="shared" ref="W35:W36" si="7">W99</f>
        <v>45989</v>
      </c>
      <c r="X35" s="776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773"/>
      <c r="J36" s="773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771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769"/>
      <c r="W36" s="705">
        <f t="shared" si="7"/>
        <v>45989</v>
      </c>
      <c r="X36" s="776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773"/>
      <c r="J37" s="773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771"/>
      <c r="S37" s="616" t="s">
        <v>386</v>
      </c>
      <c r="T37" s="707">
        <f t="shared" ref="T37:T43" si="8">T101</f>
        <v>46053</v>
      </c>
      <c r="U37" s="696">
        <v>9426.8691001654879</v>
      </c>
      <c r="V37" s="769"/>
      <c r="W37" s="705">
        <v>46051</v>
      </c>
      <c r="X37" s="776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773"/>
      <c r="J38" s="773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771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769"/>
      <c r="W38" s="700">
        <v>45989</v>
      </c>
      <c r="X38" s="776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773"/>
      <c r="J39" s="773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771"/>
      <c r="S39" s="616" t="s">
        <v>386</v>
      </c>
      <c r="T39" s="707">
        <f t="shared" si="8"/>
        <v>46053</v>
      </c>
      <c r="U39" s="696">
        <v>4713.4245500827437</v>
      </c>
      <c r="V39" s="769"/>
      <c r="W39" s="705">
        <v>46051</v>
      </c>
      <c r="X39" s="776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773"/>
      <c r="J40" s="773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771"/>
      <c r="S40" s="616" t="s">
        <v>386</v>
      </c>
      <c r="T40" s="707">
        <f t="shared" si="8"/>
        <v>46053</v>
      </c>
      <c r="U40" s="696">
        <v>9426.8491001654875</v>
      </c>
      <c r="V40" s="769"/>
      <c r="W40" s="705">
        <v>46051</v>
      </c>
      <c r="X40" s="776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773"/>
      <c r="J41" s="773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771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769"/>
      <c r="W41" s="705">
        <f>W105</f>
        <v>46058</v>
      </c>
      <c r="X41" s="776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773"/>
      <c r="J42" s="773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771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769"/>
      <c r="W42" s="705">
        <f>W106</f>
        <v>46058</v>
      </c>
      <c r="X42" s="776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773"/>
      <c r="J43" s="773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764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769"/>
      <c r="W43" s="563">
        <f t="shared" ref="W43" si="9">W107</f>
        <v>46088</v>
      </c>
      <c r="X43" s="776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773"/>
      <c r="J44" s="773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769"/>
      <c r="W44" s="563"/>
      <c r="X44" s="776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773"/>
      <c r="J45" s="773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769"/>
      <c r="W45" s="563"/>
      <c r="X45" s="776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774"/>
      <c r="J46" s="774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770"/>
      <c r="W46" s="564"/>
      <c r="X46" s="777"/>
      <c r="Y46" s="480"/>
    </row>
    <row r="47" spans="1:29" ht="14.25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40">
        <f>SUM(G48:G56)</f>
        <v>49000</v>
      </c>
      <c r="J48" s="740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49">
        <f>J48-SUM(U48:U56)</f>
        <v>2.9440148282446899E-3</v>
      </c>
      <c r="W48" s="723">
        <v>46031</v>
      </c>
      <c r="X48" s="737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41"/>
      <c r="J49" s="741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50"/>
      <c r="W49" s="722">
        <v>45989</v>
      </c>
      <c r="X49" s="738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41"/>
      <c r="J50" s="741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50"/>
      <c r="W50" s="722">
        <v>45989</v>
      </c>
      <c r="X50" s="738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41"/>
      <c r="J51" s="741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50"/>
      <c r="W51" s="722">
        <v>45989</v>
      </c>
      <c r="X51" s="738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41"/>
      <c r="J52" s="741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50"/>
      <c r="W52" s="722">
        <v>45939</v>
      </c>
      <c r="X52" s="738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41"/>
      <c r="J53" s="741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50"/>
      <c r="W53" s="719">
        <v>45973</v>
      </c>
      <c r="X53" s="738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41"/>
      <c r="J54" s="741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50"/>
      <c r="W54" s="719">
        <v>45990</v>
      </c>
      <c r="X54" s="738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41"/>
      <c r="J55" s="741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50"/>
      <c r="W55" s="719">
        <v>46022</v>
      </c>
      <c r="X55" s="738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42"/>
      <c r="J56" s="742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51"/>
      <c r="W56" s="733">
        <v>46051</v>
      </c>
      <c r="X56" s="739"/>
      <c r="Y56" s="480"/>
    </row>
    <row r="57" spans="1:27" ht="14.25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772">
        <f>SUM(G58:G76)</f>
        <v>251986.38260869565</v>
      </c>
      <c r="J58" s="772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768">
        <f>J58-SUM(U58:U76)</f>
        <v>0</v>
      </c>
      <c r="W58" s="562"/>
      <c r="X58" s="775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773"/>
      <c r="J59" s="773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769"/>
      <c r="W59" s="700">
        <v>46020</v>
      </c>
      <c r="X59" s="776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773"/>
      <c r="J60" s="773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769"/>
      <c r="W60" s="563"/>
      <c r="X60" s="776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773"/>
      <c r="J61" s="773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769"/>
      <c r="W61" s="563"/>
      <c r="X61" s="776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773"/>
      <c r="J62" s="773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769"/>
      <c r="W62" s="563"/>
      <c r="X62" s="776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773"/>
      <c r="J63" s="773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769"/>
      <c r="W63" s="563"/>
      <c r="X63" s="776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773"/>
      <c r="J64" s="773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763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769"/>
      <c r="W64" s="705">
        <f>W98</f>
        <v>45967</v>
      </c>
      <c r="X64" s="776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773"/>
      <c r="J65" s="773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771"/>
      <c r="S65" s="616" t="s">
        <v>381</v>
      </c>
      <c r="T65" s="712">
        <f t="shared" ref="T65:T66" si="12">T99</f>
        <v>45991</v>
      </c>
      <c r="U65" s="696">
        <v>21067.383079849893</v>
      </c>
      <c r="V65" s="769"/>
      <c r="W65" s="705">
        <f t="shared" ref="W65:W66" si="13">W99</f>
        <v>45989</v>
      </c>
      <c r="X65" s="776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773"/>
      <c r="J66" s="773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771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769"/>
      <c r="W66" s="705">
        <f t="shared" si="13"/>
        <v>45989</v>
      </c>
      <c r="X66" s="776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773"/>
      <c r="J67" s="773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771"/>
      <c r="S67" s="616" t="s">
        <v>386</v>
      </c>
      <c r="T67" s="712">
        <f t="shared" ref="T67:T73" si="14">T101</f>
        <v>46053</v>
      </c>
      <c r="U67" s="696">
        <v>14044.922053233266</v>
      </c>
      <c r="V67" s="769"/>
      <c r="W67" s="705">
        <v>46051</v>
      </c>
      <c r="X67" s="776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773"/>
      <c r="J68" s="773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771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769"/>
      <c r="W68" s="700">
        <v>45989</v>
      </c>
      <c r="X68" s="776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773"/>
      <c r="J69" s="773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771"/>
      <c r="S69" s="616" t="s">
        <v>386</v>
      </c>
      <c r="T69" s="712">
        <f t="shared" si="14"/>
        <v>46053</v>
      </c>
      <c r="U69" s="696">
        <v>7022.4610266166328</v>
      </c>
      <c r="V69" s="769"/>
      <c r="W69" s="705">
        <v>46051</v>
      </c>
      <c r="X69" s="776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773"/>
      <c r="J70" s="773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771"/>
      <c r="S70" s="616" t="s">
        <v>386</v>
      </c>
      <c r="T70" s="712">
        <f t="shared" si="14"/>
        <v>46053</v>
      </c>
      <c r="U70" s="696">
        <v>14044.922053233266</v>
      </c>
      <c r="V70" s="769"/>
      <c r="W70" s="705">
        <v>46051</v>
      </c>
      <c r="X70" s="776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773"/>
      <c r="J71" s="773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771"/>
      <c r="S71" s="620" t="str">
        <f>S105</f>
        <v>JA Electrical INV 1154</v>
      </c>
      <c r="T71" s="712">
        <f t="shared" si="14"/>
        <v>46053</v>
      </c>
      <c r="U71" s="734">
        <v>14044.922053233266</v>
      </c>
      <c r="V71" s="769"/>
      <c r="W71" s="705">
        <f>W105</f>
        <v>46058</v>
      </c>
      <c r="X71" s="776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773"/>
      <c r="J72" s="773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771"/>
      <c r="S72" s="620" t="str">
        <f>S106</f>
        <v>JA Electrical INV 1154</v>
      </c>
      <c r="T72" s="712">
        <f t="shared" si="14"/>
        <v>46053</v>
      </c>
      <c r="U72" s="734">
        <v>7022.4610266166328</v>
      </c>
      <c r="V72" s="769"/>
      <c r="W72" s="705">
        <f>W106</f>
        <v>46058</v>
      </c>
      <c r="X72" s="776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773"/>
      <c r="J73" s="773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764"/>
      <c r="S73" s="620" t="str">
        <f>S107</f>
        <v>JA Electrical INV 1154</v>
      </c>
      <c r="T73" s="712">
        <f t="shared" si="14"/>
        <v>46053</v>
      </c>
      <c r="U73" s="734">
        <v>7022.4610266166328</v>
      </c>
      <c r="V73" s="769"/>
      <c r="W73" s="563">
        <f t="shared" ref="W73" si="15">W107</f>
        <v>46088</v>
      </c>
      <c r="X73" s="776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773"/>
      <c r="J74" s="773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769"/>
      <c r="W74" s="566"/>
      <c r="X74" s="776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773"/>
      <c r="J75" s="773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769"/>
      <c r="W75" s="566"/>
      <c r="X75" s="776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774"/>
      <c r="J76" s="774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770"/>
      <c r="W76" s="564"/>
      <c r="X76" s="777"/>
      <c r="Y76" s="480"/>
    </row>
    <row r="77" spans="1:25" ht="13.9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40">
        <f>SUM(G78:G85)</f>
        <v>0</v>
      </c>
      <c r="J78" s="740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765">
        <f>J78-SUM(U78:U85)</f>
        <v>0</v>
      </c>
      <c r="W78" s="568"/>
      <c r="X78" s="737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41"/>
      <c r="J79" s="741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766"/>
      <c r="W79" s="559"/>
      <c r="X79" s="738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41"/>
      <c r="J80" s="741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766"/>
      <c r="W80" s="559"/>
      <c r="X80" s="738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41"/>
      <c r="J81" s="741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766"/>
      <c r="W81" s="559"/>
      <c r="X81" s="738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41"/>
      <c r="J82" s="741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766"/>
      <c r="W82" s="559"/>
      <c r="X82" s="738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41"/>
      <c r="J83" s="741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766"/>
      <c r="W83" s="559"/>
      <c r="X83" s="738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41"/>
      <c r="J84" s="741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766"/>
      <c r="W84" s="559"/>
      <c r="X84" s="738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42"/>
      <c r="J85" s="742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767"/>
      <c r="W85" s="560"/>
      <c r="X85" s="739"/>
      <c r="Y85" s="480"/>
    </row>
    <row r="86" spans="1:25" ht="13.9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772">
        <f>SUM(G87:G95)</f>
        <v>52000</v>
      </c>
      <c r="J87" s="772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784">
        <f>J87-SUM(U87:U95)</f>
        <v>0</v>
      </c>
      <c r="W87" s="562"/>
      <c r="X87" s="775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773"/>
      <c r="J88" s="773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763" t="s">
        <v>428</v>
      </c>
      <c r="S88" s="616" t="s">
        <v>429</v>
      </c>
      <c r="T88" s="677">
        <v>45961</v>
      </c>
      <c r="U88" s="696">
        <v>26737.331473733149</v>
      </c>
      <c r="V88" s="785"/>
      <c r="W88" s="700">
        <v>45954</v>
      </c>
      <c r="X88" s="776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773"/>
      <c r="J89" s="773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764"/>
      <c r="S89" s="616" t="s">
        <v>429</v>
      </c>
      <c r="T89" s="677">
        <v>45961</v>
      </c>
      <c r="U89" s="696">
        <v>11458.856345885635</v>
      </c>
      <c r="V89" s="785"/>
      <c r="W89" s="700">
        <v>45995</v>
      </c>
      <c r="X89" s="776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773"/>
      <c r="J90" s="773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785"/>
      <c r="W90" s="700">
        <v>45974</v>
      </c>
      <c r="X90" s="776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773"/>
      <c r="J91" s="773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785"/>
      <c r="W91" s="705">
        <v>45995</v>
      </c>
      <c r="X91" s="776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773"/>
      <c r="J92" s="773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785"/>
      <c r="W92" s="563"/>
      <c r="X92" s="776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773"/>
      <c r="J93" s="773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785"/>
      <c r="W93" s="563"/>
      <c r="X93" s="776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773"/>
      <c r="J94" s="773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785"/>
      <c r="W94" s="566"/>
      <c r="X94" s="776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774"/>
      <c r="J95" s="774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786"/>
      <c r="W95" s="564"/>
      <c r="X95" s="777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778">
        <f>SUM(G97:G110)</f>
        <v>198850</v>
      </c>
      <c r="J97" s="740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49">
        <f>J97-SUM(U97:U110)</f>
        <v>-1.7869654693640769E-3</v>
      </c>
      <c r="W97" s="565"/>
      <c r="X97" s="781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779"/>
      <c r="J98" s="741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760" t="s">
        <v>379</v>
      </c>
      <c r="S98" s="611" t="s">
        <v>439</v>
      </c>
      <c r="T98" s="687">
        <v>45961</v>
      </c>
      <c r="U98" s="695">
        <v>22094.444444444445</v>
      </c>
      <c r="V98" s="750"/>
      <c r="W98" s="703">
        <v>45967</v>
      </c>
      <c r="X98" s="782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779"/>
      <c r="J99" s="741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761"/>
      <c r="S99" s="612" t="s">
        <v>381</v>
      </c>
      <c r="T99" s="711">
        <f t="shared" si="17"/>
        <v>45991</v>
      </c>
      <c r="U99" s="695">
        <v>33141.666666666664</v>
      </c>
      <c r="V99" s="750"/>
      <c r="W99" s="713">
        <v>45989</v>
      </c>
      <c r="X99" s="782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779"/>
      <c r="J100" s="741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761"/>
      <c r="S100" s="612" t="s">
        <v>440</v>
      </c>
      <c r="T100" s="711">
        <v>45991</v>
      </c>
      <c r="U100" s="695">
        <v>22094.444444444445</v>
      </c>
      <c r="V100" s="750"/>
      <c r="W100" s="713">
        <v>45989</v>
      </c>
      <c r="X100" s="782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779"/>
      <c r="J101" s="741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761"/>
      <c r="S101" s="612" t="s">
        <v>386</v>
      </c>
      <c r="T101" s="711">
        <v>46053</v>
      </c>
      <c r="U101" s="695">
        <v>22094.444119541629</v>
      </c>
      <c r="V101" s="750"/>
      <c r="W101" s="713">
        <v>46051</v>
      </c>
      <c r="X101" s="782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779"/>
      <c r="J102" s="741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761"/>
      <c r="S102" s="612" t="s">
        <v>440</v>
      </c>
      <c r="T102" s="711">
        <v>45991</v>
      </c>
      <c r="U102" s="695">
        <v>44188.888888888891</v>
      </c>
      <c r="V102" s="750"/>
      <c r="W102" s="713">
        <v>45989</v>
      </c>
      <c r="X102" s="782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779"/>
      <c r="J103" s="741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761"/>
      <c r="S103" s="612" t="s">
        <v>386</v>
      </c>
      <c r="T103" s="711">
        <v>46053</v>
      </c>
      <c r="U103" s="695">
        <v>11047.222059770815</v>
      </c>
      <c r="V103" s="750"/>
      <c r="W103" s="713">
        <v>46051</v>
      </c>
      <c r="X103" s="782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779"/>
      <c r="J104" s="741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761"/>
      <c r="S104" s="612" t="s">
        <v>386</v>
      </c>
      <c r="T104" s="711">
        <f t="shared" si="17"/>
        <v>46053</v>
      </c>
      <c r="U104" s="695">
        <v>22094.444119541629</v>
      </c>
      <c r="V104" s="750"/>
      <c r="W104" s="713">
        <v>46051</v>
      </c>
      <c r="X104" s="782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779"/>
      <c r="J105" s="741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761"/>
      <c r="S105" s="612" t="s">
        <v>441</v>
      </c>
      <c r="T105" s="711">
        <v>46053</v>
      </c>
      <c r="U105" s="695">
        <v>22094.447368569781</v>
      </c>
      <c r="V105" s="750"/>
      <c r="W105" s="713">
        <v>46058</v>
      </c>
      <c r="X105" s="782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779"/>
      <c r="J106" s="741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761"/>
      <c r="S106" s="612" t="s">
        <v>441</v>
      </c>
      <c r="T106" s="711">
        <v>46053</v>
      </c>
      <c r="U106" s="695">
        <v>11047.222059770815</v>
      </c>
      <c r="V106" s="750"/>
      <c r="W106" s="713">
        <v>46058</v>
      </c>
      <c r="X106" s="782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779"/>
      <c r="J107" s="741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762"/>
      <c r="S107" s="612" t="s">
        <v>441</v>
      </c>
      <c r="T107" s="711">
        <v>46053</v>
      </c>
      <c r="U107" s="695">
        <v>11047.222059770815</v>
      </c>
      <c r="V107" s="750"/>
      <c r="W107" s="559">
        <f>W106+30</f>
        <v>46088</v>
      </c>
      <c r="X107" s="782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779"/>
      <c r="J108" s="741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50"/>
      <c r="W108" s="559"/>
      <c r="X108" s="782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779"/>
      <c r="J109" s="741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50"/>
      <c r="W109" s="559"/>
      <c r="X109" s="782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780"/>
      <c r="J110" s="742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51"/>
      <c r="W110" s="560"/>
      <c r="X110" s="783"/>
      <c r="Y110" s="480"/>
    </row>
    <row r="111" spans="1:25" ht="13.9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743">
        <f>SUM(G112:G128)</f>
        <v>56854.444444444445</v>
      </c>
      <c r="J112" s="743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752">
        <f>J112-SUM(U112:U128)</f>
        <v>-4.2211388790747151E-4</v>
      </c>
      <c r="W112" s="709">
        <v>45974</v>
      </c>
      <c r="X112" s="746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744"/>
      <c r="J113" s="744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753"/>
      <c r="W113" s="570"/>
      <c r="X113" s="747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744"/>
      <c r="J114" s="744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753"/>
      <c r="W114" s="570"/>
      <c r="X114" s="747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744"/>
      <c r="J115" s="744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753"/>
      <c r="W115" s="570"/>
      <c r="X115" s="747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744"/>
      <c r="J116" s="744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757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753"/>
      <c r="W116" s="704">
        <f t="shared" ref="W116:W125" si="22">W98</f>
        <v>45967</v>
      </c>
      <c r="X116" s="747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744"/>
      <c r="J117" s="744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758"/>
      <c r="S117" s="630" t="s">
        <v>381</v>
      </c>
      <c r="T117" s="710">
        <f t="shared" ref="T117:T125" si="23">T99</f>
        <v>45991</v>
      </c>
      <c r="U117" s="702">
        <v>9162.990107569909</v>
      </c>
      <c r="V117" s="753"/>
      <c r="W117" s="704">
        <f t="shared" si="22"/>
        <v>45989</v>
      </c>
      <c r="X117" s="747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744"/>
      <c r="J118" s="744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758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753"/>
      <c r="W118" s="704">
        <f t="shared" si="22"/>
        <v>45989</v>
      </c>
      <c r="X118" s="747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744"/>
      <c r="J119" s="744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758"/>
      <c r="S119" s="625" t="s">
        <v>386</v>
      </c>
      <c r="T119" s="710">
        <f t="shared" si="23"/>
        <v>46053</v>
      </c>
      <c r="U119" s="702">
        <v>6108.6600717132733</v>
      </c>
      <c r="V119" s="753"/>
      <c r="W119" s="704">
        <f t="shared" si="22"/>
        <v>46051</v>
      </c>
      <c r="X119" s="747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744"/>
      <c r="J120" s="744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758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753"/>
      <c r="W120" s="694">
        <f t="shared" si="22"/>
        <v>45989</v>
      </c>
      <c r="X120" s="747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744"/>
      <c r="J121" s="744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758"/>
      <c r="S121" s="625" t="s">
        <v>386</v>
      </c>
      <c r="T121" s="710">
        <f t="shared" si="23"/>
        <v>46053</v>
      </c>
      <c r="U121" s="702">
        <v>3054.3300358566366</v>
      </c>
      <c r="V121" s="753"/>
      <c r="W121" s="704">
        <f t="shared" si="22"/>
        <v>46051</v>
      </c>
      <c r="X121" s="747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744"/>
      <c r="J122" s="744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758"/>
      <c r="S122" s="625" t="s">
        <v>386</v>
      </c>
      <c r="T122" s="710">
        <f t="shared" si="23"/>
        <v>46053</v>
      </c>
      <c r="U122" s="702">
        <v>6108.6600717132733</v>
      </c>
      <c r="V122" s="753"/>
      <c r="W122" s="704">
        <f t="shared" si="22"/>
        <v>46051</v>
      </c>
      <c r="X122" s="747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744"/>
      <c r="J123" s="744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758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753"/>
      <c r="W123" s="704">
        <f t="shared" si="22"/>
        <v>46058</v>
      </c>
      <c r="X123" s="747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744"/>
      <c r="J124" s="744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758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753"/>
      <c r="W124" s="704">
        <f t="shared" si="22"/>
        <v>46058</v>
      </c>
      <c r="X124" s="747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744"/>
      <c r="J125" s="744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759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753"/>
      <c r="W125" s="571">
        <f t="shared" si="22"/>
        <v>46088</v>
      </c>
      <c r="X125" s="747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744"/>
      <c r="J126" s="744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753"/>
      <c r="W126" s="571"/>
      <c r="X126" s="747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744"/>
      <c r="J127" s="744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753"/>
      <c r="W127" s="571"/>
      <c r="X127" s="747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745"/>
      <c r="J128" s="745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754"/>
      <c r="W128" s="572"/>
      <c r="X128" s="748"/>
      <c r="Y128" s="480"/>
    </row>
    <row r="129" spans="1:25" ht="13.9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40">
        <f>SUM(G130:G134)</f>
        <v>29000</v>
      </c>
      <c r="J130" s="740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49">
        <f>J130-SUM(U130:U134)</f>
        <v>0</v>
      </c>
      <c r="W130" s="731">
        <v>46045</v>
      </c>
      <c r="X130" s="737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41"/>
      <c r="J131" s="741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50"/>
      <c r="W131" s="558"/>
      <c r="X131" s="738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41"/>
      <c r="J132" s="741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50"/>
      <c r="W132" s="558"/>
      <c r="X132" s="738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41"/>
      <c r="J133" s="741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50"/>
      <c r="W133" s="713">
        <f>T133+30</f>
        <v>46052</v>
      </c>
      <c r="X133" s="738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42"/>
      <c r="J134" s="742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51"/>
      <c r="W134" s="560"/>
      <c r="X134" s="739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743">
        <f>SUM(G136:G137)</f>
        <v>9178.8402400695904</v>
      </c>
      <c r="J136" s="743">
        <v>0</v>
      </c>
      <c r="K136" s="755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746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745"/>
      <c r="J137" s="745"/>
      <c r="K137" s="756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748"/>
      <c r="Y137" s="480"/>
    </row>
    <row r="138" spans="1:25" ht="14.25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40">
        <f>SUM(G139:G143)</f>
        <v>19886.013775664254</v>
      </c>
      <c r="J139" s="740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735">
        <v>22597.742926891198</v>
      </c>
      <c r="V139" s="749">
        <f>J139-SUM(U139:U144)</f>
        <v>0</v>
      </c>
      <c r="W139" s="565">
        <v>46080</v>
      </c>
      <c r="X139" s="737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41"/>
      <c r="J140" s="741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50"/>
      <c r="W140" s="558"/>
      <c r="X140" s="738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41"/>
      <c r="J141" s="741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50"/>
      <c r="W141" s="558"/>
      <c r="X141" s="738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41"/>
      <c r="J142" s="741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50"/>
      <c r="W142" s="558"/>
      <c r="X142" s="738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41"/>
      <c r="J143" s="741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50"/>
      <c r="W143" s="558"/>
      <c r="X143" s="738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42"/>
      <c r="J144" s="742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51"/>
      <c r="W144" s="560"/>
      <c r="X144" s="739"/>
      <c r="Y144" s="480"/>
    </row>
    <row r="145" spans="1:25" ht="14.25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743">
        <f>SUM(G146:G157)</f>
        <v>4375</v>
      </c>
      <c r="J146" s="743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752">
        <f>J146-SUM(U146:U157)</f>
        <v>-2.9762939448119141E-3</v>
      </c>
      <c r="W146" s="694">
        <v>45961</v>
      </c>
      <c r="X146" s="746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744"/>
      <c r="J147" s="744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753"/>
      <c r="W147" s="694">
        <v>45996</v>
      </c>
      <c r="X147" s="747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744"/>
      <c r="J148" s="744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753"/>
      <c r="W148" s="694">
        <v>46030</v>
      </c>
      <c r="X148" s="747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744"/>
      <c r="J149" s="744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753"/>
      <c r="W149" s="694">
        <v>46058</v>
      </c>
      <c r="X149" s="747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744"/>
      <c r="J150" s="744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50:U157" si="24">(Q150/$X$146*$J$146)</f>
        <v>0</v>
      </c>
      <c r="V150" s="753"/>
      <c r="W150" s="571"/>
      <c r="X150" s="747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744"/>
      <c r="J151" s="744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753"/>
      <c r="W151" s="571"/>
      <c r="X151" s="747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744"/>
      <c r="J152" s="744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753"/>
      <c r="W152" s="571"/>
      <c r="X152" s="747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744"/>
      <c r="J153" s="744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753"/>
      <c r="W153" s="571"/>
      <c r="X153" s="747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744"/>
      <c r="J154" s="744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753"/>
      <c r="W154" s="571"/>
      <c r="X154" s="747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744"/>
      <c r="J155" s="744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753"/>
      <c r="W155" s="571"/>
      <c r="X155" s="747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744"/>
      <c r="J156" s="744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753"/>
      <c r="W156" s="571"/>
      <c r="X156" s="747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745"/>
      <c r="J157" s="745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754"/>
      <c r="W157" s="572"/>
      <c r="X157" s="748"/>
      <c r="Y157" s="480"/>
    </row>
    <row r="158" spans="1:25" ht="14.25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40">
        <f>SUM(G159:G170)</f>
        <v>0</v>
      </c>
      <c r="J159" s="740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49">
        <v>0</v>
      </c>
      <c r="W159" s="565"/>
      <c r="X159" s="737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41"/>
      <c r="J160" s="741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50"/>
      <c r="W160" s="703">
        <v>45967</v>
      </c>
      <c r="X160" s="738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41"/>
      <c r="J161" s="741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50"/>
      <c r="W161" s="722">
        <v>45995</v>
      </c>
      <c r="X161" s="738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41"/>
      <c r="J162" s="741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50"/>
      <c r="W162" s="558"/>
      <c r="X162" s="738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41"/>
      <c r="J163" s="741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50"/>
      <c r="W163" s="558"/>
      <c r="X163" s="738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41"/>
      <c r="J164" s="741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50"/>
      <c r="W164" s="558"/>
      <c r="X164" s="738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41"/>
      <c r="J165" s="741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50"/>
      <c r="W165" s="558"/>
      <c r="X165" s="738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41"/>
      <c r="J166" s="741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50"/>
      <c r="W166" s="558"/>
      <c r="X166" s="738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41"/>
      <c r="J167" s="741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50"/>
      <c r="W167" s="558"/>
      <c r="X167" s="738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41"/>
      <c r="J168" s="741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50"/>
      <c r="W168" s="558"/>
      <c r="X168" s="738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41"/>
      <c r="J169" s="741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50"/>
      <c r="W169" s="558"/>
      <c r="X169" s="738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42"/>
      <c r="J170" s="742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51"/>
      <c r="W170" s="560"/>
      <c r="X170" s="739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2"/>
    <mergeCell ref="J6:J12"/>
    <mergeCell ref="R2:W2"/>
    <mergeCell ref="V6:V12"/>
    <mergeCell ref="I14:I20"/>
    <mergeCell ref="J14:J20"/>
    <mergeCell ref="X14:X20"/>
    <mergeCell ref="I22:I28"/>
    <mergeCell ref="J22:J28"/>
    <mergeCell ref="V14:V20"/>
    <mergeCell ref="V22:V28"/>
    <mergeCell ref="X22:X28"/>
    <mergeCell ref="I48:I56"/>
    <mergeCell ref="J48:J56"/>
    <mergeCell ref="I30:I46"/>
    <mergeCell ref="J30:J46"/>
    <mergeCell ref="X30:X46"/>
    <mergeCell ref="V30:V46"/>
    <mergeCell ref="R34:R43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X136:X137"/>
    <mergeCell ref="V130:V134"/>
    <mergeCell ref="I130:I134"/>
    <mergeCell ref="R116:R125"/>
    <mergeCell ref="R98:R107"/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topRight" activeCell="X33" sqref="X33"/>
      <selection pane="bottomLeft" activeCell="X33" sqref="X33"/>
      <selection pane="bottomRight" activeCell="S10" sqref="S1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5976562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8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9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9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9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9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9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8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9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9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9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0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22241.137999999999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9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1331109.7560000001</v>
      </c>
      <c r="AL12" s="215">
        <f t="shared" si="26"/>
        <v>1331109.7560000001</v>
      </c>
      <c r="AM12" s="215">
        <f t="shared" si="26"/>
        <v>1356168.986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9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673628.81943159015</v>
      </c>
      <c r="AL14" s="208">
        <f t="shared" si="32"/>
        <v>673628.81943159015</v>
      </c>
      <c r="AM14" s="208">
        <f t="shared" si="32"/>
        <v>648569.58943159017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40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40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9765625" defaultRowHeight="14.25"/>
  <cols>
    <col min="1" max="1" width="39.3984375" style="367" bestFit="1" customWidth="1"/>
    <col min="2" max="2" width="17.265625" style="368" bestFit="1" customWidth="1"/>
    <col min="3" max="3" width="14.86328125" style="367" bestFit="1" customWidth="1"/>
    <col min="4" max="4" width="13.265625" style="367" bestFit="1" customWidth="1"/>
    <col min="5" max="5" width="12.73046875" style="367" bestFit="1" customWidth="1"/>
    <col min="6" max="6" width="4.86328125" style="367" bestFit="1" customWidth="1"/>
    <col min="7" max="7" width="13.265625" style="367" bestFit="1" customWidth="1"/>
    <col min="8" max="9" width="14.86328125" style="367" bestFit="1" customWidth="1"/>
    <col min="10" max="10" width="14.59765625" style="367" bestFit="1" customWidth="1"/>
    <col min="11" max="11" width="11.3984375" style="367" bestFit="1" customWidth="1"/>
    <col min="12" max="12" width="6.3984375" style="367" bestFit="1" customWidth="1"/>
    <col min="13" max="13" width="14.59765625" style="367" bestFit="1" customWidth="1"/>
    <col min="14" max="14" width="13.59765625" style="367" bestFit="1" customWidth="1"/>
    <col min="15" max="18" width="11.398437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3984375" defaultRowHeight="14.25"/>
  <cols>
    <col min="1" max="1" width="21.73046875" bestFit="1" customWidth="1"/>
    <col min="2" max="2" width="17.265625" style="406" bestFit="1" customWidth="1"/>
    <col min="3" max="4" width="13.265625" style="406" bestFit="1" customWidth="1"/>
    <col min="5" max="5" width="12" style="406" bestFit="1" customWidth="1"/>
    <col min="6" max="6" width="11.59765625" style="406" bestFit="1" customWidth="1"/>
    <col min="7" max="7" width="13.265625" style="406" bestFit="1" customWidth="1"/>
    <col min="8" max="9" width="14.86328125" style="406" bestFit="1" customWidth="1"/>
    <col min="10" max="10" width="12.59765625" bestFit="1" customWidth="1"/>
    <col min="11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519</v>
      </c>
    </row>
    <row r="2" spans="1:4">
      <c r="A2" s="842"/>
      <c r="B2" s="842"/>
      <c r="C2" s="842"/>
      <c r="D2" s="71"/>
    </row>
    <row r="3" spans="1:4">
      <c r="A3" s="841" t="s">
        <v>520</v>
      </c>
      <c r="B3" s="841"/>
      <c r="C3" s="841"/>
      <c r="D3" s="111">
        <v>0.32</v>
      </c>
    </row>
    <row r="4" spans="1:4">
      <c r="A4" s="841" t="s">
        <v>488</v>
      </c>
      <c r="B4" s="841"/>
      <c r="C4" s="841"/>
      <c r="D4" s="111">
        <v>0.5</v>
      </c>
    </row>
    <row r="5" spans="1:4">
      <c r="A5" s="841" t="s">
        <v>499</v>
      </c>
      <c r="B5" s="841"/>
      <c r="C5" s="841"/>
      <c r="D5" s="111">
        <v>0.15</v>
      </c>
    </row>
    <row r="6" spans="1:4">
      <c r="A6" s="841" t="s">
        <v>521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597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597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3" t="s">
        <v>522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 ht="13.15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597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597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59765625" style="88" bestFit="1" customWidth="1"/>
    <col min="16" max="16384" width="9.3984375" style="88"/>
  </cols>
  <sheetData>
    <row r="2" spans="2:15" s="94" customFormat="1" ht="17.649999999999999">
      <c r="B2" s="843" t="s">
        <v>541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 ht="13.15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551</v>
      </c>
      <c r="C32" s="103"/>
      <c r="D32" s="103"/>
    </row>
    <row r="33" spans="2:4" ht="13.15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45" t="str">
        <f>D15</f>
        <v>Shoprite Mini_Citrusdal</v>
      </c>
      <c r="C1" s="845"/>
      <c r="D1" s="845"/>
      <c r="E1" s="844" t="s">
        <v>553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74C925F-F946-480B-896C-ADF08F816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2026-02-13T08:06:02Z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